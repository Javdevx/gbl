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caz\Dropbox\GBL-1\temporada 25 - 26\pesca\"/>
    </mc:Choice>
  </mc:AlternateContent>
  <xr:revisionPtr revIDLastSave="0" documentId="13_ncr:1_{5F35F523-70FF-46C2-BD6F-4D89FEC10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-2026" sheetId="4" r:id="rId1"/>
    <sheet name="2024-2025" sheetId="3" r:id="rId2"/>
    <sheet name="2023-2024" sheetId="1" r:id="rId3"/>
    <sheet name="DIR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D7" i="4"/>
  <c r="P13" i="4"/>
  <c r="C16" i="4" s="1"/>
  <c r="C15" i="4" s="1"/>
  <c r="E22" i="4"/>
  <c r="E21" i="4"/>
  <c r="C8" i="4" l="1"/>
  <c r="D16" i="4"/>
  <c r="D17" i="4" s="1"/>
  <c r="C17" i="4"/>
  <c r="D13" i="4"/>
  <c r="E16" i="4" s="1"/>
  <c r="D8" i="4"/>
  <c r="D4" i="4"/>
  <c r="C8" i="2"/>
  <c r="B8" i="2"/>
  <c r="D18" i="3"/>
  <c r="D19" i="3" s="1"/>
  <c r="C18" i="3"/>
  <c r="C19" i="3" s="1"/>
  <c r="D8" i="3"/>
  <c r="D9" i="3" s="1"/>
  <c r="C8" i="3"/>
  <c r="C9" i="3" s="1"/>
  <c r="C13" i="2" l="1"/>
  <c r="B13" i="2"/>
  <c r="D15" i="4"/>
  <c r="D6" i="4"/>
  <c r="C6" i="4"/>
  <c r="E15" i="4"/>
  <c r="E17" i="4"/>
  <c r="E4" i="4"/>
  <c r="E7" i="4"/>
  <c r="E13" i="4"/>
  <c r="D17" i="3"/>
  <c r="C12" i="2" s="1"/>
  <c r="D14" i="3"/>
  <c r="D7" i="3"/>
  <c r="C7" i="2" s="1"/>
  <c r="D4" i="3"/>
  <c r="I13" i="1"/>
  <c r="D13" i="1"/>
  <c r="I4" i="1"/>
  <c r="D4" i="1"/>
  <c r="E4" i="1" s="1"/>
  <c r="F4" i="1" s="1"/>
  <c r="G4" i="1" s="1"/>
  <c r="H4" i="1" s="1"/>
  <c r="E18" i="3" l="1"/>
  <c r="F16" i="4"/>
  <c r="F13" i="4"/>
  <c r="E8" i="4"/>
  <c r="E6" i="4"/>
  <c r="F7" i="4"/>
  <c r="F4" i="4"/>
  <c r="E8" i="3"/>
  <c r="E14" i="3"/>
  <c r="F18" i="3" s="1"/>
  <c r="E4" i="3"/>
  <c r="C7" i="3"/>
  <c r="B7" i="2" s="1"/>
  <c r="F8" i="1"/>
  <c r="F7" i="1" s="1"/>
  <c r="E8" i="1"/>
  <c r="E7" i="1" s="1"/>
  <c r="D17" i="1"/>
  <c r="D16" i="1" s="1"/>
  <c r="C17" i="1"/>
  <c r="C16" i="1" s="1"/>
  <c r="C8" i="1"/>
  <c r="C7" i="1" s="1"/>
  <c r="E17" i="1"/>
  <c r="E16" i="1" s="1"/>
  <c r="E13" i="1"/>
  <c r="F17" i="1" s="1"/>
  <c r="F16" i="1" s="1"/>
  <c r="I8" i="1"/>
  <c r="I7" i="1" s="1"/>
  <c r="H8" i="1"/>
  <c r="H7" i="1" s="1"/>
  <c r="G8" i="1"/>
  <c r="G7" i="1" s="1"/>
  <c r="D8" i="1"/>
  <c r="D7" i="1" s="1"/>
  <c r="E9" i="3" l="1"/>
  <c r="D8" i="2"/>
  <c r="E19" i="3"/>
  <c r="D13" i="2"/>
  <c r="F19" i="3"/>
  <c r="E13" i="2"/>
  <c r="G13" i="4"/>
  <c r="G16" i="4"/>
  <c r="F15" i="4"/>
  <c r="F17" i="4"/>
  <c r="G4" i="4"/>
  <c r="G7" i="4"/>
  <c r="F8" i="4"/>
  <c r="F6" i="4"/>
  <c r="E7" i="3"/>
  <c r="D7" i="2" s="1"/>
  <c r="F4" i="3"/>
  <c r="F8" i="3"/>
  <c r="C17" i="3"/>
  <c r="B12" i="2" s="1"/>
  <c r="E17" i="3"/>
  <c r="D12" i="2" s="1"/>
  <c r="F14" i="3"/>
  <c r="F13" i="1"/>
  <c r="G18" i="3" l="1"/>
  <c r="F9" i="3"/>
  <c r="E8" i="2"/>
  <c r="I8" i="2" s="1"/>
  <c r="F9" i="4"/>
  <c r="G15" i="4"/>
  <c r="G17" i="4"/>
  <c r="H13" i="4"/>
  <c r="H16" i="4"/>
  <c r="G8" i="4"/>
  <c r="G6" i="4"/>
  <c r="H4" i="4"/>
  <c r="H7" i="4"/>
  <c r="F7" i="3"/>
  <c r="E7" i="2" s="1"/>
  <c r="I7" i="2" s="1"/>
  <c r="G4" i="3"/>
  <c r="G8" i="3"/>
  <c r="F8" i="2" s="1"/>
  <c r="F17" i="3"/>
  <c r="E12" i="2" s="1"/>
  <c r="G17" i="3"/>
  <c r="F12" i="2" s="1"/>
  <c r="G14" i="3"/>
  <c r="G13" i="1"/>
  <c r="G17" i="1"/>
  <c r="G16" i="1" s="1"/>
  <c r="H14" i="3" l="1"/>
  <c r="H18" i="3"/>
  <c r="G19" i="3"/>
  <c r="F13" i="2"/>
  <c r="H15" i="4"/>
  <c r="H17" i="4"/>
  <c r="H8" i="4"/>
  <c r="H6" i="4"/>
  <c r="I13" i="4"/>
  <c r="I16" i="4"/>
  <c r="I4" i="4"/>
  <c r="I7" i="4"/>
  <c r="G7" i="3"/>
  <c r="F7" i="2" s="1"/>
  <c r="G9" i="3"/>
  <c r="H4" i="3"/>
  <c r="H8" i="3"/>
  <c r="G8" i="2" s="1"/>
  <c r="H13" i="1"/>
  <c r="H17" i="1"/>
  <c r="H16" i="1" s="1"/>
  <c r="H19" i="3" l="1"/>
  <c r="G13" i="2"/>
  <c r="I14" i="3"/>
  <c r="I18" i="3"/>
  <c r="I8" i="4"/>
  <c r="I6" i="4"/>
  <c r="J4" i="4"/>
  <c r="J7" i="4"/>
  <c r="I15" i="4"/>
  <c r="I17" i="4"/>
  <c r="J13" i="4"/>
  <c r="J16" i="4"/>
  <c r="H7" i="3"/>
  <c r="G7" i="2" s="1"/>
  <c r="H9" i="3"/>
  <c r="I4" i="3"/>
  <c r="I8" i="3"/>
  <c r="H8" i="2" s="1"/>
  <c r="H17" i="3"/>
  <c r="G12" i="2" s="1"/>
  <c r="I17" i="1"/>
  <c r="I16" i="1" s="1"/>
  <c r="I19" i="3" l="1"/>
  <c r="H13" i="2"/>
  <c r="I13" i="2" s="1"/>
  <c r="J14" i="3"/>
  <c r="J18" i="3"/>
  <c r="I17" i="3"/>
  <c r="H12" i="2" s="1"/>
  <c r="I12" i="2" s="1"/>
  <c r="I18" i="4"/>
  <c r="J17" i="4"/>
  <c r="J15" i="4"/>
  <c r="K13" i="4"/>
  <c r="K16" i="4"/>
  <c r="J8" i="4"/>
  <c r="J6" i="4"/>
  <c r="K4" i="4"/>
  <c r="K7" i="4"/>
  <c r="I7" i="3"/>
  <c r="H7" i="2" s="1"/>
  <c r="I9" i="3"/>
  <c r="J4" i="3"/>
  <c r="J8" i="3"/>
  <c r="J17" i="3" l="1"/>
  <c r="J19" i="3"/>
  <c r="K14" i="3"/>
  <c r="K18" i="3"/>
  <c r="K6" i="4"/>
  <c r="K8" i="4"/>
  <c r="L4" i="4"/>
  <c r="L7" i="4"/>
  <c r="K17" i="4"/>
  <c r="K15" i="4"/>
  <c r="L13" i="4"/>
  <c r="L16" i="4"/>
  <c r="J7" i="3"/>
  <c r="J9" i="3"/>
  <c r="K4" i="3"/>
  <c r="K8" i="3"/>
  <c r="K19" i="3" l="1"/>
  <c r="K17" i="3"/>
  <c r="L14" i="3"/>
  <c r="L18" i="3"/>
  <c r="L17" i="4"/>
  <c r="L15" i="4"/>
  <c r="M13" i="4"/>
  <c r="M16" i="4"/>
  <c r="L6" i="4"/>
  <c r="L8" i="4"/>
  <c r="M4" i="4"/>
  <c r="M7" i="4"/>
  <c r="K7" i="3"/>
  <c r="K9" i="3"/>
  <c r="L4" i="3"/>
  <c r="L8" i="3"/>
  <c r="L19" i="3" l="1"/>
  <c r="L17" i="3"/>
  <c r="M14" i="3"/>
  <c r="M18" i="3"/>
  <c r="M6" i="4"/>
  <c r="M8" i="4"/>
  <c r="N4" i="4"/>
  <c r="N7" i="4"/>
  <c r="M17" i="4"/>
  <c r="M15" i="4"/>
  <c r="N13" i="4"/>
  <c r="N16" i="4"/>
  <c r="L7" i="3"/>
  <c r="L9" i="3"/>
  <c r="M4" i="3"/>
  <c r="M8" i="3"/>
  <c r="N14" i="3" l="1"/>
  <c r="N18" i="3"/>
  <c r="M17" i="3"/>
  <c r="M19" i="3"/>
  <c r="N17" i="4"/>
  <c r="N15" i="4"/>
  <c r="O13" i="4"/>
  <c r="P16" i="4" s="1"/>
  <c r="O16" i="4"/>
  <c r="N6" i="4"/>
  <c r="N8" i="4"/>
  <c r="O4" i="4"/>
  <c r="P7" i="4" s="1"/>
  <c r="O7" i="4"/>
  <c r="M7" i="3"/>
  <c r="M9" i="3"/>
  <c r="N4" i="3"/>
  <c r="N8" i="3"/>
  <c r="N17" i="3" l="1"/>
  <c r="N19" i="3"/>
  <c r="O14" i="3"/>
  <c r="P18" i="3" s="1"/>
  <c r="O18" i="3"/>
  <c r="O6" i="4"/>
  <c r="O8" i="4"/>
  <c r="P8" i="4"/>
  <c r="P6" i="4"/>
  <c r="O17" i="4"/>
  <c r="O15" i="4"/>
  <c r="P17" i="4"/>
  <c r="P15" i="4"/>
  <c r="N7" i="3"/>
  <c r="N9" i="3"/>
  <c r="O4" i="3"/>
  <c r="P8" i="3" s="1"/>
  <c r="O8" i="3"/>
  <c r="O17" i="3" l="1"/>
  <c r="O19" i="3"/>
  <c r="P17" i="3"/>
  <c r="P19" i="3"/>
  <c r="O7" i="3"/>
  <c r="O9" i="3"/>
  <c r="P7" i="3"/>
  <c r="P9" i="3"/>
</calcChain>
</file>

<file path=xl/sharedStrings.xml><?xml version="1.0" encoding="utf-8"?>
<sst xmlns="http://schemas.openxmlformats.org/spreadsheetml/2006/main" count="277" uniqueCount="68">
  <si>
    <t>TARIFA x PERSONA</t>
  </si>
  <si>
    <t>1 noche</t>
  </si>
  <si>
    <t>2 noches</t>
  </si>
  <si>
    <t>3 noches</t>
  </si>
  <si>
    <t>4 noches</t>
  </si>
  <si>
    <t>5 noches</t>
  </si>
  <si>
    <t>6 noches</t>
  </si>
  <si>
    <t>7 noches</t>
  </si>
  <si>
    <t>Dia 1 traslado</t>
  </si>
  <si>
    <t>Dia 1 mediodia</t>
  </si>
  <si>
    <t>Dia 2 full</t>
  </si>
  <si>
    <t>Dia 3 full</t>
  </si>
  <si>
    <t>Dia 4 full</t>
  </si>
  <si>
    <t>Dia 5 full</t>
  </si>
  <si>
    <t>Dia 6 full</t>
  </si>
  <si>
    <t>Dia 7 full</t>
  </si>
  <si>
    <t>Dia 8 vuelta</t>
  </si>
  <si>
    <t>Base single</t>
  </si>
  <si>
    <t>Base doble</t>
  </si>
  <si>
    <t>USD</t>
  </si>
  <si>
    <t>$</t>
  </si>
  <si>
    <t>1/2 DÍA</t>
  </si>
  <si>
    <t>15% Comisión Venta Nacional</t>
  </si>
  <si>
    <t>20% Comisión Venta Internacional</t>
  </si>
  <si>
    <t>DIA COMPLETO</t>
  </si>
  <si>
    <t>* 8 HORAS DE PESCA. INCLUYE BOX LUNCH.</t>
  </si>
  <si>
    <t>* 4 HORAS DE PESCA. INCLUYE AGUA Y BEBIDAS NO ALCOHÓLICAS.</t>
  </si>
  <si>
    <t>TARIFAS DÍA DE PESCA (BASE DOBLE)</t>
  </si>
  <si>
    <t>2 HORAS</t>
  </si>
  <si>
    <t>* 2 HORAS DE PESCA. INCLUYE AGUA Y BEBIDAS NO ALCOHÓLICAS.</t>
  </si>
  <si>
    <t>20% Comisión Venta Nacional</t>
  </si>
  <si>
    <t>Hosted Trips</t>
  </si>
  <si>
    <t>Sobre 7 clientes</t>
  </si>
  <si>
    <t>Siempre la caña par</t>
  </si>
  <si>
    <t>Hasta 5 cañas</t>
  </si>
  <si>
    <t>6 cañas o más</t>
  </si>
  <si>
    <t>PROGRAMA PESCA EXTRANJEROS</t>
  </si>
  <si>
    <t>PROGRAMA PESCA NACIONAL</t>
  </si>
  <si>
    <t>PESCA POR DÍA</t>
  </si>
  <si>
    <t>Día 1 traslado</t>
  </si>
  <si>
    <t>Día 1 medioDía</t>
  </si>
  <si>
    <t>Día 2 full</t>
  </si>
  <si>
    <t>Día 3 full</t>
  </si>
  <si>
    <t>Día 4 full</t>
  </si>
  <si>
    <t>Día 5 full</t>
  </si>
  <si>
    <t>Día 6 full</t>
  </si>
  <si>
    <t>Día 7 full</t>
  </si>
  <si>
    <t>Día 8 full</t>
  </si>
  <si>
    <t>Non angler</t>
  </si>
  <si>
    <t>8 noches</t>
  </si>
  <si>
    <t>9 noches</t>
  </si>
  <si>
    <t>10 noches</t>
  </si>
  <si>
    <t>11 noches</t>
  </si>
  <si>
    <t>12 noches</t>
  </si>
  <si>
    <t>13 noches</t>
  </si>
  <si>
    <t>14 noches</t>
  </si>
  <si>
    <t>Non angler nacional</t>
  </si>
  <si>
    <t>Día 9 full</t>
  </si>
  <si>
    <t>Día 10 full</t>
  </si>
  <si>
    <t>Día 11 full</t>
  </si>
  <si>
    <t>Día 12 full</t>
  </si>
  <si>
    <t>Día 13 full</t>
  </si>
  <si>
    <t>Día 14 full</t>
  </si>
  <si>
    <t>Día 15 traslado</t>
  </si>
  <si>
    <t>Sobre 5 Clientes</t>
  </si>
  <si>
    <t>VAR</t>
  </si>
  <si>
    <t>* 4 HORAS DE PESCA. INCLUYE SNACKS Y BEBIDAS NO ALCOHÓLICAS.</t>
  </si>
  <si>
    <t xml:space="preserve">Día 1; 1/2  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</si>
</sst>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-&quot;$&quot;* #,##0_-;\-&quot;$&quot;* #,##0_-;_-&quot;$&quot;* &quot;-&quot;??_-;_-@_-"/>
    <numFmt numFmtId="166" formatCode="[$USD]\ #,##0"/>
    <numFmt numFmtId="167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166" fontId="0" fillId="0" borderId="0" xfId="1" applyNumberFormat="1" applyFont="1"/>
    <xf numFmtId="166" fontId="2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2" borderId="0" xfId="0" applyFill="1"/>
    <xf numFmtId="165" fontId="0" fillId="2" borderId="0" xfId="1" applyNumberFormat="1" applyFont="1" applyFill="1"/>
    <xf numFmtId="165" fontId="2" fillId="2" borderId="0" xfId="1" applyNumberFormat="1" applyFont="1" applyFill="1"/>
    <xf numFmtId="166" fontId="0" fillId="2" borderId="0" xfId="1" applyNumberFormat="1" applyFont="1" applyFill="1"/>
    <xf numFmtId="166" fontId="2" fillId="2" borderId="0" xfId="1" applyNumberFormat="1" applyFont="1" applyFill="1"/>
    <xf numFmtId="165" fontId="2" fillId="0" borderId="0" xfId="1" applyNumberFormat="1" applyFont="1" applyAlignment="1">
      <alignment horizontal="center"/>
    </xf>
    <xf numFmtId="166" fontId="2" fillId="3" borderId="0" xfId="1" applyNumberFormat="1" applyFont="1" applyFill="1"/>
    <xf numFmtId="166" fontId="0" fillId="3" borderId="0" xfId="1" applyNumberFormat="1" applyFont="1" applyFill="1"/>
    <xf numFmtId="0" fontId="0" fillId="4" borderId="0" xfId="0" applyFill="1"/>
    <xf numFmtId="165" fontId="0" fillId="4" borderId="0" xfId="1" applyNumberFormat="1" applyFont="1" applyFill="1"/>
    <xf numFmtId="165" fontId="2" fillId="4" borderId="0" xfId="1" applyNumberFormat="1" applyFont="1" applyFill="1"/>
    <xf numFmtId="0" fontId="2" fillId="4" borderId="0" xfId="0" applyFont="1" applyFill="1"/>
    <xf numFmtId="166" fontId="0" fillId="4" borderId="0" xfId="1" applyNumberFormat="1" applyFont="1" applyFill="1"/>
    <xf numFmtId="166" fontId="2" fillId="4" borderId="0" xfId="1" applyNumberFormat="1" applyFont="1" applyFill="1"/>
    <xf numFmtId="166" fontId="0" fillId="4" borderId="0" xfId="0" applyNumberFormat="1" applyFill="1"/>
    <xf numFmtId="166" fontId="1" fillId="4" borderId="0" xfId="1" applyNumberFormat="1" applyFont="1" applyFill="1"/>
    <xf numFmtId="0" fontId="0" fillId="4" borderId="1" xfId="0" applyFill="1" applyBorder="1"/>
    <xf numFmtId="165" fontId="0" fillId="4" borderId="1" xfId="1" applyNumberFormat="1" applyFont="1" applyFill="1" applyBorder="1"/>
    <xf numFmtId="165" fontId="2" fillId="4" borderId="1" xfId="1" applyNumberFormat="1" applyFont="1" applyFill="1" applyBorder="1"/>
    <xf numFmtId="0" fontId="2" fillId="5" borderId="1" xfId="0" applyFont="1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0" fillId="0" borderId="1" xfId="1" applyNumberFormat="1" applyFont="1" applyBorder="1"/>
    <xf numFmtId="166" fontId="2" fillId="0" borderId="1" xfId="1" applyNumberFormat="1" applyFont="1" applyBorder="1"/>
    <xf numFmtId="165" fontId="1" fillId="2" borderId="0" xfId="1" applyNumberFormat="1" applyFont="1" applyFill="1"/>
    <xf numFmtId="165" fontId="1" fillId="0" borderId="0" xfId="1" applyNumberFormat="1" applyFont="1"/>
    <xf numFmtId="166" fontId="1" fillId="0" borderId="0" xfId="1" applyNumberFormat="1" applyFont="1"/>
    <xf numFmtId="166" fontId="1" fillId="2" borderId="0" xfId="1" applyNumberFormat="1" applyFont="1" applyFill="1"/>
    <xf numFmtId="167" fontId="0" fillId="4" borderId="1" xfId="2" applyNumberFormat="1" applyFont="1" applyFill="1" applyBorder="1" applyAlignment="1">
      <alignment horizontal="center"/>
    </xf>
    <xf numFmtId="165" fontId="2" fillId="0" borderId="0" xfId="1" applyNumberFormat="1" applyFont="1" applyFill="1"/>
    <xf numFmtId="167" fontId="2" fillId="0" borderId="0" xfId="2" applyNumberFormat="1" applyFont="1" applyFill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1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Fill="1" applyBorder="1"/>
    <xf numFmtId="165" fontId="2" fillId="0" borderId="1" xfId="1" applyNumberFormat="1" applyFont="1" applyFill="1" applyBorder="1"/>
    <xf numFmtId="165" fontId="1" fillId="0" borderId="1" xfId="1" applyNumberFormat="1" applyFont="1" applyFill="1" applyBorder="1"/>
    <xf numFmtId="165" fontId="0" fillId="0" borderId="1" xfId="1" applyNumberFormat="1" applyFont="1" applyFill="1" applyBorder="1" applyAlignment="1">
      <alignment horizontal="center"/>
    </xf>
    <xf numFmtId="166" fontId="0" fillId="0" borderId="1" xfId="1" applyNumberFormat="1" applyFont="1" applyFill="1" applyBorder="1"/>
    <xf numFmtId="166" fontId="1" fillId="0" borderId="1" xfId="1" applyNumberFormat="1" applyFont="1" applyFill="1" applyBorder="1"/>
    <xf numFmtId="166" fontId="2" fillId="0" borderId="1" xfId="1" applyNumberFormat="1" applyFont="1" applyFill="1" applyBorder="1"/>
    <xf numFmtId="166" fontId="0" fillId="0" borderId="0" xfId="1" applyNumberFormat="1" applyFont="1" applyFill="1"/>
    <xf numFmtId="166" fontId="2" fillId="0" borderId="0" xfId="1" applyNumberFormat="1" applyFont="1" applyFill="1"/>
    <xf numFmtId="0" fontId="0" fillId="0" borderId="1" xfId="0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0E20-141A-4B79-AFFD-690E99DE4A8D}">
  <dimension ref="A1:P41"/>
  <sheetViews>
    <sheetView tabSelected="1" zoomScale="90" zoomScaleNormal="90" workbookViewId="0">
      <selection activeCell="L24" sqref="L24"/>
    </sheetView>
  </sheetViews>
  <sheetFormatPr baseColWidth="10" defaultRowHeight="14.4" x14ac:dyDescent="0.3"/>
  <cols>
    <col min="1" max="1" width="19.6640625" customWidth="1"/>
    <col min="2" max="2" width="13.33203125" customWidth="1"/>
    <col min="3" max="5" width="12.5546875" bestFit="1" customWidth="1"/>
    <col min="6" max="6" width="12.5546875" style="2" bestFit="1" customWidth="1"/>
    <col min="7" max="8" width="12.5546875" bestFit="1" customWidth="1"/>
    <col min="9" max="9" width="12.5546875" style="2" bestFit="1" customWidth="1"/>
    <col min="10" max="16" width="12.77734375" customWidth="1"/>
  </cols>
  <sheetData>
    <row r="1" spans="1:16" x14ac:dyDescent="0.3">
      <c r="A1" s="2" t="s">
        <v>0</v>
      </c>
      <c r="B1" s="2" t="s">
        <v>20</v>
      </c>
    </row>
    <row r="2" spans="1:16" x14ac:dyDescent="0.3">
      <c r="A2" s="7"/>
      <c r="B2" s="7"/>
    </row>
    <row r="3" spans="1:16" x14ac:dyDescent="0.3">
      <c r="A3" s="41" t="s">
        <v>8</v>
      </c>
      <c r="B3" s="42" t="s">
        <v>9</v>
      </c>
      <c r="C3" s="41" t="s">
        <v>41</v>
      </c>
      <c r="D3" s="41" t="s">
        <v>42</v>
      </c>
      <c r="E3" s="41" t="s">
        <v>43</v>
      </c>
      <c r="F3" s="41" t="s">
        <v>44</v>
      </c>
      <c r="G3" s="41" t="s">
        <v>45</v>
      </c>
      <c r="H3" s="41" t="s">
        <v>46</v>
      </c>
      <c r="I3" s="41" t="s">
        <v>47</v>
      </c>
      <c r="J3" s="41" t="s">
        <v>57</v>
      </c>
      <c r="K3" s="41" t="s">
        <v>58</v>
      </c>
      <c r="L3" s="41" t="s">
        <v>59</v>
      </c>
      <c r="M3" s="41" t="s">
        <v>60</v>
      </c>
      <c r="N3" s="41" t="s">
        <v>61</v>
      </c>
      <c r="O3" s="41" t="s">
        <v>62</v>
      </c>
      <c r="P3" s="41" t="s">
        <v>63</v>
      </c>
    </row>
    <row r="4" spans="1:16" x14ac:dyDescent="0.3">
      <c r="A4" s="43">
        <v>200000</v>
      </c>
      <c r="B4" s="43">
        <v>350000</v>
      </c>
      <c r="C4" s="43">
        <v>400000</v>
      </c>
      <c r="D4" s="43">
        <f>+C4</f>
        <v>400000</v>
      </c>
      <c r="E4" s="44">
        <f t="shared" ref="E4:O4" si="0">+D4</f>
        <v>400000</v>
      </c>
      <c r="F4" s="44">
        <f t="shared" si="0"/>
        <v>400000</v>
      </c>
      <c r="G4" s="44">
        <f t="shared" si="0"/>
        <v>400000</v>
      </c>
      <c r="H4" s="44">
        <f t="shared" si="0"/>
        <v>400000</v>
      </c>
      <c r="I4" s="44">
        <f t="shared" si="0"/>
        <v>400000</v>
      </c>
      <c r="J4" s="44">
        <f t="shared" si="0"/>
        <v>400000</v>
      </c>
      <c r="K4" s="44">
        <f t="shared" si="0"/>
        <v>400000</v>
      </c>
      <c r="L4" s="44">
        <f t="shared" si="0"/>
        <v>400000</v>
      </c>
      <c r="M4" s="44">
        <f t="shared" si="0"/>
        <v>400000</v>
      </c>
      <c r="N4" s="44">
        <f t="shared" si="0"/>
        <v>400000</v>
      </c>
      <c r="O4" s="44">
        <f t="shared" si="0"/>
        <v>400000</v>
      </c>
      <c r="P4" s="44">
        <v>200000</v>
      </c>
    </row>
    <row r="5" spans="1:16" x14ac:dyDescent="0.3">
      <c r="A5" s="43"/>
      <c r="B5" s="43"/>
      <c r="C5" s="41" t="s">
        <v>1</v>
      </c>
      <c r="D5" s="41" t="s">
        <v>2</v>
      </c>
      <c r="E5" s="41" t="s">
        <v>3</v>
      </c>
      <c r="F5" s="45" t="s">
        <v>4</v>
      </c>
      <c r="G5" s="41" t="s">
        <v>5</v>
      </c>
      <c r="H5" s="41" t="s">
        <v>6</v>
      </c>
      <c r="I5" s="56" t="s">
        <v>7</v>
      </c>
      <c r="J5" s="41" t="s">
        <v>49</v>
      </c>
      <c r="K5" s="41" t="s">
        <v>50</v>
      </c>
      <c r="L5" s="56" t="s">
        <v>51</v>
      </c>
      <c r="M5" s="56" t="s">
        <v>52</v>
      </c>
      <c r="N5" s="41" t="s">
        <v>53</v>
      </c>
      <c r="O5" s="41" t="s">
        <v>54</v>
      </c>
      <c r="P5" s="56" t="s">
        <v>55</v>
      </c>
    </row>
    <row r="6" spans="1:16" x14ac:dyDescent="0.3">
      <c r="A6" s="46" t="s">
        <v>17</v>
      </c>
      <c r="B6" s="47"/>
      <c r="C6" s="47">
        <f>+C7*1.4</f>
        <v>770000</v>
      </c>
      <c r="D6" s="47">
        <f t="shared" ref="D6:P6" si="1">+D7*1.4</f>
        <v>1330000</v>
      </c>
      <c r="E6" s="47">
        <f t="shared" si="1"/>
        <v>1889999.9999999998</v>
      </c>
      <c r="F6" s="48">
        <f t="shared" si="1"/>
        <v>2450000</v>
      </c>
      <c r="G6" s="47">
        <f t="shared" si="1"/>
        <v>3010000</v>
      </c>
      <c r="H6" s="47">
        <f t="shared" si="1"/>
        <v>3570000</v>
      </c>
      <c r="I6" s="49">
        <f t="shared" si="1"/>
        <v>4129999.9999999995</v>
      </c>
      <c r="J6" s="49">
        <f t="shared" si="1"/>
        <v>4690000</v>
      </c>
      <c r="K6" s="49">
        <f t="shared" si="1"/>
        <v>5250000</v>
      </c>
      <c r="L6" s="49">
        <f t="shared" si="1"/>
        <v>5810000</v>
      </c>
      <c r="M6" s="49">
        <f t="shared" si="1"/>
        <v>6370000</v>
      </c>
      <c r="N6" s="49">
        <f t="shared" si="1"/>
        <v>6930000</v>
      </c>
      <c r="O6" s="49">
        <f t="shared" si="1"/>
        <v>7489999.9999999991</v>
      </c>
      <c r="P6" s="49">
        <f t="shared" si="1"/>
        <v>8049999.9999999991</v>
      </c>
    </row>
    <row r="7" spans="1:16" x14ac:dyDescent="0.3">
      <c r="A7" s="46" t="s">
        <v>18</v>
      </c>
      <c r="B7" s="47"/>
      <c r="C7" s="47">
        <f>($A4/2)+B4+($P4/2)</f>
        <v>550000</v>
      </c>
      <c r="D7" s="47">
        <f>($A4/2)+C4+B4+($P4/2)</f>
        <v>950000</v>
      </c>
      <c r="E7" s="47">
        <f>($A4/2)+B4+D4+C4+($P4/2)</f>
        <v>1350000</v>
      </c>
      <c r="F7" s="48">
        <f>($A4/2)+B4+C4+E4+D4+($P4/2)</f>
        <v>1750000</v>
      </c>
      <c r="G7" s="47">
        <f>($A4/2)+B4+C4+D4+F4+E4+($P4/2)</f>
        <v>2150000</v>
      </c>
      <c r="H7" s="47">
        <f>($A4/2)+B4+C4+D4+E4+G4+F4+($P4/2)</f>
        <v>2550000</v>
      </c>
      <c r="I7" s="49">
        <f>($A4/2)+B4+C4+D4+E4+F4+H4+G4+($P4/2)</f>
        <v>2950000</v>
      </c>
      <c r="J7" s="47">
        <f>($A4/2)+B4+C4+D4+E4+F4+G4+I4+H4+($P4/2)</f>
        <v>3350000</v>
      </c>
      <c r="K7" s="47">
        <f>($A4/2)+B4+C4+D4+E4+F4+G4+H4+J4+I4+($P4/2)</f>
        <v>3750000</v>
      </c>
      <c r="L7" s="49">
        <f>($A4/2)+B4+C4+D4+E4+F4+G4+H4+I4+K4+J4+($P4/2)</f>
        <v>4150000</v>
      </c>
      <c r="M7" s="49">
        <f>($A4/2)+B4+C4+D4+E4+F4+G4+H4+I4+J4+L4+K4+($P4/2)</f>
        <v>4550000</v>
      </c>
      <c r="N7" s="47">
        <f>($A4/2)+B4+C4+D4+E4+F4+G4+H4+I4+J4+K4+M4+L4+($P4/2)</f>
        <v>4950000</v>
      </c>
      <c r="O7" s="47">
        <f>($A4/2)+B4+C4+D4+E4+F4+G4+H4+I4+J4+K4+L4+N4+M4+($P4/2)</f>
        <v>5350000</v>
      </c>
      <c r="P7" s="49">
        <f>($A4/2)+B4+C4+D4+E4+F4+G4+H4+I4+J4+K4+L4+M4+O4+N4+($P4/2)</f>
        <v>5750000</v>
      </c>
    </row>
    <row r="8" spans="1:16" x14ac:dyDescent="0.3">
      <c r="A8" s="46" t="s">
        <v>56</v>
      </c>
      <c r="B8" s="47"/>
      <c r="C8" s="47">
        <f>+C7</f>
        <v>550000</v>
      </c>
      <c r="D8" s="47">
        <f t="shared" ref="D8:P8" si="2">+D7</f>
        <v>950000</v>
      </c>
      <c r="E8" s="47">
        <f t="shared" si="2"/>
        <v>1350000</v>
      </c>
      <c r="F8" s="48">
        <f t="shared" si="2"/>
        <v>1750000</v>
      </c>
      <c r="G8" s="47">
        <f t="shared" si="2"/>
        <v>2150000</v>
      </c>
      <c r="H8" s="47">
        <f t="shared" si="2"/>
        <v>2550000</v>
      </c>
      <c r="I8" s="49">
        <f t="shared" si="2"/>
        <v>2950000</v>
      </c>
      <c r="J8" s="47">
        <f t="shared" si="2"/>
        <v>3350000</v>
      </c>
      <c r="K8" s="47">
        <f t="shared" si="2"/>
        <v>3750000</v>
      </c>
      <c r="L8" s="49">
        <f t="shared" si="2"/>
        <v>4150000</v>
      </c>
      <c r="M8" s="49">
        <f t="shared" si="2"/>
        <v>4550000</v>
      </c>
      <c r="N8" s="47">
        <f t="shared" si="2"/>
        <v>4950000</v>
      </c>
      <c r="O8" s="47">
        <f t="shared" si="2"/>
        <v>5350000</v>
      </c>
      <c r="P8" s="49">
        <f t="shared" si="2"/>
        <v>5750000</v>
      </c>
    </row>
    <row r="9" spans="1:16" x14ac:dyDescent="0.3">
      <c r="A9" s="1"/>
      <c r="B9" s="1"/>
      <c r="C9" s="1"/>
      <c r="D9" s="1"/>
      <c r="E9" s="1"/>
      <c r="F9" s="40">
        <f>+F7/'2024-2025'!F8-1</f>
        <v>9.375E-2</v>
      </c>
      <c r="G9" s="1"/>
      <c r="H9" s="1"/>
      <c r="I9" s="3"/>
    </row>
    <row r="10" spans="1:16" x14ac:dyDescent="0.3">
      <c r="A10" s="2" t="s">
        <v>0</v>
      </c>
      <c r="B10" s="2" t="s">
        <v>19</v>
      </c>
    </row>
    <row r="11" spans="1:16" x14ac:dyDescent="0.3">
      <c r="A11" s="41"/>
      <c r="B11" s="41"/>
      <c r="C11" s="41" t="s">
        <v>1</v>
      </c>
      <c r="D11" s="41" t="s">
        <v>2</v>
      </c>
      <c r="E11" s="41" t="s">
        <v>3</v>
      </c>
      <c r="F11" s="41" t="s">
        <v>4</v>
      </c>
      <c r="G11" s="41" t="s">
        <v>5</v>
      </c>
      <c r="H11" s="41" t="s">
        <v>6</v>
      </c>
      <c r="I11" s="41" t="s">
        <v>7</v>
      </c>
      <c r="J11" s="41" t="s">
        <v>49</v>
      </c>
      <c r="K11" s="41" t="s">
        <v>50</v>
      </c>
      <c r="L11" s="41" t="s">
        <v>51</v>
      </c>
      <c r="M11" s="41" t="s">
        <v>52</v>
      </c>
      <c r="N11" s="41" t="s">
        <v>53</v>
      </c>
      <c r="O11" s="41" t="s">
        <v>54</v>
      </c>
      <c r="P11" s="41" t="s">
        <v>55</v>
      </c>
    </row>
    <row r="12" spans="1:16" x14ac:dyDescent="0.3">
      <c r="A12" s="41" t="s">
        <v>39</v>
      </c>
      <c r="B12" s="50" t="s">
        <v>67</v>
      </c>
      <c r="C12" s="41" t="s">
        <v>41</v>
      </c>
      <c r="D12" s="41" t="s">
        <v>42</v>
      </c>
      <c r="E12" s="41" t="s">
        <v>43</v>
      </c>
      <c r="F12" s="41" t="s">
        <v>44</v>
      </c>
      <c r="G12" s="41" t="s">
        <v>45</v>
      </c>
      <c r="H12" s="41" t="s">
        <v>46</v>
      </c>
      <c r="I12" s="41" t="s">
        <v>47</v>
      </c>
      <c r="J12" s="41" t="s">
        <v>57</v>
      </c>
      <c r="K12" s="41" t="s">
        <v>58</v>
      </c>
      <c r="L12" s="41" t="s">
        <v>59</v>
      </c>
      <c r="M12" s="41" t="s">
        <v>60</v>
      </c>
      <c r="N12" s="41" t="s">
        <v>61</v>
      </c>
      <c r="O12" s="41" t="s">
        <v>62</v>
      </c>
      <c r="P12" s="41" t="s">
        <v>63</v>
      </c>
    </row>
    <row r="13" spans="1:16" x14ac:dyDescent="0.3">
      <c r="A13" s="51">
        <v>350</v>
      </c>
      <c r="B13" s="51">
        <v>1000</v>
      </c>
      <c r="C13" s="52">
        <v>900</v>
      </c>
      <c r="D13" s="52">
        <f>+C13</f>
        <v>900</v>
      </c>
      <c r="E13" s="52">
        <f t="shared" ref="E13:H13" si="3">+D13</f>
        <v>900</v>
      </c>
      <c r="F13" s="52">
        <f t="shared" si="3"/>
        <v>900</v>
      </c>
      <c r="G13" s="52">
        <f t="shared" si="3"/>
        <v>900</v>
      </c>
      <c r="H13" s="52">
        <f t="shared" si="3"/>
        <v>900</v>
      </c>
      <c r="I13" s="52">
        <f>+H13</f>
        <v>900</v>
      </c>
      <c r="J13" s="52">
        <f t="shared" ref="J13:O13" si="4">+I13</f>
        <v>900</v>
      </c>
      <c r="K13" s="52">
        <f t="shared" si="4"/>
        <v>900</v>
      </c>
      <c r="L13" s="52">
        <f t="shared" si="4"/>
        <v>900</v>
      </c>
      <c r="M13" s="52">
        <f t="shared" si="4"/>
        <v>900</v>
      </c>
      <c r="N13" s="52">
        <f t="shared" si="4"/>
        <v>900</v>
      </c>
      <c r="O13" s="52">
        <f t="shared" si="4"/>
        <v>900</v>
      </c>
      <c r="P13" s="52">
        <f>+A13</f>
        <v>350</v>
      </c>
    </row>
    <row r="14" spans="1:16" x14ac:dyDescent="0.3">
      <c r="A14" s="51"/>
      <c r="B14" s="51"/>
      <c r="C14" s="41" t="s">
        <v>1</v>
      </c>
      <c r="D14" s="41" t="s">
        <v>2</v>
      </c>
      <c r="E14" s="41" t="s">
        <v>3</v>
      </c>
      <c r="F14" s="56" t="s">
        <v>4</v>
      </c>
      <c r="G14" s="41" t="s">
        <v>5</v>
      </c>
      <c r="H14" s="41" t="s">
        <v>6</v>
      </c>
      <c r="I14" s="45" t="s">
        <v>7</v>
      </c>
      <c r="J14" s="41" t="s">
        <v>49</v>
      </c>
      <c r="K14" s="41" t="s">
        <v>50</v>
      </c>
      <c r="L14" s="56" t="s">
        <v>51</v>
      </c>
      <c r="M14" s="56" t="s">
        <v>52</v>
      </c>
      <c r="N14" s="41" t="s">
        <v>53</v>
      </c>
      <c r="O14" s="41" t="s">
        <v>54</v>
      </c>
      <c r="P14" s="56" t="s">
        <v>55</v>
      </c>
    </row>
    <row r="15" spans="1:16" x14ac:dyDescent="0.3">
      <c r="A15" s="46" t="s">
        <v>17</v>
      </c>
      <c r="B15" s="51"/>
      <c r="C15" s="51">
        <f>+C16*1.4</f>
        <v>1889.9999999999998</v>
      </c>
      <c r="D15" s="51">
        <f t="shared" ref="D15:P15" si="5">+D16*1.4</f>
        <v>3150</v>
      </c>
      <c r="E15" s="51">
        <f t="shared" si="5"/>
        <v>4410</v>
      </c>
      <c r="F15" s="52">
        <f t="shared" si="5"/>
        <v>5670</v>
      </c>
      <c r="G15" s="51">
        <f t="shared" si="5"/>
        <v>6930</v>
      </c>
      <c r="H15" s="51">
        <f t="shared" si="5"/>
        <v>8189.9999999999991</v>
      </c>
      <c r="I15" s="53">
        <f t="shared" si="5"/>
        <v>9450</v>
      </c>
      <c r="J15" s="52">
        <f t="shared" si="5"/>
        <v>10710</v>
      </c>
      <c r="K15" s="52">
        <f t="shared" si="5"/>
        <v>11970</v>
      </c>
      <c r="L15" s="52">
        <f t="shared" si="5"/>
        <v>13230</v>
      </c>
      <c r="M15" s="52">
        <f t="shared" si="5"/>
        <v>14489.999999999998</v>
      </c>
      <c r="N15" s="52">
        <f t="shared" si="5"/>
        <v>15749.999999999998</v>
      </c>
      <c r="O15" s="52">
        <f t="shared" si="5"/>
        <v>17010</v>
      </c>
      <c r="P15" s="52">
        <f t="shared" si="5"/>
        <v>18270</v>
      </c>
    </row>
    <row r="16" spans="1:16" x14ac:dyDescent="0.3">
      <c r="A16" s="46" t="s">
        <v>18</v>
      </c>
      <c r="B16" s="47"/>
      <c r="C16" s="51">
        <f>($A13/2)+B13+($P13/2)</f>
        <v>1350</v>
      </c>
      <c r="D16" s="51">
        <f>($A13/2)+C13+B13+($P13/2)</f>
        <v>2250</v>
      </c>
      <c r="E16" s="51">
        <f>($A13/2)+B13+D13+C13+($P13/2)</f>
        <v>3150</v>
      </c>
      <c r="F16" s="52">
        <f>($A13/2)+B13+C13+E13+D13+($P13/2)</f>
        <v>4050</v>
      </c>
      <c r="G16" s="51">
        <f>($A13/2)+B13+C13+D13+F13+E13+($P13/2)</f>
        <v>4950</v>
      </c>
      <c r="H16" s="51">
        <f>($A13/2)+B13+C13+D13+E13+G13+F13+($P13/2)</f>
        <v>5850</v>
      </c>
      <c r="I16" s="53">
        <f>($A13/2)+B13+C13+D13+E13+F13+H13+G13+($P13/2)</f>
        <v>6750</v>
      </c>
      <c r="J16" s="52">
        <f>($A13/2)+B13+C13+D13+E13+F13+G13+I13+H13+($P13/2)</f>
        <v>7650</v>
      </c>
      <c r="K16" s="52">
        <f>($A13/2)+B13+C13+D13+E13+F13+G13+H13+J13+I13+($P13/2)</f>
        <v>8550</v>
      </c>
      <c r="L16" s="52">
        <f>($A13/2)+B13+C13+D13+E13+F13+G13+H13+I13+K13+J13+($P13/2)</f>
        <v>9450</v>
      </c>
      <c r="M16" s="52">
        <f>($A13/2)+B13+C13+D13+E13+F13+G13+H13+I13+J13+L13+K13+($P13/2)</f>
        <v>10350</v>
      </c>
      <c r="N16" s="52">
        <f>($A13/2)+B13+C13+D13+E13+F13+G13+H13+I13+J13+K13+M13+L13+($P13/2)</f>
        <v>11250</v>
      </c>
      <c r="O16" s="52">
        <f>($A13/2)+B13+C13+D13+E13+F13+G13+H13+I13+J13+K13+L13+N13+M13+($P13/2)</f>
        <v>12150</v>
      </c>
      <c r="P16" s="52">
        <f>($A13/2)+B13+C13+D13+E13+F13+G13+H13+I13+J13+K13+L13+M13+O13+N13+($P13/2)</f>
        <v>13050</v>
      </c>
    </row>
    <row r="17" spans="1:16" x14ac:dyDescent="0.3">
      <c r="A17" s="46" t="s">
        <v>48</v>
      </c>
      <c r="B17" s="47"/>
      <c r="C17" s="51">
        <f>+C16*0.7</f>
        <v>944.99999999999989</v>
      </c>
      <c r="D17" s="51">
        <f t="shared" ref="D17:P17" si="6">+D16*0.7</f>
        <v>1575</v>
      </c>
      <c r="E17" s="51">
        <f t="shared" si="6"/>
        <v>2205</v>
      </c>
      <c r="F17" s="52">
        <f t="shared" si="6"/>
        <v>2835</v>
      </c>
      <c r="G17" s="51">
        <f t="shared" si="6"/>
        <v>3465</v>
      </c>
      <c r="H17" s="51">
        <f t="shared" si="6"/>
        <v>4094.9999999999995</v>
      </c>
      <c r="I17" s="53">
        <f t="shared" si="6"/>
        <v>4725</v>
      </c>
      <c r="J17" s="52">
        <f t="shared" si="6"/>
        <v>5355</v>
      </c>
      <c r="K17" s="52">
        <f t="shared" si="6"/>
        <v>5985</v>
      </c>
      <c r="L17" s="52">
        <f t="shared" si="6"/>
        <v>6615</v>
      </c>
      <c r="M17" s="52">
        <f t="shared" si="6"/>
        <v>7244.9999999999991</v>
      </c>
      <c r="N17" s="52">
        <f t="shared" si="6"/>
        <v>7874.9999999999991</v>
      </c>
      <c r="O17" s="52">
        <f t="shared" si="6"/>
        <v>8505</v>
      </c>
      <c r="P17" s="52">
        <f t="shared" si="6"/>
        <v>9135</v>
      </c>
    </row>
    <row r="18" spans="1:16" x14ac:dyDescent="0.3">
      <c r="A18" s="1"/>
      <c r="B18" s="1"/>
      <c r="C18" s="1"/>
      <c r="D18" s="1"/>
      <c r="E18" s="1"/>
      <c r="F18" s="3"/>
      <c r="G18" s="1"/>
      <c r="H18" s="1"/>
      <c r="I18" s="40">
        <f>+I16/'2024-2025'!I18-1</f>
        <v>0.10655737704918034</v>
      </c>
    </row>
    <row r="19" spans="1:16" x14ac:dyDescent="0.3">
      <c r="A19" s="2" t="s">
        <v>27</v>
      </c>
      <c r="C19" s="1"/>
      <c r="D19" s="1"/>
      <c r="E19" s="1"/>
      <c r="F19" s="3"/>
      <c r="G19" s="1"/>
      <c r="H19" s="1"/>
    </row>
    <row r="20" spans="1:16" x14ac:dyDescent="0.3">
      <c r="C20" s="15" t="s">
        <v>20</v>
      </c>
      <c r="D20" s="15" t="s">
        <v>19</v>
      </c>
      <c r="E20" s="1"/>
      <c r="F20" s="3"/>
      <c r="G20" s="1"/>
      <c r="H20" s="1"/>
    </row>
    <row r="21" spans="1:16" x14ac:dyDescent="0.3">
      <c r="A21" t="s">
        <v>21</v>
      </c>
      <c r="B21" s="54"/>
      <c r="C21" s="39">
        <v>350000</v>
      </c>
      <c r="D21" s="55">
        <v>390</v>
      </c>
      <c r="E21" s="40">
        <f>+C21/'2024-2025'!C23-1</f>
        <v>0.16666666666666674</v>
      </c>
      <c r="F21" s="55" t="s">
        <v>26</v>
      </c>
      <c r="G21" s="54"/>
      <c r="H21" s="54"/>
      <c r="I21" s="55"/>
    </row>
    <row r="22" spans="1:16" x14ac:dyDescent="0.3">
      <c r="A22" t="s">
        <v>24</v>
      </c>
      <c r="B22" s="54"/>
      <c r="C22" s="39">
        <v>500000</v>
      </c>
      <c r="D22" s="55">
        <v>550</v>
      </c>
      <c r="E22" s="40">
        <f>+C22/'2024-2025'!C24-1</f>
        <v>0.11111111111111116</v>
      </c>
      <c r="F22" s="55" t="s">
        <v>25</v>
      </c>
      <c r="G22" s="54"/>
      <c r="H22" s="54"/>
      <c r="I22" s="55"/>
    </row>
    <row r="23" spans="1:16" x14ac:dyDescent="0.3">
      <c r="A23" s="4"/>
      <c r="B23" s="4"/>
      <c r="C23" s="4"/>
      <c r="D23" s="4"/>
      <c r="E23" s="4"/>
      <c r="F23" s="5"/>
      <c r="G23" s="4"/>
      <c r="H23" s="4"/>
      <c r="I23" s="5"/>
    </row>
    <row r="24" spans="1:16" x14ac:dyDescent="0.3">
      <c r="A24" s="55" t="s">
        <v>30</v>
      </c>
      <c r="B24" s="54"/>
      <c r="C24" s="4"/>
      <c r="D24" s="4"/>
      <c r="E24" s="4"/>
      <c r="F24" s="5"/>
      <c r="G24" s="4"/>
      <c r="H24" s="4"/>
      <c r="I24" s="5"/>
    </row>
    <row r="25" spans="1:16" x14ac:dyDescent="0.3">
      <c r="A25" s="55" t="s">
        <v>23</v>
      </c>
      <c r="B25" s="54"/>
      <c r="C25" s="4"/>
      <c r="D25" s="4"/>
      <c r="E25" s="4"/>
      <c r="F25" s="5"/>
      <c r="G25" s="4"/>
      <c r="H25" s="4"/>
      <c r="I25" s="5"/>
    </row>
    <row r="26" spans="1:16" x14ac:dyDescent="0.3">
      <c r="A26" s="4"/>
      <c r="B26" s="4"/>
      <c r="C26" s="4"/>
      <c r="D26" s="4"/>
      <c r="E26" s="4"/>
      <c r="F26" s="5"/>
      <c r="G26" s="4"/>
      <c r="H26" s="4"/>
      <c r="I26" s="5"/>
    </row>
    <row r="27" spans="1:16" x14ac:dyDescent="0.3">
      <c r="A27" s="55" t="s">
        <v>31</v>
      </c>
      <c r="B27" s="55" t="s">
        <v>64</v>
      </c>
      <c r="C27" s="4"/>
      <c r="D27" s="4"/>
      <c r="E27" s="4"/>
      <c r="F27" s="5"/>
      <c r="G27" s="4"/>
      <c r="H27" s="4"/>
      <c r="I27" s="5"/>
    </row>
    <row r="28" spans="1:16" x14ac:dyDescent="0.3">
      <c r="A28" s="4"/>
      <c r="B28" s="4"/>
      <c r="C28" s="4"/>
      <c r="D28" s="4"/>
      <c r="E28" s="4"/>
      <c r="F28" s="5"/>
      <c r="G28" s="4"/>
      <c r="H28" s="4"/>
      <c r="I28" s="5"/>
    </row>
    <row r="29" spans="1:16" x14ac:dyDescent="0.3">
      <c r="C29" s="4"/>
      <c r="D29" s="4"/>
      <c r="E29" s="4"/>
      <c r="F29" s="5"/>
      <c r="G29" s="4"/>
      <c r="H29" s="4"/>
      <c r="I29" s="5"/>
    </row>
    <row r="30" spans="1:16" x14ac:dyDescent="0.3">
      <c r="C30" s="4"/>
      <c r="D30" s="4"/>
      <c r="E30" s="4"/>
      <c r="F30" s="5"/>
      <c r="G30" s="4"/>
      <c r="H30" s="4"/>
      <c r="I30" s="5"/>
    </row>
    <row r="40" spans="6:9" x14ac:dyDescent="0.3">
      <c r="F40"/>
      <c r="I40"/>
    </row>
    <row r="41" spans="6:9" x14ac:dyDescent="0.3">
      <c r="F41"/>
      <c r="I41"/>
    </row>
  </sheetData>
  <pageMargins left="0" right="0" top="0.74803149606299213" bottom="0.74803149606299213" header="0.31496062992125984" footer="0.31496062992125984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4855-5CA2-4478-A45F-2EAD5D6C39DE}">
  <dimension ref="A1:P43"/>
  <sheetViews>
    <sheetView topLeftCell="A13" workbookViewId="0">
      <selection activeCell="B30" sqref="B30"/>
    </sheetView>
  </sheetViews>
  <sheetFormatPr baseColWidth="10" defaultRowHeight="14.4" x14ac:dyDescent="0.3"/>
  <cols>
    <col min="1" max="1" width="17" bestFit="1" customWidth="1"/>
    <col min="2" max="2" width="17.21875" customWidth="1"/>
    <col min="3" max="5" width="12.5546875" bestFit="1" customWidth="1"/>
    <col min="6" max="6" width="12.5546875" style="2" bestFit="1" customWidth="1"/>
    <col min="7" max="8" width="12.5546875" bestFit="1" customWidth="1"/>
    <col min="9" max="9" width="12.5546875" style="2" bestFit="1" customWidth="1"/>
  </cols>
  <sheetData>
    <row r="1" spans="1:16" x14ac:dyDescent="0.3">
      <c r="A1" s="2" t="s">
        <v>0</v>
      </c>
      <c r="B1" s="2" t="s">
        <v>20</v>
      </c>
    </row>
    <row r="2" spans="1:16" x14ac:dyDescent="0.3">
      <c r="A2" s="7"/>
      <c r="B2" s="7"/>
    </row>
    <row r="3" spans="1:16" x14ac:dyDescent="0.3">
      <c r="A3" s="7" t="s">
        <v>8</v>
      </c>
      <c r="B3" s="9" t="s">
        <v>9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  <c r="J3" s="7" t="s">
        <v>57</v>
      </c>
      <c r="K3" s="7" t="s">
        <v>58</v>
      </c>
      <c r="L3" s="7" t="s">
        <v>59</v>
      </c>
      <c r="M3" s="7" t="s">
        <v>60</v>
      </c>
      <c r="N3" s="7" t="s">
        <v>61</v>
      </c>
      <c r="O3" s="7" t="s">
        <v>62</v>
      </c>
      <c r="P3" s="7" t="s">
        <v>63</v>
      </c>
    </row>
    <row r="4" spans="1:16" x14ac:dyDescent="0.3">
      <c r="A4" s="1">
        <v>200000</v>
      </c>
      <c r="B4" s="1">
        <v>275000</v>
      </c>
      <c r="C4" s="1">
        <v>375000</v>
      </c>
      <c r="D4" s="1">
        <f>+C4</f>
        <v>375000</v>
      </c>
      <c r="E4" s="35">
        <f t="shared" ref="E4:H4" si="0">+D4</f>
        <v>375000</v>
      </c>
      <c r="F4" s="35">
        <f t="shared" si="0"/>
        <v>375000</v>
      </c>
      <c r="G4" s="35">
        <f t="shared" si="0"/>
        <v>375000</v>
      </c>
      <c r="H4" s="35">
        <f t="shared" si="0"/>
        <v>375000</v>
      </c>
      <c r="I4" s="35">
        <f t="shared" ref="I4" si="1">+H4</f>
        <v>375000</v>
      </c>
      <c r="J4" s="35">
        <f t="shared" ref="J4" si="2">+I4</f>
        <v>375000</v>
      </c>
      <c r="K4" s="35">
        <f t="shared" ref="K4" si="3">+J4</f>
        <v>375000</v>
      </c>
      <c r="L4" s="35">
        <f t="shared" ref="L4" si="4">+K4</f>
        <v>375000</v>
      </c>
      <c r="M4" s="35">
        <f t="shared" ref="M4" si="5">+L4</f>
        <v>375000</v>
      </c>
      <c r="N4" s="35">
        <f t="shared" ref="N4" si="6">+M4</f>
        <v>375000</v>
      </c>
      <c r="O4" s="35">
        <f t="shared" ref="O4" si="7">+N4</f>
        <v>375000</v>
      </c>
      <c r="P4" s="35">
        <v>200000</v>
      </c>
    </row>
    <row r="5" spans="1:16" x14ac:dyDescent="0.3">
      <c r="B5" s="1"/>
      <c r="C5" s="1"/>
      <c r="D5" s="1"/>
      <c r="E5" s="1"/>
      <c r="F5" s="3"/>
      <c r="G5" s="1"/>
      <c r="H5" s="1"/>
      <c r="I5" s="3"/>
    </row>
    <row r="6" spans="1:16" x14ac:dyDescent="0.3">
      <c r="A6" s="1"/>
      <c r="B6" s="1"/>
      <c r="C6" s="7" t="s">
        <v>1</v>
      </c>
      <c r="D6" s="7" t="s">
        <v>2</v>
      </c>
      <c r="E6" s="7" t="s">
        <v>3</v>
      </c>
      <c r="F6" s="8" t="s">
        <v>4</v>
      </c>
      <c r="G6" s="7" t="s">
        <v>5</v>
      </c>
      <c r="H6" s="7" t="s">
        <v>6</v>
      </c>
      <c r="I6" s="8" t="s">
        <v>7</v>
      </c>
      <c r="J6" s="7" t="s">
        <v>49</v>
      </c>
      <c r="K6" s="7" t="s">
        <v>50</v>
      </c>
      <c r="L6" s="8" t="s">
        <v>51</v>
      </c>
      <c r="M6" s="7" t="s">
        <v>52</v>
      </c>
      <c r="N6" s="7" t="s">
        <v>53</v>
      </c>
      <c r="O6" s="7" t="s">
        <v>54</v>
      </c>
      <c r="P6" s="8" t="s">
        <v>55</v>
      </c>
    </row>
    <row r="7" spans="1:16" x14ac:dyDescent="0.3">
      <c r="A7" s="10" t="s">
        <v>17</v>
      </c>
      <c r="B7" s="11"/>
      <c r="C7" s="11">
        <f>+C8*1.4</f>
        <v>665000</v>
      </c>
      <c r="D7" s="11">
        <f t="shared" ref="D7:P7" si="8">+D8*1.4</f>
        <v>1190000</v>
      </c>
      <c r="E7" s="11">
        <f t="shared" si="8"/>
        <v>1715000</v>
      </c>
      <c r="F7" s="12">
        <f t="shared" si="8"/>
        <v>2240000</v>
      </c>
      <c r="G7" s="11">
        <f t="shared" si="8"/>
        <v>2765000</v>
      </c>
      <c r="H7" s="11">
        <f t="shared" si="8"/>
        <v>3290000</v>
      </c>
      <c r="I7" s="12">
        <f t="shared" si="8"/>
        <v>3814999.9999999995</v>
      </c>
      <c r="J7" s="34">
        <f t="shared" si="8"/>
        <v>4340000</v>
      </c>
      <c r="K7" s="34">
        <f t="shared" si="8"/>
        <v>4865000</v>
      </c>
      <c r="L7" s="12">
        <f t="shared" si="8"/>
        <v>5390000</v>
      </c>
      <c r="M7" s="34">
        <f t="shared" si="8"/>
        <v>5915000</v>
      </c>
      <c r="N7" s="34">
        <f t="shared" si="8"/>
        <v>6440000</v>
      </c>
      <c r="O7" s="34">
        <f t="shared" si="8"/>
        <v>6965000</v>
      </c>
      <c r="P7" s="12">
        <f t="shared" si="8"/>
        <v>7489999.9999999991</v>
      </c>
    </row>
    <row r="8" spans="1:16" x14ac:dyDescent="0.3">
      <c r="A8" s="10" t="s">
        <v>18</v>
      </c>
      <c r="B8" s="11"/>
      <c r="C8" s="11">
        <f>($A4/2)+B4+($P4/2)</f>
        <v>475000</v>
      </c>
      <c r="D8" s="11">
        <f>($A4/2)+C4+B4+($P4/2)</f>
        <v>850000</v>
      </c>
      <c r="E8" s="11">
        <f>($A4/2)+B4+D4+C4+($P4/2)</f>
        <v>1225000</v>
      </c>
      <c r="F8" s="12">
        <f>($A4/2)+B4+C4+E4+D4+($P4/2)</f>
        <v>1600000</v>
      </c>
      <c r="G8" s="11">
        <f>($A4/2)+B4+C4+D4+F4+E4+($P4/2)</f>
        <v>1975000</v>
      </c>
      <c r="H8" s="11">
        <f>($A4/2)+B4+C4+D4+E4+G4+F4+($P4/2)</f>
        <v>2350000</v>
      </c>
      <c r="I8" s="12">
        <f>($A4/2)+B4+C4+D4+E4+F4+H4+G4+($P4/2)</f>
        <v>2725000</v>
      </c>
      <c r="J8" s="11">
        <f>($A4/2)+B4+C4+D4+E4+F4+G4+I4+H4+($P4/2)</f>
        <v>3100000</v>
      </c>
      <c r="K8" s="11">
        <f>($A4/2)+B4+C4+D4+E4+F4+G4+H4+J4+I4+($P4/2)</f>
        <v>3475000</v>
      </c>
      <c r="L8" s="12">
        <f>($A4/2)+B4+C4+D4+E4+F4+G4+H4+I4+K4+J4+($P4/2)</f>
        <v>3850000</v>
      </c>
      <c r="M8" s="11">
        <f>($A4/2)+B4+C4+D4+E4+F4+G4+H4+I4+J4+L4+K4+($P4/2)</f>
        <v>4225000</v>
      </c>
      <c r="N8" s="11">
        <f>($A4/2)+B4+C4+D4+E4+F4+G4+H4+I4+J4+K4+M4+L4+($P4/2)</f>
        <v>4600000</v>
      </c>
      <c r="O8" s="11">
        <f>($A4/2)+B4+C4+D4+E4+F4+G4+H4+I4+J4+K4+L4+N4+M4+($P4/2)</f>
        <v>4975000</v>
      </c>
      <c r="P8" s="12">
        <f>($A4/2)+B4+C4+D4+E4+F4+G4+H4+I4+J4+K4+L4+M4+O4+N4+($P4/2)</f>
        <v>5350000</v>
      </c>
    </row>
    <row r="9" spans="1:16" x14ac:dyDescent="0.3">
      <c r="A9" s="10" t="s">
        <v>56</v>
      </c>
      <c r="B9" s="11"/>
      <c r="C9" s="11">
        <f>+C8</f>
        <v>475000</v>
      </c>
      <c r="D9" s="11">
        <f t="shared" ref="D9:P9" si="9">+D8</f>
        <v>850000</v>
      </c>
      <c r="E9" s="11">
        <f t="shared" si="9"/>
        <v>1225000</v>
      </c>
      <c r="F9" s="12">
        <f t="shared" si="9"/>
        <v>1600000</v>
      </c>
      <c r="G9" s="11">
        <f t="shared" si="9"/>
        <v>1975000</v>
      </c>
      <c r="H9" s="11">
        <f t="shared" si="9"/>
        <v>2350000</v>
      </c>
      <c r="I9" s="12">
        <f t="shared" si="9"/>
        <v>2725000</v>
      </c>
      <c r="J9" s="11">
        <f t="shared" si="9"/>
        <v>3100000</v>
      </c>
      <c r="K9" s="11">
        <f t="shared" si="9"/>
        <v>3475000</v>
      </c>
      <c r="L9" s="12">
        <f t="shared" si="9"/>
        <v>3850000</v>
      </c>
      <c r="M9" s="11">
        <f t="shared" si="9"/>
        <v>4225000</v>
      </c>
      <c r="N9" s="11">
        <f t="shared" si="9"/>
        <v>4600000</v>
      </c>
      <c r="O9" s="11">
        <f t="shared" si="9"/>
        <v>4975000</v>
      </c>
      <c r="P9" s="12">
        <f t="shared" si="9"/>
        <v>5350000</v>
      </c>
    </row>
    <row r="10" spans="1:16" x14ac:dyDescent="0.3">
      <c r="A10" s="1"/>
      <c r="B10" s="1"/>
      <c r="C10" s="1"/>
      <c r="D10" s="1"/>
      <c r="E10" s="1"/>
      <c r="F10" s="3"/>
      <c r="G10" s="1"/>
      <c r="H10" s="1"/>
      <c r="I10" s="3"/>
    </row>
    <row r="11" spans="1:16" x14ac:dyDescent="0.3">
      <c r="A11" s="2" t="s">
        <v>0</v>
      </c>
      <c r="B11" s="2" t="s">
        <v>19</v>
      </c>
    </row>
    <row r="12" spans="1:16" x14ac:dyDescent="0.3">
      <c r="A12" s="7"/>
      <c r="B12" s="7"/>
      <c r="C12" s="7" t="s">
        <v>1</v>
      </c>
      <c r="D12" s="7" t="s">
        <v>2</v>
      </c>
      <c r="E12" s="7" t="s">
        <v>3</v>
      </c>
      <c r="F12" s="7" t="s">
        <v>4</v>
      </c>
      <c r="G12" s="7" t="s">
        <v>5</v>
      </c>
      <c r="H12" s="7" t="s">
        <v>6</v>
      </c>
      <c r="I12" s="7" t="s">
        <v>7</v>
      </c>
      <c r="J12" s="7" t="s">
        <v>49</v>
      </c>
      <c r="K12" s="7" t="s">
        <v>50</v>
      </c>
      <c r="L12" s="7" t="s">
        <v>51</v>
      </c>
      <c r="M12" s="7" t="s">
        <v>52</v>
      </c>
      <c r="N12" s="7" t="s">
        <v>53</v>
      </c>
      <c r="O12" s="7" t="s">
        <v>54</v>
      </c>
      <c r="P12" s="7" t="s">
        <v>55</v>
      </c>
    </row>
    <row r="13" spans="1:16" x14ac:dyDescent="0.3">
      <c r="A13" s="7" t="s">
        <v>39</v>
      </c>
      <c r="B13" s="9" t="s">
        <v>40</v>
      </c>
      <c r="C13" s="7" t="s">
        <v>41</v>
      </c>
      <c r="D13" s="7" t="s">
        <v>42</v>
      </c>
      <c r="E13" s="7" t="s">
        <v>43</v>
      </c>
      <c r="F13" s="7" t="s">
        <v>44</v>
      </c>
      <c r="G13" s="7" t="s">
        <v>45</v>
      </c>
      <c r="H13" s="7" t="s">
        <v>46</v>
      </c>
      <c r="I13" s="7" t="s">
        <v>47</v>
      </c>
      <c r="J13" s="7" t="s">
        <v>57</v>
      </c>
      <c r="K13" s="7" t="s">
        <v>58</v>
      </c>
      <c r="L13" s="7" t="s">
        <v>59</v>
      </c>
      <c r="M13" s="7" t="s">
        <v>60</v>
      </c>
      <c r="N13" s="7" t="s">
        <v>61</v>
      </c>
      <c r="O13" s="7" t="s">
        <v>62</v>
      </c>
      <c r="P13" s="7" t="s">
        <v>63</v>
      </c>
    </row>
    <row r="14" spans="1:16" x14ac:dyDescent="0.3">
      <c r="A14" s="4">
        <v>250</v>
      </c>
      <c r="B14" s="4">
        <v>450</v>
      </c>
      <c r="C14" s="36">
        <v>900</v>
      </c>
      <c r="D14" s="36">
        <f>+C14</f>
        <v>900</v>
      </c>
      <c r="E14" s="36">
        <f t="shared" ref="E14:H14" si="10">+D14</f>
        <v>900</v>
      </c>
      <c r="F14" s="36">
        <f t="shared" si="10"/>
        <v>900</v>
      </c>
      <c r="G14" s="36">
        <f t="shared" si="10"/>
        <v>900</v>
      </c>
      <c r="H14" s="36">
        <f t="shared" si="10"/>
        <v>900</v>
      </c>
      <c r="I14" s="36">
        <f>+H14</f>
        <v>900</v>
      </c>
      <c r="J14" s="36">
        <f t="shared" ref="J14:O14" si="11">+I14</f>
        <v>900</v>
      </c>
      <c r="K14" s="36">
        <f t="shared" si="11"/>
        <v>900</v>
      </c>
      <c r="L14" s="36">
        <f t="shared" si="11"/>
        <v>900</v>
      </c>
      <c r="M14" s="36">
        <f t="shared" si="11"/>
        <v>900</v>
      </c>
      <c r="N14" s="36">
        <f t="shared" si="11"/>
        <v>900</v>
      </c>
      <c r="O14" s="36">
        <f t="shared" si="11"/>
        <v>900</v>
      </c>
      <c r="P14" s="4">
        <v>250</v>
      </c>
    </row>
    <row r="15" spans="1:16" x14ac:dyDescent="0.3">
      <c r="A15" s="6"/>
      <c r="B15" s="4"/>
      <c r="C15" s="4"/>
      <c r="D15" s="4"/>
      <c r="E15" s="4"/>
      <c r="F15" s="5"/>
      <c r="G15" s="4"/>
      <c r="H15" s="4"/>
      <c r="I15" s="5"/>
    </row>
    <row r="16" spans="1:16" x14ac:dyDescent="0.3">
      <c r="A16" s="4"/>
      <c r="B16" s="4"/>
      <c r="C16" s="7" t="s">
        <v>1</v>
      </c>
      <c r="D16" s="7" t="s">
        <v>2</v>
      </c>
      <c r="E16" s="7" t="s">
        <v>3</v>
      </c>
      <c r="F16" s="8" t="s">
        <v>4</v>
      </c>
      <c r="G16" s="7" t="s">
        <v>5</v>
      </c>
      <c r="H16" s="7" t="s">
        <v>6</v>
      </c>
      <c r="I16" s="8" t="s">
        <v>7</v>
      </c>
      <c r="J16" s="7" t="s">
        <v>49</v>
      </c>
      <c r="K16" s="7" t="s">
        <v>50</v>
      </c>
      <c r="L16" s="8" t="s">
        <v>51</v>
      </c>
      <c r="M16" s="7" t="s">
        <v>52</v>
      </c>
      <c r="N16" s="7" t="s">
        <v>53</v>
      </c>
      <c r="O16" s="7" t="s">
        <v>54</v>
      </c>
      <c r="P16" s="8" t="s">
        <v>55</v>
      </c>
    </row>
    <row r="17" spans="1:16" x14ac:dyDescent="0.3">
      <c r="A17" s="10" t="s">
        <v>17</v>
      </c>
      <c r="B17" s="13"/>
      <c r="C17" s="13">
        <f>+C18*1.4</f>
        <v>979.99999999999989</v>
      </c>
      <c r="D17" s="13">
        <f t="shared" ref="D17:P17" si="12">+D18*1.4</f>
        <v>2240</v>
      </c>
      <c r="E17" s="13">
        <f t="shared" si="12"/>
        <v>3500</v>
      </c>
      <c r="F17" s="14">
        <f t="shared" si="12"/>
        <v>4760</v>
      </c>
      <c r="G17" s="13">
        <f t="shared" si="12"/>
        <v>6020</v>
      </c>
      <c r="H17" s="13">
        <f t="shared" si="12"/>
        <v>7279.9999999999991</v>
      </c>
      <c r="I17" s="14">
        <f t="shared" si="12"/>
        <v>8540</v>
      </c>
      <c r="J17" s="37">
        <f t="shared" si="12"/>
        <v>9800</v>
      </c>
      <c r="K17" s="37">
        <f t="shared" si="12"/>
        <v>11060</v>
      </c>
      <c r="L17" s="14">
        <f t="shared" si="12"/>
        <v>12320</v>
      </c>
      <c r="M17" s="37">
        <f t="shared" si="12"/>
        <v>13580</v>
      </c>
      <c r="N17" s="37">
        <f t="shared" si="12"/>
        <v>14839.999999999998</v>
      </c>
      <c r="O17" s="37">
        <f t="shared" si="12"/>
        <v>16099.999999999998</v>
      </c>
      <c r="P17" s="14">
        <f t="shared" si="12"/>
        <v>17360</v>
      </c>
    </row>
    <row r="18" spans="1:16" x14ac:dyDescent="0.3">
      <c r="A18" s="10" t="s">
        <v>18</v>
      </c>
      <c r="B18" s="11"/>
      <c r="C18" s="13">
        <f>($A14/2)+B14+($P14/2)</f>
        <v>700</v>
      </c>
      <c r="D18" s="13">
        <f>($A14/2)+C14+B14+($P14/2)</f>
        <v>1600</v>
      </c>
      <c r="E18" s="13">
        <f>($A14/2)+B14+D14+C14+($P14/2)</f>
        <v>2500</v>
      </c>
      <c r="F18" s="14">
        <f>($A14/2)+B14+C14+E14+D14+($P14/2)</f>
        <v>3400</v>
      </c>
      <c r="G18" s="13">
        <f>($A14/2)+B14+C14+D14+F14+E14+($P14/2)</f>
        <v>4300</v>
      </c>
      <c r="H18" s="13">
        <f>($A14/2)+B14+C14+D14+E14+G14+F14+($P14/2)</f>
        <v>5200</v>
      </c>
      <c r="I18" s="14">
        <f>($A14/2)+B14+C14+D14+E14+F14+H14+G14+($P14/2)</f>
        <v>6100</v>
      </c>
      <c r="J18" s="37">
        <f>($A14/2)+B14+C14+D14+E14+F14+G14+I14+H14+($P14/2)</f>
        <v>7000</v>
      </c>
      <c r="K18" s="37">
        <f>($A14/2)+B14+C14+D14+E14+F14+G14+H14+J14+I14+($P14/2)</f>
        <v>7900</v>
      </c>
      <c r="L18" s="14">
        <f>($A14/2)+B14+C14+D14+E14+F14+G14+H14+I14+K14+J14+($P14/2)</f>
        <v>8800</v>
      </c>
      <c r="M18" s="37">
        <f>($A14/2)+B14+C14+D14+E14+F14+G14+H14+I14+J14+L14+K14+($P14/2)</f>
        <v>9700</v>
      </c>
      <c r="N18" s="37">
        <f>($A14/2)+B14+C14+D14+E14+F14+G14+H14+I14+J14+K14+M14+L14+($P14/2)</f>
        <v>10600</v>
      </c>
      <c r="O18" s="37">
        <f>($A14/2)+B14+C14+D14+E14+F14+G14+H14+I14+J14+K14+L14+N14+M14+($P14/2)</f>
        <v>11500</v>
      </c>
      <c r="P18" s="14">
        <f>($A14/2)+B14+C14+D14+E14+F14+G14+H14+I14+J14+K14+L14+M14+O14+N14+($P14/2)</f>
        <v>12400</v>
      </c>
    </row>
    <row r="19" spans="1:16" x14ac:dyDescent="0.3">
      <c r="A19" s="10" t="s">
        <v>48</v>
      </c>
      <c r="B19" s="11"/>
      <c r="C19" s="13">
        <f>+C18*0.7</f>
        <v>489.99999999999994</v>
      </c>
      <c r="D19" s="13">
        <f t="shared" ref="D19:P19" si="13">+D18*0.7</f>
        <v>1120</v>
      </c>
      <c r="E19" s="13">
        <f t="shared" si="13"/>
        <v>1750</v>
      </c>
      <c r="F19" s="14">
        <f t="shared" si="13"/>
        <v>2380</v>
      </c>
      <c r="G19" s="13">
        <f t="shared" si="13"/>
        <v>3010</v>
      </c>
      <c r="H19" s="13">
        <f t="shared" si="13"/>
        <v>3639.9999999999995</v>
      </c>
      <c r="I19" s="14">
        <f t="shared" si="13"/>
        <v>4270</v>
      </c>
      <c r="J19" s="37">
        <f t="shared" si="13"/>
        <v>4900</v>
      </c>
      <c r="K19" s="37">
        <f t="shared" si="13"/>
        <v>5530</v>
      </c>
      <c r="L19" s="14">
        <f t="shared" si="13"/>
        <v>6160</v>
      </c>
      <c r="M19" s="37">
        <f t="shared" si="13"/>
        <v>6790</v>
      </c>
      <c r="N19" s="37">
        <f t="shared" si="13"/>
        <v>7419.9999999999991</v>
      </c>
      <c r="O19" s="37">
        <f t="shared" si="13"/>
        <v>8049.9999999999991</v>
      </c>
      <c r="P19" s="14">
        <f t="shared" si="13"/>
        <v>8680</v>
      </c>
    </row>
    <row r="20" spans="1:16" x14ac:dyDescent="0.3">
      <c r="A20" s="1"/>
      <c r="B20" s="1"/>
      <c r="C20" s="1"/>
      <c r="D20" s="1"/>
      <c r="E20" s="1"/>
      <c r="F20" s="3"/>
      <c r="G20" s="1"/>
      <c r="H20" s="1"/>
    </row>
    <row r="21" spans="1:16" x14ac:dyDescent="0.3">
      <c r="A21" s="2" t="s">
        <v>27</v>
      </c>
      <c r="C21" s="1"/>
      <c r="D21" s="1"/>
      <c r="E21" s="1"/>
      <c r="F21" s="3"/>
      <c r="G21" s="1"/>
      <c r="H21" s="1"/>
    </row>
    <row r="22" spans="1:16" x14ac:dyDescent="0.3">
      <c r="C22" s="15" t="s">
        <v>20</v>
      </c>
      <c r="D22" s="15" t="s">
        <v>19</v>
      </c>
      <c r="E22" s="1"/>
      <c r="F22" s="3"/>
      <c r="G22" s="1"/>
      <c r="H22" s="1"/>
    </row>
    <row r="23" spans="1:16" x14ac:dyDescent="0.3">
      <c r="A23" s="10" t="s">
        <v>21</v>
      </c>
      <c r="B23" s="13"/>
      <c r="C23" s="12">
        <v>300000</v>
      </c>
      <c r="D23" s="14">
        <v>330</v>
      </c>
      <c r="E23" s="1"/>
      <c r="F23" s="5" t="s">
        <v>26</v>
      </c>
      <c r="G23" s="4"/>
      <c r="H23" s="4"/>
      <c r="I23" s="5"/>
    </row>
    <row r="24" spans="1:16" x14ac:dyDescent="0.3">
      <c r="A24" s="10" t="s">
        <v>24</v>
      </c>
      <c r="B24" s="13"/>
      <c r="C24" s="12">
        <v>450000</v>
      </c>
      <c r="D24" s="14">
        <v>500</v>
      </c>
      <c r="E24" s="1"/>
      <c r="F24" s="5" t="s">
        <v>25</v>
      </c>
      <c r="G24" s="4"/>
      <c r="H24" s="4"/>
      <c r="I24" s="5"/>
    </row>
    <row r="25" spans="1:16" x14ac:dyDescent="0.3">
      <c r="A25" s="4"/>
      <c r="B25" s="4"/>
      <c r="C25" s="4"/>
      <c r="D25" s="4"/>
      <c r="E25" s="4"/>
      <c r="F25" s="5"/>
      <c r="G25" s="4"/>
      <c r="H25" s="4"/>
      <c r="I25" s="5"/>
    </row>
    <row r="26" spans="1:16" x14ac:dyDescent="0.3">
      <c r="A26" s="14" t="s">
        <v>30</v>
      </c>
      <c r="B26" s="13"/>
      <c r="C26" s="4"/>
      <c r="D26" s="4"/>
      <c r="E26" s="4"/>
      <c r="F26" s="5"/>
      <c r="G26" s="4"/>
      <c r="H26" s="4"/>
      <c r="I26" s="5"/>
    </row>
    <row r="27" spans="1:16" x14ac:dyDescent="0.3">
      <c r="A27" s="14" t="s">
        <v>23</v>
      </c>
      <c r="B27" s="13"/>
      <c r="C27" s="4"/>
      <c r="D27" s="4"/>
      <c r="E27" s="4"/>
      <c r="F27" s="5"/>
      <c r="G27" s="4"/>
      <c r="H27" s="4"/>
      <c r="I27" s="5"/>
    </row>
    <row r="28" spans="1:16" x14ac:dyDescent="0.3">
      <c r="A28" s="4"/>
      <c r="B28" s="4"/>
      <c r="C28" s="4"/>
      <c r="D28" s="4"/>
      <c r="E28" s="4"/>
      <c r="F28" s="5"/>
      <c r="G28" s="4"/>
      <c r="H28" s="4"/>
      <c r="I28" s="5"/>
    </row>
    <row r="29" spans="1:16" x14ac:dyDescent="0.3">
      <c r="A29" s="14" t="s">
        <v>31</v>
      </c>
      <c r="B29" s="14" t="s">
        <v>64</v>
      </c>
      <c r="C29" s="4"/>
      <c r="D29" s="4"/>
      <c r="E29" s="4"/>
      <c r="F29" s="5"/>
      <c r="G29" s="4"/>
      <c r="H29" s="4"/>
      <c r="I29" s="5"/>
    </row>
    <row r="30" spans="1:16" x14ac:dyDescent="0.3">
      <c r="A30" s="4"/>
      <c r="B30" s="4"/>
      <c r="C30" s="4"/>
      <c r="D30" s="4"/>
      <c r="E30" s="4"/>
      <c r="F30" s="5"/>
      <c r="G30" s="4"/>
      <c r="H30" s="4"/>
      <c r="I30" s="5"/>
    </row>
    <row r="31" spans="1:16" x14ac:dyDescent="0.3">
      <c r="C31" s="4"/>
      <c r="D31" s="4"/>
      <c r="E31" s="4"/>
      <c r="F31" s="5"/>
      <c r="G31" s="4"/>
      <c r="H31" s="4"/>
      <c r="I31" s="5"/>
    </row>
    <row r="32" spans="1:16" x14ac:dyDescent="0.3">
      <c r="C32" s="4"/>
      <c r="D32" s="4"/>
      <c r="E32" s="4"/>
      <c r="F32" s="5"/>
      <c r="G32" s="4"/>
      <c r="H32" s="4"/>
      <c r="I32" s="5"/>
    </row>
    <row r="42" spans="6:9" x14ac:dyDescent="0.3">
      <c r="F42"/>
      <c r="I42"/>
    </row>
    <row r="43" spans="6:9" x14ac:dyDescent="0.3">
      <c r="F43"/>
      <c r="I43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workbookViewId="0">
      <selection activeCell="C13" sqref="C13:I13"/>
    </sheetView>
  </sheetViews>
  <sheetFormatPr baseColWidth="10" defaultRowHeight="14.4" x14ac:dyDescent="0.3"/>
  <cols>
    <col min="1" max="1" width="17" bestFit="1" customWidth="1"/>
    <col min="2" max="2" width="17.21875" customWidth="1"/>
    <col min="3" max="5" width="12.5546875" bestFit="1" customWidth="1"/>
    <col min="6" max="6" width="12.5546875" style="2" bestFit="1" customWidth="1"/>
    <col min="7" max="8" width="12.5546875" bestFit="1" customWidth="1"/>
    <col min="9" max="9" width="12.5546875" style="2" bestFit="1" customWidth="1"/>
  </cols>
  <sheetData>
    <row r="1" spans="1:10" x14ac:dyDescent="0.3">
      <c r="A1" s="2" t="s">
        <v>0</v>
      </c>
      <c r="B1" s="2" t="s">
        <v>20</v>
      </c>
    </row>
    <row r="2" spans="1:10" x14ac:dyDescent="0.3">
      <c r="A2" s="7"/>
      <c r="B2" s="7"/>
      <c r="C2" s="7" t="s">
        <v>1</v>
      </c>
      <c r="D2" s="7" t="s">
        <v>2</v>
      </c>
      <c r="E2" s="7" t="s">
        <v>3</v>
      </c>
      <c r="F2" s="8" t="s">
        <v>4</v>
      </c>
      <c r="G2" s="7" t="s">
        <v>5</v>
      </c>
      <c r="H2" s="7" t="s">
        <v>6</v>
      </c>
      <c r="I2" s="8" t="s">
        <v>7</v>
      </c>
    </row>
    <row r="3" spans="1:10" x14ac:dyDescent="0.3">
      <c r="A3" s="7" t="s">
        <v>8</v>
      </c>
      <c r="B3" s="9" t="s">
        <v>9</v>
      </c>
      <c r="C3" s="7" t="s">
        <v>10</v>
      </c>
      <c r="D3" s="7" t="s">
        <v>11</v>
      </c>
      <c r="E3" s="7" t="s">
        <v>12</v>
      </c>
      <c r="F3" s="8" t="s">
        <v>13</v>
      </c>
      <c r="G3" s="7" t="s">
        <v>14</v>
      </c>
      <c r="H3" s="7" t="s">
        <v>15</v>
      </c>
      <c r="I3" s="8" t="s">
        <v>16</v>
      </c>
    </row>
    <row r="4" spans="1:10" x14ac:dyDescent="0.3">
      <c r="A4" s="1">
        <v>200000</v>
      </c>
      <c r="B4" s="1">
        <v>250000</v>
      </c>
      <c r="C4" s="1">
        <v>350000</v>
      </c>
      <c r="D4" s="1">
        <f>+C4</f>
        <v>350000</v>
      </c>
      <c r="E4" s="1">
        <f t="shared" ref="E4:H4" si="0">+D4</f>
        <v>350000</v>
      </c>
      <c r="F4" s="3">
        <f t="shared" si="0"/>
        <v>350000</v>
      </c>
      <c r="G4" s="1">
        <f t="shared" si="0"/>
        <v>350000</v>
      </c>
      <c r="H4" s="1">
        <f t="shared" si="0"/>
        <v>350000</v>
      </c>
      <c r="I4" s="3">
        <f>+A4</f>
        <v>200000</v>
      </c>
    </row>
    <row r="5" spans="1:10" x14ac:dyDescent="0.3">
      <c r="B5" s="1"/>
      <c r="C5" s="1"/>
      <c r="D5" s="1"/>
      <c r="E5" s="1"/>
      <c r="F5" s="3"/>
      <c r="G5" s="1"/>
      <c r="H5" s="1"/>
      <c r="I5" s="3"/>
    </row>
    <row r="6" spans="1:10" x14ac:dyDescent="0.3">
      <c r="A6" s="1"/>
      <c r="B6" s="1"/>
      <c r="C6" s="1"/>
      <c r="D6" s="1"/>
      <c r="E6" s="1"/>
      <c r="F6" s="3"/>
      <c r="G6" s="1"/>
      <c r="H6" s="1"/>
      <c r="I6" s="3"/>
    </row>
    <row r="7" spans="1:10" x14ac:dyDescent="0.3">
      <c r="A7" s="10" t="s">
        <v>17</v>
      </c>
      <c r="B7" s="11"/>
      <c r="C7" s="11">
        <f>+C8*1.4</f>
        <v>630000</v>
      </c>
      <c r="D7" s="11">
        <f t="shared" ref="D7:I7" si="1">+D8*1.4</f>
        <v>1120000</v>
      </c>
      <c r="E7" s="11">
        <f t="shared" si="1"/>
        <v>1610000</v>
      </c>
      <c r="F7" s="12">
        <f t="shared" si="1"/>
        <v>2100000</v>
      </c>
      <c r="G7" s="11">
        <f t="shared" si="1"/>
        <v>2590000</v>
      </c>
      <c r="H7" s="11">
        <f t="shared" si="1"/>
        <v>3080000</v>
      </c>
      <c r="I7" s="12">
        <f t="shared" si="1"/>
        <v>3570000</v>
      </c>
    </row>
    <row r="8" spans="1:10" x14ac:dyDescent="0.3">
      <c r="A8" s="10" t="s">
        <v>18</v>
      </c>
      <c r="B8" s="11"/>
      <c r="C8" s="11">
        <f>(A4/2)+B4+(I4/2)</f>
        <v>450000</v>
      </c>
      <c r="D8" s="11">
        <f>(A4/2)+C4+B4+(I4/2)</f>
        <v>800000</v>
      </c>
      <c r="E8" s="11">
        <f>(A4/2)+B4+D4+C4+(I4/2)</f>
        <v>1150000</v>
      </c>
      <c r="F8" s="12">
        <f>(A4/2)+B4+D4+C4+E4+(I4/2)</f>
        <v>1500000</v>
      </c>
      <c r="G8" s="11">
        <f>(A4/2)+B4+C4+D4+E4+F4+(I4/2)</f>
        <v>1850000</v>
      </c>
      <c r="H8" s="11">
        <f>(A4/2)+B4+C4+D4+E4+F4+G4+(I4/2)</f>
        <v>2200000</v>
      </c>
      <c r="I8" s="12">
        <f>(A4/2)+B4+C4+D4+E4+F4+G4+H4+(I4/2)</f>
        <v>2550000</v>
      </c>
      <c r="J8" s="1"/>
    </row>
    <row r="9" spans="1:10" x14ac:dyDescent="0.3">
      <c r="A9" s="1"/>
      <c r="B9" s="1"/>
      <c r="C9" s="1"/>
      <c r="D9" s="1"/>
      <c r="E9" s="1"/>
      <c r="F9" s="3"/>
      <c r="G9" s="1"/>
      <c r="H9" s="1"/>
      <c r="I9" s="3"/>
    </row>
    <row r="10" spans="1:10" x14ac:dyDescent="0.3">
      <c r="A10" s="2" t="s">
        <v>0</v>
      </c>
      <c r="B10" s="2" t="s">
        <v>19</v>
      </c>
    </row>
    <row r="11" spans="1:10" x14ac:dyDescent="0.3">
      <c r="A11" s="7"/>
      <c r="B11" s="7"/>
      <c r="C11" s="7" t="s">
        <v>1</v>
      </c>
      <c r="D11" s="7" t="s">
        <v>2</v>
      </c>
      <c r="E11" s="7" t="s">
        <v>3</v>
      </c>
      <c r="F11" s="8" t="s">
        <v>4</v>
      </c>
      <c r="G11" s="7" t="s">
        <v>5</v>
      </c>
      <c r="H11" s="7" t="s">
        <v>6</v>
      </c>
      <c r="I11" s="8" t="s">
        <v>7</v>
      </c>
    </row>
    <row r="12" spans="1:10" x14ac:dyDescent="0.3">
      <c r="A12" s="7" t="s">
        <v>8</v>
      </c>
      <c r="B12" s="9" t="s">
        <v>9</v>
      </c>
      <c r="C12" s="7" t="s">
        <v>10</v>
      </c>
      <c r="D12" s="7" t="s">
        <v>11</v>
      </c>
      <c r="E12" s="7" t="s">
        <v>12</v>
      </c>
      <c r="F12" s="8" t="s">
        <v>13</v>
      </c>
      <c r="G12" s="7" t="s">
        <v>14</v>
      </c>
      <c r="H12" s="7" t="s">
        <v>15</v>
      </c>
      <c r="I12" s="8" t="s">
        <v>16</v>
      </c>
    </row>
    <row r="13" spans="1:10" x14ac:dyDescent="0.3">
      <c r="A13" s="4">
        <v>250</v>
      </c>
      <c r="B13" s="4">
        <v>450</v>
      </c>
      <c r="C13" s="4">
        <v>750</v>
      </c>
      <c r="D13" s="4">
        <f>+C13</f>
        <v>750</v>
      </c>
      <c r="E13" s="4">
        <f t="shared" ref="E13:H13" si="2">+D13</f>
        <v>750</v>
      </c>
      <c r="F13" s="5">
        <f t="shared" si="2"/>
        <v>750</v>
      </c>
      <c r="G13" s="4">
        <f t="shared" si="2"/>
        <v>750</v>
      </c>
      <c r="H13" s="4">
        <f t="shared" si="2"/>
        <v>750</v>
      </c>
      <c r="I13" s="5">
        <f>+A13</f>
        <v>250</v>
      </c>
    </row>
    <row r="14" spans="1:10" x14ac:dyDescent="0.3">
      <c r="A14" s="6"/>
      <c r="B14" s="4"/>
      <c r="C14" s="4"/>
      <c r="D14" s="4"/>
      <c r="E14" s="4"/>
      <c r="F14" s="5"/>
      <c r="G14" s="4"/>
      <c r="H14" s="4"/>
      <c r="I14" s="5"/>
    </row>
    <row r="15" spans="1:10" x14ac:dyDescent="0.3">
      <c r="A15" s="4"/>
      <c r="B15" s="4"/>
      <c r="C15" s="4"/>
      <c r="D15" s="4"/>
      <c r="E15" s="4"/>
      <c r="F15" s="5"/>
      <c r="G15" s="4"/>
      <c r="H15" s="4"/>
      <c r="I15" s="5"/>
    </row>
    <row r="16" spans="1:10" x14ac:dyDescent="0.3">
      <c r="A16" s="10" t="s">
        <v>17</v>
      </c>
      <c r="B16" s="13"/>
      <c r="C16" s="13">
        <f>+C17*1.4</f>
        <v>979.99999999999989</v>
      </c>
      <c r="D16" s="13">
        <f t="shared" ref="D16:I16" si="3">+D17*1.4</f>
        <v>2029.9999999999998</v>
      </c>
      <c r="E16" s="13">
        <f t="shared" si="3"/>
        <v>3080</v>
      </c>
      <c r="F16" s="14">
        <f t="shared" si="3"/>
        <v>4130</v>
      </c>
      <c r="G16" s="13">
        <f t="shared" si="3"/>
        <v>5180</v>
      </c>
      <c r="H16" s="13">
        <f t="shared" si="3"/>
        <v>6230</v>
      </c>
      <c r="I16" s="14">
        <f t="shared" si="3"/>
        <v>7279.9999999999991</v>
      </c>
    </row>
    <row r="17" spans="1:9" x14ac:dyDescent="0.3">
      <c r="A17" s="10" t="s">
        <v>18</v>
      </c>
      <c r="B17" s="13"/>
      <c r="C17" s="13">
        <f>(A13/2)+B13+(I13/2)</f>
        <v>700</v>
      </c>
      <c r="D17" s="13">
        <f>(A13/2)+C13+B13+(I13/2)</f>
        <v>1450</v>
      </c>
      <c r="E17" s="13">
        <f>(A13/2)+B13+D13+C13+(I13/2)</f>
        <v>2200</v>
      </c>
      <c r="F17" s="14">
        <f>(A13/2)+B13+D13+C13+E13+(I13/2)</f>
        <v>2950</v>
      </c>
      <c r="G17" s="13">
        <f>(A13/2)+B13+C13+D13+E13+F13+(I13/2)</f>
        <v>3700</v>
      </c>
      <c r="H17" s="13">
        <f>(A13/2)+B13+C13+D13+E13+F13+G13+(I13/2)</f>
        <v>4450</v>
      </c>
      <c r="I17" s="14">
        <f>(A13/2)+B13+C13+D13+E13+F13+G13+H13+(I13/2)</f>
        <v>5200</v>
      </c>
    </row>
    <row r="18" spans="1:9" x14ac:dyDescent="0.3">
      <c r="B18" s="4"/>
      <c r="C18" s="4"/>
      <c r="D18" s="4"/>
      <c r="E18" s="4"/>
      <c r="F18" s="5"/>
      <c r="G18" s="4"/>
      <c r="H18" s="4"/>
      <c r="I18" s="5"/>
    </row>
    <row r="19" spans="1:9" x14ac:dyDescent="0.3">
      <c r="A19" s="1"/>
      <c r="B19" s="1"/>
      <c r="C19" s="1"/>
      <c r="D19" s="1"/>
      <c r="E19" s="1"/>
      <c r="F19" s="3"/>
      <c r="G19" s="1"/>
      <c r="H19" s="1"/>
    </row>
    <row r="20" spans="1:9" x14ac:dyDescent="0.3">
      <c r="A20" s="2" t="s">
        <v>27</v>
      </c>
      <c r="C20" s="1"/>
      <c r="D20" s="1"/>
      <c r="E20" s="1"/>
      <c r="F20" s="3"/>
      <c r="G20" s="1"/>
      <c r="H20" s="1"/>
    </row>
    <row r="21" spans="1:9" x14ac:dyDescent="0.3">
      <c r="C21" s="15" t="s">
        <v>20</v>
      </c>
      <c r="D21" s="15" t="s">
        <v>19</v>
      </c>
      <c r="E21" s="1"/>
      <c r="F21" s="3"/>
      <c r="G21" s="1"/>
      <c r="H21" s="1"/>
    </row>
    <row r="22" spans="1:9" x14ac:dyDescent="0.3">
      <c r="A22" s="10" t="s">
        <v>28</v>
      </c>
      <c r="B22" s="13"/>
      <c r="C22" s="12">
        <v>200000</v>
      </c>
      <c r="D22" s="14">
        <v>300</v>
      </c>
      <c r="E22" s="1"/>
      <c r="F22" s="5" t="s">
        <v>29</v>
      </c>
      <c r="G22" s="1"/>
      <c r="H22" s="1"/>
    </row>
    <row r="23" spans="1:9" x14ac:dyDescent="0.3">
      <c r="A23" s="10" t="s">
        <v>21</v>
      </c>
      <c r="B23" s="13"/>
      <c r="C23" s="12">
        <v>300000</v>
      </c>
      <c r="D23" s="14">
        <v>400</v>
      </c>
      <c r="E23" s="4"/>
      <c r="F23" s="5" t="s">
        <v>26</v>
      </c>
      <c r="G23" s="4"/>
      <c r="H23" s="4"/>
      <c r="I23" s="5"/>
    </row>
    <row r="24" spans="1:9" x14ac:dyDescent="0.3">
      <c r="A24" s="10" t="s">
        <v>24</v>
      </c>
      <c r="B24" s="13"/>
      <c r="C24" s="12">
        <v>450000</v>
      </c>
      <c r="D24" s="14">
        <v>600</v>
      </c>
      <c r="E24" s="4"/>
      <c r="F24" s="5" t="s">
        <v>25</v>
      </c>
      <c r="G24" s="4"/>
      <c r="H24" s="4"/>
      <c r="I24" s="5"/>
    </row>
    <row r="25" spans="1:9" x14ac:dyDescent="0.3">
      <c r="A25" s="4"/>
      <c r="B25" s="4"/>
      <c r="C25" s="4"/>
      <c r="D25" s="4"/>
      <c r="E25" s="4"/>
      <c r="F25" s="5"/>
      <c r="G25" s="4"/>
      <c r="H25" s="4"/>
      <c r="I25" s="5"/>
    </row>
    <row r="26" spans="1:9" x14ac:dyDescent="0.3">
      <c r="B26" s="4"/>
      <c r="C26" s="4"/>
      <c r="D26" s="4"/>
      <c r="E26" s="4"/>
      <c r="F26" s="5"/>
      <c r="G26" s="4"/>
      <c r="H26" s="4"/>
      <c r="I26" s="5"/>
    </row>
    <row r="27" spans="1:9" x14ac:dyDescent="0.3">
      <c r="A27" s="16" t="s">
        <v>22</v>
      </c>
      <c r="B27" s="17"/>
      <c r="C27" s="17" t="s">
        <v>34</v>
      </c>
      <c r="D27" s="4"/>
      <c r="E27" s="4"/>
      <c r="F27" s="5"/>
      <c r="G27" s="4"/>
      <c r="H27" s="4"/>
      <c r="I27" s="5"/>
    </row>
    <row r="28" spans="1:9" x14ac:dyDescent="0.3">
      <c r="A28" s="16" t="s">
        <v>30</v>
      </c>
      <c r="B28" s="17"/>
      <c r="C28" s="17" t="s">
        <v>35</v>
      </c>
      <c r="D28" s="4"/>
      <c r="E28" s="4"/>
      <c r="F28" s="5"/>
      <c r="G28" s="4"/>
      <c r="H28" s="4"/>
      <c r="I28" s="5"/>
    </row>
    <row r="29" spans="1:9" x14ac:dyDescent="0.3">
      <c r="A29" s="16" t="s">
        <v>23</v>
      </c>
      <c r="B29" s="17"/>
      <c r="C29" s="4"/>
      <c r="D29" s="4"/>
      <c r="E29" s="4"/>
      <c r="F29" s="5"/>
      <c r="G29" s="4"/>
      <c r="H29" s="4"/>
      <c r="I29" s="5"/>
    </row>
    <row r="30" spans="1:9" x14ac:dyDescent="0.3">
      <c r="A30" s="4"/>
      <c r="B30" s="4"/>
      <c r="C30" s="4"/>
      <c r="D30" s="4"/>
      <c r="E30" s="4"/>
      <c r="F30" s="5"/>
      <c r="G30" s="4"/>
      <c r="H30" s="4"/>
      <c r="I30" s="5"/>
    </row>
    <row r="31" spans="1:9" x14ac:dyDescent="0.3">
      <c r="A31" s="17" t="s">
        <v>31</v>
      </c>
      <c r="B31" s="17" t="s">
        <v>32</v>
      </c>
      <c r="C31" s="4"/>
      <c r="D31" s="4"/>
      <c r="E31" s="4"/>
      <c r="F31" s="5"/>
      <c r="G31" s="4"/>
      <c r="H31" s="4"/>
      <c r="I31" s="5"/>
    </row>
    <row r="32" spans="1:9" x14ac:dyDescent="0.3">
      <c r="A32" s="17"/>
      <c r="B32" s="17" t="s">
        <v>33</v>
      </c>
      <c r="C32" s="4"/>
      <c r="D32" s="4"/>
      <c r="E32" s="4"/>
      <c r="F32" s="5"/>
      <c r="G32" s="4"/>
      <c r="H32" s="4"/>
      <c r="I32" s="5"/>
    </row>
    <row r="42" spans="6:9" x14ac:dyDescent="0.3">
      <c r="F42"/>
      <c r="I42"/>
    </row>
    <row r="43" spans="6:9" x14ac:dyDescent="0.3">
      <c r="F43"/>
      <c r="I4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AA5B-2991-4647-B85B-C3312D222F51}">
  <dimension ref="A1:I41"/>
  <sheetViews>
    <sheetView workbookViewId="0">
      <selection activeCell="D2" sqref="D2"/>
    </sheetView>
  </sheetViews>
  <sheetFormatPr baseColWidth="10" defaultRowHeight="14.4" x14ac:dyDescent="0.3"/>
  <cols>
    <col min="1" max="1" width="29.77734375" style="18" customWidth="1"/>
    <col min="2" max="4" width="12.5546875" style="18" bestFit="1" customWidth="1"/>
    <col min="5" max="5" width="12.5546875" style="21" bestFit="1" customWidth="1"/>
    <col min="6" max="7" width="12.5546875" style="18" bestFit="1" customWidth="1"/>
    <col min="8" max="8" width="12.5546875" style="21" bestFit="1" customWidth="1"/>
    <col min="9" max="16384" width="11.5546875" style="18"/>
  </cols>
  <sheetData>
    <row r="1" spans="1:9" x14ac:dyDescent="0.3">
      <c r="B1" s="19"/>
      <c r="C1" s="19"/>
      <c r="D1" s="19"/>
      <c r="E1" s="20"/>
      <c r="F1" s="19"/>
      <c r="G1" s="19"/>
      <c r="H1" s="20"/>
    </row>
    <row r="2" spans="1:9" x14ac:dyDescent="0.3">
      <c r="B2" s="19"/>
      <c r="C2" s="19"/>
      <c r="D2" s="19"/>
      <c r="E2" s="20"/>
      <c r="F2" s="19"/>
      <c r="G2" s="19"/>
      <c r="H2" s="20"/>
    </row>
    <row r="3" spans="1:9" x14ac:dyDescent="0.3">
      <c r="B3" s="19"/>
      <c r="C3" s="19"/>
      <c r="D3" s="19"/>
      <c r="E3" s="20"/>
      <c r="F3" s="19"/>
      <c r="G3" s="19"/>
      <c r="H3" s="20"/>
    </row>
    <row r="4" spans="1:9" x14ac:dyDescent="0.3">
      <c r="B4" s="19"/>
      <c r="C4" s="19"/>
      <c r="D4" s="19"/>
      <c r="E4" s="20"/>
      <c r="F4" s="19"/>
      <c r="G4" s="19"/>
      <c r="H4" s="20"/>
    </row>
    <row r="5" spans="1:9" x14ac:dyDescent="0.3">
      <c r="B5" s="19"/>
      <c r="C5" s="19"/>
      <c r="D5" s="19"/>
      <c r="E5" s="20"/>
      <c r="F5" s="19"/>
      <c r="G5" s="19"/>
      <c r="H5" s="20"/>
    </row>
    <row r="6" spans="1:9" x14ac:dyDescent="0.3">
      <c r="A6" s="29" t="s">
        <v>37</v>
      </c>
      <c r="B6" s="30" t="s">
        <v>1</v>
      </c>
      <c r="C6" s="31" t="s">
        <v>2</v>
      </c>
      <c r="D6" s="31" t="s">
        <v>3</v>
      </c>
      <c r="E6" s="29" t="s">
        <v>4</v>
      </c>
      <c r="F6" s="31" t="s">
        <v>5</v>
      </c>
      <c r="G6" s="31" t="s">
        <v>6</v>
      </c>
      <c r="H6" s="29" t="s">
        <v>7</v>
      </c>
      <c r="I6" s="31" t="s">
        <v>65</v>
      </c>
    </row>
    <row r="7" spans="1:9" x14ac:dyDescent="0.3">
      <c r="A7" s="26" t="s">
        <v>17</v>
      </c>
      <c r="B7" s="27">
        <f>+'2024-2025'!C7</f>
        <v>665000</v>
      </c>
      <c r="C7" s="27">
        <f>+'2024-2025'!D7</f>
        <v>1190000</v>
      </c>
      <c r="D7" s="27">
        <f>+'2024-2025'!E7</f>
        <v>1715000</v>
      </c>
      <c r="E7" s="28">
        <f>+'2024-2025'!F7</f>
        <v>2240000</v>
      </c>
      <c r="F7" s="27">
        <f>+'2024-2025'!G7</f>
        <v>2765000</v>
      </c>
      <c r="G7" s="27">
        <f>+'2024-2025'!H7</f>
        <v>3290000</v>
      </c>
      <c r="H7" s="28">
        <f>+'2024-2025'!I7</f>
        <v>3814999.9999999995</v>
      </c>
      <c r="I7" s="38">
        <f>+E7/'2023-2024'!F7-1</f>
        <v>6.6666666666666652E-2</v>
      </c>
    </row>
    <row r="8" spans="1:9" x14ac:dyDescent="0.3">
      <c r="A8" s="26" t="s">
        <v>18</v>
      </c>
      <c r="B8" s="27">
        <f>+'2024-2025'!C8</f>
        <v>475000</v>
      </c>
      <c r="C8" s="27">
        <f>+'2024-2025'!D8</f>
        <v>850000</v>
      </c>
      <c r="D8" s="27">
        <f>+'2024-2025'!E8</f>
        <v>1225000</v>
      </c>
      <c r="E8" s="28">
        <f>+'2024-2025'!F8</f>
        <v>1600000</v>
      </c>
      <c r="F8" s="27">
        <f>+'2024-2025'!G8</f>
        <v>1975000</v>
      </c>
      <c r="G8" s="27">
        <f>+'2024-2025'!H8</f>
        <v>2350000</v>
      </c>
      <c r="H8" s="28">
        <f>+'2024-2025'!I8</f>
        <v>2725000</v>
      </c>
      <c r="I8" s="38">
        <f>+E8/'2023-2024'!F8-1</f>
        <v>6.6666666666666652E-2</v>
      </c>
    </row>
    <row r="9" spans="1:9" x14ac:dyDescent="0.3">
      <c r="A9" s="19"/>
      <c r="B9" s="19"/>
      <c r="C9" s="19"/>
      <c r="D9" s="19"/>
      <c r="E9" s="20"/>
      <c r="F9" s="19"/>
      <c r="G9" s="19"/>
      <c r="H9" s="20"/>
    </row>
    <row r="10" spans="1:9" x14ac:dyDescent="0.3">
      <c r="A10" s="24"/>
      <c r="B10" s="22"/>
      <c r="C10" s="22"/>
      <c r="D10" s="22"/>
      <c r="E10" s="23"/>
      <c r="F10" s="22"/>
      <c r="G10" s="22"/>
      <c r="H10" s="23"/>
    </row>
    <row r="11" spans="1:9" x14ac:dyDescent="0.3">
      <c r="A11" s="29" t="s">
        <v>36</v>
      </c>
      <c r="B11" s="30" t="s">
        <v>1</v>
      </c>
      <c r="C11" s="31" t="s">
        <v>2</v>
      </c>
      <c r="D11" s="31" t="s">
        <v>3</v>
      </c>
      <c r="E11" s="29" t="s">
        <v>4</v>
      </c>
      <c r="F11" s="31" t="s">
        <v>5</v>
      </c>
      <c r="G11" s="31" t="s">
        <v>6</v>
      </c>
      <c r="H11" s="29" t="s">
        <v>7</v>
      </c>
      <c r="I11" s="31" t="s">
        <v>65</v>
      </c>
    </row>
    <row r="12" spans="1:9" x14ac:dyDescent="0.3">
      <c r="A12" s="26" t="s">
        <v>17</v>
      </c>
      <c r="B12" s="32">
        <f>+'2024-2025'!C17</f>
        <v>979.99999999999989</v>
      </c>
      <c r="C12" s="32">
        <f>+'2024-2025'!D17</f>
        <v>2240</v>
      </c>
      <c r="D12" s="32">
        <f>+'2024-2025'!E17</f>
        <v>3500</v>
      </c>
      <c r="E12" s="33">
        <f>+'2024-2025'!F17</f>
        <v>4760</v>
      </c>
      <c r="F12" s="32">
        <f>+'2024-2025'!G17</f>
        <v>6020</v>
      </c>
      <c r="G12" s="32">
        <f>+'2024-2025'!H17</f>
        <v>7279.9999999999991</v>
      </c>
      <c r="H12" s="33">
        <f>+'2024-2025'!I17</f>
        <v>8540</v>
      </c>
      <c r="I12" s="38">
        <f>+H12/'2023-2024'!I16-1</f>
        <v>0.17307692307692313</v>
      </c>
    </row>
    <row r="13" spans="1:9" x14ac:dyDescent="0.3">
      <c r="A13" s="26" t="s">
        <v>18</v>
      </c>
      <c r="B13" s="32">
        <f>+'2024-2025'!C18</f>
        <v>700</v>
      </c>
      <c r="C13" s="32">
        <f>+'2024-2025'!D18</f>
        <v>1600</v>
      </c>
      <c r="D13" s="32">
        <f>+'2024-2025'!E18</f>
        <v>2500</v>
      </c>
      <c r="E13" s="33">
        <f>+'2024-2025'!F18</f>
        <v>3400</v>
      </c>
      <c r="F13" s="32">
        <f>+'2024-2025'!G18</f>
        <v>4300</v>
      </c>
      <c r="G13" s="32">
        <f>+'2024-2025'!H18</f>
        <v>5200</v>
      </c>
      <c r="H13" s="33">
        <f>+'2024-2025'!I18</f>
        <v>6100</v>
      </c>
      <c r="I13" s="38">
        <f>+H13/'2023-2024'!I17-1</f>
        <v>0.17307692307692313</v>
      </c>
    </row>
    <row r="14" spans="1:9" x14ac:dyDescent="0.3">
      <c r="A14" s="24"/>
      <c r="B14" s="22"/>
      <c r="C14" s="22"/>
      <c r="D14" s="22"/>
      <c r="E14" s="23"/>
      <c r="F14" s="22"/>
      <c r="G14" s="22"/>
      <c r="H14" s="23"/>
    </row>
    <row r="15" spans="1:9" x14ac:dyDescent="0.3">
      <c r="E15" s="18"/>
      <c r="H15" s="18"/>
    </row>
    <row r="16" spans="1:9" x14ac:dyDescent="0.3">
      <c r="A16" s="29" t="s">
        <v>38</v>
      </c>
      <c r="B16" s="29" t="s">
        <v>20</v>
      </c>
      <c r="C16" s="19"/>
      <c r="E16" s="18"/>
      <c r="H16" s="18"/>
    </row>
    <row r="17" spans="1:8" x14ac:dyDescent="0.3">
      <c r="A17" s="26" t="s">
        <v>21</v>
      </c>
      <c r="B17" s="28">
        <v>300000</v>
      </c>
      <c r="C17" s="25" t="s">
        <v>66</v>
      </c>
      <c r="D17" s="22"/>
      <c r="E17" s="23"/>
      <c r="F17" s="22"/>
      <c r="G17" s="22"/>
      <c r="H17" s="23"/>
    </row>
    <row r="18" spans="1:8" x14ac:dyDescent="0.3">
      <c r="A18" s="26" t="s">
        <v>24</v>
      </c>
      <c r="B18" s="28">
        <v>450000</v>
      </c>
      <c r="C18" s="25" t="s">
        <v>25</v>
      </c>
      <c r="D18" s="19"/>
      <c r="E18" s="20"/>
      <c r="F18" s="19"/>
      <c r="G18" s="19"/>
    </row>
    <row r="19" spans="1:8" x14ac:dyDescent="0.3">
      <c r="A19" s="21"/>
      <c r="B19" s="19"/>
      <c r="C19" s="19"/>
      <c r="D19" s="19"/>
      <c r="E19" s="20"/>
      <c r="F19" s="19"/>
      <c r="G19" s="19"/>
    </row>
    <row r="20" spans="1:8" x14ac:dyDescent="0.3">
      <c r="A20" s="23" t="s">
        <v>30</v>
      </c>
      <c r="D20" s="19"/>
      <c r="E20" s="20"/>
      <c r="F20" s="19"/>
      <c r="G20" s="19"/>
    </row>
    <row r="21" spans="1:8" x14ac:dyDescent="0.3">
      <c r="A21" s="23" t="s">
        <v>23</v>
      </c>
      <c r="D21" s="19"/>
      <c r="F21" s="19"/>
      <c r="G21" s="19"/>
    </row>
    <row r="22" spans="1:8" x14ac:dyDescent="0.3">
      <c r="A22" s="23"/>
      <c r="D22" s="22"/>
      <c r="F22" s="22"/>
      <c r="G22" s="22"/>
      <c r="H22" s="23"/>
    </row>
    <row r="23" spans="1:8" x14ac:dyDescent="0.3">
      <c r="D23" s="22"/>
      <c r="F23" s="22"/>
      <c r="G23" s="22"/>
      <c r="H23" s="23"/>
    </row>
    <row r="24" spans="1:8" x14ac:dyDescent="0.3">
      <c r="A24" s="22"/>
      <c r="B24" s="22"/>
      <c r="C24" s="19"/>
      <c r="D24" s="22"/>
      <c r="E24" s="23"/>
      <c r="F24" s="22"/>
      <c r="G24" s="22"/>
      <c r="H24" s="23"/>
    </row>
    <row r="25" spans="1:8" x14ac:dyDescent="0.3">
      <c r="B25" s="22"/>
      <c r="C25" s="19"/>
      <c r="D25" s="22"/>
      <c r="E25" s="23"/>
      <c r="F25" s="22"/>
      <c r="G25" s="22"/>
      <c r="H25" s="23"/>
    </row>
    <row r="26" spans="1:8" x14ac:dyDescent="0.3">
      <c r="B26" s="22"/>
      <c r="C26" s="22"/>
      <c r="D26" s="22"/>
      <c r="E26" s="23"/>
      <c r="F26" s="22"/>
      <c r="G26" s="22"/>
      <c r="H26" s="23"/>
    </row>
    <row r="27" spans="1:8" x14ac:dyDescent="0.3">
      <c r="B27" s="22"/>
      <c r="C27" s="22"/>
      <c r="D27" s="22"/>
      <c r="E27" s="23"/>
      <c r="F27" s="22"/>
      <c r="G27" s="22"/>
      <c r="H27" s="23"/>
    </row>
    <row r="28" spans="1:8" x14ac:dyDescent="0.3">
      <c r="B28" s="22"/>
      <c r="C28" s="22"/>
      <c r="D28" s="22"/>
      <c r="E28" s="23"/>
      <c r="F28" s="22"/>
      <c r="G28" s="22"/>
      <c r="H28" s="23"/>
    </row>
    <row r="29" spans="1:8" x14ac:dyDescent="0.3">
      <c r="B29" s="22"/>
      <c r="C29" s="22"/>
      <c r="D29" s="22"/>
      <c r="E29" s="23"/>
      <c r="F29" s="22"/>
      <c r="G29" s="22"/>
      <c r="H29" s="23"/>
    </row>
    <row r="30" spans="1:8" x14ac:dyDescent="0.3">
      <c r="A30" s="22"/>
      <c r="B30" s="22"/>
      <c r="C30" s="22"/>
      <c r="D30" s="22"/>
      <c r="E30" s="23"/>
      <c r="F30" s="22"/>
      <c r="G30" s="22"/>
      <c r="H30" s="23"/>
    </row>
    <row r="40" s="18" customFormat="1" x14ac:dyDescent="0.3"/>
    <row r="41" s="18" customForma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2025-2026</vt:lpstr>
      <vt:lpstr>2024-2025</vt:lpstr>
      <vt:lpstr>2023-2024</vt:lpstr>
      <vt:lpstr>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Jorge Icaza</cp:lastModifiedBy>
  <cp:lastPrinted>2025-09-30T14:43:18Z</cp:lastPrinted>
  <dcterms:created xsi:type="dcterms:W3CDTF">2019-05-31T18:39:26Z</dcterms:created>
  <dcterms:modified xsi:type="dcterms:W3CDTF">2025-10-10T00:34:07Z</dcterms:modified>
</cp:coreProperties>
</file>