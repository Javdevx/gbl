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d.docs.live.net/b58123bec400c1fb/GBL/GBL 2.0/Archivos/Temporada 25-26/"/>
    </mc:Choice>
  </mc:AlternateContent>
  <xr:revisionPtr revIDLastSave="119" documentId="13_ncr:1_{DC3927D9-8B4E-774F-B208-56922DC2CC18}" xr6:coauthVersionLast="47" xr6:coauthVersionMax="47" xr10:uidLastSave="{2BBD77FE-2217-8547-AF94-675F6E1BE968}"/>
  <bookViews>
    <workbookView xWindow="-18000" yWindow="4760" windowWidth="18000" windowHeight="31500" activeTab="9" xr2:uid="{00000000-000D-0000-FFFF-FFFF00000000}"/>
  </bookViews>
  <sheets>
    <sheet name="Pesca Nacional" sheetId="1" r:id="rId1"/>
    <sheet name="Negocios" sheetId="2" r:id="rId2"/>
    <sheet name="Comparativo Pesca Nac" sheetId="3" r:id="rId3"/>
    <sheet name="Pesca Extranjero" sheetId="4" r:id="rId4"/>
    <sheet name="Comparativo Pesca Extranjero" sheetId="5" r:id="rId5"/>
    <sheet name="Pesca por el Dia" sheetId="6" r:id="rId6"/>
    <sheet name="Guias disponibles" sheetId="7" r:id="rId7"/>
    <sheet name="GLOBAL PESCA" sheetId="8" r:id="rId8"/>
    <sheet name="Listado clientes" sheetId="9" r:id="rId9"/>
    <sheet name="Hoja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94F5w7qnO08N3DODwzQ6/up/wS4NTCqK10sxXwXQjoc="/>
    </ext>
  </extLst>
</workbook>
</file>

<file path=xl/calcChain.xml><?xml version="1.0" encoding="utf-8"?>
<calcChain xmlns="http://schemas.openxmlformats.org/spreadsheetml/2006/main">
  <c r="B10" i="8" l="1"/>
  <c r="B4" i="8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L30" i="6"/>
  <c r="K30" i="6"/>
  <c r="K29" i="6"/>
  <c r="L28" i="6"/>
  <c r="L27" i="6"/>
  <c r="K26" i="6"/>
  <c r="K25" i="6"/>
  <c r="K24" i="6"/>
  <c r="K23" i="6"/>
  <c r="L22" i="6"/>
  <c r="K22" i="6"/>
  <c r="K21" i="6"/>
  <c r="K20" i="6"/>
  <c r="K19" i="6"/>
  <c r="K18" i="6"/>
  <c r="I17" i="6"/>
  <c r="I16" i="6"/>
  <c r="I15" i="6"/>
  <c r="I14" i="6"/>
  <c r="I13" i="6"/>
  <c r="I12" i="6"/>
  <c r="I11" i="6"/>
  <c r="I10" i="6"/>
  <c r="I9" i="6"/>
  <c r="I8" i="6"/>
  <c r="I7" i="6"/>
  <c r="A7" i="6"/>
  <c r="I6" i="6"/>
  <c r="I5" i="6"/>
  <c r="I4" i="6"/>
  <c r="O26" i="4"/>
  <c r="N26" i="4"/>
  <c r="N25" i="4"/>
  <c r="N24" i="4"/>
  <c r="N23" i="4"/>
  <c r="N22" i="4"/>
  <c r="G22" i="4"/>
  <c r="N21" i="4"/>
  <c r="G21" i="4"/>
  <c r="N20" i="4"/>
  <c r="G20" i="4"/>
  <c r="N19" i="4"/>
  <c r="G19" i="4"/>
  <c r="N18" i="4"/>
  <c r="G18" i="4"/>
  <c r="N17" i="4"/>
  <c r="G17" i="4"/>
  <c r="AG16" i="4"/>
  <c r="S16" i="4"/>
  <c r="Q16" i="4"/>
  <c r="N16" i="4"/>
  <c r="G16" i="4"/>
  <c r="AG15" i="4"/>
  <c r="S15" i="4"/>
  <c r="Q15" i="4"/>
  <c r="N15" i="4"/>
  <c r="G15" i="4"/>
  <c r="AG14" i="4"/>
  <c r="S14" i="4"/>
  <c r="Q14" i="4"/>
  <c r="N14" i="4"/>
  <c r="G14" i="4"/>
  <c r="AG13" i="4"/>
  <c r="S13" i="4"/>
  <c r="Q13" i="4"/>
  <c r="N13" i="4"/>
  <c r="G13" i="4"/>
  <c r="AG12" i="4"/>
  <c r="S12" i="4"/>
  <c r="Q12" i="4"/>
  <c r="N12" i="4"/>
  <c r="G12" i="4"/>
  <c r="AG11" i="4"/>
  <c r="S11" i="4"/>
  <c r="Q11" i="4"/>
  <c r="G11" i="4"/>
  <c r="AG10" i="4"/>
  <c r="S10" i="4"/>
  <c r="Q10" i="4"/>
  <c r="G10" i="4"/>
  <c r="AG9" i="4"/>
  <c r="S9" i="4"/>
  <c r="Q9" i="4"/>
  <c r="G9" i="4"/>
  <c r="AG8" i="4"/>
  <c r="S8" i="4"/>
  <c r="Q8" i="4"/>
  <c r="G8" i="4"/>
  <c r="AG7" i="4"/>
  <c r="S7" i="4"/>
  <c r="Q7" i="4"/>
  <c r="G7" i="4"/>
  <c r="A7" i="4"/>
  <c r="AG6" i="4"/>
  <c r="S6" i="4"/>
  <c r="Q6" i="4"/>
  <c r="G6" i="4"/>
  <c r="AG5" i="4"/>
  <c r="S5" i="4"/>
  <c r="Q5" i="4"/>
  <c r="G5" i="4"/>
  <c r="AG4" i="4"/>
  <c r="S4" i="4"/>
  <c r="Q4" i="4"/>
  <c r="G4" i="4"/>
  <c r="I25" i="3"/>
  <c r="H25" i="3"/>
  <c r="G25" i="3"/>
  <c r="F25" i="3"/>
  <c r="E25" i="3"/>
  <c r="D25" i="3"/>
  <c r="L18" i="3"/>
  <c r="L17" i="3"/>
  <c r="L16" i="3"/>
  <c r="L15" i="3"/>
  <c r="L11" i="3"/>
  <c r="L10" i="3"/>
  <c r="L9" i="3"/>
  <c r="L8" i="3"/>
  <c r="AI31" i="2"/>
  <c r="AH31" i="2"/>
  <c r="AF31" i="2"/>
  <c r="R31" i="2"/>
  <c r="P31" i="2"/>
  <c r="F31" i="2"/>
  <c r="AI30" i="2"/>
  <c r="AH30" i="2"/>
  <c r="AF30" i="2"/>
  <c r="R30" i="2"/>
  <c r="P30" i="2"/>
  <c r="F30" i="2"/>
  <c r="AI29" i="2"/>
  <c r="AH29" i="2"/>
  <c r="AF29" i="2"/>
  <c r="R29" i="2"/>
  <c r="P29" i="2"/>
  <c r="F29" i="2"/>
  <c r="AI22" i="2"/>
  <c r="AH22" i="2"/>
  <c r="AF22" i="2"/>
  <c r="R22" i="2"/>
  <c r="P22" i="2"/>
  <c r="F22" i="2"/>
  <c r="AI21" i="2"/>
  <c r="AH21" i="2"/>
  <c r="AF21" i="2"/>
  <c r="R21" i="2"/>
  <c r="P21" i="2"/>
  <c r="F21" i="2"/>
  <c r="AI20" i="2"/>
  <c r="AH20" i="2"/>
  <c r="AF20" i="2"/>
  <c r="R20" i="2"/>
  <c r="P20" i="2"/>
  <c r="F20" i="2"/>
  <c r="AI19" i="2"/>
  <c r="AH19" i="2"/>
  <c r="AF19" i="2"/>
  <c r="R19" i="2"/>
  <c r="P19" i="2"/>
  <c r="F19" i="2"/>
  <c r="AI18" i="2"/>
  <c r="AH18" i="2"/>
  <c r="AF18" i="2"/>
  <c r="R18" i="2"/>
  <c r="P18" i="2"/>
  <c r="F18" i="2"/>
  <c r="AI17" i="2"/>
  <c r="AH17" i="2"/>
  <c r="AF17" i="2"/>
  <c r="R17" i="2"/>
  <c r="P17" i="2"/>
  <c r="F17" i="2"/>
  <c r="AI16" i="2"/>
  <c r="AH16" i="2"/>
  <c r="AF16" i="2"/>
  <c r="R16" i="2"/>
  <c r="P16" i="2"/>
  <c r="F16" i="2"/>
  <c r="AI15" i="2"/>
  <c r="AH15" i="2"/>
  <c r="AF15" i="2"/>
  <c r="R15" i="2"/>
  <c r="P15" i="2"/>
  <c r="F15" i="2"/>
  <c r="AI14" i="2"/>
  <c r="AH14" i="2"/>
  <c r="AF14" i="2"/>
  <c r="R14" i="2"/>
  <c r="P14" i="2"/>
  <c r="F14" i="2"/>
  <c r="AI13" i="2"/>
  <c r="AH13" i="2"/>
  <c r="AF13" i="2"/>
  <c r="R13" i="2"/>
  <c r="P13" i="2"/>
  <c r="F13" i="2"/>
  <c r="AI12" i="2"/>
  <c r="AH12" i="2"/>
  <c r="AF12" i="2"/>
  <c r="R12" i="2"/>
  <c r="P12" i="2"/>
  <c r="F12" i="2"/>
  <c r="AI11" i="2"/>
  <c r="AH11" i="2"/>
  <c r="AF11" i="2"/>
  <c r="R11" i="2"/>
  <c r="P11" i="2"/>
  <c r="F11" i="2"/>
  <c r="AI10" i="2"/>
  <c r="AH10" i="2"/>
  <c r="AF10" i="2"/>
  <c r="R10" i="2"/>
  <c r="P10" i="2"/>
  <c r="F10" i="2"/>
  <c r="AI9" i="2"/>
  <c r="AH9" i="2"/>
  <c r="AF9" i="2"/>
  <c r="R9" i="2"/>
  <c r="P9" i="2"/>
  <c r="F9" i="2"/>
  <c r="AI8" i="2"/>
  <c r="AH8" i="2"/>
  <c r="AF8" i="2"/>
  <c r="R8" i="2"/>
  <c r="P8" i="2"/>
  <c r="F8" i="2"/>
  <c r="AI7" i="2"/>
  <c r="AH7" i="2"/>
  <c r="AF7" i="2"/>
  <c r="R7" i="2"/>
  <c r="P7" i="2"/>
  <c r="F7" i="2"/>
  <c r="AI6" i="2"/>
  <c r="AH6" i="2"/>
  <c r="AF6" i="2"/>
  <c r="R6" i="2"/>
  <c r="P6" i="2"/>
  <c r="F6" i="2"/>
  <c r="AI5" i="2"/>
  <c r="AH5" i="2"/>
  <c r="AF5" i="2"/>
  <c r="R5" i="2"/>
  <c r="P5" i="2"/>
  <c r="F5" i="2"/>
  <c r="AI4" i="2"/>
  <c r="AH4" i="2"/>
  <c r="AF4" i="2"/>
  <c r="R4" i="2"/>
  <c r="P4" i="2"/>
  <c r="F4" i="2"/>
  <c r="AI3" i="2"/>
  <c r="V145" i="1"/>
  <c r="T145" i="1"/>
  <c r="N145" i="1"/>
  <c r="V144" i="1"/>
  <c r="T144" i="1"/>
  <c r="N144" i="1"/>
  <c r="V143" i="1"/>
  <c r="T143" i="1"/>
  <c r="N143" i="1"/>
  <c r="V142" i="1"/>
  <c r="T142" i="1"/>
  <c r="N142" i="1"/>
  <c r="V141" i="1"/>
  <c r="T141" i="1"/>
  <c r="N141" i="1"/>
  <c r="V140" i="1"/>
  <c r="T140" i="1"/>
  <c r="N140" i="1"/>
  <c r="V139" i="1"/>
  <c r="T139" i="1"/>
  <c r="N139" i="1"/>
  <c r="V138" i="1"/>
  <c r="T138" i="1"/>
  <c r="N138" i="1"/>
  <c r="AM137" i="1"/>
  <c r="V137" i="1"/>
  <c r="T137" i="1"/>
  <c r="N137" i="1"/>
  <c r="AM136" i="1"/>
  <c r="V136" i="1"/>
  <c r="T136" i="1"/>
  <c r="J136" i="1"/>
  <c r="AM135" i="1"/>
  <c r="V135" i="1"/>
  <c r="T135" i="1"/>
  <c r="J135" i="1"/>
  <c r="AM134" i="1"/>
  <c r="V134" i="1"/>
  <c r="T134" i="1"/>
  <c r="J134" i="1"/>
  <c r="AM133" i="1"/>
  <c r="V133" i="1"/>
  <c r="T133" i="1"/>
  <c r="J133" i="1"/>
  <c r="AM132" i="1"/>
  <c r="V132" i="1"/>
  <c r="T132" i="1"/>
  <c r="P132" i="1"/>
  <c r="J132" i="1"/>
  <c r="AM131" i="1"/>
  <c r="V131" i="1"/>
  <c r="T131" i="1"/>
  <c r="P131" i="1"/>
  <c r="J131" i="1"/>
  <c r="AM130" i="1"/>
  <c r="V130" i="1"/>
  <c r="T130" i="1"/>
  <c r="J130" i="1"/>
  <c r="AM129" i="1"/>
  <c r="V129" i="1"/>
  <c r="T129" i="1"/>
  <c r="J129" i="1"/>
  <c r="AM128" i="1"/>
  <c r="V128" i="1"/>
  <c r="T128" i="1"/>
  <c r="J128" i="1"/>
  <c r="AM127" i="1"/>
  <c r="V127" i="1"/>
  <c r="T127" i="1"/>
  <c r="J127" i="1"/>
  <c r="AM126" i="1"/>
  <c r="V126" i="1"/>
  <c r="T126" i="1"/>
  <c r="J126" i="1"/>
  <c r="AM125" i="1"/>
  <c r="V125" i="1"/>
  <c r="T125" i="1"/>
  <c r="J125" i="1"/>
  <c r="AM124" i="1"/>
  <c r="V124" i="1"/>
  <c r="T124" i="1"/>
  <c r="P124" i="1"/>
  <c r="J124" i="1"/>
  <c r="AM123" i="1"/>
  <c r="V123" i="1"/>
  <c r="T123" i="1"/>
  <c r="J123" i="1"/>
  <c r="AM122" i="1"/>
  <c r="V122" i="1"/>
  <c r="T122" i="1"/>
  <c r="P122" i="1"/>
  <c r="J122" i="1"/>
  <c r="AM121" i="1"/>
  <c r="V121" i="1"/>
  <c r="T121" i="1"/>
  <c r="P121" i="1"/>
  <c r="J121" i="1"/>
  <c r="AM120" i="1"/>
  <c r="V120" i="1"/>
  <c r="T120" i="1"/>
  <c r="J120" i="1"/>
  <c r="AM119" i="1"/>
  <c r="V119" i="1"/>
  <c r="T119" i="1"/>
  <c r="J119" i="1"/>
  <c r="AM118" i="1"/>
  <c r="V118" i="1"/>
  <c r="T118" i="1"/>
  <c r="J118" i="1"/>
  <c r="AM117" i="1"/>
  <c r="V117" i="1"/>
  <c r="T117" i="1"/>
  <c r="J117" i="1"/>
  <c r="AM116" i="1"/>
  <c r="V116" i="1"/>
  <c r="T116" i="1"/>
  <c r="J116" i="1"/>
  <c r="AM115" i="1"/>
  <c r="V115" i="1"/>
  <c r="T115" i="1"/>
  <c r="J115" i="1"/>
  <c r="AM114" i="1"/>
  <c r="V114" i="1"/>
  <c r="T114" i="1"/>
  <c r="J114" i="1"/>
  <c r="AM113" i="1"/>
  <c r="V113" i="1"/>
  <c r="T113" i="1"/>
  <c r="J113" i="1"/>
  <c r="V112" i="1"/>
  <c r="T112" i="1"/>
  <c r="J112" i="1"/>
  <c r="P111" i="1"/>
  <c r="AM110" i="1"/>
  <c r="V110" i="1"/>
  <c r="T110" i="1"/>
  <c r="J110" i="1"/>
  <c r="AM109" i="1"/>
  <c r="V109" i="1"/>
  <c r="T109" i="1"/>
  <c r="J109" i="1"/>
  <c r="AM108" i="1"/>
  <c r="V108" i="1"/>
  <c r="T108" i="1"/>
  <c r="J108" i="1"/>
  <c r="AM107" i="1"/>
  <c r="V107" i="1"/>
  <c r="T107" i="1"/>
  <c r="J107" i="1"/>
  <c r="AM106" i="1"/>
  <c r="V106" i="1"/>
  <c r="T106" i="1"/>
  <c r="J106" i="1"/>
  <c r="AM105" i="1"/>
  <c r="V105" i="1"/>
  <c r="T105" i="1"/>
  <c r="J105" i="1"/>
  <c r="AM104" i="1"/>
  <c r="V104" i="1"/>
  <c r="T104" i="1"/>
  <c r="J104" i="1"/>
  <c r="AO103" i="1"/>
  <c r="AM103" i="1"/>
  <c r="V103" i="1"/>
  <c r="T103" i="1"/>
  <c r="J103" i="1"/>
  <c r="AO102" i="1"/>
  <c r="AM102" i="1"/>
  <c r="V102" i="1"/>
  <c r="T102" i="1"/>
  <c r="J102" i="1"/>
  <c r="AO101" i="1"/>
  <c r="AM101" i="1"/>
  <c r="V101" i="1"/>
  <c r="T101" i="1"/>
  <c r="J101" i="1"/>
  <c r="AO100" i="1"/>
  <c r="AM100" i="1"/>
  <c r="V100" i="1"/>
  <c r="T100" i="1"/>
  <c r="P100" i="1"/>
  <c r="AO99" i="1"/>
  <c r="AM99" i="1"/>
  <c r="V99" i="1"/>
  <c r="T99" i="1"/>
  <c r="P99" i="1"/>
  <c r="J99" i="1"/>
  <c r="AO98" i="1"/>
  <c r="AM98" i="1"/>
  <c r="V98" i="1"/>
  <c r="T98" i="1"/>
  <c r="P98" i="1"/>
  <c r="J98" i="1"/>
  <c r="AO97" i="1"/>
  <c r="AM97" i="1"/>
  <c r="V97" i="1"/>
  <c r="T97" i="1"/>
  <c r="P97" i="1"/>
  <c r="J97" i="1"/>
  <c r="AO96" i="1"/>
  <c r="AM96" i="1"/>
  <c r="V96" i="1"/>
  <c r="T96" i="1"/>
  <c r="J96" i="1"/>
  <c r="AO95" i="1"/>
  <c r="AM95" i="1"/>
  <c r="V95" i="1"/>
  <c r="T95" i="1"/>
  <c r="J95" i="1"/>
  <c r="AO94" i="1"/>
  <c r="AM94" i="1"/>
  <c r="V94" i="1"/>
  <c r="T94" i="1"/>
  <c r="J94" i="1"/>
  <c r="AO93" i="1"/>
  <c r="AM93" i="1"/>
  <c r="V93" i="1"/>
  <c r="T93" i="1"/>
  <c r="J93" i="1"/>
  <c r="AO92" i="1"/>
  <c r="AM92" i="1"/>
  <c r="V92" i="1"/>
  <c r="T92" i="1"/>
  <c r="J92" i="1"/>
  <c r="AO91" i="1"/>
  <c r="AM91" i="1"/>
  <c r="V91" i="1"/>
  <c r="T91" i="1"/>
  <c r="J91" i="1"/>
  <c r="AO90" i="1"/>
  <c r="AM90" i="1"/>
  <c r="V90" i="1"/>
  <c r="T90" i="1"/>
  <c r="J90" i="1"/>
  <c r="AO89" i="1"/>
  <c r="AM89" i="1"/>
  <c r="V89" i="1"/>
  <c r="T89" i="1"/>
  <c r="J89" i="1"/>
  <c r="AO88" i="1"/>
  <c r="AM88" i="1"/>
  <c r="V88" i="1"/>
  <c r="T88" i="1"/>
  <c r="J88" i="1"/>
  <c r="AO87" i="1"/>
  <c r="AM87" i="1"/>
  <c r="V87" i="1"/>
  <c r="T87" i="1"/>
  <c r="J87" i="1"/>
  <c r="AO86" i="1"/>
  <c r="AM86" i="1"/>
  <c r="V86" i="1"/>
  <c r="T86" i="1"/>
  <c r="J86" i="1"/>
  <c r="AO85" i="1"/>
  <c r="AM85" i="1"/>
  <c r="V85" i="1"/>
  <c r="T85" i="1"/>
  <c r="J85" i="1"/>
  <c r="AO84" i="1"/>
  <c r="AM84" i="1"/>
  <c r="V84" i="1"/>
  <c r="T84" i="1"/>
  <c r="J84" i="1"/>
  <c r="AO83" i="1"/>
  <c r="AM83" i="1"/>
  <c r="V83" i="1"/>
  <c r="T83" i="1"/>
  <c r="J83" i="1"/>
  <c r="AO82" i="1"/>
  <c r="AM82" i="1"/>
  <c r="V82" i="1"/>
  <c r="T82" i="1"/>
  <c r="J82" i="1"/>
  <c r="AO81" i="1"/>
  <c r="AM81" i="1"/>
  <c r="V81" i="1"/>
  <c r="T81" i="1"/>
  <c r="J81" i="1"/>
  <c r="AO80" i="1"/>
  <c r="AM80" i="1"/>
  <c r="V80" i="1"/>
  <c r="T80" i="1"/>
  <c r="J80" i="1"/>
  <c r="AO79" i="1"/>
  <c r="AM79" i="1"/>
  <c r="V79" i="1"/>
  <c r="T79" i="1"/>
  <c r="J79" i="1"/>
  <c r="AO78" i="1"/>
  <c r="AM78" i="1"/>
  <c r="V78" i="1"/>
  <c r="T78" i="1"/>
  <c r="J78" i="1"/>
  <c r="AO77" i="1"/>
  <c r="AM77" i="1"/>
  <c r="V77" i="1"/>
  <c r="T77" i="1"/>
  <c r="J77" i="1"/>
  <c r="AO76" i="1"/>
  <c r="AM76" i="1"/>
  <c r="V76" i="1"/>
  <c r="T76" i="1"/>
  <c r="J76" i="1"/>
  <c r="AO75" i="1"/>
  <c r="AM75" i="1"/>
  <c r="V75" i="1"/>
  <c r="T75" i="1"/>
  <c r="J75" i="1"/>
  <c r="AO74" i="1"/>
  <c r="AM74" i="1"/>
  <c r="V74" i="1"/>
  <c r="T74" i="1"/>
  <c r="J74" i="1"/>
  <c r="AO73" i="1"/>
  <c r="AM73" i="1"/>
  <c r="V73" i="1"/>
  <c r="T73" i="1"/>
  <c r="J73" i="1"/>
  <c r="AO72" i="1"/>
  <c r="AM72" i="1"/>
  <c r="V72" i="1"/>
  <c r="T72" i="1"/>
  <c r="J72" i="1"/>
  <c r="AO71" i="1"/>
  <c r="AM71" i="1"/>
  <c r="V71" i="1"/>
  <c r="T71" i="1"/>
  <c r="N71" i="1"/>
  <c r="J71" i="1"/>
  <c r="AE70" i="1"/>
  <c r="V70" i="1"/>
  <c r="T70" i="1"/>
  <c r="P70" i="1"/>
  <c r="J70" i="1"/>
  <c r="AM69" i="1"/>
  <c r="V69" i="1"/>
  <c r="T69" i="1"/>
  <c r="J69" i="1"/>
  <c r="AM68" i="1"/>
  <c r="V68" i="1"/>
  <c r="T68" i="1"/>
  <c r="J68" i="1"/>
  <c r="AO67" i="1"/>
  <c r="AM67" i="1"/>
  <c r="V67" i="1"/>
  <c r="T67" i="1"/>
  <c r="J67" i="1"/>
  <c r="AM64" i="1"/>
  <c r="V64" i="1"/>
  <c r="T64" i="1"/>
  <c r="J64" i="1"/>
  <c r="AM63" i="1"/>
  <c r="V63" i="1"/>
  <c r="T63" i="1"/>
  <c r="P63" i="1"/>
  <c r="J63" i="1"/>
  <c r="AO62" i="1"/>
  <c r="AM62" i="1"/>
  <c r="V62" i="1"/>
  <c r="T62" i="1"/>
  <c r="J62" i="1"/>
  <c r="AM61" i="1"/>
  <c r="V61" i="1"/>
  <c r="T61" i="1"/>
  <c r="J61" i="1"/>
  <c r="AO60" i="1"/>
  <c r="AM60" i="1"/>
  <c r="V60" i="1"/>
  <c r="T60" i="1"/>
  <c r="J60" i="1"/>
  <c r="AO58" i="1"/>
  <c r="AM58" i="1"/>
  <c r="V58" i="1"/>
  <c r="T58" i="1"/>
  <c r="J58" i="1"/>
  <c r="AO57" i="1"/>
  <c r="AM57" i="1"/>
  <c r="V57" i="1"/>
  <c r="T57" i="1"/>
  <c r="J57" i="1"/>
  <c r="AO56" i="1"/>
  <c r="AM56" i="1"/>
  <c r="V56" i="1"/>
  <c r="T56" i="1"/>
  <c r="J56" i="1"/>
  <c r="AM55" i="1"/>
  <c r="V55" i="1"/>
  <c r="T55" i="1"/>
  <c r="J55" i="1"/>
  <c r="AO54" i="1"/>
  <c r="AM54" i="1"/>
  <c r="V54" i="1"/>
  <c r="T54" i="1"/>
  <c r="J54" i="1"/>
  <c r="AO53" i="1"/>
  <c r="AM53" i="1"/>
  <c r="V53" i="1"/>
  <c r="T53" i="1"/>
  <c r="J53" i="1"/>
  <c r="AM52" i="1"/>
  <c r="V52" i="1"/>
  <c r="T52" i="1"/>
  <c r="J52" i="1"/>
  <c r="AO51" i="1"/>
  <c r="AM51" i="1"/>
  <c r="V51" i="1"/>
  <c r="T51" i="1"/>
  <c r="J51" i="1"/>
  <c r="AO50" i="1"/>
  <c r="AM50" i="1"/>
  <c r="V50" i="1"/>
  <c r="T50" i="1"/>
  <c r="J50" i="1"/>
  <c r="AO49" i="1"/>
  <c r="AM49" i="1"/>
  <c r="V49" i="1"/>
  <c r="T49" i="1"/>
  <c r="J49" i="1"/>
  <c r="AM48" i="1"/>
  <c r="V48" i="1"/>
  <c r="T48" i="1"/>
  <c r="J48" i="1"/>
  <c r="AM47" i="1"/>
  <c r="V47" i="1"/>
  <c r="T47" i="1"/>
  <c r="J47" i="1"/>
  <c r="AM46" i="1"/>
  <c r="V46" i="1"/>
  <c r="T46" i="1"/>
  <c r="J46" i="1"/>
  <c r="AM45" i="1"/>
  <c r="V45" i="1"/>
  <c r="T45" i="1"/>
  <c r="J45" i="1"/>
  <c r="AO44" i="1"/>
  <c r="AM44" i="1"/>
  <c r="V44" i="1"/>
  <c r="T44" i="1"/>
  <c r="J44" i="1"/>
  <c r="V43" i="1"/>
  <c r="T43" i="1"/>
  <c r="P43" i="1"/>
  <c r="J43" i="1"/>
  <c r="AO42" i="1"/>
  <c r="AM42" i="1"/>
  <c r="V42" i="1"/>
  <c r="T42" i="1"/>
  <c r="J42" i="1"/>
  <c r="AO41" i="1"/>
  <c r="AM41" i="1"/>
  <c r="V41" i="1"/>
  <c r="T41" i="1"/>
  <c r="J41" i="1"/>
  <c r="AM40" i="1"/>
  <c r="V40" i="1"/>
  <c r="T40" i="1"/>
  <c r="P40" i="1"/>
  <c r="J40" i="1"/>
  <c r="AO39" i="1"/>
  <c r="AM39" i="1"/>
  <c r="V39" i="1"/>
  <c r="T39" i="1"/>
  <c r="J39" i="1"/>
  <c r="AO38" i="1"/>
  <c r="AM38" i="1"/>
  <c r="V38" i="1"/>
  <c r="T38" i="1"/>
  <c r="J38" i="1"/>
  <c r="AO37" i="1"/>
  <c r="AM37" i="1"/>
  <c r="V37" i="1"/>
  <c r="T37" i="1"/>
  <c r="J37" i="1"/>
  <c r="AM36" i="1"/>
  <c r="V36" i="1"/>
  <c r="T36" i="1"/>
  <c r="J36" i="1"/>
  <c r="AO35" i="1"/>
  <c r="AM35" i="1"/>
  <c r="V35" i="1"/>
  <c r="T35" i="1"/>
  <c r="P35" i="1"/>
  <c r="J35" i="1"/>
  <c r="AO34" i="1"/>
  <c r="AM34" i="1"/>
  <c r="V34" i="1"/>
  <c r="T34" i="1"/>
  <c r="J34" i="1"/>
  <c r="AM33" i="1"/>
  <c r="V33" i="1"/>
  <c r="T33" i="1"/>
  <c r="J33" i="1"/>
  <c r="AO32" i="1"/>
  <c r="AM32" i="1"/>
  <c r="V32" i="1"/>
  <c r="T32" i="1"/>
  <c r="J32" i="1"/>
  <c r="AM31" i="1"/>
  <c r="V31" i="1"/>
  <c r="T31" i="1"/>
  <c r="J31" i="1"/>
  <c r="AO30" i="1"/>
  <c r="AM30" i="1"/>
  <c r="V30" i="1"/>
  <c r="T30" i="1"/>
  <c r="J30" i="1"/>
  <c r="AO29" i="1"/>
  <c r="AM29" i="1"/>
  <c r="V29" i="1"/>
  <c r="T29" i="1"/>
  <c r="J29" i="1"/>
  <c r="AO28" i="1"/>
  <c r="AM28" i="1"/>
  <c r="V28" i="1"/>
  <c r="T28" i="1"/>
  <c r="J28" i="1"/>
  <c r="AO27" i="1"/>
  <c r="AM27" i="1"/>
  <c r="V27" i="1"/>
  <c r="T27" i="1"/>
  <c r="J27" i="1"/>
  <c r="A27" i="1"/>
  <c r="AO26" i="1"/>
  <c r="AM26" i="1"/>
  <c r="V26" i="1"/>
  <c r="T26" i="1"/>
  <c r="J26" i="1"/>
  <c r="AO25" i="1"/>
  <c r="AM25" i="1"/>
  <c r="V25" i="1"/>
  <c r="T25" i="1"/>
  <c r="J25" i="1"/>
  <c r="AO24" i="1"/>
  <c r="AM24" i="1"/>
  <c r="V24" i="1"/>
  <c r="T24" i="1"/>
  <c r="J24" i="1"/>
  <c r="AO23" i="1"/>
  <c r="AM23" i="1"/>
  <c r="V23" i="1"/>
  <c r="T23" i="1"/>
  <c r="J23" i="1"/>
  <c r="AO22" i="1"/>
  <c r="AM22" i="1"/>
  <c r="V22" i="1"/>
  <c r="T22" i="1"/>
  <c r="J22" i="1"/>
  <c r="AM21" i="1"/>
  <c r="V21" i="1"/>
  <c r="T21" i="1"/>
  <c r="J21" i="1"/>
  <c r="AO20" i="1"/>
  <c r="AM20" i="1"/>
  <c r="V20" i="1"/>
  <c r="T20" i="1"/>
  <c r="P20" i="1"/>
  <c r="J20" i="1"/>
  <c r="AO19" i="1"/>
  <c r="AM19" i="1"/>
  <c r="V19" i="1"/>
  <c r="T19" i="1"/>
  <c r="P19" i="1"/>
  <c r="J19" i="1"/>
  <c r="AO18" i="1"/>
  <c r="AM18" i="1"/>
  <c r="V18" i="1"/>
  <c r="T18" i="1"/>
  <c r="P18" i="1"/>
  <c r="J18" i="1"/>
  <c r="AO17" i="1"/>
  <c r="AM17" i="1"/>
  <c r="V17" i="1"/>
  <c r="T17" i="1"/>
  <c r="P17" i="1"/>
  <c r="J17" i="1"/>
  <c r="AO16" i="1"/>
  <c r="AM16" i="1"/>
  <c r="V16" i="1"/>
  <c r="T16" i="1"/>
  <c r="P16" i="1"/>
  <c r="J16" i="1"/>
  <c r="AO15" i="1"/>
  <c r="AM15" i="1"/>
  <c r="V15" i="1"/>
  <c r="T15" i="1"/>
  <c r="P15" i="1"/>
  <c r="J15" i="1"/>
  <c r="AM14" i="1"/>
  <c r="V14" i="1"/>
  <c r="T14" i="1"/>
  <c r="P14" i="1"/>
  <c r="J14" i="1"/>
  <c r="AO13" i="1"/>
  <c r="AM13" i="1"/>
  <c r="V13" i="1"/>
  <c r="T13" i="1"/>
  <c r="P13" i="1"/>
  <c r="J13" i="1"/>
  <c r="AM12" i="1"/>
  <c r="V12" i="1"/>
  <c r="T12" i="1"/>
  <c r="P12" i="1"/>
  <c r="J12" i="1"/>
  <c r="AO11" i="1"/>
  <c r="AM11" i="1"/>
  <c r="V11" i="1"/>
  <c r="T11" i="1"/>
  <c r="J11" i="1"/>
  <c r="AO10" i="1"/>
  <c r="AM10" i="1"/>
  <c r="V10" i="1"/>
  <c r="T10" i="1"/>
  <c r="J10" i="1"/>
  <c r="AM9" i="1"/>
  <c r="V9" i="1"/>
  <c r="T9" i="1"/>
  <c r="J9" i="1"/>
  <c r="AO8" i="1"/>
  <c r="AM8" i="1"/>
  <c r="V8" i="1"/>
  <c r="T8" i="1"/>
  <c r="J8" i="1"/>
  <c r="AO7" i="1"/>
  <c r="AM7" i="1"/>
  <c r="V7" i="1"/>
  <c r="T7" i="1"/>
  <c r="J7" i="1"/>
  <c r="A7" i="1"/>
  <c r="AO6" i="1"/>
  <c r="AM6" i="1"/>
  <c r="V6" i="1"/>
  <c r="T6" i="1"/>
  <c r="J6" i="1"/>
  <c r="AO5" i="1"/>
  <c r="AM5" i="1"/>
  <c r="V5" i="1"/>
  <c r="T5" i="1"/>
  <c r="J5" i="1"/>
  <c r="AM4" i="1"/>
  <c r="V4" i="1"/>
  <c r="T4" i="1"/>
  <c r="J4" i="1"/>
  <c r="B13" i="8" l="1"/>
  <c r="K16" i="6"/>
  <c r="L15" i="6"/>
  <c r="M15" i="6" s="1"/>
  <c r="L13" i="6"/>
  <c r="M13" i="6" s="1"/>
  <c r="K12" i="6"/>
  <c r="K11" i="6"/>
  <c r="K9" i="6"/>
  <c r="L8" i="6"/>
  <c r="M8" i="6" s="1"/>
  <c r="K6" i="6"/>
  <c r="K5" i="6"/>
  <c r="K4" i="6"/>
  <c r="L4" i="6" s="1"/>
  <c r="M4" i="6" s="1"/>
  <c r="O23" i="4"/>
  <c r="P23" i="4" s="1"/>
  <c r="O22" i="4"/>
  <c r="P22" i="4" s="1"/>
  <c r="O21" i="4"/>
  <c r="P21" i="4" s="1"/>
  <c r="O20" i="4"/>
  <c r="P20" i="4" s="1"/>
  <c r="O19" i="4"/>
  <c r="P19" i="4" s="1"/>
  <c r="O18" i="4"/>
  <c r="P18" i="4" s="1"/>
  <c r="O17" i="4"/>
  <c r="P17" i="4" s="1"/>
  <c r="H17" i="4"/>
  <c r="O16" i="4"/>
  <c r="O15" i="4"/>
  <c r="O14" i="4"/>
  <c r="H14" i="4"/>
  <c r="A14" i="4"/>
  <c r="F7" i="8" s="1"/>
  <c r="O13" i="4"/>
  <c r="O12" i="4"/>
  <c r="L11" i="4"/>
  <c r="A11" i="4"/>
  <c r="D7" i="8" s="1"/>
  <c r="L10" i="4"/>
  <c r="L9" i="4"/>
  <c r="L8" i="4"/>
  <c r="L7" i="4"/>
  <c r="L6" i="4"/>
  <c r="L5" i="4"/>
  <c r="L4" i="4"/>
  <c r="H4" i="4"/>
  <c r="J31" i="2"/>
  <c r="J30" i="2"/>
  <c r="J29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P145" i="1"/>
  <c r="P144" i="1"/>
  <c r="P143" i="1"/>
  <c r="P142" i="1"/>
  <c r="P141" i="1"/>
  <c r="P140" i="1"/>
  <c r="P139" i="1"/>
  <c r="P138" i="1"/>
  <c r="P137" i="1"/>
  <c r="N136" i="1"/>
  <c r="N135" i="1"/>
  <c r="N134" i="1"/>
  <c r="N133" i="1"/>
  <c r="R132" i="1"/>
  <c r="R131" i="1"/>
  <c r="N130" i="1"/>
  <c r="N129" i="1"/>
  <c r="N128" i="1"/>
  <c r="L58" i="6"/>
  <c r="M58" i="6" s="1"/>
  <c r="L49" i="6"/>
  <c r="M49" i="6" s="1"/>
  <c r="L47" i="6"/>
  <c r="M47" i="6" s="1"/>
  <c r="L45" i="6"/>
  <c r="M45" i="6" s="1"/>
  <c r="L42" i="6"/>
  <c r="M42" i="6" s="1"/>
  <c r="L40" i="6"/>
  <c r="M40" i="6" s="1"/>
  <c r="L37" i="6"/>
  <c r="M37" i="6" s="1"/>
  <c r="L36" i="6"/>
  <c r="M36" i="6" s="1"/>
  <c r="L33" i="6"/>
  <c r="M33" i="6" s="1"/>
  <c r="L32" i="6"/>
  <c r="M32" i="6" s="1"/>
  <c r="L31" i="6"/>
  <c r="M31" i="6" s="1"/>
  <c r="M30" i="6"/>
  <c r="M28" i="6"/>
  <c r="M27" i="6"/>
  <c r="L26" i="6"/>
  <c r="M26" i="6" s="1"/>
  <c r="L25" i="6"/>
  <c r="M25" i="6" s="1"/>
  <c r="L24" i="6"/>
  <c r="M24" i="6" s="1"/>
  <c r="L23" i="6"/>
  <c r="M23" i="6" s="1"/>
  <c r="M22" i="6"/>
  <c r="L21" i="6"/>
  <c r="M21" i="6" s="1"/>
  <c r="L20" i="6"/>
  <c r="M20" i="6" s="1"/>
  <c r="L19" i="6"/>
  <c r="M19" i="6" s="1"/>
  <c r="L18" i="6"/>
  <c r="M18" i="6" s="1"/>
  <c r="K13" i="6"/>
  <c r="K7" i="6"/>
  <c r="J6" i="2"/>
  <c r="J5" i="2"/>
  <c r="J4" i="2"/>
  <c r="N127" i="1"/>
  <c r="N126" i="1"/>
  <c r="N125" i="1"/>
  <c r="R124" i="1"/>
  <c r="N123" i="1"/>
  <c r="R122" i="1"/>
  <c r="R121" i="1"/>
  <c r="N120" i="1"/>
  <c r="N119" i="1"/>
  <c r="N118" i="1"/>
  <c r="N117" i="1"/>
  <c r="N116" i="1"/>
  <c r="N115" i="1"/>
  <c r="N114" i="1"/>
  <c r="N113" i="1"/>
  <c r="N112" i="1"/>
  <c r="R111" i="1"/>
  <c r="S111" i="1" s="1"/>
  <c r="N110" i="1"/>
  <c r="N109" i="1"/>
  <c r="N108" i="1"/>
  <c r="N107" i="1"/>
  <c r="N106" i="1"/>
  <c r="N105" i="1"/>
  <c r="N104" i="1"/>
  <c r="N103" i="1"/>
  <c r="N102" i="1"/>
  <c r="N101" i="1"/>
  <c r="R100" i="1"/>
  <c r="R99" i="1"/>
  <c r="R98" i="1"/>
  <c r="R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6" i="1"/>
  <c r="N73" i="1"/>
  <c r="P71" i="1"/>
  <c r="AM70" i="1"/>
  <c r="A28" i="1" s="1"/>
  <c r="R70" i="1"/>
  <c r="B7" i="8"/>
  <c r="P26" i="4"/>
  <c r="N75" i="1"/>
  <c r="N74" i="1"/>
  <c r="N55" i="1"/>
  <c r="N54" i="1"/>
  <c r="N53" i="1"/>
  <c r="N51" i="1"/>
  <c r="N34" i="1"/>
  <c r="N33" i="1"/>
  <c r="N32" i="1"/>
  <c r="N26" i="1"/>
  <c r="N21" i="1"/>
  <c r="R20" i="1"/>
  <c r="R19" i="1"/>
  <c r="R14" i="1"/>
  <c r="N6" i="1"/>
  <c r="N5" i="1"/>
  <c r="L57" i="6"/>
  <c r="M57" i="6" s="1"/>
  <c r="L56" i="6"/>
  <c r="M56" i="6" s="1"/>
  <c r="L55" i="6"/>
  <c r="M55" i="6" s="1"/>
  <c r="L54" i="6"/>
  <c r="M54" i="6" s="1"/>
  <c r="L53" i="6"/>
  <c r="M53" i="6" s="1"/>
  <c r="L52" i="6"/>
  <c r="M52" i="6" s="1"/>
  <c r="L51" i="6"/>
  <c r="M51" i="6" s="1"/>
  <c r="L50" i="6"/>
  <c r="M50" i="6" s="1"/>
  <c r="L48" i="6"/>
  <c r="M48" i="6" s="1"/>
  <c r="L46" i="6"/>
  <c r="M46" i="6" s="1"/>
  <c r="L44" i="6"/>
  <c r="M44" i="6" s="1"/>
  <c r="L43" i="6"/>
  <c r="M43" i="6" s="1"/>
  <c r="L41" i="6"/>
  <c r="M41" i="6" s="1"/>
  <c r="L39" i="6"/>
  <c r="M39" i="6" s="1"/>
  <c r="L38" i="6"/>
  <c r="M38" i="6" s="1"/>
  <c r="L35" i="6"/>
  <c r="M35" i="6" s="1"/>
  <c r="L34" i="6"/>
  <c r="M34" i="6" s="1"/>
  <c r="L29" i="6"/>
  <c r="M29" i="6" s="1"/>
  <c r="K17" i="6"/>
  <c r="K15" i="6"/>
  <c r="K14" i="6"/>
  <c r="K10" i="6"/>
  <c r="L10" i="6" s="1"/>
  <c r="M10" i="6" s="1"/>
  <c r="K8" i="6"/>
  <c r="L7" i="6"/>
  <c r="M7" i="6" s="1"/>
  <c r="O25" i="4"/>
  <c r="P25" i="4" s="1"/>
  <c r="O24" i="4"/>
  <c r="P24" i="4" s="1"/>
  <c r="N77" i="1"/>
  <c r="N72" i="1"/>
  <c r="N69" i="1"/>
  <c r="R63" i="1"/>
  <c r="N61" i="1"/>
  <c r="N60" i="1"/>
  <c r="N58" i="1"/>
  <c r="N57" i="1"/>
  <c r="N56" i="1"/>
  <c r="N68" i="1"/>
  <c r="N67" i="1"/>
  <c r="N64" i="1"/>
  <c r="N62" i="1"/>
  <c r="N52" i="1"/>
  <c r="N36" i="1"/>
  <c r="R35" i="1"/>
  <c r="A32" i="1"/>
  <c r="N27" i="1"/>
  <c r="N50" i="1"/>
  <c r="N49" i="1"/>
  <c r="N48" i="1"/>
  <c r="N47" i="1"/>
  <c r="N46" i="1"/>
  <c r="N45" i="1"/>
  <c r="N44" i="1"/>
  <c r="R43" i="1"/>
  <c r="N42" i="1"/>
  <c r="N41" i="1"/>
  <c r="R40" i="1"/>
  <c r="N39" i="1"/>
  <c r="N38" i="1"/>
  <c r="N37" i="1"/>
  <c r="N25" i="1"/>
  <c r="N24" i="1"/>
  <c r="N23" i="1"/>
  <c r="N22" i="1"/>
  <c r="R18" i="1"/>
  <c r="R17" i="1"/>
  <c r="R16" i="1"/>
  <c r="R15" i="1"/>
  <c r="A15" i="1"/>
  <c r="F4" i="8" s="1"/>
  <c r="N4" i="1"/>
  <c r="N31" i="1"/>
  <c r="N30" i="1"/>
  <c r="N29" i="1"/>
  <c r="N28" i="1"/>
  <c r="R13" i="1"/>
  <c r="R12" i="1"/>
  <c r="N11" i="1"/>
  <c r="A11" i="1"/>
  <c r="D4" i="8" s="1"/>
  <c r="N10" i="1"/>
  <c r="N9" i="1"/>
  <c r="N8" i="1"/>
  <c r="N7" i="1"/>
  <c r="P16" i="4" l="1"/>
  <c r="R16" i="4"/>
  <c r="T16" i="4" s="1"/>
  <c r="P15" i="4"/>
  <c r="R15" i="4"/>
  <c r="T15" i="4" s="1"/>
  <c r="P14" i="4"/>
  <c r="R14" i="4"/>
  <c r="T14" i="4" s="1"/>
  <c r="P13" i="4"/>
  <c r="R13" i="4"/>
  <c r="T13" i="4" s="1"/>
  <c r="P12" i="4"/>
  <c r="R12" i="4"/>
  <c r="T12" i="4" s="1"/>
  <c r="N11" i="4"/>
  <c r="O11" i="4"/>
  <c r="N10" i="4"/>
  <c r="O10" i="4"/>
  <c r="N9" i="4"/>
  <c r="O9" i="4"/>
  <c r="N8" i="4"/>
  <c r="O8" i="4"/>
  <c r="N7" i="4"/>
  <c r="O7" i="4"/>
  <c r="N6" i="4"/>
  <c r="O6" i="4"/>
  <c r="N5" i="4"/>
  <c r="O5" i="4"/>
  <c r="N4" i="4"/>
  <c r="O4" i="4"/>
  <c r="L31" i="2"/>
  <c r="N31" i="2"/>
  <c r="L30" i="2"/>
  <c r="N30" i="2"/>
  <c r="L29" i="2"/>
  <c r="N29" i="2"/>
  <c r="L22" i="2"/>
  <c r="L21" i="2"/>
  <c r="N21" i="2"/>
  <c r="L20" i="2"/>
  <c r="N20" i="2"/>
  <c r="L19" i="2"/>
  <c r="N19" i="2"/>
  <c r="L18" i="2"/>
  <c r="N18" i="2"/>
  <c r="L17" i="2"/>
  <c r="N17" i="2"/>
  <c r="L16" i="2"/>
  <c r="N16" i="2"/>
  <c r="L15" i="2"/>
  <c r="N15" i="2"/>
  <c r="L14" i="2"/>
  <c r="N14" i="2"/>
  <c r="L13" i="2"/>
  <c r="N13" i="2"/>
  <c r="L12" i="2"/>
  <c r="N12" i="2"/>
  <c r="L11" i="2"/>
  <c r="N11" i="2"/>
  <c r="L10" i="2"/>
  <c r="N10" i="2"/>
  <c r="L9" i="2"/>
  <c r="N9" i="2"/>
  <c r="L8" i="2"/>
  <c r="N8" i="2"/>
  <c r="L7" i="2"/>
  <c r="N7" i="2"/>
  <c r="P136" i="1"/>
  <c r="R136" i="1"/>
  <c r="P135" i="1"/>
  <c r="R135" i="1"/>
  <c r="P134" i="1"/>
  <c r="R134" i="1"/>
  <c r="P133" i="1"/>
  <c r="R133" i="1"/>
  <c r="S132" i="1"/>
  <c r="U132" i="1"/>
  <c r="W132" i="1" s="1"/>
  <c r="AN132" i="1"/>
  <c r="S131" i="1"/>
  <c r="U131" i="1"/>
  <c r="W131" i="1" s="1"/>
  <c r="AN131" i="1"/>
  <c r="P130" i="1"/>
  <c r="R130" i="1"/>
  <c r="P129" i="1"/>
  <c r="R129" i="1"/>
  <c r="P128" i="1"/>
  <c r="R128" i="1"/>
  <c r="L6" i="2"/>
  <c r="N6" i="2"/>
  <c r="L5" i="2"/>
  <c r="N5" i="2"/>
  <c r="L4" i="2"/>
  <c r="N4" i="2"/>
  <c r="P127" i="1"/>
  <c r="R127" i="1"/>
  <c r="P126" i="1"/>
  <c r="R126" i="1"/>
  <c r="P125" i="1"/>
  <c r="R125" i="1"/>
  <c r="S124" i="1"/>
  <c r="U124" i="1"/>
  <c r="W124" i="1" s="1"/>
  <c r="AN124" i="1"/>
  <c r="P123" i="1"/>
  <c r="R123" i="1"/>
  <c r="S122" i="1"/>
  <c r="U122" i="1"/>
  <c r="W122" i="1" s="1"/>
  <c r="AN122" i="1"/>
  <c r="S121" i="1"/>
  <c r="U121" i="1"/>
  <c r="W121" i="1" s="1"/>
  <c r="AN121" i="1"/>
  <c r="P120" i="1"/>
  <c r="R120" i="1"/>
  <c r="P119" i="1"/>
  <c r="R119" i="1"/>
  <c r="P118" i="1"/>
  <c r="R118" i="1"/>
  <c r="P117" i="1"/>
  <c r="R117" i="1"/>
  <c r="P116" i="1"/>
  <c r="R116" i="1"/>
  <c r="P115" i="1"/>
  <c r="R115" i="1"/>
  <c r="P114" i="1"/>
  <c r="R114" i="1"/>
  <c r="P113" i="1"/>
  <c r="R113" i="1"/>
  <c r="P112" i="1"/>
  <c r="R112" i="1"/>
  <c r="P110" i="1"/>
  <c r="R110" i="1"/>
  <c r="P109" i="1"/>
  <c r="R109" i="1"/>
  <c r="P108" i="1"/>
  <c r="R108" i="1"/>
  <c r="P107" i="1"/>
  <c r="R107" i="1"/>
  <c r="P106" i="1"/>
  <c r="R106" i="1"/>
  <c r="P105" i="1"/>
  <c r="R105" i="1"/>
  <c r="P104" i="1"/>
  <c r="R104" i="1"/>
  <c r="P103" i="1"/>
  <c r="R103" i="1"/>
  <c r="P102" i="1"/>
  <c r="R102" i="1"/>
  <c r="P101" i="1"/>
  <c r="R101" i="1"/>
  <c r="S100" i="1"/>
  <c r="U100" i="1"/>
  <c r="W100" i="1" s="1"/>
  <c r="AN100" i="1"/>
  <c r="S99" i="1"/>
  <c r="U99" i="1"/>
  <c r="W99" i="1" s="1"/>
  <c r="AN99" i="1"/>
  <c r="S98" i="1"/>
  <c r="U98" i="1"/>
  <c r="W98" i="1" s="1"/>
  <c r="AN98" i="1"/>
  <c r="S97" i="1"/>
  <c r="U97" i="1"/>
  <c r="W97" i="1" s="1"/>
  <c r="AN97" i="1"/>
  <c r="P96" i="1"/>
  <c r="R96" i="1"/>
  <c r="P95" i="1"/>
  <c r="R95" i="1"/>
  <c r="P94" i="1"/>
  <c r="R94" i="1"/>
  <c r="P93" i="1"/>
  <c r="R93" i="1"/>
  <c r="P92" i="1"/>
  <c r="R92" i="1"/>
  <c r="P91" i="1"/>
  <c r="R91" i="1"/>
  <c r="P90" i="1"/>
  <c r="R90" i="1"/>
  <c r="P89" i="1"/>
  <c r="R89" i="1"/>
  <c r="P88" i="1"/>
  <c r="R88" i="1"/>
  <c r="P87" i="1"/>
  <c r="R87" i="1"/>
  <c r="P86" i="1"/>
  <c r="R86" i="1"/>
  <c r="P85" i="1"/>
  <c r="P84" i="1"/>
  <c r="R84" i="1"/>
  <c r="P83" i="1"/>
  <c r="P82" i="1"/>
  <c r="R82" i="1"/>
  <c r="R81" i="1"/>
  <c r="P81" i="1"/>
  <c r="P80" i="1"/>
  <c r="R80" i="1"/>
  <c r="P79" i="1"/>
  <c r="R79" i="1"/>
  <c r="P78" i="1"/>
  <c r="R78" i="1"/>
  <c r="P76" i="1"/>
  <c r="R76" i="1"/>
  <c r="P73" i="1"/>
  <c r="S70" i="1"/>
  <c r="U70" i="1"/>
  <c r="W70" i="1" s="1"/>
  <c r="AN70" i="1"/>
  <c r="P75" i="1"/>
  <c r="R75" i="1"/>
  <c r="P74" i="1"/>
  <c r="R74" i="1"/>
  <c r="P55" i="1"/>
  <c r="R55" i="1"/>
  <c r="P54" i="1"/>
  <c r="P53" i="1"/>
  <c r="R53" i="1"/>
  <c r="P51" i="1"/>
  <c r="R51" i="1"/>
  <c r="P34" i="1"/>
  <c r="P33" i="1"/>
  <c r="R33" i="1"/>
  <c r="P32" i="1"/>
  <c r="R32" i="1"/>
  <c r="P26" i="1"/>
  <c r="R26" i="1"/>
  <c r="P21" i="1"/>
  <c r="S20" i="1"/>
  <c r="U20" i="1"/>
  <c r="W20" i="1" s="1"/>
  <c r="AN20" i="1"/>
  <c r="S19" i="1"/>
  <c r="U19" i="1"/>
  <c r="W19" i="1" s="1"/>
  <c r="AN19" i="1"/>
  <c r="AN14" i="1"/>
  <c r="S14" i="1"/>
  <c r="U14" i="1"/>
  <c r="W14" i="1" s="1"/>
  <c r="P6" i="1"/>
  <c r="P5" i="1"/>
  <c r="R5" i="1"/>
  <c r="P77" i="1"/>
  <c r="P72" i="1"/>
  <c r="R72" i="1"/>
  <c r="P69" i="1"/>
  <c r="S63" i="1"/>
  <c r="U63" i="1"/>
  <c r="W63" i="1" s="1"/>
  <c r="AN63" i="1"/>
  <c r="AO63" i="1" s="1"/>
  <c r="P61" i="1"/>
  <c r="P60" i="1"/>
  <c r="R60" i="1"/>
  <c r="P58" i="1"/>
  <c r="R58" i="1"/>
  <c r="P57" i="1"/>
  <c r="R57" i="1"/>
  <c r="P56" i="1"/>
  <c r="P68" i="1"/>
  <c r="P67" i="1"/>
  <c r="P64" i="1"/>
  <c r="P62" i="1"/>
  <c r="P52" i="1"/>
  <c r="R52" i="1"/>
  <c r="P36" i="1"/>
  <c r="S35" i="1"/>
  <c r="U35" i="1"/>
  <c r="W35" i="1" s="1"/>
  <c r="AN35" i="1"/>
  <c r="P27" i="1"/>
  <c r="R27" i="1"/>
  <c r="P50" i="1"/>
  <c r="R50" i="1"/>
  <c r="P49" i="1"/>
  <c r="R49" i="1"/>
  <c r="P48" i="1"/>
  <c r="R48" i="1"/>
  <c r="P47" i="1"/>
  <c r="R47" i="1"/>
  <c r="P46" i="1"/>
  <c r="P45" i="1"/>
  <c r="P44" i="1"/>
  <c r="R44" i="1"/>
  <c r="S43" i="1"/>
  <c r="U43" i="1"/>
  <c r="W43" i="1" s="1"/>
  <c r="P42" i="1"/>
  <c r="R42" i="1"/>
  <c r="P41" i="1"/>
  <c r="R41" i="1"/>
  <c r="S40" i="1"/>
  <c r="U40" i="1"/>
  <c r="W40" i="1" s="1"/>
  <c r="AN40" i="1"/>
  <c r="R39" i="1"/>
  <c r="P39" i="1"/>
  <c r="P38" i="1"/>
  <c r="P37" i="1"/>
  <c r="P25" i="1"/>
  <c r="R25" i="1"/>
  <c r="P24" i="1"/>
  <c r="R24" i="1"/>
  <c r="P23" i="1"/>
  <c r="R23" i="1"/>
  <c r="P22" i="1"/>
  <c r="S18" i="1"/>
  <c r="U18" i="1"/>
  <c r="W18" i="1" s="1"/>
  <c r="AN18" i="1"/>
  <c r="U17" i="1"/>
  <c r="W17" i="1" s="1"/>
  <c r="AN17" i="1"/>
  <c r="S17" i="1"/>
  <c r="AN16" i="1"/>
  <c r="S16" i="1"/>
  <c r="U16" i="1"/>
  <c r="W16" i="1" s="1"/>
  <c r="S15" i="1"/>
  <c r="U15" i="1"/>
  <c r="W15" i="1" s="1"/>
  <c r="AN15" i="1"/>
  <c r="P4" i="1"/>
  <c r="R4" i="1"/>
  <c r="P31" i="1"/>
  <c r="R31" i="1"/>
  <c r="P30" i="1"/>
  <c r="R30" i="1"/>
  <c r="P29" i="1"/>
  <c r="R29" i="1"/>
  <c r="P28" i="1"/>
  <c r="R28" i="1"/>
  <c r="S13" i="1"/>
  <c r="U13" i="1"/>
  <c r="W13" i="1" s="1"/>
  <c r="AN13" i="1"/>
  <c r="S12" i="1"/>
  <c r="U12" i="1"/>
  <c r="W12" i="1" s="1"/>
  <c r="AN12" i="1"/>
  <c r="AO12" i="1" s="1"/>
  <c r="P11" i="1"/>
  <c r="R11" i="1"/>
  <c r="P10" i="1"/>
  <c r="R10" i="1"/>
  <c r="P9" i="1"/>
  <c r="R9" i="1"/>
  <c r="P8" i="1"/>
  <c r="R8" i="1"/>
  <c r="P7" i="1"/>
  <c r="R7" i="1"/>
  <c r="AH15" i="4"/>
  <c r="AH14" i="4"/>
  <c r="AH13" i="4"/>
  <c r="AH12" i="4"/>
  <c r="R145" i="1"/>
  <c r="R144" i="1"/>
  <c r="R143" i="1"/>
  <c r="R142" i="1"/>
  <c r="R141" i="1"/>
  <c r="R140" i="1"/>
  <c r="R139" i="1"/>
  <c r="R138" i="1"/>
  <c r="R137" i="1"/>
  <c r="R71" i="1"/>
  <c r="L11" i="6"/>
  <c r="M11" i="6" s="1"/>
  <c r="AH16" i="4"/>
  <c r="D13" i="8"/>
  <c r="L17" i="6"/>
  <c r="M17" i="6" s="1"/>
  <c r="L16" i="6"/>
  <c r="M16" i="6" s="1"/>
  <c r="L14" i="6"/>
  <c r="M14" i="6" s="1"/>
  <c r="L9" i="6"/>
  <c r="M9" i="6" s="1"/>
  <c r="L6" i="6"/>
  <c r="M6" i="6" s="1"/>
  <c r="L5" i="6"/>
  <c r="M5" i="6" s="1"/>
  <c r="F13" i="8"/>
  <c r="L12" i="6"/>
  <c r="M12" i="6" s="1"/>
  <c r="AH11" i="4" l="1"/>
  <c r="P11" i="4"/>
  <c r="R11" i="4"/>
  <c r="T11" i="4" s="1"/>
  <c r="AH10" i="4"/>
  <c r="P10" i="4"/>
  <c r="R10" i="4"/>
  <c r="T10" i="4" s="1"/>
  <c r="AH9" i="4"/>
  <c r="P9" i="4"/>
  <c r="R9" i="4"/>
  <c r="T9" i="4" s="1"/>
  <c r="AH8" i="4"/>
  <c r="P8" i="4"/>
  <c r="R8" i="4"/>
  <c r="T8" i="4" s="1"/>
  <c r="AH7" i="4"/>
  <c r="P7" i="4"/>
  <c r="R7" i="4"/>
  <c r="T7" i="4" s="1"/>
  <c r="AH6" i="4"/>
  <c r="P6" i="4"/>
  <c r="R6" i="4"/>
  <c r="T6" i="4" s="1"/>
  <c r="AH5" i="4"/>
  <c r="P5" i="4"/>
  <c r="A17" i="4" s="1"/>
  <c r="H7" i="8" s="1"/>
  <c r="J7" i="8" s="1"/>
  <c r="R5" i="4"/>
  <c r="T5" i="4" s="1"/>
  <c r="AH4" i="4"/>
  <c r="R4" i="4"/>
  <c r="T4" i="4" s="1"/>
  <c r="O31" i="2"/>
  <c r="Q31" i="2"/>
  <c r="S31" i="2" s="1"/>
  <c r="AG31" i="2"/>
  <c r="O30" i="2"/>
  <c r="Q30" i="2"/>
  <c r="S30" i="2" s="1"/>
  <c r="AG30" i="2"/>
  <c r="O29" i="2"/>
  <c r="Q29" i="2"/>
  <c r="S29" i="2" s="1"/>
  <c r="AG29" i="2"/>
  <c r="O21" i="2"/>
  <c r="Q21" i="2"/>
  <c r="S21" i="2" s="1"/>
  <c r="AG21" i="2"/>
  <c r="O20" i="2"/>
  <c r="Q20" i="2"/>
  <c r="S20" i="2" s="1"/>
  <c r="AG20" i="2"/>
  <c r="O19" i="2"/>
  <c r="Q19" i="2"/>
  <c r="S19" i="2" s="1"/>
  <c r="AG19" i="2"/>
  <c r="O18" i="2"/>
  <c r="Q18" i="2"/>
  <c r="S18" i="2" s="1"/>
  <c r="AG18" i="2"/>
  <c r="O17" i="2"/>
  <c r="Q17" i="2"/>
  <c r="S17" i="2" s="1"/>
  <c r="AG17" i="2"/>
  <c r="O16" i="2"/>
  <c r="Q16" i="2"/>
  <c r="S16" i="2" s="1"/>
  <c r="AG16" i="2"/>
  <c r="O15" i="2"/>
  <c r="Q15" i="2"/>
  <c r="S15" i="2" s="1"/>
  <c r="AG15" i="2"/>
  <c r="O14" i="2"/>
  <c r="Q14" i="2"/>
  <c r="S14" i="2" s="1"/>
  <c r="AG14" i="2"/>
  <c r="O13" i="2"/>
  <c r="Q13" i="2"/>
  <c r="S13" i="2" s="1"/>
  <c r="AG13" i="2"/>
  <c r="O12" i="2"/>
  <c r="Q12" i="2"/>
  <c r="S12" i="2" s="1"/>
  <c r="AG12" i="2"/>
  <c r="O11" i="2"/>
  <c r="Q11" i="2"/>
  <c r="S11" i="2" s="1"/>
  <c r="AG11" i="2"/>
  <c r="O10" i="2"/>
  <c r="Q10" i="2"/>
  <c r="S10" i="2" s="1"/>
  <c r="AG10" i="2"/>
  <c r="O9" i="2"/>
  <c r="Q9" i="2"/>
  <c r="S9" i="2" s="1"/>
  <c r="AG9" i="2"/>
  <c r="O8" i="2"/>
  <c r="Q8" i="2"/>
  <c r="S8" i="2" s="1"/>
  <c r="AG8" i="2"/>
  <c r="O7" i="2"/>
  <c r="Q7" i="2"/>
  <c r="S7" i="2" s="1"/>
  <c r="AG7" i="2"/>
  <c r="S136" i="1"/>
  <c r="U136" i="1"/>
  <c r="W136" i="1" s="1"/>
  <c r="AN136" i="1"/>
  <c r="S135" i="1"/>
  <c r="U135" i="1"/>
  <c r="W135" i="1" s="1"/>
  <c r="AN135" i="1"/>
  <c r="S134" i="1"/>
  <c r="U134" i="1"/>
  <c r="W134" i="1" s="1"/>
  <c r="AN134" i="1"/>
  <c r="S133" i="1"/>
  <c r="U133" i="1"/>
  <c r="W133" i="1" s="1"/>
  <c r="AN133" i="1"/>
  <c r="S130" i="1"/>
  <c r="U130" i="1"/>
  <c r="W130" i="1" s="1"/>
  <c r="AN130" i="1"/>
  <c r="S129" i="1"/>
  <c r="U129" i="1"/>
  <c r="W129" i="1" s="1"/>
  <c r="AN129" i="1"/>
  <c r="S128" i="1"/>
  <c r="U128" i="1"/>
  <c r="W128" i="1" s="1"/>
  <c r="AN128" i="1"/>
  <c r="O6" i="2"/>
  <c r="Q6" i="2"/>
  <c r="S6" i="2" s="1"/>
  <c r="AG6" i="2"/>
  <c r="O5" i="2"/>
  <c r="Q5" i="2"/>
  <c r="S5" i="2" s="1"/>
  <c r="AG5" i="2"/>
  <c r="O4" i="2"/>
  <c r="Q4" i="2"/>
  <c r="S4" i="2" s="1"/>
  <c r="AG4" i="2"/>
  <c r="S127" i="1"/>
  <c r="U127" i="1"/>
  <c r="W127" i="1" s="1"/>
  <c r="AN127" i="1"/>
  <c r="S126" i="1"/>
  <c r="U126" i="1"/>
  <c r="W126" i="1" s="1"/>
  <c r="AN126" i="1"/>
  <c r="S125" i="1"/>
  <c r="U125" i="1"/>
  <c r="W125" i="1" s="1"/>
  <c r="AN125" i="1"/>
  <c r="S123" i="1"/>
  <c r="U123" i="1"/>
  <c r="W123" i="1" s="1"/>
  <c r="AN123" i="1"/>
  <c r="S120" i="1"/>
  <c r="U120" i="1"/>
  <c r="W120" i="1" s="1"/>
  <c r="AN120" i="1"/>
  <c r="S119" i="1"/>
  <c r="U119" i="1"/>
  <c r="W119" i="1" s="1"/>
  <c r="AN119" i="1"/>
  <c r="S118" i="1"/>
  <c r="U118" i="1"/>
  <c r="W118" i="1" s="1"/>
  <c r="AN118" i="1"/>
  <c r="S117" i="1"/>
  <c r="U117" i="1"/>
  <c r="W117" i="1" s="1"/>
  <c r="AN117" i="1"/>
  <c r="S116" i="1"/>
  <c r="U116" i="1"/>
  <c r="W116" i="1" s="1"/>
  <c r="AN116" i="1"/>
  <c r="S115" i="1"/>
  <c r="U115" i="1"/>
  <c r="W115" i="1" s="1"/>
  <c r="AN115" i="1"/>
  <c r="S114" i="1"/>
  <c r="U114" i="1"/>
  <c r="W114" i="1" s="1"/>
  <c r="AN114" i="1"/>
  <c r="S113" i="1"/>
  <c r="U113" i="1"/>
  <c r="W113" i="1" s="1"/>
  <c r="AN113" i="1"/>
  <c r="S112" i="1"/>
  <c r="U112" i="1"/>
  <c r="W112" i="1" s="1"/>
  <c r="S110" i="1"/>
  <c r="U110" i="1"/>
  <c r="W110" i="1" s="1"/>
  <c r="AN110" i="1"/>
  <c r="S109" i="1"/>
  <c r="U109" i="1"/>
  <c r="W109" i="1" s="1"/>
  <c r="AN109" i="1"/>
  <c r="S108" i="1"/>
  <c r="U108" i="1"/>
  <c r="W108" i="1" s="1"/>
  <c r="AN108" i="1"/>
  <c r="S107" i="1"/>
  <c r="U107" i="1"/>
  <c r="W107" i="1" s="1"/>
  <c r="AN107" i="1"/>
  <c r="S106" i="1"/>
  <c r="U106" i="1"/>
  <c r="W106" i="1" s="1"/>
  <c r="AN106" i="1"/>
  <c r="S105" i="1"/>
  <c r="U105" i="1"/>
  <c r="W105" i="1" s="1"/>
  <c r="AN105" i="1"/>
  <c r="S104" i="1"/>
  <c r="U104" i="1"/>
  <c r="W104" i="1" s="1"/>
  <c r="AN104" i="1"/>
  <c r="S103" i="1"/>
  <c r="U103" i="1"/>
  <c r="W103" i="1" s="1"/>
  <c r="AN103" i="1"/>
  <c r="S102" i="1"/>
  <c r="U102" i="1"/>
  <c r="W102" i="1" s="1"/>
  <c r="AN102" i="1"/>
  <c r="S101" i="1"/>
  <c r="U101" i="1"/>
  <c r="W101" i="1" s="1"/>
  <c r="AN101" i="1"/>
  <c r="S96" i="1"/>
  <c r="U96" i="1"/>
  <c r="W96" i="1" s="1"/>
  <c r="AN96" i="1"/>
  <c r="S95" i="1"/>
  <c r="U95" i="1"/>
  <c r="W95" i="1" s="1"/>
  <c r="AN95" i="1"/>
  <c r="S94" i="1"/>
  <c r="U94" i="1"/>
  <c r="W94" i="1" s="1"/>
  <c r="AN94" i="1"/>
  <c r="S93" i="1"/>
  <c r="U93" i="1"/>
  <c r="W93" i="1" s="1"/>
  <c r="AN93" i="1"/>
  <c r="S92" i="1"/>
  <c r="U92" i="1"/>
  <c r="W92" i="1" s="1"/>
  <c r="AN92" i="1"/>
  <c r="S91" i="1"/>
  <c r="U91" i="1"/>
  <c r="W91" i="1" s="1"/>
  <c r="AN91" i="1"/>
  <c r="S90" i="1"/>
  <c r="U90" i="1"/>
  <c r="W90" i="1" s="1"/>
  <c r="AN90" i="1"/>
  <c r="S89" i="1"/>
  <c r="U89" i="1"/>
  <c r="W89" i="1" s="1"/>
  <c r="AN89" i="1"/>
  <c r="S88" i="1"/>
  <c r="U88" i="1"/>
  <c r="W88" i="1" s="1"/>
  <c r="AN88" i="1"/>
  <c r="S87" i="1"/>
  <c r="U87" i="1"/>
  <c r="W87" i="1" s="1"/>
  <c r="AN87" i="1"/>
  <c r="S86" i="1"/>
  <c r="U86" i="1"/>
  <c r="W86" i="1" s="1"/>
  <c r="AN86" i="1"/>
  <c r="S84" i="1"/>
  <c r="U84" i="1"/>
  <c r="W84" i="1" s="1"/>
  <c r="AN84" i="1"/>
  <c r="S82" i="1"/>
  <c r="U82" i="1"/>
  <c r="W82" i="1" s="1"/>
  <c r="AN82" i="1"/>
  <c r="S81" i="1"/>
  <c r="U81" i="1"/>
  <c r="W81" i="1" s="1"/>
  <c r="AN81" i="1"/>
  <c r="S80" i="1"/>
  <c r="U80" i="1"/>
  <c r="W80" i="1" s="1"/>
  <c r="AN80" i="1"/>
  <c r="S79" i="1"/>
  <c r="U79" i="1"/>
  <c r="W79" i="1" s="1"/>
  <c r="AN79" i="1"/>
  <c r="S78" i="1"/>
  <c r="U78" i="1"/>
  <c r="W78" i="1" s="1"/>
  <c r="AN78" i="1"/>
  <c r="S76" i="1"/>
  <c r="U76" i="1"/>
  <c r="W76" i="1" s="1"/>
  <c r="AN76" i="1"/>
  <c r="S75" i="1"/>
  <c r="U75" i="1"/>
  <c r="W75" i="1" s="1"/>
  <c r="AN75" i="1"/>
  <c r="S74" i="1"/>
  <c r="U74" i="1"/>
  <c r="W74" i="1" s="1"/>
  <c r="AN74" i="1"/>
  <c r="S55" i="1"/>
  <c r="U55" i="1"/>
  <c r="W55" i="1" s="1"/>
  <c r="AN55" i="1"/>
  <c r="S53" i="1"/>
  <c r="U53" i="1"/>
  <c r="W53" i="1" s="1"/>
  <c r="AN53" i="1"/>
  <c r="S51" i="1"/>
  <c r="U51" i="1"/>
  <c r="W51" i="1" s="1"/>
  <c r="AN51" i="1"/>
  <c r="AN33" i="1"/>
  <c r="S33" i="1"/>
  <c r="U33" i="1"/>
  <c r="W33" i="1" s="1"/>
  <c r="U32" i="1"/>
  <c r="W32" i="1" s="1"/>
  <c r="AN32" i="1"/>
  <c r="S32" i="1"/>
  <c r="S26" i="1"/>
  <c r="U26" i="1"/>
  <c r="W26" i="1" s="1"/>
  <c r="AN26" i="1"/>
  <c r="AN5" i="1"/>
  <c r="S5" i="1"/>
  <c r="U5" i="1"/>
  <c r="W5" i="1" s="1"/>
  <c r="U72" i="1"/>
  <c r="W72" i="1" s="1"/>
  <c r="S72" i="1"/>
  <c r="AN72" i="1"/>
  <c r="S60" i="1"/>
  <c r="U60" i="1"/>
  <c r="W60" i="1" s="1"/>
  <c r="AN60" i="1"/>
  <c r="S58" i="1"/>
  <c r="U58" i="1"/>
  <c r="W58" i="1" s="1"/>
  <c r="AN58" i="1"/>
  <c r="S57" i="1"/>
  <c r="U57" i="1"/>
  <c r="W57" i="1" s="1"/>
  <c r="AN57" i="1"/>
  <c r="U52" i="1"/>
  <c r="W52" i="1" s="1"/>
  <c r="AN52" i="1"/>
  <c r="S52" i="1"/>
  <c r="U27" i="1"/>
  <c r="W27" i="1" s="1"/>
  <c r="AN27" i="1"/>
  <c r="S27" i="1"/>
  <c r="S50" i="1"/>
  <c r="U50" i="1"/>
  <c r="W50" i="1" s="1"/>
  <c r="AN50" i="1"/>
  <c r="S49" i="1"/>
  <c r="U49" i="1"/>
  <c r="W49" i="1" s="1"/>
  <c r="AN49" i="1"/>
  <c r="S48" i="1"/>
  <c r="U48" i="1"/>
  <c r="W48" i="1" s="1"/>
  <c r="AN48" i="1"/>
  <c r="AO48" i="1" s="1"/>
  <c r="S47" i="1"/>
  <c r="U47" i="1"/>
  <c r="W47" i="1" s="1"/>
  <c r="AN47" i="1"/>
  <c r="S44" i="1"/>
  <c r="U44" i="1"/>
  <c r="W44" i="1" s="1"/>
  <c r="AN44" i="1"/>
  <c r="S42" i="1"/>
  <c r="U42" i="1"/>
  <c r="W42" i="1" s="1"/>
  <c r="AN42" i="1"/>
  <c r="S41" i="1"/>
  <c r="U41" i="1"/>
  <c r="W41" i="1" s="1"/>
  <c r="AN41" i="1"/>
  <c r="AO40" i="1" s="1"/>
  <c r="U39" i="1"/>
  <c r="W39" i="1" s="1"/>
  <c r="S39" i="1"/>
  <c r="AN39" i="1"/>
  <c r="S25" i="1"/>
  <c r="U25" i="1"/>
  <c r="W25" i="1" s="1"/>
  <c r="AN25" i="1"/>
  <c r="S24" i="1"/>
  <c r="U24" i="1"/>
  <c r="W24" i="1" s="1"/>
  <c r="AN24" i="1"/>
  <c r="S23" i="1"/>
  <c r="U23" i="1"/>
  <c r="W23" i="1" s="1"/>
  <c r="AN23" i="1"/>
  <c r="U4" i="1"/>
  <c r="W4" i="1" s="1"/>
  <c r="A19" i="1"/>
  <c r="H4" i="8" s="1"/>
  <c r="H13" i="8" s="1"/>
  <c r="S4" i="1"/>
  <c r="AN4" i="1"/>
  <c r="S31" i="1"/>
  <c r="U31" i="1"/>
  <c r="W31" i="1" s="1"/>
  <c r="AN31" i="1"/>
  <c r="S30" i="1"/>
  <c r="U30" i="1"/>
  <c r="W30" i="1" s="1"/>
  <c r="AN30" i="1"/>
  <c r="S29" i="1"/>
  <c r="U29" i="1"/>
  <c r="W29" i="1" s="1"/>
  <c r="AN29" i="1"/>
  <c r="S28" i="1"/>
  <c r="U28" i="1"/>
  <c r="W28" i="1" s="1"/>
  <c r="AN28" i="1"/>
  <c r="S11" i="1"/>
  <c r="U11" i="1"/>
  <c r="W11" i="1" s="1"/>
  <c r="AN11" i="1"/>
  <c r="S10" i="1"/>
  <c r="U10" i="1"/>
  <c r="W10" i="1" s="1"/>
  <c r="AN10" i="1"/>
  <c r="S9" i="1"/>
  <c r="U9" i="1"/>
  <c r="W9" i="1" s="1"/>
  <c r="AN9" i="1"/>
  <c r="AO9" i="1" s="1"/>
  <c r="S8" i="1"/>
  <c r="U8" i="1"/>
  <c r="W8" i="1" s="1"/>
  <c r="AN8" i="1"/>
  <c r="S7" i="1"/>
  <c r="U7" i="1"/>
  <c r="W7" i="1" s="1"/>
  <c r="AN7" i="1"/>
  <c r="U145" i="1"/>
  <c r="W145" i="1" s="1"/>
  <c r="S145" i="1"/>
  <c r="U144" i="1"/>
  <c r="W144" i="1" s="1"/>
  <c r="S144" i="1"/>
  <c r="U143" i="1"/>
  <c r="W143" i="1" s="1"/>
  <c r="S143" i="1"/>
  <c r="U142" i="1"/>
  <c r="W142" i="1" s="1"/>
  <c r="S142" i="1"/>
  <c r="U141" i="1"/>
  <c r="W141" i="1" s="1"/>
  <c r="S141" i="1"/>
  <c r="U140" i="1"/>
  <c r="W140" i="1" s="1"/>
  <c r="S140" i="1"/>
  <c r="U139" i="1"/>
  <c r="W139" i="1" s="1"/>
  <c r="S139" i="1"/>
  <c r="U138" i="1"/>
  <c r="W138" i="1" s="1"/>
  <c r="S138" i="1"/>
  <c r="AN137" i="1"/>
  <c r="U137" i="1"/>
  <c r="W137" i="1" s="1"/>
  <c r="S137" i="1"/>
  <c r="S71" i="1"/>
  <c r="AN71" i="1"/>
  <c r="U71" i="1"/>
  <c r="W71" i="1" s="1"/>
  <c r="R45" i="1"/>
  <c r="N22" i="2"/>
  <c r="R85" i="1"/>
  <c r="R54" i="1"/>
  <c r="R34" i="1"/>
  <c r="AO14" i="1"/>
  <c r="R61" i="1"/>
  <c r="R56" i="1"/>
  <c r="A15" i="6"/>
  <c r="J10" i="8" s="1"/>
  <c r="R83" i="1"/>
  <c r="R6" i="1"/>
  <c r="R62" i="1"/>
  <c r="R46" i="1"/>
  <c r="R38" i="1"/>
  <c r="R22" i="1"/>
  <c r="R21" i="1"/>
  <c r="R68" i="1"/>
  <c r="R73" i="1"/>
  <c r="R77" i="1"/>
  <c r="R69" i="1"/>
  <c r="R67" i="1"/>
  <c r="R36" i="1"/>
  <c r="R37" i="1"/>
  <c r="R64" i="1"/>
  <c r="A11" i="6"/>
  <c r="H10" i="8" s="1"/>
  <c r="AN45" i="1" l="1"/>
  <c r="U45" i="1"/>
  <c r="W45" i="1" s="1"/>
  <c r="S45" i="1"/>
  <c r="AG22" i="2"/>
  <c r="Q22" i="2"/>
  <c r="S22" i="2" s="1"/>
  <c r="O22" i="2"/>
  <c r="AN85" i="1"/>
  <c r="U85" i="1"/>
  <c r="W85" i="1" s="1"/>
  <c r="S85" i="1"/>
  <c r="AN54" i="1"/>
  <c r="AO52" i="1" s="1"/>
  <c r="U54" i="1"/>
  <c r="W54" i="1" s="1"/>
  <c r="S54" i="1"/>
  <c r="AN34" i="1"/>
  <c r="AO33" i="1" s="1"/>
  <c r="S34" i="1"/>
  <c r="U34" i="1"/>
  <c r="W34" i="1" s="1"/>
  <c r="AN61" i="1"/>
  <c r="U61" i="1"/>
  <c r="W61" i="1" s="1"/>
  <c r="S61" i="1"/>
  <c r="AN56" i="1"/>
  <c r="AO55" i="1" s="1"/>
  <c r="U56" i="1"/>
  <c r="W56" i="1" s="1"/>
  <c r="S56" i="1"/>
  <c r="AN83" i="1"/>
  <c r="U83" i="1"/>
  <c r="W83" i="1" s="1"/>
  <c r="S83" i="1"/>
  <c r="AN6" i="1"/>
  <c r="U6" i="1"/>
  <c r="W6" i="1" s="1"/>
  <c r="S6" i="1"/>
  <c r="AN62" i="1"/>
  <c r="U62" i="1"/>
  <c r="W62" i="1" s="1"/>
  <c r="S62" i="1"/>
  <c r="AN46" i="1"/>
  <c r="U46" i="1"/>
  <c r="W46" i="1" s="1"/>
  <c r="S46" i="1"/>
  <c r="AN38" i="1"/>
  <c r="U38" i="1"/>
  <c r="W38" i="1" s="1"/>
  <c r="S38" i="1"/>
  <c r="S22" i="1"/>
  <c r="AN22" i="1"/>
  <c r="U22" i="1"/>
  <c r="W22" i="1" s="1"/>
  <c r="AN21" i="1"/>
  <c r="AO21" i="1" s="1"/>
  <c r="U21" i="1"/>
  <c r="W21" i="1" s="1"/>
  <c r="S21" i="1"/>
  <c r="AN68" i="1"/>
  <c r="AO68" i="1" s="1"/>
  <c r="S68" i="1"/>
  <c r="U68" i="1"/>
  <c r="W68" i="1" s="1"/>
  <c r="AN73" i="1"/>
  <c r="S73" i="1"/>
  <c r="U73" i="1"/>
  <c r="W73" i="1" s="1"/>
  <c r="AN77" i="1"/>
  <c r="S77" i="1"/>
  <c r="U77" i="1"/>
  <c r="W77" i="1" s="1"/>
  <c r="AN69" i="1"/>
  <c r="AO69" i="1" s="1"/>
  <c r="U69" i="1"/>
  <c r="W69" i="1" s="1"/>
  <c r="S69" i="1"/>
  <c r="S67" i="1"/>
  <c r="AN67" i="1"/>
  <c r="U67" i="1"/>
  <c r="W67" i="1" s="1"/>
  <c r="AN36" i="1"/>
  <c r="AO36" i="1" s="1"/>
  <c r="U36" i="1"/>
  <c r="W36" i="1" s="1"/>
  <c r="S36" i="1"/>
  <c r="AN37" i="1"/>
  <c r="U37" i="1"/>
  <c r="W37" i="1" s="1"/>
  <c r="S37" i="1"/>
  <c r="AN64" i="1"/>
  <c r="U64" i="1"/>
  <c r="W64" i="1" s="1"/>
  <c r="S64" i="1"/>
  <c r="AO31" i="1"/>
  <c r="AO64" i="1" l="1"/>
  <c r="AO4" i="1"/>
  <c r="A33" i="1"/>
  <c r="AN141" i="1"/>
  <c r="AO45" i="1"/>
  <c r="AO61" i="1"/>
  <c r="A23" i="1"/>
  <c r="J4" i="8" s="1"/>
  <c r="J13" i="8" s="1"/>
</calcChain>
</file>

<file path=xl/sharedStrings.xml><?xml version="1.0" encoding="utf-8"?>
<sst xmlns="http://schemas.openxmlformats.org/spreadsheetml/2006/main" count="1723" uniqueCount="540">
  <si>
    <t>CLIENTES NACIONALES</t>
  </si>
  <si>
    <t>Calendario de Pago ($)</t>
  </si>
  <si>
    <t>Reserva</t>
  </si>
  <si>
    <t>Cliente</t>
  </si>
  <si>
    <t>Programa</t>
  </si>
  <si>
    <t>Fecha</t>
  </si>
  <si>
    <t>Fecha Ejecucion</t>
  </si>
  <si>
    <t>Tarifa Programa (S/I)</t>
  </si>
  <si>
    <t>Abono Reserva (T-60/50%)</t>
  </si>
  <si>
    <t>Saldo Precio (T-30/50%)</t>
  </si>
  <si>
    <t>Pago 1 Real</t>
  </si>
  <si>
    <t>Pago 2 Real</t>
  </si>
  <si>
    <t>Pago 3 Real</t>
  </si>
  <si>
    <t>Pago 4 Real</t>
  </si>
  <si>
    <t>Pago 5 Real</t>
  </si>
  <si>
    <t>Pagado a la</t>
  </si>
  <si>
    <t>Saldo</t>
  </si>
  <si>
    <t>Saldo grupal</t>
  </si>
  <si>
    <t>Numero</t>
  </si>
  <si>
    <t>Grupo</t>
  </si>
  <si>
    <t>Nombre</t>
  </si>
  <si>
    <t>Email</t>
  </si>
  <si>
    <t>Confirmacion reserva</t>
  </si>
  <si>
    <t>Reserva confirmada</t>
  </si>
  <si>
    <t>Calendario</t>
  </si>
  <si>
    <t>noches</t>
  </si>
  <si>
    <t>reserva</t>
  </si>
  <si>
    <t>Check In</t>
  </si>
  <si>
    <t>Check Out</t>
  </si>
  <si>
    <t>Lista</t>
  </si>
  <si>
    <t>Comision o Descuento</t>
  </si>
  <si>
    <t>Monto $Descuento</t>
  </si>
  <si>
    <t>Suplemento base o Non-Angler</t>
  </si>
  <si>
    <t>Bruto</t>
  </si>
  <si>
    <t>Liquido</t>
  </si>
  <si>
    <t>Monto</t>
  </si>
  <si>
    <t>Medio de pago</t>
  </si>
  <si>
    <t>Adeudado</t>
  </si>
  <si>
    <t>Rafael Loyola</t>
  </si>
  <si>
    <t>Jose luis Rodriguez casanueva</t>
  </si>
  <si>
    <t>rafael.loyoladominguez@gmail.com</t>
  </si>
  <si>
    <t>si</t>
  </si>
  <si>
    <t>Baker full</t>
  </si>
  <si>
    <t>Transferencia</t>
  </si>
  <si>
    <t>Borja Rodriguez Rios</t>
  </si>
  <si>
    <t>Total cañas nac.</t>
  </si>
  <si>
    <t>Ignacio Rodiguez Rios</t>
  </si>
  <si>
    <t>Cristian Fabres Ruiz</t>
  </si>
  <si>
    <t>Rafael Loyola Dominguez</t>
  </si>
  <si>
    <t>Diego Garcia</t>
  </si>
  <si>
    <t>dgarcia@ddcorp.cl</t>
  </si>
  <si>
    <t>Webpay</t>
  </si>
  <si>
    <t>Total noches pesca nac.</t>
  </si>
  <si>
    <t>Borja García</t>
  </si>
  <si>
    <t>Beltrán García</t>
  </si>
  <si>
    <t>Cesar Gavilan</t>
  </si>
  <si>
    <t>ssavio11@gmail.com</t>
  </si>
  <si>
    <t>Diego Gavilan</t>
  </si>
  <si>
    <t>Total noches PN temporada</t>
  </si>
  <si>
    <t>JJ Dominguez</t>
  </si>
  <si>
    <t>Jorge Nazer</t>
  </si>
  <si>
    <t>juanjod1@gmail.com</t>
  </si>
  <si>
    <t>Juan Jose Dominguez</t>
  </si>
  <si>
    <t>Rodrigo Qchacovich</t>
  </si>
  <si>
    <t>Ignacio Bascuñan</t>
  </si>
  <si>
    <t>Total bruto nac.</t>
  </si>
  <si>
    <t>Jose Manuel Dominguez</t>
  </si>
  <si>
    <t>Grupo Alex Bratz</t>
  </si>
  <si>
    <t>Alex Bratz</t>
  </si>
  <si>
    <t>Trasnferencia</t>
  </si>
  <si>
    <t>Grupo Santolaya</t>
  </si>
  <si>
    <t>gonzalo@deisa.cl</t>
  </si>
  <si>
    <t>Total liquido nac.</t>
  </si>
  <si>
    <t>Monto pagado a</t>
  </si>
  <si>
    <t xml:space="preserve"> </t>
  </si>
  <si>
    <t>Monto adeudado a</t>
  </si>
  <si>
    <t>Grupo Dieguez</t>
  </si>
  <si>
    <t>Juan dieguez jr</t>
  </si>
  <si>
    <t>Jdieguez@hidrosan.cl</t>
  </si>
  <si>
    <t>Juan dieguez SR</t>
  </si>
  <si>
    <t>Ricardo garif</t>
  </si>
  <si>
    <t>Baker single</t>
  </si>
  <si>
    <t>Grupo Perez</t>
  </si>
  <si>
    <t>Tomas Perez</t>
  </si>
  <si>
    <t>tomasperezjarpa@gmail.com</t>
  </si>
  <si>
    <t>GERARDO PEREZ</t>
  </si>
  <si>
    <t>GONZALO RUSSI</t>
  </si>
  <si>
    <t>webpay</t>
  </si>
  <si>
    <t>ENRIQUE RUSSI</t>
  </si>
  <si>
    <t>Grupo dieguez - dominguez</t>
  </si>
  <si>
    <t>Juango Domingues</t>
  </si>
  <si>
    <t>Pato Rojas</t>
  </si>
  <si>
    <t>patorojas@gmail.com</t>
  </si>
  <si>
    <t>Grupo LLEDO</t>
  </si>
  <si>
    <t>alvaro.lledok@gmail.com</t>
  </si>
  <si>
    <t>Grupo Gill</t>
  </si>
  <si>
    <t>daniel@estudiomatta.com</t>
  </si>
  <si>
    <t>Grupo Rogerio Bra</t>
  </si>
  <si>
    <t>Ttutabrazuca@gmail.com</t>
  </si>
  <si>
    <t>Claudio Riccomini</t>
  </si>
  <si>
    <t>Wise</t>
  </si>
  <si>
    <t>GEUPO RICARDO MEJIA</t>
  </si>
  <si>
    <t>05/08/2025</t>
  </si>
  <si>
    <t>GRUPO RICARDO MEJIA</t>
  </si>
  <si>
    <t>Rjmejiam@gmail.com</t>
  </si>
  <si>
    <t>Non angler</t>
  </si>
  <si>
    <t>05/082025</t>
  </si>
  <si>
    <t>GRUPO DIEGO GARCIA</t>
  </si>
  <si>
    <t>GRUPO DEFILIPPI</t>
  </si>
  <si>
    <t>Gino.defilippi.e@gmail.com</t>
  </si>
  <si>
    <t>26/08/2025</t>
  </si>
  <si>
    <t>GRUPO SANTANDER</t>
  </si>
  <si>
    <t>Leonardo santander</t>
  </si>
  <si>
    <t>Santander.leonardo@gmail.com</t>
  </si>
  <si>
    <t>04/08/2025</t>
  </si>
  <si>
    <t>Grupo Rodolfo de Leon</t>
  </si>
  <si>
    <t>rodoleond@gmail.com</t>
  </si>
  <si>
    <t>20-08-2025</t>
  </si>
  <si>
    <t>Grupo Coria</t>
  </si>
  <si>
    <t>Marcelo coria</t>
  </si>
  <si>
    <t>marcelo.coria45@gmail.com</t>
  </si>
  <si>
    <t>Bake single *</t>
  </si>
  <si>
    <t>01-09-2025</t>
  </si>
  <si>
    <t>Grupo de la Llera</t>
  </si>
  <si>
    <t>Juan Francisco de la llera</t>
  </si>
  <si>
    <t>jfllera@gmail.com</t>
  </si>
  <si>
    <t>04-09-2025</t>
  </si>
  <si>
    <t>Juan carlos de la llera</t>
  </si>
  <si>
    <t>Grupo vallejos</t>
  </si>
  <si>
    <t>Rodrigo cosmelli</t>
  </si>
  <si>
    <t>Info@worldfishingchile.com</t>
  </si>
  <si>
    <t>11/09/2025</t>
  </si>
  <si>
    <t>Jose vallejos</t>
  </si>
  <si>
    <t>Grupo Ariztia</t>
  </si>
  <si>
    <t>Cristobal Ariztia</t>
  </si>
  <si>
    <t>cariztia@mred.cl</t>
  </si>
  <si>
    <t>24/09/2025</t>
  </si>
  <si>
    <t>Grupo Garfia</t>
  </si>
  <si>
    <t>Gonzalo Garfia</t>
  </si>
  <si>
    <t>gonzalogarfiasg@gmail.com</t>
  </si>
  <si>
    <t>Grupo Covarrubias</t>
  </si>
  <si>
    <t>Tomas Cobarrubias</t>
  </si>
  <si>
    <t>tomascovarrubiasc@gmail.com</t>
  </si>
  <si>
    <t>Baker Full</t>
  </si>
  <si>
    <t>Grupo Campaña</t>
  </si>
  <si>
    <t>Carlos Campaña</t>
  </si>
  <si>
    <t>Grupo dieguez</t>
  </si>
  <si>
    <t>Juan dieguez</t>
  </si>
  <si>
    <t>Baker Single</t>
  </si>
  <si>
    <t>Ricardo garib</t>
  </si>
  <si>
    <t>Chalo Santolaya</t>
  </si>
  <si>
    <t>Grupo Ghisolfo</t>
  </si>
  <si>
    <t>Señora</t>
  </si>
  <si>
    <t>Grupo Tito Tagle</t>
  </si>
  <si>
    <t>Grupo Matias Fernandez</t>
  </si>
  <si>
    <t>Grupo Vitores</t>
  </si>
  <si>
    <t>Remigio Vitores</t>
  </si>
  <si>
    <t>Grupo Pardo</t>
  </si>
  <si>
    <t>Grupo coria</t>
  </si>
  <si>
    <t>Chasing brown</t>
  </si>
  <si>
    <t>Juanjo domingues</t>
  </si>
  <si>
    <t>Juanpablo pozo</t>
  </si>
  <si>
    <t>Grupo Houfan</t>
  </si>
  <si>
    <t>Grupo campaña</t>
  </si>
  <si>
    <t>Grupo Cosmelli</t>
  </si>
  <si>
    <t>Chasing the brown</t>
  </si>
  <si>
    <t>Grupo cosmelli</t>
  </si>
  <si>
    <t>Codigo Cloudbeds</t>
  </si>
  <si>
    <t>nombre</t>
  </si>
  <si>
    <t>RUT</t>
  </si>
  <si>
    <t>Adeudao</t>
  </si>
  <si>
    <t>Grupo Andes otoño</t>
  </si>
  <si>
    <t>Grupo Central Anglers Otoño</t>
  </si>
  <si>
    <t>Grupo Andes 2</t>
  </si>
  <si>
    <t>Integrante 1</t>
  </si>
  <si>
    <t>Integrante 2</t>
  </si>
  <si>
    <t>Integrante 3</t>
  </si>
  <si>
    <t>TEMPORADA ACTUAL 25-26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</si>
  <si>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</si>
  <si>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</si>
  <si>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</si>
  <si>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</si>
  <si>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</si>
  <si>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</si>
  <si>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</si>
  <si>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</si>
  <si>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acumulado</t>
  </si>
  <si>
    <t>reservas</t>
  </si>
  <si>
    <t>cañas</t>
  </si>
  <si>
    <t xml:space="preserve">monto </t>
  </si>
  <si>
    <t>TEMPORADA ANTERIOR 24-25</t>
  </si>
  <si>
    <t>TEMPORADA ANTERIOR 23-24</t>
  </si>
  <si>
    <t>reservas a la fecha</t>
  </si>
  <si>
    <t>Real</t>
  </si>
  <si>
    <t>Grupo Orvis Hosted trip George Layton</t>
  </si>
  <si>
    <t>George Layton</t>
  </si>
  <si>
    <t>-</t>
  </si>
  <si>
    <t>Total cañas</t>
  </si>
  <si>
    <t>Integrante 4</t>
  </si>
  <si>
    <t>Integrante 5</t>
  </si>
  <si>
    <t>Integrante 6</t>
  </si>
  <si>
    <t>Total noches pesca inter.</t>
  </si>
  <si>
    <t>Integrante 7</t>
  </si>
  <si>
    <t>Integrante 8</t>
  </si>
  <si>
    <t>Integrante 9</t>
  </si>
  <si>
    <t>Total noches PE temporada</t>
  </si>
  <si>
    <t>Integrante 10</t>
  </si>
  <si>
    <t>Grupo harvey Freed</t>
  </si>
  <si>
    <t>04/12/2025</t>
  </si>
  <si>
    <t>11/12/2025</t>
  </si>
  <si>
    <t>Total liquido</t>
  </si>
  <si>
    <t>Grupo Orvis Joe Mathia</t>
  </si>
  <si>
    <t>23/02/2026</t>
  </si>
  <si>
    <t>27-02-2026</t>
  </si>
  <si>
    <t>Grupo 4 elements</t>
  </si>
  <si>
    <t>integrante 1</t>
  </si>
  <si>
    <t>09-03-2026</t>
  </si>
  <si>
    <t>13-03-2026</t>
  </si>
  <si>
    <t>TEMPORADA ACTUAL</t>
  </si>
  <si>
    <t>TEMPORADA ANTERIOR</t>
  </si>
  <si>
    <t xml:space="preserve">Half o </t>
  </si>
  <si>
    <t>Full day</t>
  </si>
  <si>
    <t>Ejecucion</t>
  </si>
  <si>
    <t>GRUPO RUSH</t>
  </si>
  <si>
    <t>Borde baker</t>
  </si>
  <si>
    <t>GRUPO EXPLORA</t>
  </si>
  <si>
    <t>Total pescas por dia</t>
  </si>
  <si>
    <t>GRUPO HALLE YUNGMEYER</t>
  </si>
  <si>
    <t>GRUPO OPAZO</t>
  </si>
  <si>
    <t>GRUPO GREG VERNON</t>
  </si>
  <si>
    <t>GRUPO EXLORA</t>
  </si>
  <si>
    <t>CONSUELO GAMOND</t>
  </si>
  <si>
    <t>GONZALO COBARRUBIAS</t>
  </si>
  <si>
    <t>PESCA SUDAFRICA</t>
  </si>
  <si>
    <t>GARRETT</t>
  </si>
  <si>
    <t>NN</t>
  </si>
  <si>
    <t>MEREDITH Y NED</t>
  </si>
  <si>
    <t>MAURICIO VALENZUELA</t>
  </si>
  <si>
    <t>EXPLORA</t>
  </si>
  <si>
    <t>GRIMUR</t>
  </si>
  <si>
    <t>ENRIQUE ALCALDE</t>
  </si>
  <si>
    <t>DANIELLA</t>
  </si>
  <si>
    <t>BARRUETO</t>
  </si>
  <si>
    <t>MALLIN COLORADO</t>
  </si>
  <si>
    <t>MAKENCY</t>
  </si>
  <si>
    <t>JC FERNANDEZ</t>
  </si>
  <si>
    <t>BIRDS</t>
  </si>
  <si>
    <t>Borde Baker</t>
  </si>
  <si>
    <t>GUIAS DISPONIBLES</t>
  </si>
  <si>
    <t>DIA</t>
  </si>
  <si>
    <t>ENERO</t>
  </si>
  <si>
    <t>FEBRERO</t>
  </si>
  <si>
    <t>MARZO</t>
  </si>
  <si>
    <t>ABRIL</t>
  </si>
  <si>
    <t>MAYO</t>
  </si>
  <si>
    <t>PARA PESCA POR DIA</t>
  </si>
  <si>
    <t>Leyenda</t>
  </si>
  <si>
    <t>Dia agendado</t>
  </si>
  <si>
    <t xml:space="preserve">Si se requiere as disponibilidad </t>
  </si>
  <si>
    <t>consultar RBP</t>
  </si>
  <si>
    <t>#Guia disponible</t>
  </si>
  <si>
    <t>Nombre de Guia</t>
  </si>
  <si>
    <t>()</t>
  </si>
  <si>
    <t>Origen clientes</t>
  </si>
  <si>
    <t>Sin disponibilidad</t>
  </si>
  <si>
    <t>full day</t>
  </si>
  <si>
    <t>half day</t>
  </si>
  <si>
    <t>GLOBAL</t>
  </si>
  <si>
    <t>ESTADISTICAS PESCA</t>
  </si>
  <si>
    <t>NACIONAL</t>
  </si>
  <si>
    <t>EXTRANJEROS</t>
  </si>
  <si>
    <t>Total cañas extr.</t>
  </si>
  <si>
    <t>Total noches pesca extr.</t>
  </si>
  <si>
    <t>Total bruto extr. USD</t>
  </si>
  <si>
    <t>Total liquido extr. USD</t>
  </si>
  <si>
    <t>* USD A</t>
  </si>
  <si>
    <t>PESCA POR DIA</t>
  </si>
  <si>
    <t>Total bruto pesca x dia</t>
  </si>
  <si>
    <t>Total liquido pesca x dia</t>
  </si>
  <si>
    <t>TOTALES GLOBALES</t>
  </si>
  <si>
    <t>Total noches pesca</t>
  </si>
  <si>
    <t>Total noches pesca temporada</t>
  </si>
  <si>
    <t>Total bruto</t>
  </si>
  <si>
    <t xml:space="preserve">Gonzalo Santolaya </t>
  </si>
  <si>
    <t>Polola Santolaya</t>
  </si>
  <si>
    <t>Grupo Cuñado Solminihac</t>
  </si>
  <si>
    <t>Marcelo Flores</t>
  </si>
  <si>
    <t>Grupo Cuñado Solminiach</t>
  </si>
  <si>
    <t>Claudia Solminiach</t>
  </si>
  <si>
    <t>Grupo Barroso</t>
  </si>
  <si>
    <t>Juan Pablo Barroso</t>
  </si>
  <si>
    <t>Alan Bey</t>
  </si>
  <si>
    <t>Pablo Moccocian</t>
  </si>
  <si>
    <t>Grupo Nak Nek</t>
  </si>
  <si>
    <t>Jim Johnson</t>
  </si>
  <si>
    <t>Mauricio Alamos</t>
  </si>
  <si>
    <t>Phyllis Johnson</t>
  </si>
  <si>
    <t>Grupo Quezada</t>
  </si>
  <si>
    <t>Ruben Quezada</t>
  </si>
  <si>
    <t>Piero Bolognesi</t>
  </si>
  <si>
    <t>Jose Arbildua</t>
  </si>
  <si>
    <t>Eduardo Torrejon</t>
  </si>
  <si>
    <t>Miguel Nazar</t>
  </si>
  <si>
    <t>Grupo Andes 1</t>
  </si>
  <si>
    <t>Gustavo Errazuriz</t>
  </si>
  <si>
    <t>Grupo Francois</t>
  </si>
  <si>
    <t>Carlos Allimant</t>
  </si>
  <si>
    <t>Marco Toledo</t>
  </si>
  <si>
    <t>Grupo Big Sky Anglers 3</t>
  </si>
  <si>
    <t>Gozalo Tejero</t>
  </si>
  <si>
    <t>S. Rossi</t>
  </si>
  <si>
    <t>Host</t>
  </si>
  <si>
    <t>Grupo Tomas Icaza</t>
  </si>
  <si>
    <t>Tomas Icaza</t>
  </si>
  <si>
    <t>Lucas Nichols</t>
  </si>
  <si>
    <t>Grupo White Rivers</t>
  </si>
  <si>
    <t>Steve Sonnamaker</t>
  </si>
  <si>
    <t>Jorge Marimon</t>
  </si>
  <si>
    <t>Intrgrante 4</t>
  </si>
  <si>
    <t>Grupo Mike Carl</t>
  </si>
  <si>
    <t>Mike Carl</t>
  </si>
  <si>
    <t>Grupo Stipicic</t>
  </si>
  <si>
    <t>Carlos Stipicic</t>
  </si>
  <si>
    <t>Bill Comai</t>
  </si>
  <si>
    <t>Amador Stipicic</t>
  </si>
  <si>
    <t>Jim Bour</t>
  </si>
  <si>
    <t>Doug Ort</t>
  </si>
  <si>
    <t>Hijo Doug</t>
  </si>
  <si>
    <t>Grupo Central Anglers</t>
  </si>
  <si>
    <t>Roberts</t>
  </si>
  <si>
    <t>Camara man</t>
  </si>
  <si>
    <t>Grupo Orvis Don Mcarty</t>
  </si>
  <si>
    <t>Don Mcarty</t>
  </si>
  <si>
    <t>Fco Quintanilla</t>
  </si>
  <si>
    <t>Allan Mcarty</t>
  </si>
  <si>
    <t>Roberto Schwazenberg</t>
  </si>
  <si>
    <t>Mcarty</t>
  </si>
  <si>
    <t>Mauricio Obrador</t>
  </si>
  <si>
    <t>Grupo Orvis Fryling</t>
  </si>
  <si>
    <t>Greg Fryling</t>
  </si>
  <si>
    <t>Gonzalo Moreno</t>
  </si>
  <si>
    <t>Grupo Harvey</t>
  </si>
  <si>
    <t>Harvey</t>
  </si>
  <si>
    <t>Grupo Kaulen</t>
  </si>
  <si>
    <t>Alejandro Kaulen</t>
  </si>
  <si>
    <t>Allan</t>
  </si>
  <si>
    <t>Padre Alejandro</t>
  </si>
  <si>
    <t>Esposa Allan</t>
  </si>
  <si>
    <t>Madre Alejandro</t>
  </si>
  <si>
    <t>Grupo Rob Wilson</t>
  </si>
  <si>
    <t>Rob</t>
  </si>
  <si>
    <t>Hermana Alejandro</t>
  </si>
  <si>
    <t>Peter</t>
  </si>
  <si>
    <t>Grupo Contreras</t>
  </si>
  <si>
    <t>Alvaro Contreras</t>
  </si>
  <si>
    <t>Grupo Orvis Spink</t>
  </si>
  <si>
    <t>Michael Spink</t>
  </si>
  <si>
    <t>Marcelo Hunfan</t>
  </si>
  <si>
    <t>Thuy Nguyen</t>
  </si>
  <si>
    <t>Hugo Rojas</t>
  </si>
  <si>
    <t>William Spink</t>
  </si>
  <si>
    <t>Grupo Irribarra</t>
  </si>
  <si>
    <t>Roberto Irribara</t>
  </si>
  <si>
    <t>Francisco Chacon</t>
  </si>
  <si>
    <t>Grupo Gellona</t>
  </si>
  <si>
    <t>Jose Gellona</t>
  </si>
  <si>
    <t>Jose Pablo Vergara</t>
  </si>
  <si>
    <t>Jose Vergara</t>
  </si>
  <si>
    <t>Pablo Gellona</t>
  </si>
  <si>
    <t>Pablo Risso</t>
  </si>
  <si>
    <t>Francisco Cervantes</t>
  </si>
  <si>
    <t>Rodrigo Val</t>
  </si>
  <si>
    <t>Javier Molinos</t>
  </si>
  <si>
    <t>Grupo Joaquin Garcia</t>
  </si>
  <si>
    <t>Gian Carlos Rovengo</t>
  </si>
  <si>
    <t>Joaquin Garcia</t>
  </si>
  <si>
    <t>Vicente Garcia</t>
  </si>
  <si>
    <t>Martin Garcia</t>
  </si>
  <si>
    <t>Joaquin Garcia V.</t>
  </si>
  <si>
    <t>Eduardo Von Krestshmann</t>
  </si>
  <si>
    <t>Carlos Cornejo</t>
  </si>
  <si>
    <t>Rodrigo Garcia</t>
  </si>
  <si>
    <t>Jose Luis Garcia</t>
  </si>
  <si>
    <t>Rodrigo Mena</t>
  </si>
  <si>
    <t>Rafael Vargas</t>
  </si>
  <si>
    <t>Sebastian Vergara</t>
  </si>
  <si>
    <t>Hugo Labrin</t>
  </si>
  <si>
    <t>Gonzalo Iturriaga</t>
  </si>
  <si>
    <t>Gonzalo Iturriaga O.</t>
  </si>
  <si>
    <t>Benjamin Garcia</t>
  </si>
  <si>
    <t>Gonzalo Garcia</t>
  </si>
  <si>
    <t>Grupo Leon</t>
  </si>
  <si>
    <t>Rodolfo Leon</t>
  </si>
  <si>
    <t>Nieto Leon</t>
  </si>
  <si>
    <t>Leonardo Santander</t>
  </si>
  <si>
    <t>Grupo Fernandez</t>
  </si>
  <si>
    <t>Matias Fernandez</t>
  </si>
  <si>
    <t>Manuel Jose Zegers</t>
  </si>
  <si>
    <t>Diego Julio</t>
  </si>
  <si>
    <t>Benjamin Undurraga</t>
  </si>
  <si>
    <t>Grupo Santolaya 2</t>
  </si>
  <si>
    <t>Gonzalo Santolaya  sr</t>
  </si>
  <si>
    <t xml:space="preserve">Hijo Santolaya </t>
  </si>
  <si>
    <t>Sobrino Santolaya</t>
  </si>
  <si>
    <t>Grupo Defilippi</t>
  </si>
  <si>
    <t>Gino Defilippi</t>
  </si>
  <si>
    <t>Grupo Del Villar</t>
  </si>
  <si>
    <t>Padre del Villar</t>
  </si>
  <si>
    <t>Sobrino Del Villar</t>
  </si>
  <si>
    <t>Grupo Ralph</t>
  </si>
  <si>
    <t>Ralph</t>
  </si>
  <si>
    <t>Grupo JT Santolaya</t>
  </si>
  <si>
    <t>Jose Tomas Santolaya</t>
  </si>
  <si>
    <t>Sra JT Santolaya</t>
  </si>
  <si>
    <t>Grupo Claudio Araya</t>
  </si>
  <si>
    <t>Claudio Araya</t>
  </si>
  <si>
    <t>Grupo JJ Dominguez</t>
  </si>
  <si>
    <t>Rodrigo Cuchacovich</t>
  </si>
  <si>
    <t>Grupo Stitchkin</t>
  </si>
  <si>
    <t>Juan Pablo Stitchkin</t>
  </si>
  <si>
    <t>Hijo Stitchkin</t>
  </si>
  <si>
    <t>Grupo Gavilan</t>
  </si>
  <si>
    <t>Hijo Gavilan</t>
  </si>
  <si>
    <t>Grupo Jose Vallejo</t>
  </si>
  <si>
    <t>Jose Vallejo</t>
  </si>
  <si>
    <t>Cosmelli</t>
  </si>
  <si>
    <t>Grupo Matetic</t>
  </si>
  <si>
    <t>Arturo Palma</t>
  </si>
  <si>
    <t>Jose Palma</t>
  </si>
  <si>
    <t>Grupo Dighero</t>
  </si>
  <si>
    <t>Humberto Dighero</t>
  </si>
  <si>
    <t>Andres Dighero</t>
  </si>
  <si>
    <t>Grupo Alex</t>
  </si>
  <si>
    <t>Alex</t>
  </si>
  <si>
    <t>Grupo Cabello</t>
  </si>
  <si>
    <t>Rodrigo Cabello</t>
  </si>
  <si>
    <t>Hijo Cabello</t>
  </si>
  <si>
    <t>Ignacio Perez</t>
  </si>
  <si>
    <t>Matias Alvarado</t>
  </si>
  <si>
    <t>Gonzalo Ausin</t>
  </si>
  <si>
    <t>Matias Irrarazabal</t>
  </si>
  <si>
    <t>Grupo FFTR</t>
  </si>
  <si>
    <t>Cristian Rodriguez</t>
  </si>
  <si>
    <t>Sra Rodriguez</t>
  </si>
  <si>
    <t>Grupo Contreras 2</t>
  </si>
  <si>
    <t>Jean Marc</t>
  </si>
  <si>
    <t>Grupo JT Santolaya 2</t>
  </si>
  <si>
    <t>Grupo Tagle</t>
  </si>
  <si>
    <t>Diego Gutierrez</t>
  </si>
  <si>
    <t>Grupo Montero</t>
  </si>
  <si>
    <t>Tomas Montero</t>
  </si>
  <si>
    <t>Raimundo Montero</t>
  </si>
  <si>
    <t>Montero</t>
  </si>
  <si>
    <t>Grupo Jaque</t>
  </si>
  <si>
    <t>Pedro Jaque</t>
  </si>
  <si>
    <t>Juan Dieguez</t>
  </si>
  <si>
    <t>Hijo Dieguez</t>
  </si>
  <si>
    <t>Ricardo Garib</t>
  </si>
  <si>
    <t>Hijo Garib</t>
  </si>
  <si>
    <t>De la Fuente</t>
  </si>
  <si>
    <t>Grupo Perez extension</t>
  </si>
  <si>
    <t>Perez 1</t>
  </si>
  <si>
    <t>Perez 2</t>
  </si>
  <si>
    <t>Perez 3</t>
  </si>
  <si>
    <t>Perez 4</t>
  </si>
  <si>
    <t>Perez 5</t>
  </si>
  <si>
    <t>Perez 6</t>
  </si>
  <si>
    <t>Perez 7</t>
  </si>
  <si>
    <t>Perez 8</t>
  </si>
  <si>
    <t>Grupo Diego Garcia</t>
  </si>
  <si>
    <t>1 Apellido</t>
  </si>
  <si>
    <t>2 Apellido</t>
  </si>
  <si>
    <t>Nacionalidad</t>
  </si>
  <si>
    <t>Telefono</t>
  </si>
  <si>
    <t>Idioma</t>
  </si>
  <si>
    <t>Mercado</t>
  </si>
  <si>
    <t>Alan</t>
  </si>
  <si>
    <t>Alejandro</t>
  </si>
  <si>
    <t>Alvaro</t>
  </si>
  <si>
    <t>Amador</t>
  </si>
  <si>
    <t>Andres</t>
  </si>
  <si>
    <t>Arturo</t>
  </si>
  <si>
    <t>Benjamin</t>
  </si>
  <si>
    <t>Carlos</t>
  </si>
  <si>
    <t>Cesar</t>
  </si>
  <si>
    <t>Claudia</t>
  </si>
  <si>
    <t>Claudio</t>
  </si>
  <si>
    <t>Diego</t>
  </si>
  <si>
    <t>Doug</t>
  </si>
  <si>
    <t>Eduardo</t>
  </si>
  <si>
    <t>Francisco</t>
  </si>
  <si>
    <t>Giancarlos</t>
  </si>
  <si>
    <t>Gino</t>
  </si>
  <si>
    <t>Gonzalo</t>
  </si>
  <si>
    <t>Gustavo</t>
  </si>
  <si>
    <t>Hugo</t>
  </si>
  <si>
    <t>Humberto</t>
  </si>
  <si>
    <t>Ignacio</t>
  </si>
  <si>
    <t>Javier</t>
  </si>
  <si>
    <t>Juan José</t>
  </si>
  <si>
    <t>Joaquin</t>
  </si>
  <si>
    <t>Jorge</t>
  </si>
  <si>
    <t>José</t>
  </si>
  <si>
    <t>José Luis</t>
  </si>
  <si>
    <t>José Manuel</t>
  </si>
  <si>
    <t>José Pablo</t>
  </si>
  <si>
    <t>José Tomás</t>
  </si>
  <si>
    <t>Juan Pablo</t>
  </si>
  <si>
    <t>Leonardo</t>
  </si>
  <si>
    <t>Lucas</t>
  </si>
  <si>
    <t>Manuel</t>
  </si>
  <si>
    <t>Marcelo</t>
  </si>
  <si>
    <t>Marco</t>
  </si>
  <si>
    <t>Martín</t>
  </si>
  <si>
    <t>Matías</t>
  </si>
  <si>
    <t>Mauricio</t>
  </si>
  <si>
    <t>Miguel</t>
  </si>
  <si>
    <t>Pablo</t>
  </si>
  <si>
    <t>Piero</t>
  </si>
  <si>
    <t>Rafael</t>
  </si>
  <si>
    <t>Roberto</t>
  </si>
  <si>
    <t>Rodolfo</t>
  </si>
  <si>
    <t>Rodrigo</t>
  </si>
  <si>
    <t>Ruben</t>
  </si>
  <si>
    <t>Sebastián</t>
  </si>
  <si>
    <t>Tomás</t>
  </si>
  <si>
    <t>Vicente</t>
  </si>
  <si>
    <t>Bey</t>
  </si>
  <si>
    <t>Kaulen</t>
  </si>
  <si>
    <t>Contreras</t>
  </si>
  <si>
    <t>Stipicic</t>
  </si>
  <si>
    <t>Dighero</t>
  </si>
  <si>
    <t>Palma</t>
  </si>
  <si>
    <t>Garcia</t>
  </si>
  <si>
    <t>Undurraga</t>
  </si>
  <si>
    <t>Allimant</t>
  </si>
  <si>
    <t>Cornejo</t>
  </si>
  <si>
    <t>Gavilan</t>
  </si>
  <si>
    <t>Solminiach</t>
  </si>
  <si>
    <t>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</si>
</sst>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 &quot;$&quot;* #,##0_ ;_ &quot;$&quot;* \-#,##0_ ;_ &quot;$&quot;* &quot;-&quot;_ ;_ @_ "/>
    <numFmt numFmtId="164" formatCode="d/mm/yyyy"/>
    <numFmt numFmtId="165" formatCode="[$$]#,##0"/>
    <numFmt numFmtId="166" formatCode="#,##0.00\ [$€-1]"/>
    <numFmt numFmtId="167" formatCode="d/m/yyyy"/>
    <numFmt numFmtId="168" formatCode="dd/mm/yyyy"/>
    <numFmt numFmtId="169" formatCode="d\-m\-yyyy"/>
    <numFmt numFmtId="170" formatCode="dd\-mm\-yyyy"/>
    <numFmt numFmtId="171" formatCode="d\-m\-yy"/>
    <numFmt numFmtId="172" formatCode="dd\-mm\-yy"/>
    <numFmt numFmtId="173" formatCode="d/m"/>
  </numFmts>
  <fonts count="1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b/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B3E5A1"/>
        <bgColor rgb="FFB3E5A1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9" fontId="3" fillId="0" borderId="0" xfId="0" applyNumberFormat="1" applyFont="1" applyAlignment="1">
      <alignment horizontal="center"/>
    </xf>
    <xf numFmtId="0" fontId="4" fillId="2" borderId="0" xfId="0" applyFont="1" applyFill="1"/>
    <xf numFmtId="0" fontId="6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0" borderId="0" xfId="0" applyFont="1"/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4" xfId="0" applyFont="1" applyBorder="1"/>
    <xf numFmtId="0" fontId="6" fillId="2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9" fontId="6" fillId="0" borderId="4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6" fontId="6" fillId="0" borderId="7" xfId="0" applyNumberFormat="1" applyFont="1" applyBorder="1" applyAlignment="1">
      <alignment horizontal="center"/>
    </xf>
    <xf numFmtId="0" fontId="3" fillId="0" borderId="6" xfId="0" applyFont="1" applyBorder="1"/>
    <xf numFmtId="167" fontId="4" fillId="0" borderId="0" xfId="0" applyNumberFormat="1" applyFont="1"/>
    <xf numFmtId="0" fontId="6" fillId="2" borderId="0" xfId="0" applyFont="1" applyFill="1" applyAlignment="1">
      <alignment horizontal="center"/>
    </xf>
    <xf numFmtId="0" fontId="6" fillId="2" borderId="8" xfId="0" applyFont="1" applyFill="1" applyBorder="1" applyAlignment="1">
      <alignment horizontal="center"/>
    </xf>
    <xf numFmtId="49" fontId="8" fillId="0" borderId="8" xfId="0" applyNumberFormat="1" applyFont="1" applyBorder="1"/>
    <xf numFmtId="0" fontId="9" fillId="0" borderId="9" xfId="0" applyFont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8" fillId="0" borderId="9" xfId="0" applyFont="1" applyBorder="1" applyAlignment="1">
      <alignment horizontal="left"/>
    </xf>
    <xf numFmtId="1" fontId="6" fillId="0" borderId="10" xfId="0" applyNumberFormat="1" applyFont="1" applyBorder="1" applyAlignment="1">
      <alignment horizontal="center"/>
    </xf>
    <xf numFmtId="49" fontId="6" fillId="2" borderId="9" xfId="0" applyNumberFormat="1" applyFont="1" applyFill="1" applyBorder="1"/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3" fontId="6" fillId="2" borderId="7" xfId="0" applyNumberFormat="1" applyFont="1" applyFill="1" applyBorder="1" applyAlignment="1">
      <alignment horizontal="center"/>
    </xf>
    <xf numFmtId="9" fontId="6" fillId="2" borderId="4" xfId="0" applyNumberFormat="1" applyFont="1" applyFill="1" applyBorder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42" fontId="6" fillId="2" borderId="7" xfId="0" applyNumberFormat="1" applyFont="1" applyFill="1" applyBorder="1"/>
    <xf numFmtId="3" fontId="6" fillId="2" borderId="7" xfId="0" applyNumberFormat="1" applyFont="1" applyFill="1" applyBorder="1"/>
    <xf numFmtId="168" fontId="6" fillId="2" borderId="11" xfId="0" applyNumberFormat="1" applyFont="1" applyFill="1" applyBorder="1" applyAlignment="1">
      <alignment horizontal="center"/>
    </xf>
    <xf numFmtId="3" fontId="6" fillId="2" borderId="12" xfId="0" applyNumberFormat="1" applyFont="1" applyFill="1" applyBorder="1" applyAlignment="1">
      <alignment horizontal="center"/>
    </xf>
    <xf numFmtId="168" fontId="6" fillId="2" borderId="13" xfId="0" applyNumberFormat="1" applyFont="1" applyFill="1" applyBorder="1" applyAlignment="1">
      <alignment horizontal="center"/>
    </xf>
    <xf numFmtId="3" fontId="6" fillId="2" borderId="14" xfId="0" applyNumberFormat="1" applyFont="1" applyFill="1" applyBorder="1" applyAlignment="1">
      <alignment horizontal="center"/>
    </xf>
    <xf numFmtId="167" fontId="6" fillId="2" borderId="8" xfId="0" applyNumberFormat="1" applyFont="1" applyFill="1" applyBorder="1"/>
    <xf numFmtId="165" fontId="6" fillId="2" borderId="9" xfId="0" applyNumberFormat="1" applyFont="1" applyFill="1" applyBorder="1"/>
    <xf numFmtId="0" fontId="4" fillId="2" borderId="5" xfId="0" applyFont="1" applyFill="1" applyBorder="1"/>
    <xf numFmtId="169" fontId="4" fillId="2" borderId="9" xfId="0" applyNumberFormat="1" applyFont="1" applyFill="1" applyBorder="1"/>
    <xf numFmtId="42" fontId="6" fillId="2" borderId="9" xfId="0" applyNumberFormat="1" applyFont="1" applyFill="1" applyBorder="1"/>
    <xf numFmtId="0" fontId="3" fillId="2" borderId="9" xfId="0" applyFont="1" applyFill="1" applyBorder="1"/>
    <xf numFmtId="0" fontId="3" fillId="2" borderId="8" xfId="0" applyFont="1" applyFill="1" applyBorder="1"/>
    <xf numFmtId="166" fontId="3" fillId="2" borderId="9" xfId="0" applyNumberFormat="1" applyFont="1" applyFill="1" applyBorder="1"/>
    <xf numFmtId="0" fontId="3" fillId="2" borderId="5" xfId="0" applyFont="1" applyFill="1" applyBorder="1"/>
    <xf numFmtId="42" fontId="6" fillId="2" borderId="8" xfId="0" applyNumberFormat="1" applyFont="1" applyFill="1" applyBorder="1"/>
    <xf numFmtId="42" fontId="6" fillId="2" borderId="5" xfId="0" applyNumberFormat="1" applyFont="1" applyFill="1" applyBorder="1"/>
    <xf numFmtId="3" fontId="4" fillId="2" borderId="4" xfId="0" applyNumberFormat="1" applyFont="1" applyFill="1" applyBorder="1"/>
    <xf numFmtId="3" fontId="4" fillId="2" borderId="0" xfId="0" applyNumberFormat="1" applyFont="1" applyFill="1"/>
    <xf numFmtId="0" fontId="6" fillId="2" borderId="15" xfId="0" applyFont="1" applyFill="1" applyBorder="1" applyAlignment="1">
      <alignment horizontal="center"/>
    </xf>
    <xf numFmtId="49" fontId="8" fillId="0" borderId="15" xfId="0" applyNumberFormat="1" applyFont="1" applyBorder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" fontId="6" fillId="0" borderId="16" xfId="0" applyNumberFormat="1" applyFont="1" applyBorder="1" applyAlignment="1">
      <alignment horizontal="center"/>
    </xf>
    <xf numFmtId="49" fontId="6" fillId="2" borderId="0" xfId="0" applyNumberFormat="1" applyFont="1" applyFill="1"/>
    <xf numFmtId="164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/>
    <xf numFmtId="9" fontId="6" fillId="2" borderId="0" xfId="0" applyNumberFormat="1" applyFont="1" applyFill="1" applyAlignment="1">
      <alignment horizontal="center"/>
    </xf>
    <xf numFmtId="42" fontId="6" fillId="2" borderId="7" xfId="0" applyNumberFormat="1" applyFont="1" applyFill="1" applyBorder="1" applyAlignment="1">
      <alignment horizontal="center"/>
    </xf>
    <xf numFmtId="168" fontId="6" fillId="2" borderId="17" xfId="0" applyNumberFormat="1" applyFont="1" applyFill="1" applyBorder="1" applyAlignment="1">
      <alignment horizontal="center"/>
    </xf>
    <xf numFmtId="3" fontId="6" fillId="2" borderId="18" xfId="0" applyNumberFormat="1" applyFont="1" applyFill="1" applyBorder="1" applyAlignment="1">
      <alignment horizontal="center"/>
    </xf>
    <xf numFmtId="168" fontId="6" fillId="2" borderId="19" xfId="0" applyNumberFormat="1" applyFont="1" applyFill="1" applyBorder="1" applyAlignment="1">
      <alignment horizontal="center"/>
    </xf>
    <xf numFmtId="3" fontId="6" fillId="2" borderId="20" xfId="0" applyNumberFormat="1" applyFont="1" applyFill="1" applyBorder="1" applyAlignment="1">
      <alignment horizontal="center"/>
    </xf>
    <xf numFmtId="167" fontId="6" fillId="2" borderId="15" xfId="0" applyNumberFormat="1" applyFont="1" applyFill="1" applyBorder="1"/>
    <xf numFmtId="165" fontId="6" fillId="2" borderId="0" xfId="0" applyNumberFormat="1" applyFont="1" applyFill="1"/>
    <xf numFmtId="0" fontId="4" fillId="2" borderId="21" xfId="0" applyFont="1" applyFill="1" applyBorder="1"/>
    <xf numFmtId="169" fontId="4" fillId="2" borderId="0" xfId="0" applyNumberFormat="1" applyFont="1" applyFill="1"/>
    <xf numFmtId="42" fontId="6" fillId="2" borderId="0" xfId="0" applyNumberFormat="1" applyFont="1" applyFill="1"/>
    <xf numFmtId="0" fontId="3" fillId="2" borderId="0" xfId="0" applyFont="1" applyFill="1"/>
    <xf numFmtId="0" fontId="3" fillId="2" borderId="15" xfId="0" applyFont="1" applyFill="1" applyBorder="1"/>
    <xf numFmtId="166" fontId="3" fillId="2" borderId="0" xfId="0" applyNumberFormat="1" applyFont="1" applyFill="1"/>
    <xf numFmtId="0" fontId="3" fillId="2" borderId="21" xfId="0" applyFont="1" applyFill="1" applyBorder="1"/>
    <xf numFmtId="42" fontId="6" fillId="2" borderId="15" xfId="0" applyNumberFormat="1" applyFont="1" applyFill="1" applyBorder="1"/>
    <xf numFmtId="42" fontId="6" fillId="2" borderId="21" xfId="0" applyNumberFormat="1" applyFont="1" applyFill="1" applyBorder="1"/>
    <xf numFmtId="3" fontId="4" fillId="2" borderId="22" xfId="0" applyNumberFormat="1" applyFont="1" applyFill="1" applyBorder="1"/>
    <xf numFmtId="0" fontId="1" fillId="3" borderId="4" xfId="0" applyFont="1" applyFill="1" applyBorder="1" applyAlignment="1">
      <alignment horizontal="center"/>
    </xf>
    <xf numFmtId="170" fontId="3" fillId="2" borderId="0" xfId="0" applyNumberFormat="1" applyFont="1" applyFill="1"/>
    <xf numFmtId="0" fontId="6" fillId="3" borderId="6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49" fontId="8" fillId="0" borderId="23" xfId="0" applyNumberFormat="1" applyFont="1" applyBorder="1"/>
    <xf numFmtId="0" fontId="9" fillId="0" borderId="24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1" fontId="6" fillId="0" borderId="25" xfId="0" applyNumberFormat="1" applyFont="1" applyBorder="1" applyAlignment="1">
      <alignment horizontal="center"/>
    </xf>
    <xf numFmtId="49" fontId="6" fillId="2" borderId="24" xfId="0" applyNumberFormat="1" applyFont="1" applyFill="1" applyBorder="1"/>
    <xf numFmtId="164" fontId="6" fillId="2" borderId="24" xfId="0" applyNumberFormat="1" applyFont="1" applyFill="1" applyBorder="1" applyAlignment="1">
      <alignment horizontal="right"/>
    </xf>
    <xf numFmtId="164" fontId="6" fillId="2" borderId="24" xfId="0" applyNumberFormat="1" applyFont="1" applyFill="1" applyBorder="1"/>
    <xf numFmtId="9" fontId="6" fillId="2" borderId="24" xfId="0" applyNumberFormat="1" applyFont="1" applyFill="1" applyBorder="1" applyAlignment="1">
      <alignment horizontal="center"/>
    </xf>
    <xf numFmtId="168" fontId="6" fillId="2" borderId="26" xfId="0" applyNumberFormat="1" applyFont="1" applyFill="1" applyBorder="1" applyAlignment="1">
      <alignment horizontal="center"/>
    </xf>
    <xf numFmtId="3" fontId="6" fillId="2" borderId="27" xfId="0" applyNumberFormat="1" applyFont="1" applyFill="1" applyBorder="1" applyAlignment="1">
      <alignment horizontal="center"/>
    </xf>
    <xf numFmtId="168" fontId="6" fillId="2" borderId="28" xfId="0" applyNumberFormat="1" applyFont="1" applyFill="1" applyBorder="1" applyAlignment="1">
      <alignment horizontal="center"/>
    </xf>
    <xf numFmtId="3" fontId="6" fillId="2" borderId="29" xfId="0" applyNumberFormat="1" applyFont="1" applyFill="1" applyBorder="1" applyAlignment="1">
      <alignment horizontal="center"/>
    </xf>
    <xf numFmtId="167" fontId="6" fillId="2" borderId="23" xfId="0" applyNumberFormat="1" applyFont="1" applyFill="1" applyBorder="1"/>
    <xf numFmtId="165" fontId="6" fillId="2" borderId="24" xfId="0" applyNumberFormat="1" applyFont="1" applyFill="1" applyBorder="1"/>
    <xf numFmtId="0" fontId="4" fillId="2" borderId="30" xfId="0" applyFont="1" applyFill="1" applyBorder="1"/>
    <xf numFmtId="170" fontId="3" fillId="2" borderId="24" xfId="0" applyNumberFormat="1" applyFont="1" applyFill="1" applyBorder="1"/>
    <xf numFmtId="42" fontId="6" fillId="2" borderId="24" xfId="0" applyNumberFormat="1" applyFont="1" applyFill="1" applyBorder="1"/>
    <xf numFmtId="0" fontId="3" fillId="2" borderId="24" xfId="0" applyFont="1" applyFill="1" applyBorder="1"/>
    <xf numFmtId="0" fontId="3" fillId="2" borderId="23" xfId="0" applyFont="1" applyFill="1" applyBorder="1"/>
    <xf numFmtId="166" fontId="3" fillId="2" borderId="24" xfId="0" applyNumberFormat="1" applyFont="1" applyFill="1" applyBorder="1"/>
    <xf numFmtId="0" fontId="3" fillId="2" borderId="30" xfId="0" applyFont="1" applyFill="1" applyBorder="1"/>
    <xf numFmtId="42" fontId="6" fillId="2" borderId="23" xfId="0" applyNumberFormat="1" applyFont="1" applyFill="1" applyBorder="1"/>
    <xf numFmtId="42" fontId="6" fillId="2" borderId="30" xfId="0" applyNumberFormat="1" applyFont="1" applyFill="1" applyBorder="1"/>
    <xf numFmtId="49" fontId="9" fillId="0" borderId="8" xfId="0" applyNumberFormat="1" applyFont="1" applyBorder="1"/>
    <xf numFmtId="9" fontId="6" fillId="2" borderId="9" xfId="0" applyNumberFormat="1" applyFont="1" applyFill="1" applyBorder="1" applyAlignment="1">
      <alignment horizontal="center"/>
    </xf>
    <xf numFmtId="168" fontId="3" fillId="2" borderId="9" xfId="0" applyNumberFormat="1" applyFont="1" applyFill="1" applyBorder="1"/>
    <xf numFmtId="0" fontId="1" fillId="4" borderId="4" xfId="0" applyFont="1" applyFill="1" applyBorder="1" applyAlignment="1">
      <alignment horizontal="center"/>
    </xf>
    <xf numFmtId="49" fontId="9" fillId="0" borderId="15" xfId="0" applyNumberFormat="1" applyFont="1" applyBorder="1"/>
    <xf numFmtId="168" fontId="3" fillId="2" borderId="0" xfId="0" applyNumberFormat="1" applyFont="1" applyFill="1"/>
    <xf numFmtId="1" fontId="6" fillId="4" borderId="6" xfId="0" applyNumberFormat="1" applyFont="1" applyFill="1" applyBorder="1" applyAlignment="1">
      <alignment horizontal="center"/>
    </xf>
    <xf numFmtId="49" fontId="9" fillId="0" borderId="23" xfId="0" applyNumberFormat="1" applyFont="1" applyBorder="1"/>
    <xf numFmtId="171" fontId="4" fillId="2" borderId="24" xfId="0" applyNumberFormat="1" applyFont="1" applyFill="1" applyBorder="1"/>
    <xf numFmtId="0" fontId="4" fillId="2" borderId="24" xfId="0" applyFont="1" applyFill="1" applyBorder="1"/>
    <xf numFmtId="169" fontId="4" fillId="2" borderId="23" xfId="0" applyNumberFormat="1" applyFont="1" applyFill="1" applyBorder="1"/>
    <xf numFmtId="166" fontId="6" fillId="2" borderId="24" xfId="0" applyNumberFormat="1" applyFont="1" applyFill="1" applyBorder="1"/>
    <xf numFmtId="3" fontId="4" fillId="2" borderId="6" xfId="0" applyNumberFormat="1" applyFont="1" applyFill="1" applyBorder="1"/>
    <xf numFmtId="0" fontId="4" fillId="2" borderId="9" xfId="0" applyFont="1" applyFill="1" applyBorder="1"/>
    <xf numFmtId="9" fontId="4" fillId="2" borderId="24" xfId="0" applyNumberFormat="1" applyFont="1" applyFill="1" applyBorder="1" applyAlignment="1">
      <alignment horizontal="center"/>
    </xf>
    <xf numFmtId="170" fontId="4" fillId="2" borderId="24" xfId="0" applyNumberFormat="1" applyFont="1" applyFill="1" applyBorder="1"/>
    <xf numFmtId="0" fontId="1" fillId="5" borderId="4" xfId="0" applyFont="1" applyFill="1" applyBorder="1" applyAlignment="1">
      <alignment horizontal="center"/>
    </xf>
    <xf numFmtId="9" fontId="3" fillId="2" borderId="9" xfId="0" applyNumberFormat="1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3" fillId="0" borderId="15" xfId="0" applyFont="1" applyBorder="1"/>
    <xf numFmtId="165" fontId="3" fillId="0" borderId="0" xfId="0" applyNumberFormat="1" applyFont="1"/>
    <xf numFmtId="168" fontId="6" fillId="2" borderId="15" xfId="0" applyNumberFormat="1" applyFont="1" applyFill="1" applyBorder="1"/>
    <xf numFmtId="170" fontId="4" fillId="2" borderId="0" xfId="0" applyNumberFormat="1" applyFont="1" applyFill="1"/>
    <xf numFmtId="0" fontId="10" fillId="6" borderId="4" xfId="0" applyFont="1" applyFill="1" applyBorder="1" applyAlignment="1">
      <alignment horizontal="center"/>
    </xf>
    <xf numFmtId="9" fontId="3" fillId="2" borderId="24" xfId="0" applyNumberFormat="1" applyFont="1" applyFill="1" applyBorder="1" applyAlignment="1">
      <alignment horizontal="center"/>
    </xf>
    <xf numFmtId="169" fontId="4" fillId="2" borderId="24" xfId="0" applyNumberFormat="1" applyFont="1" applyFill="1" applyBorder="1"/>
    <xf numFmtId="165" fontId="6" fillId="7" borderId="6" xfId="0" applyNumberFormat="1" applyFont="1" applyFill="1" applyBorder="1" applyAlignment="1">
      <alignment horizontal="center"/>
    </xf>
    <xf numFmtId="49" fontId="8" fillId="8" borderId="8" xfId="0" applyNumberFormat="1" applyFont="1" applyFill="1" applyBorder="1"/>
    <xf numFmtId="0" fontId="9" fillId="8" borderId="9" xfId="0" applyFont="1" applyFill="1" applyBorder="1" applyAlignment="1">
      <alignment horizontal="left"/>
    </xf>
    <xf numFmtId="1" fontId="6" fillId="8" borderId="10" xfId="0" applyNumberFormat="1" applyFont="1" applyFill="1" applyBorder="1" applyAlignment="1">
      <alignment horizontal="center"/>
    </xf>
    <xf numFmtId="49" fontId="6" fillId="8" borderId="9" xfId="0" applyNumberFormat="1" applyFont="1" applyFill="1" applyBorder="1"/>
    <xf numFmtId="164" fontId="6" fillId="8" borderId="9" xfId="0" applyNumberFormat="1" applyFont="1" applyFill="1" applyBorder="1" applyAlignment="1">
      <alignment horizontal="right"/>
    </xf>
    <xf numFmtId="164" fontId="6" fillId="8" borderId="9" xfId="0" applyNumberFormat="1" applyFont="1" applyFill="1" applyBorder="1"/>
    <xf numFmtId="3" fontId="6" fillId="8" borderId="7" xfId="0" applyNumberFormat="1" applyFont="1" applyFill="1" applyBorder="1" applyAlignment="1">
      <alignment horizontal="center"/>
    </xf>
    <xf numFmtId="9" fontId="6" fillId="8" borderId="9" xfId="0" applyNumberFormat="1" applyFont="1" applyFill="1" applyBorder="1" applyAlignment="1">
      <alignment horizontal="center"/>
    </xf>
    <xf numFmtId="42" fontId="6" fillId="8" borderId="7" xfId="0" applyNumberFormat="1" applyFont="1" applyFill="1" applyBorder="1"/>
    <xf numFmtId="3" fontId="6" fillId="8" borderId="7" xfId="0" applyNumberFormat="1" applyFont="1" applyFill="1" applyBorder="1"/>
    <xf numFmtId="168" fontId="6" fillId="8" borderId="11" xfId="0" applyNumberFormat="1" applyFont="1" applyFill="1" applyBorder="1" applyAlignment="1">
      <alignment horizontal="center"/>
    </xf>
    <xf numFmtId="3" fontId="6" fillId="8" borderId="12" xfId="0" applyNumberFormat="1" applyFont="1" applyFill="1" applyBorder="1" applyAlignment="1">
      <alignment horizontal="center"/>
    </xf>
    <xf numFmtId="168" fontId="6" fillId="8" borderId="13" xfId="0" applyNumberFormat="1" applyFont="1" applyFill="1" applyBorder="1" applyAlignment="1">
      <alignment horizontal="center"/>
    </xf>
    <xf numFmtId="3" fontId="6" fillId="8" borderId="14" xfId="0" applyNumberFormat="1" applyFont="1" applyFill="1" applyBorder="1" applyAlignment="1">
      <alignment horizontal="center"/>
    </xf>
    <xf numFmtId="167" fontId="6" fillId="8" borderId="8" xfId="0" applyNumberFormat="1" applyFont="1" applyFill="1" applyBorder="1"/>
    <xf numFmtId="165" fontId="6" fillId="8" borderId="9" xfId="0" applyNumberFormat="1" applyFont="1" applyFill="1" applyBorder="1"/>
    <xf numFmtId="0" fontId="3" fillId="8" borderId="5" xfId="0" applyFont="1" applyFill="1" applyBorder="1"/>
    <xf numFmtId="169" fontId="4" fillId="8" borderId="9" xfId="0" applyNumberFormat="1" applyFont="1" applyFill="1" applyBorder="1"/>
    <xf numFmtId="42" fontId="6" fillId="8" borderId="9" xfId="0" applyNumberFormat="1" applyFont="1" applyFill="1" applyBorder="1"/>
    <xf numFmtId="0" fontId="4" fillId="8" borderId="9" xfId="0" applyFont="1" applyFill="1" applyBorder="1"/>
    <xf numFmtId="0" fontId="3" fillId="8" borderId="8" xfId="0" applyFont="1" applyFill="1" applyBorder="1"/>
    <xf numFmtId="166" fontId="3" fillId="8" borderId="9" xfId="0" applyNumberFormat="1" applyFont="1" applyFill="1" applyBorder="1"/>
    <xf numFmtId="0" fontId="3" fillId="8" borderId="9" xfId="0" applyFont="1" applyFill="1" applyBorder="1"/>
    <xf numFmtId="42" fontId="6" fillId="8" borderId="8" xfId="0" applyNumberFormat="1" applyFont="1" applyFill="1" applyBorder="1"/>
    <xf numFmtId="42" fontId="6" fillId="8" borderId="5" xfId="0" applyNumberFormat="1" applyFont="1" applyFill="1" applyBorder="1"/>
    <xf numFmtId="167" fontId="6" fillId="2" borderId="9" xfId="0" applyNumberFormat="1" applyFont="1" applyFill="1" applyBorder="1"/>
    <xf numFmtId="0" fontId="1" fillId="9" borderId="4" xfId="0" applyFont="1" applyFill="1" applyBorder="1" applyAlignment="1">
      <alignment horizontal="center"/>
    </xf>
    <xf numFmtId="167" fontId="6" fillId="2" borderId="0" xfId="0" applyNumberFormat="1" applyFont="1" applyFill="1"/>
    <xf numFmtId="165" fontId="6" fillId="9" borderId="6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1" fillId="2" borderId="22" xfId="0" applyNumberFormat="1" applyFont="1" applyFill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166" fontId="6" fillId="2" borderId="9" xfId="0" applyNumberFormat="1" applyFont="1" applyFill="1" applyBorder="1"/>
    <xf numFmtId="169" fontId="4" fillId="2" borderId="15" xfId="0" applyNumberFormat="1" applyFont="1" applyFill="1" applyBorder="1"/>
    <xf numFmtId="166" fontId="6" fillId="2" borderId="0" xfId="0" applyNumberFormat="1" applyFont="1" applyFill="1"/>
    <xf numFmtId="169" fontId="6" fillId="2" borderId="15" xfId="0" applyNumberFormat="1" applyFont="1" applyFill="1" applyBorder="1"/>
    <xf numFmtId="167" fontId="3" fillId="2" borderId="0" xfId="0" applyNumberFormat="1" applyFont="1" applyFill="1"/>
    <xf numFmtId="168" fontId="3" fillId="2" borderId="8" xfId="0" applyNumberFormat="1" applyFont="1" applyFill="1" applyBorder="1"/>
    <xf numFmtId="166" fontId="4" fillId="2" borderId="0" xfId="0" applyNumberFormat="1" applyFont="1" applyFill="1"/>
    <xf numFmtId="3" fontId="6" fillId="2" borderId="4" xfId="0" applyNumberFormat="1" applyFont="1" applyFill="1" applyBorder="1" applyAlignment="1">
      <alignment horizontal="center"/>
    </xf>
    <xf numFmtId="42" fontId="6" fillId="2" borderId="4" xfId="0" applyNumberFormat="1" applyFont="1" applyFill="1" applyBorder="1"/>
    <xf numFmtId="1" fontId="6" fillId="0" borderId="31" xfId="0" applyNumberFormat="1" applyFont="1" applyBorder="1" applyAlignment="1">
      <alignment horizontal="center"/>
    </xf>
    <xf numFmtId="168" fontId="6" fillId="2" borderId="32" xfId="0" applyNumberFormat="1" applyFont="1" applyFill="1" applyBorder="1" applyAlignment="1">
      <alignment horizontal="center"/>
    </xf>
    <xf numFmtId="3" fontId="6" fillId="2" borderId="33" xfId="0" applyNumberFormat="1" applyFont="1" applyFill="1" applyBorder="1" applyAlignment="1">
      <alignment horizontal="center"/>
    </xf>
    <xf numFmtId="168" fontId="6" fillId="2" borderId="34" xfId="0" applyNumberFormat="1" applyFont="1" applyFill="1" applyBorder="1" applyAlignment="1">
      <alignment horizontal="center"/>
    </xf>
    <xf numFmtId="3" fontId="6" fillId="2" borderId="35" xfId="0" applyNumberFormat="1" applyFont="1" applyFill="1" applyBorder="1" applyAlignment="1">
      <alignment horizontal="center"/>
    </xf>
    <xf numFmtId="49" fontId="9" fillId="10" borderId="9" xfId="0" applyNumberFormat="1" applyFont="1" applyFill="1" applyBorder="1"/>
    <xf numFmtId="0" fontId="9" fillId="0" borderId="8" xfId="0" applyFont="1" applyBorder="1" applyAlignment="1">
      <alignment horizontal="left"/>
    </xf>
    <xf numFmtId="1" fontId="6" fillId="0" borderId="9" xfId="0" applyNumberFormat="1" applyFont="1" applyBorder="1" applyAlignment="1">
      <alignment horizontal="center"/>
    </xf>
    <xf numFmtId="3" fontId="6" fillId="2" borderId="9" xfId="0" applyNumberFormat="1" applyFont="1" applyFill="1" applyBorder="1" applyAlignment="1">
      <alignment horizontal="center"/>
    </xf>
    <xf numFmtId="9" fontId="3" fillId="2" borderId="4" xfId="0" applyNumberFormat="1" applyFont="1" applyFill="1" applyBorder="1" applyAlignment="1">
      <alignment horizontal="center"/>
    </xf>
    <xf numFmtId="3" fontId="6" fillId="2" borderId="9" xfId="0" applyNumberFormat="1" applyFont="1" applyFill="1" applyBorder="1"/>
    <xf numFmtId="168" fontId="6" fillId="2" borderId="8" xfId="0" applyNumberFormat="1" applyFont="1" applyFill="1" applyBorder="1" applyAlignment="1">
      <alignment horizontal="center"/>
    </xf>
    <xf numFmtId="3" fontId="6" fillId="2" borderId="5" xfId="0" applyNumberFormat="1" applyFont="1" applyFill="1" applyBorder="1" applyAlignment="1">
      <alignment horizontal="center"/>
    </xf>
    <xf numFmtId="168" fontId="6" fillId="2" borderId="9" xfId="0" applyNumberFormat="1" applyFont="1" applyFill="1" applyBorder="1" applyAlignment="1">
      <alignment horizontal="center"/>
    </xf>
    <xf numFmtId="49" fontId="9" fillId="10" borderId="0" xfId="0" applyNumberFormat="1" applyFont="1" applyFill="1"/>
    <xf numFmtId="0" fontId="8" fillId="0" borderId="15" xfId="0" applyFont="1" applyBorder="1" applyAlignment="1">
      <alignment horizontal="left"/>
    </xf>
    <xf numFmtId="1" fontId="6" fillId="0" borderId="0" xfId="0" applyNumberFormat="1" applyFont="1" applyAlignment="1">
      <alignment horizontal="center"/>
    </xf>
    <xf numFmtId="3" fontId="6" fillId="2" borderId="0" xfId="0" applyNumberFormat="1" applyFont="1" applyFill="1" applyAlignment="1">
      <alignment horizontal="center"/>
    </xf>
    <xf numFmtId="9" fontId="3" fillId="2" borderId="22" xfId="0" applyNumberFormat="1" applyFont="1" applyFill="1" applyBorder="1" applyAlignment="1">
      <alignment horizontal="center"/>
    </xf>
    <xf numFmtId="42" fontId="6" fillId="2" borderId="22" xfId="0" applyNumberFormat="1" applyFont="1" applyFill="1" applyBorder="1"/>
    <xf numFmtId="3" fontId="6" fillId="2" borderId="0" xfId="0" applyNumberFormat="1" applyFont="1" applyFill="1"/>
    <xf numFmtId="168" fontId="6" fillId="2" borderId="15" xfId="0" applyNumberFormat="1" applyFont="1" applyFill="1" applyBorder="1" applyAlignment="1">
      <alignment horizontal="center"/>
    </xf>
    <xf numFmtId="3" fontId="6" fillId="2" borderId="21" xfId="0" applyNumberFormat="1" applyFont="1" applyFill="1" applyBorder="1" applyAlignment="1">
      <alignment horizontal="center"/>
    </xf>
    <xf numFmtId="168" fontId="6" fillId="2" borderId="0" xfId="0" applyNumberFormat="1" applyFont="1" applyFill="1" applyAlignment="1">
      <alignment horizontal="center"/>
    </xf>
    <xf numFmtId="49" fontId="9" fillId="10" borderId="24" xfId="0" applyNumberFormat="1" applyFont="1" applyFill="1" applyBorder="1"/>
    <xf numFmtId="0" fontId="9" fillId="0" borderId="23" xfId="0" applyFont="1" applyBorder="1" applyAlignment="1">
      <alignment horizontal="left"/>
    </xf>
    <xf numFmtId="1" fontId="6" fillId="0" borderId="24" xfId="0" applyNumberFormat="1" applyFont="1" applyBorder="1" applyAlignment="1">
      <alignment horizontal="center"/>
    </xf>
    <xf numFmtId="3" fontId="6" fillId="2" borderId="24" xfId="0" applyNumberFormat="1" applyFont="1" applyFill="1" applyBorder="1" applyAlignment="1">
      <alignment horizontal="center"/>
    </xf>
    <xf numFmtId="9" fontId="3" fillId="2" borderId="6" xfId="0" applyNumberFormat="1" applyFont="1" applyFill="1" applyBorder="1" applyAlignment="1">
      <alignment horizontal="center"/>
    </xf>
    <xf numFmtId="42" fontId="6" fillId="2" borderId="6" xfId="0" applyNumberFormat="1" applyFont="1" applyFill="1" applyBorder="1"/>
    <xf numFmtId="3" fontId="6" fillId="2" borderId="24" xfId="0" applyNumberFormat="1" applyFont="1" applyFill="1" applyBorder="1"/>
    <xf numFmtId="168" fontId="6" fillId="2" borderId="23" xfId="0" applyNumberFormat="1" applyFont="1" applyFill="1" applyBorder="1" applyAlignment="1">
      <alignment horizontal="center"/>
    </xf>
    <xf numFmtId="3" fontId="6" fillId="2" borderId="30" xfId="0" applyNumberFormat="1" applyFont="1" applyFill="1" applyBorder="1" applyAlignment="1">
      <alignment horizontal="center"/>
    </xf>
    <xf numFmtId="168" fontId="6" fillId="2" borderId="24" xfId="0" applyNumberFormat="1" applyFont="1" applyFill="1" applyBorder="1" applyAlignment="1">
      <alignment horizontal="center"/>
    </xf>
    <xf numFmtId="166" fontId="4" fillId="2" borderId="24" xfId="0" applyNumberFormat="1" applyFont="1" applyFill="1" applyBorder="1"/>
    <xf numFmtId="49" fontId="9" fillId="0" borderId="9" xfId="0" applyNumberFormat="1" applyFont="1" applyBorder="1"/>
    <xf numFmtId="1" fontId="6" fillId="0" borderId="36" xfId="0" applyNumberFormat="1" applyFont="1" applyBorder="1" applyAlignment="1">
      <alignment horizontal="center"/>
    </xf>
    <xf numFmtId="3" fontId="6" fillId="2" borderId="6" xfId="0" applyNumberFormat="1" applyFont="1" applyFill="1" applyBorder="1" applyAlignment="1">
      <alignment horizontal="center"/>
    </xf>
    <xf numFmtId="3" fontId="6" fillId="2" borderId="6" xfId="0" applyNumberFormat="1" applyFont="1" applyFill="1" applyBorder="1"/>
    <xf numFmtId="168" fontId="6" fillId="2" borderId="37" xfId="0" applyNumberFormat="1" applyFont="1" applyFill="1" applyBorder="1" applyAlignment="1">
      <alignment horizontal="center"/>
    </xf>
    <xf numFmtId="3" fontId="6" fillId="2" borderId="38" xfId="0" applyNumberFormat="1" applyFont="1" applyFill="1" applyBorder="1" applyAlignment="1">
      <alignment horizontal="center"/>
    </xf>
    <xf numFmtId="168" fontId="6" fillId="2" borderId="39" xfId="0" applyNumberFormat="1" applyFont="1" applyFill="1" applyBorder="1" applyAlignment="1">
      <alignment horizontal="center"/>
    </xf>
    <xf numFmtId="3" fontId="6" fillId="2" borderId="40" xfId="0" applyNumberFormat="1" applyFont="1" applyFill="1" applyBorder="1" applyAlignment="1">
      <alignment horizontal="center"/>
    </xf>
    <xf numFmtId="49" fontId="9" fillId="0" borderId="0" xfId="0" applyNumberFormat="1" applyFont="1"/>
    <xf numFmtId="49" fontId="9" fillId="0" borderId="24" xfId="0" applyNumberFormat="1" applyFont="1" applyBorder="1"/>
    <xf numFmtId="169" fontId="4" fillId="2" borderId="8" xfId="0" applyNumberFormat="1" applyFont="1" applyFill="1" applyBorder="1"/>
    <xf numFmtId="166" fontId="4" fillId="2" borderId="9" xfId="0" applyNumberFormat="1" applyFont="1" applyFill="1" applyBorder="1"/>
    <xf numFmtId="171" fontId="4" fillId="2" borderId="0" xfId="0" applyNumberFormat="1" applyFont="1" applyFill="1"/>
    <xf numFmtId="165" fontId="4" fillId="2" borderId="0" xfId="0" applyNumberFormat="1" applyFont="1" applyFill="1"/>
    <xf numFmtId="171" fontId="4" fillId="2" borderId="15" xfId="0" applyNumberFormat="1" applyFont="1" applyFill="1" applyBorder="1"/>
    <xf numFmtId="171" fontId="6" fillId="2" borderId="15" xfId="0" applyNumberFormat="1" applyFont="1" applyFill="1" applyBorder="1"/>
    <xf numFmtId="49" fontId="7" fillId="2" borderId="9" xfId="0" applyNumberFormat="1" applyFont="1" applyFill="1" applyBorder="1"/>
    <xf numFmtId="170" fontId="4" fillId="2" borderId="8" xfId="0" applyNumberFormat="1" applyFont="1" applyFill="1" applyBorder="1"/>
    <xf numFmtId="49" fontId="7" fillId="2" borderId="24" xfId="0" applyNumberFormat="1" applyFont="1" applyFill="1" applyBorder="1"/>
    <xf numFmtId="0" fontId="7" fillId="2" borderId="24" xfId="0" applyFont="1" applyFill="1" applyBorder="1" applyAlignment="1">
      <alignment horizontal="left"/>
    </xf>
    <xf numFmtId="170" fontId="4" fillId="2" borderId="23" xfId="0" applyNumberFormat="1" applyFont="1" applyFill="1" applyBorder="1"/>
    <xf numFmtId="49" fontId="7" fillId="2" borderId="2" xfId="0" applyNumberFormat="1" applyFont="1" applyFill="1" applyBorder="1"/>
    <xf numFmtId="0" fontId="7" fillId="2" borderId="2" xfId="0" applyFont="1" applyFill="1" applyBorder="1" applyAlignment="1">
      <alignment horizontal="left"/>
    </xf>
    <xf numFmtId="1" fontId="6" fillId="0" borderId="41" xfId="0" applyNumberFormat="1" applyFont="1" applyBorder="1" applyAlignment="1">
      <alignment horizontal="center"/>
    </xf>
    <xf numFmtId="49" fontId="6" fillId="2" borderId="2" xfId="0" applyNumberFormat="1" applyFont="1" applyFill="1" applyBorder="1"/>
    <xf numFmtId="164" fontId="6" fillId="2" borderId="2" xfId="0" applyNumberFormat="1" applyFont="1" applyFill="1" applyBorder="1" applyAlignment="1">
      <alignment horizontal="right"/>
    </xf>
    <xf numFmtId="164" fontId="6" fillId="2" borderId="2" xfId="0" applyNumberFormat="1" applyFont="1" applyFill="1" applyBorder="1"/>
    <xf numFmtId="9" fontId="6" fillId="2" borderId="2" xfId="0" applyNumberFormat="1" applyFont="1" applyFill="1" applyBorder="1" applyAlignment="1">
      <alignment horizontal="center"/>
    </xf>
    <xf numFmtId="168" fontId="6" fillId="2" borderId="42" xfId="0" applyNumberFormat="1" applyFont="1" applyFill="1" applyBorder="1" applyAlignment="1">
      <alignment horizontal="center"/>
    </xf>
    <xf numFmtId="3" fontId="6" fillId="2" borderId="43" xfId="0" applyNumberFormat="1" applyFont="1" applyFill="1" applyBorder="1" applyAlignment="1">
      <alignment horizontal="center"/>
    </xf>
    <xf numFmtId="168" fontId="6" fillId="2" borderId="44" xfId="0" applyNumberFormat="1" applyFont="1" applyFill="1" applyBorder="1" applyAlignment="1">
      <alignment horizontal="center"/>
    </xf>
    <xf numFmtId="3" fontId="6" fillId="2" borderId="45" xfId="0" applyNumberFormat="1" applyFont="1" applyFill="1" applyBorder="1" applyAlignment="1">
      <alignment horizontal="center"/>
    </xf>
    <xf numFmtId="170" fontId="4" fillId="2" borderId="1" xfId="0" applyNumberFormat="1" applyFont="1" applyFill="1" applyBorder="1"/>
    <xf numFmtId="165" fontId="6" fillId="2" borderId="2" xfId="0" applyNumberFormat="1" applyFont="1" applyFill="1" applyBorder="1"/>
    <xf numFmtId="0" fontId="4" fillId="2" borderId="3" xfId="0" applyFont="1" applyFill="1" applyBorder="1"/>
    <xf numFmtId="171" fontId="4" fillId="2" borderId="2" xfId="0" applyNumberFormat="1" applyFont="1" applyFill="1" applyBorder="1"/>
    <xf numFmtId="42" fontId="6" fillId="2" borderId="2" xfId="0" applyNumberFormat="1" applyFont="1" applyFill="1" applyBorder="1"/>
    <xf numFmtId="0" fontId="4" fillId="2" borderId="2" xfId="0" applyFont="1" applyFill="1" applyBorder="1"/>
    <xf numFmtId="0" fontId="3" fillId="2" borderId="1" xfId="0" applyFont="1" applyFill="1" applyBorder="1"/>
    <xf numFmtId="166" fontId="3" fillId="2" borderId="2" xfId="0" applyNumberFormat="1" applyFont="1" applyFill="1" applyBorder="1"/>
    <xf numFmtId="0" fontId="3" fillId="2" borderId="3" xfId="0" applyFont="1" applyFill="1" applyBorder="1"/>
    <xf numFmtId="0" fontId="3" fillId="2" borderId="2" xfId="0" applyFont="1" applyFill="1" applyBorder="1"/>
    <xf numFmtId="42" fontId="6" fillId="2" borderId="1" xfId="0" applyNumberFormat="1" applyFont="1" applyFill="1" applyBorder="1"/>
    <xf numFmtId="42" fontId="6" fillId="2" borderId="3" xfId="0" applyNumberFormat="1" applyFont="1" applyFill="1" applyBorder="1"/>
    <xf numFmtId="3" fontId="4" fillId="2" borderId="7" xfId="0" applyNumberFormat="1" applyFont="1" applyFill="1" applyBorder="1"/>
    <xf numFmtId="171" fontId="4" fillId="2" borderId="9" xfId="0" applyNumberFormat="1" applyFont="1" applyFill="1" applyBorder="1"/>
    <xf numFmtId="49" fontId="7" fillId="2" borderId="0" xfId="0" applyNumberFormat="1" applyFont="1" applyFill="1"/>
    <xf numFmtId="0" fontId="7" fillId="2" borderId="0" xfId="0" applyFont="1" applyFill="1" applyAlignment="1">
      <alignment horizontal="left"/>
    </xf>
    <xf numFmtId="1" fontId="6" fillId="0" borderId="46" xfId="0" applyNumberFormat="1" applyFont="1" applyBorder="1" applyAlignment="1">
      <alignment horizontal="center"/>
    </xf>
    <xf numFmtId="168" fontId="6" fillId="2" borderId="47" xfId="0" applyNumberFormat="1" applyFont="1" applyFill="1" applyBorder="1" applyAlignment="1">
      <alignment horizontal="center"/>
    </xf>
    <xf numFmtId="3" fontId="6" fillId="2" borderId="48" xfId="0" applyNumberFormat="1" applyFont="1" applyFill="1" applyBorder="1" applyAlignment="1">
      <alignment horizontal="center"/>
    </xf>
    <xf numFmtId="168" fontId="6" fillId="2" borderId="49" xfId="0" applyNumberFormat="1" applyFont="1" applyFill="1" applyBorder="1" applyAlignment="1">
      <alignment horizontal="center"/>
    </xf>
    <xf numFmtId="3" fontId="6" fillId="2" borderId="50" xfId="0" applyNumberFormat="1" applyFont="1" applyFill="1" applyBorder="1" applyAlignment="1">
      <alignment horizontal="center"/>
    </xf>
    <xf numFmtId="168" fontId="3" fillId="2" borderId="15" xfId="0" applyNumberFormat="1" applyFont="1" applyFill="1" applyBorder="1"/>
    <xf numFmtId="168" fontId="3" fillId="2" borderId="23" xfId="0" applyNumberFormat="1" applyFont="1" applyFill="1" applyBorder="1"/>
    <xf numFmtId="168" fontId="3" fillId="2" borderId="1" xfId="0" applyNumberFormat="1" applyFont="1" applyFill="1" applyBorder="1"/>
    <xf numFmtId="171" fontId="4" fillId="2" borderId="1" xfId="0" applyNumberFormat="1" applyFont="1" applyFill="1" applyBorder="1"/>
    <xf numFmtId="166" fontId="4" fillId="2" borderId="2" xfId="0" applyNumberFormat="1" applyFont="1" applyFill="1" applyBorder="1"/>
    <xf numFmtId="171" fontId="4" fillId="2" borderId="8" xfId="0" applyNumberFormat="1" applyFont="1" applyFill="1" applyBorder="1"/>
    <xf numFmtId="9" fontId="3" fillId="2" borderId="2" xfId="0" applyNumberFormat="1" applyFont="1" applyFill="1" applyBorder="1" applyAlignment="1">
      <alignment horizontal="center"/>
    </xf>
    <xf numFmtId="169" fontId="4" fillId="2" borderId="1" xfId="0" applyNumberFormat="1" applyFont="1" applyFill="1" applyBorder="1"/>
    <xf numFmtId="169" fontId="4" fillId="2" borderId="2" xfId="0" applyNumberFormat="1" applyFont="1" applyFill="1" applyBorder="1"/>
    <xf numFmtId="169" fontId="3" fillId="2" borderId="1" xfId="0" applyNumberFormat="1" applyFont="1" applyFill="1" applyBorder="1"/>
    <xf numFmtId="168" fontId="4" fillId="2" borderId="8" xfId="0" applyNumberFormat="1" applyFont="1" applyFill="1" applyBorder="1"/>
    <xf numFmtId="3" fontId="4" fillId="2" borderId="5" xfId="0" applyNumberFormat="1" applyFont="1" applyFill="1" applyBorder="1"/>
    <xf numFmtId="171" fontId="4" fillId="2" borderId="23" xfId="0" applyNumberFormat="1" applyFont="1" applyFill="1" applyBorder="1"/>
    <xf numFmtId="172" fontId="4" fillId="2" borderId="23" xfId="0" applyNumberFormat="1" applyFont="1" applyFill="1" applyBorder="1"/>
    <xf numFmtId="3" fontId="4" fillId="2" borderId="30" xfId="0" applyNumberFormat="1" applyFont="1" applyFill="1" applyBorder="1"/>
    <xf numFmtId="3" fontId="4" fillId="2" borderId="21" xfId="0" applyNumberFormat="1" applyFont="1" applyFill="1" applyBorder="1"/>
    <xf numFmtId="0" fontId="7" fillId="2" borderId="9" xfId="0" applyFont="1" applyFill="1" applyBorder="1"/>
    <xf numFmtId="0" fontId="7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9" fontId="4" fillId="2" borderId="9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169" fontId="3" fillId="2" borderId="8" xfId="0" applyNumberFormat="1" applyFont="1" applyFill="1" applyBorder="1"/>
    <xf numFmtId="165" fontId="3" fillId="2" borderId="9" xfId="0" applyNumberFormat="1" applyFont="1" applyFill="1" applyBorder="1"/>
    <xf numFmtId="0" fontId="7" fillId="2" borderId="24" xfId="0" applyFont="1" applyFill="1" applyBorder="1"/>
    <xf numFmtId="164" fontId="4" fillId="2" borderId="24" xfId="0" applyNumberFormat="1" applyFont="1" applyFill="1" applyBorder="1"/>
    <xf numFmtId="165" fontId="4" fillId="2" borderId="24" xfId="0" applyNumberFormat="1" applyFont="1" applyFill="1" applyBorder="1"/>
    <xf numFmtId="167" fontId="4" fillId="2" borderId="8" xfId="0" applyNumberFormat="1" applyFont="1" applyFill="1" applyBorder="1"/>
    <xf numFmtId="165" fontId="4" fillId="2" borderId="9" xfId="0" applyNumberFormat="1" applyFont="1" applyFill="1" applyBorder="1"/>
    <xf numFmtId="168" fontId="4" fillId="2" borderId="9" xfId="0" applyNumberFormat="1" applyFont="1" applyFill="1" applyBorder="1"/>
    <xf numFmtId="0" fontId="7" fillId="2" borderId="0" xfId="0" applyFont="1" applyFill="1"/>
    <xf numFmtId="164" fontId="4" fillId="2" borderId="0" xfId="0" applyNumberFormat="1" applyFont="1" applyFill="1"/>
    <xf numFmtId="170" fontId="4" fillId="2" borderId="15" xfId="0" applyNumberFormat="1" applyFont="1" applyFill="1" applyBorder="1"/>
    <xf numFmtId="172" fontId="4" fillId="2" borderId="0" xfId="0" applyNumberFormat="1" applyFont="1" applyFill="1"/>
    <xf numFmtId="9" fontId="4" fillId="2" borderId="0" xfId="0" applyNumberFormat="1" applyFont="1" applyFill="1" applyAlignment="1">
      <alignment horizontal="center"/>
    </xf>
    <xf numFmtId="165" fontId="3" fillId="2" borderId="0" xfId="0" applyNumberFormat="1" applyFont="1" applyFill="1"/>
    <xf numFmtId="1" fontId="6" fillId="0" borderId="5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2" xfId="0" applyFont="1" applyFill="1" applyBorder="1"/>
    <xf numFmtId="170" fontId="4" fillId="2" borderId="2" xfId="0" applyNumberFormat="1" applyFont="1" applyFill="1" applyBorder="1"/>
    <xf numFmtId="164" fontId="4" fillId="2" borderId="2" xfId="0" applyNumberFormat="1" applyFont="1" applyFill="1" applyBorder="1"/>
    <xf numFmtId="165" fontId="4" fillId="2" borderId="2" xfId="0" applyNumberFormat="1" applyFont="1" applyFill="1" applyBorder="1"/>
    <xf numFmtId="3" fontId="4" fillId="2" borderId="3" xfId="0" applyNumberFormat="1" applyFont="1" applyFill="1" applyBorder="1"/>
    <xf numFmtId="170" fontId="4" fillId="2" borderId="9" xfId="0" applyNumberFormat="1" applyFont="1" applyFill="1" applyBorder="1"/>
    <xf numFmtId="9" fontId="4" fillId="2" borderId="2" xfId="0" applyNumberFormat="1" applyFont="1" applyFill="1" applyBorder="1" applyAlignment="1">
      <alignment horizontal="center"/>
    </xf>
    <xf numFmtId="172" fontId="4" fillId="2" borderId="1" xfId="0" applyNumberFormat="1" applyFont="1" applyFill="1" applyBorder="1"/>
    <xf numFmtId="172" fontId="4" fillId="2" borderId="8" xfId="0" applyNumberFormat="1" applyFont="1" applyFill="1" applyBorder="1"/>
    <xf numFmtId="0" fontId="4" fillId="2" borderId="15" xfId="0" applyFont="1" applyFill="1" applyBorder="1"/>
    <xf numFmtId="172" fontId="4" fillId="2" borderId="15" xfId="0" applyNumberFormat="1" applyFont="1" applyFill="1" applyBorder="1"/>
    <xf numFmtId="172" fontId="4" fillId="2" borderId="9" xfId="0" applyNumberFormat="1" applyFont="1" applyFill="1" applyBorder="1"/>
    <xf numFmtId="168" fontId="3" fillId="2" borderId="24" xfId="0" applyNumberFormat="1" applyFont="1" applyFill="1" applyBorder="1"/>
    <xf numFmtId="0" fontId="4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/>
    <xf numFmtId="166" fontId="3" fillId="0" borderId="0" xfId="0" applyNumberFormat="1" applyFont="1"/>
    <xf numFmtId="42" fontId="6" fillId="0" borderId="0" xfId="0" applyNumberFormat="1" applyFont="1"/>
    <xf numFmtId="0" fontId="4" fillId="0" borderId="0" xfId="0" applyFont="1"/>
    <xf numFmtId="1" fontId="6" fillId="8" borderId="16" xfId="0" applyNumberFormat="1" applyFont="1" applyFill="1" applyBorder="1" applyAlignment="1">
      <alignment horizontal="center"/>
    </xf>
    <xf numFmtId="170" fontId="4" fillId="0" borderId="0" xfId="0" applyNumberFormat="1" applyFont="1"/>
    <xf numFmtId="168" fontId="6" fillId="8" borderId="16" xfId="0" applyNumberFormat="1" applyFont="1" applyFill="1" applyBorder="1" applyAlignment="1">
      <alignment horizontal="center"/>
    </xf>
    <xf numFmtId="3" fontId="6" fillId="8" borderId="16" xfId="0" applyNumberFormat="1" applyFont="1" applyFill="1" applyBorder="1" applyAlignment="1">
      <alignment horizontal="center"/>
    </xf>
    <xf numFmtId="3" fontId="4" fillId="0" borderId="0" xfId="0" applyNumberFormat="1" applyFont="1"/>
    <xf numFmtId="172" fontId="4" fillId="0" borderId="0" xfId="0" applyNumberFormat="1" applyFont="1"/>
    <xf numFmtId="171" fontId="4" fillId="0" borderId="0" xfId="0" applyNumberFormat="1" applyFont="1"/>
    <xf numFmtId="169" fontId="4" fillId="0" borderId="0" xfId="0" applyNumberFormat="1" applyFont="1"/>
    <xf numFmtId="9" fontId="4" fillId="0" borderId="0" xfId="0" applyNumberFormat="1" applyFont="1"/>
    <xf numFmtId="0" fontId="6" fillId="0" borderId="7" xfId="0" applyFont="1" applyBorder="1"/>
    <xf numFmtId="42" fontId="6" fillId="0" borderId="7" xfId="0" applyNumberFormat="1" applyFont="1" applyBorder="1"/>
    <xf numFmtId="0" fontId="6" fillId="11" borderId="7" xfId="0" applyFont="1" applyFill="1" applyBorder="1"/>
    <xf numFmtId="0" fontId="1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7" fontId="6" fillId="0" borderId="9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9" fontId="6" fillId="0" borderId="9" xfId="0" applyNumberFormat="1" applyFont="1" applyBorder="1" applyAlignment="1">
      <alignment horizontal="center"/>
    </xf>
    <xf numFmtId="3" fontId="6" fillId="0" borderId="7" xfId="0" applyNumberFormat="1" applyFont="1" applyBorder="1"/>
    <xf numFmtId="168" fontId="6" fillId="0" borderId="10" xfId="0" applyNumberFormat="1" applyFont="1" applyBorder="1"/>
    <xf numFmtId="3" fontId="6" fillId="0" borderId="10" xfId="0" applyNumberFormat="1" applyFont="1" applyBorder="1"/>
    <xf numFmtId="165" fontId="6" fillId="0" borderId="9" xfId="0" applyNumberFormat="1" applyFont="1" applyBorder="1" applyAlignment="1">
      <alignment horizontal="center"/>
    </xf>
    <xf numFmtId="42" fontId="6" fillId="0" borderId="9" xfId="0" applyNumberFormat="1" applyFont="1" applyBorder="1"/>
    <xf numFmtId="42" fontId="6" fillId="0" borderId="5" xfId="0" applyNumberFormat="1" applyFont="1" applyBorder="1"/>
    <xf numFmtId="0" fontId="6" fillId="0" borderId="15" xfId="0" applyFont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168" fontId="6" fillId="0" borderId="16" xfId="0" applyNumberFormat="1" applyFont="1" applyBorder="1"/>
    <xf numFmtId="3" fontId="6" fillId="0" borderId="16" xfId="0" applyNumberFormat="1" applyFont="1" applyBorder="1"/>
    <xf numFmtId="169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42" fontId="6" fillId="0" borderId="21" xfId="0" applyNumberFormat="1" applyFont="1" applyBorder="1"/>
    <xf numFmtId="0" fontId="6" fillId="12" borderId="0" xfId="0" applyFont="1" applyFill="1" applyAlignment="1">
      <alignment horizontal="center"/>
    </xf>
    <xf numFmtId="0" fontId="3" fillId="12" borderId="0" xfId="0" applyFont="1" applyFill="1"/>
    <xf numFmtId="1" fontId="6" fillId="12" borderId="16" xfId="0" applyNumberFormat="1" applyFont="1" applyFill="1" applyBorder="1" applyAlignment="1">
      <alignment horizontal="center"/>
    </xf>
    <xf numFmtId="1" fontId="6" fillId="12" borderId="0" xfId="0" applyNumberFormat="1" applyFont="1" applyFill="1" applyAlignment="1">
      <alignment horizontal="center"/>
    </xf>
    <xf numFmtId="167" fontId="6" fillId="12" borderId="0" xfId="0" applyNumberFormat="1" applyFont="1" applyFill="1" applyAlignment="1">
      <alignment horizontal="center"/>
    </xf>
    <xf numFmtId="3" fontId="6" fillId="12" borderId="7" xfId="0" applyNumberFormat="1" applyFont="1" applyFill="1" applyBorder="1" applyAlignment="1">
      <alignment horizontal="center"/>
    </xf>
    <xf numFmtId="9" fontId="6" fillId="12" borderId="0" xfId="0" applyNumberFormat="1" applyFont="1" applyFill="1" applyAlignment="1">
      <alignment horizontal="center"/>
    </xf>
    <xf numFmtId="42" fontId="6" fillId="12" borderId="7" xfId="0" applyNumberFormat="1" applyFont="1" applyFill="1" applyBorder="1"/>
    <xf numFmtId="3" fontId="6" fillId="12" borderId="7" xfId="0" applyNumberFormat="1" applyFont="1" applyFill="1" applyBorder="1"/>
    <xf numFmtId="168" fontId="6" fillId="12" borderId="16" xfId="0" applyNumberFormat="1" applyFont="1" applyFill="1" applyBorder="1"/>
    <xf numFmtId="3" fontId="6" fillId="12" borderId="16" xfId="0" applyNumberFormat="1" applyFont="1" applyFill="1" applyBorder="1"/>
    <xf numFmtId="42" fontId="6" fillId="12" borderId="0" xfId="0" applyNumberFormat="1" applyFont="1" applyFill="1"/>
    <xf numFmtId="42" fontId="6" fillId="12" borderId="21" xfId="0" applyNumberFormat="1" applyFont="1" applyFill="1" applyBorder="1"/>
    <xf numFmtId="0" fontId="6" fillId="0" borderId="23" xfId="0" applyFont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3" fillId="12" borderId="24" xfId="0" applyFont="1" applyFill="1" applyBorder="1"/>
    <xf numFmtId="1" fontId="6" fillId="12" borderId="25" xfId="0" applyNumberFormat="1" applyFont="1" applyFill="1" applyBorder="1" applyAlignment="1">
      <alignment horizontal="center"/>
    </xf>
    <xf numFmtId="1" fontId="6" fillId="12" borderId="24" xfId="0" applyNumberFormat="1" applyFont="1" applyFill="1" applyBorder="1" applyAlignment="1">
      <alignment horizontal="center"/>
    </xf>
    <xf numFmtId="167" fontId="6" fillId="12" borderId="24" xfId="0" applyNumberFormat="1" applyFont="1" applyFill="1" applyBorder="1" applyAlignment="1">
      <alignment horizontal="center"/>
    </xf>
    <xf numFmtId="9" fontId="6" fillId="12" borderId="24" xfId="0" applyNumberFormat="1" applyFont="1" applyFill="1" applyBorder="1" applyAlignment="1">
      <alignment horizontal="center"/>
    </xf>
    <xf numFmtId="168" fontId="6" fillId="12" borderId="25" xfId="0" applyNumberFormat="1" applyFont="1" applyFill="1" applyBorder="1"/>
    <xf numFmtId="3" fontId="6" fillId="12" borderId="25" xfId="0" applyNumberFormat="1" applyFont="1" applyFill="1" applyBorder="1"/>
    <xf numFmtId="42" fontId="6" fillId="12" borderId="24" xfId="0" applyNumberFormat="1" applyFont="1" applyFill="1" applyBorder="1"/>
    <xf numFmtId="42" fontId="6" fillId="12" borderId="30" xfId="0" applyNumberFormat="1" applyFont="1" applyFill="1" applyBorder="1"/>
    <xf numFmtId="0" fontId="3" fillId="0" borderId="9" xfId="0" applyFont="1" applyBorder="1"/>
    <xf numFmtId="49" fontId="6" fillId="0" borderId="9" xfId="0" applyNumberFormat="1" applyFont="1" applyBorder="1"/>
    <xf numFmtId="172" fontId="4" fillId="0" borderId="9" xfId="0" applyNumberFormat="1" applyFont="1" applyBorder="1"/>
    <xf numFmtId="49" fontId="6" fillId="0" borderId="0" xfId="0" applyNumberFormat="1" applyFont="1"/>
    <xf numFmtId="0" fontId="6" fillId="0" borderId="24" xfId="0" applyFont="1" applyBorder="1" applyAlignment="1">
      <alignment horizontal="center"/>
    </xf>
    <xf numFmtId="0" fontId="3" fillId="0" borderId="24" xfId="0" applyFont="1" applyBorder="1"/>
    <xf numFmtId="167" fontId="6" fillId="0" borderId="24" xfId="0" applyNumberFormat="1" applyFont="1" applyBorder="1" applyAlignment="1">
      <alignment horizontal="center"/>
    </xf>
    <xf numFmtId="49" fontId="6" fillId="0" borderId="24" xfId="0" applyNumberFormat="1" applyFont="1" applyBorder="1"/>
    <xf numFmtId="9" fontId="6" fillId="0" borderId="24" xfId="0" applyNumberFormat="1" applyFont="1" applyBorder="1" applyAlignment="1">
      <alignment horizontal="center"/>
    </xf>
    <xf numFmtId="168" fontId="6" fillId="0" borderId="25" xfId="0" applyNumberFormat="1" applyFont="1" applyBorder="1"/>
    <xf numFmtId="3" fontId="6" fillId="0" borderId="25" xfId="0" applyNumberFormat="1" applyFont="1" applyBorder="1"/>
    <xf numFmtId="172" fontId="4" fillId="0" borderId="24" xfId="0" applyNumberFormat="1" applyFont="1" applyBorder="1"/>
    <xf numFmtId="165" fontId="6" fillId="0" borderId="24" xfId="0" applyNumberFormat="1" applyFont="1" applyBorder="1" applyAlignment="1">
      <alignment horizontal="center"/>
    </xf>
    <xf numFmtId="42" fontId="6" fillId="0" borderId="24" xfId="0" applyNumberFormat="1" applyFont="1" applyBorder="1"/>
    <xf numFmtId="42" fontId="6" fillId="0" borderId="30" xfId="0" applyNumberFormat="1" applyFont="1" applyBorder="1"/>
    <xf numFmtId="49" fontId="6" fillId="0" borderId="9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" fontId="6" fillId="0" borderId="9" xfId="0" applyNumberFormat="1" applyFont="1" applyBorder="1"/>
    <xf numFmtId="168" fontId="6" fillId="0" borderId="9" xfId="0" applyNumberFormat="1" applyFont="1" applyBorder="1"/>
    <xf numFmtId="49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6" fillId="0" borderId="0" xfId="0" applyNumberFormat="1" applyFont="1"/>
    <xf numFmtId="168" fontId="6" fillId="0" borderId="0" xfId="0" applyNumberFormat="1" applyFont="1"/>
    <xf numFmtId="167" fontId="6" fillId="0" borderId="0" xfId="0" applyNumberFormat="1" applyFont="1"/>
    <xf numFmtId="49" fontId="6" fillId="0" borderId="24" xfId="0" applyNumberFormat="1" applyFont="1" applyBorder="1" applyAlignment="1">
      <alignment horizontal="center"/>
    </xf>
    <xf numFmtId="3" fontId="6" fillId="0" borderId="24" xfId="0" applyNumberFormat="1" applyFont="1" applyBorder="1" applyAlignment="1">
      <alignment horizontal="center"/>
    </xf>
    <xf numFmtId="3" fontId="6" fillId="0" borderId="24" xfId="0" applyNumberFormat="1" applyFont="1" applyBorder="1"/>
    <xf numFmtId="168" fontId="6" fillId="0" borderId="24" xfId="0" applyNumberFormat="1" applyFont="1" applyBorder="1"/>
    <xf numFmtId="169" fontId="4" fillId="0" borderId="9" xfId="0" applyNumberFormat="1" applyFont="1" applyBorder="1"/>
    <xf numFmtId="0" fontId="4" fillId="0" borderId="9" xfId="0" applyFont="1" applyBorder="1"/>
    <xf numFmtId="167" fontId="6" fillId="0" borderId="24" xfId="0" applyNumberFormat="1" applyFont="1" applyBorder="1"/>
    <xf numFmtId="170" fontId="4" fillId="0" borderId="24" xfId="0" applyNumberFormat="1" applyFont="1" applyBorder="1"/>
    <xf numFmtId="0" fontId="4" fillId="0" borderId="24" xfId="0" applyFont="1" applyBorder="1"/>
    <xf numFmtId="9" fontId="4" fillId="0" borderId="0" xfId="0" applyNumberFormat="1" applyFont="1" applyAlignment="1">
      <alignment horizontal="center"/>
    </xf>
    <xf numFmtId="0" fontId="7" fillId="0" borderId="0" xfId="0" applyFont="1"/>
    <xf numFmtId="169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42" fontId="7" fillId="0" borderId="0" xfId="0" applyNumberFormat="1" applyFont="1"/>
    <xf numFmtId="9" fontId="7" fillId="0" borderId="0" xfId="0" applyNumberFormat="1" applyFont="1"/>
    <xf numFmtId="42" fontId="4" fillId="0" borderId="0" xfId="0" applyNumberFormat="1" applyFont="1"/>
    <xf numFmtId="165" fontId="3" fillId="0" borderId="0" xfId="0" applyNumberFormat="1" applyFont="1" applyAlignment="1">
      <alignment horizontal="center"/>
    </xf>
    <xf numFmtId="9" fontId="6" fillId="0" borderId="5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67" fontId="6" fillId="0" borderId="4" xfId="0" applyNumberFormat="1" applyFont="1" applyBorder="1" applyAlignment="1">
      <alignment horizontal="center"/>
    </xf>
    <xf numFmtId="167" fontId="6" fillId="11" borderId="8" xfId="0" applyNumberFormat="1" applyFont="1" applyFill="1" applyBorder="1" applyAlignment="1">
      <alignment horizontal="center"/>
    </xf>
    <xf numFmtId="3" fontId="6" fillId="2" borderId="22" xfId="0" applyNumberFormat="1" applyFont="1" applyFill="1" applyBorder="1" applyAlignment="1">
      <alignment horizontal="center"/>
    </xf>
    <xf numFmtId="42" fontId="6" fillId="0" borderId="4" xfId="0" applyNumberFormat="1" applyFont="1" applyBorder="1"/>
    <xf numFmtId="3" fontId="6" fillId="0" borderId="4" xfId="0" applyNumberFormat="1" applyFont="1" applyBorder="1"/>
    <xf numFmtId="170" fontId="6" fillId="0" borderId="9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/>
    <xf numFmtId="169" fontId="4" fillId="0" borderId="7" xfId="0" applyNumberFormat="1" applyFont="1" applyBorder="1"/>
    <xf numFmtId="170" fontId="4" fillId="11" borderId="1" xfId="0" applyNumberFormat="1" applyFont="1" applyFill="1" applyBorder="1"/>
    <xf numFmtId="9" fontId="3" fillId="0" borderId="7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8" xfId="0" applyFont="1" applyBorder="1" applyAlignment="1">
      <alignment horizontal="center"/>
    </xf>
    <xf numFmtId="169" fontId="4" fillId="0" borderId="4" xfId="0" applyNumberFormat="1" applyFont="1" applyBorder="1"/>
    <xf numFmtId="170" fontId="4" fillId="11" borderId="8" xfId="0" applyNumberFormat="1" applyFont="1" applyFill="1" applyBorder="1"/>
    <xf numFmtId="9" fontId="4" fillId="0" borderId="4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15" xfId="0" applyFont="1" applyBorder="1" applyAlignment="1">
      <alignment horizontal="center"/>
    </xf>
    <xf numFmtId="169" fontId="4" fillId="0" borderId="22" xfId="0" applyNumberFormat="1" applyFont="1" applyBorder="1"/>
    <xf numFmtId="170" fontId="4" fillId="11" borderId="15" xfId="0" applyNumberFormat="1" applyFont="1" applyFill="1" applyBorder="1"/>
    <xf numFmtId="9" fontId="4" fillId="0" borderId="22" xfId="0" applyNumberFormat="1" applyFont="1" applyBorder="1" applyAlignment="1">
      <alignment horizontal="center"/>
    </xf>
    <xf numFmtId="42" fontId="6" fillId="0" borderId="22" xfId="0" applyNumberFormat="1" applyFont="1" applyBorder="1"/>
    <xf numFmtId="3" fontId="6" fillId="0" borderId="22" xfId="0" applyNumberFormat="1" applyFont="1" applyBorder="1"/>
    <xf numFmtId="0" fontId="3" fillId="0" borderId="21" xfId="0" applyFont="1" applyBorder="1"/>
    <xf numFmtId="0" fontId="3" fillId="0" borderId="23" xfId="0" applyFont="1" applyBorder="1" applyAlignment="1">
      <alignment horizontal="center"/>
    </xf>
    <xf numFmtId="169" fontId="4" fillId="0" borderId="6" xfId="0" applyNumberFormat="1" applyFont="1" applyBorder="1"/>
    <xf numFmtId="170" fontId="4" fillId="11" borderId="23" xfId="0" applyNumberFormat="1" applyFont="1" applyFill="1" applyBorder="1"/>
    <xf numFmtId="9" fontId="4" fillId="0" borderId="6" xfId="0" applyNumberFormat="1" applyFont="1" applyBorder="1" applyAlignment="1">
      <alignment horizontal="center"/>
    </xf>
    <xf numFmtId="165" fontId="4" fillId="0" borderId="24" xfId="0" applyNumberFormat="1" applyFont="1" applyBorder="1" applyAlignment="1">
      <alignment horizontal="center"/>
    </xf>
    <xf numFmtId="42" fontId="6" fillId="0" borderId="6" xfId="0" applyNumberFormat="1" applyFont="1" applyBorder="1"/>
    <xf numFmtId="3" fontId="6" fillId="0" borderId="6" xfId="0" applyNumberFormat="1" applyFont="1" applyBorder="1"/>
    <xf numFmtId="0" fontId="3" fillId="0" borderId="30" xfId="0" applyFont="1" applyBorder="1"/>
    <xf numFmtId="169" fontId="4" fillId="11" borderId="8" xfId="0" applyNumberFormat="1" applyFont="1" applyFill="1" applyBorder="1"/>
    <xf numFmtId="165" fontId="4" fillId="0" borderId="9" xfId="0" applyNumberFormat="1" applyFont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42" fontId="4" fillId="6" borderId="23" xfId="0" applyNumberFormat="1" applyFont="1" applyFill="1" applyBorder="1" applyAlignment="1">
      <alignment horizontal="center"/>
    </xf>
    <xf numFmtId="165" fontId="6" fillId="9" borderId="23" xfId="0" applyNumberFormat="1" applyFont="1" applyFill="1" applyBorder="1" applyAlignment="1">
      <alignment horizontal="center"/>
    </xf>
    <xf numFmtId="170" fontId="4" fillId="0" borderId="4" xfId="0" applyNumberFormat="1" applyFont="1" applyBorder="1"/>
    <xf numFmtId="170" fontId="4" fillId="11" borderId="4" xfId="0" applyNumberFormat="1" applyFont="1" applyFill="1" applyBorder="1"/>
    <xf numFmtId="170" fontId="3" fillId="0" borderId="22" xfId="0" applyNumberFormat="1" applyFont="1" applyBorder="1"/>
    <xf numFmtId="170" fontId="3" fillId="11" borderId="22" xfId="0" applyNumberFormat="1" applyFont="1" applyFill="1" applyBorder="1"/>
    <xf numFmtId="9" fontId="3" fillId="0" borderId="22" xfId="0" applyNumberFormat="1" applyFont="1" applyBorder="1"/>
    <xf numFmtId="170" fontId="4" fillId="0" borderId="6" xfId="0" applyNumberFormat="1" applyFont="1" applyBorder="1"/>
    <xf numFmtId="170" fontId="4" fillId="11" borderId="6" xfId="0" applyNumberFormat="1" applyFont="1" applyFill="1" applyBorder="1"/>
    <xf numFmtId="9" fontId="3" fillId="0" borderId="6" xfId="0" applyNumberFormat="1" applyFont="1" applyBorder="1" applyAlignment="1">
      <alignment horizontal="center"/>
    </xf>
    <xf numFmtId="9" fontId="3" fillId="0" borderId="8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9" fontId="3" fillId="0" borderId="23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70" fontId="4" fillId="11" borderId="7" xfId="0" applyNumberFormat="1" applyFont="1" applyFill="1" applyBorder="1"/>
    <xf numFmtId="9" fontId="3" fillId="0" borderId="1" xfId="0" applyNumberFormat="1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42" fontId="6" fillId="0" borderId="3" xfId="0" applyNumberFormat="1" applyFont="1" applyBorder="1"/>
    <xf numFmtId="165" fontId="4" fillId="0" borderId="4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70" fontId="4" fillId="11" borderId="22" xfId="0" applyNumberFormat="1" applyFont="1" applyFill="1" applyBorder="1"/>
    <xf numFmtId="9" fontId="3" fillId="0" borderId="15" xfId="0" applyNumberFormat="1" applyFont="1" applyBorder="1" applyAlignment="1">
      <alignment horizontal="center"/>
    </xf>
    <xf numFmtId="165" fontId="4" fillId="0" borderId="23" xfId="0" applyNumberFormat="1" applyFont="1" applyBorder="1" applyAlignment="1">
      <alignment horizontal="center"/>
    </xf>
    <xf numFmtId="170" fontId="3" fillId="11" borderId="8" xfId="0" applyNumberFormat="1" applyFont="1" applyFill="1" applyBorder="1"/>
    <xf numFmtId="3" fontId="6" fillId="0" borderId="21" xfId="0" applyNumberFormat="1" applyFont="1" applyBorder="1"/>
    <xf numFmtId="170" fontId="3" fillId="11" borderId="23" xfId="0" applyNumberFormat="1" applyFont="1" applyFill="1" applyBorder="1"/>
    <xf numFmtId="3" fontId="6" fillId="0" borderId="30" xfId="0" applyNumberFormat="1" applyFont="1" applyBorder="1"/>
    <xf numFmtId="0" fontId="3" fillId="0" borderId="22" xfId="0" applyFont="1" applyBorder="1"/>
    <xf numFmtId="170" fontId="3" fillId="11" borderId="15" xfId="0" applyNumberFormat="1" applyFont="1" applyFill="1" applyBorder="1"/>
    <xf numFmtId="3" fontId="6" fillId="2" borderId="15" xfId="0" applyNumberFormat="1" applyFont="1" applyFill="1" applyBorder="1" applyAlignment="1">
      <alignment horizontal="center"/>
    </xf>
    <xf numFmtId="165" fontId="4" fillId="0" borderId="22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21" xfId="0" applyFont="1" applyBorder="1"/>
    <xf numFmtId="0" fontId="4" fillId="0" borderId="30" xfId="0" applyFont="1" applyBorder="1"/>
    <xf numFmtId="173" fontId="4" fillId="0" borderId="3" xfId="0" applyNumberFormat="1" applyFont="1" applyBorder="1"/>
    <xf numFmtId="170" fontId="4" fillId="11" borderId="2" xfId="0" applyNumberFormat="1" applyFont="1" applyFill="1" applyBorder="1"/>
    <xf numFmtId="3" fontId="6" fillId="2" borderId="1" xfId="0" applyNumberFormat="1" applyFont="1" applyFill="1" applyBorder="1" applyAlignment="1">
      <alignment horizontal="center"/>
    </xf>
    <xf numFmtId="173" fontId="4" fillId="0" borderId="5" xfId="0" applyNumberFormat="1" applyFont="1" applyBorder="1"/>
    <xf numFmtId="170" fontId="4" fillId="11" borderId="9" xfId="0" applyNumberFormat="1" applyFont="1" applyFill="1" applyBorder="1"/>
    <xf numFmtId="9" fontId="3" fillId="0" borderId="4" xfId="0" applyNumberFormat="1" applyFont="1" applyBorder="1" applyAlignment="1">
      <alignment horizontal="center"/>
    </xf>
    <xf numFmtId="173" fontId="3" fillId="0" borderId="30" xfId="0" applyNumberFormat="1" applyFont="1" applyBorder="1"/>
    <xf numFmtId="170" fontId="3" fillId="0" borderId="6" xfId="0" applyNumberFormat="1" applyFont="1" applyBorder="1"/>
    <xf numFmtId="170" fontId="3" fillId="11" borderId="24" xfId="0" applyNumberFormat="1" applyFont="1" applyFill="1" applyBorder="1"/>
    <xf numFmtId="9" fontId="3" fillId="0" borderId="22" xfId="0" applyNumberFormat="1" applyFont="1" applyBorder="1" applyAlignment="1">
      <alignment horizontal="center"/>
    </xf>
    <xf numFmtId="170" fontId="3" fillId="0" borderId="7" xfId="0" applyNumberFormat="1" applyFont="1" applyBorder="1"/>
    <xf numFmtId="170" fontId="3" fillId="11" borderId="7" xfId="0" applyNumberFormat="1" applyFont="1" applyFill="1" applyBorder="1"/>
    <xf numFmtId="165" fontId="4" fillId="0" borderId="2" xfId="0" applyNumberFormat="1" applyFont="1" applyBorder="1" applyAlignment="1">
      <alignment horizontal="center"/>
    </xf>
    <xf numFmtId="3" fontId="6" fillId="0" borderId="3" xfId="0" applyNumberFormat="1" applyFont="1" applyBorder="1"/>
    <xf numFmtId="173" fontId="3" fillId="0" borderId="3" xfId="0" applyNumberFormat="1" applyFont="1" applyBorder="1"/>
    <xf numFmtId="3" fontId="6" fillId="0" borderId="5" xfId="0" applyNumberFormat="1" applyFont="1" applyBorder="1"/>
    <xf numFmtId="168" fontId="3" fillId="11" borderId="4" xfId="0" applyNumberFormat="1" applyFont="1" applyFill="1" applyBorder="1"/>
    <xf numFmtId="9" fontId="3" fillId="0" borderId="9" xfId="0" applyNumberFormat="1" applyFont="1" applyBorder="1" applyAlignment="1">
      <alignment horizontal="center"/>
    </xf>
    <xf numFmtId="173" fontId="3" fillId="0" borderId="5" xfId="0" applyNumberFormat="1" applyFont="1" applyBorder="1"/>
    <xf numFmtId="42" fontId="6" fillId="0" borderId="8" xfId="0" applyNumberFormat="1" applyFont="1" applyBorder="1"/>
    <xf numFmtId="173" fontId="3" fillId="0" borderId="21" xfId="0" applyNumberFormat="1" applyFont="1" applyBorder="1"/>
    <xf numFmtId="168" fontId="3" fillId="11" borderId="22" xfId="0" applyNumberFormat="1" applyFont="1" applyFill="1" applyBorder="1"/>
    <xf numFmtId="42" fontId="6" fillId="0" borderId="15" xfId="0" applyNumberFormat="1" applyFont="1" applyBorder="1"/>
    <xf numFmtId="168" fontId="3" fillId="11" borderId="6" xfId="0" applyNumberFormat="1" applyFont="1" applyFill="1" applyBorder="1"/>
    <xf numFmtId="9" fontId="3" fillId="0" borderId="24" xfId="0" applyNumberFormat="1" applyFont="1" applyBorder="1" applyAlignment="1">
      <alignment horizontal="center"/>
    </xf>
    <xf numFmtId="42" fontId="6" fillId="0" borderId="23" xfId="0" applyNumberFormat="1" applyFont="1" applyBorder="1"/>
    <xf numFmtId="9" fontId="3" fillId="0" borderId="3" xfId="0" applyNumberFormat="1" applyFont="1" applyBorder="1" applyAlignment="1">
      <alignment horizontal="center"/>
    </xf>
    <xf numFmtId="170" fontId="3" fillId="0" borderId="4" xfId="0" applyNumberFormat="1" applyFont="1" applyBorder="1"/>
    <xf numFmtId="173" fontId="3" fillId="0" borderId="2" xfId="0" applyNumberFormat="1" applyFont="1" applyBorder="1"/>
    <xf numFmtId="170" fontId="3" fillId="0" borderId="1" xfId="0" applyNumberFormat="1" applyFont="1" applyBorder="1"/>
    <xf numFmtId="168" fontId="3" fillId="11" borderId="7" xfId="0" applyNumberFormat="1" applyFont="1" applyFill="1" applyBorder="1"/>
    <xf numFmtId="170" fontId="3" fillId="0" borderId="8" xfId="0" applyNumberFormat="1" applyFont="1" applyBorder="1"/>
    <xf numFmtId="170" fontId="3" fillId="0" borderId="23" xfId="0" applyNumberFormat="1" applyFont="1" applyBorder="1"/>
    <xf numFmtId="0" fontId="3" fillId="0" borderId="7" xfId="0" applyFont="1" applyBorder="1"/>
    <xf numFmtId="168" fontId="3" fillId="0" borderId="4" xfId="0" applyNumberFormat="1" applyFont="1" applyBorder="1"/>
    <xf numFmtId="173" fontId="3" fillId="0" borderId="24" xfId="0" applyNumberFormat="1" applyFont="1" applyBorder="1"/>
    <xf numFmtId="168" fontId="3" fillId="0" borderId="6" xfId="0" applyNumberFormat="1" applyFont="1" applyBorder="1"/>
    <xf numFmtId="9" fontId="3" fillId="0" borderId="2" xfId="0" applyNumberFormat="1" applyFont="1" applyBorder="1" applyAlignment="1">
      <alignment horizontal="center"/>
    </xf>
    <xf numFmtId="168" fontId="3" fillId="0" borderId="2" xfId="0" applyNumberFormat="1" applyFont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/>
    <xf numFmtId="0" fontId="12" fillId="0" borderId="6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13" borderId="8" xfId="0" applyFont="1" applyFill="1" applyBorder="1"/>
    <xf numFmtId="0" fontId="12" fillId="0" borderId="5" xfId="0" applyFont="1" applyBorder="1" applyAlignment="1">
      <alignment horizontal="left"/>
    </xf>
    <xf numFmtId="0" fontId="4" fillId="0" borderId="15" xfId="0" applyFont="1" applyBorder="1"/>
    <xf numFmtId="0" fontId="4" fillId="0" borderId="23" xfId="0" applyFont="1" applyBorder="1"/>
    <xf numFmtId="0" fontId="12" fillId="0" borderId="7" xfId="0" applyFont="1" applyBorder="1" applyAlignment="1">
      <alignment horizontal="right"/>
    </xf>
    <xf numFmtId="173" fontId="12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65" fontId="4" fillId="6" borderId="6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168" fontId="3" fillId="0" borderId="0" xfId="0" applyNumberFormat="1" applyFont="1"/>
    <xf numFmtId="49" fontId="4" fillId="0" borderId="0" xfId="0" applyNumberFormat="1" applyFont="1"/>
    <xf numFmtId="0" fontId="4" fillId="13" borderId="0" xfId="0" applyFont="1" applyFill="1" applyAlignment="1">
      <alignment horizontal="center"/>
    </xf>
    <xf numFmtId="0" fontId="4" fillId="0" borderId="16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13" borderId="0" xfId="0" applyFont="1" applyFill="1"/>
    <xf numFmtId="0" fontId="4" fillId="14" borderId="0" xfId="0" applyFont="1" applyFill="1"/>
    <xf numFmtId="0" fontId="4" fillId="8" borderId="0" xfId="0" applyFont="1" applyFill="1" applyAlignment="1">
      <alignment horizontal="center"/>
    </xf>
    <xf numFmtId="49" fontId="4" fillId="8" borderId="0" xfId="0" applyNumberFormat="1" applyFont="1" applyFill="1"/>
    <xf numFmtId="0" fontId="4" fillId="8" borderId="0" xfId="0" applyFont="1" applyFill="1"/>
    <xf numFmtId="0" fontId="4" fillId="15" borderId="0" xfId="0" applyFont="1" applyFill="1" applyAlignment="1">
      <alignment horizontal="center"/>
    </xf>
    <xf numFmtId="0" fontId="4" fillId="15" borderId="0" xfId="0" applyFont="1" applyFill="1"/>
    <xf numFmtId="0" fontId="6" fillId="16" borderId="0" xfId="0" applyFont="1" applyFill="1" applyAlignment="1">
      <alignment horizontal="center"/>
    </xf>
    <xf numFmtId="0" fontId="6" fillId="16" borderId="7" xfId="0" applyFont="1" applyFill="1" applyBorder="1" applyAlignment="1">
      <alignment horizontal="center"/>
    </xf>
    <xf numFmtId="49" fontId="7" fillId="16" borderId="2" xfId="0" applyNumberFormat="1" applyFont="1" applyFill="1" applyBorder="1"/>
    <xf numFmtId="0" fontId="7" fillId="16" borderId="2" xfId="0" applyFont="1" applyFill="1" applyBorder="1" applyAlignment="1">
      <alignment horizontal="left"/>
    </xf>
    <xf numFmtId="1" fontId="6" fillId="17" borderId="41" xfId="0" applyNumberFormat="1" applyFont="1" applyFill="1" applyBorder="1" applyAlignment="1">
      <alignment horizontal="center"/>
    </xf>
    <xf numFmtId="49" fontId="6" fillId="16" borderId="2" xfId="0" applyNumberFormat="1" applyFont="1" applyFill="1" applyBorder="1"/>
    <xf numFmtId="164" fontId="6" fillId="16" borderId="2" xfId="0" applyNumberFormat="1" applyFont="1" applyFill="1" applyBorder="1" applyAlignment="1">
      <alignment horizontal="right"/>
    </xf>
    <xf numFmtId="164" fontId="6" fillId="16" borderId="2" xfId="0" applyNumberFormat="1" applyFont="1" applyFill="1" applyBorder="1"/>
    <xf numFmtId="3" fontId="6" fillId="16" borderId="7" xfId="0" applyNumberFormat="1" applyFont="1" applyFill="1" applyBorder="1" applyAlignment="1">
      <alignment horizontal="center"/>
    </xf>
    <xf numFmtId="9" fontId="6" fillId="16" borderId="2" xfId="0" applyNumberFormat="1" applyFont="1" applyFill="1" applyBorder="1" applyAlignment="1">
      <alignment horizontal="center"/>
    </xf>
    <xf numFmtId="42" fontId="6" fillId="16" borderId="7" xfId="0" applyNumberFormat="1" applyFont="1" applyFill="1" applyBorder="1"/>
    <xf numFmtId="3" fontId="6" fillId="16" borderId="7" xfId="0" applyNumberFormat="1" applyFont="1" applyFill="1" applyBorder="1"/>
    <xf numFmtId="168" fontId="6" fillId="16" borderId="42" xfId="0" applyNumberFormat="1" applyFont="1" applyFill="1" applyBorder="1" applyAlignment="1">
      <alignment horizontal="center"/>
    </xf>
    <xf numFmtId="3" fontId="6" fillId="16" borderId="43" xfId="0" applyNumberFormat="1" applyFont="1" applyFill="1" applyBorder="1" applyAlignment="1">
      <alignment horizontal="center"/>
    </xf>
    <xf numFmtId="168" fontId="6" fillId="16" borderId="44" xfId="0" applyNumberFormat="1" applyFont="1" applyFill="1" applyBorder="1" applyAlignment="1">
      <alignment horizontal="center"/>
    </xf>
    <xf numFmtId="3" fontId="6" fillId="16" borderId="45" xfId="0" applyNumberFormat="1" applyFont="1" applyFill="1" applyBorder="1" applyAlignment="1">
      <alignment horizontal="center"/>
    </xf>
    <xf numFmtId="170" fontId="4" fillId="16" borderId="1" xfId="0" applyNumberFormat="1" applyFont="1" applyFill="1" applyBorder="1"/>
    <xf numFmtId="165" fontId="6" fillId="16" borderId="2" xfId="0" applyNumberFormat="1" applyFont="1" applyFill="1" applyBorder="1"/>
    <xf numFmtId="0" fontId="4" fillId="16" borderId="3" xfId="0" applyFont="1" applyFill="1" applyBorder="1"/>
    <xf numFmtId="171" fontId="4" fillId="16" borderId="2" xfId="0" applyNumberFormat="1" applyFont="1" applyFill="1" applyBorder="1"/>
    <xf numFmtId="42" fontId="6" fillId="16" borderId="2" xfId="0" applyNumberFormat="1" applyFont="1" applyFill="1" applyBorder="1"/>
    <xf numFmtId="0" fontId="4" fillId="16" borderId="2" xfId="0" applyFont="1" applyFill="1" applyBorder="1"/>
    <xf numFmtId="0" fontId="3" fillId="16" borderId="1" xfId="0" applyFont="1" applyFill="1" applyBorder="1"/>
    <xf numFmtId="166" fontId="3" fillId="16" borderId="2" xfId="0" applyNumberFormat="1" applyFont="1" applyFill="1" applyBorder="1"/>
    <xf numFmtId="0" fontId="3" fillId="16" borderId="3" xfId="0" applyFont="1" applyFill="1" applyBorder="1"/>
    <xf numFmtId="0" fontId="3" fillId="16" borderId="2" xfId="0" applyFont="1" applyFill="1" applyBorder="1"/>
    <xf numFmtId="42" fontId="6" fillId="16" borderId="1" xfId="0" applyNumberFormat="1" applyFont="1" applyFill="1" applyBorder="1"/>
    <xf numFmtId="42" fontId="6" fillId="16" borderId="3" xfId="0" applyNumberFormat="1" applyFont="1" applyFill="1" applyBorder="1"/>
    <xf numFmtId="3" fontId="4" fillId="16" borderId="7" xfId="0" applyNumberFormat="1" applyFont="1" applyFill="1" applyBorder="1"/>
    <xf numFmtId="3" fontId="4" fillId="16" borderId="0" xfId="0" applyNumberFormat="1" applyFont="1" applyFill="1"/>
    <xf numFmtId="0" fontId="0" fillId="17" borderId="0" xfId="0" applyFill="1"/>
    <xf numFmtId="0" fontId="6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left" vertical="top"/>
    </xf>
    <xf numFmtId="0" fontId="5" fillId="0" borderId="6" xfId="0" applyFont="1" applyBorder="1"/>
    <xf numFmtId="164" fontId="6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5" xfId="0" applyFont="1" applyBorder="1"/>
    <xf numFmtId="0" fontId="13" fillId="0" borderId="0" xfId="0" applyFont="1"/>
    <xf numFmtId="0" fontId="0" fillId="0" borderId="0" xfId="0" applyAlignment="1">
      <alignment horizontal="left"/>
    </xf>
    <xf numFmtId="0" fontId="4" fillId="0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51"/>
  <sheetViews>
    <sheetView topLeftCell="B1" zoomScale="239" zoomScaleNormal="239" workbookViewId="0">
      <pane xSplit="2" ySplit="3" topLeftCell="R4" activePane="bottomRight" state="frozen"/>
      <selection activeCell="B1" sqref="B1"/>
      <selection pane="topRight" activeCell="D1" sqref="D1"/>
      <selection pane="bottomLeft" activeCell="B4" sqref="B4"/>
      <selection pane="bottomRight" activeCell="C19" sqref="C19"/>
    </sheetView>
  </sheetViews>
  <sheetFormatPr baseColWidth="10" defaultColWidth="12.6640625" defaultRowHeight="15" customHeight="1"/>
  <cols>
    <col min="1" max="1" width="22.83203125" customWidth="1"/>
    <col min="2" max="2" width="13.1640625" customWidth="1"/>
    <col min="3" max="3" width="23.6640625" customWidth="1"/>
    <col min="4" max="4" width="26.6640625" customWidth="1"/>
    <col min="5" max="5" width="30.1640625" bestFit="1" customWidth="1"/>
    <col min="6" max="6" width="18.33203125" hidden="1" customWidth="1"/>
    <col min="7" max="8" width="17.33203125" hidden="1" customWidth="1"/>
    <col min="9" max="9" width="11.1640625" customWidth="1"/>
    <col min="10" max="10" width="8.33203125" hidden="1" customWidth="1"/>
    <col min="11" max="12" width="10.6640625" customWidth="1"/>
    <col min="13" max="13" width="9.5" customWidth="1"/>
    <col min="14" max="14" width="10.6640625" customWidth="1"/>
    <col min="15" max="15" width="7" customWidth="1"/>
    <col min="16" max="16" width="19.83203125" customWidth="1"/>
    <col min="17" max="17" width="12.6640625" hidden="1" customWidth="1"/>
    <col min="18" max="18" width="14.1640625" customWidth="1"/>
    <col min="19" max="19" width="10.6640625" customWidth="1"/>
    <col min="20" max="20" width="18.1640625" customWidth="1"/>
    <col min="21" max="21" width="20.33203125" customWidth="1"/>
    <col min="22" max="22" width="19.1640625" customWidth="1"/>
    <col min="23" max="24" width="10.6640625" customWidth="1"/>
    <col min="25" max="25" width="11.83203125" customWidth="1"/>
    <col min="26" max="26" width="20.1640625" customWidth="1"/>
    <col min="27" max="28" width="10.6640625" customWidth="1"/>
    <col min="29" max="29" width="13.1640625" customWidth="1"/>
    <col min="30" max="31" width="10.6640625" customWidth="1"/>
    <col min="32" max="32" width="13.1640625" customWidth="1"/>
    <col min="33" max="34" width="10.6640625" hidden="1" customWidth="1"/>
    <col min="35" max="38" width="13.1640625" hidden="1" customWidth="1"/>
    <col min="39" max="39" width="13.1640625" customWidth="1"/>
    <col min="40" max="42" width="14.1640625" customWidth="1"/>
  </cols>
  <sheetData>
    <row r="1" spans="1:42" ht="12.7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5"/>
      <c r="L1" s="6"/>
      <c r="M1" s="6"/>
      <c r="O1" s="7"/>
      <c r="Q1" s="8"/>
      <c r="T1" s="609" t="s">
        <v>1</v>
      </c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7"/>
      <c r="AI1" s="607"/>
      <c r="AJ1" s="607"/>
      <c r="AK1" s="607"/>
      <c r="AL1" s="607"/>
      <c r="AM1" s="607"/>
      <c r="AN1" s="608"/>
    </row>
    <row r="2" spans="1:42" ht="12.75" customHeight="1">
      <c r="A2" s="9"/>
      <c r="B2" s="10" t="s">
        <v>2</v>
      </c>
      <c r="C2" s="610" t="s">
        <v>3</v>
      </c>
      <c r="D2" s="607"/>
      <c r="E2" s="607"/>
      <c r="F2" s="607"/>
      <c r="G2" s="608"/>
      <c r="H2" s="11"/>
      <c r="I2" s="611" t="s">
        <v>4</v>
      </c>
      <c r="J2" s="12" t="s">
        <v>4</v>
      </c>
      <c r="K2" s="12" t="s">
        <v>5</v>
      </c>
      <c r="L2" s="613" t="s">
        <v>6</v>
      </c>
      <c r="M2" s="608"/>
      <c r="N2" s="606" t="s">
        <v>7</v>
      </c>
      <c r="O2" s="607"/>
      <c r="P2" s="607"/>
      <c r="Q2" s="607"/>
      <c r="R2" s="607"/>
      <c r="S2" s="608"/>
      <c r="T2" s="606" t="s">
        <v>8</v>
      </c>
      <c r="U2" s="608"/>
      <c r="V2" s="606" t="s">
        <v>9</v>
      </c>
      <c r="W2" s="608"/>
      <c r="X2" s="606" t="s">
        <v>10</v>
      </c>
      <c r="Y2" s="607"/>
      <c r="Z2" s="608"/>
      <c r="AA2" s="606" t="s">
        <v>11</v>
      </c>
      <c r="AB2" s="607"/>
      <c r="AC2" s="608"/>
      <c r="AD2" s="606" t="s">
        <v>12</v>
      </c>
      <c r="AE2" s="607"/>
      <c r="AF2" s="608"/>
      <c r="AG2" s="606" t="s">
        <v>13</v>
      </c>
      <c r="AH2" s="607"/>
      <c r="AI2" s="608"/>
      <c r="AJ2" s="606" t="s">
        <v>14</v>
      </c>
      <c r="AK2" s="607"/>
      <c r="AL2" s="608"/>
      <c r="AM2" s="14" t="s">
        <v>15</v>
      </c>
      <c r="AN2" s="12" t="s">
        <v>16</v>
      </c>
      <c r="AO2" s="15" t="s">
        <v>17</v>
      </c>
    </row>
    <row r="3" spans="1:42" ht="12.75" customHeight="1">
      <c r="A3" s="9"/>
      <c r="B3" s="16" t="s">
        <v>18</v>
      </c>
      <c r="C3" s="17" t="s">
        <v>19</v>
      </c>
      <c r="D3" s="18" t="s">
        <v>20</v>
      </c>
      <c r="E3" s="19" t="s">
        <v>21</v>
      </c>
      <c r="F3" s="19" t="s">
        <v>22</v>
      </c>
      <c r="G3" s="19" t="s">
        <v>23</v>
      </c>
      <c r="H3" s="19" t="s">
        <v>24</v>
      </c>
      <c r="I3" s="612"/>
      <c r="J3" s="20" t="s">
        <v>25</v>
      </c>
      <c r="K3" s="20" t="s">
        <v>26</v>
      </c>
      <c r="L3" s="21" t="s">
        <v>27</v>
      </c>
      <c r="M3" s="21" t="s">
        <v>28</v>
      </c>
      <c r="N3" s="22" t="s">
        <v>29</v>
      </c>
      <c r="O3" s="23" t="s">
        <v>30</v>
      </c>
      <c r="P3" s="22" t="s">
        <v>31</v>
      </c>
      <c r="Q3" s="24" t="s">
        <v>32</v>
      </c>
      <c r="R3" s="22" t="s">
        <v>33</v>
      </c>
      <c r="S3" s="22" t="s">
        <v>34</v>
      </c>
      <c r="T3" s="22" t="s">
        <v>5</v>
      </c>
      <c r="U3" s="22" t="s">
        <v>35</v>
      </c>
      <c r="V3" s="22" t="s">
        <v>5</v>
      </c>
      <c r="W3" s="22" t="s">
        <v>35</v>
      </c>
      <c r="X3" s="22" t="s">
        <v>5</v>
      </c>
      <c r="Y3" s="25" t="s">
        <v>35</v>
      </c>
      <c r="Z3" s="22" t="s">
        <v>36</v>
      </c>
      <c r="AA3" s="22" t="s">
        <v>5</v>
      </c>
      <c r="AB3" s="12" t="s">
        <v>35</v>
      </c>
      <c r="AC3" s="22" t="s">
        <v>36</v>
      </c>
      <c r="AD3" s="22" t="s">
        <v>5</v>
      </c>
      <c r="AE3" s="26" t="s">
        <v>35</v>
      </c>
      <c r="AF3" s="22" t="s">
        <v>36</v>
      </c>
      <c r="AG3" s="22" t="s">
        <v>5</v>
      </c>
      <c r="AH3" s="13" t="s">
        <v>35</v>
      </c>
      <c r="AI3" s="22" t="s">
        <v>36</v>
      </c>
      <c r="AJ3" s="22" t="s">
        <v>5</v>
      </c>
      <c r="AK3" s="13" t="s">
        <v>35</v>
      </c>
      <c r="AL3" s="22" t="s">
        <v>36</v>
      </c>
      <c r="AM3" s="20" t="s">
        <v>5</v>
      </c>
      <c r="AN3" s="20" t="s">
        <v>37</v>
      </c>
      <c r="AO3" s="27" t="s">
        <v>37</v>
      </c>
      <c r="AP3" s="28"/>
    </row>
    <row r="4" spans="1:42" ht="12.75" customHeight="1">
      <c r="A4" s="29"/>
      <c r="B4" s="30">
        <v>1</v>
      </c>
      <c r="C4" s="31" t="s">
        <v>38</v>
      </c>
      <c r="D4" s="32" t="s">
        <v>39</v>
      </c>
      <c r="E4" s="33" t="s">
        <v>40</v>
      </c>
      <c r="F4" s="34" t="s">
        <v>41</v>
      </c>
      <c r="G4" s="34" t="s">
        <v>41</v>
      </c>
      <c r="H4" s="34" t="s">
        <v>41</v>
      </c>
      <c r="I4" s="34" t="s">
        <v>42</v>
      </c>
      <c r="J4" s="35">
        <f t="shared" ref="J4:J58" si="0">M4-L4</f>
        <v>4</v>
      </c>
      <c r="K4" s="36"/>
      <c r="L4" s="37">
        <v>45995</v>
      </c>
      <c r="M4" s="38">
        <v>45999</v>
      </c>
      <c r="N4" s="39">
        <f t="shared" ref="N4:N11" si="1">IF(J4=3,(1350000))+IF(J4=4,(1750000))+IF(J4=5,(2150000))+IF(J4=6,(2550000))+IF(J4=7,(2950000))</f>
        <v>1750000</v>
      </c>
      <c r="O4" s="40"/>
      <c r="P4" s="41">
        <f t="shared" ref="P4:P58" si="2">N4*O4</f>
        <v>0</v>
      </c>
      <c r="Q4" s="42"/>
      <c r="R4" s="42">
        <f t="shared" ref="R4:R58" si="3">N4-P4+Q4</f>
        <v>1750000</v>
      </c>
      <c r="S4" s="43">
        <f t="shared" ref="S4:S58" si="4">R4/1.19</f>
        <v>1470588.2352941178</v>
      </c>
      <c r="T4" s="44">
        <f t="shared" ref="T4:T58" si="5">+L4-60</f>
        <v>45935</v>
      </c>
      <c r="U4" s="45">
        <f t="shared" ref="U4:U58" si="6">+R4/2</f>
        <v>875000</v>
      </c>
      <c r="V4" s="46">
        <f t="shared" ref="V4:V58" si="7">+L4-30</f>
        <v>45965</v>
      </c>
      <c r="W4" s="47">
        <f t="shared" ref="W4:W58" si="8">+U4</f>
        <v>875000</v>
      </c>
      <c r="X4" s="48">
        <v>45786</v>
      </c>
      <c r="Y4" s="49">
        <v>250000</v>
      </c>
      <c r="Z4" s="50" t="s">
        <v>43</v>
      </c>
      <c r="AA4" s="51">
        <v>45789</v>
      </c>
      <c r="AB4" s="52">
        <v>825000</v>
      </c>
      <c r="AC4" s="53" t="s">
        <v>43</v>
      </c>
      <c r="AD4" s="54"/>
      <c r="AE4" s="55"/>
      <c r="AF4" s="56"/>
      <c r="AG4" s="53"/>
      <c r="AH4" s="53"/>
      <c r="AI4" s="53"/>
      <c r="AJ4" s="57"/>
      <c r="AK4" s="52"/>
      <c r="AL4" s="58"/>
      <c r="AM4" s="52">
        <f t="shared" ref="AM4:AM14" si="9">Y4+AB4+AE4+AH4+AK4</f>
        <v>1075000</v>
      </c>
      <c r="AN4" s="58">
        <f t="shared" ref="AN4:AN14" si="10">+R4-Y4-AB4-AE4-AH4</f>
        <v>675000</v>
      </c>
      <c r="AO4" s="59">
        <f>SUM(AN4:AN8)</f>
        <v>4375000</v>
      </c>
      <c r="AP4" s="60"/>
    </row>
    <row r="5" spans="1:42" ht="12.75" customHeight="1">
      <c r="A5" s="29"/>
      <c r="B5" s="61">
        <v>2</v>
      </c>
      <c r="C5" s="62" t="s">
        <v>38</v>
      </c>
      <c r="D5" s="63" t="s">
        <v>44</v>
      </c>
      <c r="E5" s="63"/>
      <c r="F5" s="64" t="s">
        <v>41</v>
      </c>
      <c r="G5" s="64" t="s">
        <v>41</v>
      </c>
      <c r="H5" s="64" t="s">
        <v>41</v>
      </c>
      <c r="I5" s="63" t="s">
        <v>42</v>
      </c>
      <c r="J5" s="65">
        <f t="shared" si="0"/>
        <v>4</v>
      </c>
      <c r="K5" s="66"/>
      <c r="L5" s="67">
        <v>45995</v>
      </c>
      <c r="M5" s="68">
        <v>45999</v>
      </c>
      <c r="N5" s="39">
        <f t="shared" si="1"/>
        <v>1750000</v>
      </c>
      <c r="O5" s="69"/>
      <c r="P5" s="39">
        <f t="shared" si="2"/>
        <v>0</v>
      </c>
      <c r="Q5" s="70"/>
      <c r="R5" s="42">
        <f t="shared" si="3"/>
        <v>1750000</v>
      </c>
      <c r="S5" s="43">
        <f t="shared" si="4"/>
        <v>1470588.2352941178</v>
      </c>
      <c r="T5" s="71">
        <f t="shared" si="5"/>
        <v>45935</v>
      </c>
      <c r="U5" s="72">
        <f t="shared" si="6"/>
        <v>875000</v>
      </c>
      <c r="V5" s="73">
        <f t="shared" si="7"/>
        <v>45965</v>
      </c>
      <c r="W5" s="74">
        <f t="shared" si="8"/>
        <v>875000</v>
      </c>
      <c r="X5" s="75"/>
      <c r="Y5" s="76"/>
      <c r="Z5" s="77"/>
      <c r="AA5" s="78">
        <v>45789</v>
      </c>
      <c r="AB5" s="79">
        <v>825000</v>
      </c>
      <c r="AC5" s="80" t="s">
        <v>43</v>
      </c>
      <c r="AD5" s="81"/>
      <c r="AE5" s="82"/>
      <c r="AF5" s="83"/>
      <c r="AG5" s="80"/>
      <c r="AH5" s="80"/>
      <c r="AI5" s="80"/>
      <c r="AJ5" s="84"/>
      <c r="AK5" s="79"/>
      <c r="AL5" s="85"/>
      <c r="AM5" s="79">
        <f t="shared" si="9"/>
        <v>825000</v>
      </c>
      <c r="AN5" s="85">
        <f t="shared" si="10"/>
        <v>925000</v>
      </c>
      <c r="AO5" s="86" t="str">
        <f t="shared" ref="AO5:AO8" si="11">CONCATENATE(IF(AP5&lt;0,IF(AP5&gt;-30,IF(AN5&gt;0,"T",""),""),IF(AP5&gt;0,IF(AN5&gt;0,"DEUDA",""),"")))</f>
        <v/>
      </c>
      <c r="AP5" s="60"/>
    </row>
    <row r="6" spans="1:42" ht="12.75" customHeight="1">
      <c r="A6" s="87" t="s">
        <v>45</v>
      </c>
      <c r="B6" s="61">
        <v>3</v>
      </c>
      <c r="C6" s="62" t="s">
        <v>38</v>
      </c>
      <c r="D6" s="63" t="s">
        <v>46</v>
      </c>
      <c r="E6" s="63"/>
      <c r="F6" s="64" t="s">
        <v>41</v>
      </c>
      <c r="G6" s="64" t="s">
        <v>41</v>
      </c>
      <c r="H6" s="64" t="s">
        <v>41</v>
      </c>
      <c r="I6" s="63" t="s">
        <v>42</v>
      </c>
      <c r="J6" s="65">
        <f t="shared" si="0"/>
        <v>4</v>
      </c>
      <c r="K6" s="66"/>
      <c r="L6" s="67">
        <v>45995</v>
      </c>
      <c r="M6" s="68">
        <v>45999</v>
      </c>
      <c r="N6" s="39">
        <f t="shared" si="1"/>
        <v>1750000</v>
      </c>
      <c r="O6" s="69"/>
      <c r="P6" s="39">
        <f t="shared" si="2"/>
        <v>0</v>
      </c>
      <c r="Q6" s="42"/>
      <c r="R6" s="42">
        <f t="shared" si="3"/>
        <v>1750000</v>
      </c>
      <c r="S6" s="43">
        <f t="shared" si="4"/>
        <v>1470588.2352941178</v>
      </c>
      <c r="T6" s="71">
        <f t="shared" si="5"/>
        <v>45935</v>
      </c>
      <c r="U6" s="72">
        <f t="shared" si="6"/>
        <v>875000</v>
      </c>
      <c r="V6" s="73">
        <f t="shared" si="7"/>
        <v>45965</v>
      </c>
      <c r="W6" s="74">
        <f t="shared" si="8"/>
        <v>875000</v>
      </c>
      <c r="X6" s="75"/>
      <c r="Y6" s="76"/>
      <c r="Z6" s="77"/>
      <c r="AA6" s="88">
        <v>45789</v>
      </c>
      <c r="AB6" s="79">
        <v>825000</v>
      </c>
      <c r="AC6" s="80" t="s">
        <v>43</v>
      </c>
      <c r="AD6" s="81"/>
      <c r="AE6" s="82"/>
      <c r="AF6" s="83"/>
      <c r="AG6" s="80"/>
      <c r="AH6" s="80"/>
      <c r="AI6" s="80"/>
      <c r="AJ6" s="84"/>
      <c r="AK6" s="79"/>
      <c r="AL6" s="85"/>
      <c r="AM6" s="79">
        <f t="shared" si="9"/>
        <v>825000</v>
      </c>
      <c r="AN6" s="85">
        <f t="shared" si="10"/>
        <v>925000</v>
      </c>
      <c r="AO6" s="86" t="str">
        <f t="shared" si="11"/>
        <v/>
      </c>
      <c r="AP6" s="60"/>
    </row>
    <row r="7" spans="1:42" ht="12.75" customHeight="1">
      <c r="A7" s="89">
        <f>COUNT(B4:B145)</f>
        <v>129</v>
      </c>
      <c r="B7" s="61">
        <v>4</v>
      </c>
      <c r="C7" s="62" t="s">
        <v>38</v>
      </c>
      <c r="D7" s="63" t="s">
        <v>47</v>
      </c>
      <c r="E7" s="63"/>
      <c r="F7" s="64" t="s">
        <v>41</v>
      </c>
      <c r="G7" s="64" t="s">
        <v>41</v>
      </c>
      <c r="H7" s="64" t="s">
        <v>41</v>
      </c>
      <c r="I7" s="63" t="s">
        <v>42</v>
      </c>
      <c r="J7" s="65">
        <f t="shared" si="0"/>
        <v>4</v>
      </c>
      <c r="K7" s="66"/>
      <c r="L7" s="67">
        <v>45995</v>
      </c>
      <c r="M7" s="68">
        <v>45999</v>
      </c>
      <c r="N7" s="39">
        <f t="shared" si="1"/>
        <v>1750000</v>
      </c>
      <c r="O7" s="69"/>
      <c r="P7" s="39">
        <f t="shared" si="2"/>
        <v>0</v>
      </c>
      <c r="Q7" s="42"/>
      <c r="R7" s="42">
        <f t="shared" si="3"/>
        <v>1750000</v>
      </c>
      <c r="S7" s="43">
        <f t="shared" si="4"/>
        <v>1470588.2352941178</v>
      </c>
      <c r="T7" s="71">
        <f t="shared" si="5"/>
        <v>45935</v>
      </c>
      <c r="U7" s="72">
        <f t="shared" si="6"/>
        <v>875000</v>
      </c>
      <c r="V7" s="73">
        <f t="shared" si="7"/>
        <v>45965</v>
      </c>
      <c r="W7" s="74">
        <f t="shared" si="8"/>
        <v>875000</v>
      </c>
      <c r="X7" s="75"/>
      <c r="Y7" s="76"/>
      <c r="Z7" s="77"/>
      <c r="AA7" s="88">
        <v>45789</v>
      </c>
      <c r="AB7" s="79">
        <v>825000</v>
      </c>
      <c r="AC7" s="80" t="s">
        <v>43</v>
      </c>
      <c r="AD7" s="81"/>
      <c r="AE7" s="82"/>
      <c r="AF7" s="83"/>
      <c r="AG7" s="80"/>
      <c r="AH7" s="80"/>
      <c r="AI7" s="80"/>
      <c r="AJ7" s="84"/>
      <c r="AK7" s="79"/>
      <c r="AL7" s="85"/>
      <c r="AM7" s="79">
        <f t="shared" si="9"/>
        <v>825000</v>
      </c>
      <c r="AN7" s="85">
        <f t="shared" si="10"/>
        <v>925000</v>
      </c>
      <c r="AO7" s="86" t="str">
        <f t="shared" si="11"/>
        <v/>
      </c>
      <c r="AP7" s="60"/>
    </row>
    <row r="8" spans="1:42" ht="12.75" customHeight="1">
      <c r="B8" s="90">
        <v>5</v>
      </c>
      <c r="C8" s="91" t="s">
        <v>38</v>
      </c>
      <c r="D8" s="92" t="s">
        <v>48</v>
      </c>
      <c r="E8" s="92"/>
      <c r="F8" s="93" t="s">
        <v>41</v>
      </c>
      <c r="G8" s="93" t="s">
        <v>41</v>
      </c>
      <c r="H8" s="93" t="s">
        <v>41</v>
      </c>
      <c r="I8" s="92" t="s">
        <v>42</v>
      </c>
      <c r="J8" s="94">
        <f t="shared" si="0"/>
        <v>4</v>
      </c>
      <c r="K8" s="95"/>
      <c r="L8" s="96">
        <v>45995</v>
      </c>
      <c r="M8" s="97">
        <v>45999</v>
      </c>
      <c r="N8" s="39">
        <f t="shared" si="1"/>
        <v>1750000</v>
      </c>
      <c r="O8" s="98"/>
      <c r="P8" s="39">
        <f t="shared" si="2"/>
        <v>0</v>
      </c>
      <c r="Q8" s="42"/>
      <c r="R8" s="42">
        <f t="shared" si="3"/>
        <v>1750000</v>
      </c>
      <c r="S8" s="43">
        <f t="shared" si="4"/>
        <v>1470588.2352941178</v>
      </c>
      <c r="T8" s="99">
        <f t="shared" si="5"/>
        <v>45935</v>
      </c>
      <c r="U8" s="100">
        <f t="shared" si="6"/>
        <v>875000</v>
      </c>
      <c r="V8" s="101">
        <f t="shared" si="7"/>
        <v>45965</v>
      </c>
      <c r="W8" s="102">
        <f t="shared" si="8"/>
        <v>875000</v>
      </c>
      <c r="X8" s="103"/>
      <c r="Y8" s="104"/>
      <c r="Z8" s="105"/>
      <c r="AA8" s="106">
        <v>45789</v>
      </c>
      <c r="AB8" s="107">
        <v>825000</v>
      </c>
      <c r="AC8" s="108" t="s">
        <v>43</v>
      </c>
      <c r="AD8" s="109"/>
      <c r="AE8" s="110"/>
      <c r="AF8" s="111"/>
      <c r="AG8" s="108"/>
      <c r="AH8" s="108"/>
      <c r="AI8" s="108"/>
      <c r="AJ8" s="112"/>
      <c r="AK8" s="107"/>
      <c r="AL8" s="113"/>
      <c r="AM8" s="107">
        <f t="shared" si="9"/>
        <v>825000</v>
      </c>
      <c r="AN8" s="113">
        <f t="shared" si="10"/>
        <v>925000</v>
      </c>
      <c r="AO8" s="86" t="str">
        <f t="shared" si="11"/>
        <v/>
      </c>
      <c r="AP8" s="60"/>
    </row>
    <row r="9" spans="1:42" ht="12.75" customHeight="1">
      <c r="A9" s="29"/>
      <c r="B9" s="30">
        <v>6</v>
      </c>
      <c r="C9" s="114" t="s">
        <v>49</v>
      </c>
      <c r="D9" s="32" t="s">
        <v>49</v>
      </c>
      <c r="E9" s="32" t="s">
        <v>50</v>
      </c>
      <c r="F9" s="34" t="s">
        <v>41</v>
      </c>
      <c r="G9" s="34" t="s">
        <v>41</v>
      </c>
      <c r="H9" s="34" t="s">
        <v>41</v>
      </c>
      <c r="I9" s="32" t="s">
        <v>42</v>
      </c>
      <c r="J9" s="35">
        <f t="shared" si="0"/>
        <v>3</v>
      </c>
      <c r="K9" s="36"/>
      <c r="L9" s="37">
        <v>45981</v>
      </c>
      <c r="M9" s="38">
        <v>45984</v>
      </c>
      <c r="N9" s="39">
        <f t="shared" si="1"/>
        <v>1350000</v>
      </c>
      <c r="O9" s="115"/>
      <c r="P9" s="39">
        <f t="shared" si="2"/>
        <v>0</v>
      </c>
      <c r="Q9" s="42"/>
      <c r="R9" s="42">
        <f t="shared" si="3"/>
        <v>1350000</v>
      </c>
      <c r="S9" s="43">
        <f t="shared" si="4"/>
        <v>1134453.781512605</v>
      </c>
      <c r="T9" s="44">
        <f t="shared" si="5"/>
        <v>45921</v>
      </c>
      <c r="U9" s="45">
        <f t="shared" si="6"/>
        <v>675000</v>
      </c>
      <c r="V9" s="46">
        <f t="shared" si="7"/>
        <v>45951</v>
      </c>
      <c r="W9" s="47">
        <f t="shared" si="8"/>
        <v>675000</v>
      </c>
      <c r="X9" s="48">
        <v>45796</v>
      </c>
      <c r="Y9" s="49">
        <v>450000</v>
      </c>
      <c r="Z9" s="50" t="s">
        <v>51</v>
      </c>
      <c r="AA9" s="116">
        <v>45811</v>
      </c>
      <c r="AB9" s="79">
        <v>666667</v>
      </c>
      <c r="AC9" s="80" t="s">
        <v>43</v>
      </c>
      <c r="AD9" s="54"/>
      <c r="AE9" s="55"/>
      <c r="AF9" s="56"/>
      <c r="AG9" s="53"/>
      <c r="AH9" s="53"/>
      <c r="AI9" s="53"/>
      <c r="AJ9" s="57"/>
      <c r="AK9" s="52"/>
      <c r="AL9" s="58"/>
      <c r="AM9" s="52">
        <f t="shared" si="9"/>
        <v>1116667</v>
      </c>
      <c r="AN9" s="58">
        <f t="shared" si="10"/>
        <v>233333</v>
      </c>
      <c r="AO9" s="59">
        <f>SUM(AN9:AN11)</f>
        <v>700001</v>
      </c>
      <c r="AP9" s="60"/>
    </row>
    <row r="10" spans="1:42" ht="12.75" customHeight="1">
      <c r="A10" s="117" t="s">
        <v>52</v>
      </c>
      <c r="B10" s="61">
        <v>7</v>
      </c>
      <c r="C10" s="118" t="s">
        <v>49</v>
      </c>
      <c r="D10" s="64" t="s">
        <v>53</v>
      </c>
      <c r="E10" s="63"/>
      <c r="F10" s="64" t="s">
        <v>41</v>
      </c>
      <c r="G10" s="64" t="s">
        <v>41</v>
      </c>
      <c r="H10" s="64" t="s">
        <v>41</v>
      </c>
      <c r="I10" s="63" t="s">
        <v>42</v>
      </c>
      <c r="J10" s="65">
        <f t="shared" si="0"/>
        <v>3</v>
      </c>
      <c r="K10" s="66"/>
      <c r="L10" s="67">
        <v>45981</v>
      </c>
      <c r="M10" s="68">
        <v>45984</v>
      </c>
      <c r="N10" s="39">
        <f t="shared" si="1"/>
        <v>1350000</v>
      </c>
      <c r="O10" s="69"/>
      <c r="P10" s="39">
        <f t="shared" si="2"/>
        <v>0</v>
      </c>
      <c r="Q10" s="42"/>
      <c r="R10" s="42">
        <f t="shared" si="3"/>
        <v>1350000</v>
      </c>
      <c r="S10" s="43">
        <f t="shared" si="4"/>
        <v>1134453.781512605</v>
      </c>
      <c r="T10" s="71">
        <f t="shared" si="5"/>
        <v>45921</v>
      </c>
      <c r="U10" s="72">
        <f t="shared" si="6"/>
        <v>675000</v>
      </c>
      <c r="V10" s="73">
        <f t="shared" si="7"/>
        <v>45951</v>
      </c>
      <c r="W10" s="74">
        <f t="shared" si="8"/>
        <v>675000</v>
      </c>
      <c r="X10" s="75">
        <v>45796</v>
      </c>
      <c r="Y10" s="76">
        <v>450000</v>
      </c>
      <c r="Z10" s="77" t="s">
        <v>51</v>
      </c>
      <c r="AA10" s="119">
        <v>45811</v>
      </c>
      <c r="AB10" s="79">
        <v>666666</v>
      </c>
      <c r="AC10" s="80" t="s">
        <v>43</v>
      </c>
      <c r="AD10" s="81"/>
      <c r="AE10" s="82"/>
      <c r="AF10" s="83"/>
      <c r="AG10" s="80"/>
      <c r="AH10" s="80"/>
      <c r="AI10" s="80"/>
      <c r="AJ10" s="84"/>
      <c r="AK10" s="79"/>
      <c r="AL10" s="85"/>
      <c r="AM10" s="79">
        <f t="shared" si="9"/>
        <v>1116666</v>
      </c>
      <c r="AN10" s="85">
        <f t="shared" si="10"/>
        <v>233334</v>
      </c>
      <c r="AO10" s="86" t="str">
        <f t="shared" ref="AO10:AO11" si="12">CONCATENATE(IF(AP10&lt;0,IF(AP10&gt;-30,IF(AN10&gt;0,"T",""),""),IF(AP10&gt;0,IF(AN10&gt;0,"DEUDA",""),"")))</f>
        <v/>
      </c>
      <c r="AP10" s="60"/>
    </row>
    <row r="11" spans="1:42" ht="12.75" customHeight="1">
      <c r="A11" s="120">
        <f>SUM(J4:J168)</f>
        <v>546</v>
      </c>
      <c r="B11" s="90">
        <v>8</v>
      </c>
      <c r="C11" s="121" t="s">
        <v>49</v>
      </c>
      <c r="D11" s="93" t="s">
        <v>54</v>
      </c>
      <c r="E11" s="92"/>
      <c r="F11" s="93" t="s">
        <v>41</v>
      </c>
      <c r="G11" s="93" t="s">
        <v>41</v>
      </c>
      <c r="H11" s="93" t="s">
        <v>41</v>
      </c>
      <c r="I11" s="92" t="s">
        <v>42</v>
      </c>
      <c r="J11" s="94">
        <f t="shared" si="0"/>
        <v>3</v>
      </c>
      <c r="K11" s="95"/>
      <c r="L11" s="96">
        <v>45981</v>
      </c>
      <c r="M11" s="97">
        <v>45984</v>
      </c>
      <c r="N11" s="39">
        <f t="shared" si="1"/>
        <v>1350000</v>
      </c>
      <c r="O11" s="98"/>
      <c r="P11" s="39">
        <f t="shared" si="2"/>
        <v>0</v>
      </c>
      <c r="Q11" s="42"/>
      <c r="R11" s="42">
        <f t="shared" si="3"/>
        <v>1350000</v>
      </c>
      <c r="S11" s="43">
        <f t="shared" si="4"/>
        <v>1134453.781512605</v>
      </c>
      <c r="T11" s="99">
        <f t="shared" si="5"/>
        <v>45921</v>
      </c>
      <c r="U11" s="100">
        <f t="shared" si="6"/>
        <v>675000</v>
      </c>
      <c r="V11" s="101">
        <f t="shared" si="7"/>
        <v>45951</v>
      </c>
      <c r="W11" s="102">
        <f t="shared" si="8"/>
        <v>675000</v>
      </c>
      <c r="X11" s="103">
        <v>45796</v>
      </c>
      <c r="Y11" s="104">
        <v>450000</v>
      </c>
      <c r="Z11" s="105" t="s">
        <v>51</v>
      </c>
      <c r="AA11" s="122">
        <v>45811</v>
      </c>
      <c r="AB11" s="107">
        <v>666666</v>
      </c>
      <c r="AC11" s="123" t="s">
        <v>43</v>
      </c>
      <c r="AD11" s="124"/>
      <c r="AE11" s="125"/>
      <c r="AF11" s="105"/>
      <c r="AG11" s="108"/>
      <c r="AH11" s="108"/>
      <c r="AI11" s="108"/>
      <c r="AJ11" s="112"/>
      <c r="AK11" s="107"/>
      <c r="AL11" s="113"/>
      <c r="AM11" s="107">
        <f t="shared" si="9"/>
        <v>1116666</v>
      </c>
      <c r="AN11" s="113">
        <f t="shared" si="10"/>
        <v>233334</v>
      </c>
      <c r="AO11" s="126" t="str">
        <f t="shared" si="12"/>
        <v/>
      </c>
      <c r="AP11" s="60"/>
    </row>
    <row r="12" spans="1:42" ht="12.75" customHeight="1">
      <c r="A12" s="29"/>
      <c r="B12" s="30">
        <v>9</v>
      </c>
      <c r="C12" s="114" t="s">
        <v>55</v>
      </c>
      <c r="D12" s="32" t="s">
        <v>55</v>
      </c>
      <c r="E12" s="34" t="s">
        <v>56</v>
      </c>
      <c r="F12" s="34" t="s">
        <v>41</v>
      </c>
      <c r="G12" s="34" t="s">
        <v>41</v>
      </c>
      <c r="H12" s="34" t="s">
        <v>41</v>
      </c>
      <c r="I12" s="32" t="s">
        <v>42</v>
      </c>
      <c r="J12" s="35">
        <f t="shared" si="0"/>
        <v>4</v>
      </c>
      <c r="K12" s="36"/>
      <c r="L12" s="37">
        <v>45959</v>
      </c>
      <c r="M12" s="38">
        <v>45963</v>
      </c>
      <c r="N12" s="39">
        <v>1600000</v>
      </c>
      <c r="O12" s="115"/>
      <c r="P12" s="39">
        <f t="shared" si="2"/>
        <v>0</v>
      </c>
      <c r="Q12" s="42"/>
      <c r="R12" s="42">
        <f t="shared" si="3"/>
        <v>1600000</v>
      </c>
      <c r="S12" s="43">
        <f t="shared" si="4"/>
        <v>1344537.8151260505</v>
      </c>
      <c r="T12" s="44">
        <f t="shared" si="5"/>
        <v>45899</v>
      </c>
      <c r="U12" s="45">
        <f t="shared" si="6"/>
        <v>800000</v>
      </c>
      <c r="V12" s="46">
        <f t="shared" si="7"/>
        <v>45929</v>
      </c>
      <c r="W12" s="47">
        <f t="shared" si="8"/>
        <v>800000</v>
      </c>
      <c r="X12" s="48">
        <v>45718</v>
      </c>
      <c r="Y12" s="49">
        <v>1600000</v>
      </c>
      <c r="Z12" s="83" t="s">
        <v>43</v>
      </c>
      <c r="AA12" s="51"/>
      <c r="AB12" s="52"/>
      <c r="AC12" s="127"/>
      <c r="AD12" s="54"/>
      <c r="AE12" s="55"/>
      <c r="AF12" s="56"/>
      <c r="AG12" s="53"/>
      <c r="AH12" s="53"/>
      <c r="AI12" s="53"/>
      <c r="AJ12" s="57"/>
      <c r="AK12" s="52"/>
      <c r="AL12" s="58"/>
      <c r="AM12" s="52">
        <f t="shared" si="9"/>
        <v>1600000</v>
      </c>
      <c r="AN12" s="58">
        <f t="shared" si="10"/>
        <v>0</v>
      </c>
      <c r="AO12" s="86">
        <f>SUM(AN12:AN13)</f>
        <v>1600000</v>
      </c>
      <c r="AP12" s="60"/>
    </row>
    <row r="13" spans="1:42" ht="12.75" customHeight="1">
      <c r="B13" s="90">
        <v>10</v>
      </c>
      <c r="C13" s="121" t="s">
        <v>55</v>
      </c>
      <c r="D13" s="92" t="s">
        <v>57</v>
      </c>
      <c r="E13" s="92"/>
      <c r="F13" s="93" t="s">
        <v>41</v>
      </c>
      <c r="G13" s="93" t="s">
        <v>41</v>
      </c>
      <c r="H13" s="93" t="s">
        <v>41</v>
      </c>
      <c r="I13" s="92" t="s">
        <v>42</v>
      </c>
      <c r="J13" s="94">
        <f t="shared" si="0"/>
        <v>4</v>
      </c>
      <c r="K13" s="95"/>
      <c r="L13" s="96">
        <v>45959</v>
      </c>
      <c r="M13" s="97">
        <v>45963</v>
      </c>
      <c r="N13" s="39">
        <v>1600000</v>
      </c>
      <c r="O13" s="128"/>
      <c r="P13" s="39">
        <f t="shared" si="2"/>
        <v>0</v>
      </c>
      <c r="Q13" s="42"/>
      <c r="R13" s="42">
        <f t="shared" si="3"/>
        <v>1600000</v>
      </c>
      <c r="S13" s="43">
        <f t="shared" si="4"/>
        <v>1344537.8151260505</v>
      </c>
      <c r="T13" s="99">
        <f t="shared" si="5"/>
        <v>45899</v>
      </c>
      <c r="U13" s="100">
        <f t="shared" si="6"/>
        <v>800000</v>
      </c>
      <c r="V13" s="101">
        <f t="shared" si="7"/>
        <v>45929</v>
      </c>
      <c r="W13" s="102">
        <f t="shared" si="8"/>
        <v>800000</v>
      </c>
      <c r="X13" s="103"/>
      <c r="Y13" s="104"/>
      <c r="Z13" s="105"/>
      <c r="AA13" s="129"/>
      <c r="AB13" s="107"/>
      <c r="AC13" s="123"/>
      <c r="AD13" s="109"/>
      <c r="AE13" s="110"/>
      <c r="AF13" s="111"/>
      <c r="AG13" s="108"/>
      <c r="AH13" s="108"/>
      <c r="AI13" s="108"/>
      <c r="AJ13" s="112"/>
      <c r="AK13" s="107"/>
      <c r="AL13" s="113"/>
      <c r="AM13" s="107">
        <f t="shared" si="9"/>
        <v>0</v>
      </c>
      <c r="AN13" s="113">
        <f t="shared" si="10"/>
        <v>1600000</v>
      </c>
      <c r="AO13" s="86" t="str">
        <f>CONCATENATE(IF(AP13&lt;0,IF(AP13&gt;-30,IF(AN13&gt;0,"T",""),""),IF(AP13&gt;0,IF(AN13&gt;0,"DEUDA",""),"")))</f>
        <v/>
      </c>
      <c r="AP13" s="60"/>
    </row>
    <row r="14" spans="1:42" ht="12.75" customHeight="1">
      <c r="A14" s="130" t="s">
        <v>58</v>
      </c>
      <c r="B14" s="10">
        <v>11</v>
      </c>
      <c r="C14" s="114" t="s">
        <v>59</v>
      </c>
      <c r="D14" s="32" t="s">
        <v>60</v>
      </c>
      <c r="E14" s="34" t="s">
        <v>61</v>
      </c>
      <c r="F14" s="34" t="s">
        <v>41</v>
      </c>
      <c r="G14" s="34" t="s">
        <v>41</v>
      </c>
      <c r="H14" s="34" t="s">
        <v>41</v>
      </c>
      <c r="I14" s="32" t="s">
        <v>42</v>
      </c>
      <c r="J14" s="35">
        <f t="shared" si="0"/>
        <v>4</v>
      </c>
      <c r="K14" s="36"/>
      <c r="L14" s="37">
        <v>45973</v>
      </c>
      <c r="M14" s="38">
        <v>45977</v>
      </c>
      <c r="N14" s="39">
        <v>1600000</v>
      </c>
      <c r="O14" s="131">
        <v>0.2</v>
      </c>
      <c r="P14" s="39">
        <f t="shared" si="2"/>
        <v>320000</v>
      </c>
      <c r="Q14" s="42"/>
      <c r="R14" s="42">
        <f t="shared" si="3"/>
        <v>1280000</v>
      </c>
      <c r="S14" s="43">
        <f t="shared" si="4"/>
        <v>1075630.2521008404</v>
      </c>
      <c r="T14" s="44">
        <f t="shared" si="5"/>
        <v>45913</v>
      </c>
      <c r="U14" s="45">
        <f t="shared" si="6"/>
        <v>640000</v>
      </c>
      <c r="V14" s="46">
        <f t="shared" si="7"/>
        <v>45943</v>
      </c>
      <c r="W14" s="47">
        <f t="shared" si="8"/>
        <v>640000</v>
      </c>
      <c r="X14" s="48">
        <v>45594</v>
      </c>
      <c r="Y14" s="49">
        <v>450000</v>
      </c>
      <c r="Z14" s="83" t="s">
        <v>43</v>
      </c>
      <c r="AA14" s="51">
        <v>45698</v>
      </c>
      <c r="AB14" s="52">
        <v>300000</v>
      </c>
      <c r="AC14" s="80" t="s">
        <v>43</v>
      </c>
      <c r="AD14" s="54"/>
      <c r="AE14" s="55"/>
      <c r="AF14" s="56"/>
      <c r="AG14" s="53"/>
      <c r="AH14" s="53"/>
      <c r="AI14" s="53"/>
      <c r="AJ14" s="57"/>
      <c r="AK14" s="52"/>
      <c r="AL14" s="58"/>
      <c r="AM14" s="52">
        <f t="shared" si="9"/>
        <v>750000</v>
      </c>
      <c r="AN14" s="58">
        <f t="shared" si="10"/>
        <v>530000</v>
      </c>
      <c r="AO14" s="59">
        <f>SUM(AN14:AN18)</f>
        <v>3350000</v>
      </c>
      <c r="AP14" s="60"/>
    </row>
    <row r="15" spans="1:42" ht="12.75" customHeight="1">
      <c r="A15" s="132">
        <f>J4+J9+J12+J14+J19+J21+J31+J33+J36+J40+J45+J48+J52+J55+J61+J63+J64+J68+J69+J70+J71+J73+J75+J78+J80+J82+J97+J98+J100+J101+J107+J108+J114+J116</f>
        <v>139</v>
      </c>
      <c r="B15" s="133">
        <v>12</v>
      </c>
      <c r="C15" s="118" t="s">
        <v>59</v>
      </c>
      <c r="D15" s="63" t="s">
        <v>62</v>
      </c>
      <c r="E15" s="63"/>
      <c r="F15" s="64" t="s">
        <v>41</v>
      </c>
      <c r="G15" s="64" t="s">
        <v>41</v>
      </c>
      <c r="H15" s="64" t="s">
        <v>41</v>
      </c>
      <c r="I15" s="63" t="s">
        <v>42</v>
      </c>
      <c r="J15" s="65">
        <f t="shared" si="0"/>
        <v>4</v>
      </c>
      <c r="K15" s="66"/>
      <c r="L15" s="67">
        <v>45973</v>
      </c>
      <c r="M15" s="68">
        <v>45977</v>
      </c>
      <c r="N15" s="39">
        <v>1750000</v>
      </c>
      <c r="O15" s="134">
        <v>0.2</v>
      </c>
      <c r="P15" s="39">
        <f t="shared" si="2"/>
        <v>350000</v>
      </c>
      <c r="Q15" s="42"/>
      <c r="R15" s="42">
        <f t="shared" si="3"/>
        <v>1400000</v>
      </c>
      <c r="S15" s="43">
        <f t="shared" si="4"/>
        <v>1176470.5882352942</v>
      </c>
      <c r="T15" s="71">
        <f t="shared" si="5"/>
        <v>45913</v>
      </c>
      <c r="U15" s="72">
        <f t="shared" si="6"/>
        <v>700000</v>
      </c>
      <c r="V15" s="73">
        <f t="shared" si="7"/>
        <v>45943</v>
      </c>
      <c r="W15" s="74">
        <f t="shared" si="8"/>
        <v>700000</v>
      </c>
      <c r="X15" s="135"/>
      <c r="Y15" s="136"/>
      <c r="AA15" s="135"/>
      <c r="AD15" s="81"/>
      <c r="AE15" s="82"/>
      <c r="AF15" s="83"/>
      <c r="AG15" s="80"/>
      <c r="AH15" s="80"/>
      <c r="AI15" s="80"/>
      <c r="AJ15" s="84"/>
      <c r="AK15" s="79"/>
      <c r="AL15" s="85"/>
      <c r="AM15" s="79">
        <f>Y40+AB40+AE15+AH15+AK15</f>
        <v>720000</v>
      </c>
      <c r="AN15" s="85">
        <f>+R15-Y40-AB40-AE15-AH15</f>
        <v>680000</v>
      </c>
      <c r="AO15" s="86" t="str">
        <f t="shared" ref="AO15:AO20" si="13">CONCATENATE(IF(AP15&lt;0,IF(AP15&gt;-30,IF(AN15&gt;0,"T",""),""),IF(AP15&gt;0,IF(AN15&gt;0,"DEUDA",""),"")))</f>
        <v/>
      </c>
      <c r="AP15" s="60"/>
    </row>
    <row r="16" spans="1:42" ht="12.75" customHeight="1">
      <c r="A16" s="29"/>
      <c r="B16" s="133">
        <v>13</v>
      </c>
      <c r="C16" s="118" t="s">
        <v>59</v>
      </c>
      <c r="D16" s="63" t="s">
        <v>63</v>
      </c>
      <c r="E16" s="63"/>
      <c r="F16" s="64" t="s">
        <v>41</v>
      </c>
      <c r="G16" s="64" t="s">
        <v>41</v>
      </c>
      <c r="H16" s="64" t="s">
        <v>41</v>
      </c>
      <c r="I16" s="63" t="s">
        <v>42</v>
      </c>
      <c r="J16" s="65">
        <f t="shared" si="0"/>
        <v>4</v>
      </c>
      <c r="K16" s="66"/>
      <c r="L16" s="67">
        <v>45973</v>
      </c>
      <c r="M16" s="68">
        <v>45977</v>
      </c>
      <c r="N16" s="39">
        <v>1600000</v>
      </c>
      <c r="O16" s="134">
        <v>0.2</v>
      </c>
      <c r="P16" s="39">
        <f t="shared" si="2"/>
        <v>320000</v>
      </c>
      <c r="Q16" s="42"/>
      <c r="R16" s="42">
        <f t="shared" si="3"/>
        <v>1280000</v>
      </c>
      <c r="S16" s="43">
        <f t="shared" si="4"/>
        <v>1075630.2521008404</v>
      </c>
      <c r="T16" s="71">
        <f t="shared" si="5"/>
        <v>45913</v>
      </c>
      <c r="U16" s="72">
        <f t="shared" si="6"/>
        <v>640000</v>
      </c>
      <c r="V16" s="73">
        <f t="shared" si="7"/>
        <v>45943</v>
      </c>
      <c r="W16" s="74">
        <f t="shared" si="8"/>
        <v>640000</v>
      </c>
      <c r="X16" s="137">
        <v>45601</v>
      </c>
      <c r="Y16" s="76">
        <v>350000</v>
      </c>
      <c r="Z16" s="83" t="s">
        <v>43</v>
      </c>
      <c r="AA16" s="138">
        <v>45602</v>
      </c>
      <c r="AB16" s="79">
        <v>350000</v>
      </c>
      <c r="AC16" s="80" t="s">
        <v>43</v>
      </c>
      <c r="AD16" s="81"/>
      <c r="AE16" s="82"/>
      <c r="AF16" s="83"/>
      <c r="AG16" s="80"/>
      <c r="AH16" s="80"/>
      <c r="AI16" s="80"/>
      <c r="AJ16" s="84"/>
      <c r="AK16" s="79"/>
      <c r="AL16" s="85"/>
      <c r="AM16" s="79">
        <f t="shared" ref="AM16:AM42" si="14">Y16+AB16+AE16+AH16+AK16</f>
        <v>700000</v>
      </c>
      <c r="AN16" s="85">
        <f t="shared" ref="AN16:AN42" si="15">+R16-Y16-AB16-AE16-AH16</f>
        <v>580000</v>
      </c>
      <c r="AO16" s="86" t="str">
        <f t="shared" si="13"/>
        <v/>
      </c>
      <c r="AP16" s="60"/>
    </row>
    <row r="17" spans="1:42" ht="12.75" customHeight="1">
      <c r="A17" s="29"/>
      <c r="B17" s="133">
        <v>14</v>
      </c>
      <c r="C17" s="118" t="s">
        <v>59</v>
      </c>
      <c r="D17" s="63" t="s">
        <v>64</v>
      </c>
      <c r="E17" s="63"/>
      <c r="F17" s="64" t="s">
        <v>41</v>
      </c>
      <c r="G17" s="64" t="s">
        <v>41</v>
      </c>
      <c r="H17" s="64" t="s">
        <v>41</v>
      </c>
      <c r="I17" s="63" t="s">
        <v>42</v>
      </c>
      <c r="J17" s="65">
        <f t="shared" si="0"/>
        <v>4</v>
      </c>
      <c r="K17" s="66"/>
      <c r="L17" s="67">
        <v>45973</v>
      </c>
      <c r="M17" s="68">
        <v>45977</v>
      </c>
      <c r="N17" s="39">
        <v>1600000</v>
      </c>
      <c r="O17" s="134">
        <v>0.2</v>
      </c>
      <c r="P17" s="39">
        <f t="shared" si="2"/>
        <v>320000</v>
      </c>
      <c r="Q17" s="42"/>
      <c r="R17" s="42">
        <f t="shared" si="3"/>
        <v>1280000</v>
      </c>
      <c r="S17" s="43">
        <f t="shared" si="4"/>
        <v>1075630.2521008404</v>
      </c>
      <c r="T17" s="71">
        <f t="shared" si="5"/>
        <v>45913</v>
      </c>
      <c r="U17" s="72">
        <f t="shared" si="6"/>
        <v>640000</v>
      </c>
      <c r="V17" s="73">
        <f t="shared" si="7"/>
        <v>45943</v>
      </c>
      <c r="W17" s="74">
        <f t="shared" si="8"/>
        <v>640000</v>
      </c>
      <c r="X17" s="75">
        <v>45614</v>
      </c>
      <c r="Y17" s="76">
        <v>350000</v>
      </c>
      <c r="Z17" s="83" t="s">
        <v>43</v>
      </c>
      <c r="AA17" s="138"/>
      <c r="AB17" s="79"/>
      <c r="AC17" s="8"/>
      <c r="AD17" s="81"/>
      <c r="AE17" s="82"/>
      <c r="AF17" s="83"/>
      <c r="AG17" s="80"/>
      <c r="AH17" s="80"/>
      <c r="AI17" s="80"/>
      <c r="AJ17" s="84"/>
      <c r="AK17" s="79"/>
      <c r="AL17" s="85"/>
      <c r="AM17" s="79">
        <f t="shared" si="14"/>
        <v>350000</v>
      </c>
      <c r="AN17" s="85">
        <f t="shared" si="15"/>
        <v>930000</v>
      </c>
      <c r="AO17" s="86" t="str">
        <f t="shared" si="13"/>
        <v/>
      </c>
      <c r="AP17" s="60"/>
    </row>
    <row r="18" spans="1:42" ht="12.75" customHeight="1">
      <c r="A18" s="139" t="s">
        <v>65</v>
      </c>
      <c r="B18" s="16">
        <v>15</v>
      </c>
      <c r="C18" s="121" t="s">
        <v>59</v>
      </c>
      <c r="D18" s="92" t="s">
        <v>66</v>
      </c>
      <c r="E18" s="92"/>
      <c r="F18" s="93" t="s">
        <v>41</v>
      </c>
      <c r="G18" s="93" t="s">
        <v>41</v>
      </c>
      <c r="H18" s="93" t="s">
        <v>41</v>
      </c>
      <c r="I18" s="92" t="s">
        <v>42</v>
      </c>
      <c r="J18" s="94">
        <f t="shared" si="0"/>
        <v>4</v>
      </c>
      <c r="K18" s="95"/>
      <c r="L18" s="96">
        <v>45973</v>
      </c>
      <c r="M18" s="97">
        <v>45977</v>
      </c>
      <c r="N18" s="39">
        <v>1600000</v>
      </c>
      <c r="O18" s="140">
        <v>0.2</v>
      </c>
      <c r="P18" s="39">
        <f t="shared" si="2"/>
        <v>320000</v>
      </c>
      <c r="Q18" s="42"/>
      <c r="R18" s="42">
        <f t="shared" si="3"/>
        <v>1280000</v>
      </c>
      <c r="S18" s="43">
        <f t="shared" si="4"/>
        <v>1075630.2521008404</v>
      </c>
      <c r="T18" s="99">
        <f t="shared" si="5"/>
        <v>45913</v>
      </c>
      <c r="U18" s="100">
        <f t="shared" si="6"/>
        <v>640000</v>
      </c>
      <c r="V18" s="101">
        <f t="shared" si="7"/>
        <v>45943</v>
      </c>
      <c r="W18" s="102">
        <f t="shared" si="8"/>
        <v>640000</v>
      </c>
      <c r="X18" s="103">
        <v>45615</v>
      </c>
      <c r="Y18" s="104">
        <v>250000</v>
      </c>
      <c r="Z18" s="83" t="s">
        <v>43</v>
      </c>
      <c r="AA18" s="141">
        <v>45925</v>
      </c>
      <c r="AB18" s="107">
        <v>400000</v>
      </c>
      <c r="AC18" s="123" t="s">
        <v>43</v>
      </c>
      <c r="AD18" s="109"/>
      <c r="AE18" s="110"/>
      <c r="AF18" s="111"/>
      <c r="AG18" s="108"/>
      <c r="AH18" s="108"/>
      <c r="AI18" s="108"/>
      <c r="AJ18" s="112"/>
      <c r="AK18" s="107"/>
      <c r="AL18" s="113"/>
      <c r="AM18" s="107">
        <f t="shared" si="14"/>
        <v>650000</v>
      </c>
      <c r="AN18" s="113">
        <f t="shared" si="15"/>
        <v>630000</v>
      </c>
      <c r="AO18" s="126" t="str">
        <f t="shared" si="13"/>
        <v/>
      </c>
      <c r="AP18" s="60"/>
    </row>
    <row r="19" spans="1:42" ht="12.75" customHeight="1">
      <c r="A19" s="142">
        <f>SUM(R4:R145)</f>
        <v>208347000</v>
      </c>
      <c r="B19" s="30">
        <v>16</v>
      </c>
      <c r="C19" s="143" t="s">
        <v>67</v>
      </c>
      <c r="D19" s="144" t="s">
        <v>68</v>
      </c>
      <c r="E19" s="144"/>
      <c r="F19" s="144"/>
      <c r="G19" s="144"/>
      <c r="H19" s="144"/>
      <c r="I19" s="144"/>
      <c r="J19" s="145">
        <f t="shared" si="0"/>
        <v>4</v>
      </c>
      <c r="K19" s="146"/>
      <c r="L19" s="147">
        <v>46081</v>
      </c>
      <c r="M19" s="148">
        <v>46085</v>
      </c>
      <c r="N19" s="149">
        <v>1600000</v>
      </c>
      <c r="O19" s="150"/>
      <c r="P19" s="149">
        <f t="shared" si="2"/>
        <v>0</v>
      </c>
      <c r="Q19" s="151"/>
      <c r="R19" s="151">
        <f t="shared" si="3"/>
        <v>1600000</v>
      </c>
      <c r="S19" s="152">
        <f t="shared" si="4"/>
        <v>1344537.8151260505</v>
      </c>
      <c r="T19" s="153">
        <f t="shared" si="5"/>
        <v>46021</v>
      </c>
      <c r="U19" s="154">
        <f t="shared" si="6"/>
        <v>800000</v>
      </c>
      <c r="V19" s="155">
        <f t="shared" si="7"/>
        <v>46051</v>
      </c>
      <c r="W19" s="156">
        <f t="shared" si="8"/>
        <v>800000</v>
      </c>
      <c r="X19" s="157">
        <v>45663</v>
      </c>
      <c r="Y19" s="158">
        <v>1000000</v>
      </c>
      <c r="Z19" s="159" t="s">
        <v>43</v>
      </c>
      <c r="AA19" s="160">
        <v>46077</v>
      </c>
      <c r="AB19" s="161">
        <v>600000</v>
      </c>
      <c r="AC19" s="162" t="s">
        <v>43</v>
      </c>
      <c r="AD19" s="163"/>
      <c r="AE19" s="164"/>
      <c r="AF19" s="159"/>
      <c r="AG19" s="165"/>
      <c r="AH19" s="165"/>
      <c r="AI19" s="165"/>
      <c r="AJ19" s="166"/>
      <c r="AK19" s="161"/>
      <c r="AL19" s="167"/>
      <c r="AM19" s="107">
        <f t="shared" si="14"/>
        <v>1600000</v>
      </c>
      <c r="AN19" s="113">
        <f t="shared" si="15"/>
        <v>0</v>
      </c>
      <c r="AO19" s="86" t="str">
        <f t="shared" si="13"/>
        <v/>
      </c>
      <c r="AP19" s="60"/>
    </row>
    <row r="20" spans="1:42" ht="12.75" customHeight="1">
      <c r="A20" s="29"/>
      <c r="B20" s="90">
        <v>17</v>
      </c>
      <c r="C20" s="121" t="s">
        <v>67</v>
      </c>
      <c r="D20" s="92"/>
      <c r="E20" s="92"/>
      <c r="F20" s="92"/>
      <c r="G20" s="92"/>
      <c r="H20" s="92"/>
      <c r="I20" s="92"/>
      <c r="J20" s="94">
        <f t="shared" si="0"/>
        <v>4</v>
      </c>
      <c r="K20" s="95"/>
      <c r="L20" s="96">
        <v>46081</v>
      </c>
      <c r="M20" s="97">
        <v>46085</v>
      </c>
      <c r="N20" s="39">
        <v>1600000</v>
      </c>
      <c r="O20" s="98"/>
      <c r="P20" s="39">
        <f t="shared" si="2"/>
        <v>0</v>
      </c>
      <c r="Q20" s="42"/>
      <c r="R20" s="42">
        <f t="shared" si="3"/>
        <v>1600000</v>
      </c>
      <c r="S20" s="43">
        <f t="shared" si="4"/>
        <v>1344537.8151260505</v>
      </c>
      <c r="T20" s="99">
        <f t="shared" si="5"/>
        <v>46021</v>
      </c>
      <c r="U20" s="100">
        <f t="shared" si="6"/>
        <v>800000</v>
      </c>
      <c r="V20" s="101">
        <f t="shared" si="7"/>
        <v>46051</v>
      </c>
      <c r="W20" s="102">
        <f t="shared" si="8"/>
        <v>800000</v>
      </c>
      <c r="X20" s="103">
        <v>46045</v>
      </c>
      <c r="Y20" s="104">
        <v>1000000</v>
      </c>
      <c r="Z20" s="105" t="s">
        <v>69</v>
      </c>
      <c r="AA20" s="141">
        <v>46077</v>
      </c>
      <c r="AB20" s="107">
        <v>600000</v>
      </c>
      <c r="AC20" s="123" t="s">
        <v>43</v>
      </c>
      <c r="AD20" s="109"/>
      <c r="AE20" s="110"/>
      <c r="AF20" s="111"/>
      <c r="AG20" s="108"/>
      <c r="AH20" s="108"/>
      <c r="AI20" s="108"/>
      <c r="AJ20" s="112"/>
      <c r="AK20" s="107"/>
      <c r="AL20" s="113"/>
      <c r="AM20" s="107">
        <f t="shared" si="14"/>
        <v>1600000</v>
      </c>
      <c r="AN20" s="113">
        <f t="shared" si="15"/>
        <v>0</v>
      </c>
      <c r="AO20" s="86" t="str">
        <f t="shared" si="13"/>
        <v/>
      </c>
      <c r="AP20" s="60"/>
    </row>
    <row r="21" spans="1:42" ht="12.75" customHeight="1">
      <c r="A21" s="29"/>
      <c r="B21" s="30">
        <v>18</v>
      </c>
      <c r="C21" s="114" t="s">
        <v>70</v>
      </c>
      <c r="D21" s="32"/>
      <c r="E21" s="32" t="s">
        <v>71</v>
      </c>
      <c r="F21" s="34" t="s">
        <v>41</v>
      </c>
      <c r="G21" s="32"/>
      <c r="H21" s="34" t="s">
        <v>41</v>
      </c>
      <c r="I21" s="32" t="s">
        <v>42</v>
      </c>
      <c r="J21" s="35">
        <f t="shared" si="0"/>
        <v>3</v>
      </c>
      <c r="K21" s="168"/>
      <c r="L21" s="37">
        <v>46006</v>
      </c>
      <c r="M21" s="38">
        <v>46009</v>
      </c>
      <c r="N21" s="39">
        <f t="shared" ref="N21:N34" si="16">IF(J21=3,(1350000))+IF(J21=4,(1750000))+IF(J21=5,(2150000))+IF(J21=6,(2550000))+IF(J21=7,(2950000))</f>
        <v>1350000</v>
      </c>
      <c r="O21" s="115">
        <v>0.1</v>
      </c>
      <c r="P21" s="39">
        <f t="shared" si="2"/>
        <v>135000</v>
      </c>
      <c r="Q21" s="42"/>
      <c r="R21" s="42">
        <f t="shared" si="3"/>
        <v>1215000</v>
      </c>
      <c r="S21" s="43">
        <f t="shared" si="4"/>
        <v>1021008.4033613446</v>
      </c>
      <c r="T21" s="44">
        <f t="shared" si="5"/>
        <v>45946</v>
      </c>
      <c r="U21" s="45">
        <f t="shared" si="6"/>
        <v>607500</v>
      </c>
      <c r="V21" s="46">
        <f t="shared" si="7"/>
        <v>45976</v>
      </c>
      <c r="W21" s="47">
        <f t="shared" si="8"/>
        <v>607500</v>
      </c>
      <c r="X21" s="48"/>
      <c r="Y21" s="49"/>
      <c r="Z21" s="50"/>
      <c r="AA21" s="51"/>
      <c r="AB21" s="52"/>
      <c r="AC21" s="127"/>
      <c r="AD21" s="54"/>
      <c r="AE21" s="55"/>
      <c r="AF21" s="56"/>
      <c r="AG21" s="53"/>
      <c r="AH21" s="53"/>
      <c r="AI21" s="53"/>
      <c r="AJ21" s="57"/>
      <c r="AK21" s="52"/>
      <c r="AL21" s="58"/>
      <c r="AM21" s="52">
        <f t="shared" si="14"/>
        <v>0</v>
      </c>
      <c r="AN21" s="58">
        <f t="shared" si="15"/>
        <v>1215000</v>
      </c>
      <c r="AO21" s="59">
        <f>SUM(AN21:AN30)</f>
        <v>12150000</v>
      </c>
      <c r="AP21" s="60"/>
    </row>
    <row r="22" spans="1:42" ht="12.75" customHeight="1">
      <c r="A22" s="169" t="s">
        <v>72</v>
      </c>
      <c r="B22" s="61">
        <v>19</v>
      </c>
      <c r="C22" s="118" t="s">
        <v>70</v>
      </c>
      <c r="D22" s="63"/>
      <c r="E22" s="63"/>
      <c r="F22" s="64" t="s">
        <v>41</v>
      </c>
      <c r="G22" s="63"/>
      <c r="H22" s="64" t="s">
        <v>41</v>
      </c>
      <c r="I22" s="63" t="s">
        <v>42</v>
      </c>
      <c r="J22" s="65">
        <f t="shared" si="0"/>
        <v>3</v>
      </c>
      <c r="K22" s="170"/>
      <c r="L22" s="67">
        <v>46006</v>
      </c>
      <c r="M22" s="68">
        <v>46009</v>
      </c>
      <c r="N22" s="39">
        <f t="shared" si="16"/>
        <v>1350000</v>
      </c>
      <c r="O22" s="69">
        <v>0.1</v>
      </c>
      <c r="P22" s="39">
        <f t="shared" si="2"/>
        <v>135000</v>
      </c>
      <c r="Q22" s="42"/>
      <c r="R22" s="42">
        <f t="shared" si="3"/>
        <v>1215000</v>
      </c>
      <c r="S22" s="43">
        <f t="shared" si="4"/>
        <v>1021008.4033613446</v>
      </c>
      <c r="T22" s="71">
        <f t="shared" si="5"/>
        <v>45946</v>
      </c>
      <c r="U22" s="72">
        <f t="shared" si="6"/>
        <v>607500</v>
      </c>
      <c r="V22" s="73">
        <f t="shared" si="7"/>
        <v>45976</v>
      </c>
      <c r="W22" s="74">
        <f t="shared" si="8"/>
        <v>607500</v>
      </c>
      <c r="X22" s="75"/>
      <c r="Y22" s="76"/>
      <c r="Z22" s="77"/>
      <c r="AA22" s="78"/>
      <c r="AB22" s="79"/>
      <c r="AC22" s="8"/>
      <c r="AD22" s="81"/>
      <c r="AE22" s="82"/>
      <c r="AF22" s="83"/>
      <c r="AG22" s="80"/>
      <c r="AH22" s="80"/>
      <c r="AI22" s="80"/>
      <c r="AJ22" s="84"/>
      <c r="AK22" s="79"/>
      <c r="AL22" s="85"/>
      <c r="AM22" s="79">
        <f t="shared" si="14"/>
        <v>0</v>
      </c>
      <c r="AN22" s="85">
        <f t="shared" si="15"/>
        <v>1215000</v>
      </c>
      <c r="AO22" s="86" t="str">
        <f t="shared" ref="AO22:AO30" si="17">CONCATENATE(IF(AP22&lt;0,IF(AP22&gt;-30,IF(AN22&gt;0,"T",""),""),IF(AP22&gt;0,IF(AN22&gt;0,"DEUDA",""),"")))</f>
        <v/>
      </c>
      <c r="AP22" s="60"/>
    </row>
    <row r="23" spans="1:42" ht="12.75" customHeight="1">
      <c r="A23" s="171">
        <f>SUM(S4:S145)</f>
        <v>175081512.74789909</v>
      </c>
      <c r="B23" s="61">
        <v>20</v>
      </c>
      <c r="C23" s="118" t="s">
        <v>70</v>
      </c>
      <c r="D23" s="63"/>
      <c r="E23" s="63"/>
      <c r="F23" s="64" t="s">
        <v>41</v>
      </c>
      <c r="G23" s="63"/>
      <c r="H23" s="64" t="s">
        <v>41</v>
      </c>
      <c r="I23" s="63" t="s">
        <v>42</v>
      </c>
      <c r="J23" s="65">
        <f t="shared" si="0"/>
        <v>3</v>
      </c>
      <c r="K23" s="66"/>
      <c r="L23" s="67">
        <v>46006</v>
      </c>
      <c r="M23" s="68">
        <v>46009</v>
      </c>
      <c r="N23" s="39">
        <f t="shared" si="16"/>
        <v>1350000</v>
      </c>
      <c r="O23" s="69">
        <v>0.1</v>
      </c>
      <c r="P23" s="39">
        <f t="shared" si="2"/>
        <v>135000</v>
      </c>
      <c r="Q23" s="42"/>
      <c r="R23" s="42">
        <f t="shared" si="3"/>
        <v>1215000</v>
      </c>
      <c r="S23" s="43">
        <f t="shared" si="4"/>
        <v>1021008.4033613446</v>
      </c>
      <c r="T23" s="71">
        <f t="shared" si="5"/>
        <v>45946</v>
      </c>
      <c r="U23" s="72">
        <f t="shared" si="6"/>
        <v>607500</v>
      </c>
      <c r="V23" s="73">
        <f t="shared" si="7"/>
        <v>45976</v>
      </c>
      <c r="W23" s="74">
        <f t="shared" si="8"/>
        <v>607500</v>
      </c>
      <c r="X23" s="75"/>
      <c r="Y23" s="76"/>
      <c r="Z23" s="77"/>
      <c r="AA23" s="78"/>
      <c r="AB23" s="79"/>
      <c r="AC23" s="8"/>
      <c r="AD23" s="81"/>
      <c r="AE23" s="82"/>
      <c r="AF23" s="83"/>
      <c r="AG23" s="80"/>
      <c r="AH23" s="80"/>
      <c r="AI23" s="80"/>
      <c r="AJ23" s="84"/>
      <c r="AK23" s="79"/>
      <c r="AL23" s="85"/>
      <c r="AM23" s="79">
        <f t="shared" si="14"/>
        <v>0</v>
      </c>
      <c r="AN23" s="85">
        <f t="shared" si="15"/>
        <v>1215000</v>
      </c>
      <c r="AO23" s="86" t="str">
        <f t="shared" si="17"/>
        <v/>
      </c>
      <c r="AP23" s="60"/>
    </row>
    <row r="24" spans="1:42" ht="12.75" customHeight="1">
      <c r="B24" s="61">
        <v>21</v>
      </c>
      <c r="C24" s="118" t="s">
        <v>70</v>
      </c>
      <c r="D24" s="63"/>
      <c r="E24" s="63"/>
      <c r="F24" s="64" t="s">
        <v>41</v>
      </c>
      <c r="G24" s="63"/>
      <c r="H24" s="64" t="s">
        <v>41</v>
      </c>
      <c r="I24" s="63" t="s">
        <v>42</v>
      </c>
      <c r="J24" s="65">
        <f t="shared" si="0"/>
        <v>3</v>
      </c>
      <c r="K24" s="66"/>
      <c r="L24" s="67">
        <v>46006</v>
      </c>
      <c r="M24" s="68">
        <v>46009</v>
      </c>
      <c r="N24" s="39">
        <f t="shared" si="16"/>
        <v>1350000</v>
      </c>
      <c r="O24" s="69">
        <v>0.1</v>
      </c>
      <c r="P24" s="39">
        <f t="shared" si="2"/>
        <v>135000</v>
      </c>
      <c r="Q24" s="42"/>
      <c r="R24" s="42">
        <f t="shared" si="3"/>
        <v>1215000</v>
      </c>
      <c r="S24" s="43">
        <f t="shared" si="4"/>
        <v>1021008.4033613446</v>
      </c>
      <c r="T24" s="71">
        <f t="shared" si="5"/>
        <v>45946</v>
      </c>
      <c r="U24" s="72">
        <f t="shared" si="6"/>
        <v>607500</v>
      </c>
      <c r="V24" s="73">
        <f t="shared" si="7"/>
        <v>45976</v>
      </c>
      <c r="W24" s="74">
        <f t="shared" si="8"/>
        <v>607500</v>
      </c>
      <c r="X24" s="75"/>
      <c r="Y24" s="76"/>
      <c r="Z24" s="77"/>
      <c r="AA24" s="78"/>
      <c r="AB24" s="79"/>
      <c r="AC24" s="8"/>
      <c r="AD24" s="81"/>
      <c r="AE24" s="82"/>
      <c r="AF24" s="83"/>
      <c r="AG24" s="80"/>
      <c r="AH24" s="80"/>
      <c r="AI24" s="80"/>
      <c r="AJ24" s="84"/>
      <c r="AK24" s="79"/>
      <c r="AL24" s="85"/>
      <c r="AM24" s="79">
        <f t="shared" si="14"/>
        <v>0</v>
      </c>
      <c r="AN24" s="85">
        <f t="shared" si="15"/>
        <v>1215000</v>
      </c>
      <c r="AO24" s="86" t="str">
        <f t="shared" si="17"/>
        <v/>
      </c>
      <c r="AP24" s="60"/>
    </row>
    <row r="25" spans="1:42" ht="12.75" customHeight="1">
      <c r="A25" s="29"/>
      <c r="B25" s="61">
        <v>22</v>
      </c>
      <c r="C25" s="118" t="s">
        <v>70</v>
      </c>
      <c r="D25" s="63"/>
      <c r="E25" s="63"/>
      <c r="F25" s="64" t="s">
        <v>41</v>
      </c>
      <c r="G25" s="63"/>
      <c r="H25" s="64" t="s">
        <v>41</v>
      </c>
      <c r="I25" s="63" t="s">
        <v>42</v>
      </c>
      <c r="J25" s="65">
        <f t="shared" si="0"/>
        <v>3</v>
      </c>
      <c r="K25" s="66"/>
      <c r="L25" s="67">
        <v>46006</v>
      </c>
      <c r="M25" s="68">
        <v>46009</v>
      </c>
      <c r="N25" s="39">
        <f t="shared" si="16"/>
        <v>1350000</v>
      </c>
      <c r="O25" s="69">
        <v>0.1</v>
      </c>
      <c r="P25" s="39">
        <f t="shared" si="2"/>
        <v>135000</v>
      </c>
      <c r="Q25" s="42"/>
      <c r="R25" s="42">
        <f t="shared" si="3"/>
        <v>1215000</v>
      </c>
      <c r="S25" s="43">
        <f t="shared" si="4"/>
        <v>1021008.4033613446</v>
      </c>
      <c r="T25" s="71">
        <f t="shared" si="5"/>
        <v>45946</v>
      </c>
      <c r="U25" s="72">
        <f t="shared" si="6"/>
        <v>607500</v>
      </c>
      <c r="V25" s="73">
        <f t="shared" si="7"/>
        <v>45976</v>
      </c>
      <c r="W25" s="74">
        <f t="shared" si="8"/>
        <v>607500</v>
      </c>
      <c r="X25" s="75"/>
      <c r="Y25" s="76"/>
      <c r="Z25" s="77"/>
      <c r="AA25" s="78"/>
      <c r="AB25" s="79"/>
      <c r="AC25" s="8"/>
      <c r="AD25" s="81"/>
      <c r="AE25" s="82"/>
      <c r="AF25" s="83"/>
      <c r="AG25" s="80"/>
      <c r="AH25" s="80"/>
      <c r="AI25" s="80"/>
      <c r="AJ25" s="84"/>
      <c r="AK25" s="79"/>
      <c r="AL25" s="85"/>
      <c r="AM25" s="79">
        <f t="shared" si="14"/>
        <v>0</v>
      </c>
      <c r="AN25" s="85">
        <f t="shared" si="15"/>
        <v>1215000</v>
      </c>
      <c r="AO25" s="86" t="str">
        <f t="shared" si="17"/>
        <v/>
      </c>
      <c r="AP25" s="60"/>
    </row>
    <row r="26" spans="1:42" ht="12.75" customHeight="1">
      <c r="A26" s="172" t="s">
        <v>73</v>
      </c>
      <c r="B26" s="61">
        <v>23</v>
      </c>
      <c r="C26" s="118" t="s">
        <v>70</v>
      </c>
      <c r="D26" s="63" t="s">
        <v>74</v>
      </c>
      <c r="E26" s="63"/>
      <c r="F26" s="64" t="s">
        <v>41</v>
      </c>
      <c r="G26" s="63"/>
      <c r="H26" s="64" t="s">
        <v>41</v>
      </c>
      <c r="I26" s="63" t="s">
        <v>42</v>
      </c>
      <c r="J26" s="65">
        <f t="shared" si="0"/>
        <v>3</v>
      </c>
      <c r="K26" s="66"/>
      <c r="L26" s="67">
        <v>46006</v>
      </c>
      <c r="M26" s="68">
        <v>46009</v>
      </c>
      <c r="N26" s="39">
        <f t="shared" si="16"/>
        <v>1350000</v>
      </c>
      <c r="O26" s="69">
        <v>0.1</v>
      </c>
      <c r="P26" s="39">
        <f t="shared" si="2"/>
        <v>135000</v>
      </c>
      <c r="Q26" s="42"/>
      <c r="R26" s="42">
        <f t="shared" si="3"/>
        <v>1215000</v>
      </c>
      <c r="S26" s="43">
        <f t="shared" si="4"/>
        <v>1021008.4033613446</v>
      </c>
      <c r="T26" s="71">
        <f t="shared" si="5"/>
        <v>45946</v>
      </c>
      <c r="U26" s="72">
        <f t="shared" si="6"/>
        <v>607500</v>
      </c>
      <c r="V26" s="73">
        <f t="shared" si="7"/>
        <v>45976</v>
      </c>
      <c r="W26" s="74">
        <f t="shared" si="8"/>
        <v>607500</v>
      </c>
      <c r="X26" s="75"/>
      <c r="Y26" s="76"/>
      <c r="Z26" s="77"/>
      <c r="AA26" s="78"/>
      <c r="AB26" s="79"/>
      <c r="AC26" s="8"/>
      <c r="AD26" s="81"/>
      <c r="AE26" s="82"/>
      <c r="AF26" s="83"/>
      <c r="AG26" s="80"/>
      <c r="AH26" s="80"/>
      <c r="AI26" s="80"/>
      <c r="AJ26" s="84"/>
      <c r="AK26" s="79"/>
      <c r="AL26" s="85"/>
      <c r="AM26" s="79">
        <f t="shared" si="14"/>
        <v>0</v>
      </c>
      <c r="AN26" s="85">
        <f t="shared" si="15"/>
        <v>1215000</v>
      </c>
      <c r="AO26" s="86" t="str">
        <f t="shared" si="17"/>
        <v/>
      </c>
      <c r="AP26" s="60"/>
    </row>
    <row r="27" spans="1:42" ht="12.75" customHeight="1">
      <c r="A27" s="173">
        <f ca="1">TODAY()</f>
        <v>46183</v>
      </c>
      <c r="B27" s="61">
        <v>24</v>
      </c>
      <c r="C27" s="118" t="s">
        <v>70</v>
      </c>
      <c r="D27" s="63"/>
      <c r="E27" s="63"/>
      <c r="F27" s="64" t="s">
        <v>41</v>
      </c>
      <c r="G27" s="63"/>
      <c r="H27" s="64" t="s">
        <v>41</v>
      </c>
      <c r="I27" s="63" t="s">
        <v>42</v>
      </c>
      <c r="J27" s="65">
        <f t="shared" si="0"/>
        <v>3</v>
      </c>
      <c r="K27" s="66"/>
      <c r="L27" s="67">
        <v>46006</v>
      </c>
      <c r="M27" s="68">
        <v>46009</v>
      </c>
      <c r="N27" s="39">
        <f t="shared" si="16"/>
        <v>1350000</v>
      </c>
      <c r="O27" s="69">
        <v>0.1</v>
      </c>
      <c r="P27" s="39">
        <f t="shared" si="2"/>
        <v>135000</v>
      </c>
      <c r="Q27" s="42"/>
      <c r="R27" s="42">
        <f t="shared" si="3"/>
        <v>1215000</v>
      </c>
      <c r="S27" s="43">
        <f t="shared" si="4"/>
        <v>1021008.4033613446</v>
      </c>
      <c r="T27" s="71">
        <f t="shared" si="5"/>
        <v>45946</v>
      </c>
      <c r="U27" s="72">
        <f t="shared" si="6"/>
        <v>607500</v>
      </c>
      <c r="V27" s="73">
        <f t="shared" si="7"/>
        <v>45976</v>
      </c>
      <c r="W27" s="74">
        <f t="shared" si="8"/>
        <v>607500</v>
      </c>
      <c r="X27" s="75"/>
      <c r="Y27" s="76"/>
      <c r="Z27" s="77"/>
      <c r="AA27" s="78"/>
      <c r="AB27" s="79"/>
      <c r="AC27" s="8"/>
      <c r="AD27" s="81"/>
      <c r="AE27" s="82"/>
      <c r="AF27" s="83"/>
      <c r="AG27" s="80"/>
      <c r="AH27" s="80"/>
      <c r="AI27" s="80"/>
      <c r="AJ27" s="84"/>
      <c r="AK27" s="79"/>
      <c r="AL27" s="85"/>
      <c r="AM27" s="79">
        <f t="shared" si="14"/>
        <v>0</v>
      </c>
      <c r="AN27" s="85">
        <f t="shared" si="15"/>
        <v>1215000</v>
      </c>
      <c r="AO27" s="86" t="str">
        <f t="shared" si="17"/>
        <v/>
      </c>
      <c r="AP27" s="60"/>
    </row>
    <row r="28" spans="1:42" ht="12.75" customHeight="1">
      <c r="A28" s="174">
        <f>SUM(AM4:AM137)</f>
        <v>68424999</v>
      </c>
      <c r="B28" s="61">
        <v>25</v>
      </c>
      <c r="C28" s="118" t="s">
        <v>70</v>
      </c>
      <c r="D28" s="63"/>
      <c r="E28" s="63"/>
      <c r="F28" s="64" t="s">
        <v>41</v>
      </c>
      <c r="G28" s="63"/>
      <c r="H28" s="64" t="s">
        <v>41</v>
      </c>
      <c r="I28" s="63" t="s">
        <v>42</v>
      </c>
      <c r="J28" s="65">
        <f t="shared" si="0"/>
        <v>3</v>
      </c>
      <c r="K28" s="66"/>
      <c r="L28" s="67">
        <v>46006</v>
      </c>
      <c r="M28" s="68">
        <v>46009</v>
      </c>
      <c r="N28" s="39">
        <f t="shared" si="16"/>
        <v>1350000</v>
      </c>
      <c r="O28" s="134">
        <v>0.1</v>
      </c>
      <c r="P28" s="39">
        <f t="shared" si="2"/>
        <v>135000</v>
      </c>
      <c r="Q28" s="42"/>
      <c r="R28" s="42">
        <f t="shared" si="3"/>
        <v>1215000</v>
      </c>
      <c r="S28" s="43">
        <f t="shared" si="4"/>
        <v>1021008.4033613446</v>
      </c>
      <c r="T28" s="71">
        <f t="shared" si="5"/>
        <v>45946</v>
      </c>
      <c r="U28" s="72">
        <f t="shared" si="6"/>
        <v>607500</v>
      </c>
      <c r="V28" s="73">
        <f t="shared" si="7"/>
        <v>45976</v>
      </c>
      <c r="W28" s="74">
        <f t="shared" si="8"/>
        <v>607500</v>
      </c>
      <c r="X28" s="75"/>
      <c r="Y28" s="76"/>
      <c r="Z28" s="77"/>
      <c r="AA28" s="80"/>
      <c r="AB28" s="79"/>
      <c r="AC28" s="80"/>
      <c r="AD28" s="81"/>
      <c r="AE28" s="82"/>
      <c r="AF28" s="83"/>
      <c r="AG28" s="80"/>
      <c r="AH28" s="80"/>
      <c r="AI28" s="80"/>
      <c r="AJ28" s="84"/>
      <c r="AK28" s="79"/>
      <c r="AL28" s="85"/>
      <c r="AM28" s="79">
        <f t="shared" si="14"/>
        <v>0</v>
      </c>
      <c r="AN28" s="85">
        <f t="shared" si="15"/>
        <v>1215000</v>
      </c>
      <c r="AO28" s="86" t="str">
        <f t="shared" si="17"/>
        <v/>
      </c>
      <c r="AP28" s="60"/>
    </row>
    <row r="29" spans="1:42" ht="12.75" customHeight="1">
      <c r="A29" s="29"/>
      <c r="B29" s="61">
        <v>26</v>
      </c>
      <c r="C29" s="118" t="s">
        <v>70</v>
      </c>
      <c r="D29" s="63"/>
      <c r="E29" s="63"/>
      <c r="F29" s="64" t="s">
        <v>41</v>
      </c>
      <c r="G29" s="63"/>
      <c r="H29" s="64" t="s">
        <v>41</v>
      </c>
      <c r="I29" s="63" t="s">
        <v>42</v>
      </c>
      <c r="J29" s="65">
        <f t="shared" si="0"/>
        <v>3</v>
      </c>
      <c r="K29" s="66"/>
      <c r="L29" s="67">
        <v>46006</v>
      </c>
      <c r="M29" s="68">
        <v>46009</v>
      </c>
      <c r="N29" s="39">
        <f t="shared" si="16"/>
        <v>1350000</v>
      </c>
      <c r="O29" s="134">
        <v>0.1</v>
      </c>
      <c r="P29" s="39">
        <f t="shared" si="2"/>
        <v>135000</v>
      </c>
      <c r="Q29" s="42"/>
      <c r="R29" s="42">
        <f t="shared" si="3"/>
        <v>1215000</v>
      </c>
      <c r="S29" s="43">
        <f t="shared" si="4"/>
        <v>1021008.4033613446</v>
      </c>
      <c r="T29" s="71">
        <f t="shared" si="5"/>
        <v>45946</v>
      </c>
      <c r="U29" s="72">
        <f t="shared" si="6"/>
        <v>607500</v>
      </c>
      <c r="V29" s="73">
        <f t="shared" si="7"/>
        <v>45976</v>
      </c>
      <c r="W29" s="74">
        <f t="shared" si="8"/>
        <v>607500</v>
      </c>
      <c r="X29" s="75"/>
      <c r="Y29" s="76"/>
      <c r="Z29" s="77"/>
      <c r="AA29" s="80"/>
      <c r="AB29" s="79"/>
      <c r="AC29" s="80"/>
      <c r="AD29" s="81"/>
      <c r="AE29" s="82"/>
      <c r="AF29" s="83"/>
      <c r="AG29" s="80"/>
      <c r="AH29" s="80"/>
      <c r="AI29" s="80"/>
      <c r="AJ29" s="84"/>
      <c r="AK29" s="79"/>
      <c r="AL29" s="85"/>
      <c r="AM29" s="79">
        <f t="shared" si="14"/>
        <v>0</v>
      </c>
      <c r="AN29" s="85">
        <f t="shared" si="15"/>
        <v>1215000</v>
      </c>
      <c r="AO29" s="86" t="str">
        <f t="shared" si="17"/>
        <v/>
      </c>
      <c r="AP29" s="60"/>
    </row>
    <row r="30" spans="1:42" ht="12.75" customHeight="1">
      <c r="A30" s="175"/>
      <c r="B30" s="176">
        <v>27</v>
      </c>
      <c r="C30" s="121" t="s">
        <v>70</v>
      </c>
      <c r="D30" s="92"/>
      <c r="E30" s="92"/>
      <c r="F30" s="93" t="s">
        <v>41</v>
      </c>
      <c r="G30" s="92"/>
      <c r="H30" s="93" t="s">
        <v>41</v>
      </c>
      <c r="I30" s="92" t="s">
        <v>42</v>
      </c>
      <c r="J30" s="94">
        <f t="shared" si="0"/>
        <v>3</v>
      </c>
      <c r="K30" s="95"/>
      <c r="L30" s="96">
        <v>46006</v>
      </c>
      <c r="M30" s="97">
        <v>46009</v>
      </c>
      <c r="N30" s="39">
        <f t="shared" si="16"/>
        <v>1350000</v>
      </c>
      <c r="O30" s="140">
        <v>0.1</v>
      </c>
      <c r="P30" s="39">
        <f t="shared" si="2"/>
        <v>135000</v>
      </c>
      <c r="Q30" s="42"/>
      <c r="R30" s="42">
        <f t="shared" si="3"/>
        <v>1215000</v>
      </c>
      <c r="S30" s="43">
        <f t="shared" si="4"/>
        <v>1021008.4033613446</v>
      </c>
      <c r="T30" s="99">
        <f t="shared" si="5"/>
        <v>45946</v>
      </c>
      <c r="U30" s="100">
        <f t="shared" si="6"/>
        <v>607500</v>
      </c>
      <c r="V30" s="101">
        <f t="shared" si="7"/>
        <v>45976</v>
      </c>
      <c r="W30" s="102">
        <f t="shared" si="8"/>
        <v>607500</v>
      </c>
      <c r="X30" s="103"/>
      <c r="Y30" s="104"/>
      <c r="Z30" s="105"/>
      <c r="AA30" s="108"/>
      <c r="AB30" s="107"/>
      <c r="AC30" s="108"/>
      <c r="AD30" s="109"/>
      <c r="AE30" s="110"/>
      <c r="AF30" s="111"/>
      <c r="AG30" s="108"/>
      <c r="AH30" s="108"/>
      <c r="AI30" s="108"/>
      <c r="AJ30" s="112"/>
      <c r="AK30" s="107"/>
      <c r="AL30" s="113"/>
      <c r="AM30" s="107">
        <f t="shared" si="14"/>
        <v>0</v>
      </c>
      <c r="AN30" s="113">
        <f t="shared" si="15"/>
        <v>1215000</v>
      </c>
      <c r="AO30" s="126" t="str">
        <f t="shared" si="17"/>
        <v/>
      </c>
      <c r="AP30" s="60"/>
    </row>
    <row r="31" spans="1:42" ht="12.75" customHeight="1">
      <c r="A31" s="172" t="s">
        <v>75</v>
      </c>
      <c r="B31" s="177">
        <v>28</v>
      </c>
      <c r="C31" s="114" t="s">
        <v>70</v>
      </c>
      <c r="D31" s="32"/>
      <c r="E31" s="32" t="s">
        <v>71</v>
      </c>
      <c r="F31" s="34" t="s">
        <v>41</v>
      </c>
      <c r="G31" s="32"/>
      <c r="H31" s="34" t="s">
        <v>41</v>
      </c>
      <c r="I31" s="32" t="s">
        <v>42</v>
      </c>
      <c r="J31" s="35">
        <f t="shared" si="0"/>
        <v>5</v>
      </c>
      <c r="K31" s="36"/>
      <c r="L31" s="37">
        <v>45979</v>
      </c>
      <c r="M31" s="38">
        <v>45984</v>
      </c>
      <c r="N31" s="39">
        <f t="shared" si="16"/>
        <v>2150000</v>
      </c>
      <c r="O31" s="131">
        <v>0.1</v>
      </c>
      <c r="P31" s="39">
        <f t="shared" si="2"/>
        <v>215000</v>
      </c>
      <c r="Q31" s="42"/>
      <c r="R31" s="42">
        <f t="shared" si="3"/>
        <v>1935000</v>
      </c>
      <c r="S31" s="43">
        <f t="shared" si="4"/>
        <v>1626050.4201680673</v>
      </c>
      <c r="T31" s="44">
        <f t="shared" si="5"/>
        <v>45919</v>
      </c>
      <c r="U31" s="45">
        <f t="shared" si="6"/>
        <v>967500</v>
      </c>
      <c r="V31" s="46">
        <f t="shared" si="7"/>
        <v>45949</v>
      </c>
      <c r="W31" s="47">
        <f t="shared" si="8"/>
        <v>967500</v>
      </c>
      <c r="X31" s="48"/>
      <c r="Y31" s="49"/>
      <c r="Z31" s="50"/>
      <c r="AA31" s="53"/>
      <c r="AB31" s="52"/>
      <c r="AC31" s="53"/>
      <c r="AD31" s="54"/>
      <c r="AE31" s="55"/>
      <c r="AF31" s="56"/>
      <c r="AG31" s="53"/>
      <c r="AH31" s="53"/>
      <c r="AI31" s="53"/>
      <c r="AJ31" s="57"/>
      <c r="AK31" s="52"/>
      <c r="AL31" s="58"/>
      <c r="AM31" s="52">
        <f t="shared" si="14"/>
        <v>0</v>
      </c>
      <c r="AN31" s="58">
        <f t="shared" si="15"/>
        <v>1935000</v>
      </c>
      <c r="AO31" s="59">
        <f>SUM(AN31:AN32)</f>
        <v>3870000</v>
      </c>
      <c r="AP31" s="60"/>
    </row>
    <row r="32" spans="1:42" ht="12.75" customHeight="1">
      <c r="A32" s="173">
        <f ca="1">A27</f>
        <v>46183</v>
      </c>
      <c r="B32" s="176">
        <v>29</v>
      </c>
      <c r="C32" s="121" t="s">
        <v>70</v>
      </c>
      <c r="D32" s="92"/>
      <c r="E32" s="92"/>
      <c r="F32" s="93" t="s">
        <v>41</v>
      </c>
      <c r="G32" s="92"/>
      <c r="H32" s="93" t="s">
        <v>41</v>
      </c>
      <c r="I32" s="92" t="s">
        <v>42</v>
      </c>
      <c r="J32" s="94">
        <f t="shared" si="0"/>
        <v>5</v>
      </c>
      <c r="K32" s="95"/>
      <c r="L32" s="96">
        <v>45979</v>
      </c>
      <c r="M32" s="97">
        <v>45984</v>
      </c>
      <c r="N32" s="39">
        <f t="shared" si="16"/>
        <v>2150000</v>
      </c>
      <c r="O32" s="98">
        <v>0.1</v>
      </c>
      <c r="P32" s="39">
        <f t="shared" si="2"/>
        <v>215000</v>
      </c>
      <c r="Q32" s="42"/>
      <c r="R32" s="42">
        <f t="shared" si="3"/>
        <v>1935000</v>
      </c>
      <c r="S32" s="43">
        <f t="shared" si="4"/>
        <v>1626050.4201680673</v>
      </c>
      <c r="T32" s="99">
        <f t="shared" si="5"/>
        <v>45919</v>
      </c>
      <c r="U32" s="100">
        <f t="shared" si="6"/>
        <v>967500</v>
      </c>
      <c r="V32" s="101">
        <f t="shared" si="7"/>
        <v>45949</v>
      </c>
      <c r="W32" s="102">
        <f t="shared" si="8"/>
        <v>967500</v>
      </c>
      <c r="X32" s="103"/>
      <c r="Y32" s="104"/>
      <c r="Z32" s="105"/>
      <c r="AA32" s="141"/>
      <c r="AB32" s="107"/>
      <c r="AC32" s="123"/>
      <c r="AD32" s="109"/>
      <c r="AE32" s="110"/>
      <c r="AF32" s="111"/>
      <c r="AG32" s="108"/>
      <c r="AH32" s="108"/>
      <c r="AI32" s="108"/>
      <c r="AJ32" s="112"/>
      <c r="AK32" s="107"/>
      <c r="AL32" s="113"/>
      <c r="AM32" s="107">
        <f t="shared" si="14"/>
        <v>0</v>
      </c>
      <c r="AN32" s="113">
        <f t="shared" si="15"/>
        <v>1935000</v>
      </c>
      <c r="AO32" s="126" t="str">
        <f>CONCATENATE(IF(AP32&lt;0,IF(AP32&gt;-30,IF(AN32&gt;0,"T",""),""),IF(AP32&gt;0,IF(AN32&gt;0,"DEUDA",""),"")))</f>
        <v/>
      </c>
      <c r="AP32" s="60"/>
    </row>
    <row r="33" spans="1:42" ht="12.75" customHeight="1">
      <c r="A33" s="174">
        <f>SUM(AN4:AN137)</f>
        <v>132427001</v>
      </c>
      <c r="B33" s="177">
        <v>30</v>
      </c>
      <c r="C33" s="114" t="s">
        <v>76</v>
      </c>
      <c r="D33" s="32" t="s">
        <v>77</v>
      </c>
      <c r="E33" s="32" t="s">
        <v>78</v>
      </c>
      <c r="F33" s="34" t="s">
        <v>41</v>
      </c>
      <c r="G33" s="34" t="s">
        <v>41</v>
      </c>
      <c r="H33" s="34" t="s">
        <v>41</v>
      </c>
      <c r="I33" s="32" t="s">
        <v>42</v>
      </c>
      <c r="J33" s="35">
        <f t="shared" si="0"/>
        <v>4</v>
      </c>
      <c r="K33" s="36"/>
      <c r="L33" s="37">
        <v>45981</v>
      </c>
      <c r="M33" s="38">
        <v>45985</v>
      </c>
      <c r="N33" s="39">
        <f t="shared" si="16"/>
        <v>1750000</v>
      </c>
      <c r="O33" s="115">
        <v>0.25</v>
      </c>
      <c r="P33" s="39">
        <f t="shared" si="2"/>
        <v>437500</v>
      </c>
      <c r="Q33" s="42"/>
      <c r="R33" s="42">
        <f t="shared" si="3"/>
        <v>1312500</v>
      </c>
      <c r="S33" s="43">
        <f t="shared" si="4"/>
        <v>1102941.1764705882</v>
      </c>
      <c r="T33" s="44">
        <f t="shared" si="5"/>
        <v>45921</v>
      </c>
      <c r="U33" s="45">
        <f t="shared" si="6"/>
        <v>656250</v>
      </c>
      <c r="V33" s="46">
        <f t="shared" si="7"/>
        <v>45951</v>
      </c>
      <c r="W33" s="47">
        <f t="shared" si="8"/>
        <v>656250</v>
      </c>
      <c r="X33" s="48">
        <v>45930</v>
      </c>
      <c r="Y33" s="49">
        <v>656250</v>
      </c>
      <c r="Z33" s="56" t="s">
        <v>43</v>
      </c>
      <c r="AA33" s="53"/>
      <c r="AB33" s="52"/>
      <c r="AC33" s="53"/>
      <c r="AD33" s="54"/>
      <c r="AE33" s="55"/>
      <c r="AF33" s="56"/>
      <c r="AG33" s="53"/>
      <c r="AH33" s="53"/>
      <c r="AI33" s="53"/>
      <c r="AJ33" s="57"/>
      <c r="AK33" s="52"/>
      <c r="AL33" s="58"/>
      <c r="AM33" s="52">
        <f t="shared" si="14"/>
        <v>656250</v>
      </c>
      <c r="AN33" s="58">
        <f t="shared" si="15"/>
        <v>656250</v>
      </c>
      <c r="AO33" s="86">
        <f>SUM(AN33:AN35)</f>
        <v>2200000</v>
      </c>
      <c r="AP33" s="60"/>
    </row>
    <row r="34" spans="1:42" ht="12.75" customHeight="1">
      <c r="A34" s="29"/>
      <c r="B34" s="61">
        <v>31</v>
      </c>
      <c r="C34" s="118" t="s">
        <v>76</v>
      </c>
      <c r="D34" s="63" t="s">
        <v>79</v>
      </c>
      <c r="E34" s="63"/>
      <c r="F34" s="64" t="s">
        <v>41</v>
      </c>
      <c r="G34" s="64" t="s">
        <v>41</v>
      </c>
      <c r="H34" s="64" t="s">
        <v>41</v>
      </c>
      <c r="I34" s="63" t="s">
        <v>42</v>
      </c>
      <c r="J34" s="65">
        <f t="shared" si="0"/>
        <v>4</v>
      </c>
      <c r="K34" s="66"/>
      <c r="L34" s="67">
        <v>45981</v>
      </c>
      <c r="M34" s="68">
        <v>45985</v>
      </c>
      <c r="N34" s="39">
        <f t="shared" si="16"/>
        <v>1750000</v>
      </c>
      <c r="O34" s="69">
        <v>0.25</v>
      </c>
      <c r="P34" s="39">
        <f t="shared" si="2"/>
        <v>437500</v>
      </c>
      <c r="Q34" s="42"/>
      <c r="R34" s="42">
        <f t="shared" si="3"/>
        <v>1312500</v>
      </c>
      <c r="S34" s="43">
        <f t="shared" si="4"/>
        <v>1102941.1764705882</v>
      </c>
      <c r="T34" s="71">
        <f t="shared" si="5"/>
        <v>45921</v>
      </c>
      <c r="U34" s="72">
        <f t="shared" si="6"/>
        <v>656250</v>
      </c>
      <c r="V34" s="73">
        <f t="shared" si="7"/>
        <v>45951</v>
      </c>
      <c r="W34" s="74">
        <f t="shared" si="8"/>
        <v>656250</v>
      </c>
      <c r="X34" s="75">
        <v>45930</v>
      </c>
      <c r="Y34" s="76">
        <v>656250</v>
      </c>
      <c r="Z34" s="83" t="s">
        <v>43</v>
      </c>
      <c r="AA34" s="80"/>
      <c r="AB34" s="79"/>
      <c r="AC34" s="80"/>
      <c r="AD34" s="81"/>
      <c r="AE34" s="82"/>
      <c r="AF34" s="83"/>
      <c r="AG34" s="80"/>
      <c r="AH34" s="80"/>
      <c r="AI34" s="80"/>
      <c r="AJ34" s="84"/>
      <c r="AK34" s="79"/>
      <c r="AL34" s="85"/>
      <c r="AM34" s="79">
        <f t="shared" si="14"/>
        <v>656250</v>
      </c>
      <c r="AN34" s="85">
        <f t="shared" si="15"/>
        <v>656250</v>
      </c>
      <c r="AO34" s="86" t="str">
        <f t="shared" ref="AO34:AO35" si="18">CONCATENATE(IF(AP34&lt;0,IF(AP34&gt;-30,IF(AN34&gt;0,"T",""),""),IF(AP34&gt;0,IF(AN34&gt;0,"DEUDA",""),"")))</f>
        <v/>
      </c>
      <c r="AP34" s="60"/>
    </row>
    <row r="35" spans="1:42" ht="12.75" customHeight="1">
      <c r="A35" s="29"/>
      <c r="B35" s="90">
        <v>32</v>
      </c>
      <c r="C35" s="121" t="s">
        <v>76</v>
      </c>
      <c r="D35" s="92" t="s">
        <v>80</v>
      </c>
      <c r="E35" s="93"/>
      <c r="F35" s="93" t="s">
        <v>41</v>
      </c>
      <c r="G35" s="93" t="s">
        <v>41</v>
      </c>
      <c r="H35" s="93" t="s">
        <v>41</v>
      </c>
      <c r="I35" s="93" t="s">
        <v>81</v>
      </c>
      <c r="J35" s="94">
        <f t="shared" si="0"/>
        <v>4</v>
      </c>
      <c r="K35" s="95"/>
      <c r="L35" s="96">
        <v>45981</v>
      </c>
      <c r="M35" s="97">
        <v>45985</v>
      </c>
      <c r="N35" s="39">
        <v>2450000</v>
      </c>
      <c r="O35" s="98">
        <v>0.25</v>
      </c>
      <c r="P35" s="39">
        <f t="shared" si="2"/>
        <v>612500</v>
      </c>
      <c r="Q35" s="42"/>
      <c r="R35" s="42">
        <f t="shared" si="3"/>
        <v>1837500</v>
      </c>
      <c r="S35" s="43">
        <f t="shared" si="4"/>
        <v>1544117.6470588236</v>
      </c>
      <c r="T35" s="99">
        <f t="shared" si="5"/>
        <v>45921</v>
      </c>
      <c r="U35" s="100">
        <f t="shared" si="6"/>
        <v>918750</v>
      </c>
      <c r="V35" s="101">
        <f t="shared" si="7"/>
        <v>45951</v>
      </c>
      <c r="W35" s="102">
        <f t="shared" si="8"/>
        <v>918750</v>
      </c>
      <c r="X35" s="103">
        <v>45928</v>
      </c>
      <c r="Y35" s="104">
        <v>950000</v>
      </c>
      <c r="Z35" s="105" t="s">
        <v>51</v>
      </c>
      <c r="AA35" s="141"/>
      <c r="AB35" s="107"/>
      <c r="AC35" s="123"/>
      <c r="AD35" s="124"/>
      <c r="AE35" s="125"/>
      <c r="AF35" s="105"/>
      <c r="AG35" s="108"/>
      <c r="AH35" s="108"/>
      <c r="AI35" s="108"/>
      <c r="AJ35" s="112"/>
      <c r="AK35" s="107"/>
      <c r="AL35" s="113"/>
      <c r="AM35" s="107">
        <f t="shared" si="14"/>
        <v>950000</v>
      </c>
      <c r="AN35" s="113">
        <f t="shared" si="15"/>
        <v>887500</v>
      </c>
      <c r="AO35" s="86" t="str">
        <f t="shared" si="18"/>
        <v/>
      </c>
      <c r="AP35" s="60"/>
    </row>
    <row r="36" spans="1:42" ht="12.75" customHeight="1">
      <c r="A36" s="29"/>
      <c r="B36" s="30">
        <v>33</v>
      </c>
      <c r="C36" s="114" t="s">
        <v>82</v>
      </c>
      <c r="D36" s="32" t="s">
        <v>83</v>
      </c>
      <c r="E36" s="32" t="s">
        <v>84</v>
      </c>
      <c r="F36" s="34" t="s">
        <v>41</v>
      </c>
      <c r="G36" s="34" t="s">
        <v>41</v>
      </c>
      <c r="H36" s="34" t="s">
        <v>41</v>
      </c>
      <c r="I36" s="32" t="s">
        <v>42</v>
      </c>
      <c r="J36" s="35">
        <f t="shared" si="0"/>
        <v>3</v>
      </c>
      <c r="K36" s="36"/>
      <c r="L36" s="37">
        <v>45981</v>
      </c>
      <c r="M36" s="38">
        <v>45984</v>
      </c>
      <c r="N36" s="39">
        <f t="shared" ref="N36:N39" si="19">IF(J36=3,(1350000))+IF(J36=4,(1750000))+IF(J36=5,(2150000))+IF(J36=6,(2550000))+IF(J36=7,(2950000))</f>
        <v>1350000</v>
      </c>
      <c r="O36" s="115">
        <v>0.15</v>
      </c>
      <c r="P36" s="39">
        <f t="shared" si="2"/>
        <v>202500</v>
      </c>
      <c r="Q36" s="42"/>
      <c r="R36" s="42">
        <f t="shared" si="3"/>
        <v>1147500</v>
      </c>
      <c r="S36" s="43">
        <f t="shared" si="4"/>
        <v>964285.71428571432</v>
      </c>
      <c r="T36" s="44">
        <f t="shared" si="5"/>
        <v>45921</v>
      </c>
      <c r="U36" s="45">
        <f t="shared" si="6"/>
        <v>573750</v>
      </c>
      <c r="V36" s="46">
        <f t="shared" si="7"/>
        <v>45951</v>
      </c>
      <c r="W36" s="47">
        <f t="shared" si="8"/>
        <v>573750</v>
      </c>
      <c r="X36" s="48">
        <v>45852</v>
      </c>
      <c r="Y36" s="49">
        <v>573750</v>
      </c>
      <c r="Z36" s="50" t="s">
        <v>51</v>
      </c>
      <c r="AA36" s="51">
        <v>46323</v>
      </c>
      <c r="AB36" s="52">
        <v>573750</v>
      </c>
      <c r="AC36" s="127" t="s">
        <v>43</v>
      </c>
      <c r="AD36" s="54"/>
      <c r="AE36" s="178"/>
      <c r="AF36" s="56"/>
      <c r="AG36" s="53"/>
      <c r="AH36" s="53"/>
      <c r="AI36" s="53"/>
      <c r="AJ36" s="57"/>
      <c r="AK36" s="52"/>
      <c r="AL36" s="58"/>
      <c r="AM36" s="52">
        <f t="shared" si="14"/>
        <v>1147500</v>
      </c>
      <c r="AN36" s="58">
        <f t="shared" si="15"/>
        <v>0</v>
      </c>
      <c r="AO36" s="59">
        <f>SUM(AN36:AN39)</f>
        <v>0</v>
      </c>
      <c r="AP36" s="60"/>
    </row>
    <row r="37" spans="1:42" ht="12.75" customHeight="1">
      <c r="A37" s="29"/>
      <c r="B37" s="61">
        <v>34</v>
      </c>
      <c r="C37" s="118" t="s">
        <v>82</v>
      </c>
      <c r="D37" s="63" t="s">
        <v>85</v>
      </c>
      <c r="E37" s="63"/>
      <c r="F37" s="64" t="s">
        <v>41</v>
      </c>
      <c r="G37" s="64" t="s">
        <v>41</v>
      </c>
      <c r="H37" s="64" t="s">
        <v>41</v>
      </c>
      <c r="I37" s="63" t="s">
        <v>42</v>
      </c>
      <c r="J37" s="65">
        <f t="shared" si="0"/>
        <v>3</v>
      </c>
      <c r="K37" s="66"/>
      <c r="L37" s="67">
        <v>45981</v>
      </c>
      <c r="M37" s="68">
        <v>45984</v>
      </c>
      <c r="N37" s="39">
        <f t="shared" si="19"/>
        <v>1350000</v>
      </c>
      <c r="O37" s="69">
        <v>0.15</v>
      </c>
      <c r="P37" s="39">
        <f t="shared" si="2"/>
        <v>202500</v>
      </c>
      <c r="Q37" s="42"/>
      <c r="R37" s="42">
        <f t="shared" si="3"/>
        <v>1147500</v>
      </c>
      <c r="S37" s="43">
        <f t="shared" si="4"/>
        <v>964285.71428571432</v>
      </c>
      <c r="T37" s="71">
        <f t="shared" si="5"/>
        <v>45921</v>
      </c>
      <c r="U37" s="72">
        <f t="shared" si="6"/>
        <v>573750</v>
      </c>
      <c r="V37" s="73">
        <f t="shared" si="7"/>
        <v>45951</v>
      </c>
      <c r="W37" s="74">
        <f t="shared" si="8"/>
        <v>573750</v>
      </c>
      <c r="X37" s="75">
        <v>45852</v>
      </c>
      <c r="Y37" s="76">
        <v>1147500</v>
      </c>
      <c r="Z37" s="77" t="s">
        <v>51</v>
      </c>
      <c r="AA37" s="78"/>
      <c r="AB37" s="79"/>
      <c r="AC37" s="8"/>
      <c r="AD37" s="179"/>
      <c r="AE37" s="180"/>
      <c r="AF37" s="77"/>
      <c r="AG37" s="80"/>
      <c r="AH37" s="80"/>
      <c r="AI37" s="80"/>
      <c r="AJ37" s="84"/>
      <c r="AK37" s="79"/>
      <c r="AL37" s="85"/>
      <c r="AM37" s="79">
        <f t="shared" si="14"/>
        <v>1147500</v>
      </c>
      <c r="AN37" s="85">
        <f t="shared" si="15"/>
        <v>0</v>
      </c>
      <c r="AO37" s="86" t="str">
        <f t="shared" ref="AO37:AO39" si="20">CONCATENATE(IF(AP37&lt;0,IF(AP37&gt;-30,IF(AN37&gt;0,"T",""),""),IF(AP37&gt;0,IF(AN37&gt;0,"DEUDA",""),"")))</f>
        <v/>
      </c>
      <c r="AP37" s="60"/>
    </row>
    <row r="38" spans="1:42" ht="12.75" customHeight="1">
      <c r="A38" s="29"/>
      <c r="B38" s="61">
        <v>35</v>
      </c>
      <c r="C38" s="118" t="s">
        <v>82</v>
      </c>
      <c r="D38" s="63" t="s">
        <v>86</v>
      </c>
      <c r="E38" s="63"/>
      <c r="F38" s="64" t="s">
        <v>41</v>
      </c>
      <c r="G38" s="64" t="s">
        <v>41</v>
      </c>
      <c r="H38" s="64" t="s">
        <v>41</v>
      </c>
      <c r="I38" s="63" t="s">
        <v>42</v>
      </c>
      <c r="J38" s="65">
        <f t="shared" si="0"/>
        <v>3</v>
      </c>
      <c r="K38" s="66"/>
      <c r="L38" s="67">
        <v>45981</v>
      </c>
      <c r="M38" s="68">
        <v>45984</v>
      </c>
      <c r="N38" s="39">
        <f t="shared" si="19"/>
        <v>1350000</v>
      </c>
      <c r="O38" s="69">
        <v>0.15</v>
      </c>
      <c r="P38" s="39">
        <f t="shared" si="2"/>
        <v>202500</v>
      </c>
      <c r="Q38" s="42"/>
      <c r="R38" s="42">
        <f t="shared" si="3"/>
        <v>1147500</v>
      </c>
      <c r="S38" s="43">
        <f t="shared" si="4"/>
        <v>964285.71428571432</v>
      </c>
      <c r="T38" s="71">
        <f t="shared" si="5"/>
        <v>45921</v>
      </c>
      <c r="U38" s="72">
        <f t="shared" si="6"/>
        <v>573750</v>
      </c>
      <c r="V38" s="73">
        <f t="shared" si="7"/>
        <v>45951</v>
      </c>
      <c r="W38" s="74">
        <f t="shared" si="8"/>
        <v>573750</v>
      </c>
      <c r="X38" s="75">
        <v>45852</v>
      </c>
      <c r="Y38" s="76">
        <v>573750</v>
      </c>
      <c r="Z38" s="77" t="s">
        <v>51</v>
      </c>
      <c r="AA38" s="78">
        <v>45959</v>
      </c>
      <c r="AB38" s="79">
        <v>573750</v>
      </c>
      <c r="AC38" s="8" t="s">
        <v>87</v>
      </c>
      <c r="AD38" s="181"/>
      <c r="AE38" s="180"/>
      <c r="AF38" s="77"/>
      <c r="AG38" s="80"/>
      <c r="AH38" s="80"/>
      <c r="AI38" s="80"/>
      <c r="AJ38" s="84"/>
      <c r="AK38" s="79"/>
      <c r="AL38" s="85"/>
      <c r="AM38" s="79">
        <f t="shared" si="14"/>
        <v>1147500</v>
      </c>
      <c r="AN38" s="85">
        <f t="shared" si="15"/>
        <v>0</v>
      </c>
      <c r="AO38" s="86" t="str">
        <f t="shared" si="20"/>
        <v/>
      </c>
      <c r="AP38" s="60"/>
    </row>
    <row r="39" spans="1:42" ht="12.75" customHeight="1">
      <c r="A39" s="29"/>
      <c r="B39" s="90">
        <v>36</v>
      </c>
      <c r="C39" s="121" t="s">
        <v>82</v>
      </c>
      <c r="D39" s="92" t="s">
        <v>88</v>
      </c>
      <c r="E39" s="92"/>
      <c r="F39" s="93" t="s">
        <v>41</v>
      </c>
      <c r="G39" s="93" t="s">
        <v>41</v>
      </c>
      <c r="H39" s="93" t="s">
        <v>41</v>
      </c>
      <c r="I39" s="92" t="s">
        <v>42</v>
      </c>
      <c r="J39" s="94">
        <f t="shared" si="0"/>
        <v>3</v>
      </c>
      <c r="K39" s="95"/>
      <c r="L39" s="96">
        <v>45981</v>
      </c>
      <c r="M39" s="97">
        <v>45984</v>
      </c>
      <c r="N39" s="39">
        <f t="shared" si="19"/>
        <v>1350000</v>
      </c>
      <c r="O39" s="98">
        <v>0.15</v>
      </c>
      <c r="P39" s="39">
        <f t="shared" si="2"/>
        <v>202500</v>
      </c>
      <c r="Q39" s="42"/>
      <c r="R39" s="42">
        <f t="shared" si="3"/>
        <v>1147500</v>
      </c>
      <c r="S39" s="43">
        <f t="shared" si="4"/>
        <v>964285.71428571432</v>
      </c>
      <c r="T39" s="99">
        <f t="shared" si="5"/>
        <v>45921</v>
      </c>
      <c r="U39" s="100">
        <f t="shared" si="6"/>
        <v>573750</v>
      </c>
      <c r="V39" s="101">
        <f t="shared" si="7"/>
        <v>45951</v>
      </c>
      <c r="W39" s="102">
        <f t="shared" si="8"/>
        <v>573750</v>
      </c>
      <c r="X39" s="103">
        <v>45852</v>
      </c>
      <c r="Y39" s="104">
        <v>573750</v>
      </c>
      <c r="Z39" s="77" t="s">
        <v>51</v>
      </c>
      <c r="AA39" s="141">
        <v>45959</v>
      </c>
      <c r="AB39" s="107">
        <v>573750</v>
      </c>
      <c r="AC39" s="123" t="s">
        <v>87</v>
      </c>
      <c r="AD39" s="109"/>
      <c r="AE39" s="110"/>
      <c r="AF39" s="111"/>
      <c r="AG39" s="108"/>
      <c r="AH39" s="108"/>
      <c r="AI39" s="108"/>
      <c r="AJ39" s="112"/>
      <c r="AK39" s="107"/>
      <c r="AL39" s="113"/>
      <c r="AM39" s="107">
        <f t="shared" si="14"/>
        <v>1147500</v>
      </c>
      <c r="AN39" s="113">
        <f t="shared" si="15"/>
        <v>0</v>
      </c>
      <c r="AO39" s="126" t="str">
        <f t="shared" si="20"/>
        <v/>
      </c>
      <c r="AP39" s="60"/>
    </row>
    <row r="40" spans="1:42" ht="12.75" customHeight="1">
      <c r="A40" s="29"/>
      <c r="B40" s="10">
        <v>37</v>
      </c>
      <c r="C40" s="31" t="s">
        <v>89</v>
      </c>
      <c r="D40" s="34" t="s">
        <v>90</v>
      </c>
      <c r="E40" s="32" t="s">
        <v>78</v>
      </c>
      <c r="F40" s="34" t="s">
        <v>41</v>
      </c>
      <c r="G40" s="32"/>
      <c r="H40" s="34" t="s">
        <v>41</v>
      </c>
      <c r="I40" s="32" t="s">
        <v>42</v>
      </c>
      <c r="J40" s="35">
        <f t="shared" si="0"/>
        <v>4</v>
      </c>
      <c r="K40" s="36"/>
      <c r="L40" s="37">
        <v>45946</v>
      </c>
      <c r="M40" s="38">
        <v>45950</v>
      </c>
      <c r="N40" s="39">
        <v>1600000</v>
      </c>
      <c r="O40" s="115">
        <v>0.25</v>
      </c>
      <c r="P40" s="39">
        <f t="shared" si="2"/>
        <v>400000</v>
      </c>
      <c r="Q40" s="42"/>
      <c r="R40" s="42">
        <f t="shared" si="3"/>
        <v>1200000</v>
      </c>
      <c r="S40" s="43">
        <f t="shared" si="4"/>
        <v>1008403.3613445378</v>
      </c>
      <c r="T40" s="44">
        <f t="shared" si="5"/>
        <v>45886</v>
      </c>
      <c r="U40" s="45">
        <f t="shared" si="6"/>
        <v>600000</v>
      </c>
      <c r="V40" s="46">
        <f t="shared" si="7"/>
        <v>45916</v>
      </c>
      <c r="W40" s="47">
        <f t="shared" si="8"/>
        <v>600000</v>
      </c>
      <c r="X40" s="75">
        <v>45575</v>
      </c>
      <c r="Y40" s="76">
        <v>250000</v>
      </c>
      <c r="Z40" s="56" t="s">
        <v>43</v>
      </c>
      <c r="AA40" s="182">
        <v>45582</v>
      </c>
      <c r="AB40" s="79">
        <v>470000</v>
      </c>
      <c r="AC40" s="80" t="s">
        <v>43</v>
      </c>
      <c r="AD40" s="183">
        <v>45914</v>
      </c>
      <c r="AE40" s="79">
        <v>480000</v>
      </c>
      <c r="AF40" s="56" t="s">
        <v>69</v>
      </c>
      <c r="AG40" s="53"/>
      <c r="AH40" s="53"/>
      <c r="AI40" s="53"/>
      <c r="AJ40" s="57"/>
      <c r="AK40" s="52"/>
      <c r="AL40" s="58"/>
      <c r="AM40" s="52">
        <f t="shared" si="14"/>
        <v>1200000</v>
      </c>
      <c r="AN40" s="58">
        <f t="shared" si="15"/>
        <v>0</v>
      </c>
      <c r="AO40" s="86">
        <f>SUM(AN40:AN44)</f>
        <v>1968750</v>
      </c>
      <c r="AP40" s="60"/>
    </row>
    <row r="41" spans="1:42" ht="12.75" customHeight="1">
      <c r="A41" s="29"/>
      <c r="B41" s="133">
        <v>38</v>
      </c>
      <c r="C41" s="62" t="s">
        <v>89</v>
      </c>
      <c r="D41" s="63"/>
      <c r="E41" s="63"/>
      <c r="F41" s="64" t="s">
        <v>41</v>
      </c>
      <c r="G41" s="63"/>
      <c r="H41" s="64" t="s">
        <v>41</v>
      </c>
      <c r="I41" s="63" t="s">
        <v>42</v>
      </c>
      <c r="J41" s="65">
        <f t="shared" si="0"/>
        <v>4</v>
      </c>
      <c r="K41" s="66"/>
      <c r="L41" s="67">
        <v>45946</v>
      </c>
      <c r="M41" s="68">
        <v>45950</v>
      </c>
      <c r="N41" s="39">
        <f t="shared" ref="N41:N42" si="21">IF(J41=3,(1350000))+IF(J41=4,(1750000))+IF(J41=5,(2150000))+IF(J41=6,(2550000))+IF(J41=7,(2950000))</f>
        <v>1750000</v>
      </c>
      <c r="O41" s="69">
        <v>0.25</v>
      </c>
      <c r="P41" s="39">
        <f t="shared" si="2"/>
        <v>437500</v>
      </c>
      <c r="Q41" s="42"/>
      <c r="R41" s="42">
        <f t="shared" si="3"/>
        <v>1312500</v>
      </c>
      <c r="S41" s="43">
        <f t="shared" si="4"/>
        <v>1102941.1764705882</v>
      </c>
      <c r="T41" s="71">
        <f t="shared" si="5"/>
        <v>45886</v>
      </c>
      <c r="U41" s="72">
        <f t="shared" si="6"/>
        <v>656250</v>
      </c>
      <c r="V41" s="73">
        <f t="shared" si="7"/>
        <v>45916</v>
      </c>
      <c r="W41" s="74">
        <f t="shared" si="8"/>
        <v>656250</v>
      </c>
      <c r="X41" s="75">
        <v>45930</v>
      </c>
      <c r="Y41" s="76">
        <v>656250</v>
      </c>
      <c r="Z41" s="77" t="s">
        <v>43</v>
      </c>
      <c r="AA41" s="78"/>
      <c r="AB41" s="79"/>
      <c r="AC41" s="8"/>
      <c r="AD41" s="81"/>
      <c r="AE41" s="82"/>
      <c r="AF41" s="83"/>
      <c r="AG41" s="80"/>
      <c r="AH41" s="80"/>
      <c r="AI41" s="80"/>
      <c r="AJ41" s="84"/>
      <c r="AK41" s="79"/>
      <c r="AL41" s="85"/>
      <c r="AM41" s="79">
        <f t="shared" si="14"/>
        <v>656250</v>
      </c>
      <c r="AN41" s="85">
        <f t="shared" si="15"/>
        <v>656250</v>
      </c>
      <c r="AO41" s="86" t="str">
        <f t="shared" ref="AO41:AO42" si="22">CONCATENATE(IF(AP41&lt;0,IF(AP41&gt;-30,IF(AN41&gt;0,"T",""),""),IF(AP41&gt;0,IF(AN41&gt;0,"DEUDA",""),"")))</f>
        <v/>
      </c>
      <c r="AP41" s="60"/>
    </row>
    <row r="42" spans="1:42" ht="12.75" customHeight="1">
      <c r="A42" s="29"/>
      <c r="B42" s="133">
        <v>39</v>
      </c>
      <c r="C42" s="62" t="s">
        <v>89</v>
      </c>
      <c r="D42" s="63"/>
      <c r="E42" s="63"/>
      <c r="F42" s="64" t="s">
        <v>41</v>
      </c>
      <c r="G42" s="63"/>
      <c r="H42" s="64" t="s">
        <v>41</v>
      </c>
      <c r="I42" s="63" t="s">
        <v>42</v>
      </c>
      <c r="J42" s="65">
        <f t="shared" si="0"/>
        <v>4</v>
      </c>
      <c r="K42" s="66"/>
      <c r="L42" s="67">
        <v>45946</v>
      </c>
      <c r="M42" s="68">
        <v>45950</v>
      </c>
      <c r="N42" s="39">
        <f t="shared" si="21"/>
        <v>1750000</v>
      </c>
      <c r="O42" s="134">
        <v>0.25</v>
      </c>
      <c r="P42" s="39">
        <f t="shared" si="2"/>
        <v>437500</v>
      </c>
      <c r="Q42" s="42"/>
      <c r="R42" s="42">
        <f t="shared" si="3"/>
        <v>1312500</v>
      </c>
      <c r="S42" s="43">
        <f t="shared" si="4"/>
        <v>1102941.1764705882</v>
      </c>
      <c r="T42" s="71">
        <f t="shared" si="5"/>
        <v>45886</v>
      </c>
      <c r="U42" s="72">
        <f t="shared" si="6"/>
        <v>656250</v>
      </c>
      <c r="V42" s="73">
        <f t="shared" si="7"/>
        <v>45916</v>
      </c>
      <c r="W42" s="74">
        <f t="shared" si="8"/>
        <v>656250</v>
      </c>
      <c r="X42" s="75">
        <v>45930</v>
      </c>
      <c r="Y42" s="76">
        <v>656250</v>
      </c>
      <c r="Z42" s="77" t="s">
        <v>43</v>
      </c>
      <c r="AA42" s="78"/>
      <c r="AB42" s="79"/>
      <c r="AC42" s="8"/>
      <c r="AD42" s="179"/>
      <c r="AE42" s="184"/>
      <c r="AF42" s="77"/>
      <c r="AG42" s="80"/>
      <c r="AH42" s="80"/>
      <c r="AI42" s="80"/>
      <c r="AJ42" s="84"/>
      <c r="AK42" s="79"/>
      <c r="AL42" s="85"/>
      <c r="AM42" s="79">
        <f t="shared" si="14"/>
        <v>656250</v>
      </c>
      <c r="AN42" s="85">
        <f t="shared" si="15"/>
        <v>656250</v>
      </c>
      <c r="AO42" s="86" t="str">
        <f t="shared" si="22"/>
        <v/>
      </c>
      <c r="AP42" s="60"/>
    </row>
    <row r="43" spans="1:42" ht="12.75" customHeight="1">
      <c r="A43" s="29"/>
      <c r="B43" s="133">
        <v>40</v>
      </c>
      <c r="C43" s="62" t="s">
        <v>89</v>
      </c>
      <c r="D43" s="64" t="s">
        <v>91</v>
      </c>
      <c r="E43" s="64" t="s">
        <v>92</v>
      </c>
      <c r="F43" s="64" t="s">
        <v>41</v>
      </c>
      <c r="G43" s="64" t="s">
        <v>41</v>
      </c>
      <c r="H43" s="64" t="s">
        <v>41</v>
      </c>
      <c r="I43" s="64" t="s">
        <v>81</v>
      </c>
      <c r="J43" s="65">
        <f t="shared" si="0"/>
        <v>4</v>
      </c>
      <c r="K43" s="66"/>
      <c r="L43" s="67">
        <v>45946</v>
      </c>
      <c r="M43" s="68">
        <v>45950</v>
      </c>
      <c r="N43" s="185">
        <v>2450000</v>
      </c>
      <c r="O43" s="134">
        <v>0.25</v>
      </c>
      <c r="P43" s="39">
        <f t="shared" si="2"/>
        <v>612500</v>
      </c>
      <c r="Q43" s="186"/>
      <c r="R43" s="42">
        <f t="shared" si="3"/>
        <v>1837500</v>
      </c>
      <c r="S43" s="43">
        <f t="shared" si="4"/>
        <v>1544117.6470588236</v>
      </c>
      <c r="T43" s="71">
        <f t="shared" si="5"/>
        <v>45886</v>
      </c>
      <c r="U43" s="72">
        <f t="shared" si="6"/>
        <v>918750</v>
      </c>
      <c r="V43" s="73">
        <f t="shared" si="7"/>
        <v>45916</v>
      </c>
      <c r="W43" s="74">
        <f t="shared" si="8"/>
        <v>918750</v>
      </c>
      <c r="X43" s="75">
        <v>45911</v>
      </c>
      <c r="Y43" s="76">
        <v>1500000</v>
      </c>
      <c r="Z43" s="77" t="s">
        <v>51</v>
      </c>
      <c r="AA43" s="78"/>
      <c r="AB43" s="79"/>
      <c r="AC43" s="8"/>
      <c r="AD43" s="81"/>
      <c r="AE43" s="82"/>
      <c r="AF43" s="83"/>
      <c r="AG43" s="80"/>
      <c r="AH43" s="80"/>
      <c r="AI43" s="80"/>
      <c r="AJ43" s="84"/>
      <c r="AK43" s="79"/>
      <c r="AL43" s="85"/>
      <c r="AM43" s="79"/>
      <c r="AN43" s="85"/>
      <c r="AO43" s="86"/>
      <c r="AP43" s="60"/>
    </row>
    <row r="44" spans="1:42" ht="12.75" customHeight="1">
      <c r="A44" s="29"/>
      <c r="B44" s="16">
        <v>41</v>
      </c>
      <c r="C44" s="91" t="s">
        <v>89</v>
      </c>
      <c r="D44" s="92"/>
      <c r="E44" s="63"/>
      <c r="F44" s="64" t="s">
        <v>41</v>
      </c>
      <c r="G44" s="63"/>
      <c r="H44" s="64" t="s">
        <v>41</v>
      </c>
      <c r="I44" s="63" t="s">
        <v>42</v>
      </c>
      <c r="J44" s="187">
        <f t="shared" si="0"/>
        <v>4</v>
      </c>
      <c r="K44" s="66"/>
      <c r="L44" s="67">
        <v>45946</v>
      </c>
      <c r="M44" s="68">
        <v>45950</v>
      </c>
      <c r="N44" s="185">
        <f t="shared" ref="N44:N58" si="23">IF(J44=3,(1350000))+IF(J44=4,(1750000))+IF(J44=5,(2150000))+IF(J44=6,(2550000))+IF(J44=7,(2950000))</f>
        <v>1750000</v>
      </c>
      <c r="O44" s="134">
        <v>0.25</v>
      </c>
      <c r="P44" s="185">
        <f t="shared" si="2"/>
        <v>437500</v>
      </c>
      <c r="Q44" s="186"/>
      <c r="R44" s="186">
        <f t="shared" si="3"/>
        <v>1312500</v>
      </c>
      <c r="S44" s="43">
        <f t="shared" si="4"/>
        <v>1102941.1764705882</v>
      </c>
      <c r="T44" s="188">
        <f t="shared" si="5"/>
        <v>45886</v>
      </c>
      <c r="U44" s="189">
        <f t="shared" si="6"/>
        <v>656250</v>
      </c>
      <c r="V44" s="190">
        <f t="shared" si="7"/>
        <v>45916</v>
      </c>
      <c r="W44" s="191">
        <f t="shared" si="8"/>
        <v>656250</v>
      </c>
      <c r="X44" s="75">
        <v>45930</v>
      </c>
      <c r="Y44" s="76">
        <v>656250</v>
      </c>
      <c r="Z44" s="77" t="s">
        <v>43</v>
      </c>
      <c r="AA44" s="78"/>
      <c r="AB44" s="79"/>
      <c r="AC44" s="8"/>
      <c r="AD44" s="81"/>
      <c r="AE44" s="82"/>
      <c r="AF44" s="83"/>
      <c r="AG44" s="80"/>
      <c r="AH44" s="80"/>
      <c r="AI44" s="80"/>
      <c r="AJ44" s="84"/>
      <c r="AK44" s="79"/>
      <c r="AL44" s="85"/>
      <c r="AM44" s="79">
        <f t="shared" ref="AM44:AM58" si="24">Y44+AB44+AE44+AH44+AK44</f>
        <v>656250</v>
      </c>
      <c r="AN44" s="85">
        <f t="shared" ref="AN44:AN56" si="25">+R44-Y44-AB44-AE44-AH44</f>
        <v>656250</v>
      </c>
      <c r="AO44" s="86" t="str">
        <f>CONCATENATE(IF(AP44&lt;0,IF(AP44&gt;-30,IF(AN44&gt;0,"T",""),""),IF(AP44&gt;0,IF(AN44&gt;0,"DEUDA",""),"")))</f>
        <v/>
      </c>
      <c r="AP44" s="60"/>
    </row>
    <row r="45" spans="1:42" ht="12.75" customHeight="1">
      <c r="A45" s="29"/>
      <c r="B45" s="10">
        <v>42</v>
      </c>
      <c r="C45" s="192" t="s">
        <v>93</v>
      </c>
      <c r="D45" s="32"/>
      <c r="E45" s="32" t="s">
        <v>94</v>
      </c>
      <c r="F45" s="34" t="s">
        <v>41</v>
      </c>
      <c r="G45" s="34" t="s">
        <v>41</v>
      </c>
      <c r="H45" s="34" t="s">
        <v>41</v>
      </c>
      <c r="I45" s="193" t="s">
        <v>42</v>
      </c>
      <c r="J45" s="194">
        <f t="shared" si="0"/>
        <v>4</v>
      </c>
      <c r="K45" s="36"/>
      <c r="L45" s="37">
        <v>45960</v>
      </c>
      <c r="M45" s="38">
        <v>45964</v>
      </c>
      <c r="N45" s="195">
        <f t="shared" si="23"/>
        <v>1750000</v>
      </c>
      <c r="O45" s="196"/>
      <c r="P45" s="195">
        <f t="shared" si="2"/>
        <v>0</v>
      </c>
      <c r="Q45" s="52"/>
      <c r="R45" s="186">
        <f t="shared" si="3"/>
        <v>1750000</v>
      </c>
      <c r="S45" s="197">
        <f t="shared" si="4"/>
        <v>1470588.2352941178</v>
      </c>
      <c r="T45" s="198">
        <f t="shared" si="5"/>
        <v>45900</v>
      </c>
      <c r="U45" s="199">
        <f t="shared" si="6"/>
        <v>875000</v>
      </c>
      <c r="V45" s="200">
        <f t="shared" si="7"/>
        <v>45930</v>
      </c>
      <c r="W45" s="195">
        <f t="shared" si="8"/>
        <v>875000</v>
      </c>
      <c r="X45" s="48">
        <v>45863</v>
      </c>
      <c r="Y45" s="49">
        <v>250000</v>
      </c>
      <c r="Z45" s="50" t="s">
        <v>43</v>
      </c>
      <c r="AA45" s="51">
        <v>45926</v>
      </c>
      <c r="AB45" s="52">
        <v>2625000</v>
      </c>
      <c r="AC45" s="127" t="s">
        <v>51</v>
      </c>
      <c r="AD45" s="54"/>
      <c r="AE45" s="55"/>
      <c r="AF45" s="56"/>
      <c r="AG45" s="53"/>
      <c r="AH45" s="53"/>
      <c r="AI45" s="53"/>
      <c r="AJ45" s="52"/>
      <c r="AK45" s="52"/>
      <c r="AL45" s="52"/>
      <c r="AM45" s="52">
        <f t="shared" si="24"/>
        <v>2875000</v>
      </c>
      <c r="AN45" s="58">
        <f t="shared" si="25"/>
        <v>-1125000</v>
      </c>
      <c r="AO45" s="59">
        <f>SUM(AN45:AN47)</f>
        <v>0</v>
      </c>
      <c r="AP45" s="60"/>
    </row>
    <row r="46" spans="1:42" ht="12.75" customHeight="1">
      <c r="A46" s="29"/>
      <c r="B46" s="133">
        <v>43</v>
      </c>
      <c r="C46" s="201" t="s">
        <v>93</v>
      </c>
      <c r="D46" s="63"/>
      <c r="E46" s="64"/>
      <c r="F46" s="64" t="s">
        <v>41</v>
      </c>
      <c r="G46" s="64" t="s">
        <v>41</v>
      </c>
      <c r="H46" s="64" t="s">
        <v>41</v>
      </c>
      <c r="I46" s="202" t="s">
        <v>42</v>
      </c>
      <c r="J46" s="203">
        <f t="shared" si="0"/>
        <v>4</v>
      </c>
      <c r="K46" s="66"/>
      <c r="L46" s="67">
        <v>45960</v>
      </c>
      <c r="M46" s="68">
        <v>45964</v>
      </c>
      <c r="N46" s="204">
        <f t="shared" si="23"/>
        <v>1750000</v>
      </c>
      <c r="O46" s="205"/>
      <c r="P46" s="204">
        <f t="shared" si="2"/>
        <v>0</v>
      </c>
      <c r="Q46" s="79"/>
      <c r="R46" s="206">
        <f t="shared" si="3"/>
        <v>1750000</v>
      </c>
      <c r="S46" s="207">
        <f t="shared" si="4"/>
        <v>1470588.2352941178</v>
      </c>
      <c r="T46" s="208">
        <f t="shared" si="5"/>
        <v>45900</v>
      </c>
      <c r="U46" s="209">
        <f t="shared" si="6"/>
        <v>875000</v>
      </c>
      <c r="V46" s="210">
        <f t="shared" si="7"/>
        <v>45930</v>
      </c>
      <c r="W46" s="204">
        <f t="shared" si="8"/>
        <v>875000</v>
      </c>
      <c r="X46" s="75">
        <v>45865</v>
      </c>
      <c r="Y46" s="76">
        <v>1500000</v>
      </c>
      <c r="Z46" s="77" t="s">
        <v>51</v>
      </c>
      <c r="AA46" s="78"/>
      <c r="AB46" s="79"/>
      <c r="AC46" s="8"/>
      <c r="AD46" s="179"/>
      <c r="AE46" s="184"/>
      <c r="AF46" s="77"/>
      <c r="AG46" s="80"/>
      <c r="AH46" s="80"/>
      <c r="AI46" s="80"/>
      <c r="AJ46" s="79"/>
      <c r="AK46" s="79"/>
      <c r="AL46" s="79"/>
      <c r="AM46" s="79">
        <f t="shared" si="24"/>
        <v>1500000</v>
      </c>
      <c r="AN46" s="85">
        <f t="shared" si="25"/>
        <v>250000</v>
      </c>
      <c r="AO46" s="86"/>
      <c r="AP46" s="60"/>
    </row>
    <row r="47" spans="1:42" ht="12.75" customHeight="1">
      <c r="A47" s="29"/>
      <c r="B47" s="16">
        <v>44</v>
      </c>
      <c r="C47" s="211" t="s">
        <v>93</v>
      </c>
      <c r="D47" s="92"/>
      <c r="E47" s="92"/>
      <c r="F47" s="93" t="s">
        <v>41</v>
      </c>
      <c r="G47" s="93" t="s">
        <v>41</v>
      </c>
      <c r="H47" s="93" t="s">
        <v>41</v>
      </c>
      <c r="I47" s="212" t="s">
        <v>42</v>
      </c>
      <c r="J47" s="213">
        <f t="shared" si="0"/>
        <v>4</v>
      </c>
      <c r="K47" s="95"/>
      <c r="L47" s="96">
        <v>42307</v>
      </c>
      <c r="M47" s="97">
        <v>42311</v>
      </c>
      <c r="N47" s="214">
        <f t="shared" si="23"/>
        <v>1750000</v>
      </c>
      <c r="O47" s="215"/>
      <c r="P47" s="214">
        <f t="shared" si="2"/>
        <v>0</v>
      </c>
      <c r="Q47" s="107"/>
      <c r="R47" s="216">
        <f t="shared" si="3"/>
        <v>1750000</v>
      </c>
      <c r="S47" s="217">
        <f t="shared" si="4"/>
        <v>1470588.2352941178</v>
      </c>
      <c r="T47" s="218">
        <f t="shared" si="5"/>
        <v>42247</v>
      </c>
      <c r="U47" s="219">
        <f t="shared" si="6"/>
        <v>875000</v>
      </c>
      <c r="V47" s="220">
        <f t="shared" si="7"/>
        <v>42277</v>
      </c>
      <c r="W47" s="214">
        <f t="shared" si="8"/>
        <v>875000</v>
      </c>
      <c r="X47" s="103">
        <v>45874</v>
      </c>
      <c r="Y47" s="104">
        <v>875000</v>
      </c>
      <c r="Z47" s="105" t="s">
        <v>51</v>
      </c>
      <c r="AA47" s="141"/>
      <c r="AB47" s="107"/>
      <c r="AC47" s="123"/>
      <c r="AD47" s="124"/>
      <c r="AE47" s="221"/>
      <c r="AF47" s="105"/>
      <c r="AG47" s="108"/>
      <c r="AH47" s="108"/>
      <c r="AI47" s="108"/>
      <c r="AJ47" s="107"/>
      <c r="AK47" s="107"/>
      <c r="AL47" s="107"/>
      <c r="AM47" s="107">
        <f t="shared" si="24"/>
        <v>875000</v>
      </c>
      <c r="AN47" s="113">
        <f t="shared" si="25"/>
        <v>875000</v>
      </c>
      <c r="AO47" s="126"/>
      <c r="AP47" s="60"/>
    </row>
    <row r="48" spans="1:42" ht="12.75" customHeight="1">
      <c r="A48" s="29"/>
      <c r="B48" s="10">
        <v>45</v>
      </c>
      <c r="C48" s="222" t="s">
        <v>95</v>
      </c>
      <c r="D48" s="32"/>
      <c r="E48" s="64" t="s">
        <v>96</v>
      </c>
      <c r="F48" s="64" t="s">
        <v>41</v>
      </c>
      <c r="G48" s="64" t="s">
        <v>41</v>
      </c>
      <c r="H48" s="64" t="s">
        <v>41</v>
      </c>
      <c r="I48" s="63" t="s">
        <v>42</v>
      </c>
      <c r="J48" s="223">
        <f t="shared" si="0"/>
        <v>4</v>
      </c>
      <c r="K48" s="66"/>
      <c r="L48" s="67">
        <v>45975</v>
      </c>
      <c r="M48" s="68">
        <v>45979</v>
      </c>
      <c r="N48" s="224">
        <f t="shared" si="23"/>
        <v>1750000</v>
      </c>
      <c r="O48" s="69">
        <v>0.2</v>
      </c>
      <c r="P48" s="224">
        <f t="shared" si="2"/>
        <v>350000</v>
      </c>
      <c r="Q48" s="216"/>
      <c r="R48" s="216">
        <f t="shared" si="3"/>
        <v>1400000</v>
      </c>
      <c r="S48" s="225">
        <f t="shared" si="4"/>
        <v>1176470.5882352942</v>
      </c>
      <c r="T48" s="226">
        <f t="shared" si="5"/>
        <v>45915</v>
      </c>
      <c r="U48" s="227">
        <f t="shared" si="6"/>
        <v>700000</v>
      </c>
      <c r="V48" s="228">
        <f t="shared" si="7"/>
        <v>45945</v>
      </c>
      <c r="W48" s="229">
        <f t="shared" si="8"/>
        <v>700000</v>
      </c>
      <c r="X48" s="75">
        <v>45869</v>
      </c>
      <c r="Y48" s="76">
        <v>875000</v>
      </c>
      <c r="Z48" s="77" t="s">
        <v>43</v>
      </c>
      <c r="AA48" s="78"/>
      <c r="AB48" s="79"/>
      <c r="AC48" s="8"/>
      <c r="AD48" s="81"/>
      <c r="AE48" s="82"/>
      <c r="AF48" s="83"/>
      <c r="AG48" s="80"/>
      <c r="AH48" s="80"/>
      <c r="AI48" s="80"/>
      <c r="AJ48" s="84"/>
      <c r="AK48" s="79"/>
      <c r="AL48" s="85"/>
      <c r="AM48" s="79">
        <f t="shared" si="24"/>
        <v>875000</v>
      </c>
      <c r="AN48" s="85">
        <f t="shared" si="25"/>
        <v>525000</v>
      </c>
      <c r="AO48" s="86">
        <f>SUM(AN48:AN51)</f>
        <v>3150000</v>
      </c>
      <c r="AP48" s="60"/>
    </row>
    <row r="49" spans="1:42" ht="12.75" customHeight="1">
      <c r="A49" s="29"/>
      <c r="B49" s="133">
        <v>46</v>
      </c>
      <c r="C49" s="230" t="s">
        <v>95</v>
      </c>
      <c r="D49" s="63"/>
      <c r="E49" s="63"/>
      <c r="F49" s="64" t="s">
        <v>41</v>
      </c>
      <c r="G49" s="64" t="s">
        <v>41</v>
      </c>
      <c r="H49" s="64" t="s">
        <v>41</v>
      </c>
      <c r="I49" s="63" t="s">
        <v>42</v>
      </c>
      <c r="J49" s="65">
        <f t="shared" si="0"/>
        <v>4</v>
      </c>
      <c r="K49" s="66"/>
      <c r="L49" s="67">
        <v>45975</v>
      </c>
      <c r="M49" s="68">
        <v>45979</v>
      </c>
      <c r="N49" s="39">
        <f t="shared" si="23"/>
        <v>1750000</v>
      </c>
      <c r="O49" s="69"/>
      <c r="P49" s="39">
        <f t="shared" si="2"/>
        <v>0</v>
      </c>
      <c r="Q49" s="42"/>
      <c r="R49" s="42">
        <f t="shared" si="3"/>
        <v>1750000</v>
      </c>
      <c r="S49" s="43">
        <f t="shared" si="4"/>
        <v>1470588.2352941178</v>
      </c>
      <c r="T49" s="71">
        <f t="shared" si="5"/>
        <v>45915</v>
      </c>
      <c r="U49" s="72">
        <f t="shared" si="6"/>
        <v>875000</v>
      </c>
      <c r="V49" s="73">
        <f t="shared" si="7"/>
        <v>45945</v>
      </c>
      <c r="W49" s="74">
        <f t="shared" si="8"/>
        <v>875000</v>
      </c>
      <c r="X49" s="75">
        <v>45869</v>
      </c>
      <c r="Y49" s="76">
        <v>875000</v>
      </c>
      <c r="Z49" s="77" t="s">
        <v>43</v>
      </c>
      <c r="AA49" s="78"/>
      <c r="AB49" s="79"/>
      <c r="AC49" s="8"/>
      <c r="AD49" s="81"/>
      <c r="AE49" s="82"/>
      <c r="AF49" s="83"/>
      <c r="AG49" s="80"/>
      <c r="AH49" s="80"/>
      <c r="AI49" s="80"/>
      <c r="AJ49" s="84"/>
      <c r="AK49" s="79"/>
      <c r="AL49" s="85"/>
      <c r="AM49" s="79">
        <f t="shared" si="24"/>
        <v>875000</v>
      </c>
      <c r="AN49" s="85">
        <f t="shared" si="25"/>
        <v>875000</v>
      </c>
      <c r="AO49" s="86" t="str">
        <f t="shared" ref="AO49:AO51" si="26">CONCATENATE(IF(AP49&lt;0,IF(AP49&gt;-30,IF(AN49&gt;0,"T",""),""),IF(AP49&gt;0,IF(AN49&gt;0,"DEUDA",""),"")))</f>
        <v/>
      </c>
      <c r="AP49" s="60"/>
    </row>
    <row r="50" spans="1:42" ht="12.75" customHeight="1">
      <c r="A50" s="29"/>
      <c r="B50" s="133">
        <v>47</v>
      </c>
      <c r="C50" s="230" t="s">
        <v>95</v>
      </c>
      <c r="D50" s="63"/>
      <c r="E50" s="63"/>
      <c r="F50" s="64" t="s">
        <v>41</v>
      </c>
      <c r="G50" s="64" t="s">
        <v>41</v>
      </c>
      <c r="H50" s="64" t="s">
        <v>41</v>
      </c>
      <c r="I50" s="63" t="s">
        <v>42</v>
      </c>
      <c r="J50" s="65">
        <f t="shared" si="0"/>
        <v>4</v>
      </c>
      <c r="K50" s="66"/>
      <c r="L50" s="67">
        <v>45975</v>
      </c>
      <c r="M50" s="68">
        <v>45979</v>
      </c>
      <c r="N50" s="39">
        <f t="shared" si="23"/>
        <v>1750000</v>
      </c>
      <c r="O50" s="69"/>
      <c r="P50" s="39">
        <f t="shared" si="2"/>
        <v>0</v>
      </c>
      <c r="Q50" s="42"/>
      <c r="R50" s="42">
        <f t="shared" si="3"/>
        <v>1750000</v>
      </c>
      <c r="S50" s="43">
        <f t="shared" si="4"/>
        <v>1470588.2352941178</v>
      </c>
      <c r="T50" s="71">
        <f t="shared" si="5"/>
        <v>45915</v>
      </c>
      <c r="U50" s="72">
        <f t="shared" si="6"/>
        <v>875000</v>
      </c>
      <c r="V50" s="73">
        <f t="shared" si="7"/>
        <v>45945</v>
      </c>
      <c r="W50" s="74">
        <f t="shared" si="8"/>
        <v>875000</v>
      </c>
      <c r="X50" s="179">
        <v>45869</v>
      </c>
      <c r="Y50" s="76">
        <v>875000</v>
      </c>
      <c r="Z50" s="77" t="s">
        <v>43</v>
      </c>
      <c r="AA50" s="78"/>
      <c r="AB50" s="79"/>
      <c r="AC50" s="8"/>
      <c r="AD50" s="179"/>
      <c r="AE50" s="184"/>
      <c r="AF50" s="77"/>
      <c r="AG50" s="78"/>
      <c r="AH50" s="8"/>
      <c r="AI50" s="8"/>
      <c r="AJ50" s="84"/>
      <c r="AK50" s="79"/>
      <c r="AL50" s="85"/>
      <c r="AM50" s="79">
        <f t="shared" si="24"/>
        <v>875000</v>
      </c>
      <c r="AN50" s="85">
        <f t="shared" si="25"/>
        <v>875000</v>
      </c>
      <c r="AO50" s="86" t="str">
        <f t="shared" si="26"/>
        <v/>
      </c>
      <c r="AP50" s="60"/>
    </row>
    <row r="51" spans="1:42" ht="12.75" customHeight="1">
      <c r="A51" s="29"/>
      <c r="B51" s="16">
        <v>48</v>
      </c>
      <c r="C51" s="231" t="s">
        <v>95</v>
      </c>
      <c r="D51" s="92"/>
      <c r="E51" s="92"/>
      <c r="F51" s="93" t="s">
        <v>41</v>
      </c>
      <c r="G51" s="93" t="s">
        <v>41</v>
      </c>
      <c r="H51" s="93" t="s">
        <v>41</v>
      </c>
      <c r="I51" s="92" t="s">
        <v>42</v>
      </c>
      <c r="J51" s="94">
        <f t="shared" si="0"/>
        <v>4</v>
      </c>
      <c r="K51" s="95"/>
      <c r="L51" s="96">
        <v>45975</v>
      </c>
      <c r="M51" s="97">
        <v>45979</v>
      </c>
      <c r="N51" s="39">
        <f t="shared" si="23"/>
        <v>1750000</v>
      </c>
      <c r="O51" s="98"/>
      <c r="P51" s="39">
        <f t="shared" si="2"/>
        <v>0</v>
      </c>
      <c r="Q51" s="42"/>
      <c r="R51" s="42">
        <f t="shared" si="3"/>
        <v>1750000</v>
      </c>
      <c r="S51" s="43">
        <f t="shared" si="4"/>
        <v>1470588.2352941178</v>
      </c>
      <c r="T51" s="99">
        <f t="shared" si="5"/>
        <v>45915</v>
      </c>
      <c r="U51" s="100">
        <f t="shared" si="6"/>
        <v>875000</v>
      </c>
      <c r="V51" s="101">
        <f t="shared" si="7"/>
        <v>45945</v>
      </c>
      <c r="W51" s="102">
        <f t="shared" si="8"/>
        <v>875000</v>
      </c>
      <c r="X51" s="124">
        <v>45869</v>
      </c>
      <c r="Y51" s="104">
        <v>875000</v>
      </c>
      <c r="Z51" s="105" t="s">
        <v>43</v>
      </c>
      <c r="AA51" s="141"/>
      <c r="AB51" s="123"/>
      <c r="AC51" s="123"/>
      <c r="AD51" s="124"/>
      <c r="AE51" s="221"/>
      <c r="AF51" s="105"/>
      <c r="AG51" s="141"/>
      <c r="AH51" s="123"/>
      <c r="AI51" s="123"/>
      <c r="AJ51" s="112"/>
      <c r="AK51" s="107"/>
      <c r="AL51" s="113"/>
      <c r="AM51" s="107">
        <f t="shared" si="24"/>
        <v>875000</v>
      </c>
      <c r="AN51" s="113">
        <f t="shared" si="25"/>
        <v>875000</v>
      </c>
      <c r="AO51" s="86" t="str">
        <f t="shared" si="26"/>
        <v/>
      </c>
      <c r="AP51" s="60"/>
    </row>
    <row r="52" spans="1:42" ht="12.75" customHeight="1">
      <c r="A52" s="29"/>
      <c r="B52" s="10">
        <v>49</v>
      </c>
      <c r="C52" s="222" t="s">
        <v>95</v>
      </c>
      <c r="D52" s="32"/>
      <c r="E52" s="34" t="s">
        <v>96</v>
      </c>
      <c r="F52" s="34" t="s">
        <v>41</v>
      </c>
      <c r="G52" s="32"/>
      <c r="H52" s="34" t="s">
        <v>41</v>
      </c>
      <c r="I52" s="32" t="s">
        <v>42</v>
      </c>
      <c r="J52" s="35">
        <f t="shared" si="0"/>
        <v>4</v>
      </c>
      <c r="K52" s="36"/>
      <c r="L52" s="37">
        <v>46072</v>
      </c>
      <c r="M52" s="38">
        <v>46076</v>
      </c>
      <c r="N52" s="39">
        <f t="shared" si="23"/>
        <v>1750000</v>
      </c>
      <c r="O52" s="115"/>
      <c r="P52" s="39">
        <f t="shared" si="2"/>
        <v>0</v>
      </c>
      <c r="Q52" s="42"/>
      <c r="R52" s="42">
        <f t="shared" si="3"/>
        <v>1750000</v>
      </c>
      <c r="S52" s="43">
        <f t="shared" si="4"/>
        <v>1470588.2352941178</v>
      </c>
      <c r="T52" s="44">
        <f t="shared" si="5"/>
        <v>46012</v>
      </c>
      <c r="U52" s="45">
        <f t="shared" si="6"/>
        <v>875000</v>
      </c>
      <c r="V52" s="46">
        <f t="shared" si="7"/>
        <v>46042</v>
      </c>
      <c r="W52" s="47">
        <f t="shared" si="8"/>
        <v>875000</v>
      </c>
      <c r="X52" s="232">
        <v>45995</v>
      </c>
      <c r="Y52" s="49">
        <v>875000</v>
      </c>
      <c r="Z52" s="50" t="s">
        <v>43</v>
      </c>
      <c r="AA52" s="51">
        <v>46077</v>
      </c>
      <c r="AB52" s="49">
        <v>875000</v>
      </c>
      <c r="AC52" s="127" t="s">
        <v>43</v>
      </c>
      <c r="AD52" s="232"/>
      <c r="AE52" s="233"/>
      <c r="AF52" s="50"/>
      <c r="AG52" s="51"/>
      <c r="AH52" s="127"/>
      <c r="AI52" s="127"/>
      <c r="AJ52" s="57"/>
      <c r="AK52" s="52"/>
      <c r="AL52" s="58"/>
      <c r="AM52" s="52">
        <f t="shared" si="24"/>
        <v>1750000</v>
      </c>
      <c r="AN52" s="58">
        <f t="shared" si="25"/>
        <v>0</v>
      </c>
      <c r="AO52" s="59">
        <f>SUM(AN52:AN54)</f>
        <v>0</v>
      </c>
      <c r="AP52" s="60"/>
    </row>
    <row r="53" spans="1:42" ht="12.75" customHeight="1">
      <c r="A53" s="29"/>
      <c r="B53" s="133">
        <v>50</v>
      </c>
      <c r="C53" s="230" t="s">
        <v>95</v>
      </c>
      <c r="D53" s="63"/>
      <c r="E53" s="63"/>
      <c r="F53" s="64" t="s">
        <v>41</v>
      </c>
      <c r="G53" s="63"/>
      <c r="H53" s="64" t="s">
        <v>41</v>
      </c>
      <c r="I53" s="63" t="s">
        <v>42</v>
      </c>
      <c r="J53" s="65">
        <f t="shared" si="0"/>
        <v>4</v>
      </c>
      <c r="K53" s="66"/>
      <c r="L53" s="67">
        <v>46072</v>
      </c>
      <c r="M53" s="68">
        <v>46076</v>
      </c>
      <c r="N53" s="39">
        <f t="shared" si="23"/>
        <v>1750000</v>
      </c>
      <c r="O53" s="69"/>
      <c r="P53" s="39">
        <f t="shared" si="2"/>
        <v>0</v>
      </c>
      <c r="Q53" s="42"/>
      <c r="R53" s="42">
        <f t="shared" si="3"/>
        <v>1750000</v>
      </c>
      <c r="S53" s="43">
        <f t="shared" si="4"/>
        <v>1470588.2352941178</v>
      </c>
      <c r="T53" s="71">
        <f t="shared" si="5"/>
        <v>46012</v>
      </c>
      <c r="U53" s="72">
        <f t="shared" si="6"/>
        <v>875000</v>
      </c>
      <c r="V53" s="73">
        <f t="shared" si="7"/>
        <v>46042</v>
      </c>
      <c r="W53" s="74">
        <f t="shared" si="8"/>
        <v>875000</v>
      </c>
      <c r="X53" s="179">
        <v>45995</v>
      </c>
      <c r="Y53" s="76">
        <v>875000</v>
      </c>
      <c r="Z53" s="77" t="s">
        <v>43</v>
      </c>
      <c r="AA53" s="78">
        <v>46077</v>
      </c>
      <c r="AB53" s="49">
        <v>875000</v>
      </c>
      <c r="AC53" s="8" t="s">
        <v>43</v>
      </c>
      <c r="AD53" s="179"/>
      <c r="AE53" s="184"/>
      <c r="AF53" s="77"/>
      <c r="AG53" s="234"/>
      <c r="AH53" s="8"/>
      <c r="AI53" s="8"/>
      <c r="AJ53" s="84"/>
      <c r="AK53" s="79"/>
      <c r="AL53" s="85"/>
      <c r="AM53" s="79">
        <f t="shared" si="24"/>
        <v>1750000</v>
      </c>
      <c r="AN53" s="85">
        <f t="shared" si="25"/>
        <v>0</v>
      </c>
      <c r="AO53" s="86" t="str">
        <f t="shared" ref="AO53:AO54" si="27">CONCATENATE(IF(AP53&lt;0,IF(AP53&gt;-30,IF(AN53&gt;0,"T",""),""),IF(AP53&gt;0,IF(AN53&gt;0,"DEUDA",""),"")))</f>
        <v/>
      </c>
      <c r="AP53" s="60"/>
    </row>
    <row r="54" spans="1:42" ht="12.75" customHeight="1">
      <c r="A54" s="29"/>
      <c r="B54" s="16">
        <v>51</v>
      </c>
      <c r="C54" s="231" t="s">
        <v>95</v>
      </c>
      <c r="D54" s="92"/>
      <c r="E54" s="92"/>
      <c r="F54" s="93" t="s">
        <v>41</v>
      </c>
      <c r="G54" s="92"/>
      <c r="H54" s="93" t="s">
        <v>41</v>
      </c>
      <c r="I54" s="92" t="s">
        <v>42</v>
      </c>
      <c r="J54" s="94">
        <f t="shared" si="0"/>
        <v>4</v>
      </c>
      <c r="K54" s="95"/>
      <c r="L54" s="96">
        <v>46072</v>
      </c>
      <c r="M54" s="97">
        <v>46076</v>
      </c>
      <c r="N54" s="39">
        <f t="shared" si="23"/>
        <v>1750000</v>
      </c>
      <c r="O54" s="98"/>
      <c r="P54" s="39">
        <f t="shared" si="2"/>
        <v>0</v>
      </c>
      <c r="Q54" s="42"/>
      <c r="R54" s="42">
        <f t="shared" si="3"/>
        <v>1750000</v>
      </c>
      <c r="S54" s="43">
        <f t="shared" si="4"/>
        <v>1470588.2352941178</v>
      </c>
      <c r="T54" s="99">
        <f t="shared" si="5"/>
        <v>46012</v>
      </c>
      <c r="U54" s="100">
        <f t="shared" si="6"/>
        <v>875000</v>
      </c>
      <c r="V54" s="101">
        <f t="shared" si="7"/>
        <v>46042</v>
      </c>
      <c r="W54" s="102">
        <f t="shared" si="8"/>
        <v>875000</v>
      </c>
      <c r="X54" s="124">
        <v>45995</v>
      </c>
      <c r="Y54" s="104">
        <v>875000</v>
      </c>
      <c r="Z54" s="105" t="s">
        <v>43</v>
      </c>
      <c r="AA54" s="141">
        <v>46077</v>
      </c>
      <c r="AB54" s="49">
        <v>875000</v>
      </c>
      <c r="AC54" s="123" t="s">
        <v>43</v>
      </c>
      <c r="AD54" s="124"/>
      <c r="AE54" s="221"/>
      <c r="AF54" s="105"/>
      <c r="AG54" s="123"/>
      <c r="AH54" s="123"/>
      <c r="AI54" s="123"/>
      <c r="AJ54" s="112"/>
      <c r="AK54" s="107"/>
      <c r="AL54" s="113"/>
      <c r="AM54" s="107">
        <f t="shared" si="24"/>
        <v>1750000</v>
      </c>
      <c r="AN54" s="113">
        <f t="shared" si="25"/>
        <v>0</v>
      </c>
      <c r="AO54" s="126" t="str">
        <f t="shared" si="27"/>
        <v/>
      </c>
      <c r="AP54" s="60"/>
    </row>
    <row r="55" spans="1:42" ht="12.75" customHeight="1">
      <c r="A55" s="29"/>
      <c r="B55" s="10">
        <v>52</v>
      </c>
      <c r="C55" s="222" t="s">
        <v>97</v>
      </c>
      <c r="D55" s="32"/>
      <c r="E55" s="32" t="s">
        <v>98</v>
      </c>
      <c r="F55" s="34" t="s">
        <v>41</v>
      </c>
      <c r="G55" s="32"/>
      <c r="H55" s="34" t="s">
        <v>41</v>
      </c>
      <c r="I55" s="32" t="s">
        <v>42</v>
      </c>
      <c r="J55" s="35">
        <f t="shared" si="0"/>
        <v>7</v>
      </c>
      <c r="K55" s="36"/>
      <c r="L55" s="37">
        <v>46108</v>
      </c>
      <c r="M55" s="38">
        <v>46115</v>
      </c>
      <c r="N55" s="39">
        <f t="shared" si="23"/>
        <v>2950000</v>
      </c>
      <c r="O55" s="115">
        <v>0.15</v>
      </c>
      <c r="P55" s="39">
        <f t="shared" si="2"/>
        <v>442500</v>
      </c>
      <c r="Q55" s="42"/>
      <c r="R55" s="42">
        <f t="shared" si="3"/>
        <v>2507500</v>
      </c>
      <c r="S55" s="43">
        <f t="shared" si="4"/>
        <v>2107142.8571428573</v>
      </c>
      <c r="T55" s="44">
        <f t="shared" si="5"/>
        <v>46048</v>
      </c>
      <c r="U55" s="45">
        <f t="shared" si="6"/>
        <v>1253750</v>
      </c>
      <c r="V55" s="46">
        <f t="shared" si="7"/>
        <v>46078</v>
      </c>
      <c r="W55" s="47">
        <f t="shared" si="8"/>
        <v>1253750</v>
      </c>
      <c r="X55" s="232"/>
      <c r="Y55" s="49"/>
      <c r="Z55" s="50"/>
      <c r="AA55" s="51"/>
      <c r="AB55" s="127"/>
      <c r="AC55" s="127"/>
      <c r="AD55" s="232"/>
      <c r="AE55" s="233"/>
      <c r="AF55" s="50"/>
      <c r="AG55" s="127"/>
      <c r="AH55" s="127"/>
      <c r="AI55" s="127"/>
      <c r="AJ55" s="57"/>
      <c r="AK55" s="52"/>
      <c r="AL55" s="58"/>
      <c r="AM55" s="52">
        <f t="shared" si="24"/>
        <v>0</v>
      </c>
      <c r="AN55" s="58">
        <f t="shared" si="25"/>
        <v>2507500</v>
      </c>
      <c r="AO55" s="86">
        <f>SUM(AN55:AN60)</f>
        <v>10030000</v>
      </c>
      <c r="AP55" s="60"/>
    </row>
    <row r="56" spans="1:42" ht="12.75" customHeight="1">
      <c r="A56" s="29"/>
      <c r="B56" s="133">
        <v>53</v>
      </c>
      <c r="C56" s="230" t="s">
        <v>97</v>
      </c>
      <c r="D56" s="64" t="s">
        <v>99</v>
      </c>
      <c r="E56" s="63"/>
      <c r="F56" s="64" t="s">
        <v>41</v>
      </c>
      <c r="G56" s="63"/>
      <c r="H56" s="64" t="s">
        <v>41</v>
      </c>
      <c r="I56" s="63" t="s">
        <v>42</v>
      </c>
      <c r="J56" s="65">
        <f t="shared" si="0"/>
        <v>7</v>
      </c>
      <c r="K56" s="66"/>
      <c r="L56" s="67">
        <v>46108</v>
      </c>
      <c r="M56" s="68">
        <v>46115</v>
      </c>
      <c r="N56" s="39">
        <f t="shared" si="23"/>
        <v>2950000</v>
      </c>
      <c r="O56" s="69">
        <v>0.15</v>
      </c>
      <c r="P56" s="39">
        <f t="shared" si="2"/>
        <v>442500</v>
      </c>
      <c r="Q56" s="42"/>
      <c r="R56" s="42">
        <f t="shared" si="3"/>
        <v>2507500</v>
      </c>
      <c r="S56" s="43">
        <f t="shared" si="4"/>
        <v>2107142.8571428573</v>
      </c>
      <c r="T56" s="71">
        <f t="shared" si="5"/>
        <v>46048</v>
      </c>
      <c r="U56" s="72">
        <f t="shared" si="6"/>
        <v>1253750</v>
      </c>
      <c r="V56" s="73">
        <f t="shared" si="7"/>
        <v>46078</v>
      </c>
      <c r="W56" s="74">
        <f t="shared" si="8"/>
        <v>1253750</v>
      </c>
      <c r="X56" s="179">
        <v>45930</v>
      </c>
      <c r="Y56" s="76">
        <v>1253750</v>
      </c>
      <c r="Z56" s="77" t="s">
        <v>100</v>
      </c>
      <c r="AA56" s="78">
        <v>46086</v>
      </c>
      <c r="AB56" s="235">
        <v>1253750</v>
      </c>
      <c r="AC56" s="8" t="s">
        <v>100</v>
      </c>
      <c r="AD56" s="236"/>
      <c r="AE56" s="184"/>
      <c r="AF56" s="77"/>
      <c r="AG56" s="78"/>
      <c r="AH56" s="8"/>
      <c r="AI56" s="8"/>
      <c r="AJ56" s="84"/>
      <c r="AK56" s="79"/>
      <c r="AL56" s="85"/>
      <c r="AM56" s="79">
        <f t="shared" si="24"/>
        <v>2507500</v>
      </c>
      <c r="AN56" s="85">
        <f t="shared" si="25"/>
        <v>0</v>
      </c>
      <c r="AO56" s="86" t="str">
        <f t="shared" ref="AO56:AO58" si="28">CONCATENATE(IF(AP56&lt;0,IF(AP56&gt;-30,IF(AN56&gt;0,"T",""),""),IF(AP56&gt;0,IF(AN56&gt;0,"DEUDA",""),"")))</f>
        <v/>
      </c>
      <c r="AP56" s="60"/>
    </row>
    <row r="57" spans="1:42" ht="12.75" customHeight="1">
      <c r="A57" s="29"/>
      <c r="B57" s="133">
        <v>54</v>
      </c>
      <c r="C57" s="230" t="s">
        <v>97</v>
      </c>
      <c r="D57" s="63"/>
      <c r="E57" s="63"/>
      <c r="F57" s="64" t="s">
        <v>41</v>
      </c>
      <c r="G57" s="63"/>
      <c r="H57" s="64" t="s">
        <v>41</v>
      </c>
      <c r="I57" s="63" t="s">
        <v>42</v>
      </c>
      <c r="J57" s="65">
        <f t="shared" si="0"/>
        <v>7</v>
      </c>
      <c r="K57" s="66"/>
      <c r="L57" s="67">
        <v>46108</v>
      </c>
      <c r="M57" s="68">
        <v>46115</v>
      </c>
      <c r="N57" s="39">
        <f t="shared" si="23"/>
        <v>2950000</v>
      </c>
      <c r="O57" s="69">
        <v>0.15</v>
      </c>
      <c r="P57" s="39">
        <f t="shared" si="2"/>
        <v>442500</v>
      </c>
      <c r="Q57" s="42"/>
      <c r="R57" s="42">
        <f t="shared" si="3"/>
        <v>2507500</v>
      </c>
      <c r="S57" s="43">
        <f t="shared" si="4"/>
        <v>2107142.8571428573</v>
      </c>
      <c r="T57" s="71">
        <f t="shared" si="5"/>
        <v>46048</v>
      </c>
      <c r="U57" s="72">
        <f t="shared" si="6"/>
        <v>1253750</v>
      </c>
      <c r="V57" s="73">
        <f t="shared" si="7"/>
        <v>46078</v>
      </c>
      <c r="W57" s="74">
        <f t="shared" si="8"/>
        <v>1253750</v>
      </c>
      <c r="X57" s="179"/>
      <c r="Y57" s="76"/>
      <c r="Z57" s="77"/>
      <c r="AA57" s="78"/>
      <c r="AB57" s="8"/>
      <c r="AC57" s="8"/>
      <c r="AD57" s="236"/>
      <c r="AE57" s="184"/>
      <c r="AF57" s="77"/>
      <c r="AG57" s="234"/>
      <c r="AH57" s="8"/>
      <c r="AI57" s="8"/>
      <c r="AJ57" s="237"/>
      <c r="AK57" s="79"/>
      <c r="AL57" s="77"/>
      <c r="AM57" s="79">
        <f t="shared" si="24"/>
        <v>0</v>
      </c>
      <c r="AN57" s="85">
        <f>+R57-Y57-AB57-AE57-AH57-AK57</f>
        <v>2507500</v>
      </c>
      <c r="AO57" s="86" t="str">
        <f t="shared" si="28"/>
        <v/>
      </c>
      <c r="AP57" s="60"/>
    </row>
    <row r="58" spans="1:42" ht="12.75" customHeight="1">
      <c r="A58" s="29"/>
      <c r="B58" s="133">
        <v>55</v>
      </c>
      <c r="C58" s="230" t="s">
        <v>97</v>
      </c>
      <c r="D58" s="63"/>
      <c r="E58" s="63"/>
      <c r="F58" s="64" t="s">
        <v>41</v>
      </c>
      <c r="G58" s="63"/>
      <c r="H58" s="64" t="s">
        <v>41</v>
      </c>
      <c r="I58" s="63" t="s">
        <v>42</v>
      </c>
      <c r="J58" s="65">
        <f t="shared" si="0"/>
        <v>7</v>
      </c>
      <c r="K58" s="66"/>
      <c r="L58" s="67">
        <v>46108</v>
      </c>
      <c r="M58" s="68">
        <v>46115</v>
      </c>
      <c r="N58" s="39">
        <f t="shared" si="23"/>
        <v>2950000</v>
      </c>
      <c r="O58" s="69">
        <v>0.15</v>
      </c>
      <c r="P58" s="39">
        <f t="shared" si="2"/>
        <v>442500</v>
      </c>
      <c r="Q58" s="42"/>
      <c r="R58" s="42">
        <f t="shared" si="3"/>
        <v>2507500</v>
      </c>
      <c r="S58" s="43">
        <f t="shared" si="4"/>
        <v>2107142.8571428573</v>
      </c>
      <c r="T58" s="71">
        <f t="shared" si="5"/>
        <v>46048</v>
      </c>
      <c r="U58" s="72">
        <f t="shared" si="6"/>
        <v>1253750</v>
      </c>
      <c r="V58" s="73">
        <f t="shared" si="7"/>
        <v>46078</v>
      </c>
      <c r="W58" s="74">
        <f t="shared" si="8"/>
        <v>1253750</v>
      </c>
      <c r="X58" s="75"/>
      <c r="Y58" s="76"/>
      <c r="Z58" s="77"/>
      <c r="AA58" s="80"/>
      <c r="AB58" s="79"/>
      <c r="AC58" s="80"/>
      <c r="AD58" s="81"/>
      <c r="AE58" s="82"/>
      <c r="AF58" s="83"/>
      <c r="AG58" s="80"/>
      <c r="AH58" s="80"/>
      <c r="AI58" s="80"/>
      <c r="AJ58" s="84"/>
      <c r="AK58" s="79"/>
      <c r="AL58" s="85"/>
      <c r="AM58" s="79">
        <f t="shared" si="24"/>
        <v>0</v>
      </c>
      <c r="AN58" s="85">
        <f>+R58-Y58-AB58-AE58-AH58</f>
        <v>2507500</v>
      </c>
      <c r="AO58" s="86" t="str">
        <f t="shared" si="28"/>
        <v/>
      </c>
      <c r="AP58" s="60"/>
    </row>
    <row r="59" spans="1:42" ht="12.75" customHeight="1">
      <c r="A59" s="29"/>
      <c r="B59" s="133">
        <v>56</v>
      </c>
      <c r="C59" s="230" t="s">
        <v>97</v>
      </c>
      <c r="D59" s="63"/>
      <c r="E59" s="63"/>
      <c r="F59" s="64"/>
      <c r="G59" s="63"/>
      <c r="H59" s="64" t="s">
        <v>41</v>
      </c>
      <c r="I59" s="64" t="s">
        <v>42</v>
      </c>
      <c r="J59" s="187">
        <v>7</v>
      </c>
      <c r="K59" s="66"/>
      <c r="L59" s="67">
        <v>46108</v>
      </c>
      <c r="M59" s="68">
        <v>46115</v>
      </c>
      <c r="N59" s="39">
        <v>2950000</v>
      </c>
      <c r="O59" s="69">
        <v>0.15</v>
      </c>
      <c r="P59" s="39">
        <v>442500</v>
      </c>
      <c r="Q59" s="42"/>
      <c r="R59" s="42">
        <v>2507500</v>
      </c>
      <c r="S59" s="43">
        <v>2107143</v>
      </c>
      <c r="T59" s="188"/>
      <c r="U59" s="189"/>
      <c r="V59" s="190"/>
      <c r="W59" s="191"/>
      <c r="X59" s="75"/>
      <c r="Y59" s="76"/>
      <c r="Z59" s="77"/>
      <c r="AA59" s="78"/>
      <c r="AB59" s="79"/>
      <c r="AC59" s="8"/>
      <c r="AD59" s="81"/>
      <c r="AE59" s="82"/>
      <c r="AF59" s="83"/>
      <c r="AG59" s="80"/>
      <c r="AH59" s="80"/>
      <c r="AI59" s="80"/>
      <c r="AJ59" s="84"/>
      <c r="AK59" s="79"/>
      <c r="AL59" s="85"/>
      <c r="AM59" s="79"/>
      <c r="AN59" s="85"/>
      <c r="AO59" s="86"/>
      <c r="AP59" s="60"/>
    </row>
    <row r="60" spans="1:42" ht="12.75" customHeight="1">
      <c r="A60" s="29"/>
      <c r="B60" s="16">
        <v>57</v>
      </c>
      <c r="C60" s="231" t="s">
        <v>97</v>
      </c>
      <c r="D60" s="92"/>
      <c r="E60" s="92"/>
      <c r="F60" s="93" t="s">
        <v>41</v>
      </c>
      <c r="G60" s="92"/>
      <c r="H60" s="93" t="s">
        <v>41</v>
      </c>
      <c r="I60" s="92" t="s">
        <v>42</v>
      </c>
      <c r="J60" s="94">
        <f t="shared" ref="J60:J64" si="29">M60-L60</f>
        <v>7</v>
      </c>
      <c r="K60" s="95"/>
      <c r="L60" s="96">
        <v>46108</v>
      </c>
      <c r="M60" s="97">
        <v>46115</v>
      </c>
      <c r="N60" s="39">
        <f t="shared" ref="N60:N62" si="30">IF(J60=3,(1350000))+IF(J60=4,(1750000))+IF(J60=5,(2150000))+IF(J60=6,(2550000))+IF(J60=7,(2950000))</f>
        <v>2950000</v>
      </c>
      <c r="O60" s="98">
        <v>0.15</v>
      </c>
      <c r="P60" s="39">
        <f t="shared" ref="P60:P64" si="31">N60*O60</f>
        <v>442500</v>
      </c>
      <c r="Q60" s="42"/>
      <c r="R60" s="42">
        <f t="shared" ref="R60:R64" si="32">N60-P60+Q60</f>
        <v>2507500</v>
      </c>
      <c r="S60" s="43">
        <f t="shared" ref="S60:S64" si="33">R60/1.19</f>
        <v>2107142.8571428573</v>
      </c>
      <c r="T60" s="99">
        <f t="shared" ref="T60:T64" si="34">+L60-60</f>
        <v>46048</v>
      </c>
      <c r="U60" s="100">
        <f t="shared" ref="U60:U64" si="35">+R60/2</f>
        <v>1253750</v>
      </c>
      <c r="V60" s="101">
        <f t="shared" ref="V60:V64" si="36">+L60-30</f>
        <v>46078</v>
      </c>
      <c r="W60" s="102">
        <f t="shared" ref="W60:W64" si="37">+U60</f>
        <v>1253750</v>
      </c>
      <c r="X60" s="103"/>
      <c r="Y60" s="104"/>
      <c r="Z60" s="105"/>
      <c r="AA60" s="141"/>
      <c r="AB60" s="107"/>
      <c r="AC60" s="123"/>
      <c r="AD60" s="109"/>
      <c r="AE60" s="110"/>
      <c r="AF60" s="111"/>
      <c r="AG60" s="108"/>
      <c r="AH60" s="108"/>
      <c r="AI60" s="108"/>
      <c r="AJ60" s="112"/>
      <c r="AK60" s="107"/>
      <c r="AL60" s="113"/>
      <c r="AM60" s="107">
        <f t="shared" ref="AM60:AM64" si="38">Y60+AB60+AE60+AH60+AK60</f>
        <v>0</v>
      </c>
      <c r="AN60" s="113">
        <f t="shared" ref="AN60:AN64" si="39">+R60-Y60-AB60-AE60-AH60</f>
        <v>2507500</v>
      </c>
      <c r="AO60" s="86" t="str">
        <f>CONCATENATE(IF(AP60&lt;0,IF(AP60&gt;-30,IF(AN60&gt;0,"T",""),""),IF(AP60&gt;0,IF(AN60&gt;0,"DEUDA",""),"")))</f>
        <v/>
      </c>
      <c r="AP60" s="60"/>
    </row>
    <row r="61" spans="1:42" ht="12.75" customHeight="1">
      <c r="A61" s="29"/>
      <c r="B61" s="10">
        <v>58</v>
      </c>
      <c r="C61" s="238" t="s">
        <v>101</v>
      </c>
      <c r="D61" s="33"/>
      <c r="E61" s="33"/>
      <c r="F61" s="33" t="s">
        <v>41</v>
      </c>
      <c r="G61" s="33" t="s">
        <v>41</v>
      </c>
      <c r="H61" s="33" t="s">
        <v>41</v>
      </c>
      <c r="I61" s="33" t="s">
        <v>42</v>
      </c>
      <c r="J61" s="35">
        <f t="shared" si="29"/>
        <v>4</v>
      </c>
      <c r="K61" s="36" t="s">
        <v>102</v>
      </c>
      <c r="L61" s="37">
        <v>45981</v>
      </c>
      <c r="M61" s="38">
        <v>45985</v>
      </c>
      <c r="N61" s="39">
        <f t="shared" si="30"/>
        <v>1750000</v>
      </c>
      <c r="O61" s="115"/>
      <c r="P61" s="39">
        <f t="shared" si="31"/>
        <v>0</v>
      </c>
      <c r="Q61" s="42"/>
      <c r="R61" s="42">
        <f t="shared" si="32"/>
        <v>1750000</v>
      </c>
      <c r="S61" s="43">
        <f t="shared" si="33"/>
        <v>1470588.2352941178</v>
      </c>
      <c r="T61" s="44">
        <f t="shared" si="34"/>
        <v>45921</v>
      </c>
      <c r="U61" s="45">
        <f t="shared" si="35"/>
        <v>875000</v>
      </c>
      <c r="V61" s="46">
        <f t="shared" si="36"/>
        <v>45951</v>
      </c>
      <c r="W61" s="47">
        <f t="shared" si="37"/>
        <v>875000</v>
      </c>
      <c r="X61" s="239">
        <v>45874</v>
      </c>
      <c r="Y61" s="49">
        <v>1750000</v>
      </c>
      <c r="Z61" s="50" t="s">
        <v>51</v>
      </c>
      <c r="AA61" s="53"/>
      <c r="AB61" s="53"/>
      <c r="AC61" s="53"/>
      <c r="AD61" s="54"/>
      <c r="AE61" s="55"/>
      <c r="AF61" s="56"/>
      <c r="AG61" s="53"/>
      <c r="AH61" s="53"/>
      <c r="AI61" s="53"/>
      <c r="AJ61" s="57"/>
      <c r="AK61" s="52"/>
      <c r="AL61" s="58"/>
      <c r="AM61" s="52">
        <f t="shared" si="38"/>
        <v>1750000</v>
      </c>
      <c r="AN61" s="58">
        <f t="shared" si="39"/>
        <v>0</v>
      </c>
      <c r="AO61" s="86">
        <f>SUM(AN61:AN62)</f>
        <v>0</v>
      </c>
      <c r="AP61" s="60"/>
    </row>
    <row r="62" spans="1:42" ht="12.75" customHeight="1">
      <c r="A62" s="29"/>
      <c r="B62" s="16">
        <v>59</v>
      </c>
      <c r="C62" s="240" t="s">
        <v>103</v>
      </c>
      <c r="D62" s="241"/>
      <c r="E62" s="241" t="s">
        <v>104</v>
      </c>
      <c r="F62" s="241" t="s">
        <v>41</v>
      </c>
      <c r="G62" s="241" t="s">
        <v>41</v>
      </c>
      <c r="H62" s="241" t="s">
        <v>41</v>
      </c>
      <c r="I62" s="241" t="s">
        <v>105</v>
      </c>
      <c r="J62" s="94">
        <f t="shared" si="29"/>
        <v>4</v>
      </c>
      <c r="K62" s="95" t="s">
        <v>106</v>
      </c>
      <c r="L62" s="96">
        <v>45981</v>
      </c>
      <c r="M62" s="97">
        <v>45985</v>
      </c>
      <c r="N62" s="39">
        <f t="shared" si="30"/>
        <v>1750000</v>
      </c>
      <c r="O62" s="98"/>
      <c r="P62" s="39">
        <f t="shared" si="31"/>
        <v>0</v>
      </c>
      <c r="Q62" s="42"/>
      <c r="R62" s="42">
        <f t="shared" si="32"/>
        <v>1750000</v>
      </c>
      <c r="S62" s="43">
        <f t="shared" si="33"/>
        <v>1470588.2352941178</v>
      </c>
      <c r="T62" s="99">
        <f t="shared" si="34"/>
        <v>45921</v>
      </c>
      <c r="U62" s="100">
        <f t="shared" si="35"/>
        <v>875000</v>
      </c>
      <c r="V62" s="101">
        <f t="shared" si="36"/>
        <v>45951</v>
      </c>
      <c r="W62" s="102">
        <f t="shared" si="37"/>
        <v>875000</v>
      </c>
      <c r="X62" s="242">
        <v>45874</v>
      </c>
      <c r="Y62" s="104">
        <v>1750000</v>
      </c>
      <c r="Z62" s="105" t="s">
        <v>51</v>
      </c>
      <c r="AA62" s="108"/>
      <c r="AB62" s="107"/>
      <c r="AC62" s="108"/>
      <c r="AD62" s="109"/>
      <c r="AE62" s="110"/>
      <c r="AF62" s="111"/>
      <c r="AG62" s="108"/>
      <c r="AH62" s="108"/>
      <c r="AI62" s="108"/>
      <c r="AJ62" s="112"/>
      <c r="AK62" s="107"/>
      <c r="AL62" s="113"/>
      <c r="AM62" s="107">
        <f t="shared" si="38"/>
        <v>1750000</v>
      </c>
      <c r="AN62" s="113">
        <f t="shared" si="39"/>
        <v>0</v>
      </c>
      <c r="AO62" s="86" t="str">
        <f>CONCATENATE(IF(AP62&lt;0,IF(AP62&gt;-30,IF(AN62&gt;0,"T",""),""),IF(AP62&gt;0,IF(AN62&gt;0,"DEUDA",""),"")))</f>
        <v/>
      </c>
      <c r="AP62" s="60"/>
    </row>
    <row r="63" spans="1:42" s="605" customFormat="1" ht="12.75" customHeight="1">
      <c r="A63" s="575"/>
      <c r="B63" s="576">
        <v>60</v>
      </c>
      <c r="C63" s="577" t="s">
        <v>107</v>
      </c>
      <c r="D63" s="578"/>
      <c r="E63" s="578" t="s">
        <v>50</v>
      </c>
      <c r="F63" s="578" t="s">
        <v>41</v>
      </c>
      <c r="G63" s="578" t="s">
        <v>41</v>
      </c>
      <c r="H63" s="578" t="s">
        <v>41</v>
      </c>
      <c r="I63" s="578" t="s">
        <v>81</v>
      </c>
      <c r="J63" s="579">
        <f t="shared" si="29"/>
        <v>3</v>
      </c>
      <c r="K63" s="580"/>
      <c r="L63" s="581">
        <v>45946</v>
      </c>
      <c r="M63" s="582">
        <v>45949</v>
      </c>
      <c r="N63" s="583">
        <v>1890000</v>
      </c>
      <c r="O63" s="584">
        <v>0.2</v>
      </c>
      <c r="P63" s="583">
        <f t="shared" si="31"/>
        <v>378000</v>
      </c>
      <c r="Q63" s="585"/>
      <c r="R63" s="585">
        <f t="shared" si="32"/>
        <v>1512000</v>
      </c>
      <c r="S63" s="586">
        <f t="shared" si="33"/>
        <v>1270588.2352941176</v>
      </c>
      <c r="T63" s="587">
        <f t="shared" si="34"/>
        <v>45886</v>
      </c>
      <c r="U63" s="588">
        <f t="shared" si="35"/>
        <v>756000</v>
      </c>
      <c r="V63" s="589">
        <f t="shared" si="36"/>
        <v>45916</v>
      </c>
      <c r="W63" s="590">
        <f t="shared" si="37"/>
        <v>756000</v>
      </c>
      <c r="X63" s="591">
        <v>45881</v>
      </c>
      <c r="Y63" s="592">
        <v>945000</v>
      </c>
      <c r="Z63" s="593" t="s">
        <v>51</v>
      </c>
      <c r="AA63" s="594"/>
      <c r="AB63" s="595"/>
      <c r="AC63" s="596"/>
      <c r="AD63" s="597"/>
      <c r="AE63" s="598"/>
      <c r="AF63" s="599"/>
      <c r="AG63" s="600"/>
      <c r="AH63" s="600"/>
      <c r="AI63" s="600"/>
      <c r="AJ63" s="601"/>
      <c r="AK63" s="595"/>
      <c r="AL63" s="602"/>
      <c r="AM63" s="595">
        <f t="shared" si="38"/>
        <v>945000</v>
      </c>
      <c r="AN63" s="602">
        <f t="shared" si="39"/>
        <v>567000</v>
      </c>
      <c r="AO63" s="603">
        <f>AN63</f>
        <v>567000</v>
      </c>
      <c r="AP63" s="604"/>
    </row>
    <row r="64" spans="1:42" ht="12.75" customHeight="1">
      <c r="A64" s="29"/>
      <c r="B64" s="10">
        <v>61</v>
      </c>
      <c r="C64" s="238" t="s">
        <v>108</v>
      </c>
      <c r="D64" s="33"/>
      <c r="E64" s="33" t="s">
        <v>109</v>
      </c>
      <c r="F64" s="33" t="s">
        <v>41</v>
      </c>
      <c r="G64" s="33" t="s">
        <v>41</v>
      </c>
      <c r="H64" s="33" t="s">
        <v>41</v>
      </c>
      <c r="I64" s="33" t="s">
        <v>42</v>
      </c>
      <c r="J64" s="35">
        <f t="shared" si="29"/>
        <v>4</v>
      </c>
      <c r="K64" s="36" t="s">
        <v>110</v>
      </c>
      <c r="L64" s="37">
        <v>45978</v>
      </c>
      <c r="M64" s="38">
        <v>45982</v>
      </c>
      <c r="N64" s="39">
        <f>IF(J64=3,(1350000))+IF(J64=4,(1750000))+IF(J64=5,(2150000))+IF(J64=6,(2550000))+IF(J64=7,(2950000))</f>
        <v>1750000</v>
      </c>
      <c r="O64" s="115"/>
      <c r="P64" s="39">
        <f t="shared" si="31"/>
        <v>0</v>
      </c>
      <c r="Q64" s="42"/>
      <c r="R64" s="42">
        <f t="shared" si="32"/>
        <v>1750000</v>
      </c>
      <c r="S64" s="43">
        <f t="shared" si="33"/>
        <v>1470588.2352941178</v>
      </c>
      <c r="T64" s="44">
        <f t="shared" si="34"/>
        <v>45918</v>
      </c>
      <c r="U64" s="45">
        <f t="shared" si="35"/>
        <v>875000</v>
      </c>
      <c r="V64" s="46">
        <f t="shared" si="36"/>
        <v>45948</v>
      </c>
      <c r="W64" s="47">
        <f t="shared" si="37"/>
        <v>875000</v>
      </c>
      <c r="X64" s="183">
        <v>45898</v>
      </c>
      <c r="Y64" s="49">
        <v>875000</v>
      </c>
      <c r="Z64" s="56" t="s">
        <v>51</v>
      </c>
      <c r="AA64" s="267"/>
      <c r="AB64" s="52"/>
      <c r="AC64" s="127"/>
      <c r="AD64" s="54"/>
      <c r="AE64" s="55"/>
      <c r="AF64" s="56"/>
      <c r="AG64" s="53"/>
      <c r="AH64" s="53"/>
      <c r="AI64" s="53"/>
      <c r="AJ64" s="57"/>
      <c r="AK64" s="52"/>
      <c r="AL64" s="58"/>
      <c r="AM64" s="52">
        <f t="shared" si="38"/>
        <v>875000</v>
      </c>
      <c r="AN64" s="58">
        <f t="shared" si="39"/>
        <v>875000</v>
      </c>
      <c r="AO64" s="86">
        <f>SUM(AN64:AN67)</f>
        <v>1750000</v>
      </c>
      <c r="AP64" s="60"/>
    </row>
    <row r="65" spans="1:42" ht="12.75" customHeight="1">
      <c r="A65" s="29"/>
      <c r="B65" s="133">
        <v>62</v>
      </c>
      <c r="C65" s="268" t="s">
        <v>108</v>
      </c>
      <c r="D65" s="269"/>
      <c r="E65" s="269"/>
      <c r="F65" s="269"/>
      <c r="G65" s="269"/>
      <c r="H65" s="269" t="s">
        <v>41</v>
      </c>
      <c r="I65" s="269" t="s">
        <v>42</v>
      </c>
      <c r="J65" s="270">
        <v>4</v>
      </c>
      <c r="K65" s="66"/>
      <c r="L65" s="67">
        <v>45978</v>
      </c>
      <c r="M65" s="68">
        <v>46347</v>
      </c>
      <c r="N65" s="39">
        <v>1750000</v>
      </c>
      <c r="O65" s="69"/>
      <c r="P65" s="39"/>
      <c r="Q65" s="42"/>
      <c r="R65" s="42"/>
      <c r="S65" s="43"/>
      <c r="T65" s="271"/>
      <c r="U65" s="272"/>
      <c r="V65" s="273"/>
      <c r="W65" s="274"/>
      <c r="X65" s="275"/>
      <c r="Y65" s="76"/>
      <c r="Z65" s="83"/>
      <c r="AA65" s="234"/>
      <c r="AB65" s="79"/>
      <c r="AC65" s="8"/>
      <c r="AD65" s="81"/>
      <c r="AE65" s="82"/>
      <c r="AF65" s="83"/>
      <c r="AG65" s="80"/>
      <c r="AH65" s="80"/>
      <c r="AI65" s="80"/>
      <c r="AJ65" s="84"/>
      <c r="AK65" s="79"/>
      <c r="AL65" s="85"/>
      <c r="AM65" s="79"/>
      <c r="AN65" s="85"/>
      <c r="AO65" s="86"/>
      <c r="AP65" s="60"/>
    </row>
    <row r="66" spans="1:42" ht="12.75" customHeight="1">
      <c r="A66" s="29"/>
      <c r="B66" s="133">
        <v>63</v>
      </c>
      <c r="C66" s="268" t="s">
        <v>108</v>
      </c>
      <c r="D66" s="269"/>
      <c r="E66" s="269"/>
      <c r="F66" s="269"/>
      <c r="G66" s="269"/>
      <c r="H66" s="269" t="s">
        <v>41</v>
      </c>
      <c r="I66" s="269" t="s">
        <v>42</v>
      </c>
      <c r="J66" s="270">
        <v>4</v>
      </c>
      <c r="K66" s="66"/>
      <c r="L66" s="67">
        <v>45978</v>
      </c>
      <c r="M66" s="68">
        <v>45982</v>
      </c>
      <c r="N66" s="39">
        <v>1750000</v>
      </c>
      <c r="O66" s="69"/>
      <c r="P66" s="39"/>
      <c r="Q66" s="42"/>
      <c r="R66" s="42"/>
      <c r="S66" s="43"/>
      <c r="T66" s="271"/>
      <c r="U66" s="272"/>
      <c r="V66" s="273"/>
      <c r="W66" s="274"/>
      <c r="X66" s="275"/>
      <c r="Y66" s="76"/>
      <c r="Z66" s="83"/>
      <c r="AA66" s="234"/>
      <c r="AB66" s="79"/>
      <c r="AC66" s="8"/>
      <c r="AD66" s="81"/>
      <c r="AE66" s="82"/>
      <c r="AF66" s="83"/>
      <c r="AG66" s="80"/>
      <c r="AH66" s="80"/>
      <c r="AI66" s="80"/>
      <c r="AJ66" s="84"/>
      <c r="AK66" s="79"/>
      <c r="AL66" s="85"/>
      <c r="AM66" s="79"/>
      <c r="AN66" s="85"/>
      <c r="AO66" s="86"/>
      <c r="AP66" s="60"/>
    </row>
    <row r="67" spans="1:42" ht="12.75" customHeight="1">
      <c r="A67" s="29"/>
      <c r="B67" s="16">
        <v>64</v>
      </c>
      <c r="C67" s="240" t="s">
        <v>108</v>
      </c>
      <c r="D67" s="241"/>
      <c r="E67" s="241"/>
      <c r="F67" s="241" t="s">
        <v>41</v>
      </c>
      <c r="G67" s="241" t="s">
        <v>41</v>
      </c>
      <c r="H67" s="241" t="s">
        <v>41</v>
      </c>
      <c r="I67" s="241" t="s">
        <v>42</v>
      </c>
      <c r="J67" s="94">
        <f t="shared" ref="J67:J99" si="40">M67-L67</f>
        <v>4</v>
      </c>
      <c r="K67" s="95" t="s">
        <v>110</v>
      </c>
      <c r="L67" s="96">
        <v>45978</v>
      </c>
      <c r="M67" s="97">
        <v>45982</v>
      </c>
      <c r="N67" s="39">
        <f t="shared" ref="N67:N69" si="41">IF(J67=3,(1350000))+IF(J67=4,(1750000))+IF(J67=5,(2150000))+IF(J67=6,(2550000))+IF(J67=7,(2950000))</f>
        <v>1750000</v>
      </c>
      <c r="O67" s="98"/>
      <c r="P67" s="39">
        <f t="shared" ref="P67:P145" si="42">N67*O67</f>
        <v>0</v>
      </c>
      <c r="Q67" s="42"/>
      <c r="R67" s="42">
        <f t="shared" ref="R67:R145" si="43">N67-P67+Q67</f>
        <v>1750000</v>
      </c>
      <c r="S67" s="43">
        <f t="shared" ref="S67:S145" si="44">R67/1.19</f>
        <v>1470588.2352941178</v>
      </c>
      <c r="T67" s="99">
        <f t="shared" ref="T67:T110" si="45">+L67-60</f>
        <v>45918</v>
      </c>
      <c r="U67" s="100">
        <f t="shared" ref="U67:U110" si="46">+R67/2</f>
        <v>875000</v>
      </c>
      <c r="V67" s="101">
        <f t="shared" ref="V67:V110" si="47">+L67-30</f>
        <v>45948</v>
      </c>
      <c r="W67" s="102">
        <f t="shared" ref="W67:W110" si="48">+U67</f>
        <v>875000</v>
      </c>
      <c r="X67" s="276">
        <v>45898</v>
      </c>
      <c r="Y67" s="104">
        <v>875000</v>
      </c>
      <c r="Z67" s="111" t="s">
        <v>51</v>
      </c>
      <c r="AA67" s="122"/>
      <c r="AB67" s="107"/>
      <c r="AC67" s="123"/>
      <c r="AD67" s="109"/>
      <c r="AE67" s="110"/>
      <c r="AF67" s="111"/>
      <c r="AG67" s="108"/>
      <c r="AH67" s="108"/>
      <c r="AI67" s="108"/>
      <c r="AJ67" s="112"/>
      <c r="AK67" s="107"/>
      <c r="AL67" s="113"/>
      <c r="AM67" s="107">
        <f t="shared" ref="AM67:AM110" si="49">Y67+AB67+AE67+AH67+AK67</f>
        <v>875000</v>
      </c>
      <c r="AN67" s="113">
        <f t="shared" ref="AN67:AN104" si="50">+R67-Y67-AB67-AE67-AH67</f>
        <v>875000</v>
      </c>
      <c r="AO67" s="86" t="str">
        <f>CONCATENATE(IF(AP67&lt;0,IF(AP67&gt;-30,IF(AN67&gt;0,"T",""),""),IF(AP67&gt;0,IF(AN67&gt;0,"DEUDA",""),"")))</f>
        <v/>
      </c>
      <c r="AP67" s="60"/>
    </row>
    <row r="68" spans="1:42" ht="12.75" customHeight="1">
      <c r="A68" s="29"/>
      <c r="B68" s="24">
        <v>65</v>
      </c>
      <c r="C68" s="243" t="s">
        <v>111</v>
      </c>
      <c r="D68" s="244" t="s">
        <v>112</v>
      </c>
      <c r="E68" s="244" t="s">
        <v>113</v>
      </c>
      <c r="F68" s="244" t="s">
        <v>41</v>
      </c>
      <c r="G68" s="244" t="s">
        <v>41</v>
      </c>
      <c r="H68" s="244" t="s">
        <v>41</v>
      </c>
      <c r="I68" s="244" t="s">
        <v>42</v>
      </c>
      <c r="J68" s="245">
        <f t="shared" si="40"/>
        <v>6</v>
      </c>
      <c r="K68" s="246" t="s">
        <v>114</v>
      </c>
      <c r="L68" s="247">
        <v>45949</v>
      </c>
      <c r="M68" s="248">
        <v>45955</v>
      </c>
      <c r="N68" s="39">
        <f t="shared" si="41"/>
        <v>2550000</v>
      </c>
      <c r="O68" s="249"/>
      <c r="P68" s="39">
        <f t="shared" si="42"/>
        <v>0</v>
      </c>
      <c r="Q68" s="42"/>
      <c r="R68" s="42">
        <f t="shared" si="43"/>
        <v>2550000</v>
      </c>
      <c r="S68" s="43">
        <f t="shared" si="44"/>
        <v>2142857.1428571427</v>
      </c>
      <c r="T68" s="250">
        <f t="shared" si="45"/>
        <v>45889</v>
      </c>
      <c r="U68" s="251">
        <f t="shared" si="46"/>
        <v>1275000</v>
      </c>
      <c r="V68" s="252">
        <f t="shared" si="47"/>
        <v>45919</v>
      </c>
      <c r="W68" s="253">
        <f t="shared" si="48"/>
        <v>1275000</v>
      </c>
      <c r="X68" s="277">
        <v>45923</v>
      </c>
      <c r="Y68" s="255">
        <v>1275000</v>
      </c>
      <c r="Z68" s="262" t="s">
        <v>87</v>
      </c>
      <c r="AA68" s="257"/>
      <c r="AB68" s="258"/>
      <c r="AC68" s="259"/>
      <c r="AD68" s="278"/>
      <c r="AE68" s="279"/>
      <c r="AF68" s="256"/>
      <c r="AG68" s="263"/>
      <c r="AH68" s="263"/>
      <c r="AI68" s="263"/>
      <c r="AJ68" s="264"/>
      <c r="AK68" s="258"/>
      <c r="AL68" s="265"/>
      <c r="AM68" s="258">
        <f t="shared" si="49"/>
        <v>1275000</v>
      </c>
      <c r="AN68" s="265">
        <f t="shared" si="50"/>
        <v>1275000</v>
      </c>
      <c r="AO68" s="266">
        <f>AN68</f>
        <v>1275000</v>
      </c>
      <c r="AP68" s="60"/>
    </row>
    <row r="69" spans="1:42" ht="12.75" customHeight="1">
      <c r="A69" s="29"/>
      <c r="B69" s="10">
        <v>66</v>
      </c>
      <c r="C69" s="238" t="s">
        <v>115</v>
      </c>
      <c r="D69" s="33"/>
      <c r="E69" s="33" t="s">
        <v>116</v>
      </c>
      <c r="F69" s="33"/>
      <c r="G69" s="33"/>
      <c r="H69" s="33" t="s">
        <v>41</v>
      </c>
      <c r="I69" s="33" t="s">
        <v>42</v>
      </c>
      <c r="J69" s="35">
        <f t="shared" si="40"/>
        <v>7</v>
      </c>
      <c r="K69" s="36" t="s">
        <v>117</v>
      </c>
      <c r="L69" s="37">
        <v>46067</v>
      </c>
      <c r="M69" s="38">
        <v>46074</v>
      </c>
      <c r="N69" s="39">
        <f t="shared" si="41"/>
        <v>2950000</v>
      </c>
      <c r="O69" s="115">
        <v>0.15</v>
      </c>
      <c r="P69" s="39">
        <f t="shared" si="42"/>
        <v>442500</v>
      </c>
      <c r="Q69" s="42"/>
      <c r="R69" s="42">
        <f t="shared" si="43"/>
        <v>2507500</v>
      </c>
      <c r="S69" s="43">
        <f t="shared" si="44"/>
        <v>2107142.8571428573</v>
      </c>
      <c r="T69" s="44">
        <f t="shared" si="45"/>
        <v>46007</v>
      </c>
      <c r="U69" s="45">
        <f t="shared" si="46"/>
        <v>1253750</v>
      </c>
      <c r="V69" s="46">
        <f t="shared" si="47"/>
        <v>46037</v>
      </c>
      <c r="W69" s="47">
        <f t="shared" si="48"/>
        <v>1253750</v>
      </c>
      <c r="X69" s="54"/>
      <c r="Y69" s="49"/>
      <c r="Z69" s="56"/>
      <c r="AA69" s="53"/>
      <c r="AB69" s="52"/>
      <c r="AC69" s="53"/>
      <c r="AD69" s="280"/>
      <c r="AE69" s="233"/>
      <c r="AF69" s="50"/>
      <c r="AG69" s="53"/>
      <c r="AH69" s="53"/>
      <c r="AI69" s="53"/>
      <c r="AJ69" s="57"/>
      <c r="AK69" s="52"/>
      <c r="AL69" s="58"/>
      <c r="AM69" s="52">
        <f t="shared" si="49"/>
        <v>0</v>
      </c>
      <c r="AN69" s="58">
        <f t="shared" si="50"/>
        <v>2507500</v>
      </c>
      <c r="AO69" s="86">
        <f>SUM(AN69)</f>
        <v>2507500</v>
      </c>
      <c r="AP69" s="60"/>
    </row>
    <row r="70" spans="1:42" ht="12.75" customHeight="1">
      <c r="A70" s="29"/>
      <c r="B70" s="24">
        <v>67</v>
      </c>
      <c r="C70" s="243" t="s">
        <v>118</v>
      </c>
      <c r="D70" s="244" t="s">
        <v>119</v>
      </c>
      <c r="E70" s="244" t="s">
        <v>120</v>
      </c>
      <c r="F70" s="244" t="s">
        <v>41</v>
      </c>
      <c r="G70" s="244" t="s">
        <v>41</v>
      </c>
      <c r="H70" s="244" t="s">
        <v>41</v>
      </c>
      <c r="I70" s="244" t="s">
        <v>121</v>
      </c>
      <c r="J70" s="245">
        <f t="shared" si="40"/>
        <v>5</v>
      </c>
      <c r="K70" s="246" t="s">
        <v>122</v>
      </c>
      <c r="L70" s="247">
        <v>45943</v>
      </c>
      <c r="M70" s="248">
        <v>45948</v>
      </c>
      <c r="N70" s="39">
        <v>3010000</v>
      </c>
      <c r="O70" s="281"/>
      <c r="P70" s="39">
        <f t="shared" si="42"/>
        <v>0</v>
      </c>
      <c r="Q70" s="42"/>
      <c r="R70" s="42">
        <f t="shared" si="43"/>
        <v>3010000</v>
      </c>
      <c r="S70" s="43">
        <f t="shared" si="44"/>
        <v>2529411.7647058824</v>
      </c>
      <c r="T70" s="250">
        <f t="shared" si="45"/>
        <v>45883</v>
      </c>
      <c r="U70" s="251">
        <f t="shared" si="46"/>
        <v>1505000</v>
      </c>
      <c r="V70" s="252">
        <f t="shared" si="47"/>
        <v>45913</v>
      </c>
      <c r="W70" s="253">
        <f t="shared" si="48"/>
        <v>1505000</v>
      </c>
      <c r="X70" s="282">
        <v>45909</v>
      </c>
      <c r="Y70" s="255">
        <v>250000</v>
      </c>
      <c r="Z70" s="256" t="s">
        <v>43</v>
      </c>
      <c r="AA70" s="283">
        <v>45916</v>
      </c>
      <c r="AB70" s="258">
        <v>1255000</v>
      </c>
      <c r="AC70" s="259" t="s">
        <v>43</v>
      </c>
      <c r="AD70" s="284">
        <v>45945</v>
      </c>
      <c r="AE70" s="261">
        <f>1255000+250000</f>
        <v>1505000</v>
      </c>
      <c r="AF70" s="262" t="s">
        <v>69</v>
      </c>
      <c r="AG70" s="263"/>
      <c r="AH70" s="263"/>
      <c r="AI70" s="263"/>
      <c r="AJ70" s="264"/>
      <c r="AK70" s="258"/>
      <c r="AL70" s="265"/>
      <c r="AM70" s="258">
        <f t="shared" si="49"/>
        <v>3010000</v>
      </c>
      <c r="AN70" s="258">
        <f t="shared" si="50"/>
        <v>0</v>
      </c>
      <c r="AO70" s="86"/>
      <c r="AP70" s="60"/>
    </row>
    <row r="71" spans="1:42" ht="12.75" customHeight="1">
      <c r="A71" s="29"/>
      <c r="B71" s="10">
        <v>68</v>
      </c>
      <c r="C71" s="238" t="s">
        <v>123</v>
      </c>
      <c r="D71" s="33" t="s">
        <v>124</v>
      </c>
      <c r="E71" s="33" t="s">
        <v>125</v>
      </c>
      <c r="F71" s="33" t="s">
        <v>41</v>
      </c>
      <c r="G71" s="33" t="s">
        <v>41</v>
      </c>
      <c r="H71" s="33" t="s">
        <v>41</v>
      </c>
      <c r="I71" s="33" t="s">
        <v>42</v>
      </c>
      <c r="J71" s="35">
        <f t="shared" si="40"/>
        <v>4</v>
      </c>
      <c r="K71" s="36" t="s">
        <v>126</v>
      </c>
      <c r="L71" s="37">
        <v>45960</v>
      </c>
      <c r="M71" s="38">
        <v>45964</v>
      </c>
      <c r="N71" s="39">
        <f t="shared" ref="N71:N96" si="51">IF(J71=3,(1350000))+IF(J71=4,(1750000))+IF(J71=5,(2150000))+IF(J71=6,(2550000))+IF(J71=7,(2950000))</f>
        <v>1750000</v>
      </c>
      <c r="O71" s="131"/>
      <c r="P71" s="39">
        <f t="shared" si="42"/>
        <v>0</v>
      </c>
      <c r="Q71" s="42"/>
      <c r="R71" s="42">
        <f t="shared" si="43"/>
        <v>1750000</v>
      </c>
      <c r="S71" s="43">
        <f t="shared" si="44"/>
        <v>1470588.2352941178</v>
      </c>
      <c r="T71" s="44">
        <f t="shared" si="45"/>
        <v>45900</v>
      </c>
      <c r="U71" s="45">
        <f t="shared" si="46"/>
        <v>875000</v>
      </c>
      <c r="V71" s="46">
        <f t="shared" si="47"/>
        <v>45930</v>
      </c>
      <c r="W71" s="47">
        <f t="shared" si="48"/>
        <v>875000</v>
      </c>
      <c r="X71" s="285">
        <v>45924</v>
      </c>
      <c r="Y71" s="49">
        <v>875000</v>
      </c>
      <c r="Z71" s="50" t="s">
        <v>87</v>
      </c>
      <c r="AA71" s="53"/>
      <c r="AB71" s="52"/>
      <c r="AC71" s="53"/>
      <c r="AD71" s="54"/>
      <c r="AE71" s="55"/>
      <c r="AF71" s="56"/>
      <c r="AG71" s="53"/>
      <c r="AH71" s="53"/>
      <c r="AI71" s="53"/>
      <c r="AJ71" s="57"/>
      <c r="AK71" s="52"/>
      <c r="AL71" s="58"/>
      <c r="AM71" s="52">
        <f t="shared" si="49"/>
        <v>875000</v>
      </c>
      <c r="AN71" s="52">
        <f t="shared" si="50"/>
        <v>875000</v>
      </c>
      <c r="AO71" s="286" t="str">
        <f t="shared" ref="AO71:AO103" si="52">CONCATENATE(IF(AP71&lt;0,IF(AP71&gt;-30,IF(AN71&gt;0,"T",""),""),IF(AP71&gt;0,IF(AN71&gt;0,"DEUDA",""),"")))</f>
        <v/>
      </c>
      <c r="AP71" s="60"/>
    </row>
    <row r="72" spans="1:42" ht="12.75" customHeight="1">
      <c r="A72" s="29"/>
      <c r="B72" s="16">
        <v>69</v>
      </c>
      <c r="C72" s="240" t="s">
        <v>123</v>
      </c>
      <c r="D72" s="241" t="s">
        <v>127</v>
      </c>
      <c r="E72" s="241"/>
      <c r="F72" s="241" t="s">
        <v>41</v>
      </c>
      <c r="G72" s="241" t="s">
        <v>41</v>
      </c>
      <c r="H72" s="241" t="s">
        <v>41</v>
      </c>
      <c r="I72" s="241" t="s">
        <v>42</v>
      </c>
      <c r="J72" s="94">
        <f t="shared" si="40"/>
        <v>4</v>
      </c>
      <c r="K72" s="95" t="s">
        <v>126</v>
      </c>
      <c r="L72" s="96">
        <v>45960</v>
      </c>
      <c r="M72" s="97">
        <v>45964</v>
      </c>
      <c r="N72" s="39">
        <f t="shared" si="51"/>
        <v>1750000</v>
      </c>
      <c r="O72" s="98"/>
      <c r="P72" s="39">
        <f t="shared" si="42"/>
        <v>0</v>
      </c>
      <c r="Q72" s="42"/>
      <c r="R72" s="42">
        <f t="shared" si="43"/>
        <v>1750000</v>
      </c>
      <c r="S72" s="43">
        <f t="shared" si="44"/>
        <v>1470588.2352941178</v>
      </c>
      <c r="T72" s="99">
        <f t="shared" si="45"/>
        <v>45900</v>
      </c>
      <c r="U72" s="100">
        <f t="shared" si="46"/>
        <v>875000</v>
      </c>
      <c r="V72" s="101">
        <f t="shared" si="47"/>
        <v>45930</v>
      </c>
      <c r="W72" s="102">
        <f t="shared" si="48"/>
        <v>875000</v>
      </c>
      <c r="X72" s="287">
        <v>45914</v>
      </c>
      <c r="Y72" s="104">
        <v>875000</v>
      </c>
      <c r="Z72" s="105" t="s">
        <v>51</v>
      </c>
      <c r="AA72" s="129"/>
      <c r="AB72" s="107"/>
      <c r="AC72" s="123"/>
      <c r="AD72" s="288"/>
      <c r="AE72" s="221"/>
      <c r="AF72" s="105"/>
      <c r="AG72" s="122"/>
      <c r="AH72" s="123"/>
      <c r="AI72" s="123"/>
      <c r="AJ72" s="112"/>
      <c r="AK72" s="107"/>
      <c r="AL72" s="113"/>
      <c r="AM72" s="107">
        <f t="shared" si="49"/>
        <v>875000</v>
      </c>
      <c r="AN72" s="107">
        <f t="shared" si="50"/>
        <v>875000</v>
      </c>
      <c r="AO72" s="289" t="str">
        <f t="shared" si="52"/>
        <v/>
      </c>
      <c r="AP72" s="60"/>
    </row>
    <row r="73" spans="1:42" ht="12.75" customHeight="1">
      <c r="A73" s="29"/>
      <c r="B73" s="30">
        <v>70</v>
      </c>
      <c r="C73" s="238" t="s">
        <v>128</v>
      </c>
      <c r="D73" s="33" t="s">
        <v>129</v>
      </c>
      <c r="E73" s="33" t="s">
        <v>130</v>
      </c>
      <c r="F73" s="33" t="s">
        <v>41</v>
      </c>
      <c r="G73" s="33" t="s">
        <v>41</v>
      </c>
      <c r="H73" s="33" t="s">
        <v>41</v>
      </c>
      <c r="I73" s="33" t="s">
        <v>42</v>
      </c>
      <c r="J73" s="35">
        <f t="shared" si="40"/>
        <v>4</v>
      </c>
      <c r="K73" s="36" t="s">
        <v>131</v>
      </c>
      <c r="L73" s="37">
        <v>45945</v>
      </c>
      <c r="M73" s="38">
        <v>45949</v>
      </c>
      <c r="N73" s="39">
        <f t="shared" si="51"/>
        <v>1750000</v>
      </c>
      <c r="O73" s="115"/>
      <c r="P73" s="39">
        <f t="shared" si="42"/>
        <v>0</v>
      </c>
      <c r="Q73" s="42"/>
      <c r="R73" s="42">
        <f t="shared" si="43"/>
        <v>1750000</v>
      </c>
      <c r="S73" s="43">
        <f t="shared" si="44"/>
        <v>1470588.2352941178</v>
      </c>
      <c r="T73" s="44">
        <f t="shared" si="45"/>
        <v>45885</v>
      </c>
      <c r="U73" s="45">
        <f t="shared" si="46"/>
        <v>875000</v>
      </c>
      <c r="V73" s="46">
        <f t="shared" si="47"/>
        <v>45915</v>
      </c>
      <c r="W73" s="47">
        <f t="shared" si="48"/>
        <v>875000</v>
      </c>
      <c r="X73" s="232">
        <v>45912</v>
      </c>
      <c r="Y73" s="49">
        <v>1750000</v>
      </c>
      <c r="Z73" s="50" t="s">
        <v>51</v>
      </c>
      <c r="AA73" s="53"/>
      <c r="AB73" s="52"/>
      <c r="AC73" s="53"/>
      <c r="AD73" s="54"/>
      <c r="AE73" s="55"/>
      <c r="AF73" s="56"/>
      <c r="AG73" s="53"/>
      <c r="AH73" s="53"/>
      <c r="AI73" s="53"/>
      <c r="AJ73" s="57"/>
      <c r="AK73" s="52"/>
      <c r="AL73" s="58"/>
      <c r="AM73" s="52">
        <f t="shared" si="49"/>
        <v>1750000</v>
      </c>
      <c r="AN73" s="52">
        <f t="shared" si="50"/>
        <v>0</v>
      </c>
      <c r="AO73" s="286" t="str">
        <f t="shared" si="52"/>
        <v/>
      </c>
      <c r="AP73" s="60"/>
    </row>
    <row r="74" spans="1:42" ht="12.75" customHeight="1">
      <c r="A74" s="29"/>
      <c r="B74" s="90">
        <v>71</v>
      </c>
      <c r="C74" s="240" t="s">
        <v>128</v>
      </c>
      <c r="D74" s="241" t="s">
        <v>132</v>
      </c>
      <c r="E74" s="241"/>
      <c r="F74" s="241" t="s">
        <v>41</v>
      </c>
      <c r="G74" s="241" t="s">
        <v>41</v>
      </c>
      <c r="H74" s="241" t="s">
        <v>41</v>
      </c>
      <c r="I74" s="241" t="s">
        <v>42</v>
      </c>
      <c r="J74" s="94">
        <f t="shared" si="40"/>
        <v>4</v>
      </c>
      <c r="K74" s="95" t="s">
        <v>131</v>
      </c>
      <c r="L74" s="96">
        <v>45945</v>
      </c>
      <c r="M74" s="97">
        <v>45949</v>
      </c>
      <c r="N74" s="39">
        <f t="shared" si="51"/>
        <v>1750000</v>
      </c>
      <c r="O74" s="98"/>
      <c r="P74" s="39">
        <f t="shared" si="42"/>
        <v>0</v>
      </c>
      <c r="Q74" s="42"/>
      <c r="R74" s="42">
        <f t="shared" si="43"/>
        <v>1750000</v>
      </c>
      <c r="S74" s="43">
        <f t="shared" si="44"/>
        <v>1470588.2352941178</v>
      </c>
      <c r="T74" s="99">
        <f t="shared" si="45"/>
        <v>45885</v>
      </c>
      <c r="U74" s="100">
        <f t="shared" si="46"/>
        <v>875000</v>
      </c>
      <c r="V74" s="101">
        <f t="shared" si="47"/>
        <v>45915</v>
      </c>
      <c r="W74" s="102">
        <f t="shared" si="48"/>
        <v>875000</v>
      </c>
      <c r="X74" s="124">
        <v>45912</v>
      </c>
      <c r="Y74" s="104">
        <v>875000</v>
      </c>
      <c r="Z74" s="105" t="s">
        <v>51</v>
      </c>
      <c r="AA74" s="108"/>
      <c r="AB74" s="107"/>
      <c r="AC74" s="108"/>
      <c r="AD74" s="109"/>
      <c r="AE74" s="110"/>
      <c r="AF74" s="111"/>
      <c r="AG74" s="108"/>
      <c r="AH74" s="108"/>
      <c r="AI74" s="108"/>
      <c r="AJ74" s="112"/>
      <c r="AK74" s="107"/>
      <c r="AL74" s="113"/>
      <c r="AM74" s="107">
        <f t="shared" si="49"/>
        <v>875000</v>
      </c>
      <c r="AN74" s="107">
        <f t="shared" si="50"/>
        <v>875000</v>
      </c>
      <c r="AO74" s="289" t="str">
        <f t="shared" si="52"/>
        <v/>
      </c>
      <c r="AP74" s="60"/>
    </row>
    <row r="75" spans="1:42" ht="12.75" customHeight="1">
      <c r="A75" s="29"/>
      <c r="B75" s="30">
        <v>72</v>
      </c>
      <c r="C75" s="238" t="s">
        <v>133</v>
      </c>
      <c r="D75" s="33" t="s">
        <v>134</v>
      </c>
      <c r="E75" s="33" t="s">
        <v>135</v>
      </c>
      <c r="F75" s="33" t="s">
        <v>41</v>
      </c>
      <c r="G75" s="33" t="s">
        <v>41</v>
      </c>
      <c r="H75" s="33" t="s">
        <v>41</v>
      </c>
      <c r="I75" s="33" t="s">
        <v>42</v>
      </c>
      <c r="J75" s="35">
        <f t="shared" si="40"/>
        <v>3</v>
      </c>
      <c r="K75" s="36" t="s">
        <v>136</v>
      </c>
      <c r="L75" s="37">
        <v>46017</v>
      </c>
      <c r="M75" s="38">
        <v>46020</v>
      </c>
      <c r="N75" s="39">
        <f t="shared" si="51"/>
        <v>1350000</v>
      </c>
      <c r="O75" s="115">
        <v>0.15</v>
      </c>
      <c r="P75" s="39">
        <f t="shared" si="42"/>
        <v>202500</v>
      </c>
      <c r="Q75" s="42"/>
      <c r="R75" s="42">
        <f t="shared" si="43"/>
        <v>1147500</v>
      </c>
      <c r="S75" s="43">
        <f t="shared" si="44"/>
        <v>964285.71428571432</v>
      </c>
      <c r="T75" s="44">
        <f t="shared" si="45"/>
        <v>45957</v>
      </c>
      <c r="U75" s="45">
        <f t="shared" si="46"/>
        <v>573750</v>
      </c>
      <c r="V75" s="46">
        <f t="shared" si="47"/>
        <v>45987</v>
      </c>
      <c r="W75" s="47">
        <f t="shared" si="48"/>
        <v>573750</v>
      </c>
      <c r="X75" s="232">
        <v>45933</v>
      </c>
      <c r="Y75" s="49">
        <v>573750</v>
      </c>
      <c r="Z75" s="50" t="s">
        <v>87</v>
      </c>
      <c r="AA75" s="53"/>
      <c r="AB75" s="52"/>
      <c r="AC75" s="53"/>
      <c r="AD75" s="54"/>
      <c r="AE75" s="55"/>
      <c r="AF75" s="56"/>
      <c r="AG75" s="53"/>
      <c r="AH75" s="53"/>
      <c r="AI75" s="53"/>
      <c r="AJ75" s="57"/>
      <c r="AK75" s="52"/>
      <c r="AL75" s="58"/>
      <c r="AM75" s="52">
        <f t="shared" si="49"/>
        <v>573750</v>
      </c>
      <c r="AN75" s="52">
        <f t="shared" si="50"/>
        <v>573750</v>
      </c>
      <c r="AO75" s="286" t="str">
        <f t="shared" si="52"/>
        <v/>
      </c>
      <c r="AP75" s="60"/>
    </row>
    <row r="76" spans="1:42" ht="12.75" customHeight="1">
      <c r="A76" s="29"/>
      <c r="B76" s="61">
        <v>73</v>
      </c>
      <c r="C76" s="268" t="s">
        <v>133</v>
      </c>
      <c r="D76" s="269"/>
      <c r="E76" s="269"/>
      <c r="F76" s="269" t="s">
        <v>41</v>
      </c>
      <c r="G76" s="269" t="s">
        <v>41</v>
      </c>
      <c r="H76" s="269" t="s">
        <v>41</v>
      </c>
      <c r="I76" s="269" t="s">
        <v>42</v>
      </c>
      <c r="J76" s="65">
        <f t="shared" si="40"/>
        <v>3</v>
      </c>
      <c r="K76" s="66" t="s">
        <v>136</v>
      </c>
      <c r="L76" s="67">
        <v>46017</v>
      </c>
      <c r="M76" s="68">
        <v>46020</v>
      </c>
      <c r="N76" s="39">
        <f t="shared" si="51"/>
        <v>1350000</v>
      </c>
      <c r="O76" s="69">
        <v>0.15</v>
      </c>
      <c r="P76" s="39">
        <f t="shared" si="42"/>
        <v>202500</v>
      </c>
      <c r="Q76" s="42"/>
      <c r="R76" s="42">
        <f t="shared" si="43"/>
        <v>1147500</v>
      </c>
      <c r="S76" s="43">
        <f t="shared" si="44"/>
        <v>964285.71428571432</v>
      </c>
      <c r="T76" s="71">
        <f t="shared" si="45"/>
        <v>45957</v>
      </c>
      <c r="U76" s="72">
        <f t="shared" si="46"/>
        <v>573750</v>
      </c>
      <c r="V76" s="73">
        <f t="shared" si="47"/>
        <v>45987</v>
      </c>
      <c r="W76" s="74">
        <f t="shared" si="48"/>
        <v>573750</v>
      </c>
      <c r="X76" s="75">
        <v>45933</v>
      </c>
      <c r="Y76" s="76">
        <v>573750</v>
      </c>
      <c r="Z76" s="77" t="s">
        <v>51</v>
      </c>
      <c r="AA76" s="80"/>
      <c r="AB76" s="79"/>
      <c r="AC76" s="80"/>
      <c r="AD76" s="81"/>
      <c r="AE76" s="82"/>
      <c r="AF76" s="83"/>
      <c r="AG76" s="80"/>
      <c r="AH76" s="80"/>
      <c r="AI76" s="80"/>
      <c r="AJ76" s="84"/>
      <c r="AK76" s="79"/>
      <c r="AL76" s="85"/>
      <c r="AM76" s="79">
        <f t="shared" si="49"/>
        <v>573750</v>
      </c>
      <c r="AN76" s="79">
        <f t="shared" si="50"/>
        <v>573750</v>
      </c>
      <c r="AO76" s="290" t="str">
        <f t="shared" si="52"/>
        <v/>
      </c>
      <c r="AP76" s="60"/>
    </row>
    <row r="77" spans="1:42" ht="12.75" customHeight="1">
      <c r="A77" s="29"/>
      <c r="B77" s="90">
        <v>74</v>
      </c>
      <c r="C77" s="240" t="s">
        <v>133</v>
      </c>
      <c r="D77" s="241"/>
      <c r="E77" s="241"/>
      <c r="F77" s="241" t="s">
        <v>41</v>
      </c>
      <c r="G77" s="241" t="s">
        <v>41</v>
      </c>
      <c r="H77" s="241" t="s">
        <v>41</v>
      </c>
      <c r="I77" s="241" t="s">
        <v>42</v>
      </c>
      <c r="J77" s="94">
        <f t="shared" si="40"/>
        <v>3</v>
      </c>
      <c r="K77" s="95" t="s">
        <v>136</v>
      </c>
      <c r="L77" s="96">
        <v>46017</v>
      </c>
      <c r="M77" s="97">
        <v>46020</v>
      </c>
      <c r="N77" s="39">
        <f t="shared" si="51"/>
        <v>1350000</v>
      </c>
      <c r="O77" s="98">
        <v>0.15</v>
      </c>
      <c r="P77" s="39">
        <f t="shared" si="42"/>
        <v>202500</v>
      </c>
      <c r="Q77" s="42"/>
      <c r="R77" s="42">
        <f t="shared" si="43"/>
        <v>1147500</v>
      </c>
      <c r="S77" s="43">
        <f t="shared" si="44"/>
        <v>964285.71428571432</v>
      </c>
      <c r="T77" s="99">
        <f t="shared" si="45"/>
        <v>45957</v>
      </c>
      <c r="U77" s="100">
        <f t="shared" si="46"/>
        <v>573750</v>
      </c>
      <c r="V77" s="101">
        <f t="shared" si="47"/>
        <v>45987</v>
      </c>
      <c r="W77" s="102">
        <f t="shared" si="48"/>
        <v>573750</v>
      </c>
      <c r="X77" s="124">
        <v>45933</v>
      </c>
      <c r="Y77" s="104">
        <v>573750</v>
      </c>
      <c r="Z77" s="105" t="s">
        <v>51</v>
      </c>
      <c r="AA77" s="108"/>
      <c r="AB77" s="107"/>
      <c r="AC77" s="108"/>
      <c r="AD77" s="109"/>
      <c r="AE77" s="110"/>
      <c r="AF77" s="111"/>
      <c r="AG77" s="108"/>
      <c r="AH77" s="108"/>
      <c r="AI77" s="108"/>
      <c r="AJ77" s="112"/>
      <c r="AK77" s="107"/>
      <c r="AL77" s="113"/>
      <c r="AM77" s="107">
        <f t="shared" si="49"/>
        <v>573750</v>
      </c>
      <c r="AN77" s="107">
        <f t="shared" si="50"/>
        <v>573750</v>
      </c>
      <c r="AO77" s="289" t="str">
        <f t="shared" si="52"/>
        <v/>
      </c>
      <c r="AP77" s="60"/>
    </row>
    <row r="78" spans="1:42" ht="12.75" customHeight="1">
      <c r="A78" s="29"/>
      <c r="B78" s="30">
        <v>75</v>
      </c>
      <c r="C78" s="291" t="s">
        <v>137</v>
      </c>
      <c r="D78" s="4" t="s">
        <v>138</v>
      </c>
      <c r="E78" s="292" t="s">
        <v>139</v>
      </c>
      <c r="F78" s="33" t="s">
        <v>41</v>
      </c>
      <c r="G78" s="33" t="s">
        <v>41</v>
      </c>
      <c r="H78" s="33" t="s">
        <v>41</v>
      </c>
      <c r="I78" s="33" t="s">
        <v>42</v>
      </c>
      <c r="J78" s="35">
        <f t="shared" si="40"/>
        <v>4</v>
      </c>
      <c r="K78" s="51"/>
      <c r="L78" s="293">
        <v>45965</v>
      </c>
      <c r="M78" s="293">
        <v>45969</v>
      </c>
      <c r="N78" s="39">
        <f t="shared" si="51"/>
        <v>1750000</v>
      </c>
      <c r="O78" s="294">
        <v>0.15</v>
      </c>
      <c r="P78" s="39">
        <f t="shared" si="42"/>
        <v>262500</v>
      </c>
      <c r="Q78" s="295"/>
      <c r="R78" s="42">
        <f t="shared" si="43"/>
        <v>1487500</v>
      </c>
      <c r="S78" s="43">
        <f t="shared" si="44"/>
        <v>1250000</v>
      </c>
      <c r="T78" s="44">
        <f t="shared" si="45"/>
        <v>45905</v>
      </c>
      <c r="U78" s="45">
        <f t="shared" si="46"/>
        <v>743750</v>
      </c>
      <c r="V78" s="46">
        <f t="shared" si="47"/>
        <v>45935</v>
      </c>
      <c r="W78" s="47">
        <f t="shared" si="48"/>
        <v>743750</v>
      </c>
      <c r="X78" s="296">
        <v>45954</v>
      </c>
      <c r="Y78" s="297">
        <v>2975000</v>
      </c>
      <c r="Z78" s="56" t="s">
        <v>51</v>
      </c>
      <c r="AA78" s="51"/>
      <c r="AB78" s="127"/>
      <c r="AC78" s="127"/>
      <c r="AD78" s="54"/>
      <c r="AE78" s="55"/>
      <c r="AF78" s="56"/>
      <c r="AG78" s="53"/>
      <c r="AH78" s="53"/>
      <c r="AI78" s="53"/>
      <c r="AJ78" s="57"/>
      <c r="AK78" s="52"/>
      <c r="AL78" s="58"/>
      <c r="AM78" s="52">
        <f t="shared" si="49"/>
        <v>2975000</v>
      </c>
      <c r="AN78" s="52">
        <f t="shared" si="50"/>
        <v>-1487500</v>
      </c>
      <c r="AO78" s="286" t="str">
        <f t="shared" si="52"/>
        <v/>
      </c>
      <c r="AP78" s="60"/>
    </row>
    <row r="79" spans="1:42" ht="12.75" customHeight="1">
      <c r="A79" s="29"/>
      <c r="B79" s="90">
        <v>76</v>
      </c>
      <c r="C79" s="298" t="s">
        <v>137</v>
      </c>
      <c r="D79" s="241"/>
      <c r="E79" s="241"/>
      <c r="F79" s="241" t="s">
        <v>41</v>
      </c>
      <c r="G79" s="241" t="s">
        <v>41</v>
      </c>
      <c r="H79" s="241" t="s">
        <v>41</v>
      </c>
      <c r="I79" s="241" t="s">
        <v>42</v>
      </c>
      <c r="J79" s="94">
        <f t="shared" si="40"/>
        <v>4</v>
      </c>
      <c r="K79" s="141"/>
      <c r="L79" s="299">
        <v>45965</v>
      </c>
      <c r="M79" s="299">
        <v>45969</v>
      </c>
      <c r="N79" s="39">
        <f t="shared" si="51"/>
        <v>1750000</v>
      </c>
      <c r="O79" s="128">
        <v>0.15</v>
      </c>
      <c r="P79" s="39">
        <f t="shared" si="42"/>
        <v>262500</v>
      </c>
      <c r="Q79" s="123"/>
      <c r="R79" s="42">
        <f t="shared" si="43"/>
        <v>1487500</v>
      </c>
      <c r="S79" s="43">
        <f t="shared" si="44"/>
        <v>1250000</v>
      </c>
      <c r="T79" s="99">
        <f t="shared" si="45"/>
        <v>45905</v>
      </c>
      <c r="U79" s="100">
        <f t="shared" si="46"/>
        <v>743750</v>
      </c>
      <c r="V79" s="101">
        <f t="shared" si="47"/>
        <v>45935</v>
      </c>
      <c r="W79" s="102">
        <f t="shared" si="48"/>
        <v>743750</v>
      </c>
      <c r="X79" s="124"/>
      <c r="Y79" s="300"/>
      <c r="Z79" s="105"/>
      <c r="AA79" s="141"/>
      <c r="AB79" s="123"/>
      <c r="AC79" s="123"/>
      <c r="AD79" s="124"/>
      <c r="AE79" s="221"/>
      <c r="AF79" s="105"/>
      <c r="AG79" s="108"/>
      <c r="AH79" s="108"/>
      <c r="AI79" s="108"/>
      <c r="AJ79" s="112"/>
      <c r="AK79" s="107"/>
      <c r="AL79" s="113"/>
      <c r="AM79" s="107">
        <f t="shared" si="49"/>
        <v>0</v>
      </c>
      <c r="AN79" s="107">
        <f t="shared" si="50"/>
        <v>1487500</v>
      </c>
      <c r="AO79" s="289" t="str">
        <f t="shared" si="52"/>
        <v/>
      </c>
      <c r="AP79" s="60"/>
    </row>
    <row r="80" spans="1:42" ht="12.75" customHeight="1">
      <c r="A80" s="29"/>
      <c r="B80" s="30">
        <v>77</v>
      </c>
      <c r="C80" s="291" t="s">
        <v>140</v>
      </c>
      <c r="D80" s="4" t="s">
        <v>141</v>
      </c>
      <c r="E80" s="292" t="s">
        <v>142</v>
      </c>
      <c r="F80" s="33" t="s">
        <v>41</v>
      </c>
      <c r="G80" s="33"/>
      <c r="H80" s="33" t="s">
        <v>41</v>
      </c>
      <c r="I80" s="33" t="s">
        <v>143</v>
      </c>
      <c r="J80" s="35">
        <f t="shared" si="40"/>
        <v>4</v>
      </c>
      <c r="K80" s="51"/>
      <c r="L80" s="293">
        <v>46009</v>
      </c>
      <c r="M80" s="293">
        <v>46013</v>
      </c>
      <c r="N80" s="39">
        <f t="shared" si="51"/>
        <v>1750000</v>
      </c>
      <c r="O80" s="294">
        <v>0.1</v>
      </c>
      <c r="P80" s="39">
        <f t="shared" si="42"/>
        <v>175000</v>
      </c>
      <c r="Q80" s="127"/>
      <c r="R80" s="42">
        <f t="shared" si="43"/>
        <v>1575000</v>
      </c>
      <c r="S80" s="43">
        <f t="shared" si="44"/>
        <v>1323529.411764706</v>
      </c>
      <c r="T80" s="44">
        <f t="shared" si="45"/>
        <v>45949</v>
      </c>
      <c r="U80" s="45">
        <f t="shared" si="46"/>
        <v>787500</v>
      </c>
      <c r="V80" s="46">
        <f t="shared" si="47"/>
        <v>45979</v>
      </c>
      <c r="W80" s="47">
        <f t="shared" si="48"/>
        <v>787500</v>
      </c>
      <c r="X80" s="301">
        <v>46002</v>
      </c>
      <c r="Y80" s="302">
        <v>1575000</v>
      </c>
      <c r="Z80" s="50" t="s">
        <v>51</v>
      </c>
      <c r="AA80" s="51"/>
      <c r="AB80" s="127"/>
      <c r="AC80" s="127"/>
      <c r="AD80" s="54"/>
      <c r="AE80" s="55"/>
      <c r="AF80" s="56"/>
      <c r="AG80" s="53"/>
      <c r="AH80" s="53"/>
      <c r="AI80" s="53"/>
      <c r="AJ80" s="57"/>
      <c r="AK80" s="52"/>
      <c r="AL80" s="58"/>
      <c r="AM80" s="52">
        <f t="shared" si="49"/>
        <v>1575000</v>
      </c>
      <c r="AN80" s="52">
        <f t="shared" si="50"/>
        <v>0</v>
      </c>
      <c r="AO80" s="286" t="str">
        <f t="shared" si="52"/>
        <v/>
      </c>
      <c r="AP80" s="60"/>
    </row>
    <row r="81" spans="1:42" ht="12.75" customHeight="1">
      <c r="A81" s="29"/>
      <c r="B81" s="90">
        <v>78</v>
      </c>
      <c r="C81" s="298" t="s">
        <v>140</v>
      </c>
      <c r="D81" s="241"/>
      <c r="E81" s="241"/>
      <c r="F81" s="241" t="s">
        <v>41</v>
      </c>
      <c r="G81" s="241"/>
      <c r="H81" s="241" t="s">
        <v>41</v>
      </c>
      <c r="I81" s="241" t="s">
        <v>143</v>
      </c>
      <c r="J81" s="94">
        <f t="shared" si="40"/>
        <v>4</v>
      </c>
      <c r="K81" s="141"/>
      <c r="L81" s="299">
        <v>46009</v>
      </c>
      <c r="M81" s="299">
        <v>46013</v>
      </c>
      <c r="N81" s="39">
        <f t="shared" si="51"/>
        <v>1750000</v>
      </c>
      <c r="O81" s="128">
        <v>0.1</v>
      </c>
      <c r="P81" s="39">
        <f t="shared" si="42"/>
        <v>175000</v>
      </c>
      <c r="Q81" s="123"/>
      <c r="R81" s="42">
        <f t="shared" si="43"/>
        <v>1575000</v>
      </c>
      <c r="S81" s="43">
        <f t="shared" si="44"/>
        <v>1323529.411764706</v>
      </c>
      <c r="T81" s="99">
        <f t="shared" si="45"/>
        <v>45949</v>
      </c>
      <c r="U81" s="100">
        <f t="shared" si="46"/>
        <v>787500</v>
      </c>
      <c r="V81" s="101">
        <f t="shared" si="47"/>
        <v>45979</v>
      </c>
      <c r="W81" s="102">
        <f t="shared" si="48"/>
        <v>787500</v>
      </c>
      <c r="X81" s="124">
        <v>46002</v>
      </c>
      <c r="Y81" s="300">
        <v>1575000</v>
      </c>
      <c r="Z81" s="105" t="s">
        <v>51</v>
      </c>
      <c r="AA81" s="108"/>
      <c r="AB81" s="108"/>
      <c r="AC81" s="108"/>
      <c r="AD81" s="109"/>
      <c r="AE81" s="110"/>
      <c r="AF81" s="111"/>
      <c r="AG81" s="108"/>
      <c r="AH81" s="108"/>
      <c r="AI81" s="108"/>
      <c r="AJ81" s="112"/>
      <c r="AK81" s="107"/>
      <c r="AL81" s="113"/>
      <c r="AM81" s="107">
        <f t="shared" si="49"/>
        <v>1575000</v>
      </c>
      <c r="AN81" s="107">
        <f t="shared" si="50"/>
        <v>0</v>
      </c>
      <c r="AO81" s="289" t="str">
        <f t="shared" si="52"/>
        <v/>
      </c>
      <c r="AP81" s="60"/>
    </row>
    <row r="82" spans="1:42" ht="12.75" customHeight="1">
      <c r="A82" s="29"/>
      <c r="B82" s="30">
        <v>79</v>
      </c>
      <c r="C82" s="291" t="s">
        <v>144</v>
      </c>
      <c r="D82" s="33" t="s">
        <v>145</v>
      </c>
      <c r="E82" s="33"/>
      <c r="F82" s="33"/>
      <c r="G82" s="33"/>
      <c r="H82" s="33" t="s">
        <v>41</v>
      </c>
      <c r="I82" s="33" t="s">
        <v>42</v>
      </c>
      <c r="J82" s="35">
        <f t="shared" si="40"/>
        <v>5</v>
      </c>
      <c r="K82" s="127"/>
      <c r="L82" s="303">
        <v>46116</v>
      </c>
      <c r="M82" s="293">
        <v>46121</v>
      </c>
      <c r="N82" s="39">
        <f t="shared" si="51"/>
        <v>2150000</v>
      </c>
      <c r="O82" s="294">
        <v>0.2</v>
      </c>
      <c r="P82" s="39">
        <f t="shared" si="42"/>
        <v>430000</v>
      </c>
      <c r="Q82" s="127"/>
      <c r="R82" s="42">
        <f t="shared" si="43"/>
        <v>1720000</v>
      </c>
      <c r="S82" s="43">
        <f t="shared" si="44"/>
        <v>1445378.1512605043</v>
      </c>
      <c r="T82" s="44">
        <f t="shared" si="45"/>
        <v>46056</v>
      </c>
      <c r="U82" s="45">
        <f t="shared" si="46"/>
        <v>860000</v>
      </c>
      <c r="V82" s="46">
        <f t="shared" si="47"/>
        <v>46086</v>
      </c>
      <c r="W82" s="47">
        <f t="shared" si="48"/>
        <v>860000</v>
      </c>
      <c r="X82" s="232"/>
      <c r="Y82" s="302"/>
      <c r="Z82" s="50"/>
      <c r="AA82" s="53"/>
      <c r="AB82" s="53"/>
      <c r="AC82" s="53"/>
      <c r="AD82" s="54"/>
      <c r="AE82" s="55"/>
      <c r="AF82" s="56"/>
      <c r="AG82" s="53"/>
      <c r="AH82" s="53"/>
      <c r="AI82" s="53"/>
      <c r="AJ82" s="57"/>
      <c r="AK82" s="52"/>
      <c r="AL82" s="58"/>
      <c r="AM82" s="52">
        <f t="shared" si="49"/>
        <v>0</v>
      </c>
      <c r="AN82" s="52">
        <f t="shared" si="50"/>
        <v>1720000</v>
      </c>
      <c r="AO82" s="286" t="str">
        <f t="shared" si="52"/>
        <v/>
      </c>
      <c r="AP82" s="60"/>
    </row>
    <row r="83" spans="1:42" ht="12.75" customHeight="1">
      <c r="A83" s="29"/>
      <c r="B83" s="61">
        <v>80</v>
      </c>
      <c r="C83" s="304" t="s">
        <v>144</v>
      </c>
      <c r="D83" s="269"/>
      <c r="E83" s="269"/>
      <c r="F83" s="269"/>
      <c r="G83" s="269"/>
      <c r="H83" s="269" t="s">
        <v>41</v>
      </c>
      <c r="I83" s="269" t="s">
        <v>42</v>
      </c>
      <c r="J83" s="223">
        <f t="shared" si="40"/>
        <v>5</v>
      </c>
      <c r="K83" s="78"/>
      <c r="L83" s="305">
        <v>46116</v>
      </c>
      <c r="M83" s="305">
        <v>46121</v>
      </c>
      <c r="N83" s="39">
        <f t="shared" si="51"/>
        <v>2150000</v>
      </c>
      <c r="O83" s="134">
        <v>0.2</v>
      </c>
      <c r="P83" s="39">
        <f t="shared" si="42"/>
        <v>430000</v>
      </c>
      <c r="Q83" s="8"/>
      <c r="R83" s="42">
        <f t="shared" si="43"/>
        <v>1720000</v>
      </c>
      <c r="S83" s="43">
        <f t="shared" si="44"/>
        <v>1445378.1512605043</v>
      </c>
      <c r="T83" s="71">
        <f t="shared" si="45"/>
        <v>46056</v>
      </c>
      <c r="U83" s="72">
        <f t="shared" si="46"/>
        <v>860000</v>
      </c>
      <c r="V83" s="73">
        <f t="shared" si="47"/>
        <v>46086</v>
      </c>
      <c r="W83" s="74">
        <f t="shared" si="48"/>
        <v>860000</v>
      </c>
      <c r="X83" s="306"/>
      <c r="Y83" s="235"/>
      <c r="Z83" s="77"/>
      <c r="AA83" s="307"/>
      <c r="AB83" s="8"/>
      <c r="AC83" s="8"/>
      <c r="AD83" s="81"/>
      <c r="AE83" s="82"/>
      <c r="AF83" s="83"/>
      <c r="AG83" s="80"/>
      <c r="AH83" s="80"/>
      <c r="AI83" s="80"/>
      <c r="AJ83" s="84"/>
      <c r="AK83" s="79"/>
      <c r="AL83" s="85"/>
      <c r="AM83" s="79">
        <f t="shared" si="49"/>
        <v>0</v>
      </c>
      <c r="AN83" s="79">
        <f t="shared" si="50"/>
        <v>1720000</v>
      </c>
      <c r="AO83" s="290" t="str">
        <f t="shared" si="52"/>
        <v/>
      </c>
      <c r="AP83" s="60"/>
    </row>
    <row r="84" spans="1:42" ht="12.75" customHeight="1">
      <c r="A84" s="29"/>
      <c r="B84" s="61">
        <v>81</v>
      </c>
      <c r="C84" s="304" t="s">
        <v>144</v>
      </c>
      <c r="D84" s="269"/>
      <c r="E84" s="269"/>
      <c r="F84" s="269"/>
      <c r="G84" s="269"/>
      <c r="H84" s="269" t="s">
        <v>41</v>
      </c>
      <c r="I84" s="269" t="s">
        <v>42</v>
      </c>
      <c r="J84" s="223">
        <f t="shared" si="40"/>
        <v>5</v>
      </c>
      <c r="K84" s="78"/>
      <c r="L84" s="305">
        <v>46116</v>
      </c>
      <c r="M84" s="305">
        <v>46121</v>
      </c>
      <c r="N84" s="39">
        <f t="shared" si="51"/>
        <v>2150000</v>
      </c>
      <c r="O84" s="308">
        <v>0.2</v>
      </c>
      <c r="P84" s="39">
        <f t="shared" si="42"/>
        <v>430000</v>
      </c>
      <c r="Q84" s="8"/>
      <c r="R84" s="42">
        <f t="shared" si="43"/>
        <v>1720000</v>
      </c>
      <c r="S84" s="43">
        <f t="shared" si="44"/>
        <v>1445378.1512605043</v>
      </c>
      <c r="T84" s="71">
        <f t="shared" si="45"/>
        <v>46056</v>
      </c>
      <c r="U84" s="72">
        <f t="shared" si="46"/>
        <v>860000</v>
      </c>
      <c r="V84" s="73">
        <f t="shared" si="47"/>
        <v>46086</v>
      </c>
      <c r="W84" s="74">
        <f t="shared" si="48"/>
        <v>860000</v>
      </c>
      <c r="X84" s="236"/>
      <c r="Y84" s="235"/>
      <c r="Z84" s="77"/>
      <c r="AA84" s="80"/>
      <c r="AB84" s="80"/>
      <c r="AC84" s="80"/>
      <c r="AD84" s="81"/>
      <c r="AE84" s="82"/>
      <c r="AF84" s="83"/>
      <c r="AG84" s="80"/>
      <c r="AH84" s="80"/>
      <c r="AI84" s="80"/>
      <c r="AJ84" s="84"/>
      <c r="AK84" s="79"/>
      <c r="AL84" s="85"/>
      <c r="AM84" s="79">
        <f t="shared" si="49"/>
        <v>0</v>
      </c>
      <c r="AN84" s="79">
        <f t="shared" si="50"/>
        <v>1720000</v>
      </c>
      <c r="AO84" s="290" t="str">
        <f t="shared" si="52"/>
        <v/>
      </c>
      <c r="AP84" s="60"/>
    </row>
    <row r="85" spans="1:42" ht="12.75" customHeight="1">
      <c r="A85" s="29"/>
      <c r="B85" s="61">
        <v>82</v>
      </c>
      <c r="C85" s="304" t="s">
        <v>144</v>
      </c>
      <c r="D85" s="269"/>
      <c r="E85" s="269"/>
      <c r="F85" s="269"/>
      <c r="G85" s="269"/>
      <c r="H85" s="269" t="s">
        <v>41</v>
      </c>
      <c r="I85" s="269" t="s">
        <v>42</v>
      </c>
      <c r="J85" s="223">
        <f t="shared" si="40"/>
        <v>5</v>
      </c>
      <c r="K85" s="78"/>
      <c r="L85" s="305">
        <v>46116</v>
      </c>
      <c r="M85" s="305">
        <v>46121</v>
      </c>
      <c r="N85" s="39">
        <f t="shared" si="51"/>
        <v>2150000</v>
      </c>
      <c r="O85" s="308">
        <v>0.2</v>
      </c>
      <c r="P85" s="39">
        <f t="shared" si="42"/>
        <v>430000</v>
      </c>
      <c r="Q85" s="8"/>
      <c r="R85" s="42">
        <f t="shared" si="43"/>
        <v>1720000</v>
      </c>
      <c r="S85" s="43">
        <f t="shared" si="44"/>
        <v>1445378.1512605043</v>
      </c>
      <c r="T85" s="71">
        <f t="shared" si="45"/>
        <v>46056</v>
      </c>
      <c r="U85" s="72">
        <f t="shared" si="46"/>
        <v>860000</v>
      </c>
      <c r="V85" s="73">
        <f t="shared" si="47"/>
        <v>46086</v>
      </c>
      <c r="W85" s="74">
        <f t="shared" si="48"/>
        <v>860000</v>
      </c>
      <c r="X85" s="236"/>
      <c r="Y85" s="235"/>
      <c r="Z85" s="77"/>
      <c r="AA85" s="234"/>
      <c r="AB85" s="8"/>
      <c r="AC85" s="8"/>
      <c r="AD85" s="81"/>
      <c r="AE85" s="82"/>
      <c r="AF85" s="83"/>
      <c r="AG85" s="80"/>
      <c r="AH85" s="80"/>
      <c r="AI85" s="80"/>
      <c r="AJ85" s="84"/>
      <c r="AK85" s="79"/>
      <c r="AL85" s="85"/>
      <c r="AM85" s="79">
        <f t="shared" si="49"/>
        <v>0</v>
      </c>
      <c r="AN85" s="79">
        <f t="shared" si="50"/>
        <v>1720000</v>
      </c>
      <c r="AO85" s="290" t="str">
        <f t="shared" si="52"/>
        <v/>
      </c>
      <c r="AP85" s="60"/>
    </row>
    <row r="86" spans="1:42" ht="12.75" customHeight="1">
      <c r="A86" s="29"/>
      <c r="B86" s="61">
        <v>83</v>
      </c>
      <c r="C86" s="304" t="s">
        <v>144</v>
      </c>
      <c r="D86" s="269"/>
      <c r="E86" s="269"/>
      <c r="F86" s="269"/>
      <c r="G86" s="269"/>
      <c r="H86" s="269" t="s">
        <v>41</v>
      </c>
      <c r="I86" s="269" t="s">
        <v>42</v>
      </c>
      <c r="J86" s="223">
        <f t="shared" si="40"/>
        <v>5</v>
      </c>
      <c r="K86" s="78"/>
      <c r="L86" s="305">
        <v>46116</v>
      </c>
      <c r="M86" s="305">
        <v>46121</v>
      </c>
      <c r="N86" s="39">
        <f t="shared" si="51"/>
        <v>2150000</v>
      </c>
      <c r="O86" s="134">
        <v>0.2</v>
      </c>
      <c r="P86" s="39">
        <f t="shared" si="42"/>
        <v>430000</v>
      </c>
      <c r="Q86" s="8"/>
      <c r="R86" s="42">
        <f t="shared" si="43"/>
        <v>1720000</v>
      </c>
      <c r="S86" s="43">
        <f t="shared" si="44"/>
        <v>1445378.1512605043</v>
      </c>
      <c r="T86" s="71">
        <f t="shared" si="45"/>
        <v>46056</v>
      </c>
      <c r="U86" s="72">
        <f t="shared" si="46"/>
        <v>860000</v>
      </c>
      <c r="V86" s="73">
        <f t="shared" si="47"/>
        <v>46086</v>
      </c>
      <c r="W86" s="74">
        <f t="shared" si="48"/>
        <v>860000</v>
      </c>
      <c r="X86" s="236"/>
      <c r="Y86" s="235"/>
      <c r="Z86" s="77"/>
      <c r="AA86" s="80"/>
      <c r="AB86" s="80"/>
      <c r="AC86" s="80"/>
      <c r="AD86" s="81"/>
      <c r="AE86" s="82"/>
      <c r="AF86" s="83"/>
      <c r="AG86" s="80"/>
      <c r="AH86" s="80"/>
      <c r="AI86" s="80"/>
      <c r="AJ86" s="84"/>
      <c r="AK86" s="79"/>
      <c r="AL86" s="85"/>
      <c r="AM86" s="79">
        <f t="shared" si="49"/>
        <v>0</v>
      </c>
      <c r="AN86" s="79">
        <f t="shared" si="50"/>
        <v>1720000</v>
      </c>
      <c r="AO86" s="290" t="str">
        <f t="shared" si="52"/>
        <v/>
      </c>
      <c r="AP86" s="60"/>
    </row>
    <row r="87" spans="1:42" ht="12.75" customHeight="1">
      <c r="A87" s="29"/>
      <c r="B87" s="61">
        <v>84</v>
      </c>
      <c r="C87" s="304" t="s">
        <v>144</v>
      </c>
      <c r="D87" s="269"/>
      <c r="E87" s="269"/>
      <c r="F87" s="269"/>
      <c r="G87" s="269"/>
      <c r="H87" s="269" t="s">
        <v>41</v>
      </c>
      <c r="I87" s="269" t="s">
        <v>42</v>
      </c>
      <c r="J87" s="223">
        <f t="shared" si="40"/>
        <v>5</v>
      </c>
      <c r="K87" s="78"/>
      <c r="L87" s="305">
        <v>46116</v>
      </c>
      <c r="M87" s="305">
        <v>46121</v>
      </c>
      <c r="N87" s="39">
        <f t="shared" si="51"/>
        <v>2150000</v>
      </c>
      <c r="O87" s="134">
        <v>0.2</v>
      </c>
      <c r="P87" s="39">
        <f t="shared" si="42"/>
        <v>430000</v>
      </c>
      <c r="Q87" s="8"/>
      <c r="R87" s="42">
        <f t="shared" si="43"/>
        <v>1720000</v>
      </c>
      <c r="S87" s="43">
        <f t="shared" si="44"/>
        <v>1445378.1512605043</v>
      </c>
      <c r="T87" s="71">
        <f t="shared" si="45"/>
        <v>46056</v>
      </c>
      <c r="U87" s="72">
        <f t="shared" si="46"/>
        <v>860000</v>
      </c>
      <c r="V87" s="73">
        <f t="shared" si="47"/>
        <v>46086</v>
      </c>
      <c r="W87" s="74">
        <f t="shared" si="48"/>
        <v>860000</v>
      </c>
      <c r="X87" s="179"/>
      <c r="Y87" s="235"/>
      <c r="Z87" s="77"/>
      <c r="AA87" s="80"/>
      <c r="AB87" s="80"/>
      <c r="AC87" s="80"/>
      <c r="AD87" s="81"/>
      <c r="AE87" s="82"/>
      <c r="AF87" s="83"/>
      <c r="AG87" s="80"/>
      <c r="AH87" s="80"/>
      <c r="AI87" s="80"/>
      <c r="AJ87" s="84"/>
      <c r="AK87" s="79"/>
      <c r="AL87" s="85"/>
      <c r="AM87" s="79">
        <f t="shared" si="49"/>
        <v>0</v>
      </c>
      <c r="AN87" s="79">
        <f t="shared" si="50"/>
        <v>1720000</v>
      </c>
      <c r="AO87" s="290" t="str">
        <f t="shared" si="52"/>
        <v/>
      </c>
      <c r="AP87" s="60"/>
    </row>
    <row r="88" spans="1:42" ht="14">
      <c r="A88" s="29"/>
      <c r="B88" s="61">
        <v>85</v>
      </c>
      <c r="C88" s="304" t="s">
        <v>144</v>
      </c>
      <c r="D88" s="269"/>
      <c r="E88" s="269"/>
      <c r="F88" s="269"/>
      <c r="G88" s="269"/>
      <c r="H88" s="269" t="s">
        <v>41</v>
      </c>
      <c r="I88" s="269" t="s">
        <v>42</v>
      </c>
      <c r="J88" s="223">
        <f t="shared" si="40"/>
        <v>5</v>
      </c>
      <c r="K88" s="78"/>
      <c r="L88" s="305">
        <v>46116</v>
      </c>
      <c r="M88" s="305">
        <v>46121</v>
      </c>
      <c r="N88" s="39">
        <f t="shared" si="51"/>
        <v>2150000</v>
      </c>
      <c r="O88" s="134">
        <v>0.2</v>
      </c>
      <c r="P88" s="39">
        <f t="shared" si="42"/>
        <v>430000</v>
      </c>
      <c r="Q88" s="8"/>
      <c r="R88" s="42">
        <f t="shared" si="43"/>
        <v>1720000</v>
      </c>
      <c r="S88" s="43">
        <f t="shared" si="44"/>
        <v>1445378.1512605043</v>
      </c>
      <c r="T88" s="71">
        <f t="shared" si="45"/>
        <v>46056</v>
      </c>
      <c r="U88" s="72">
        <f t="shared" si="46"/>
        <v>860000</v>
      </c>
      <c r="V88" s="73">
        <f t="shared" si="47"/>
        <v>46086</v>
      </c>
      <c r="W88" s="74">
        <f t="shared" si="48"/>
        <v>860000</v>
      </c>
      <c r="X88" s="179"/>
      <c r="Y88" s="235"/>
      <c r="Z88" s="77"/>
      <c r="AA88" s="78"/>
      <c r="AB88" s="8"/>
      <c r="AC88" s="8"/>
      <c r="AD88" s="81"/>
      <c r="AE88" s="82"/>
      <c r="AF88" s="83"/>
      <c r="AG88" s="80"/>
      <c r="AH88" s="80"/>
      <c r="AI88" s="80"/>
      <c r="AJ88" s="84"/>
      <c r="AK88" s="79"/>
      <c r="AL88" s="85"/>
      <c r="AM88" s="79">
        <f t="shared" si="49"/>
        <v>0</v>
      </c>
      <c r="AN88" s="79">
        <f t="shared" si="50"/>
        <v>1720000</v>
      </c>
      <c r="AO88" s="290" t="str">
        <f t="shared" si="52"/>
        <v/>
      </c>
      <c r="AP88" s="60"/>
    </row>
    <row r="89" spans="1:42" ht="14">
      <c r="A89" s="29"/>
      <c r="B89" s="61">
        <v>86</v>
      </c>
      <c r="C89" s="304" t="s">
        <v>144</v>
      </c>
      <c r="D89" s="269"/>
      <c r="E89" s="269"/>
      <c r="F89" s="269"/>
      <c r="G89" s="269"/>
      <c r="H89" s="269" t="s">
        <v>41</v>
      </c>
      <c r="I89" s="269" t="s">
        <v>42</v>
      </c>
      <c r="J89" s="223">
        <f t="shared" si="40"/>
        <v>5</v>
      </c>
      <c r="K89" s="78"/>
      <c r="L89" s="305">
        <v>46116</v>
      </c>
      <c r="M89" s="305">
        <v>46121</v>
      </c>
      <c r="N89" s="39">
        <f t="shared" si="51"/>
        <v>2150000</v>
      </c>
      <c r="O89" s="134">
        <v>0.2</v>
      </c>
      <c r="P89" s="39">
        <f t="shared" si="42"/>
        <v>430000</v>
      </c>
      <c r="Q89" s="80"/>
      <c r="R89" s="42">
        <f t="shared" si="43"/>
        <v>1720000</v>
      </c>
      <c r="S89" s="43">
        <f t="shared" si="44"/>
        <v>1445378.1512605043</v>
      </c>
      <c r="T89" s="71">
        <f t="shared" si="45"/>
        <v>46056</v>
      </c>
      <c r="U89" s="72">
        <f t="shared" si="46"/>
        <v>860000</v>
      </c>
      <c r="V89" s="73">
        <f t="shared" si="47"/>
        <v>46086</v>
      </c>
      <c r="W89" s="74">
        <f t="shared" si="48"/>
        <v>860000</v>
      </c>
      <c r="X89" s="236"/>
      <c r="Y89" s="235"/>
      <c r="Z89" s="77"/>
      <c r="AA89" s="80"/>
      <c r="AB89" s="80"/>
      <c r="AC89" s="80"/>
      <c r="AD89" s="81"/>
      <c r="AE89" s="82"/>
      <c r="AF89" s="83"/>
      <c r="AG89" s="80"/>
      <c r="AH89" s="80"/>
      <c r="AI89" s="80"/>
      <c r="AJ89" s="84"/>
      <c r="AK89" s="79"/>
      <c r="AL89" s="85"/>
      <c r="AM89" s="79">
        <f t="shared" si="49"/>
        <v>0</v>
      </c>
      <c r="AN89" s="79">
        <f t="shared" si="50"/>
        <v>1720000</v>
      </c>
      <c r="AO89" s="290" t="str">
        <f t="shared" si="52"/>
        <v/>
      </c>
      <c r="AP89" s="60"/>
    </row>
    <row r="90" spans="1:42" ht="12.75" customHeight="1">
      <c r="A90" s="29"/>
      <c r="B90" s="61">
        <v>87</v>
      </c>
      <c r="C90" s="304" t="s">
        <v>144</v>
      </c>
      <c r="D90" s="269"/>
      <c r="E90" s="269"/>
      <c r="F90" s="269"/>
      <c r="G90" s="269"/>
      <c r="H90" s="269" t="s">
        <v>41</v>
      </c>
      <c r="I90" s="269" t="s">
        <v>42</v>
      </c>
      <c r="J90" s="223">
        <f t="shared" si="40"/>
        <v>5</v>
      </c>
      <c r="K90" s="78"/>
      <c r="L90" s="305">
        <v>46116</v>
      </c>
      <c r="M90" s="305">
        <v>46121</v>
      </c>
      <c r="N90" s="39">
        <f t="shared" si="51"/>
        <v>2150000</v>
      </c>
      <c r="O90" s="134">
        <v>0.2</v>
      </c>
      <c r="P90" s="39">
        <f t="shared" si="42"/>
        <v>430000</v>
      </c>
      <c r="Q90" s="8"/>
      <c r="R90" s="42">
        <f t="shared" si="43"/>
        <v>1720000</v>
      </c>
      <c r="S90" s="43">
        <f t="shared" si="44"/>
        <v>1445378.1512605043</v>
      </c>
      <c r="T90" s="71">
        <f t="shared" si="45"/>
        <v>46056</v>
      </c>
      <c r="U90" s="72">
        <f t="shared" si="46"/>
        <v>860000</v>
      </c>
      <c r="V90" s="73">
        <f t="shared" si="47"/>
        <v>46086</v>
      </c>
      <c r="W90" s="74">
        <f t="shared" si="48"/>
        <v>860000</v>
      </c>
      <c r="X90" s="81"/>
      <c r="Y90" s="309"/>
      <c r="Z90" s="83"/>
      <c r="AA90" s="80"/>
      <c r="AB90" s="80"/>
      <c r="AC90" s="80"/>
      <c r="AD90" s="81"/>
      <c r="AE90" s="82"/>
      <c r="AF90" s="83"/>
      <c r="AG90" s="80"/>
      <c r="AH90" s="80"/>
      <c r="AI90" s="80"/>
      <c r="AJ90" s="84"/>
      <c r="AK90" s="79"/>
      <c r="AL90" s="85"/>
      <c r="AM90" s="79">
        <f t="shared" si="49"/>
        <v>0</v>
      </c>
      <c r="AN90" s="79">
        <f t="shared" si="50"/>
        <v>1720000</v>
      </c>
      <c r="AO90" s="290" t="str">
        <f t="shared" si="52"/>
        <v/>
      </c>
      <c r="AP90" s="60"/>
    </row>
    <row r="91" spans="1:42" ht="12.75" customHeight="1">
      <c r="A91" s="29"/>
      <c r="B91" s="61">
        <v>88</v>
      </c>
      <c r="C91" s="304" t="s">
        <v>144</v>
      </c>
      <c r="D91" s="269"/>
      <c r="E91" s="269"/>
      <c r="F91" s="269"/>
      <c r="G91" s="269"/>
      <c r="H91" s="269" t="s">
        <v>41</v>
      </c>
      <c r="I91" s="269" t="s">
        <v>42</v>
      </c>
      <c r="J91" s="223">
        <f t="shared" si="40"/>
        <v>5</v>
      </c>
      <c r="K91" s="78"/>
      <c r="L91" s="305">
        <v>46116</v>
      </c>
      <c r="M91" s="305">
        <v>46121</v>
      </c>
      <c r="N91" s="39">
        <f t="shared" si="51"/>
        <v>2150000</v>
      </c>
      <c r="O91" s="134">
        <v>0.2</v>
      </c>
      <c r="P91" s="39">
        <f t="shared" si="42"/>
        <v>430000</v>
      </c>
      <c r="Q91" s="8"/>
      <c r="R91" s="42">
        <f t="shared" si="43"/>
        <v>1720000</v>
      </c>
      <c r="S91" s="43">
        <f t="shared" si="44"/>
        <v>1445378.1512605043</v>
      </c>
      <c r="T91" s="71">
        <f t="shared" si="45"/>
        <v>46056</v>
      </c>
      <c r="U91" s="72">
        <f t="shared" si="46"/>
        <v>860000</v>
      </c>
      <c r="V91" s="73">
        <f t="shared" si="47"/>
        <v>46086</v>
      </c>
      <c r="W91" s="74">
        <f t="shared" si="48"/>
        <v>860000</v>
      </c>
      <c r="X91" s="179"/>
      <c r="Y91" s="235"/>
      <c r="Z91" s="77"/>
      <c r="AA91" s="80"/>
      <c r="AB91" s="80"/>
      <c r="AC91" s="80"/>
      <c r="AD91" s="81"/>
      <c r="AE91" s="82"/>
      <c r="AF91" s="83"/>
      <c r="AG91" s="80"/>
      <c r="AH91" s="80"/>
      <c r="AI91" s="80"/>
      <c r="AJ91" s="84"/>
      <c r="AK91" s="79"/>
      <c r="AL91" s="85"/>
      <c r="AM91" s="79">
        <f t="shared" si="49"/>
        <v>0</v>
      </c>
      <c r="AN91" s="79">
        <f t="shared" si="50"/>
        <v>1720000</v>
      </c>
      <c r="AO91" s="290" t="str">
        <f t="shared" si="52"/>
        <v/>
      </c>
      <c r="AP91" s="60"/>
    </row>
    <row r="92" spans="1:42" ht="12.75" customHeight="1">
      <c r="A92" s="29"/>
      <c r="B92" s="61">
        <v>89</v>
      </c>
      <c r="C92" s="304" t="s">
        <v>144</v>
      </c>
      <c r="D92" s="269"/>
      <c r="E92" s="269"/>
      <c r="F92" s="269"/>
      <c r="G92" s="269"/>
      <c r="H92" s="269" t="s">
        <v>41</v>
      </c>
      <c r="I92" s="269" t="s">
        <v>42</v>
      </c>
      <c r="J92" s="223">
        <f t="shared" si="40"/>
        <v>5</v>
      </c>
      <c r="K92" s="78"/>
      <c r="L92" s="305">
        <v>46116</v>
      </c>
      <c r="M92" s="305">
        <v>46121</v>
      </c>
      <c r="N92" s="39">
        <f t="shared" si="51"/>
        <v>2150000</v>
      </c>
      <c r="O92" s="134">
        <v>0.2</v>
      </c>
      <c r="P92" s="39">
        <f t="shared" si="42"/>
        <v>430000</v>
      </c>
      <c r="Q92" s="8"/>
      <c r="R92" s="42">
        <f t="shared" si="43"/>
        <v>1720000</v>
      </c>
      <c r="S92" s="43">
        <f t="shared" si="44"/>
        <v>1445378.1512605043</v>
      </c>
      <c r="T92" s="71">
        <f t="shared" si="45"/>
        <v>46056</v>
      </c>
      <c r="U92" s="72">
        <f t="shared" si="46"/>
        <v>860000</v>
      </c>
      <c r="V92" s="73">
        <f t="shared" si="47"/>
        <v>46086</v>
      </c>
      <c r="W92" s="74">
        <f t="shared" si="48"/>
        <v>860000</v>
      </c>
      <c r="X92" s="179"/>
      <c r="Y92" s="235"/>
      <c r="Z92" s="77"/>
      <c r="AA92" s="80"/>
      <c r="AB92" s="80"/>
      <c r="AC92" s="80"/>
      <c r="AD92" s="81"/>
      <c r="AE92" s="82"/>
      <c r="AF92" s="83"/>
      <c r="AG92" s="80"/>
      <c r="AH92" s="80"/>
      <c r="AI92" s="80"/>
      <c r="AJ92" s="84"/>
      <c r="AK92" s="79"/>
      <c r="AL92" s="85"/>
      <c r="AM92" s="79">
        <f t="shared" si="49"/>
        <v>0</v>
      </c>
      <c r="AN92" s="79">
        <f t="shared" si="50"/>
        <v>1720000</v>
      </c>
      <c r="AO92" s="290" t="str">
        <f t="shared" si="52"/>
        <v/>
      </c>
      <c r="AP92" s="60"/>
    </row>
    <row r="93" spans="1:42" ht="12.75" customHeight="1">
      <c r="A93" s="29"/>
      <c r="B93" s="61">
        <v>90</v>
      </c>
      <c r="C93" s="304" t="s">
        <v>144</v>
      </c>
      <c r="D93" s="269"/>
      <c r="E93" s="269"/>
      <c r="F93" s="269"/>
      <c r="G93" s="269"/>
      <c r="H93" s="269" t="s">
        <v>41</v>
      </c>
      <c r="I93" s="269" t="s">
        <v>42</v>
      </c>
      <c r="J93" s="223">
        <f t="shared" si="40"/>
        <v>5</v>
      </c>
      <c r="K93" s="78"/>
      <c r="L93" s="305">
        <v>46116</v>
      </c>
      <c r="M93" s="305">
        <v>46121</v>
      </c>
      <c r="N93" s="39">
        <f t="shared" si="51"/>
        <v>2150000</v>
      </c>
      <c r="O93" s="134">
        <v>0.2</v>
      </c>
      <c r="P93" s="39">
        <f t="shared" si="42"/>
        <v>430000</v>
      </c>
      <c r="Q93" s="8"/>
      <c r="R93" s="42">
        <f t="shared" si="43"/>
        <v>1720000</v>
      </c>
      <c r="S93" s="43">
        <f t="shared" si="44"/>
        <v>1445378.1512605043</v>
      </c>
      <c r="T93" s="71">
        <f t="shared" si="45"/>
        <v>46056</v>
      </c>
      <c r="U93" s="72">
        <f t="shared" si="46"/>
        <v>860000</v>
      </c>
      <c r="V93" s="73">
        <f t="shared" si="47"/>
        <v>46086</v>
      </c>
      <c r="W93" s="74">
        <f t="shared" si="48"/>
        <v>860000</v>
      </c>
      <c r="X93" s="81"/>
      <c r="Y93" s="309"/>
      <c r="Z93" s="83"/>
      <c r="AA93" s="80"/>
      <c r="AB93" s="80"/>
      <c r="AC93" s="80"/>
      <c r="AD93" s="81"/>
      <c r="AE93" s="82"/>
      <c r="AF93" s="83"/>
      <c r="AG93" s="80"/>
      <c r="AH93" s="80"/>
      <c r="AI93" s="80"/>
      <c r="AJ93" s="84"/>
      <c r="AK93" s="79"/>
      <c r="AL93" s="85"/>
      <c r="AM93" s="79">
        <f t="shared" si="49"/>
        <v>0</v>
      </c>
      <c r="AN93" s="79">
        <f t="shared" si="50"/>
        <v>1720000</v>
      </c>
      <c r="AO93" s="290" t="str">
        <f t="shared" si="52"/>
        <v/>
      </c>
      <c r="AP93" s="60"/>
    </row>
    <row r="94" spans="1:42" ht="12.75" customHeight="1">
      <c r="A94" s="29"/>
      <c r="B94" s="61">
        <v>91</v>
      </c>
      <c r="C94" s="304" t="s">
        <v>144</v>
      </c>
      <c r="D94" s="269"/>
      <c r="E94" s="269"/>
      <c r="F94" s="269"/>
      <c r="G94" s="269"/>
      <c r="H94" s="269" t="s">
        <v>41</v>
      </c>
      <c r="I94" s="269" t="s">
        <v>42</v>
      </c>
      <c r="J94" s="223">
        <f t="shared" si="40"/>
        <v>5</v>
      </c>
      <c r="K94" s="78"/>
      <c r="L94" s="305">
        <v>46116</v>
      </c>
      <c r="M94" s="305">
        <v>46121</v>
      </c>
      <c r="N94" s="39">
        <f t="shared" si="51"/>
        <v>2150000</v>
      </c>
      <c r="O94" s="134">
        <v>0.2</v>
      </c>
      <c r="P94" s="39">
        <f t="shared" si="42"/>
        <v>430000</v>
      </c>
      <c r="Q94" s="8"/>
      <c r="R94" s="42">
        <f t="shared" si="43"/>
        <v>1720000</v>
      </c>
      <c r="S94" s="43">
        <f t="shared" si="44"/>
        <v>1445378.1512605043</v>
      </c>
      <c r="T94" s="71">
        <f t="shared" si="45"/>
        <v>46056</v>
      </c>
      <c r="U94" s="72">
        <f t="shared" si="46"/>
        <v>860000</v>
      </c>
      <c r="V94" s="73">
        <f t="shared" si="47"/>
        <v>46086</v>
      </c>
      <c r="W94" s="74">
        <f t="shared" si="48"/>
        <v>860000</v>
      </c>
      <c r="X94" s="179"/>
      <c r="Y94" s="235"/>
      <c r="Z94" s="77"/>
      <c r="AA94" s="78"/>
      <c r="AB94" s="8"/>
      <c r="AC94" s="8"/>
      <c r="AD94" s="81"/>
      <c r="AE94" s="82"/>
      <c r="AF94" s="83"/>
      <c r="AG94" s="80"/>
      <c r="AH94" s="80"/>
      <c r="AI94" s="80"/>
      <c r="AJ94" s="84"/>
      <c r="AK94" s="79"/>
      <c r="AL94" s="85"/>
      <c r="AM94" s="79">
        <f t="shared" si="49"/>
        <v>0</v>
      </c>
      <c r="AN94" s="79">
        <f t="shared" si="50"/>
        <v>1720000</v>
      </c>
      <c r="AO94" s="290" t="str">
        <f t="shared" si="52"/>
        <v/>
      </c>
      <c r="AP94" s="60"/>
    </row>
    <row r="95" spans="1:42" ht="12.75" customHeight="1">
      <c r="A95" s="29"/>
      <c r="B95" s="61">
        <v>92</v>
      </c>
      <c r="C95" s="304" t="s">
        <v>144</v>
      </c>
      <c r="D95" s="269"/>
      <c r="E95" s="269"/>
      <c r="F95" s="269"/>
      <c r="G95" s="269"/>
      <c r="H95" s="269" t="s">
        <v>41</v>
      </c>
      <c r="I95" s="269" t="s">
        <v>42</v>
      </c>
      <c r="J95" s="223">
        <f t="shared" si="40"/>
        <v>5</v>
      </c>
      <c r="K95" s="78"/>
      <c r="L95" s="305">
        <v>46116</v>
      </c>
      <c r="M95" s="305">
        <v>46121</v>
      </c>
      <c r="N95" s="39">
        <f t="shared" si="51"/>
        <v>2150000</v>
      </c>
      <c r="O95" s="134">
        <v>0.2</v>
      </c>
      <c r="P95" s="39">
        <f t="shared" si="42"/>
        <v>430000</v>
      </c>
      <c r="Q95" s="8"/>
      <c r="R95" s="42">
        <f t="shared" si="43"/>
        <v>1720000</v>
      </c>
      <c r="S95" s="43">
        <f t="shared" si="44"/>
        <v>1445378.1512605043</v>
      </c>
      <c r="T95" s="71">
        <f t="shared" si="45"/>
        <v>46056</v>
      </c>
      <c r="U95" s="72">
        <f t="shared" si="46"/>
        <v>860000</v>
      </c>
      <c r="V95" s="73">
        <f t="shared" si="47"/>
        <v>46086</v>
      </c>
      <c r="W95" s="74">
        <f t="shared" si="48"/>
        <v>860000</v>
      </c>
      <c r="X95" s="306"/>
      <c r="Y95" s="235"/>
      <c r="Z95" s="77"/>
      <c r="AA95" s="80"/>
      <c r="AB95" s="80"/>
      <c r="AC95" s="80"/>
      <c r="AD95" s="81"/>
      <c r="AE95" s="82"/>
      <c r="AF95" s="83"/>
      <c r="AG95" s="80"/>
      <c r="AH95" s="80"/>
      <c r="AI95" s="80"/>
      <c r="AJ95" s="84"/>
      <c r="AK95" s="79"/>
      <c r="AL95" s="85"/>
      <c r="AM95" s="79">
        <f t="shared" si="49"/>
        <v>0</v>
      </c>
      <c r="AN95" s="79">
        <f t="shared" si="50"/>
        <v>1720000</v>
      </c>
      <c r="AO95" s="290" t="str">
        <f t="shared" si="52"/>
        <v/>
      </c>
      <c r="AP95" s="60"/>
    </row>
    <row r="96" spans="1:42" ht="12.75" customHeight="1">
      <c r="A96" s="29"/>
      <c r="B96" s="90">
        <v>93</v>
      </c>
      <c r="C96" s="298" t="s">
        <v>144</v>
      </c>
      <c r="D96" s="241"/>
      <c r="E96" s="241"/>
      <c r="F96" s="241"/>
      <c r="G96" s="241"/>
      <c r="H96" s="241" t="s">
        <v>41</v>
      </c>
      <c r="I96" s="241" t="s">
        <v>42</v>
      </c>
      <c r="J96" s="310">
        <f t="shared" si="40"/>
        <v>5</v>
      </c>
      <c r="K96" s="141"/>
      <c r="L96" s="299">
        <v>46116</v>
      </c>
      <c r="M96" s="299">
        <v>46121</v>
      </c>
      <c r="N96" s="39">
        <f t="shared" si="51"/>
        <v>2150000</v>
      </c>
      <c r="O96" s="140">
        <v>0.2</v>
      </c>
      <c r="P96" s="39">
        <f t="shared" si="42"/>
        <v>430000</v>
      </c>
      <c r="Q96" s="123"/>
      <c r="R96" s="42">
        <f t="shared" si="43"/>
        <v>1720000</v>
      </c>
      <c r="S96" s="43">
        <f t="shared" si="44"/>
        <v>1445378.1512605043</v>
      </c>
      <c r="T96" s="99">
        <f t="shared" si="45"/>
        <v>46056</v>
      </c>
      <c r="U96" s="100">
        <f t="shared" si="46"/>
        <v>860000</v>
      </c>
      <c r="V96" s="101">
        <f t="shared" si="47"/>
        <v>46086</v>
      </c>
      <c r="W96" s="102">
        <f t="shared" si="48"/>
        <v>860000</v>
      </c>
      <c r="X96" s="124"/>
      <c r="Y96" s="300"/>
      <c r="Z96" s="105"/>
      <c r="AA96" s="141"/>
      <c r="AB96" s="123"/>
      <c r="AC96" s="123"/>
      <c r="AD96" s="109"/>
      <c r="AE96" s="110"/>
      <c r="AF96" s="111"/>
      <c r="AG96" s="108"/>
      <c r="AH96" s="108"/>
      <c r="AI96" s="108"/>
      <c r="AJ96" s="112"/>
      <c r="AK96" s="107"/>
      <c r="AL96" s="113"/>
      <c r="AM96" s="107">
        <f t="shared" si="49"/>
        <v>0</v>
      </c>
      <c r="AN96" s="107">
        <f t="shared" si="50"/>
        <v>1720000</v>
      </c>
      <c r="AO96" s="289" t="str">
        <f t="shared" si="52"/>
        <v/>
      </c>
      <c r="AP96" s="60"/>
    </row>
    <row r="97" spans="1:42" ht="12.75" customHeight="1">
      <c r="A97" s="29"/>
      <c r="B97" s="311">
        <v>94</v>
      </c>
      <c r="C97" s="312" t="s">
        <v>146</v>
      </c>
      <c r="D97" s="244" t="s">
        <v>147</v>
      </c>
      <c r="E97" s="244"/>
      <c r="F97" s="244"/>
      <c r="G97" s="244"/>
      <c r="H97" s="244" t="s">
        <v>41</v>
      </c>
      <c r="I97" s="244" t="s">
        <v>148</v>
      </c>
      <c r="J97" s="245">
        <f t="shared" si="40"/>
        <v>3</v>
      </c>
      <c r="K97" s="313"/>
      <c r="L97" s="314">
        <v>46045</v>
      </c>
      <c r="M97" s="314">
        <v>46048</v>
      </c>
      <c r="N97" s="39">
        <v>1890000</v>
      </c>
      <c r="O97" s="281">
        <v>0.25</v>
      </c>
      <c r="P97" s="39">
        <f t="shared" si="42"/>
        <v>472500</v>
      </c>
      <c r="Q97" s="263"/>
      <c r="R97" s="42">
        <f t="shared" si="43"/>
        <v>1417500</v>
      </c>
      <c r="S97" s="43">
        <f t="shared" si="44"/>
        <v>1191176.4705882354</v>
      </c>
      <c r="T97" s="250">
        <f t="shared" si="45"/>
        <v>45985</v>
      </c>
      <c r="U97" s="251">
        <f t="shared" si="46"/>
        <v>708750</v>
      </c>
      <c r="V97" s="252">
        <f t="shared" si="47"/>
        <v>46015</v>
      </c>
      <c r="W97" s="253">
        <f t="shared" si="48"/>
        <v>708750</v>
      </c>
      <c r="X97" s="278"/>
      <c r="Y97" s="315"/>
      <c r="Z97" s="256"/>
      <c r="AA97" s="257"/>
      <c r="AB97" s="259"/>
      <c r="AC97" s="259"/>
      <c r="AD97" s="278"/>
      <c r="AE97" s="279"/>
      <c r="AF97" s="256"/>
      <c r="AG97" s="263"/>
      <c r="AH97" s="263"/>
      <c r="AI97" s="263"/>
      <c r="AJ97" s="264"/>
      <c r="AK97" s="258"/>
      <c r="AL97" s="265"/>
      <c r="AM97" s="258">
        <f t="shared" si="49"/>
        <v>0</v>
      </c>
      <c r="AN97" s="258">
        <f t="shared" si="50"/>
        <v>1417500</v>
      </c>
      <c r="AO97" s="316" t="str">
        <f t="shared" si="52"/>
        <v/>
      </c>
      <c r="AP97" s="60"/>
    </row>
    <row r="98" spans="1:42" ht="12.75" customHeight="1">
      <c r="A98" s="29"/>
      <c r="B98" s="30">
        <v>95</v>
      </c>
      <c r="C98" s="291" t="s">
        <v>76</v>
      </c>
      <c r="D98" s="33" t="s">
        <v>147</v>
      </c>
      <c r="E98" s="33"/>
      <c r="F98" s="33"/>
      <c r="G98" s="33"/>
      <c r="H98" s="33" t="s">
        <v>41</v>
      </c>
      <c r="I98" s="33" t="s">
        <v>81</v>
      </c>
      <c r="J98" s="35">
        <f t="shared" si="40"/>
        <v>3</v>
      </c>
      <c r="K98" s="317"/>
      <c r="L98" s="293">
        <v>46101</v>
      </c>
      <c r="M98" s="293">
        <v>46104</v>
      </c>
      <c r="N98" s="185">
        <v>1350000</v>
      </c>
      <c r="O98" s="131">
        <v>0.25</v>
      </c>
      <c r="P98" s="39">
        <f t="shared" si="42"/>
        <v>337500</v>
      </c>
      <c r="Q98" s="53"/>
      <c r="R98" s="42">
        <f t="shared" si="43"/>
        <v>1012500</v>
      </c>
      <c r="S98" s="43">
        <f t="shared" si="44"/>
        <v>850840.33613445377</v>
      </c>
      <c r="T98" s="44">
        <f t="shared" si="45"/>
        <v>46041</v>
      </c>
      <c r="U98" s="45">
        <f t="shared" si="46"/>
        <v>506250</v>
      </c>
      <c r="V98" s="46">
        <f t="shared" si="47"/>
        <v>46071</v>
      </c>
      <c r="W98" s="47">
        <f t="shared" si="48"/>
        <v>506250</v>
      </c>
      <c r="X98" s="280"/>
      <c r="Y98" s="302"/>
      <c r="Z98" s="50"/>
      <c r="AA98" s="267"/>
      <c r="AB98" s="127"/>
      <c r="AC98" s="127"/>
      <c r="AD98" s="54"/>
      <c r="AE98" s="55"/>
      <c r="AF98" s="56"/>
      <c r="AG98" s="53"/>
      <c r="AH98" s="53"/>
      <c r="AI98" s="53"/>
      <c r="AJ98" s="57"/>
      <c r="AK98" s="52"/>
      <c r="AL98" s="58"/>
      <c r="AM98" s="52">
        <f t="shared" si="49"/>
        <v>0</v>
      </c>
      <c r="AN98" s="52">
        <f t="shared" si="50"/>
        <v>1012500</v>
      </c>
      <c r="AO98" s="286" t="str">
        <f t="shared" si="52"/>
        <v/>
      </c>
      <c r="AP98" s="60"/>
    </row>
    <row r="99" spans="1:42" ht="12.75" customHeight="1">
      <c r="A99" s="29"/>
      <c r="B99" s="90">
        <v>96</v>
      </c>
      <c r="C99" s="298" t="s">
        <v>146</v>
      </c>
      <c r="D99" s="241" t="s">
        <v>149</v>
      </c>
      <c r="E99" s="241"/>
      <c r="F99" s="241"/>
      <c r="G99" s="241"/>
      <c r="H99" s="241" t="s">
        <v>41</v>
      </c>
      <c r="I99" s="241" t="s">
        <v>148</v>
      </c>
      <c r="J99" s="94">
        <f t="shared" si="40"/>
        <v>4</v>
      </c>
      <c r="K99" s="129"/>
      <c r="L99" s="299">
        <v>46101</v>
      </c>
      <c r="M99" s="299">
        <v>46105</v>
      </c>
      <c r="N99" s="39">
        <v>2450000</v>
      </c>
      <c r="O99" s="128">
        <v>0.25</v>
      </c>
      <c r="P99" s="39">
        <f t="shared" si="42"/>
        <v>612500</v>
      </c>
      <c r="Q99" s="123"/>
      <c r="R99" s="42">
        <f t="shared" si="43"/>
        <v>1837500</v>
      </c>
      <c r="S99" s="43">
        <f t="shared" si="44"/>
        <v>1544117.6470588236</v>
      </c>
      <c r="T99" s="99">
        <f t="shared" si="45"/>
        <v>46041</v>
      </c>
      <c r="U99" s="100">
        <f t="shared" si="46"/>
        <v>918750</v>
      </c>
      <c r="V99" s="101">
        <f t="shared" si="47"/>
        <v>46071</v>
      </c>
      <c r="W99" s="102">
        <f t="shared" si="48"/>
        <v>918750</v>
      </c>
      <c r="X99" s="242"/>
      <c r="Y99" s="300"/>
      <c r="Z99" s="105"/>
      <c r="AA99" s="122"/>
      <c r="AB99" s="123"/>
      <c r="AC99" s="123"/>
      <c r="AD99" s="288"/>
      <c r="AE99" s="221"/>
      <c r="AF99" s="105"/>
      <c r="AG99" s="122"/>
      <c r="AH99" s="123"/>
      <c r="AI99" s="123"/>
      <c r="AJ99" s="112"/>
      <c r="AK99" s="107"/>
      <c r="AL99" s="113"/>
      <c r="AM99" s="107">
        <f t="shared" si="49"/>
        <v>0</v>
      </c>
      <c r="AN99" s="107">
        <f t="shared" si="50"/>
        <v>1837500</v>
      </c>
      <c r="AO99" s="289" t="str">
        <f t="shared" si="52"/>
        <v/>
      </c>
      <c r="AP99" s="60"/>
    </row>
    <row r="100" spans="1:42" ht="12.75" customHeight="1">
      <c r="A100" s="29"/>
      <c r="B100" s="311">
        <v>97</v>
      </c>
      <c r="C100" s="312" t="s">
        <v>70</v>
      </c>
      <c r="D100" s="244" t="s">
        <v>150</v>
      </c>
      <c r="E100" s="244"/>
      <c r="F100" s="244"/>
      <c r="G100" s="244"/>
      <c r="H100" s="244" t="s">
        <v>41</v>
      </c>
      <c r="I100" s="244" t="s">
        <v>148</v>
      </c>
      <c r="J100" s="245">
        <v>4</v>
      </c>
      <c r="K100" s="313">
        <v>46011</v>
      </c>
      <c r="L100" s="314">
        <v>46112</v>
      </c>
      <c r="M100" s="314">
        <v>46116</v>
      </c>
      <c r="N100" s="39">
        <v>2450000</v>
      </c>
      <c r="O100" s="318">
        <v>0.1</v>
      </c>
      <c r="P100" s="39">
        <f t="shared" si="42"/>
        <v>245000</v>
      </c>
      <c r="Q100" s="259"/>
      <c r="R100" s="42">
        <f t="shared" si="43"/>
        <v>2205000</v>
      </c>
      <c r="S100" s="43">
        <f t="shared" si="44"/>
        <v>1852941.1764705884</v>
      </c>
      <c r="T100" s="250">
        <f t="shared" si="45"/>
        <v>46052</v>
      </c>
      <c r="U100" s="251">
        <f t="shared" si="46"/>
        <v>1102500</v>
      </c>
      <c r="V100" s="252">
        <f t="shared" si="47"/>
        <v>46082</v>
      </c>
      <c r="W100" s="253">
        <f t="shared" si="48"/>
        <v>1102500</v>
      </c>
      <c r="X100" s="254"/>
      <c r="Y100" s="315"/>
      <c r="Z100" s="256"/>
      <c r="AA100" s="257"/>
      <c r="AB100" s="259"/>
      <c r="AC100" s="259"/>
      <c r="AD100" s="319"/>
      <c r="AE100" s="279"/>
      <c r="AF100" s="256"/>
      <c r="AG100" s="259"/>
      <c r="AH100" s="259"/>
      <c r="AI100" s="259"/>
      <c r="AJ100" s="264"/>
      <c r="AK100" s="258"/>
      <c r="AL100" s="265"/>
      <c r="AM100" s="258">
        <f t="shared" si="49"/>
        <v>0</v>
      </c>
      <c r="AN100" s="258">
        <f t="shared" si="50"/>
        <v>2205000</v>
      </c>
      <c r="AO100" s="316" t="str">
        <f t="shared" si="52"/>
        <v/>
      </c>
      <c r="AP100" s="60"/>
    </row>
    <row r="101" spans="1:42" ht="12.75" customHeight="1">
      <c r="A101" s="29"/>
      <c r="B101" s="30">
        <v>98</v>
      </c>
      <c r="C101" s="291" t="s">
        <v>151</v>
      </c>
      <c r="D101" s="33"/>
      <c r="E101" s="33"/>
      <c r="F101" s="33"/>
      <c r="G101" s="33"/>
      <c r="H101" s="33" t="s">
        <v>41</v>
      </c>
      <c r="I101" s="33" t="s">
        <v>42</v>
      </c>
      <c r="J101" s="35">
        <f t="shared" ref="J101:J110" si="53">M101-L101</f>
        <v>3</v>
      </c>
      <c r="K101" s="317"/>
      <c r="L101" s="293">
        <v>46044</v>
      </c>
      <c r="M101" s="293">
        <v>46047</v>
      </c>
      <c r="N101" s="39">
        <f t="shared" ref="N101:N110" si="54">IF(J101=3,(1350000))+IF(J101=4,(1750000))+IF(J101=5,(2150000))+IF(J101=6,(2550000))+IF(J101=7,(2950000))</f>
        <v>1350000</v>
      </c>
      <c r="O101" s="294">
        <v>0.25</v>
      </c>
      <c r="P101" s="39">
        <f t="shared" si="42"/>
        <v>337500</v>
      </c>
      <c r="Q101" s="127"/>
      <c r="R101" s="42">
        <f t="shared" si="43"/>
        <v>1012500</v>
      </c>
      <c r="S101" s="43">
        <f t="shared" si="44"/>
        <v>850840.33613445377</v>
      </c>
      <c r="T101" s="44">
        <f t="shared" si="45"/>
        <v>45984</v>
      </c>
      <c r="U101" s="45">
        <f t="shared" si="46"/>
        <v>506250</v>
      </c>
      <c r="V101" s="46">
        <f t="shared" si="47"/>
        <v>46014</v>
      </c>
      <c r="W101" s="47">
        <f t="shared" si="48"/>
        <v>506250</v>
      </c>
      <c r="X101" s="239"/>
      <c r="Y101" s="302"/>
      <c r="Z101" s="50"/>
      <c r="AA101" s="267"/>
      <c r="AB101" s="127"/>
      <c r="AC101" s="127"/>
      <c r="AD101" s="320"/>
      <c r="AE101" s="233"/>
      <c r="AF101" s="50"/>
      <c r="AG101" s="267"/>
      <c r="AH101" s="127"/>
      <c r="AI101" s="127"/>
      <c r="AJ101" s="57"/>
      <c r="AK101" s="52"/>
      <c r="AL101" s="58"/>
      <c r="AM101" s="52">
        <f t="shared" si="49"/>
        <v>0</v>
      </c>
      <c r="AN101" s="52">
        <f t="shared" si="50"/>
        <v>1012500</v>
      </c>
      <c r="AO101" s="286" t="str">
        <f t="shared" si="52"/>
        <v/>
      </c>
      <c r="AP101" s="60"/>
    </row>
    <row r="102" spans="1:42" ht="12.75" customHeight="1">
      <c r="A102" s="29"/>
      <c r="B102" s="61">
        <v>99</v>
      </c>
      <c r="C102" s="304" t="s">
        <v>151</v>
      </c>
      <c r="D102" s="269"/>
      <c r="E102" s="269"/>
      <c r="F102" s="269"/>
      <c r="G102" s="269"/>
      <c r="H102" s="269" t="s">
        <v>41</v>
      </c>
      <c r="I102" s="269" t="s">
        <v>152</v>
      </c>
      <c r="J102" s="65">
        <f t="shared" si="53"/>
        <v>3</v>
      </c>
      <c r="K102" s="138"/>
      <c r="L102" s="305">
        <v>46044</v>
      </c>
      <c r="M102" s="305">
        <v>46047</v>
      </c>
      <c r="N102" s="39">
        <f t="shared" si="54"/>
        <v>1350000</v>
      </c>
      <c r="O102" s="308">
        <v>0.3</v>
      </c>
      <c r="P102" s="39">
        <f t="shared" si="42"/>
        <v>405000</v>
      </c>
      <c r="Q102" s="8"/>
      <c r="R102" s="42">
        <f t="shared" si="43"/>
        <v>945000</v>
      </c>
      <c r="S102" s="43">
        <f t="shared" si="44"/>
        <v>794117.64705882361</v>
      </c>
      <c r="T102" s="71">
        <f t="shared" si="45"/>
        <v>45984</v>
      </c>
      <c r="U102" s="72">
        <f t="shared" si="46"/>
        <v>472500</v>
      </c>
      <c r="V102" s="73">
        <f t="shared" si="47"/>
        <v>46014</v>
      </c>
      <c r="W102" s="74">
        <f t="shared" si="48"/>
        <v>472500</v>
      </c>
      <c r="X102" s="306"/>
      <c r="Y102" s="235"/>
      <c r="Z102" s="77"/>
      <c r="AA102" s="234"/>
      <c r="AB102" s="8"/>
      <c r="AC102" s="8"/>
      <c r="AD102" s="321"/>
      <c r="AE102" s="184"/>
      <c r="AF102" s="77"/>
      <c r="AG102" s="234"/>
      <c r="AH102" s="8"/>
      <c r="AI102" s="8"/>
      <c r="AJ102" s="84"/>
      <c r="AK102" s="79"/>
      <c r="AL102" s="85"/>
      <c r="AM102" s="79">
        <f t="shared" si="49"/>
        <v>0</v>
      </c>
      <c r="AN102" s="79">
        <f t="shared" si="50"/>
        <v>945000</v>
      </c>
      <c r="AO102" s="290" t="str">
        <f t="shared" si="52"/>
        <v/>
      </c>
      <c r="AP102" s="60"/>
    </row>
    <row r="103" spans="1:42" ht="12.75" customHeight="1">
      <c r="A103" s="29"/>
      <c r="B103" s="61">
        <v>100</v>
      </c>
      <c r="C103" s="304" t="s">
        <v>151</v>
      </c>
      <c r="D103" s="269"/>
      <c r="E103" s="269"/>
      <c r="F103" s="269"/>
      <c r="G103" s="269"/>
      <c r="H103" s="269" t="s">
        <v>41</v>
      </c>
      <c r="I103" s="269" t="s">
        <v>42</v>
      </c>
      <c r="J103" s="65">
        <f t="shared" si="53"/>
        <v>3</v>
      </c>
      <c r="K103" s="138"/>
      <c r="L103" s="305">
        <v>46044</v>
      </c>
      <c r="M103" s="305">
        <v>46047</v>
      </c>
      <c r="N103" s="39">
        <f t="shared" si="54"/>
        <v>1350000</v>
      </c>
      <c r="O103" s="308">
        <v>0.25</v>
      </c>
      <c r="P103" s="39">
        <f t="shared" si="42"/>
        <v>337500</v>
      </c>
      <c r="Q103" s="8"/>
      <c r="R103" s="42">
        <f t="shared" si="43"/>
        <v>1012500</v>
      </c>
      <c r="S103" s="43">
        <f t="shared" si="44"/>
        <v>850840.33613445377</v>
      </c>
      <c r="T103" s="71">
        <f t="shared" si="45"/>
        <v>45984</v>
      </c>
      <c r="U103" s="72">
        <f t="shared" si="46"/>
        <v>506250</v>
      </c>
      <c r="V103" s="73">
        <f t="shared" si="47"/>
        <v>46014</v>
      </c>
      <c r="W103" s="74">
        <f t="shared" si="48"/>
        <v>506250</v>
      </c>
      <c r="X103" s="306"/>
      <c r="Y103" s="235"/>
      <c r="Z103" s="77"/>
      <c r="AA103" s="234"/>
      <c r="AB103" s="8"/>
      <c r="AC103" s="8"/>
      <c r="AD103" s="321"/>
      <c r="AE103" s="184"/>
      <c r="AF103" s="77"/>
      <c r="AG103" s="234"/>
      <c r="AH103" s="8"/>
      <c r="AI103" s="8"/>
      <c r="AJ103" s="84"/>
      <c r="AK103" s="79"/>
      <c r="AL103" s="85"/>
      <c r="AM103" s="79">
        <f t="shared" si="49"/>
        <v>0</v>
      </c>
      <c r="AN103" s="79">
        <f t="shared" si="50"/>
        <v>1012500</v>
      </c>
      <c r="AO103" s="290" t="str">
        <f t="shared" si="52"/>
        <v/>
      </c>
      <c r="AP103" s="60"/>
    </row>
    <row r="104" spans="1:42" ht="12.75" customHeight="1">
      <c r="A104" s="29"/>
      <c r="B104" s="61">
        <v>101</v>
      </c>
      <c r="C104" s="304" t="s">
        <v>151</v>
      </c>
      <c r="D104" s="269"/>
      <c r="E104" s="269"/>
      <c r="F104" s="269"/>
      <c r="G104" s="269"/>
      <c r="H104" s="269" t="s">
        <v>41</v>
      </c>
      <c r="I104" s="269" t="s">
        <v>42</v>
      </c>
      <c r="J104" s="65">
        <f t="shared" si="53"/>
        <v>3</v>
      </c>
      <c r="K104" s="138"/>
      <c r="L104" s="305">
        <v>46044</v>
      </c>
      <c r="M104" s="305">
        <v>46047</v>
      </c>
      <c r="N104" s="39">
        <f t="shared" si="54"/>
        <v>1350000</v>
      </c>
      <c r="O104" s="308">
        <v>0.4</v>
      </c>
      <c r="P104" s="39">
        <f t="shared" si="42"/>
        <v>540000</v>
      </c>
      <c r="Q104" s="8"/>
      <c r="R104" s="42">
        <f t="shared" si="43"/>
        <v>810000</v>
      </c>
      <c r="S104" s="43">
        <f t="shared" si="44"/>
        <v>680672.26890756306</v>
      </c>
      <c r="T104" s="71">
        <f t="shared" si="45"/>
        <v>45984</v>
      </c>
      <c r="U104" s="72">
        <f t="shared" si="46"/>
        <v>405000</v>
      </c>
      <c r="V104" s="73">
        <f t="shared" si="47"/>
        <v>46014</v>
      </c>
      <c r="W104" s="74">
        <f t="shared" si="48"/>
        <v>405000</v>
      </c>
      <c r="X104" s="236"/>
      <c r="Y104" s="235"/>
      <c r="Z104" s="77"/>
      <c r="AA104" s="8"/>
      <c r="AB104" s="8"/>
      <c r="AC104" s="8"/>
      <c r="AD104" s="321"/>
      <c r="AE104" s="184"/>
      <c r="AF104" s="77"/>
      <c r="AG104" s="234"/>
      <c r="AH104" s="8"/>
      <c r="AI104" s="8"/>
      <c r="AJ104" s="321"/>
      <c r="AK104" s="8"/>
      <c r="AL104" s="77"/>
      <c r="AM104" s="79">
        <f t="shared" si="49"/>
        <v>0</v>
      </c>
      <c r="AN104" s="79">
        <f t="shared" si="50"/>
        <v>810000</v>
      </c>
      <c r="AO104" s="77"/>
      <c r="AP104" s="8"/>
    </row>
    <row r="105" spans="1:42" ht="12.75" customHeight="1">
      <c r="A105" s="29"/>
      <c r="B105" s="61">
        <v>102</v>
      </c>
      <c r="C105" s="304" t="s">
        <v>151</v>
      </c>
      <c r="D105" s="269"/>
      <c r="E105" s="269"/>
      <c r="F105" s="269"/>
      <c r="G105" s="269"/>
      <c r="H105" s="269" t="s">
        <v>41</v>
      </c>
      <c r="I105" s="269" t="s">
        <v>42</v>
      </c>
      <c r="J105" s="65">
        <f t="shared" si="53"/>
        <v>3</v>
      </c>
      <c r="K105" s="138"/>
      <c r="L105" s="305">
        <v>46044</v>
      </c>
      <c r="M105" s="305">
        <v>46047</v>
      </c>
      <c r="N105" s="39">
        <f t="shared" si="54"/>
        <v>1350000</v>
      </c>
      <c r="O105" s="308">
        <v>0.25</v>
      </c>
      <c r="P105" s="39">
        <f t="shared" si="42"/>
        <v>337500</v>
      </c>
      <c r="Q105" s="8"/>
      <c r="R105" s="42">
        <f t="shared" si="43"/>
        <v>1012500</v>
      </c>
      <c r="S105" s="43">
        <f t="shared" si="44"/>
        <v>850840.33613445377</v>
      </c>
      <c r="T105" s="71">
        <f t="shared" si="45"/>
        <v>45984</v>
      </c>
      <c r="U105" s="72">
        <f t="shared" si="46"/>
        <v>506250</v>
      </c>
      <c r="V105" s="73">
        <f t="shared" si="47"/>
        <v>46014</v>
      </c>
      <c r="W105" s="74">
        <f t="shared" si="48"/>
        <v>506250</v>
      </c>
      <c r="X105" s="236"/>
      <c r="Y105" s="235"/>
      <c r="Z105" s="77"/>
      <c r="AA105" s="8"/>
      <c r="AB105" s="8"/>
      <c r="AC105" s="8"/>
      <c r="AD105" s="322"/>
      <c r="AE105" s="184"/>
      <c r="AF105" s="77"/>
      <c r="AG105" s="234"/>
      <c r="AH105" s="8"/>
      <c r="AI105" s="8"/>
      <c r="AJ105" s="236"/>
      <c r="AK105" s="8"/>
      <c r="AL105" s="77"/>
      <c r="AM105" s="79">
        <f t="shared" si="49"/>
        <v>0</v>
      </c>
      <c r="AN105" s="79">
        <f>+R105-Y105-AB105-AE105-AH105-AK105</f>
        <v>1012500</v>
      </c>
      <c r="AO105" s="77"/>
      <c r="AP105" s="8"/>
    </row>
    <row r="106" spans="1:42" ht="12.75" customHeight="1">
      <c r="A106" s="29"/>
      <c r="B106" s="90">
        <v>103</v>
      </c>
      <c r="C106" s="298" t="s">
        <v>151</v>
      </c>
      <c r="D106" s="241"/>
      <c r="E106" s="241"/>
      <c r="F106" s="241"/>
      <c r="G106" s="241"/>
      <c r="H106" s="241" t="s">
        <v>41</v>
      </c>
      <c r="I106" s="241" t="s">
        <v>42</v>
      </c>
      <c r="J106" s="94">
        <f t="shared" si="53"/>
        <v>3</v>
      </c>
      <c r="K106" s="122"/>
      <c r="L106" s="299">
        <v>46044</v>
      </c>
      <c r="M106" s="299">
        <v>46047</v>
      </c>
      <c r="N106" s="39">
        <f t="shared" si="54"/>
        <v>1350000</v>
      </c>
      <c r="O106" s="128">
        <v>0.4</v>
      </c>
      <c r="P106" s="39">
        <f t="shared" si="42"/>
        <v>540000</v>
      </c>
      <c r="Q106" s="123"/>
      <c r="R106" s="42">
        <f t="shared" si="43"/>
        <v>810000</v>
      </c>
      <c r="S106" s="43">
        <f t="shared" si="44"/>
        <v>680672.26890756306</v>
      </c>
      <c r="T106" s="99">
        <f t="shared" si="45"/>
        <v>45984</v>
      </c>
      <c r="U106" s="100">
        <f t="shared" si="46"/>
        <v>405000</v>
      </c>
      <c r="V106" s="101">
        <f t="shared" si="47"/>
        <v>46014</v>
      </c>
      <c r="W106" s="102">
        <f t="shared" si="48"/>
        <v>405000</v>
      </c>
      <c r="X106" s="287"/>
      <c r="Y106" s="300"/>
      <c r="Z106" s="105"/>
      <c r="AA106" s="108"/>
      <c r="AB106" s="108"/>
      <c r="AC106" s="108"/>
      <c r="AD106" s="109"/>
      <c r="AE106" s="110"/>
      <c r="AF106" s="111"/>
      <c r="AG106" s="108"/>
      <c r="AH106" s="108"/>
      <c r="AI106" s="108"/>
      <c r="AJ106" s="109"/>
      <c r="AK106" s="108"/>
      <c r="AL106" s="111"/>
      <c r="AM106" s="107">
        <f t="shared" si="49"/>
        <v>0</v>
      </c>
      <c r="AN106" s="107">
        <f t="shared" ref="AN106:AN110" si="55">+R106-Y106-AB106-AE106-AH106</f>
        <v>810000</v>
      </c>
      <c r="AO106" s="111"/>
      <c r="AP106" s="80"/>
    </row>
    <row r="107" spans="1:42" ht="12.75" customHeight="1">
      <c r="A107" s="29"/>
      <c r="B107" s="311">
        <v>104</v>
      </c>
      <c r="C107" s="312" t="s">
        <v>153</v>
      </c>
      <c r="D107" s="244"/>
      <c r="E107" s="244"/>
      <c r="F107" s="244"/>
      <c r="G107" s="244"/>
      <c r="H107" s="244" t="s">
        <v>41</v>
      </c>
      <c r="I107" s="244" t="s">
        <v>42</v>
      </c>
      <c r="J107" s="245">
        <f t="shared" si="53"/>
        <v>3</v>
      </c>
      <c r="K107" s="257"/>
      <c r="L107" s="314">
        <v>46044</v>
      </c>
      <c r="M107" s="314">
        <v>46047</v>
      </c>
      <c r="N107" s="39">
        <f t="shared" si="54"/>
        <v>1350000</v>
      </c>
      <c r="O107" s="318">
        <v>0.25</v>
      </c>
      <c r="P107" s="39">
        <f t="shared" si="42"/>
        <v>337500</v>
      </c>
      <c r="Q107" s="259"/>
      <c r="R107" s="42">
        <f t="shared" si="43"/>
        <v>1012500</v>
      </c>
      <c r="S107" s="43">
        <f t="shared" si="44"/>
        <v>850840.33613445377</v>
      </c>
      <c r="T107" s="250">
        <f t="shared" si="45"/>
        <v>45984</v>
      </c>
      <c r="U107" s="251">
        <f t="shared" si="46"/>
        <v>506250</v>
      </c>
      <c r="V107" s="252">
        <f t="shared" si="47"/>
        <v>46014</v>
      </c>
      <c r="W107" s="253">
        <f t="shared" si="48"/>
        <v>506250</v>
      </c>
      <c r="X107" s="278"/>
      <c r="Y107" s="315"/>
      <c r="Z107" s="256"/>
      <c r="AA107" s="263"/>
      <c r="AB107" s="263"/>
      <c r="AC107" s="263"/>
      <c r="AD107" s="260"/>
      <c r="AE107" s="261"/>
      <c r="AF107" s="262"/>
      <c r="AG107" s="263"/>
      <c r="AH107" s="263"/>
      <c r="AI107" s="263"/>
      <c r="AJ107" s="260"/>
      <c r="AK107" s="263"/>
      <c r="AL107" s="262"/>
      <c r="AM107" s="258">
        <f t="shared" si="49"/>
        <v>0</v>
      </c>
      <c r="AN107" s="258">
        <f t="shared" si="55"/>
        <v>1012500</v>
      </c>
      <c r="AO107" s="262"/>
      <c r="AP107" s="80"/>
    </row>
    <row r="108" spans="1:42" ht="12.75" customHeight="1">
      <c r="A108" s="29"/>
      <c r="B108" s="30">
        <v>105</v>
      </c>
      <c r="C108" s="291" t="s">
        <v>154</v>
      </c>
      <c r="D108" s="33"/>
      <c r="E108" s="33"/>
      <c r="F108" s="33"/>
      <c r="G108" s="33"/>
      <c r="H108" s="33" t="s">
        <v>41</v>
      </c>
      <c r="I108" s="33" t="s">
        <v>42</v>
      </c>
      <c r="J108" s="35">
        <f t="shared" si="53"/>
        <v>4</v>
      </c>
      <c r="K108" s="267"/>
      <c r="L108" s="293">
        <v>46128</v>
      </c>
      <c r="M108" s="293">
        <v>46132</v>
      </c>
      <c r="N108" s="39">
        <f t="shared" si="54"/>
        <v>1750000</v>
      </c>
      <c r="O108" s="131">
        <v>0.1</v>
      </c>
      <c r="P108" s="39">
        <f t="shared" si="42"/>
        <v>175000</v>
      </c>
      <c r="Q108" s="127"/>
      <c r="R108" s="42">
        <f t="shared" si="43"/>
        <v>1575000</v>
      </c>
      <c r="S108" s="43">
        <f t="shared" si="44"/>
        <v>1323529.411764706</v>
      </c>
      <c r="T108" s="44">
        <f t="shared" si="45"/>
        <v>46068</v>
      </c>
      <c r="U108" s="45">
        <f t="shared" si="46"/>
        <v>787500</v>
      </c>
      <c r="V108" s="46">
        <f t="shared" si="47"/>
        <v>46098</v>
      </c>
      <c r="W108" s="47">
        <f t="shared" si="48"/>
        <v>787500</v>
      </c>
      <c r="X108" s="280"/>
      <c r="Y108" s="302"/>
      <c r="Z108" s="50"/>
      <c r="AA108" s="323"/>
      <c r="AB108" s="127"/>
      <c r="AC108" s="127"/>
      <c r="AD108" s="54"/>
      <c r="AE108" s="55"/>
      <c r="AF108" s="56"/>
      <c r="AG108" s="53"/>
      <c r="AH108" s="53"/>
      <c r="AI108" s="53"/>
      <c r="AJ108" s="54"/>
      <c r="AK108" s="53"/>
      <c r="AL108" s="56"/>
      <c r="AM108" s="52">
        <f t="shared" si="49"/>
        <v>0</v>
      </c>
      <c r="AN108" s="52">
        <f t="shared" si="55"/>
        <v>1575000</v>
      </c>
      <c r="AO108" s="56"/>
      <c r="AP108" s="80"/>
    </row>
    <row r="109" spans="1:42" ht="12.75" customHeight="1">
      <c r="A109" s="29"/>
      <c r="B109" s="61">
        <v>106</v>
      </c>
      <c r="C109" s="304" t="s">
        <v>154</v>
      </c>
      <c r="D109" s="269"/>
      <c r="E109" s="269"/>
      <c r="F109" s="269"/>
      <c r="G109" s="269"/>
      <c r="H109" s="269" t="s">
        <v>41</v>
      </c>
      <c r="I109" s="269" t="s">
        <v>42</v>
      </c>
      <c r="J109" s="65">
        <f t="shared" si="53"/>
        <v>4</v>
      </c>
      <c r="K109" s="234"/>
      <c r="L109" s="305">
        <v>46128</v>
      </c>
      <c r="M109" s="305">
        <v>46132</v>
      </c>
      <c r="N109" s="39">
        <f t="shared" si="54"/>
        <v>1750000</v>
      </c>
      <c r="O109" s="131">
        <v>0.1</v>
      </c>
      <c r="P109" s="39">
        <f t="shared" si="42"/>
        <v>175000</v>
      </c>
      <c r="Q109" s="8"/>
      <c r="R109" s="42">
        <f t="shared" si="43"/>
        <v>1575000</v>
      </c>
      <c r="S109" s="43">
        <f t="shared" si="44"/>
        <v>1323529.411764706</v>
      </c>
      <c r="T109" s="71">
        <f t="shared" si="45"/>
        <v>46068</v>
      </c>
      <c r="U109" s="72">
        <f t="shared" si="46"/>
        <v>787500</v>
      </c>
      <c r="V109" s="73">
        <f t="shared" si="47"/>
        <v>46098</v>
      </c>
      <c r="W109" s="74">
        <f t="shared" si="48"/>
        <v>787500</v>
      </c>
      <c r="X109" s="236"/>
      <c r="Y109" s="235"/>
      <c r="Z109" s="77"/>
      <c r="AA109" s="307"/>
      <c r="AB109" s="8"/>
      <c r="AC109" s="8"/>
      <c r="AD109" s="322"/>
      <c r="AE109" s="184"/>
      <c r="AF109" s="77"/>
      <c r="AG109" s="80"/>
      <c r="AH109" s="80"/>
      <c r="AI109" s="80"/>
      <c r="AJ109" s="81"/>
      <c r="AK109" s="80"/>
      <c r="AL109" s="83"/>
      <c r="AM109" s="79">
        <f t="shared" si="49"/>
        <v>0</v>
      </c>
      <c r="AN109" s="79">
        <f t="shared" si="55"/>
        <v>1575000</v>
      </c>
      <c r="AO109" s="83"/>
      <c r="AP109" s="80"/>
    </row>
    <row r="110" spans="1:42" ht="12.75" customHeight="1">
      <c r="A110" s="29"/>
      <c r="B110" s="61">
        <v>107</v>
      </c>
      <c r="C110" s="304" t="s">
        <v>154</v>
      </c>
      <c r="D110" s="269"/>
      <c r="E110" s="269"/>
      <c r="F110" s="269"/>
      <c r="G110" s="269"/>
      <c r="H110" s="269" t="s">
        <v>41</v>
      </c>
      <c r="I110" s="269" t="s">
        <v>42</v>
      </c>
      <c r="J110" s="65">
        <f t="shared" si="53"/>
        <v>4</v>
      </c>
      <c r="K110" s="234"/>
      <c r="L110" s="293">
        <v>46128</v>
      </c>
      <c r="M110" s="293">
        <v>46132</v>
      </c>
      <c r="N110" s="39">
        <f t="shared" si="54"/>
        <v>1750000</v>
      </c>
      <c r="O110" s="131">
        <v>0.1</v>
      </c>
      <c r="P110" s="39">
        <f t="shared" si="42"/>
        <v>175000</v>
      </c>
      <c r="Q110" s="8"/>
      <c r="R110" s="42">
        <f t="shared" si="43"/>
        <v>1575000</v>
      </c>
      <c r="S110" s="43">
        <f t="shared" si="44"/>
        <v>1323529.411764706</v>
      </c>
      <c r="T110" s="71">
        <f t="shared" si="45"/>
        <v>46068</v>
      </c>
      <c r="U110" s="72">
        <f t="shared" si="46"/>
        <v>787500</v>
      </c>
      <c r="V110" s="73">
        <f t="shared" si="47"/>
        <v>46098</v>
      </c>
      <c r="W110" s="74">
        <f t="shared" si="48"/>
        <v>787500</v>
      </c>
      <c r="X110" s="236"/>
      <c r="Y110" s="235"/>
      <c r="Z110" s="77"/>
      <c r="AA110" s="80"/>
      <c r="AB110" s="80"/>
      <c r="AC110" s="80"/>
      <c r="AD110" s="81"/>
      <c r="AE110" s="82"/>
      <c r="AF110" s="83"/>
      <c r="AG110" s="80"/>
      <c r="AH110" s="80"/>
      <c r="AI110" s="80"/>
      <c r="AJ110" s="81"/>
      <c r="AK110" s="80"/>
      <c r="AL110" s="83"/>
      <c r="AM110" s="79">
        <f t="shared" si="49"/>
        <v>0</v>
      </c>
      <c r="AN110" s="79">
        <f t="shared" si="55"/>
        <v>1575000</v>
      </c>
      <c r="AO110" s="83"/>
      <c r="AP110" s="80"/>
    </row>
    <row r="111" spans="1:42" ht="12.75" customHeight="1">
      <c r="A111" s="29"/>
      <c r="B111" s="61">
        <v>108</v>
      </c>
      <c r="C111" s="304" t="s">
        <v>154</v>
      </c>
      <c r="D111" s="269"/>
      <c r="E111" s="269"/>
      <c r="F111" s="269"/>
      <c r="G111" s="269"/>
      <c r="H111" s="269"/>
      <c r="I111" s="269" t="s">
        <v>42</v>
      </c>
      <c r="J111" s="65">
        <v>4</v>
      </c>
      <c r="K111" s="234"/>
      <c r="L111" s="293">
        <v>46128</v>
      </c>
      <c r="M111" s="303">
        <v>46132</v>
      </c>
      <c r="N111" s="39">
        <v>1750000</v>
      </c>
      <c r="O111" s="131">
        <v>0.1</v>
      </c>
      <c r="P111" s="39">
        <f t="shared" si="42"/>
        <v>175000</v>
      </c>
      <c r="Q111" s="8"/>
      <c r="R111" s="42">
        <f t="shared" si="43"/>
        <v>1575000</v>
      </c>
      <c r="S111" s="43">
        <f t="shared" si="44"/>
        <v>1323529.411764706</v>
      </c>
      <c r="T111" s="71">
        <v>46068</v>
      </c>
      <c r="U111" s="72">
        <v>787500</v>
      </c>
      <c r="V111" s="73">
        <v>46098</v>
      </c>
      <c r="W111" s="74">
        <v>787500</v>
      </c>
      <c r="X111" s="236"/>
      <c r="Y111" s="235"/>
      <c r="Z111" s="77"/>
      <c r="AA111" s="234"/>
      <c r="AB111" s="8"/>
      <c r="AC111" s="8"/>
      <c r="AD111" s="81"/>
      <c r="AE111" s="82"/>
      <c r="AF111" s="83"/>
      <c r="AG111" s="80"/>
      <c r="AH111" s="80"/>
      <c r="AI111" s="80"/>
      <c r="AJ111" s="81"/>
      <c r="AK111" s="80"/>
      <c r="AL111" s="83"/>
      <c r="AM111" s="79"/>
      <c r="AN111" s="79"/>
      <c r="AO111" s="83"/>
      <c r="AP111" s="80"/>
    </row>
    <row r="112" spans="1:42" ht="12.75" customHeight="1">
      <c r="A112" s="29"/>
      <c r="B112" s="61">
        <v>109</v>
      </c>
      <c r="C112" s="304" t="s">
        <v>154</v>
      </c>
      <c r="D112" s="269"/>
      <c r="E112" s="269"/>
      <c r="F112" s="269"/>
      <c r="G112" s="269"/>
      <c r="H112" s="269"/>
      <c r="I112" s="269" t="s">
        <v>42</v>
      </c>
      <c r="J112" s="65">
        <f t="shared" ref="J112:J136" si="56">M112-L112</f>
        <v>4</v>
      </c>
      <c r="K112" s="234"/>
      <c r="L112" s="293">
        <v>46128</v>
      </c>
      <c r="M112" s="293">
        <v>46132</v>
      </c>
      <c r="N112" s="39">
        <f t="shared" ref="N112:N120" si="57">IF(J112=3,(1350000))+IF(J112=4,(1750000))+IF(J112=5,(2150000))+IF(J112=6,(2550000))+IF(J112=7,(2950000))</f>
        <v>1750000</v>
      </c>
      <c r="O112" s="131">
        <v>0.1</v>
      </c>
      <c r="P112" s="39">
        <f t="shared" si="42"/>
        <v>175000</v>
      </c>
      <c r="Q112" s="8"/>
      <c r="R112" s="42">
        <f t="shared" si="43"/>
        <v>1575000</v>
      </c>
      <c r="S112" s="43">
        <f t="shared" si="44"/>
        <v>1323529.411764706</v>
      </c>
      <c r="T112" s="71">
        <f t="shared" ref="T112:T145" si="58">+L112-60</f>
        <v>46068</v>
      </c>
      <c r="U112" s="72">
        <f t="shared" ref="U112:U145" si="59">+R112/2</f>
        <v>787500</v>
      </c>
      <c r="V112" s="73">
        <f t="shared" ref="V112:V145" si="60">+L112-30</f>
        <v>46098</v>
      </c>
      <c r="W112" s="74">
        <f t="shared" ref="W112:W145" si="61">+U112</f>
        <v>787500</v>
      </c>
      <c r="X112" s="236"/>
      <c r="Y112" s="235"/>
      <c r="Z112" s="77"/>
      <c r="AA112" s="234"/>
      <c r="AB112" s="8"/>
      <c r="AC112" s="8"/>
      <c r="AD112" s="81"/>
      <c r="AE112" s="82"/>
      <c r="AF112" s="83"/>
      <c r="AG112" s="80"/>
      <c r="AH112" s="80"/>
      <c r="AI112" s="80"/>
      <c r="AJ112" s="81"/>
      <c r="AK112" s="80"/>
      <c r="AL112" s="83"/>
      <c r="AM112" s="79"/>
      <c r="AN112" s="79"/>
      <c r="AO112" s="83"/>
      <c r="AP112" s="80"/>
    </row>
    <row r="113" spans="1:42" ht="12.75" customHeight="1">
      <c r="A113" s="29"/>
      <c r="B113" s="61">
        <v>110</v>
      </c>
      <c r="C113" s="298" t="s">
        <v>154</v>
      </c>
      <c r="D113" s="241"/>
      <c r="E113" s="241"/>
      <c r="F113" s="241"/>
      <c r="G113" s="241"/>
      <c r="H113" s="241" t="s">
        <v>41</v>
      </c>
      <c r="I113" s="241" t="s">
        <v>42</v>
      </c>
      <c r="J113" s="94">
        <f t="shared" si="56"/>
        <v>4</v>
      </c>
      <c r="K113" s="122"/>
      <c r="L113" s="293">
        <v>46128</v>
      </c>
      <c r="M113" s="293">
        <v>46132</v>
      </c>
      <c r="N113" s="39">
        <f t="shared" si="57"/>
        <v>1750000</v>
      </c>
      <c r="O113" s="131">
        <v>0.1</v>
      </c>
      <c r="P113" s="39">
        <f t="shared" si="42"/>
        <v>175000</v>
      </c>
      <c r="Q113" s="123"/>
      <c r="R113" s="42">
        <f t="shared" si="43"/>
        <v>1575000</v>
      </c>
      <c r="S113" s="43">
        <f t="shared" si="44"/>
        <v>1323529.411764706</v>
      </c>
      <c r="T113" s="71">
        <f t="shared" si="58"/>
        <v>46068</v>
      </c>
      <c r="U113" s="100">
        <f t="shared" si="59"/>
        <v>787500</v>
      </c>
      <c r="V113" s="101">
        <f t="shared" si="60"/>
        <v>46098</v>
      </c>
      <c r="W113" s="102">
        <f t="shared" si="61"/>
        <v>787500</v>
      </c>
      <c r="X113" s="287"/>
      <c r="Y113" s="300"/>
      <c r="Z113" s="105"/>
      <c r="AA113" s="122"/>
      <c r="AB113" s="123"/>
      <c r="AC113" s="123"/>
      <c r="AD113" s="109"/>
      <c r="AE113" s="110"/>
      <c r="AF113" s="111"/>
      <c r="AG113" s="108"/>
      <c r="AH113" s="108"/>
      <c r="AI113" s="108"/>
      <c r="AJ113" s="109"/>
      <c r="AK113" s="108"/>
      <c r="AL113" s="111"/>
      <c r="AM113" s="107">
        <f t="shared" ref="AM113:AM137" si="62">Y113+AB113+AE113+AH113+AK113</f>
        <v>0</v>
      </c>
      <c r="AN113" s="107">
        <f t="shared" ref="AN113:AN137" si="63">+R113-Y113-AB113-AE113-AH113</f>
        <v>1575000</v>
      </c>
      <c r="AO113" s="111"/>
      <c r="AP113" s="80"/>
    </row>
    <row r="114" spans="1:42" ht="12.75" customHeight="1">
      <c r="A114" s="29"/>
      <c r="B114" s="61">
        <v>111</v>
      </c>
      <c r="C114" s="291" t="s">
        <v>155</v>
      </c>
      <c r="D114" s="33" t="s">
        <v>156</v>
      </c>
      <c r="E114" s="33"/>
      <c r="F114" s="33"/>
      <c r="G114" s="33"/>
      <c r="H114" s="33"/>
      <c r="I114" s="33" t="s">
        <v>42</v>
      </c>
      <c r="J114" s="35">
        <f t="shared" si="56"/>
        <v>4</v>
      </c>
      <c r="K114" s="267"/>
      <c r="L114" s="303">
        <v>46091</v>
      </c>
      <c r="M114" s="293">
        <v>46095</v>
      </c>
      <c r="N114" s="39">
        <f t="shared" si="57"/>
        <v>1750000</v>
      </c>
      <c r="O114" s="131"/>
      <c r="P114" s="39">
        <f t="shared" si="42"/>
        <v>0</v>
      </c>
      <c r="Q114" s="127"/>
      <c r="R114" s="42">
        <f t="shared" si="43"/>
        <v>1750000</v>
      </c>
      <c r="S114" s="43">
        <f t="shared" si="44"/>
        <v>1470588.2352941178</v>
      </c>
      <c r="T114" s="44">
        <f t="shared" si="58"/>
        <v>46031</v>
      </c>
      <c r="U114" s="45">
        <f t="shared" si="59"/>
        <v>875000</v>
      </c>
      <c r="V114" s="46">
        <f t="shared" si="60"/>
        <v>46061</v>
      </c>
      <c r="W114" s="47">
        <f t="shared" si="61"/>
        <v>875000</v>
      </c>
      <c r="X114" s="285">
        <v>46046</v>
      </c>
      <c r="Y114" s="302">
        <v>875000</v>
      </c>
      <c r="Z114" s="50" t="s">
        <v>51</v>
      </c>
      <c r="AA114" s="267">
        <v>46078</v>
      </c>
      <c r="AB114" s="302">
        <v>875000</v>
      </c>
      <c r="AC114" s="127" t="s">
        <v>51</v>
      </c>
      <c r="AD114" s="54"/>
      <c r="AE114" s="55"/>
      <c r="AF114" s="56"/>
      <c r="AG114" s="53"/>
      <c r="AH114" s="53"/>
      <c r="AI114" s="53"/>
      <c r="AJ114" s="54"/>
      <c r="AK114" s="53"/>
      <c r="AL114" s="56"/>
      <c r="AM114" s="52">
        <f t="shared" si="62"/>
        <v>1750000</v>
      </c>
      <c r="AN114" s="52">
        <f t="shared" si="63"/>
        <v>0</v>
      </c>
      <c r="AO114" s="56"/>
      <c r="AP114" s="80"/>
    </row>
    <row r="115" spans="1:42" ht="12.75" customHeight="1">
      <c r="A115" s="29"/>
      <c r="B115" s="61">
        <v>112</v>
      </c>
      <c r="C115" s="298" t="s">
        <v>155</v>
      </c>
      <c r="D115" s="241"/>
      <c r="E115" s="241"/>
      <c r="F115" s="241"/>
      <c r="G115" s="241"/>
      <c r="H115" s="241"/>
      <c r="I115" s="241" t="s">
        <v>42</v>
      </c>
      <c r="J115" s="94">
        <f t="shared" si="56"/>
        <v>4</v>
      </c>
      <c r="K115" s="122"/>
      <c r="L115" s="299">
        <v>46091</v>
      </c>
      <c r="M115" s="299">
        <v>46095</v>
      </c>
      <c r="N115" s="39">
        <f t="shared" si="57"/>
        <v>1750000</v>
      </c>
      <c r="O115" s="140"/>
      <c r="P115" s="39">
        <f t="shared" si="42"/>
        <v>0</v>
      </c>
      <c r="Q115" s="123"/>
      <c r="R115" s="42">
        <f t="shared" si="43"/>
        <v>1750000</v>
      </c>
      <c r="S115" s="43">
        <f t="shared" si="44"/>
        <v>1470588.2352941178</v>
      </c>
      <c r="T115" s="99">
        <f t="shared" si="58"/>
        <v>46031</v>
      </c>
      <c r="U115" s="100">
        <f t="shared" si="59"/>
        <v>875000</v>
      </c>
      <c r="V115" s="101">
        <f t="shared" si="60"/>
        <v>46061</v>
      </c>
      <c r="W115" s="102">
        <f t="shared" si="61"/>
        <v>875000</v>
      </c>
      <c r="X115" s="287">
        <v>46046</v>
      </c>
      <c r="Y115" s="300">
        <v>875000</v>
      </c>
      <c r="Z115" s="105" t="s">
        <v>51</v>
      </c>
      <c r="AA115" s="324">
        <v>46078</v>
      </c>
      <c r="AB115" s="302">
        <v>875000</v>
      </c>
      <c r="AC115" s="108" t="s">
        <v>51</v>
      </c>
      <c r="AD115" s="109"/>
      <c r="AE115" s="110"/>
      <c r="AF115" s="111"/>
      <c r="AG115" s="108"/>
      <c r="AH115" s="108"/>
      <c r="AI115" s="108"/>
      <c r="AJ115" s="109"/>
      <c r="AK115" s="108"/>
      <c r="AL115" s="111"/>
      <c r="AM115" s="107">
        <f t="shared" si="62"/>
        <v>1750000</v>
      </c>
      <c r="AN115" s="107">
        <f t="shared" si="63"/>
        <v>0</v>
      </c>
      <c r="AO115" s="111"/>
      <c r="AP115" s="80"/>
    </row>
    <row r="116" spans="1:42" ht="12.75" customHeight="1">
      <c r="A116" s="29"/>
      <c r="B116" s="61">
        <v>113</v>
      </c>
      <c r="C116" s="291" t="s">
        <v>157</v>
      </c>
      <c r="D116" s="33"/>
      <c r="E116" s="33"/>
      <c r="F116" s="33"/>
      <c r="G116" s="33"/>
      <c r="H116" s="33"/>
      <c r="I116" s="33" t="s">
        <v>42</v>
      </c>
      <c r="J116" s="35">
        <f t="shared" si="56"/>
        <v>5</v>
      </c>
      <c r="K116" s="267"/>
      <c r="L116" s="293">
        <v>46067</v>
      </c>
      <c r="M116" s="293">
        <v>46072</v>
      </c>
      <c r="N116" s="39">
        <f t="shared" si="57"/>
        <v>2150000</v>
      </c>
      <c r="O116" s="131"/>
      <c r="P116" s="39">
        <f t="shared" si="42"/>
        <v>0</v>
      </c>
      <c r="Q116" s="127"/>
      <c r="R116" s="42">
        <f t="shared" si="43"/>
        <v>2150000</v>
      </c>
      <c r="S116" s="43">
        <f t="shared" si="44"/>
        <v>1806722.6890756304</v>
      </c>
      <c r="T116" s="44">
        <f t="shared" si="58"/>
        <v>46007</v>
      </c>
      <c r="U116" s="45">
        <f t="shared" si="59"/>
        <v>1075000</v>
      </c>
      <c r="V116" s="46">
        <f t="shared" si="60"/>
        <v>46037</v>
      </c>
      <c r="W116" s="47">
        <f t="shared" si="61"/>
        <v>1075000</v>
      </c>
      <c r="X116" s="280"/>
      <c r="Y116" s="302"/>
      <c r="Z116" s="50"/>
      <c r="AA116" s="53"/>
      <c r="AB116" s="53"/>
      <c r="AC116" s="53"/>
      <c r="AD116" s="54"/>
      <c r="AE116" s="55"/>
      <c r="AF116" s="56"/>
      <c r="AG116" s="53"/>
      <c r="AH116" s="53"/>
      <c r="AI116" s="53"/>
      <c r="AJ116" s="54"/>
      <c r="AK116" s="53"/>
      <c r="AL116" s="56"/>
      <c r="AM116" s="52">
        <f t="shared" si="62"/>
        <v>0</v>
      </c>
      <c r="AN116" s="52">
        <f t="shared" si="63"/>
        <v>2150000</v>
      </c>
      <c r="AO116" s="56"/>
      <c r="AP116" s="80"/>
    </row>
    <row r="117" spans="1:42" ht="12.75" customHeight="1">
      <c r="A117" s="29"/>
      <c r="B117" s="61">
        <v>114</v>
      </c>
      <c r="C117" s="304" t="s">
        <v>157</v>
      </c>
      <c r="D117" s="269"/>
      <c r="E117" s="269"/>
      <c r="F117" s="269"/>
      <c r="G117" s="269"/>
      <c r="H117" s="269"/>
      <c r="I117" s="269" t="s">
        <v>42</v>
      </c>
      <c r="J117" s="65">
        <f t="shared" si="56"/>
        <v>5</v>
      </c>
      <c r="K117" s="234"/>
      <c r="L117" s="305">
        <v>46067</v>
      </c>
      <c r="M117" s="305">
        <v>46072</v>
      </c>
      <c r="N117" s="39">
        <f t="shared" si="57"/>
        <v>2150000</v>
      </c>
      <c r="O117" s="134"/>
      <c r="P117" s="39">
        <f t="shared" si="42"/>
        <v>0</v>
      </c>
      <c r="Q117" s="8"/>
      <c r="R117" s="42">
        <f t="shared" si="43"/>
        <v>2150000</v>
      </c>
      <c r="S117" s="43">
        <f t="shared" si="44"/>
        <v>1806722.6890756304</v>
      </c>
      <c r="T117" s="71">
        <f t="shared" si="58"/>
        <v>46007</v>
      </c>
      <c r="U117" s="72">
        <f t="shared" si="59"/>
        <v>1075000</v>
      </c>
      <c r="V117" s="73">
        <f t="shared" si="60"/>
        <v>46037</v>
      </c>
      <c r="W117" s="74">
        <f t="shared" si="61"/>
        <v>1075000</v>
      </c>
      <c r="X117" s="236"/>
      <c r="Y117" s="235"/>
      <c r="Z117" s="77"/>
      <c r="AA117" s="80"/>
      <c r="AB117" s="80"/>
      <c r="AC117" s="80"/>
      <c r="AD117" s="81"/>
      <c r="AE117" s="82"/>
      <c r="AF117" s="83"/>
      <c r="AG117" s="80"/>
      <c r="AH117" s="80"/>
      <c r="AI117" s="80"/>
      <c r="AJ117" s="81"/>
      <c r="AK117" s="80"/>
      <c r="AL117" s="83"/>
      <c r="AM117" s="79">
        <f t="shared" si="62"/>
        <v>0</v>
      </c>
      <c r="AN117" s="79">
        <f t="shared" si="63"/>
        <v>2150000</v>
      </c>
      <c r="AO117" s="83"/>
      <c r="AP117" s="80"/>
    </row>
    <row r="118" spans="1:42" ht="12.75" customHeight="1">
      <c r="A118" s="29"/>
      <c r="B118" s="61">
        <v>115</v>
      </c>
      <c r="C118" s="304" t="s">
        <v>157</v>
      </c>
      <c r="D118" s="269"/>
      <c r="E118" s="269"/>
      <c r="F118" s="269"/>
      <c r="G118" s="269"/>
      <c r="H118" s="269"/>
      <c r="I118" s="269" t="s">
        <v>42</v>
      </c>
      <c r="J118" s="65">
        <f t="shared" si="56"/>
        <v>5</v>
      </c>
      <c r="K118" s="234"/>
      <c r="L118" s="305">
        <v>46068</v>
      </c>
      <c r="M118" s="305">
        <v>46073</v>
      </c>
      <c r="N118" s="39">
        <f t="shared" si="57"/>
        <v>2150000</v>
      </c>
      <c r="O118" s="308"/>
      <c r="P118" s="39">
        <f t="shared" si="42"/>
        <v>0</v>
      </c>
      <c r="Q118" s="8"/>
      <c r="R118" s="42">
        <f t="shared" si="43"/>
        <v>2150000</v>
      </c>
      <c r="S118" s="43">
        <f t="shared" si="44"/>
        <v>1806722.6890756304</v>
      </c>
      <c r="T118" s="71">
        <f t="shared" si="58"/>
        <v>46008</v>
      </c>
      <c r="U118" s="72">
        <f t="shared" si="59"/>
        <v>1075000</v>
      </c>
      <c r="V118" s="73">
        <f t="shared" si="60"/>
        <v>46038</v>
      </c>
      <c r="W118" s="74">
        <f t="shared" si="61"/>
        <v>1075000</v>
      </c>
      <c r="X118" s="236"/>
      <c r="Y118" s="235"/>
      <c r="Z118" s="77"/>
      <c r="AA118" s="234"/>
      <c r="AB118" s="8"/>
      <c r="AC118" s="8"/>
      <c r="AD118" s="81"/>
      <c r="AE118" s="82"/>
      <c r="AF118" s="83"/>
      <c r="AG118" s="80"/>
      <c r="AH118" s="80"/>
      <c r="AI118" s="80"/>
      <c r="AJ118" s="81"/>
      <c r="AK118" s="80"/>
      <c r="AL118" s="83"/>
      <c r="AM118" s="79">
        <f t="shared" si="62"/>
        <v>0</v>
      </c>
      <c r="AN118" s="79">
        <f t="shared" si="63"/>
        <v>2150000</v>
      </c>
      <c r="AO118" s="83"/>
      <c r="AP118" s="80"/>
    </row>
    <row r="119" spans="1:42" ht="12.75" customHeight="1">
      <c r="A119" s="29"/>
      <c r="B119" s="61">
        <v>116</v>
      </c>
      <c r="C119" s="304" t="s">
        <v>157</v>
      </c>
      <c r="D119" s="269"/>
      <c r="E119" s="269"/>
      <c r="F119" s="269"/>
      <c r="G119" s="269"/>
      <c r="H119" s="269"/>
      <c r="I119" s="269" t="s">
        <v>42</v>
      </c>
      <c r="J119" s="65">
        <f t="shared" si="56"/>
        <v>5</v>
      </c>
      <c r="K119" s="234"/>
      <c r="L119" s="305">
        <v>46069</v>
      </c>
      <c r="M119" s="305">
        <v>46074</v>
      </c>
      <c r="N119" s="39">
        <f t="shared" si="57"/>
        <v>2150000</v>
      </c>
      <c r="O119" s="308"/>
      <c r="P119" s="39">
        <f t="shared" si="42"/>
        <v>0</v>
      </c>
      <c r="Q119" s="8"/>
      <c r="R119" s="42">
        <f t="shared" si="43"/>
        <v>2150000</v>
      </c>
      <c r="S119" s="43">
        <f t="shared" si="44"/>
        <v>1806722.6890756304</v>
      </c>
      <c r="T119" s="71">
        <f t="shared" si="58"/>
        <v>46009</v>
      </c>
      <c r="U119" s="72">
        <f t="shared" si="59"/>
        <v>1075000</v>
      </c>
      <c r="V119" s="73">
        <f t="shared" si="60"/>
        <v>46039</v>
      </c>
      <c r="W119" s="74">
        <f t="shared" si="61"/>
        <v>1075000</v>
      </c>
      <c r="X119" s="236"/>
      <c r="Y119" s="235"/>
      <c r="Z119" s="77"/>
      <c r="AA119" s="80"/>
      <c r="AB119" s="80"/>
      <c r="AC119" s="80"/>
      <c r="AD119" s="81"/>
      <c r="AE119" s="82"/>
      <c r="AF119" s="83"/>
      <c r="AG119" s="80"/>
      <c r="AH119" s="80"/>
      <c r="AI119" s="80"/>
      <c r="AJ119" s="84"/>
      <c r="AK119" s="79"/>
      <c r="AL119" s="290"/>
      <c r="AM119" s="79">
        <f t="shared" si="62"/>
        <v>0</v>
      </c>
      <c r="AN119" s="79">
        <f t="shared" si="63"/>
        <v>2150000</v>
      </c>
      <c r="AO119" s="83"/>
      <c r="AP119" s="80"/>
    </row>
    <row r="120" spans="1:42" ht="12.75" customHeight="1">
      <c r="A120" s="29"/>
      <c r="B120" s="61">
        <v>117</v>
      </c>
      <c r="C120" s="298" t="s">
        <v>157</v>
      </c>
      <c r="D120" s="241"/>
      <c r="E120" s="241"/>
      <c r="F120" s="241"/>
      <c r="G120" s="241"/>
      <c r="H120" s="241"/>
      <c r="I120" s="241" t="s">
        <v>42</v>
      </c>
      <c r="J120" s="94">
        <f t="shared" si="56"/>
        <v>5</v>
      </c>
      <c r="K120" s="122"/>
      <c r="L120" s="299">
        <v>46070</v>
      </c>
      <c r="M120" s="299">
        <v>46075</v>
      </c>
      <c r="N120" s="39">
        <f t="shared" si="57"/>
        <v>2150000</v>
      </c>
      <c r="O120" s="128"/>
      <c r="P120" s="39">
        <f t="shared" si="42"/>
        <v>0</v>
      </c>
      <c r="Q120" s="123"/>
      <c r="R120" s="42">
        <f t="shared" si="43"/>
        <v>2150000</v>
      </c>
      <c r="S120" s="43">
        <f t="shared" si="44"/>
        <v>1806722.6890756304</v>
      </c>
      <c r="T120" s="99">
        <f t="shared" si="58"/>
        <v>46010</v>
      </c>
      <c r="U120" s="100">
        <f t="shared" si="59"/>
        <v>1075000</v>
      </c>
      <c r="V120" s="101">
        <f t="shared" si="60"/>
        <v>46040</v>
      </c>
      <c r="W120" s="102">
        <f t="shared" si="61"/>
        <v>1075000</v>
      </c>
      <c r="X120" s="287"/>
      <c r="Y120" s="300"/>
      <c r="Z120" s="105"/>
      <c r="AA120" s="108"/>
      <c r="AB120" s="108"/>
      <c r="AC120" s="108"/>
      <c r="AD120" s="109"/>
      <c r="AE120" s="110"/>
      <c r="AF120" s="111"/>
      <c r="AG120" s="108"/>
      <c r="AH120" s="108"/>
      <c r="AI120" s="108"/>
      <c r="AJ120" s="112"/>
      <c r="AK120" s="107"/>
      <c r="AL120" s="289"/>
      <c r="AM120" s="107">
        <f t="shared" si="62"/>
        <v>0</v>
      </c>
      <c r="AN120" s="107">
        <f t="shared" si="63"/>
        <v>2150000</v>
      </c>
      <c r="AO120" s="111"/>
      <c r="AP120" s="80"/>
    </row>
    <row r="121" spans="1:42" ht="12.75" customHeight="1">
      <c r="A121" s="29"/>
      <c r="B121" s="61">
        <v>118</v>
      </c>
      <c r="C121" s="291" t="s">
        <v>158</v>
      </c>
      <c r="D121" s="33"/>
      <c r="E121" s="33"/>
      <c r="F121" s="33"/>
      <c r="G121" s="33"/>
      <c r="H121" s="33"/>
      <c r="I121" s="33" t="s">
        <v>159</v>
      </c>
      <c r="J121" s="35">
        <f t="shared" si="56"/>
        <v>7</v>
      </c>
      <c r="K121" s="267"/>
      <c r="L121" s="293">
        <v>46127</v>
      </c>
      <c r="M121" s="293">
        <v>46134</v>
      </c>
      <c r="N121" s="39">
        <v>3300000</v>
      </c>
      <c r="O121" s="131"/>
      <c r="P121" s="39">
        <f t="shared" si="42"/>
        <v>0</v>
      </c>
      <c r="Q121" s="127"/>
      <c r="R121" s="42">
        <f t="shared" si="43"/>
        <v>3300000</v>
      </c>
      <c r="S121" s="43">
        <f t="shared" si="44"/>
        <v>2773109.2436974789</v>
      </c>
      <c r="T121" s="44">
        <f t="shared" si="58"/>
        <v>46067</v>
      </c>
      <c r="U121" s="45">
        <f t="shared" si="59"/>
        <v>1650000</v>
      </c>
      <c r="V121" s="46">
        <f t="shared" si="60"/>
        <v>46097</v>
      </c>
      <c r="W121" s="47">
        <f t="shared" si="61"/>
        <v>1650000</v>
      </c>
      <c r="X121" s="280"/>
      <c r="Y121" s="302"/>
      <c r="Z121" s="50"/>
      <c r="AA121" s="53"/>
      <c r="AB121" s="53"/>
      <c r="AC121" s="53"/>
      <c r="AD121" s="54"/>
      <c r="AE121" s="55"/>
      <c r="AF121" s="56"/>
      <c r="AG121" s="53"/>
      <c r="AH121" s="53"/>
      <c r="AI121" s="53"/>
      <c r="AJ121" s="54"/>
      <c r="AK121" s="53"/>
      <c r="AL121" s="56"/>
      <c r="AM121" s="52">
        <f t="shared" si="62"/>
        <v>0</v>
      </c>
      <c r="AN121" s="52">
        <f t="shared" si="63"/>
        <v>3300000</v>
      </c>
      <c r="AO121" s="56"/>
      <c r="AP121" s="80"/>
    </row>
    <row r="122" spans="1:42" ht="12.75" customHeight="1">
      <c r="A122" s="29"/>
      <c r="B122" s="61">
        <v>119</v>
      </c>
      <c r="C122" s="298" t="s">
        <v>158</v>
      </c>
      <c r="D122" s="241"/>
      <c r="E122" s="241"/>
      <c r="F122" s="241"/>
      <c r="G122" s="241"/>
      <c r="H122" s="241"/>
      <c r="I122" s="241" t="s">
        <v>159</v>
      </c>
      <c r="J122" s="94">
        <f t="shared" si="56"/>
        <v>7</v>
      </c>
      <c r="K122" s="122"/>
      <c r="L122" s="299">
        <v>46127</v>
      </c>
      <c r="M122" s="299">
        <v>46134</v>
      </c>
      <c r="N122" s="39">
        <v>3300000</v>
      </c>
      <c r="O122" s="140"/>
      <c r="P122" s="39">
        <f t="shared" si="42"/>
        <v>0</v>
      </c>
      <c r="Q122" s="123"/>
      <c r="R122" s="42">
        <f t="shared" si="43"/>
        <v>3300000</v>
      </c>
      <c r="S122" s="43">
        <f t="shared" si="44"/>
        <v>2773109.2436974789</v>
      </c>
      <c r="T122" s="99">
        <f t="shared" si="58"/>
        <v>46067</v>
      </c>
      <c r="U122" s="100">
        <f t="shared" si="59"/>
        <v>1650000</v>
      </c>
      <c r="V122" s="101">
        <f t="shared" si="60"/>
        <v>46097</v>
      </c>
      <c r="W122" s="102">
        <f t="shared" si="61"/>
        <v>1650000</v>
      </c>
      <c r="X122" s="287"/>
      <c r="Y122" s="300"/>
      <c r="Z122" s="105"/>
      <c r="AA122" s="108"/>
      <c r="AB122" s="108"/>
      <c r="AC122" s="108"/>
      <c r="AD122" s="109"/>
      <c r="AE122" s="110"/>
      <c r="AF122" s="111"/>
      <c r="AG122" s="108"/>
      <c r="AH122" s="108"/>
      <c r="AI122" s="108"/>
      <c r="AJ122" s="109"/>
      <c r="AK122" s="108"/>
      <c r="AL122" s="111"/>
      <c r="AM122" s="107">
        <f t="shared" si="62"/>
        <v>0</v>
      </c>
      <c r="AN122" s="107">
        <f t="shared" si="63"/>
        <v>3300000</v>
      </c>
      <c r="AO122" s="111"/>
      <c r="AP122" s="80"/>
    </row>
    <row r="123" spans="1:42" ht="12.75" customHeight="1">
      <c r="A123" s="29"/>
      <c r="B123" s="61">
        <v>120</v>
      </c>
      <c r="C123" s="291" t="s">
        <v>146</v>
      </c>
      <c r="D123" s="33" t="s">
        <v>160</v>
      </c>
      <c r="E123" s="33"/>
      <c r="F123" s="33"/>
      <c r="G123" s="33"/>
      <c r="H123" s="33"/>
      <c r="I123" s="33" t="s">
        <v>42</v>
      </c>
      <c r="J123" s="35">
        <f t="shared" si="56"/>
        <v>4</v>
      </c>
      <c r="K123" s="267"/>
      <c r="L123" s="293">
        <v>46101</v>
      </c>
      <c r="M123" s="293">
        <v>46105</v>
      </c>
      <c r="N123" s="39">
        <f>IF(J123=3,(1350000))+IF(J123=4,(1750000))+IF(J123=5,(2150000))+IF(J123=6,(2550000))+IF(J123=7,(2950000))</f>
        <v>1750000</v>
      </c>
      <c r="O123" s="131">
        <v>0.25</v>
      </c>
      <c r="P123" s="39">
        <f t="shared" si="42"/>
        <v>437500</v>
      </c>
      <c r="Q123" s="127"/>
      <c r="R123" s="42">
        <f t="shared" si="43"/>
        <v>1312500</v>
      </c>
      <c r="S123" s="43">
        <f t="shared" si="44"/>
        <v>1102941.1764705882</v>
      </c>
      <c r="T123" s="44">
        <f t="shared" si="58"/>
        <v>46041</v>
      </c>
      <c r="U123" s="45">
        <f t="shared" si="59"/>
        <v>656250</v>
      </c>
      <c r="V123" s="46">
        <f t="shared" si="60"/>
        <v>46071</v>
      </c>
      <c r="W123" s="47">
        <f t="shared" si="61"/>
        <v>656250</v>
      </c>
      <c r="X123" s="280"/>
      <c r="Y123" s="302"/>
      <c r="Z123" s="50"/>
      <c r="AA123" s="53"/>
      <c r="AB123" s="53"/>
      <c r="AC123" s="53"/>
      <c r="AD123" s="54"/>
      <c r="AE123" s="55"/>
      <c r="AF123" s="56"/>
      <c r="AG123" s="53"/>
      <c r="AH123" s="53"/>
      <c r="AI123" s="53"/>
      <c r="AJ123" s="54"/>
      <c r="AK123" s="53"/>
      <c r="AL123" s="56"/>
      <c r="AM123" s="52">
        <f t="shared" si="62"/>
        <v>0</v>
      </c>
      <c r="AN123" s="52">
        <f t="shared" si="63"/>
        <v>1312500</v>
      </c>
      <c r="AO123" s="56"/>
      <c r="AP123" s="80"/>
    </row>
    <row r="124" spans="1:42" ht="12.75" customHeight="1">
      <c r="A124" s="29"/>
      <c r="B124" s="61">
        <v>121</v>
      </c>
      <c r="C124" s="298" t="s">
        <v>76</v>
      </c>
      <c r="D124" s="241" t="s">
        <v>161</v>
      </c>
      <c r="E124" s="241"/>
      <c r="F124" s="241"/>
      <c r="G124" s="241"/>
      <c r="H124" s="241"/>
      <c r="I124" s="241" t="s">
        <v>81</v>
      </c>
      <c r="J124" s="94">
        <f t="shared" si="56"/>
        <v>4</v>
      </c>
      <c r="K124" s="122"/>
      <c r="L124" s="299">
        <v>46101</v>
      </c>
      <c r="M124" s="299">
        <v>46105</v>
      </c>
      <c r="N124" s="39">
        <v>2450000</v>
      </c>
      <c r="O124" s="140">
        <v>0.25</v>
      </c>
      <c r="P124" s="39">
        <f t="shared" si="42"/>
        <v>612500</v>
      </c>
      <c r="Q124" s="123"/>
      <c r="R124" s="42">
        <f t="shared" si="43"/>
        <v>1837500</v>
      </c>
      <c r="S124" s="43">
        <f t="shared" si="44"/>
        <v>1544117.6470588236</v>
      </c>
      <c r="T124" s="99">
        <f t="shared" si="58"/>
        <v>46041</v>
      </c>
      <c r="U124" s="100">
        <f t="shared" si="59"/>
        <v>918750</v>
      </c>
      <c r="V124" s="101">
        <f t="shared" si="60"/>
        <v>46071</v>
      </c>
      <c r="W124" s="102">
        <f t="shared" si="61"/>
        <v>918750</v>
      </c>
      <c r="X124" s="287"/>
      <c r="Y124" s="300"/>
      <c r="Z124" s="105"/>
      <c r="AA124" s="108"/>
      <c r="AB124" s="108"/>
      <c r="AC124" s="108"/>
      <c r="AD124" s="109"/>
      <c r="AE124" s="110"/>
      <c r="AF124" s="111"/>
      <c r="AG124" s="108"/>
      <c r="AH124" s="108"/>
      <c r="AI124" s="108"/>
      <c r="AJ124" s="109"/>
      <c r="AK124" s="108"/>
      <c r="AL124" s="111"/>
      <c r="AM124" s="107">
        <f t="shared" si="62"/>
        <v>0</v>
      </c>
      <c r="AN124" s="107">
        <f t="shared" si="63"/>
        <v>1837500</v>
      </c>
      <c r="AO124" s="111"/>
      <c r="AP124" s="80"/>
    </row>
    <row r="125" spans="1:42" ht="12.75" customHeight="1">
      <c r="A125" s="29"/>
      <c r="B125" s="61">
        <v>122</v>
      </c>
      <c r="C125" s="291" t="s">
        <v>162</v>
      </c>
      <c r="D125" s="33"/>
      <c r="E125" s="33"/>
      <c r="F125" s="33"/>
      <c r="G125" s="33"/>
      <c r="H125" s="33"/>
      <c r="I125" s="33" t="s">
        <v>42</v>
      </c>
      <c r="J125" s="35">
        <f t="shared" si="56"/>
        <v>5</v>
      </c>
      <c r="K125" s="267"/>
      <c r="L125" s="293">
        <v>46094</v>
      </c>
      <c r="M125" s="293">
        <v>46099</v>
      </c>
      <c r="N125" s="39">
        <f t="shared" ref="N125:N130" si="64">IF(J125=3,(1350000))+IF(J125=4,(1750000))+IF(J125=5,(2150000))+IF(J125=6,(2550000))+IF(J125=7,(2950000))</f>
        <v>2150000</v>
      </c>
      <c r="O125" s="131"/>
      <c r="P125" s="39">
        <f t="shared" si="42"/>
        <v>0</v>
      </c>
      <c r="Q125" s="127"/>
      <c r="R125" s="42">
        <f t="shared" si="43"/>
        <v>2150000</v>
      </c>
      <c r="S125" s="43">
        <f t="shared" si="44"/>
        <v>1806722.6890756304</v>
      </c>
      <c r="T125" s="44">
        <f t="shared" si="58"/>
        <v>46034</v>
      </c>
      <c r="U125" s="45">
        <f t="shared" si="59"/>
        <v>1075000</v>
      </c>
      <c r="V125" s="46">
        <f t="shared" si="60"/>
        <v>46064</v>
      </c>
      <c r="W125" s="47">
        <f t="shared" si="61"/>
        <v>1075000</v>
      </c>
      <c r="X125" s="280"/>
      <c r="Y125" s="302"/>
      <c r="Z125" s="50"/>
      <c r="AA125" s="53"/>
      <c r="AB125" s="53"/>
      <c r="AC125" s="53"/>
      <c r="AD125" s="54"/>
      <c r="AE125" s="55"/>
      <c r="AF125" s="56"/>
      <c r="AG125" s="53"/>
      <c r="AH125" s="53"/>
      <c r="AI125" s="53"/>
      <c r="AJ125" s="54"/>
      <c r="AK125" s="53"/>
      <c r="AL125" s="56"/>
      <c r="AM125" s="52">
        <f t="shared" si="62"/>
        <v>0</v>
      </c>
      <c r="AN125" s="52">
        <f t="shared" si="63"/>
        <v>2150000</v>
      </c>
      <c r="AO125" s="56"/>
      <c r="AP125" s="80"/>
    </row>
    <row r="126" spans="1:42" ht="12.75" customHeight="1">
      <c r="A126" s="29"/>
      <c r="B126" s="61">
        <v>123</v>
      </c>
      <c r="C126" s="304" t="s">
        <v>162</v>
      </c>
      <c r="D126" s="269"/>
      <c r="E126" s="269"/>
      <c r="F126" s="269"/>
      <c r="G126" s="269"/>
      <c r="H126" s="269"/>
      <c r="I126" s="269" t="s">
        <v>42</v>
      </c>
      <c r="J126" s="65">
        <f t="shared" si="56"/>
        <v>5</v>
      </c>
      <c r="K126" s="234"/>
      <c r="L126" s="305">
        <v>46094</v>
      </c>
      <c r="M126" s="305">
        <v>46099</v>
      </c>
      <c r="N126" s="39">
        <f t="shared" si="64"/>
        <v>2150000</v>
      </c>
      <c r="O126" s="134"/>
      <c r="P126" s="39">
        <f t="shared" si="42"/>
        <v>0</v>
      </c>
      <c r="Q126" s="8"/>
      <c r="R126" s="42">
        <f t="shared" si="43"/>
        <v>2150000</v>
      </c>
      <c r="S126" s="43">
        <f t="shared" si="44"/>
        <v>1806722.6890756304</v>
      </c>
      <c r="T126" s="71">
        <f t="shared" si="58"/>
        <v>46034</v>
      </c>
      <c r="U126" s="72">
        <f t="shared" si="59"/>
        <v>1075000</v>
      </c>
      <c r="V126" s="73">
        <f t="shared" si="60"/>
        <v>46064</v>
      </c>
      <c r="W126" s="74">
        <f t="shared" si="61"/>
        <v>1075000</v>
      </c>
      <c r="X126" s="81"/>
      <c r="Y126" s="309"/>
      <c r="Z126" s="83"/>
      <c r="AA126" s="80"/>
      <c r="AB126" s="80"/>
      <c r="AC126" s="80"/>
      <c r="AD126" s="81"/>
      <c r="AE126" s="82"/>
      <c r="AF126" s="83"/>
      <c r="AG126" s="80"/>
      <c r="AH126" s="80"/>
      <c r="AI126" s="80"/>
      <c r="AJ126" s="81"/>
      <c r="AK126" s="80"/>
      <c r="AL126" s="83"/>
      <c r="AM126" s="79">
        <f t="shared" si="62"/>
        <v>0</v>
      </c>
      <c r="AN126" s="79">
        <f t="shared" si="63"/>
        <v>2150000</v>
      </c>
      <c r="AO126" s="83"/>
      <c r="AP126" s="80"/>
    </row>
    <row r="127" spans="1:42" ht="12.75" customHeight="1">
      <c r="A127" s="29"/>
      <c r="B127" s="61">
        <v>124</v>
      </c>
      <c r="C127" s="304" t="s">
        <v>162</v>
      </c>
      <c r="D127" s="269"/>
      <c r="E127" s="269"/>
      <c r="F127" s="269"/>
      <c r="G127" s="269"/>
      <c r="H127" s="269"/>
      <c r="I127" s="269" t="s">
        <v>42</v>
      </c>
      <c r="J127" s="65">
        <f t="shared" si="56"/>
        <v>5</v>
      </c>
      <c r="K127" s="234"/>
      <c r="L127" s="305">
        <v>46094</v>
      </c>
      <c r="M127" s="305">
        <v>46099</v>
      </c>
      <c r="N127" s="39">
        <f t="shared" si="64"/>
        <v>2150000</v>
      </c>
      <c r="O127" s="134"/>
      <c r="P127" s="39">
        <f t="shared" si="42"/>
        <v>0</v>
      </c>
      <c r="Q127" s="8"/>
      <c r="R127" s="42">
        <f t="shared" si="43"/>
        <v>2150000</v>
      </c>
      <c r="S127" s="43">
        <f t="shared" si="44"/>
        <v>1806722.6890756304</v>
      </c>
      <c r="T127" s="71">
        <f t="shared" si="58"/>
        <v>46034</v>
      </c>
      <c r="U127" s="72">
        <f t="shared" si="59"/>
        <v>1075000</v>
      </c>
      <c r="V127" s="73">
        <f t="shared" si="60"/>
        <v>46064</v>
      </c>
      <c r="W127" s="74">
        <f t="shared" si="61"/>
        <v>1075000</v>
      </c>
      <c r="X127" s="236"/>
      <c r="Y127" s="235"/>
      <c r="Z127" s="77"/>
      <c r="AA127" s="234"/>
      <c r="AB127" s="8"/>
      <c r="AC127" s="8"/>
      <c r="AD127" s="236"/>
      <c r="AE127" s="184"/>
      <c r="AF127" s="77"/>
      <c r="AG127" s="80"/>
      <c r="AH127" s="80"/>
      <c r="AI127" s="80"/>
      <c r="AJ127" s="81"/>
      <c r="AK127" s="80"/>
      <c r="AL127" s="83"/>
      <c r="AM127" s="79">
        <f t="shared" si="62"/>
        <v>0</v>
      </c>
      <c r="AN127" s="79">
        <f t="shared" si="63"/>
        <v>2150000</v>
      </c>
      <c r="AO127" s="83"/>
      <c r="AP127" s="80"/>
    </row>
    <row r="128" spans="1:42" ht="12.75" customHeight="1">
      <c r="A128" s="29"/>
      <c r="B128" s="61">
        <v>125</v>
      </c>
      <c r="C128" s="298" t="s">
        <v>162</v>
      </c>
      <c r="D128" s="241"/>
      <c r="E128" s="241"/>
      <c r="F128" s="241"/>
      <c r="G128" s="241"/>
      <c r="H128" s="241"/>
      <c r="I128" s="241" t="s">
        <v>42</v>
      </c>
      <c r="J128" s="94">
        <f t="shared" si="56"/>
        <v>5</v>
      </c>
      <c r="K128" s="108"/>
      <c r="L128" s="299">
        <v>46094</v>
      </c>
      <c r="M128" s="299">
        <v>46099</v>
      </c>
      <c r="N128" s="39">
        <f t="shared" si="64"/>
        <v>2150000</v>
      </c>
      <c r="O128" s="128"/>
      <c r="P128" s="39">
        <f t="shared" si="42"/>
        <v>0</v>
      </c>
      <c r="Q128" s="123"/>
      <c r="R128" s="42">
        <f t="shared" si="43"/>
        <v>2150000</v>
      </c>
      <c r="S128" s="43">
        <f t="shared" si="44"/>
        <v>1806722.6890756304</v>
      </c>
      <c r="T128" s="99">
        <f t="shared" si="58"/>
        <v>46034</v>
      </c>
      <c r="U128" s="100">
        <f t="shared" si="59"/>
        <v>1075000</v>
      </c>
      <c r="V128" s="101">
        <f t="shared" si="60"/>
        <v>46064</v>
      </c>
      <c r="W128" s="102">
        <f t="shared" si="61"/>
        <v>1075000</v>
      </c>
      <c r="X128" s="287"/>
      <c r="Y128" s="300"/>
      <c r="Z128" s="105"/>
      <c r="AA128" s="108"/>
      <c r="AB128" s="108"/>
      <c r="AC128" s="108"/>
      <c r="AD128" s="109"/>
      <c r="AE128" s="110"/>
      <c r="AF128" s="111"/>
      <c r="AG128" s="108"/>
      <c r="AH128" s="108"/>
      <c r="AI128" s="108"/>
      <c r="AJ128" s="109"/>
      <c r="AK128" s="108"/>
      <c r="AL128" s="111"/>
      <c r="AM128" s="107">
        <f t="shared" si="62"/>
        <v>0</v>
      </c>
      <c r="AN128" s="107">
        <f t="shared" si="63"/>
        <v>2150000</v>
      </c>
      <c r="AO128" s="111"/>
      <c r="AP128" s="80"/>
    </row>
    <row r="129" spans="1:42" ht="12.75" customHeight="1">
      <c r="A129" s="29"/>
      <c r="B129" s="61">
        <v>126</v>
      </c>
      <c r="C129" s="291" t="s">
        <v>163</v>
      </c>
      <c r="D129" s="33"/>
      <c r="E129" s="33"/>
      <c r="F129" s="33"/>
      <c r="G129" s="33"/>
      <c r="H129" s="33"/>
      <c r="I129" s="33" t="s">
        <v>42</v>
      </c>
      <c r="J129" s="35">
        <f t="shared" si="56"/>
        <v>5</v>
      </c>
      <c r="K129" s="53"/>
      <c r="L129" s="293">
        <v>46116</v>
      </c>
      <c r="M129" s="293">
        <v>46121</v>
      </c>
      <c r="N129" s="39">
        <f t="shared" si="64"/>
        <v>2150000</v>
      </c>
      <c r="O129" s="294"/>
      <c r="P129" s="39">
        <f t="shared" si="42"/>
        <v>0</v>
      </c>
      <c r="Q129" s="127"/>
      <c r="R129" s="42">
        <f t="shared" si="43"/>
        <v>2150000</v>
      </c>
      <c r="S129" s="43">
        <f t="shared" si="44"/>
        <v>1806722.6890756304</v>
      </c>
      <c r="T129" s="44">
        <f t="shared" si="58"/>
        <v>46056</v>
      </c>
      <c r="U129" s="45">
        <f t="shared" si="59"/>
        <v>1075000</v>
      </c>
      <c r="V129" s="46">
        <f t="shared" si="60"/>
        <v>46086</v>
      </c>
      <c r="W129" s="47">
        <f t="shared" si="61"/>
        <v>1075000</v>
      </c>
      <c r="X129" s="280"/>
      <c r="Y129" s="302"/>
      <c r="Z129" s="50"/>
      <c r="AA129" s="53"/>
      <c r="AB129" s="53"/>
      <c r="AC129" s="53"/>
      <c r="AD129" s="54"/>
      <c r="AE129" s="55"/>
      <c r="AF129" s="56"/>
      <c r="AG129" s="53"/>
      <c r="AH129" s="53"/>
      <c r="AI129" s="53"/>
      <c r="AJ129" s="54"/>
      <c r="AK129" s="53"/>
      <c r="AL129" s="56"/>
      <c r="AM129" s="52">
        <f t="shared" si="62"/>
        <v>0</v>
      </c>
      <c r="AN129" s="52">
        <f t="shared" si="63"/>
        <v>2150000</v>
      </c>
      <c r="AO129" s="56"/>
      <c r="AP129" s="80"/>
    </row>
    <row r="130" spans="1:42" ht="12.75" customHeight="1">
      <c r="A130" s="29"/>
      <c r="B130" s="61">
        <v>127</v>
      </c>
      <c r="C130" s="298" t="s">
        <v>163</v>
      </c>
      <c r="D130" s="241"/>
      <c r="E130" s="241"/>
      <c r="F130" s="241"/>
      <c r="G130" s="241"/>
      <c r="H130" s="241"/>
      <c r="I130" s="241" t="s">
        <v>42</v>
      </c>
      <c r="J130" s="94">
        <f t="shared" si="56"/>
        <v>5</v>
      </c>
      <c r="K130" s="108"/>
      <c r="L130" s="299">
        <v>46116</v>
      </c>
      <c r="M130" s="299">
        <v>46121</v>
      </c>
      <c r="N130" s="39">
        <f t="shared" si="64"/>
        <v>2150000</v>
      </c>
      <c r="O130" s="128"/>
      <c r="P130" s="39">
        <f t="shared" si="42"/>
        <v>0</v>
      </c>
      <c r="Q130" s="123"/>
      <c r="R130" s="42">
        <f t="shared" si="43"/>
        <v>2150000</v>
      </c>
      <c r="S130" s="43">
        <f t="shared" si="44"/>
        <v>1806722.6890756304</v>
      </c>
      <c r="T130" s="99">
        <f t="shared" si="58"/>
        <v>46056</v>
      </c>
      <c r="U130" s="100">
        <f t="shared" si="59"/>
        <v>1075000</v>
      </c>
      <c r="V130" s="101">
        <f t="shared" si="60"/>
        <v>46086</v>
      </c>
      <c r="W130" s="102">
        <f t="shared" si="61"/>
        <v>1075000</v>
      </c>
      <c r="X130" s="287"/>
      <c r="Y130" s="300"/>
      <c r="Z130" s="105"/>
      <c r="AA130" s="122"/>
      <c r="AB130" s="123"/>
      <c r="AC130" s="123"/>
      <c r="AD130" s="109"/>
      <c r="AE130" s="110"/>
      <c r="AF130" s="111"/>
      <c r="AG130" s="108"/>
      <c r="AH130" s="108"/>
      <c r="AI130" s="108"/>
      <c r="AJ130" s="109"/>
      <c r="AK130" s="108"/>
      <c r="AL130" s="111"/>
      <c r="AM130" s="107">
        <f t="shared" si="62"/>
        <v>0</v>
      </c>
      <c r="AN130" s="107">
        <f t="shared" si="63"/>
        <v>2150000</v>
      </c>
      <c r="AO130" s="111"/>
      <c r="AP130" s="80"/>
    </row>
    <row r="131" spans="1:42" ht="12.75" customHeight="1">
      <c r="A131" s="29"/>
      <c r="B131" s="61">
        <v>128</v>
      </c>
      <c r="C131" s="291" t="s">
        <v>164</v>
      </c>
      <c r="D131" s="33"/>
      <c r="E131" s="33"/>
      <c r="F131" s="33"/>
      <c r="G131" s="33"/>
      <c r="H131" s="33"/>
      <c r="I131" s="33" t="s">
        <v>165</v>
      </c>
      <c r="J131" s="35">
        <f t="shared" si="56"/>
        <v>5</v>
      </c>
      <c r="K131" s="53"/>
      <c r="L131" s="293">
        <v>46125</v>
      </c>
      <c r="M131" s="293">
        <v>46130</v>
      </c>
      <c r="N131" s="39"/>
      <c r="O131" s="294"/>
      <c r="P131" s="39">
        <f t="shared" si="42"/>
        <v>0</v>
      </c>
      <c r="Q131" s="127"/>
      <c r="R131" s="42">
        <f t="shared" si="43"/>
        <v>0</v>
      </c>
      <c r="S131" s="43">
        <f t="shared" si="44"/>
        <v>0</v>
      </c>
      <c r="T131" s="44">
        <f t="shared" si="58"/>
        <v>46065</v>
      </c>
      <c r="U131" s="45">
        <f t="shared" si="59"/>
        <v>0</v>
      </c>
      <c r="V131" s="46">
        <f t="shared" si="60"/>
        <v>46095</v>
      </c>
      <c r="W131" s="47">
        <f t="shared" si="61"/>
        <v>0</v>
      </c>
      <c r="X131" s="280"/>
      <c r="Y131" s="302"/>
      <c r="Z131" s="50"/>
      <c r="AA131" s="53"/>
      <c r="AB131" s="53"/>
      <c r="AC131" s="53"/>
      <c r="AD131" s="54"/>
      <c r="AE131" s="55"/>
      <c r="AF131" s="56"/>
      <c r="AG131" s="53"/>
      <c r="AH131" s="53"/>
      <c r="AI131" s="53"/>
      <c r="AJ131" s="54"/>
      <c r="AK131" s="53"/>
      <c r="AL131" s="56"/>
      <c r="AM131" s="52">
        <f t="shared" si="62"/>
        <v>0</v>
      </c>
      <c r="AN131" s="52">
        <f t="shared" si="63"/>
        <v>0</v>
      </c>
      <c r="AO131" s="56"/>
      <c r="AP131" s="80"/>
    </row>
    <row r="132" spans="1:42" ht="12.75" customHeight="1">
      <c r="A132" s="29"/>
      <c r="B132" s="61">
        <v>129</v>
      </c>
      <c r="C132" s="298" t="s">
        <v>166</v>
      </c>
      <c r="D132" s="241"/>
      <c r="E132" s="241"/>
      <c r="F132" s="241"/>
      <c r="G132" s="241"/>
      <c r="H132" s="241"/>
      <c r="I132" s="241" t="s">
        <v>165</v>
      </c>
      <c r="J132" s="94">
        <f t="shared" si="56"/>
        <v>5</v>
      </c>
      <c r="K132" s="108"/>
      <c r="L132" s="299">
        <v>46125</v>
      </c>
      <c r="M132" s="299">
        <v>46130</v>
      </c>
      <c r="N132" s="39"/>
      <c r="O132" s="128"/>
      <c r="P132" s="39">
        <f t="shared" si="42"/>
        <v>0</v>
      </c>
      <c r="Q132" s="123"/>
      <c r="R132" s="42">
        <f t="shared" si="43"/>
        <v>0</v>
      </c>
      <c r="S132" s="43">
        <f t="shared" si="44"/>
        <v>0</v>
      </c>
      <c r="T132" s="99">
        <f t="shared" si="58"/>
        <v>46065</v>
      </c>
      <c r="U132" s="100">
        <f t="shared" si="59"/>
        <v>0</v>
      </c>
      <c r="V132" s="101">
        <f t="shared" si="60"/>
        <v>46095</v>
      </c>
      <c r="W132" s="102">
        <f t="shared" si="61"/>
        <v>0</v>
      </c>
      <c r="X132" s="287"/>
      <c r="Y132" s="300"/>
      <c r="Z132" s="105"/>
      <c r="AA132" s="108"/>
      <c r="AB132" s="108"/>
      <c r="AC132" s="108"/>
      <c r="AD132" s="109"/>
      <c r="AE132" s="110"/>
      <c r="AF132" s="111"/>
      <c r="AG132" s="108"/>
      <c r="AH132" s="108"/>
      <c r="AI132" s="108"/>
      <c r="AJ132" s="109"/>
      <c r="AK132" s="108"/>
      <c r="AL132" s="111"/>
      <c r="AM132" s="107">
        <f t="shared" si="62"/>
        <v>0</v>
      </c>
      <c r="AN132" s="107">
        <f t="shared" si="63"/>
        <v>0</v>
      </c>
      <c r="AO132" s="111"/>
      <c r="AP132" s="80"/>
    </row>
    <row r="133" spans="1:42" ht="12.75" customHeight="1">
      <c r="A133" s="29"/>
      <c r="B133" s="29"/>
      <c r="C133" s="304"/>
      <c r="D133" s="269"/>
      <c r="E133" s="269"/>
      <c r="F133" s="269"/>
      <c r="G133" s="269"/>
      <c r="H133" s="269"/>
      <c r="I133" s="269"/>
      <c r="J133" s="223">
        <f t="shared" si="56"/>
        <v>0</v>
      </c>
      <c r="K133" s="80"/>
      <c r="L133" s="305"/>
      <c r="M133" s="305"/>
      <c r="N133" s="39">
        <f t="shared" ref="N133:N145" si="65">IF(J133=3,(1350000))+IF(J133=4,(1750000))+IF(J133=5,(2150000))+IF(J133=6,(2550000))+IF(J133=7,(2950000))</f>
        <v>0</v>
      </c>
      <c r="O133" s="308"/>
      <c r="P133" s="39">
        <f t="shared" si="42"/>
        <v>0</v>
      </c>
      <c r="Q133" s="8"/>
      <c r="R133" s="42">
        <f t="shared" si="43"/>
        <v>0</v>
      </c>
      <c r="S133" s="43">
        <f t="shared" si="44"/>
        <v>0</v>
      </c>
      <c r="T133" s="226">
        <f t="shared" si="58"/>
        <v>-60</v>
      </c>
      <c r="U133" s="227">
        <f t="shared" si="59"/>
        <v>0</v>
      </c>
      <c r="V133" s="228">
        <f t="shared" si="60"/>
        <v>-30</v>
      </c>
      <c r="W133" s="229">
        <f t="shared" si="61"/>
        <v>0</v>
      </c>
      <c r="X133" s="236"/>
      <c r="Y133" s="235"/>
      <c r="Z133" s="77"/>
      <c r="AA133" s="80"/>
      <c r="AB133" s="80"/>
      <c r="AC133" s="80"/>
      <c r="AD133" s="81"/>
      <c r="AE133" s="82"/>
      <c r="AF133" s="83"/>
      <c r="AG133" s="80"/>
      <c r="AH133" s="80"/>
      <c r="AI133" s="80"/>
      <c r="AJ133" s="81"/>
      <c r="AK133" s="80"/>
      <c r="AL133" s="83"/>
      <c r="AM133" s="79">
        <f t="shared" si="62"/>
        <v>0</v>
      </c>
      <c r="AN133" s="79">
        <f t="shared" si="63"/>
        <v>0</v>
      </c>
      <c r="AO133" s="80"/>
      <c r="AP133" s="80"/>
    </row>
    <row r="134" spans="1:42" ht="12.75" customHeight="1">
      <c r="A134" s="29"/>
      <c r="B134" s="29"/>
      <c r="C134" s="304"/>
      <c r="D134" s="269"/>
      <c r="E134" s="269"/>
      <c r="F134" s="269"/>
      <c r="G134" s="269"/>
      <c r="H134" s="269"/>
      <c r="I134" s="269"/>
      <c r="J134" s="65">
        <f t="shared" si="56"/>
        <v>0</v>
      </c>
      <c r="K134" s="80"/>
      <c r="L134" s="305"/>
      <c r="M134" s="305"/>
      <c r="N134" s="39">
        <f t="shared" si="65"/>
        <v>0</v>
      </c>
      <c r="O134" s="308"/>
      <c r="P134" s="39">
        <f t="shared" si="42"/>
        <v>0</v>
      </c>
      <c r="Q134" s="8"/>
      <c r="R134" s="42">
        <f t="shared" si="43"/>
        <v>0</v>
      </c>
      <c r="S134" s="43">
        <f t="shared" si="44"/>
        <v>0</v>
      </c>
      <c r="T134" s="71">
        <f t="shared" si="58"/>
        <v>-60</v>
      </c>
      <c r="U134" s="72">
        <f t="shared" si="59"/>
        <v>0</v>
      </c>
      <c r="V134" s="73">
        <f t="shared" si="60"/>
        <v>-30</v>
      </c>
      <c r="W134" s="74">
        <f t="shared" si="61"/>
        <v>0</v>
      </c>
      <c r="X134" s="236"/>
      <c r="Y134" s="235"/>
      <c r="Z134" s="77"/>
      <c r="AA134" s="80"/>
      <c r="AB134" s="80"/>
      <c r="AC134" s="80"/>
      <c r="AD134" s="81"/>
      <c r="AE134" s="82"/>
      <c r="AF134" s="83"/>
      <c r="AG134" s="80"/>
      <c r="AH134" s="80"/>
      <c r="AI134" s="80"/>
      <c r="AJ134" s="81"/>
      <c r="AK134" s="80"/>
      <c r="AL134" s="83"/>
      <c r="AM134" s="79">
        <f t="shared" si="62"/>
        <v>0</v>
      </c>
      <c r="AN134" s="79">
        <f t="shared" si="63"/>
        <v>0</v>
      </c>
      <c r="AO134" s="80"/>
      <c r="AP134" s="80"/>
    </row>
    <row r="135" spans="1:42" ht="12.75" customHeight="1">
      <c r="A135" s="29"/>
      <c r="B135" s="29"/>
      <c r="C135" s="304"/>
      <c r="D135" s="269"/>
      <c r="E135" s="269"/>
      <c r="F135" s="269"/>
      <c r="G135" s="269"/>
      <c r="H135" s="269"/>
      <c r="I135" s="269"/>
      <c r="J135" s="65">
        <f t="shared" si="56"/>
        <v>0</v>
      </c>
      <c r="K135" s="80"/>
      <c r="L135" s="305"/>
      <c r="M135" s="305"/>
      <c r="N135" s="39">
        <f t="shared" si="65"/>
        <v>0</v>
      </c>
      <c r="O135" s="308"/>
      <c r="P135" s="39">
        <f t="shared" si="42"/>
        <v>0</v>
      </c>
      <c r="Q135" s="8"/>
      <c r="R135" s="42">
        <f t="shared" si="43"/>
        <v>0</v>
      </c>
      <c r="S135" s="43">
        <f t="shared" si="44"/>
        <v>0</v>
      </c>
      <c r="T135" s="71">
        <f t="shared" si="58"/>
        <v>-60</v>
      </c>
      <c r="U135" s="72">
        <f t="shared" si="59"/>
        <v>0</v>
      </c>
      <c r="V135" s="73">
        <f t="shared" si="60"/>
        <v>-30</v>
      </c>
      <c r="W135" s="74">
        <f t="shared" si="61"/>
        <v>0</v>
      </c>
      <c r="X135" s="236"/>
      <c r="Y135" s="235"/>
      <c r="Z135" s="77"/>
      <c r="AA135" s="80"/>
      <c r="AB135" s="80"/>
      <c r="AC135" s="80"/>
      <c r="AD135" s="81"/>
      <c r="AE135" s="82"/>
      <c r="AF135" s="83"/>
      <c r="AG135" s="80"/>
      <c r="AH135" s="80"/>
      <c r="AI135" s="80"/>
      <c r="AJ135" s="81"/>
      <c r="AK135" s="80"/>
      <c r="AL135" s="83"/>
      <c r="AM135" s="79">
        <f t="shared" si="62"/>
        <v>0</v>
      </c>
      <c r="AN135" s="79">
        <f t="shared" si="63"/>
        <v>0</v>
      </c>
      <c r="AO135" s="80"/>
      <c r="AP135" s="80"/>
    </row>
    <row r="136" spans="1:42" ht="12.75" customHeight="1">
      <c r="A136" s="29"/>
      <c r="B136" s="29"/>
      <c r="C136" s="304"/>
      <c r="D136" s="269"/>
      <c r="E136" s="269"/>
      <c r="F136" s="269"/>
      <c r="G136" s="269"/>
      <c r="H136" s="269"/>
      <c r="I136" s="269"/>
      <c r="J136" s="65">
        <f t="shared" si="56"/>
        <v>0</v>
      </c>
      <c r="K136" s="80"/>
      <c r="L136" s="305"/>
      <c r="M136" s="305"/>
      <c r="N136" s="39">
        <f t="shared" si="65"/>
        <v>0</v>
      </c>
      <c r="O136" s="308"/>
      <c r="P136" s="39">
        <f t="shared" si="42"/>
        <v>0</v>
      </c>
      <c r="Q136" s="8"/>
      <c r="R136" s="42">
        <f t="shared" si="43"/>
        <v>0</v>
      </c>
      <c r="S136" s="43">
        <f t="shared" si="44"/>
        <v>0</v>
      </c>
      <c r="T136" s="71">
        <f t="shared" si="58"/>
        <v>-60</v>
      </c>
      <c r="U136" s="72">
        <f t="shared" si="59"/>
        <v>0</v>
      </c>
      <c r="V136" s="73">
        <f t="shared" si="60"/>
        <v>-30</v>
      </c>
      <c r="W136" s="74">
        <f t="shared" si="61"/>
        <v>0</v>
      </c>
      <c r="X136" s="236"/>
      <c r="Y136" s="235"/>
      <c r="Z136" s="77"/>
      <c r="AA136" s="80"/>
      <c r="AB136" s="80"/>
      <c r="AC136" s="80"/>
      <c r="AD136" s="81"/>
      <c r="AE136" s="82"/>
      <c r="AF136" s="83"/>
      <c r="AG136" s="80"/>
      <c r="AH136" s="80"/>
      <c r="AI136" s="80"/>
      <c r="AJ136" s="81"/>
      <c r="AK136" s="80"/>
      <c r="AL136" s="83"/>
      <c r="AM136" s="79">
        <f t="shared" si="62"/>
        <v>0</v>
      </c>
      <c r="AN136" s="79">
        <f t="shared" si="63"/>
        <v>0</v>
      </c>
      <c r="AO136" s="80"/>
      <c r="AP136" s="80"/>
    </row>
    <row r="137" spans="1:42" ht="12.75" customHeight="1">
      <c r="A137" s="29"/>
      <c r="B137" s="29"/>
      <c r="C137" s="304"/>
      <c r="D137" s="269"/>
      <c r="E137" s="269"/>
      <c r="F137" s="269"/>
      <c r="G137" s="269"/>
      <c r="H137" s="269"/>
      <c r="I137" s="269"/>
      <c r="J137" s="325">
        <v>0</v>
      </c>
      <c r="K137" s="234"/>
      <c r="L137" s="305"/>
      <c r="M137" s="305"/>
      <c r="N137" s="39">
        <f t="shared" si="65"/>
        <v>0</v>
      </c>
      <c r="O137" s="308"/>
      <c r="P137" s="39">
        <f t="shared" si="42"/>
        <v>0</v>
      </c>
      <c r="Q137" s="8"/>
      <c r="R137" s="42">
        <f t="shared" si="43"/>
        <v>0</v>
      </c>
      <c r="S137" s="43">
        <f t="shared" si="44"/>
        <v>0</v>
      </c>
      <c r="T137" s="71">
        <f t="shared" si="58"/>
        <v>-60</v>
      </c>
      <c r="U137" s="72">
        <f t="shared" si="59"/>
        <v>0</v>
      </c>
      <c r="V137" s="73">
        <f t="shared" si="60"/>
        <v>-30</v>
      </c>
      <c r="W137" s="74">
        <f t="shared" si="61"/>
        <v>0</v>
      </c>
      <c r="X137" s="81"/>
      <c r="Y137" s="309"/>
      <c r="Z137" s="83"/>
      <c r="AA137" s="80"/>
      <c r="AB137" s="80"/>
      <c r="AC137" s="80"/>
      <c r="AD137" s="81"/>
      <c r="AE137" s="82"/>
      <c r="AF137" s="83"/>
      <c r="AG137" s="80"/>
      <c r="AH137" s="80"/>
      <c r="AI137" s="80"/>
      <c r="AJ137" s="81"/>
      <c r="AK137" s="80"/>
      <c r="AL137" s="83"/>
      <c r="AM137" s="79">
        <f t="shared" si="62"/>
        <v>0</v>
      </c>
      <c r="AN137" s="79">
        <f t="shared" si="63"/>
        <v>0</v>
      </c>
      <c r="AO137" s="80"/>
      <c r="AP137" s="80"/>
    </row>
    <row r="138" spans="1:42" ht="12.75" customHeight="1">
      <c r="A138" s="29"/>
      <c r="B138" s="29"/>
      <c r="C138" s="304"/>
      <c r="D138" s="269"/>
      <c r="E138" s="269"/>
      <c r="F138" s="269"/>
      <c r="G138" s="269"/>
      <c r="H138" s="269"/>
      <c r="I138" s="269"/>
      <c r="J138" s="325">
        <v>0</v>
      </c>
      <c r="K138" s="234"/>
      <c r="L138" s="305"/>
      <c r="M138" s="305"/>
      <c r="N138" s="39">
        <f t="shared" si="65"/>
        <v>0</v>
      </c>
      <c r="O138" s="308"/>
      <c r="P138" s="39">
        <f t="shared" si="42"/>
        <v>0</v>
      </c>
      <c r="Q138" s="8"/>
      <c r="R138" s="42">
        <f t="shared" si="43"/>
        <v>0</v>
      </c>
      <c r="S138" s="43">
        <f t="shared" si="44"/>
        <v>0</v>
      </c>
      <c r="T138" s="71">
        <f t="shared" si="58"/>
        <v>-60</v>
      </c>
      <c r="U138" s="72">
        <f t="shared" si="59"/>
        <v>0</v>
      </c>
      <c r="V138" s="73">
        <f t="shared" si="60"/>
        <v>-30</v>
      </c>
      <c r="W138" s="74">
        <f t="shared" si="61"/>
        <v>0</v>
      </c>
      <c r="X138" s="81"/>
      <c r="Y138" s="309"/>
      <c r="Z138" s="83"/>
      <c r="AA138" s="80"/>
      <c r="AB138" s="80"/>
      <c r="AC138" s="80"/>
      <c r="AD138" s="81"/>
      <c r="AE138" s="82"/>
      <c r="AF138" s="83"/>
      <c r="AG138" s="80"/>
      <c r="AH138" s="80"/>
      <c r="AI138" s="80"/>
      <c r="AJ138" s="81"/>
      <c r="AK138" s="80"/>
      <c r="AL138" s="83"/>
      <c r="AM138" s="79"/>
      <c r="AN138" s="79"/>
      <c r="AO138" s="80"/>
      <c r="AP138" s="80"/>
    </row>
    <row r="139" spans="1:42" ht="12.75" customHeight="1">
      <c r="A139" s="29"/>
      <c r="B139" s="29"/>
      <c r="C139" s="304"/>
      <c r="D139" s="269"/>
      <c r="E139" s="269"/>
      <c r="F139" s="269"/>
      <c r="G139" s="269"/>
      <c r="H139" s="269"/>
      <c r="I139" s="269"/>
      <c r="J139" s="325">
        <v>0</v>
      </c>
      <c r="K139" s="234"/>
      <c r="L139" s="305"/>
      <c r="M139" s="305"/>
      <c r="N139" s="39">
        <f t="shared" si="65"/>
        <v>0</v>
      </c>
      <c r="O139" s="308"/>
      <c r="P139" s="39">
        <f t="shared" si="42"/>
        <v>0</v>
      </c>
      <c r="Q139" s="8"/>
      <c r="R139" s="42">
        <f t="shared" si="43"/>
        <v>0</v>
      </c>
      <c r="S139" s="43">
        <f t="shared" si="44"/>
        <v>0</v>
      </c>
      <c r="T139" s="71">
        <f t="shared" si="58"/>
        <v>-60</v>
      </c>
      <c r="U139" s="72">
        <f t="shared" si="59"/>
        <v>0</v>
      </c>
      <c r="V139" s="73">
        <f t="shared" si="60"/>
        <v>-30</v>
      </c>
      <c r="W139" s="74">
        <f t="shared" si="61"/>
        <v>0</v>
      </c>
      <c r="X139" s="81"/>
      <c r="Y139" s="309"/>
      <c r="Z139" s="83"/>
      <c r="AA139" s="80"/>
      <c r="AB139" s="80"/>
      <c r="AC139" s="80"/>
      <c r="AD139" s="81"/>
      <c r="AE139" s="82"/>
      <c r="AF139" s="83"/>
      <c r="AG139" s="80"/>
      <c r="AH139" s="80"/>
      <c r="AI139" s="80"/>
      <c r="AJ139" s="81"/>
      <c r="AK139" s="80"/>
      <c r="AL139" s="83"/>
      <c r="AM139" s="79"/>
      <c r="AN139" s="79"/>
      <c r="AO139" s="80"/>
      <c r="AP139" s="80"/>
    </row>
    <row r="140" spans="1:42" ht="12.75" customHeight="1">
      <c r="A140" s="29"/>
      <c r="B140" s="29"/>
      <c r="C140" s="304"/>
      <c r="D140" s="269"/>
      <c r="E140" s="269"/>
      <c r="F140" s="269"/>
      <c r="G140" s="269"/>
      <c r="H140" s="269"/>
      <c r="I140" s="269"/>
      <c r="J140" s="325">
        <v>0</v>
      </c>
      <c r="K140" s="234"/>
      <c r="L140" s="305"/>
      <c r="M140" s="305"/>
      <c r="N140" s="39">
        <f t="shared" si="65"/>
        <v>0</v>
      </c>
      <c r="O140" s="308"/>
      <c r="P140" s="39">
        <f t="shared" si="42"/>
        <v>0</v>
      </c>
      <c r="Q140" s="8"/>
      <c r="R140" s="42">
        <f t="shared" si="43"/>
        <v>0</v>
      </c>
      <c r="S140" s="43">
        <f t="shared" si="44"/>
        <v>0</v>
      </c>
      <c r="T140" s="71">
        <f t="shared" si="58"/>
        <v>-60</v>
      </c>
      <c r="U140" s="72">
        <f t="shared" si="59"/>
        <v>0</v>
      </c>
      <c r="V140" s="73">
        <f t="shared" si="60"/>
        <v>-30</v>
      </c>
      <c r="W140" s="74">
        <f t="shared" si="61"/>
        <v>0</v>
      </c>
      <c r="X140" s="81"/>
      <c r="Y140" s="309"/>
      <c r="Z140" s="83"/>
      <c r="AA140" s="80"/>
      <c r="AB140" s="80"/>
      <c r="AC140" s="80"/>
      <c r="AD140" s="81"/>
      <c r="AE140" s="82"/>
      <c r="AF140" s="83"/>
      <c r="AG140" s="80"/>
      <c r="AH140" s="80"/>
      <c r="AI140" s="80"/>
      <c r="AJ140" s="81"/>
      <c r="AK140" s="80"/>
      <c r="AL140" s="83"/>
      <c r="AM140" s="79"/>
      <c r="AN140" s="79"/>
      <c r="AO140" s="80"/>
      <c r="AP140" s="80"/>
    </row>
    <row r="141" spans="1:42" ht="12.75" customHeight="1">
      <c r="A141" s="29"/>
      <c r="B141" s="29"/>
      <c r="C141" s="304"/>
      <c r="D141" s="269"/>
      <c r="E141" s="269"/>
      <c r="F141" s="269"/>
      <c r="G141" s="269"/>
      <c r="H141" s="269"/>
      <c r="I141" s="269"/>
      <c r="J141" s="325">
        <v>0</v>
      </c>
      <c r="K141" s="234"/>
      <c r="L141" s="305"/>
      <c r="M141" s="305"/>
      <c r="N141" s="39">
        <f t="shared" si="65"/>
        <v>0</v>
      </c>
      <c r="O141" s="308"/>
      <c r="P141" s="39">
        <f t="shared" si="42"/>
        <v>0</v>
      </c>
      <c r="Q141" s="8"/>
      <c r="R141" s="42">
        <f t="shared" si="43"/>
        <v>0</v>
      </c>
      <c r="S141" s="43">
        <f t="shared" si="44"/>
        <v>0</v>
      </c>
      <c r="T141" s="71">
        <f t="shared" si="58"/>
        <v>-60</v>
      </c>
      <c r="U141" s="72">
        <f t="shared" si="59"/>
        <v>0</v>
      </c>
      <c r="V141" s="73">
        <f t="shared" si="60"/>
        <v>-30</v>
      </c>
      <c r="W141" s="74">
        <f t="shared" si="61"/>
        <v>0</v>
      </c>
      <c r="X141" s="81"/>
      <c r="Y141" s="309"/>
      <c r="Z141" s="83"/>
      <c r="AA141" s="80"/>
      <c r="AB141" s="80"/>
      <c r="AC141" s="80"/>
      <c r="AD141" s="81"/>
      <c r="AE141" s="82"/>
      <c r="AF141" s="83"/>
      <c r="AG141" s="80"/>
      <c r="AH141" s="80"/>
      <c r="AI141" s="80"/>
      <c r="AJ141" s="81"/>
      <c r="AK141" s="80"/>
      <c r="AL141" s="83"/>
      <c r="AM141" s="79"/>
      <c r="AN141" s="79">
        <f>SUM(AN4:AN140)</f>
        <v>132427001</v>
      </c>
      <c r="AO141" s="80"/>
      <c r="AP141" s="80"/>
    </row>
    <row r="142" spans="1:42" ht="12.75" customHeight="1">
      <c r="A142" s="29"/>
      <c r="B142" s="29"/>
      <c r="C142" s="304"/>
      <c r="D142" s="269"/>
      <c r="E142" s="269"/>
      <c r="F142" s="269"/>
      <c r="G142" s="269"/>
      <c r="H142" s="269"/>
      <c r="I142" s="269"/>
      <c r="J142" s="325">
        <v>0</v>
      </c>
      <c r="K142" s="234"/>
      <c r="L142" s="305"/>
      <c r="M142" s="305"/>
      <c r="N142" s="39">
        <f t="shared" si="65"/>
        <v>0</v>
      </c>
      <c r="O142" s="308"/>
      <c r="P142" s="39">
        <f t="shared" si="42"/>
        <v>0</v>
      </c>
      <c r="Q142" s="8"/>
      <c r="R142" s="42">
        <f t="shared" si="43"/>
        <v>0</v>
      </c>
      <c r="S142" s="43">
        <f t="shared" si="44"/>
        <v>0</v>
      </c>
      <c r="T142" s="71">
        <f t="shared" si="58"/>
        <v>-60</v>
      </c>
      <c r="U142" s="72">
        <f t="shared" si="59"/>
        <v>0</v>
      </c>
      <c r="V142" s="73">
        <f t="shared" si="60"/>
        <v>-30</v>
      </c>
      <c r="W142" s="74">
        <f t="shared" si="61"/>
        <v>0</v>
      </c>
      <c r="X142" s="81"/>
      <c r="Y142" s="309"/>
      <c r="Z142" s="83"/>
      <c r="AA142" s="80"/>
      <c r="AB142" s="80"/>
      <c r="AC142" s="80"/>
      <c r="AD142" s="81"/>
      <c r="AE142" s="82"/>
      <c r="AF142" s="83"/>
      <c r="AG142" s="80"/>
      <c r="AH142" s="80"/>
      <c r="AI142" s="80"/>
      <c r="AJ142" s="81"/>
      <c r="AK142" s="80"/>
      <c r="AL142" s="83"/>
      <c r="AM142" s="79"/>
      <c r="AN142" s="79"/>
      <c r="AO142" s="80"/>
      <c r="AP142" s="80"/>
    </row>
    <row r="143" spans="1:42" ht="12.75" customHeight="1">
      <c r="A143" s="29"/>
      <c r="B143" s="29"/>
      <c r="C143" s="304"/>
      <c r="D143" s="269"/>
      <c r="E143" s="269"/>
      <c r="F143" s="269"/>
      <c r="G143" s="269"/>
      <c r="H143" s="269"/>
      <c r="I143" s="269"/>
      <c r="J143" s="325">
        <v>0</v>
      </c>
      <c r="K143" s="234"/>
      <c r="L143" s="305"/>
      <c r="M143" s="305"/>
      <c r="N143" s="39">
        <f t="shared" si="65"/>
        <v>0</v>
      </c>
      <c r="O143" s="308"/>
      <c r="P143" s="39">
        <f t="shared" si="42"/>
        <v>0</v>
      </c>
      <c r="Q143" s="8"/>
      <c r="R143" s="42">
        <f t="shared" si="43"/>
        <v>0</v>
      </c>
      <c r="S143" s="43">
        <f t="shared" si="44"/>
        <v>0</v>
      </c>
      <c r="T143" s="71">
        <f t="shared" si="58"/>
        <v>-60</v>
      </c>
      <c r="U143" s="72">
        <f t="shared" si="59"/>
        <v>0</v>
      </c>
      <c r="V143" s="73">
        <f t="shared" si="60"/>
        <v>-30</v>
      </c>
      <c r="W143" s="74">
        <f t="shared" si="61"/>
        <v>0</v>
      </c>
      <c r="X143" s="81"/>
      <c r="Y143" s="309"/>
      <c r="Z143" s="83"/>
      <c r="AA143" s="80"/>
      <c r="AB143" s="80"/>
      <c r="AC143" s="80"/>
      <c r="AD143" s="81"/>
      <c r="AE143" s="82"/>
      <c r="AF143" s="83"/>
      <c r="AG143" s="80"/>
      <c r="AH143" s="80"/>
      <c r="AI143" s="80"/>
      <c r="AJ143" s="81"/>
      <c r="AK143" s="80"/>
      <c r="AL143" s="83"/>
      <c r="AM143" s="80"/>
      <c r="AN143" s="80"/>
      <c r="AO143" s="80"/>
      <c r="AP143" s="80"/>
    </row>
    <row r="144" spans="1:42" ht="12.75" customHeight="1">
      <c r="A144" s="29"/>
      <c r="B144" s="29"/>
      <c r="C144" s="304"/>
      <c r="D144" s="269"/>
      <c r="E144" s="269"/>
      <c r="F144" s="269"/>
      <c r="G144" s="269"/>
      <c r="H144" s="269"/>
      <c r="I144" s="269"/>
      <c r="J144" s="325">
        <v>0</v>
      </c>
      <c r="K144" s="234"/>
      <c r="L144" s="305"/>
      <c r="M144" s="305"/>
      <c r="N144" s="39">
        <f t="shared" si="65"/>
        <v>0</v>
      </c>
      <c r="O144" s="308"/>
      <c r="P144" s="39">
        <f t="shared" si="42"/>
        <v>0</v>
      </c>
      <c r="Q144" s="8"/>
      <c r="R144" s="42">
        <f t="shared" si="43"/>
        <v>0</v>
      </c>
      <c r="S144" s="43">
        <f t="shared" si="44"/>
        <v>0</v>
      </c>
      <c r="T144" s="71">
        <f t="shared" si="58"/>
        <v>-60</v>
      </c>
      <c r="U144" s="72">
        <f t="shared" si="59"/>
        <v>0</v>
      </c>
      <c r="V144" s="73">
        <f t="shared" si="60"/>
        <v>-30</v>
      </c>
      <c r="W144" s="74">
        <f t="shared" si="61"/>
        <v>0</v>
      </c>
      <c r="X144" s="81"/>
      <c r="Y144" s="309"/>
      <c r="Z144" s="83"/>
      <c r="AA144" s="80"/>
      <c r="AB144" s="80"/>
      <c r="AC144" s="80"/>
      <c r="AD144" s="81"/>
      <c r="AE144" s="82"/>
      <c r="AF144" s="83"/>
      <c r="AG144" s="80"/>
      <c r="AH144" s="80"/>
      <c r="AI144" s="80"/>
      <c r="AJ144" s="81"/>
      <c r="AK144" s="80"/>
      <c r="AL144" s="83"/>
      <c r="AM144" s="80"/>
      <c r="AN144" s="80"/>
      <c r="AO144" s="80"/>
      <c r="AP144" s="80"/>
    </row>
    <row r="145" spans="1:42" ht="12.75" customHeight="1">
      <c r="A145" s="29"/>
      <c r="B145" s="29"/>
      <c r="C145" s="304"/>
      <c r="D145" s="269"/>
      <c r="E145" s="269"/>
      <c r="F145" s="269"/>
      <c r="G145" s="269"/>
      <c r="H145" s="269"/>
      <c r="I145" s="269"/>
      <c r="J145" s="65">
        <v>0</v>
      </c>
      <c r="K145" s="234"/>
      <c r="L145" s="305"/>
      <c r="M145" s="305"/>
      <c r="N145" s="39">
        <f t="shared" si="65"/>
        <v>0</v>
      </c>
      <c r="O145" s="134"/>
      <c r="P145" s="39">
        <f t="shared" si="42"/>
        <v>0</v>
      </c>
      <c r="Q145" s="8"/>
      <c r="R145" s="42">
        <f t="shared" si="43"/>
        <v>0</v>
      </c>
      <c r="S145" s="43">
        <f t="shared" si="44"/>
        <v>0</v>
      </c>
      <c r="T145" s="99">
        <f t="shared" si="58"/>
        <v>-60</v>
      </c>
      <c r="U145" s="100">
        <f t="shared" si="59"/>
        <v>0</v>
      </c>
      <c r="V145" s="73">
        <f t="shared" si="60"/>
        <v>-30</v>
      </c>
      <c r="W145" s="74">
        <f t="shared" si="61"/>
        <v>0</v>
      </c>
      <c r="X145" s="287"/>
      <c r="Y145" s="300"/>
      <c r="Z145" s="105"/>
      <c r="AA145" s="80"/>
      <c r="AB145" s="80"/>
      <c r="AC145" s="80"/>
      <c r="AD145" s="109"/>
      <c r="AE145" s="110"/>
      <c r="AF145" s="111"/>
      <c r="AG145" s="80"/>
      <c r="AH145" s="80"/>
      <c r="AI145" s="80"/>
      <c r="AJ145" s="109"/>
      <c r="AK145" s="108"/>
      <c r="AL145" s="111"/>
      <c r="AM145" s="80"/>
      <c r="AN145" s="80"/>
      <c r="AO145" s="80"/>
      <c r="AP145" s="80"/>
    </row>
    <row r="146" spans="1:42" ht="12.75" customHeight="1">
      <c r="A146" s="80"/>
      <c r="B146" s="80"/>
      <c r="C146" s="326"/>
      <c r="D146" s="327"/>
      <c r="E146" s="327"/>
      <c r="F146" s="327"/>
      <c r="G146" s="327"/>
      <c r="H146" s="327"/>
      <c r="I146" s="327"/>
      <c r="J146" s="328"/>
      <c r="K146" s="80"/>
      <c r="L146" s="329"/>
      <c r="M146" s="329"/>
      <c r="N146" s="80"/>
      <c r="O146" s="134"/>
      <c r="P146" s="80"/>
      <c r="Q146" s="8"/>
      <c r="R146" s="80"/>
      <c r="S146" s="80"/>
      <c r="T146" s="80"/>
      <c r="U146" s="80"/>
      <c r="V146" s="80"/>
      <c r="W146" s="80"/>
      <c r="X146" s="80"/>
      <c r="Y146" s="309"/>
      <c r="Z146" s="80"/>
      <c r="AA146" s="80"/>
      <c r="AB146" s="80"/>
      <c r="AC146" s="80"/>
      <c r="AD146" s="80"/>
      <c r="AE146" s="82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</row>
    <row r="147" spans="1:42" ht="12.75" customHeight="1">
      <c r="A147" s="80"/>
      <c r="B147" s="80"/>
      <c r="C147" s="326"/>
      <c r="D147" s="327"/>
      <c r="E147" s="327"/>
      <c r="F147" s="327"/>
      <c r="G147" s="327"/>
      <c r="H147" s="327"/>
      <c r="I147" s="327"/>
      <c r="J147" s="328"/>
      <c r="K147" s="80"/>
      <c r="L147" s="329"/>
      <c r="M147" s="329"/>
      <c r="N147" s="80"/>
      <c r="O147" s="134"/>
      <c r="P147" s="80"/>
      <c r="Q147" s="8"/>
      <c r="R147" s="80"/>
      <c r="S147" s="80"/>
      <c r="T147" s="80"/>
      <c r="U147" s="80"/>
      <c r="V147" s="80"/>
      <c r="W147" s="80"/>
      <c r="X147" s="80"/>
      <c r="Y147" s="309"/>
      <c r="Z147" s="80"/>
      <c r="AA147" s="80"/>
      <c r="AB147" s="80"/>
      <c r="AC147" s="80"/>
      <c r="AD147" s="80"/>
      <c r="AE147" s="82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</row>
    <row r="148" spans="1:42" ht="12.75" customHeight="1">
      <c r="A148" s="80"/>
      <c r="B148" s="80"/>
      <c r="C148" s="326"/>
      <c r="D148" s="327"/>
      <c r="E148" s="327"/>
      <c r="F148" s="327"/>
      <c r="G148" s="327"/>
      <c r="H148" s="327"/>
      <c r="I148" s="327"/>
      <c r="J148" s="328"/>
      <c r="K148" s="80"/>
      <c r="L148" s="329"/>
      <c r="M148" s="329"/>
      <c r="N148" s="80"/>
      <c r="O148" s="134"/>
      <c r="P148" s="80"/>
      <c r="Q148" s="8"/>
      <c r="R148" s="80"/>
      <c r="S148" s="80"/>
      <c r="T148" s="80"/>
      <c r="U148" s="80"/>
      <c r="V148" s="80"/>
      <c r="W148" s="80"/>
      <c r="X148" s="80"/>
      <c r="Y148" s="309"/>
      <c r="Z148" s="80"/>
      <c r="AA148" s="80"/>
      <c r="AB148" s="80"/>
      <c r="AC148" s="80"/>
      <c r="AD148" s="80"/>
      <c r="AE148" s="82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</row>
    <row r="149" spans="1:42" ht="12.75" customHeight="1">
      <c r="A149" s="80"/>
      <c r="B149" s="80"/>
      <c r="C149" s="326"/>
      <c r="D149" s="327"/>
      <c r="E149" s="327"/>
      <c r="F149" s="327"/>
      <c r="G149" s="327"/>
      <c r="H149" s="327"/>
      <c r="I149" s="327"/>
      <c r="J149" s="328"/>
      <c r="K149" s="80"/>
      <c r="L149" s="329"/>
      <c r="M149" s="329"/>
      <c r="N149" s="80"/>
      <c r="O149" s="134"/>
      <c r="P149" s="80"/>
      <c r="Q149" s="8"/>
      <c r="R149" s="80"/>
      <c r="S149" s="80"/>
      <c r="T149" s="80"/>
      <c r="U149" s="80"/>
      <c r="V149" s="80"/>
      <c r="W149" s="80"/>
      <c r="X149" s="80"/>
      <c r="Y149" s="309"/>
      <c r="Z149" s="80"/>
      <c r="AA149" s="80"/>
      <c r="AB149" s="80"/>
      <c r="AC149" s="80"/>
      <c r="AD149" s="80"/>
      <c r="AE149" s="82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</row>
    <row r="150" spans="1:42" ht="12.75" customHeight="1">
      <c r="B150" s="80"/>
      <c r="C150" s="3"/>
      <c r="D150" s="4"/>
      <c r="E150" s="4"/>
      <c r="F150" s="4"/>
      <c r="G150" s="4"/>
      <c r="H150" s="4"/>
      <c r="I150" s="4"/>
      <c r="J150" s="5"/>
      <c r="L150" s="6"/>
      <c r="M150" s="6"/>
      <c r="O150" s="7"/>
      <c r="Q150" s="8"/>
      <c r="Y150" s="136"/>
      <c r="AE150" s="330"/>
    </row>
    <row r="151" spans="1:42" ht="12.75" customHeight="1">
      <c r="B151" s="80"/>
      <c r="C151" s="3"/>
      <c r="D151" s="4"/>
      <c r="E151" s="4"/>
      <c r="F151" s="4"/>
      <c r="G151" s="4"/>
      <c r="H151" s="4"/>
      <c r="I151" s="4"/>
      <c r="J151" s="5"/>
      <c r="L151" s="6"/>
      <c r="M151" s="6"/>
      <c r="O151" s="7"/>
      <c r="Q151" s="8"/>
      <c r="Y151" s="136"/>
      <c r="AE151" s="330"/>
    </row>
    <row r="152" spans="1:42" ht="12.75" customHeight="1">
      <c r="B152" s="80"/>
      <c r="C152" s="3"/>
      <c r="D152" s="4"/>
      <c r="E152" s="4"/>
      <c r="F152" s="4"/>
      <c r="G152" s="4"/>
      <c r="H152" s="4"/>
      <c r="I152" s="4"/>
      <c r="J152" s="5"/>
      <c r="L152" s="6"/>
      <c r="M152" s="6"/>
      <c r="O152" s="7"/>
      <c r="Q152" s="8"/>
      <c r="Y152" s="136"/>
      <c r="AE152" s="330"/>
    </row>
    <row r="153" spans="1:42" ht="12.75" customHeight="1">
      <c r="B153" s="80"/>
      <c r="C153" s="3"/>
      <c r="D153" s="4"/>
      <c r="E153" s="4"/>
      <c r="F153" s="4"/>
      <c r="G153" s="4"/>
      <c r="H153" s="4"/>
      <c r="I153" s="4"/>
      <c r="J153" s="5"/>
      <c r="L153" s="6"/>
      <c r="M153" s="6"/>
      <c r="O153" s="7"/>
      <c r="Q153" s="8"/>
      <c r="Y153" s="136"/>
      <c r="AE153" s="330"/>
    </row>
    <row r="154" spans="1:42" ht="12.75" customHeight="1">
      <c r="B154" s="80"/>
      <c r="C154" s="3"/>
      <c r="D154" s="4"/>
      <c r="E154" s="4"/>
      <c r="F154" s="4"/>
      <c r="G154" s="4"/>
      <c r="H154" s="4"/>
      <c r="I154" s="4"/>
      <c r="J154" s="5"/>
      <c r="L154" s="6"/>
      <c r="M154" s="6"/>
      <c r="O154" s="7"/>
      <c r="Q154" s="8"/>
      <c r="Y154" s="136"/>
      <c r="AE154" s="330"/>
    </row>
    <row r="155" spans="1:42" ht="12.75" customHeight="1">
      <c r="B155" s="80"/>
      <c r="C155" s="3"/>
      <c r="D155" s="4"/>
      <c r="E155" s="4"/>
      <c r="F155" s="4"/>
      <c r="G155" s="4"/>
      <c r="H155" s="4"/>
      <c r="I155" s="4"/>
      <c r="J155" s="5"/>
      <c r="L155" s="6"/>
      <c r="M155" s="6"/>
      <c r="O155" s="7"/>
      <c r="Q155" s="8"/>
      <c r="Y155" s="136"/>
      <c r="AE155" s="330"/>
    </row>
    <row r="156" spans="1:42" ht="12.75" customHeight="1">
      <c r="B156" s="80"/>
      <c r="C156" s="3"/>
      <c r="D156" s="4"/>
      <c r="E156" s="4"/>
      <c r="F156" s="4"/>
      <c r="G156" s="4"/>
      <c r="H156" s="4"/>
      <c r="I156" s="4"/>
      <c r="J156" s="5"/>
      <c r="L156" s="6"/>
      <c r="M156" s="6"/>
      <c r="O156" s="7"/>
      <c r="Q156" s="8"/>
      <c r="Y156" s="136"/>
      <c r="AE156" s="330"/>
    </row>
    <row r="157" spans="1:42" ht="12.75" customHeight="1">
      <c r="B157" s="80"/>
      <c r="C157" s="3"/>
      <c r="D157" s="4"/>
      <c r="E157" s="4"/>
      <c r="F157" s="4"/>
      <c r="G157" s="4"/>
      <c r="H157" s="4"/>
      <c r="I157" s="4"/>
      <c r="J157" s="5"/>
      <c r="L157" s="6"/>
      <c r="M157" s="6"/>
      <c r="O157" s="7"/>
      <c r="Q157" s="8"/>
      <c r="Y157" s="136"/>
      <c r="AE157" s="330"/>
    </row>
    <row r="158" spans="1:42" ht="12.75" customHeight="1">
      <c r="B158" s="80"/>
      <c r="C158" s="3"/>
      <c r="D158" s="4"/>
      <c r="E158" s="4"/>
      <c r="F158" s="4"/>
      <c r="G158" s="4"/>
      <c r="H158" s="4"/>
      <c r="I158" s="4"/>
      <c r="J158" s="5"/>
      <c r="L158" s="6"/>
      <c r="M158" s="6"/>
      <c r="O158" s="7"/>
      <c r="Q158" s="8"/>
      <c r="Y158" s="136"/>
      <c r="AE158" s="330"/>
    </row>
    <row r="159" spans="1:42" ht="12.75" customHeight="1">
      <c r="B159" s="80"/>
      <c r="C159" s="3"/>
      <c r="D159" s="4"/>
      <c r="E159" s="4"/>
      <c r="F159" s="4"/>
      <c r="G159" s="4"/>
      <c r="H159" s="4"/>
      <c r="I159" s="4"/>
      <c r="J159" s="5"/>
      <c r="L159" s="6"/>
      <c r="M159" s="6"/>
      <c r="O159" s="7"/>
      <c r="Q159" s="8"/>
      <c r="Y159" s="136"/>
      <c r="AE159" s="330"/>
    </row>
    <row r="160" spans="1:42" ht="12.75" customHeight="1">
      <c r="B160" s="80"/>
      <c r="C160" s="3"/>
      <c r="D160" s="4"/>
      <c r="E160" s="4"/>
      <c r="F160" s="4"/>
      <c r="G160" s="4"/>
      <c r="H160" s="4"/>
      <c r="I160" s="4"/>
      <c r="J160" s="5"/>
      <c r="L160" s="6"/>
      <c r="M160" s="6"/>
      <c r="O160" s="7"/>
      <c r="Q160" s="8"/>
      <c r="Y160" s="136"/>
      <c r="AE160" s="330"/>
    </row>
    <row r="161" spans="2:31" ht="12.75" customHeight="1">
      <c r="B161" s="80"/>
      <c r="C161" s="3"/>
      <c r="D161" s="4"/>
      <c r="E161" s="4"/>
      <c r="F161" s="4"/>
      <c r="G161" s="4"/>
      <c r="H161" s="4"/>
      <c r="I161" s="4"/>
      <c r="J161" s="5"/>
      <c r="L161" s="6"/>
      <c r="M161" s="6"/>
      <c r="O161" s="7"/>
      <c r="Q161" s="8"/>
      <c r="R161" s="331"/>
      <c r="S161" s="331"/>
      <c r="Y161" s="136"/>
      <c r="AE161" s="330"/>
    </row>
    <row r="162" spans="2:31" ht="12.75" customHeight="1">
      <c r="B162" s="80"/>
      <c r="C162" s="3"/>
      <c r="D162" s="4"/>
      <c r="E162" s="4"/>
      <c r="F162" s="4"/>
      <c r="G162" s="4"/>
      <c r="H162" s="4"/>
      <c r="I162" s="4"/>
      <c r="J162" s="5"/>
      <c r="L162" s="6"/>
      <c r="M162" s="6"/>
      <c r="O162" s="7"/>
      <c r="Q162" s="8"/>
      <c r="Y162" s="136"/>
      <c r="AE162" s="330"/>
    </row>
    <row r="163" spans="2:31" ht="12.75" customHeight="1">
      <c r="B163" s="80"/>
      <c r="C163" s="3"/>
      <c r="D163" s="4"/>
      <c r="E163" s="4"/>
      <c r="F163" s="4"/>
      <c r="G163" s="4"/>
      <c r="H163" s="4"/>
      <c r="I163" s="4"/>
      <c r="J163" s="5"/>
      <c r="L163" s="6"/>
      <c r="M163" s="6"/>
      <c r="O163" s="7"/>
      <c r="Q163" s="8"/>
      <c r="Y163" s="136"/>
      <c r="AE163" s="330"/>
    </row>
    <row r="164" spans="2:31" ht="12.75" customHeight="1">
      <c r="B164" s="80"/>
      <c r="C164" s="3"/>
      <c r="D164" s="4"/>
      <c r="E164" s="4"/>
      <c r="F164" s="4"/>
      <c r="G164" s="4"/>
      <c r="H164" s="4"/>
      <c r="I164" s="4"/>
      <c r="J164" s="5"/>
      <c r="L164" s="6"/>
      <c r="M164" s="6"/>
      <c r="O164" s="7"/>
      <c r="Q164" s="8"/>
      <c r="Y164" s="136"/>
      <c r="AE164" s="330"/>
    </row>
    <row r="165" spans="2:31" ht="12.75" customHeight="1">
      <c r="B165" s="80"/>
      <c r="C165" s="3"/>
      <c r="D165" s="4"/>
      <c r="E165" s="4"/>
      <c r="F165" s="4"/>
      <c r="G165" s="4"/>
      <c r="H165" s="4"/>
      <c r="I165" s="4"/>
      <c r="J165" s="5"/>
      <c r="L165" s="6"/>
      <c r="M165" s="6"/>
      <c r="O165" s="7"/>
      <c r="Q165" s="8"/>
      <c r="Y165" s="136"/>
      <c r="AE165" s="330"/>
    </row>
    <row r="166" spans="2:31" ht="12.75" customHeight="1">
      <c r="B166" s="80"/>
      <c r="C166" s="3"/>
      <c r="D166" s="4"/>
      <c r="E166" s="4"/>
      <c r="F166" s="4"/>
      <c r="G166" s="4"/>
      <c r="H166" s="4"/>
      <c r="I166" s="4"/>
      <c r="J166" s="5"/>
      <c r="L166" s="6"/>
      <c r="M166" s="6"/>
      <c r="O166" s="7"/>
      <c r="Q166" s="8"/>
      <c r="Y166" s="136"/>
      <c r="AE166" s="330"/>
    </row>
    <row r="167" spans="2:31" ht="12.75" customHeight="1">
      <c r="B167" s="80"/>
      <c r="C167" s="3"/>
      <c r="D167" s="4"/>
      <c r="E167" s="4"/>
      <c r="F167" s="4"/>
      <c r="G167" s="4"/>
      <c r="H167" s="4"/>
      <c r="I167" s="4"/>
      <c r="J167" s="5"/>
      <c r="L167" s="6"/>
      <c r="M167" s="6"/>
      <c r="O167" s="7"/>
      <c r="Q167" s="8"/>
      <c r="Y167" s="136"/>
      <c r="AE167" s="330"/>
    </row>
    <row r="168" spans="2:31" ht="12.75" customHeight="1">
      <c r="B168" s="80"/>
      <c r="C168" s="3"/>
      <c r="D168" s="4"/>
      <c r="E168" s="4"/>
      <c r="F168" s="4"/>
      <c r="G168" s="4"/>
      <c r="H168" s="4"/>
      <c r="I168" s="4"/>
      <c r="J168" s="5"/>
      <c r="L168" s="6"/>
      <c r="M168" s="6"/>
      <c r="O168" s="7"/>
      <c r="Q168" s="8"/>
      <c r="Y168" s="136"/>
      <c r="AE168" s="330"/>
    </row>
    <row r="169" spans="2:31" ht="12.75" customHeight="1">
      <c r="B169" s="80"/>
      <c r="C169" s="3"/>
      <c r="D169" s="4"/>
      <c r="E169" s="4"/>
      <c r="F169" s="4"/>
      <c r="G169" s="4"/>
      <c r="H169" s="4"/>
      <c r="I169" s="4"/>
      <c r="J169" s="5"/>
      <c r="L169" s="6"/>
      <c r="M169" s="6"/>
      <c r="O169" s="7"/>
      <c r="Q169" s="8"/>
      <c r="Y169" s="136"/>
      <c r="AE169" s="330"/>
    </row>
    <row r="170" spans="2:31" ht="12.75" customHeight="1">
      <c r="B170" s="80"/>
      <c r="C170" s="3"/>
      <c r="D170" s="4"/>
      <c r="E170" s="4"/>
      <c r="F170" s="4"/>
      <c r="G170" s="4"/>
      <c r="H170" s="4"/>
      <c r="I170" s="4"/>
      <c r="J170" s="5"/>
      <c r="L170" s="6"/>
      <c r="M170" s="6"/>
      <c r="O170" s="7"/>
      <c r="Q170" s="8"/>
      <c r="Y170" s="136"/>
      <c r="AE170" s="330"/>
    </row>
    <row r="171" spans="2:31" ht="12.75" customHeight="1">
      <c r="B171" s="80"/>
      <c r="C171" s="3"/>
      <c r="D171" s="4"/>
      <c r="E171" s="4"/>
      <c r="F171" s="4"/>
      <c r="G171" s="4"/>
      <c r="H171" s="4"/>
      <c r="I171" s="4"/>
      <c r="J171" s="5"/>
      <c r="L171" s="6"/>
      <c r="M171" s="6"/>
      <c r="O171" s="7"/>
      <c r="Q171" s="8"/>
      <c r="Y171" s="136"/>
      <c r="AE171" s="330"/>
    </row>
    <row r="172" spans="2:31" ht="12.75" customHeight="1">
      <c r="B172" s="80"/>
      <c r="C172" s="3"/>
      <c r="D172" s="4"/>
      <c r="E172" s="4"/>
      <c r="F172" s="4"/>
      <c r="G172" s="4"/>
      <c r="H172" s="4"/>
      <c r="I172" s="4"/>
      <c r="J172" s="5"/>
      <c r="L172" s="6"/>
      <c r="M172" s="6"/>
      <c r="O172" s="7"/>
      <c r="Q172" s="8"/>
      <c r="Y172" s="136"/>
      <c r="AE172" s="330"/>
    </row>
    <row r="173" spans="2:31" ht="12.75" customHeight="1">
      <c r="B173" s="80"/>
      <c r="C173" s="3"/>
      <c r="D173" s="4"/>
      <c r="E173" s="4"/>
      <c r="F173" s="4"/>
      <c r="G173" s="4"/>
      <c r="H173" s="4"/>
      <c r="I173" s="4"/>
      <c r="J173" s="5"/>
      <c r="L173" s="6"/>
      <c r="M173" s="6"/>
      <c r="O173" s="7"/>
      <c r="Q173" s="8"/>
      <c r="Y173" s="136"/>
      <c r="AE173" s="330"/>
    </row>
    <row r="174" spans="2:31" ht="12.75" customHeight="1">
      <c r="B174" s="80"/>
      <c r="C174" s="3"/>
      <c r="D174" s="4"/>
      <c r="E174" s="4"/>
      <c r="F174" s="4"/>
      <c r="G174" s="4"/>
      <c r="H174" s="4"/>
      <c r="I174" s="4"/>
      <c r="J174" s="5"/>
      <c r="L174" s="6"/>
      <c r="M174" s="6"/>
      <c r="O174" s="7"/>
      <c r="Q174" s="8"/>
      <c r="Y174" s="136"/>
      <c r="AE174" s="330"/>
    </row>
    <row r="175" spans="2:31" ht="12.75" customHeight="1">
      <c r="B175" s="80"/>
      <c r="C175" s="3"/>
      <c r="D175" s="4"/>
      <c r="E175" s="4"/>
      <c r="F175" s="4"/>
      <c r="G175" s="4"/>
      <c r="H175" s="4"/>
      <c r="I175" s="4"/>
      <c r="J175" s="5"/>
      <c r="L175" s="6"/>
      <c r="M175" s="6"/>
      <c r="O175" s="7"/>
      <c r="Q175" s="8"/>
      <c r="Y175" s="136"/>
      <c r="AE175" s="330"/>
    </row>
    <row r="176" spans="2:31" ht="12.75" customHeight="1">
      <c r="B176" s="80"/>
      <c r="C176" s="3"/>
      <c r="D176" s="4"/>
      <c r="E176" s="4"/>
      <c r="F176" s="4"/>
      <c r="G176" s="4"/>
      <c r="H176" s="4"/>
      <c r="I176" s="4"/>
      <c r="J176" s="5"/>
      <c r="L176" s="6"/>
      <c r="M176" s="6"/>
      <c r="O176" s="7"/>
      <c r="Q176" s="8"/>
      <c r="Y176" s="136"/>
      <c r="AE176" s="330"/>
    </row>
    <row r="177" spans="2:31" ht="12.75" customHeight="1">
      <c r="B177" s="80"/>
      <c r="C177" s="3"/>
      <c r="D177" s="4"/>
      <c r="E177" s="4"/>
      <c r="F177" s="4"/>
      <c r="G177" s="4"/>
      <c r="H177" s="4"/>
      <c r="I177" s="4"/>
      <c r="J177" s="5"/>
      <c r="L177" s="6"/>
      <c r="M177" s="6"/>
      <c r="O177" s="7"/>
      <c r="Q177" s="8"/>
      <c r="Y177" s="136"/>
      <c r="AE177" s="330"/>
    </row>
    <row r="178" spans="2:31" ht="12.75" customHeight="1">
      <c r="B178" s="80"/>
      <c r="C178" s="3"/>
      <c r="D178" s="4"/>
      <c r="E178" s="4"/>
      <c r="F178" s="4"/>
      <c r="G178" s="4"/>
      <c r="H178" s="4"/>
      <c r="I178" s="4"/>
      <c r="J178" s="5"/>
      <c r="L178" s="6"/>
      <c r="M178" s="6"/>
      <c r="O178" s="7"/>
      <c r="Q178" s="8"/>
      <c r="Y178" s="136"/>
      <c r="AE178" s="330"/>
    </row>
    <row r="179" spans="2:31" ht="12.75" customHeight="1">
      <c r="B179" s="80"/>
      <c r="C179" s="3"/>
      <c r="D179" s="4"/>
      <c r="E179" s="4"/>
      <c r="F179" s="4"/>
      <c r="G179" s="4"/>
      <c r="H179" s="4"/>
      <c r="I179" s="4"/>
      <c r="J179" s="5"/>
      <c r="L179" s="6"/>
      <c r="M179" s="6"/>
      <c r="O179" s="7"/>
      <c r="Q179" s="8"/>
      <c r="Y179" s="136"/>
      <c r="AE179" s="330"/>
    </row>
    <row r="180" spans="2:31" ht="12.75" customHeight="1">
      <c r="B180" s="80"/>
      <c r="C180" s="3"/>
      <c r="D180" s="4"/>
      <c r="E180" s="4"/>
      <c r="F180" s="4"/>
      <c r="G180" s="4"/>
      <c r="H180" s="4"/>
      <c r="I180" s="4"/>
      <c r="J180" s="5"/>
      <c r="L180" s="6"/>
      <c r="M180" s="6"/>
      <c r="O180" s="7"/>
      <c r="Q180" s="8"/>
      <c r="Y180" s="136"/>
      <c r="AE180" s="330"/>
    </row>
    <row r="181" spans="2:31" ht="12.75" customHeight="1">
      <c r="B181" s="80"/>
      <c r="C181" s="3"/>
      <c r="D181" s="4"/>
      <c r="E181" s="4"/>
      <c r="F181" s="4"/>
      <c r="G181" s="4"/>
      <c r="H181" s="4"/>
      <c r="I181" s="4"/>
      <c r="J181" s="5"/>
      <c r="L181" s="6"/>
      <c r="M181" s="6"/>
      <c r="O181" s="7"/>
      <c r="Q181" s="8"/>
      <c r="Y181" s="136"/>
      <c r="AE181" s="330"/>
    </row>
    <row r="182" spans="2:31" ht="12.75" customHeight="1">
      <c r="B182" s="80"/>
      <c r="C182" s="3"/>
      <c r="D182" s="4"/>
      <c r="E182" s="4"/>
      <c r="F182" s="4"/>
      <c r="G182" s="4"/>
      <c r="H182" s="4"/>
      <c r="I182" s="4"/>
      <c r="J182" s="5"/>
      <c r="L182" s="6"/>
      <c r="M182" s="6"/>
      <c r="O182" s="7"/>
      <c r="Q182" s="8"/>
      <c r="Y182" s="136"/>
      <c r="AE182" s="330"/>
    </row>
    <row r="183" spans="2:31" ht="12.75" customHeight="1">
      <c r="B183" s="80"/>
      <c r="C183" s="3"/>
      <c r="D183" s="4"/>
      <c r="E183" s="4"/>
      <c r="F183" s="4"/>
      <c r="G183" s="4"/>
      <c r="H183" s="4"/>
      <c r="I183" s="4"/>
      <c r="J183" s="5"/>
      <c r="L183" s="6"/>
      <c r="M183" s="6"/>
      <c r="O183" s="7"/>
      <c r="Q183" s="8"/>
      <c r="Y183" s="136"/>
      <c r="AE183" s="330"/>
    </row>
    <row r="184" spans="2:31" ht="12.75" customHeight="1">
      <c r="B184" s="80"/>
      <c r="C184" s="3"/>
      <c r="D184" s="4"/>
      <c r="E184" s="4"/>
      <c r="F184" s="4"/>
      <c r="G184" s="4"/>
      <c r="H184" s="4"/>
      <c r="I184" s="4"/>
      <c r="J184" s="5"/>
      <c r="L184" s="6"/>
      <c r="M184" s="6"/>
      <c r="O184" s="7"/>
      <c r="Q184" s="8"/>
      <c r="Y184" s="136"/>
      <c r="AE184" s="330"/>
    </row>
    <row r="185" spans="2:31" ht="12.75" customHeight="1">
      <c r="B185" s="80"/>
      <c r="C185" s="3"/>
      <c r="D185" s="4"/>
      <c r="E185" s="4"/>
      <c r="F185" s="4"/>
      <c r="G185" s="4"/>
      <c r="H185" s="4"/>
      <c r="I185" s="4"/>
      <c r="J185" s="5"/>
      <c r="L185" s="6"/>
      <c r="M185" s="6"/>
      <c r="O185" s="7"/>
      <c r="Q185" s="8"/>
      <c r="Y185" s="136"/>
      <c r="AE185" s="330"/>
    </row>
    <row r="186" spans="2:31" ht="12.75" customHeight="1">
      <c r="B186" s="80"/>
      <c r="C186" s="3"/>
      <c r="D186" s="4"/>
      <c r="E186" s="4"/>
      <c r="F186" s="4"/>
      <c r="G186" s="4"/>
      <c r="H186" s="4"/>
      <c r="I186" s="4"/>
      <c r="J186" s="5"/>
      <c r="L186" s="6"/>
      <c r="M186" s="6"/>
      <c r="O186" s="7"/>
      <c r="Q186" s="8"/>
      <c r="Y186" s="136"/>
      <c r="AE186" s="330"/>
    </row>
    <row r="187" spans="2:31" ht="12.75" customHeight="1">
      <c r="B187" s="80"/>
      <c r="C187" s="3"/>
      <c r="D187" s="4"/>
      <c r="E187" s="4"/>
      <c r="F187" s="4"/>
      <c r="G187" s="4"/>
      <c r="H187" s="4"/>
      <c r="I187" s="4"/>
      <c r="J187" s="5"/>
      <c r="L187" s="6"/>
      <c r="M187" s="6"/>
      <c r="O187" s="7"/>
      <c r="Q187" s="8"/>
      <c r="Y187" s="136"/>
      <c r="AE187" s="330"/>
    </row>
    <row r="188" spans="2:31" ht="12.75" customHeight="1">
      <c r="B188" s="80"/>
      <c r="C188" s="3"/>
      <c r="D188" s="4"/>
      <c r="E188" s="4"/>
      <c r="F188" s="4"/>
      <c r="G188" s="4"/>
      <c r="H188" s="4"/>
      <c r="I188" s="4"/>
      <c r="J188" s="5"/>
      <c r="L188" s="6"/>
      <c r="M188" s="6"/>
      <c r="O188" s="7"/>
      <c r="Q188" s="8"/>
      <c r="Y188" s="136"/>
      <c r="AE188" s="330"/>
    </row>
    <row r="189" spans="2:31" ht="12.75" customHeight="1">
      <c r="B189" s="80"/>
      <c r="C189" s="3"/>
      <c r="D189" s="4"/>
      <c r="E189" s="4"/>
      <c r="F189" s="4"/>
      <c r="G189" s="4"/>
      <c r="H189" s="4"/>
      <c r="I189" s="4"/>
      <c r="J189" s="5"/>
      <c r="L189" s="6"/>
      <c r="M189" s="6"/>
      <c r="O189" s="7"/>
      <c r="Q189" s="8"/>
      <c r="Y189" s="136"/>
      <c r="AE189" s="330"/>
    </row>
    <row r="190" spans="2:31" ht="12.75" customHeight="1">
      <c r="B190" s="80"/>
      <c r="C190" s="3"/>
      <c r="D190" s="4"/>
      <c r="E190" s="4"/>
      <c r="F190" s="4"/>
      <c r="G190" s="4"/>
      <c r="H190" s="4"/>
      <c r="I190" s="4"/>
      <c r="J190" s="5"/>
      <c r="L190" s="6"/>
      <c r="M190" s="6"/>
      <c r="O190" s="7"/>
      <c r="Q190" s="8"/>
      <c r="Y190" s="136"/>
      <c r="AE190" s="330"/>
    </row>
    <row r="191" spans="2:31" ht="12.75" customHeight="1">
      <c r="B191" s="80"/>
      <c r="C191" s="3"/>
      <c r="D191" s="4"/>
      <c r="E191" s="4"/>
      <c r="F191" s="4"/>
      <c r="G191" s="4"/>
      <c r="H191" s="4"/>
      <c r="I191" s="4"/>
      <c r="J191" s="5"/>
      <c r="L191" s="6"/>
      <c r="M191" s="6"/>
      <c r="O191" s="7"/>
      <c r="Q191" s="8"/>
      <c r="Y191" s="136"/>
      <c r="AE191" s="330"/>
    </row>
    <row r="192" spans="2:31" ht="12.75" customHeight="1">
      <c r="B192" s="80"/>
      <c r="C192" s="3"/>
      <c r="D192" s="4"/>
      <c r="E192" s="4"/>
      <c r="F192" s="4"/>
      <c r="G192" s="4"/>
      <c r="H192" s="4"/>
      <c r="I192" s="4"/>
      <c r="J192" s="5"/>
      <c r="L192" s="6"/>
      <c r="M192" s="6"/>
      <c r="O192" s="7"/>
      <c r="Q192" s="8"/>
      <c r="Y192" s="136"/>
      <c r="AE192" s="330"/>
    </row>
    <row r="193" spans="2:31" ht="12.75" customHeight="1">
      <c r="B193" s="80"/>
      <c r="C193" s="3"/>
      <c r="D193" s="4"/>
      <c r="E193" s="4"/>
      <c r="F193" s="4"/>
      <c r="G193" s="4"/>
      <c r="H193" s="4"/>
      <c r="I193" s="4"/>
      <c r="J193" s="5"/>
      <c r="L193" s="6"/>
      <c r="M193" s="6"/>
      <c r="O193" s="7"/>
      <c r="Q193" s="8"/>
      <c r="Y193" s="136"/>
      <c r="AE193" s="330"/>
    </row>
    <row r="194" spans="2:31" ht="12.75" customHeight="1">
      <c r="B194" s="80"/>
      <c r="C194" s="3"/>
      <c r="D194" s="4"/>
      <c r="E194" s="4"/>
      <c r="F194" s="4"/>
      <c r="G194" s="4"/>
      <c r="H194" s="4"/>
      <c r="I194" s="4"/>
      <c r="J194" s="5"/>
      <c r="L194" s="6"/>
      <c r="M194" s="6"/>
      <c r="O194" s="7"/>
      <c r="Q194" s="8"/>
      <c r="Y194" s="136"/>
      <c r="AE194" s="330"/>
    </row>
    <row r="195" spans="2:31" ht="12.75" customHeight="1">
      <c r="B195" s="80"/>
      <c r="C195" s="3"/>
      <c r="D195" s="4"/>
      <c r="E195" s="4"/>
      <c r="F195" s="4"/>
      <c r="G195" s="4"/>
      <c r="H195" s="4"/>
      <c r="I195" s="4"/>
      <c r="J195" s="5"/>
      <c r="L195" s="6"/>
      <c r="M195" s="6"/>
      <c r="O195" s="7"/>
      <c r="Q195" s="8"/>
      <c r="Y195" s="136"/>
      <c r="AE195" s="330"/>
    </row>
    <row r="196" spans="2:31" ht="12.75" customHeight="1">
      <c r="B196" s="80"/>
      <c r="C196" s="3"/>
      <c r="D196" s="4"/>
      <c r="E196" s="4"/>
      <c r="F196" s="4"/>
      <c r="G196" s="4"/>
      <c r="H196" s="4"/>
      <c r="I196" s="4"/>
      <c r="J196" s="5"/>
      <c r="L196" s="6"/>
      <c r="M196" s="6"/>
      <c r="O196" s="7"/>
      <c r="Q196" s="8"/>
      <c r="Y196" s="136"/>
      <c r="AE196" s="330"/>
    </row>
    <row r="197" spans="2:31" ht="12.75" customHeight="1">
      <c r="B197" s="80"/>
      <c r="C197" s="3"/>
      <c r="D197" s="4"/>
      <c r="E197" s="4"/>
      <c r="F197" s="4"/>
      <c r="G197" s="4"/>
      <c r="H197" s="4"/>
      <c r="I197" s="4"/>
      <c r="J197" s="5"/>
      <c r="L197" s="6"/>
      <c r="M197" s="6"/>
      <c r="O197" s="7"/>
      <c r="Q197" s="8"/>
      <c r="Y197" s="136"/>
      <c r="AE197" s="330"/>
    </row>
    <row r="198" spans="2:31" ht="12.75" customHeight="1">
      <c r="B198" s="80"/>
      <c r="C198" s="3"/>
      <c r="D198" s="4"/>
      <c r="E198" s="4"/>
      <c r="F198" s="4"/>
      <c r="G198" s="4"/>
      <c r="H198" s="4"/>
      <c r="I198" s="4"/>
      <c r="J198" s="5"/>
      <c r="L198" s="6"/>
      <c r="M198" s="6"/>
      <c r="O198" s="7"/>
      <c r="Q198" s="8"/>
      <c r="Y198" s="136"/>
      <c r="AE198" s="330"/>
    </row>
    <row r="199" spans="2:31" ht="12.75" customHeight="1">
      <c r="B199" s="80"/>
      <c r="C199" s="3"/>
      <c r="D199" s="4"/>
      <c r="E199" s="4"/>
      <c r="F199" s="4"/>
      <c r="G199" s="4"/>
      <c r="H199" s="4"/>
      <c r="I199" s="4"/>
      <c r="J199" s="5"/>
      <c r="L199" s="6"/>
      <c r="M199" s="6"/>
      <c r="O199" s="7"/>
      <c r="Q199" s="8"/>
      <c r="Y199" s="136"/>
      <c r="AE199" s="330"/>
    </row>
    <row r="200" spans="2:31" ht="12.75" customHeight="1">
      <c r="B200" s="80"/>
      <c r="C200" s="3"/>
      <c r="D200" s="4"/>
      <c r="E200" s="4"/>
      <c r="F200" s="4"/>
      <c r="G200" s="4"/>
      <c r="H200" s="4"/>
      <c r="I200" s="4"/>
      <c r="J200" s="5"/>
      <c r="L200" s="6"/>
      <c r="M200" s="6"/>
      <c r="O200" s="7"/>
      <c r="Q200" s="8"/>
      <c r="Y200" s="136"/>
      <c r="AE200" s="330"/>
    </row>
    <row r="201" spans="2:31" ht="12.75" customHeight="1">
      <c r="B201" s="80"/>
      <c r="C201" s="3"/>
      <c r="D201" s="4"/>
      <c r="E201" s="4"/>
      <c r="F201" s="4"/>
      <c r="G201" s="4"/>
      <c r="H201" s="4"/>
      <c r="I201" s="4"/>
      <c r="J201" s="5"/>
      <c r="L201" s="6"/>
      <c r="M201" s="6"/>
      <c r="O201" s="7"/>
      <c r="Q201" s="8"/>
      <c r="Y201" s="136"/>
      <c r="AE201" s="330"/>
    </row>
    <row r="202" spans="2:31" ht="12.75" customHeight="1">
      <c r="B202" s="80"/>
      <c r="C202" s="3"/>
      <c r="D202" s="4"/>
      <c r="E202" s="4"/>
      <c r="F202" s="4"/>
      <c r="G202" s="4"/>
      <c r="H202" s="4"/>
      <c r="I202" s="4"/>
      <c r="J202" s="5"/>
      <c r="L202" s="6"/>
      <c r="M202" s="6"/>
      <c r="O202" s="7"/>
      <c r="Q202" s="8"/>
      <c r="Y202" s="136"/>
      <c r="AE202" s="330"/>
    </row>
    <row r="203" spans="2:31" ht="12.75" customHeight="1">
      <c r="B203" s="80"/>
      <c r="C203" s="3"/>
      <c r="D203" s="4"/>
      <c r="E203" s="4"/>
      <c r="F203" s="4"/>
      <c r="G203" s="4"/>
      <c r="H203" s="4"/>
      <c r="I203" s="4"/>
      <c r="J203" s="5"/>
      <c r="L203" s="6"/>
      <c r="M203" s="6"/>
      <c r="O203" s="7"/>
      <c r="Q203" s="8"/>
      <c r="Y203" s="136"/>
      <c r="AE203" s="330"/>
    </row>
    <row r="204" spans="2:31" ht="12.75" customHeight="1">
      <c r="B204" s="80"/>
      <c r="C204" s="3"/>
      <c r="D204" s="4"/>
      <c r="E204" s="4"/>
      <c r="F204" s="4"/>
      <c r="G204" s="4"/>
      <c r="H204" s="4"/>
      <c r="I204" s="4"/>
      <c r="J204" s="5"/>
      <c r="L204" s="6"/>
      <c r="M204" s="6"/>
      <c r="O204" s="7"/>
      <c r="Q204" s="8"/>
      <c r="Y204" s="136"/>
      <c r="AE204" s="330"/>
    </row>
    <row r="205" spans="2:31" ht="12.75" customHeight="1">
      <c r="B205" s="80"/>
      <c r="C205" s="3"/>
      <c r="D205" s="4"/>
      <c r="E205" s="4"/>
      <c r="F205" s="4"/>
      <c r="G205" s="4"/>
      <c r="H205" s="4"/>
      <c r="I205" s="4"/>
      <c r="J205" s="5"/>
      <c r="L205" s="6"/>
      <c r="M205" s="6"/>
      <c r="O205" s="7"/>
      <c r="Q205" s="8"/>
      <c r="Y205" s="136"/>
      <c r="AE205" s="330"/>
    </row>
    <row r="206" spans="2:31" ht="12.75" customHeight="1">
      <c r="B206" s="80"/>
      <c r="C206" s="3"/>
      <c r="D206" s="4"/>
      <c r="E206" s="4"/>
      <c r="F206" s="4"/>
      <c r="G206" s="4"/>
      <c r="H206" s="4"/>
      <c r="I206" s="4"/>
      <c r="J206" s="5"/>
      <c r="L206" s="6"/>
      <c r="M206" s="6"/>
      <c r="O206" s="7"/>
      <c r="Q206" s="8"/>
      <c r="Y206" s="136"/>
      <c r="AE206" s="330"/>
    </row>
    <row r="207" spans="2:31" ht="12.75" customHeight="1">
      <c r="B207" s="80"/>
      <c r="C207" s="3"/>
      <c r="D207" s="4"/>
      <c r="E207" s="4"/>
      <c r="F207" s="4"/>
      <c r="G207" s="4"/>
      <c r="H207" s="4"/>
      <c r="I207" s="4"/>
      <c r="J207" s="5"/>
      <c r="L207" s="6"/>
      <c r="M207" s="6"/>
      <c r="O207" s="7"/>
      <c r="Q207" s="8"/>
      <c r="Y207" s="136"/>
      <c r="AE207" s="330"/>
    </row>
    <row r="208" spans="2:31" ht="12.75" customHeight="1">
      <c r="B208" s="80"/>
      <c r="C208" s="3"/>
      <c r="D208" s="4"/>
      <c r="E208" s="4"/>
      <c r="F208" s="4"/>
      <c r="G208" s="4"/>
      <c r="H208" s="4"/>
      <c r="I208" s="4"/>
      <c r="J208" s="5"/>
      <c r="L208" s="6"/>
      <c r="M208" s="6"/>
      <c r="O208" s="7"/>
      <c r="Q208" s="8"/>
      <c r="Y208" s="136"/>
      <c r="AE208" s="330"/>
    </row>
    <row r="209" spans="2:31" ht="12.75" customHeight="1">
      <c r="B209" s="80"/>
      <c r="C209" s="3"/>
      <c r="D209" s="4"/>
      <c r="E209" s="4"/>
      <c r="F209" s="4"/>
      <c r="G209" s="4"/>
      <c r="H209" s="4"/>
      <c r="I209" s="4"/>
      <c r="J209" s="5"/>
      <c r="L209" s="6"/>
      <c r="M209" s="6"/>
      <c r="O209" s="7"/>
      <c r="Q209" s="8"/>
      <c r="Y209" s="136"/>
      <c r="AE209" s="330"/>
    </row>
    <row r="210" spans="2:31" ht="12.75" customHeight="1">
      <c r="B210" s="80"/>
      <c r="C210" s="3"/>
      <c r="D210" s="4"/>
      <c r="E210" s="4"/>
      <c r="F210" s="4"/>
      <c r="G210" s="4"/>
      <c r="H210" s="4"/>
      <c r="I210" s="4"/>
      <c r="J210" s="5"/>
      <c r="L210" s="6"/>
      <c r="M210" s="6"/>
      <c r="O210" s="7"/>
      <c r="Q210" s="8"/>
      <c r="Y210" s="136"/>
      <c r="AE210" s="330"/>
    </row>
    <row r="211" spans="2:31" ht="12.75" customHeight="1">
      <c r="B211" s="80"/>
      <c r="C211" s="3"/>
      <c r="D211" s="4"/>
      <c r="E211" s="4"/>
      <c r="F211" s="4"/>
      <c r="G211" s="4"/>
      <c r="H211" s="4"/>
      <c r="I211" s="4"/>
      <c r="J211" s="5"/>
      <c r="L211" s="6"/>
      <c r="M211" s="6"/>
      <c r="O211" s="7"/>
      <c r="Q211" s="8"/>
      <c r="Y211" s="136"/>
      <c r="AE211" s="330"/>
    </row>
    <row r="212" spans="2:31" ht="12.75" customHeight="1">
      <c r="B212" s="80"/>
      <c r="C212" s="3"/>
      <c r="D212" s="4"/>
      <c r="E212" s="4"/>
      <c r="F212" s="4"/>
      <c r="G212" s="4"/>
      <c r="H212" s="4"/>
      <c r="I212" s="4"/>
      <c r="J212" s="5"/>
      <c r="L212" s="6"/>
      <c r="M212" s="6"/>
      <c r="O212" s="7"/>
      <c r="Q212" s="8"/>
      <c r="Y212" s="136"/>
      <c r="AE212" s="330"/>
    </row>
    <row r="213" spans="2:31" ht="12.75" customHeight="1">
      <c r="B213" s="80"/>
      <c r="C213" s="3"/>
      <c r="D213" s="4"/>
      <c r="E213" s="4"/>
      <c r="F213" s="4"/>
      <c r="G213" s="4"/>
      <c r="H213" s="4"/>
      <c r="I213" s="4"/>
      <c r="J213" s="5"/>
      <c r="L213" s="6"/>
      <c r="M213" s="6"/>
      <c r="O213" s="7"/>
      <c r="Q213" s="8"/>
      <c r="Y213" s="136"/>
      <c r="AE213" s="330"/>
    </row>
    <row r="214" spans="2:31" ht="12.75" customHeight="1">
      <c r="B214" s="80"/>
      <c r="C214" s="3"/>
      <c r="D214" s="4"/>
      <c r="E214" s="4"/>
      <c r="F214" s="4"/>
      <c r="G214" s="4"/>
      <c r="H214" s="4"/>
      <c r="I214" s="4"/>
      <c r="J214" s="5"/>
      <c r="L214" s="6"/>
      <c r="M214" s="6"/>
      <c r="O214" s="7"/>
      <c r="Q214" s="8"/>
      <c r="Y214" s="136"/>
      <c r="AE214" s="330"/>
    </row>
    <row r="215" spans="2:31" ht="12.75" customHeight="1">
      <c r="B215" s="80"/>
      <c r="C215" s="3"/>
      <c r="D215" s="4"/>
      <c r="E215" s="4"/>
      <c r="F215" s="4"/>
      <c r="G215" s="4"/>
      <c r="H215" s="4"/>
      <c r="I215" s="4"/>
      <c r="J215" s="5"/>
      <c r="L215" s="6"/>
      <c r="M215" s="6"/>
      <c r="O215" s="7"/>
      <c r="Q215" s="8"/>
      <c r="Y215" s="136"/>
      <c r="AE215" s="330"/>
    </row>
    <row r="216" spans="2:31" ht="12.75" customHeight="1">
      <c r="B216" s="80"/>
      <c r="C216" s="3"/>
      <c r="D216" s="4"/>
      <c r="E216" s="4"/>
      <c r="F216" s="4"/>
      <c r="G216" s="4"/>
      <c r="H216" s="4"/>
      <c r="I216" s="4"/>
      <c r="J216" s="5"/>
      <c r="L216" s="6"/>
      <c r="M216" s="6"/>
      <c r="O216" s="7"/>
      <c r="Q216" s="8"/>
      <c r="Y216" s="136"/>
      <c r="AE216" s="330"/>
    </row>
    <row r="217" spans="2:31" ht="12.75" customHeight="1">
      <c r="B217" s="80"/>
      <c r="C217" s="3"/>
      <c r="D217" s="4"/>
      <c r="E217" s="4"/>
      <c r="F217" s="4"/>
      <c r="G217" s="4"/>
      <c r="H217" s="4"/>
      <c r="I217" s="4"/>
      <c r="J217" s="5"/>
      <c r="L217" s="6"/>
      <c r="M217" s="6"/>
      <c r="O217" s="7"/>
      <c r="Q217" s="8"/>
      <c r="Y217" s="136"/>
      <c r="AE217" s="330"/>
    </row>
    <row r="218" spans="2:31" ht="12.75" customHeight="1">
      <c r="B218" s="80"/>
      <c r="C218" s="3"/>
      <c r="D218" s="4"/>
      <c r="E218" s="4"/>
      <c r="F218" s="4"/>
      <c r="G218" s="4"/>
      <c r="H218" s="4"/>
      <c r="I218" s="4"/>
      <c r="J218" s="5"/>
      <c r="L218" s="6"/>
      <c r="M218" s="6"/>
      <c r="O218" s="7"/>
      <c r="Q218" s="8"/>
      <c r="Y218" s="136"/>
      <c r="AE218" s="330"/>
    </row>
    <row r="219" spans="2:31" ht="12.75" customHeight="1">
      <c r="B219" s="80"/>
      <c r="C219" s="3"/>
      <c r="D219" s="4"/>
      <c r="E219" s="4"/>
      <c r="F219" s="4"/>
      <c r="G219" s="4"/>
      <c r="H219" s="4"/>
      <c r="I219" s="4"/>
      <c r="J219" s="5"/>
      <c r="L219" s="6"/>
      <c r="M219" s="6"/>
      <c r="O219" s="7"/>
      <c r="Q219" s="8"/>
      <c r="Y219" s="136"/>
      <c r="AE219" s="330"/>
    </row>
    <row r="220" spans="2:31" ht="12.75" customHeight="1">
      <c r="B220" s="80"/>
      <c r="C220" s="3"/>
      <c r="D220" s="4"/>
      <c r="E220" s="4"/>
      <c r="F220" s="4"/>
      <c r="G220" s="4"/>
      <c r="H220" s="4"/>
      <c r="I220" s="4"/>
      <c r="J220" s="5"/>
      <c r="L220" s="6"/>
      <c r="M220" s="6"/>
      <c r="O220" s="7"/>
      <c r="Q220" s="8"/>
      <c r="Y220" s="136"/>
      <c r="AE220" s="330"/>
    </row>
    <row r="221" spans="2:31" ht="12.75" customHeight="1">
      <c r="B221" s="80"/>
      <c r="C221" s="3"/>
      <c r="D221" s="4"/>
      <c r="E221" s="4"/>
      <c r="F221" s="4"/>
      <c r="G221" s="4"/>
      <c r="H221" s="4"/>
      <c r="I221" s="4"/>
      <c r="J221" s="5"/>
      <c r="L221" s="6"/>
      <c r="M221" s="6"/>
      <c r="O221" s="7"/>
      <c r="Q221" s="8"/>
      <c r="Y221" s="136"/>
      <c r="AE221" s="330"/>
    </row>
    <row r="222" spans="2:31" ht="12.75" customHeight="1">
      <c r="B222" s="80"/>
      <c r="C222" s="3"/>
      <c r="D222" s="4"/>
      <c r="E222" s="4"/>
      <c r="F222" s="4"/>
      <c r="G222" s="4"/>
      <c r="H222" s="4"/>
      <c r="I222" s="4"/>
      <c r="J222" s="5"/>
      <c r="L222" s="6"/>
      <c r="M222" s="6"/>
      <c r="O222" s="7"/>
      <c r="Q222" s="8"/>
      <c r="Y222" s="136"/>
      <c r="AE222" s="330"/>
    </row>
    <row r="223" spans="2:31" ht="12.75" customHeight="1">
      <c r="B223" s="80"/>
      <c r="C223" s="3"/>
      <c r="D223" s="4"/>
      <c r="E223" s="4"/>
      <c r="F223" s="4"/>
      <c r="G223" s="4"/>
      <c r="H223" s="4"/>
      <c r="I223" s="4"/>
      <c r="J223" s="5"/>
      <c r="L223" s="6"/>
      <c r="M223" s="6"/>
      <c r="O223" s="7"/>
      <c r="Q223" s="8"/>
      <c r="Y223" s="136"/>
      <c r="AE223" s="330"/>
    </row>
    <row r="224" spans="2:31" ht="12.75" customHeight="1">
      <c r="B224" s="80"/>
      <c r="C224" s="3"/>
      <c r="D224" s="4"/>
      <c r="E224" s="4"/>
      <c r="F224" s="4"/>
      <c r="G224" s="4"/>
      <c r="H224" s="4"/>
      <c r="I224" s="4"/>
      <c r="J224" s="5"/>
      <c r="L224" s="6"/>
      <c r="M224" s="6"/>
      <c r="O224" s="7"/>
      <c r="Q224" s="8"/>
      <c r="Y224" s="136"/>
      <c r="AE224" s="330"/>
    </row>
    <row r="225" spans="2:31" ht="12.75" customHeight="1">
      <c r="B225" s="80"/>
      <c r="C225" s="3"/>
      <c r="D225" s="4"/>
      <c r="E225" s="4"/>
      <c r="F225" s="4"/>
      <c r="G225" s="4"/>
      <c r="H225" s="4"/>
      <c r="I225" s="4"/>
      <c r="J225" s="5"/>
      <c r="L225" s="6"/>
      <c r="M225" s="6"/>
      <c r="O225" s="7"/>
      <c r="Q225" s="8"/>
      <c r="Y225" s="136"/>
      <c r="AE225" s="330"/>
    </row>
    <row r="226" spans="2:31" ht="12.75" customHeight="1">
      <c r="B226" s="80"/>
      <c r="C226" s="3"/>
      <c r="D226" s="4"/>
      <c r="E226" s="4"/>
      <c r="F226" s="4"/>
      <c r="G226" s="4"/>
      <c r="H226" s="4"/>
      <c r="I226" s="4"/>
      <c r="J226" s="5"/>
      <c r="L226" s="6"/>
      <c r="M226" s="6"/>
      <c r="O226" s="7"/>
      <c r="Q226" s="8"/>
      <c r="Y226" s="136"/>
      <c r="AE226" s="330"/>
    </row>
    <row r="227" spans="2:31" ht="12.75" customHeight="1">
      <c r="B227" s="80"/>
      <c r="C227" s="3"/>
      <c r="D227" s="4"/>
      <c r="E227" s="4"/>
      <c r="F227" s="4"/>
      <c r="G227" s="4"/>
      <c r="H227" s="4"/>
      <c r="I227" s="4"/>
      <c r="J227" s="5"/>
      <c r="L227" s="6"/>
      <c r="M227" s="6"/>
      <c r="O227" s="7"/>
      <c r="Q227" s="8"/>
      <c r="Y227" s="136"/>
      <c r="AE227" s="330"/>
    </row>
    <row r="228" spans="2:31" ht="12.75" customHeight="1">
      <c r="B228" s="80"/>
      <c r="C228" s="3"/>
      <c r="D228" s="4"/>
      <c r="E228" s="4"/>
      <c r="F228" s="4"/>
      <c r="G228" s="4"/>
      <c r="H228" s="4"/>
      <c r="I228" s="4"/>
      <c r="J228" s="5"/>
      <c r="L228" s="6"/>
      <c r="M228" s="6"/>
      <c r="O228" s="7"/>
      <c r="Q228" s="8"/>
      <c r="Y228" s="136"/>
      <c r="AE228" s="330"/>
    </row>
    <row r="229" spans="2:31" ht="12.75" customHeight="1">
      <c r="B229" s="80"/>
      <c r="C229" s="3"/>
      <c r="D229" s="4"/>
      <c r="E229" s="4"/>
      <c r="F229" s="4"/>
      <c r="G229" s="4"/>
      <c r="H229" s="4"/>
      <c r="I229" s="4"/>
      <c r="J229" s="5"/>
      <c r="L229" s="6"/>
      <c r="M229" s="6"/>
      <c r="O229" s="7"/>
      <c r="Q229" s="8"/>
      <c r="Y229" s="136"/>
      <c r="AE229" s="330"/>
    </row>
    <row r="230" spans="2:31" ht="12.75" customHeight="1">
      <c r="B230" s="80"/>
      <c r="C230" s="3"/>
      <c r="D230" s="4"/>
      <c r="E230" s="4"/>
      <c r="F230" s="4"/>
      <c r="G230" s="4"/>
      <c r="H230" s="4"/>
      <c r="I230" s="4"/>
      <c r="J230" s="5"/>
      <c r="L230" s="6"/>
      <c r="M230" s="6"/>
      <c r="O230" s="7"/>
      <c r="Q230" s="8"/>
      <c r="Y230" s="136"/>
      <c r="AE230" s="330"/>
    </row>
    <row r="231" spans="2:31" ht="12.75" customHeight="1">
      <c r="B231" s="80"/>
      <c r="C231" s="3"/>
      <c r="D231" s="4"/>
      <c r="E231" s="4"/>
      <c r="F231" s="4"/>
      <c r="G231" s="4"/>
      <c r="H231" s="4"/>
      <c r="I231" s="4"/>
      <c r="J231" s="5"/>
      <c r="L231" s="6"/>
      <c r="M231" s="6"/>
      <c r="O231" s="7"/>
      <c r="Q231" s="8"/>
      <c r="Y231" s="136"/>
      <c r="AE231" s="330"/>
    </row>
    <row r="232" spans="2:31" ht="12.75" customHeight="1">
      <c r="B232" s="80"/>
      <c r="C232" s="3"/>
      <c r="D232" s="4"/>
      <c r="E232" s="4"/>
      <c r="F232" s="4"/>
      <c r="G232" s="4"/>
      <c r="H232" s="4"/>
      <c r="I232" s="4"/>
      <c r="J232" s="5"/>
      <c r="L232" s="6"/>
      <c r="M232" s="6"/>
      <c r="O232" s="7"/>
      <c r="Q232" s="8"/>
      <c r="Y232" s="136"/>
      <c r="AE232" s="330"/>
    </row>
    <row r="233" spans="2:31" ht="12.75" customHeight="1">
      <c r="B233" s="80"/>
      <c r="C233" s="3"/>
      <c r="D233" s="4"/>
      <c r="E233" s="4"/>
      <c r="F233" s="4"/>
      <c r="G233" s="4"/>
      <c r="H233" s="4"/>
      <c r="I233" s="4"/>
      <c r="J233" s="5"/>
      <c r="L233" s="6"/>
      <c r="M233" s="6"/>
      <c r="O233" s="7"/>
      <c r="Q233" s="8"/>
      <c r="Y233" s="136"/>
      <c r="AE233" s="330"/>
    </row>
    <row r="234" spans="2:31" ht="12.75" customHeight="1">
      <c r="B234" s="80"/>
      <c r="C234" s="3"/>
      <c r="D234" s="4"/>
      <c r="E234" s="4"/>
      <c r="F234" s="4"/>
      <c r="G234" s="4"/>
      <c r="H234" s="4"/>
      <c r="I234" s="4"/>
      <c r="J234" s="5"/>
      <c r="L234" s="6"/>
      <c r="M234" s="6"/>
      <c r="O234" s="7"/>
      <c r="Q234" s="8"/>
      <c r="Y234" s="136"/>
      <c r="AE234" s="330"/>
    </row>
    <row r="235" spans="2:31" ht="12.75" customHeight="1">
      <c r="B235" s="80"/>
      <c r="C235" s="3"/>
      <c r="D235" s="4"/>
      <c r="E235" s="4"/>
      <c r="F235" s="4"/>
      <c r="G235" s="4"/>
      <c r="H235" s="4"/>
      <c r="I235" s="4"/>
      <c r="J235" s="5"/>
      <c r="L235" s="6"/>
      <c r="M235" s="6"/>
      <c r="O235" s="7"/>
      <c r="Q235" s="8"/>
      <c r="Y235" s="136"/>
      <c r="AE235" s="330"/>
    </row>
    <row r="236" spans="2:31" ht="12.75" customHeight="1">
      <c r="B236" s="80"/>
      <c r="C236" s="3"/>
      <c r="D236" s="4"/>
      <c r="E236" s="4"/>
      <c r="F236" s="4"/>
      <c r="G236" s="4"/>
      <c r="H236" s="4"/>
      <c r="I236" s="4"/>
      <c r="J236" s="5"/>
      <c r="L236" s="6"/>
      <c r="M236" s="6"/>
      <c r="O236" s="7"/>
      <c r="Q236" s="8"/>
      <c r="Y236" s="136"/>
      <c r="AE236" s="330"/>
    </row>
    <row r="237" spans="2:31" ht="12.75" customHeight="1">
      <c r="B237" s="80"/>
      <c r="C237" s="3"/>
      <c r="D237" s="4"/>
      <c r="E237" s="4"/>
      <c r="F237" s="4"/>
      <c r="G237" s="4"/>
      <c r="H237" s="4"/>
      <c r="I237" s="4"/>
      <c r="J237" s="5"/>
      <c r="L237" s="6"/>
      <c r="M237" s="6"/>
      <c r="O237" s="7"/>
      <c r="Q237" s="8"/>
      <c r="Y237" s="136"/>
      <c r="AE237" s="330"/>
    </row>
    <row r="238" spans="2:31" ht="12.75" customHeight="1">
      <c r="B238" s="80"/>
      <c r="C238" s="3"/>
      <c r="D238" s="4"/>
      <c r="E238" s="4"/>
      <c r="F238" s="4"/>
      <c r="G238" s="4"/>
      <c r="H238" s="4"/>
      <c r="I238" s="4"/>
      <c r="J238" s="5"/>
      <c r="L238" s="6"/>
      <c r="M238" s="6"/>
      <c r="O238" s="7"/>
      <c r="Q238" s="8"/>
      <c r="Y238" s="136"/>
      <c r="AE238" s="330"/>
    </row>
    <row r="239" spans="2:31" ht="12.75" customHeight="1">
      <c r="B239" s="80"/>
      <c r="C239" s="3"/>
      <c r="D239" s="4"/>
      <c r="E239" s="4"/>
      <c r="F239" s="4"/>
      <c r="G239" s="4"/>
      <c r="H239" s="4"/>
      <c r="I239" s="4"/>
      <c r="J239" s="5"/>
      <c r="L239" s="6"/>
      <c r="M239" s="6"/>
      <c r="O239" s="7"/>
      <c r="Q239" s="8"/>
      <c r="Y239" s="136"/>
      <c r="AE239" s="330"/>
    </row>
    <row r="240" spans="2:31" ht="12.75" customHeight="1">
      <c r="B240" s="80"/>
      <c r="C240" s="3"/>
      <c r="D240" s="4"/>
      <c r="E240" s="4"/>
      <c r="F240" s="4"/>
      <c r="G240" s="4"/>
      <c r="H240" s="4"/>
      <c r="I240" s="4"/>
      <c r="J240" s="5"/>
      <c r="L240" s="6"/>
      <c r="M240" s="6"/>
      <c r="O240" s="7"/>
      <c r="Q240" s="8"/>
      <c r="Y240" s="136"/>
      <c r="AE240" s="330"/>
    </row>
    <row r="241" spans="2:31" ht="12.75" customHeight="1">
      <c r="B241" s="80"/>
      <c r="C241" s="3"/>
      <c r="D241" s="4"/>
      <c r="E241" s="4"/>
      <c r="F241" s="4"/>
      <c r="G241" s="4"/>
      <c r="H241" s="4"/>
      <c r="I241" s="4"/>
      <c r="J241" s="5"/>
      <c r="L241" s="6"/>
      <c r="M241" s="6"/>
      <c r="O241" s="7"/>
      <c r="Q241" s="8"/>
      <c r="Y241" s="136"/>
      <c r="AE241" s="330"/>
    </row>
    <row r="242" spans="2:31" ht="12.75" customHeight="1">
      <c r="B242" s="80"/>
      <c r="C242" s="3"/>
      <c r="D242" s="4"/>
      <c r="E242" s="4"/>
      <c r="F242" s="4"/>
      <c r="G242" s="4"/>
      <c r="H242" s="4"/>
      <c r="I242" s="4"/>
      <c r="J242" s="5"/>
      <c r="L242" s="6"/>
      <c r="M242" s="6"/>
      <c r="O242" s="7"/>
      <c r="Q242" s="8"/>
      <c r="Y242" s="136"/>
      <c r="AE242" s="330"/>
    </row>
    <row r="243" spans="2:31" ht="12.75" customHeight="1">
      <c r="B243" s="80"/>
      <c r="C243" s="3"/>
      <c r="D243" s="4"/>
      <c r="E243" s="4"/>
      <c r="F243" s="4"/>
      <c r="G243" s="4"/>
      <c r="H243" s="4"/>
      <c r="I243" s="4"/>
      <c r="J243" s="5"/>
      <c r="L243" s="6"/>
      <c r="M243" s="6"/>
      <c r="O243" s="7"/>
      <c r="Q243" s="8"/>
      <c r="Y243" s="136"/>
      <c r="AE243" s="330"/>
    </row>
    <row r="244" spans="2:31" ht="12.75" customHeight="1">
      <c r="B244" s="80"/>
      <c r="C244" s="3"/>
      <c r="D244" s="4"/>
      <c r="E244" s="4"/>
      <c r="F244" s="4"/>
      <c r="G244" s="4"/>
      <c r="H244" s="4"/>
      <c r="I244" s="4"/>
      <c r="J244" s="5"/>
      <c r="L244" s="6"/>
      <c r="M244" s="6"/>
      <c r="O244" s="7"/>
      <c r="Q244" s="8"/>
      <c r="Y244" s="136"/>
      <c r="AE244" s="330"/>
    </row>
    <row r="245" spans="2:31" ht="12.75" customHeight="1">
      <c r="B245" s="80"/>
      <c r="C245" s="3"/>
      <c r="D245" s="4"/>
      <c r="E245" s="4"/>
      <c r="F245" s="4"/>
      <c r="G245" s="4"/>
      <c r="H245" s="4"/>
      <c r="I245" s="4"/>
      <c r="J245" s="5"/>
      <c r="L245" s="6"/>
      <c r="M245" s="6"/>
      <c r="O245" s="7"/>
      <c r="Q245" s="8"/>
      <c r="Y245" s="136"/>
      <c r="AE245" s="330"/>
    </row>
    <row r="246" spans="2:31" ht="12.75" customHeight="1">
      <c r="B246" s="80"/>
      <c r="C246" s="3"/>
      <c r="D246" s="4"/>
      <c r="E246" s="4"/>
      <c r="F246" s="4"/>
      <c r="G246" s="4"/>
      <c r="H246" s="4"/>
      <c r="I246" s="4"/>
      <c r="J246" s="5"/>
      <c r="L246" s="6"/>
      <c r="M246" s="6"/>
      <c r="O246" s="7"/>
      <c r="Q246" s="8"/>
      <c r="Y246" s="136"/>
      <c r="AE246" s="330"/>
    </row>
    <row r="247" spans="2:31" ht="12.75" customHeight="1">
      <c r="B247" s="80"/>
      <c r="C247" s="3"/>
      <c r="D247" s="4"/>
      <c r="E247" s="4"/>
      <c r="F247" s="4"/>
      <c r="G247" s="4"/>
      <c r="H247" s="4"/>
      <c r="I247" s="4"/>
      <c r="J247" s="5"/>
      <c r="L247" s="6"/>
      <c r="M247" s="6"/>
      <c r="O247" s="7"/>
      <c r="Q247" s="8"/>
      <c r="Y247" s="136"/>
      <c r="AE247" s="330"/>
    </row>
    <row r="248" spans="2:31" ht="12.75" customHeight="1">
      <c r="B248" s="80"/>
      <c r="C248" s="3"/>
      <c r="D248" s="4"/>
      <c r="E248" s="4"/>
      <c r="F248" s="4"/>
      <c r="G248" s="4"/>
      <c r="H248" s="4"/>
      <c r="I248" s="4"/>
      <c r="J248" s="5"/>
      <c r="L248" s="6"/>
      <c r="M248" s="6"/>
      <c r="O248" s="7"/>
      <c r="Q248" s="8"/>
      <c r="Y248" s="136"/>
      <c r="AE248" s="330"/>
    </row>
    <row r="249" spans="2:31" ht="12.75" customHeight="1">
      <c r="B249" s="80"/>
      <c r="C249" s="3"/>
      <c r="D249" s="4"/>
      <c r="E249" s="4"/>
      <c r="F249" s="4"/>
      <c r="G249" s="4"/>
      <c r="H249" s="4"/>
      <c r="I249" s="4"/>
      <c r="J249" s="5"/>
      <c r="L249" s="6"/>
      <c r="M249" s="6"/>
      <c r="O249" s="7"/>
      <c r="Q249" s="8"/>
      <c r="Y249" s="136"/>
      <c r="AE249" s="330"/>
    </row>
    <row r="250" spans="2:31" ht="12.75" customHeight="1">
      <c r="B250" s="80"/>
      <c r="C250" s="3"/>
      <c r="D250" s="4"/>
      <c r="E250" s="4"/>
      <c r="F250" s="4"/>
      <c r="G250" s="4"/>
      <c r="H250" s="4"/>
      <c r="I250" s="4"/>
      <c r="J250" s="5"/>
      <c r="L250" s="6"/>
      <c r="M250" s="6"/>
      <c r="O250" s="7"/>
      <c r="Q250" s="8"/>
      <c r="Y250" s="136"/>
      <c r="AE250" s="330"/>
    </row>
    <row r="251" spans="2:31" ht="12.75" customHeight="1">
      <c r="B251" s="80"/>
      <c r="C251" s="3"/>
      <c r="D251" s="4"/>
      <c r="E251" s="4"/>
      <c r="F251" s="4"/>
      <c r="G251" s="4"/>
      <c r="H251" s="4"/>
      <c r="I251" s="4"/>
      <c r="J251" s="5"/>
      <c r="L251" s="6"/>
      <c r="M251" s="6"/>
      <c r="O251" s="7"/>
      <c r="Q251" s="8"/>
      <c r="Y251" s="136"/>
      <c r="AE251" s="330"/>
    </row>
    <row r="252" spans="2:31" ht="12.75" customHeight="1">
      <c r="B252" s="80"/>
      <c r="C252" s="3"/>
      <c r="D252" s="4"/>
      <c r="E252" s="4"/>
      <c r="F252" s="4"/>
      <c r="G252" s="4"/>
      <c r="H252" s="4"/>
      <c r="I252" s="4"/>
      <c r="J252" s="5"/>
      <c r="L252" s="6"/>
      <c r="M252" s="6"/>
      <c r="O252" s="7"/>
      <c r="Q252" s="8"/>
      <c r="Y252" s="136"/>
      <c r="AE252" s="330"/>
    </row>
    <row r="253" spans="2:31" ht="12.75" customHeight="1">
      <c r="B253" s="80"/>
      <c r="C253" s="3"/>
      <c r="D253" s="4"/>
      <c r="E253" s="4"/>
      <c r="F253" s="4"/>
      <c r="G253" s="4"/>
      <c r="H253" s="4"/>
      <c r="I253" s="4"/>
      <c r="J253" s="5"/>
      <c r="L253" s="6"/>
      <c r="M253" s="6"/>
      <c r="O253" s="7"/>
      <c r="Q253" s="8"/>
      <c r="Y253" s="136"/>
      <c r="AE253" s="330"/>
    </row>
    <row r="254" spans="2:31" ht="12.75" customHeight="1">
      <c r="B254" s="80"/>
      <c r="C254" s="3"/>
      <c r="D254" s="4"/>
      <c r="E254" s="4"/>
      <c r="F254" s="4"/>
      <c r="G254" s="4"/>
      <c r="H254" s="4"/>
      <c r="I254" s="4"/>
      <c r="J254" s="5"/>
      <c r="L254" s="6"/>
      <c r="M254" s="6"/>
      <c r="O254" s="7"/>
      <c r="Q254" s="8"/>
      <c r="Y254" s="136"/>
      <c r="AE254" s="330"/>
    </row>
    <row r="255" spans="2:31" ht="12.75" customHeight="1">
      <c r="B255" s="80"/>
      <c r="C255" s="3"/>
      <c r="D255" s="4"/>
      <c r="E255" s="4"/>
      <c r="F255" s="4"/>
      <c r="G255" s="4"/>
      <c r="H255" s="4"/>
      <c r="I255" s="4"/>
      <c r="J255" s="5"/>
      <c r="L255" s="6"/>
      <c r="M255" s="6"/>
      <c r="O255" s="7"/>
      <c r="Q255" s="8"/>
      <c r="Y255" s="136"/>
      <c r="AE255" s="330"/>
    </row>
    <row r="256" spans="2:31" ht="12.75" customHeight="1">
      <c r="B256" s="80"/>
      <c r="C256" s="3"/>
      <c r="D256" s="4"/>
      <c r="E256" s="4"/>
      <c r="F256" s="4"/>
      <c r="G256" s="4"/>
      <c r="H256" s="4"/>
      <c r="I256" s="4"/>
      <c r="J256" s="5"/>
      <c r="L256" s="6"/>
      <c r="M256" s="6"/>
      <c r="O256" s="7"/>
      <c r="Q256" s="8"/>
      <c r="Y256" s="136"/>
      <c r="AE256" s="330"/>
    </row>
    <row r="257" spans="2:31" ht="12.75" customHeight="1">
      <c r="B257" s="80"/>
      <c r="C257" s="3"/>
      <c r="D257" s="4"/>
      <c r="E257" s="4"/>
      <c r="F257" s="4"/>
      <c r="G257" s="4"/>
      <c r="H257" s="4"/>
      <c r="I257" s="4"/>
      <c r="J257" s="5"/>
      <c r="L257" s="6"/>
      <c r="M257" s="6"/>
      <c r="O257" s="7"/>
      <c r="Q257" s="8"/>
      <c r="Y257" s="136"/>
      <c r="AE257" s="330"/>
    </row>
    <row r="258" spans="2:31" ht="12.75" customHeight="1">
      <c r="B258" s="80"/>
      <c r="C258" s="3"/>
      <c r="D258" s="4"/>
      <c r="E258" s="4"/>
      <c r="F258" s="4"/>
      <c r="G258" s="4"/>
      <c r="H258" s="4"/>
      <c r="I258" s="4"/>
      <c r="J258" s="5"/>
      <c r="L258" s="6"/>
      <c r="M258" s="6"/>
      <c r="O258" s="7"/>
      <c r="Q258" s="8"/>
      <c r="Y258" s="136"/>
      <c r="AE258" s="330"/>
    </row>
    <row r="259" spans="2:31" ht="12.75" customHeight="1">
      <c r="B259" s="80"/>
      <c r="C259" s="3"/>
      <c r="D259" s="4"/>
      <c r="E259" s="4"/>
      <c r="F259" s="4"/>
      <c r="G259" s="4"/>
      <c r="H259" s="4"/>
      <c r="I259" s="4"/>
      <c r="J259" s="5"/>
      <c r="L259" s="6"/>
      <c r="M259" s="6"/>
      <c r="O259" s="7"/>
      <c r="Q259" s="8"/>
      <c r="Y259" s="136"/>
      <c r="AE259" s="330"/>
    </row>
    <row r="260" spans="2:31" ht="12.75" customHeight="1">
      <c r="B260" s="80"/>
      <c r="C260" s="3"/>
      <c r="D260" s="4"/>
      <c r="E260" s="4"/>
      <c r="F260" s="4"/>
      <c r="G260" s="4"/>
      <c r="H260" s="4"/>
      <c r="I260" s="4"/>
      <c r="J260" s="5"/>
      <c r="L260" s="6"/>
      <c r="M260" s="6"/>
      <c r="O260" s="7"/>
      <c r="Q260" s="8"/>
      <c r="Y260" s="136"/>
      <c r="AE260" s="330"/>
    </row>
    <row r="261" spans="2:31" ht="12.75" customHeight="1">
      <c r="B261" s="80"/>
      <c r="C261" s="3"/>
      <c r="D261" s="4"/>
      <c r="E261" s="4"/>
      <c r="F261" s="4"/>
      <c r="G261" s="4"/>
      <c r="H261" s="4"/>
      <c r="I261" s="4"/>
      <c r="J261" s="5"/>
      <c r="L261" s="6"/>
      <c r="M261" s="6"/>
      <c r="O261" s="7"/>
      <c r="Q261" s="8"/>
      <c r="Y261" s="136"/>
      <c r="AE261" s="330"/>
    </row>
    <row r="262" spans="2:31" ht="12.75" customHeight="1">
      <c r="B262" s="80"/>
      <c r="C262" s="3"/>
      <c r="D262" s="4"/>
      <c r="E262" s="4"/>
      <c r="F262" s="4"/>
      <c r="G262" s="4"/>
      <c r="H262" s="4"/>
      <c r="I262" s="4"/>
      <c r="J262" s="5"/>
      <c r="L262" s="6"/>
      <c r="M262" s="6"/>
      <c r="O262" s="7"/>
      <c r="Q262" s="8"/>
      <c r="Y262" s="136"/>
      <c r="AE262" s="330"/>
    </row>
    <row r="263" spans="2:31" ht="12.75" customHeight="1">
      <c r="B263" s="80"/>
      <c r="C263" s="3"/>
      <c r="D263" s="4"/>
      <c r="E263" s="4"/>
      <c r="F263" s="4"/>
      <c r="G263" s="4"/>
      <c r="H263" s="4"/>
      <c r="I263" s="4"/>
      <c r="J263" s="5"/>
      <c r="L263" s="6"/>
      <c r="M263" s="6"/>
      <c r="O263" s="7"/>
      <c r="Q263" s="8"/>
      <c r="Y263" s="136"/>
      <c r="AE263" s="330"/>
    </row>
    <row r="264" spans="2:31" ht="12.75" customHeight="1">
      <c r="B264" s="80"/>
      <c r="C264" s="3"/>
      <c r="D264" s="4"/>
      <c r="E264" s="4"/>
      <c r="F264" s="4"/>
      <c r="G264" s="4"/>
      <c r="H264" s="4"/>
      <c r="I264" s="4"/>
      <c r="J264" s="5"/>
      <c r="L264" s="6"/>
      <c r="M264" s="6"/>
      <c r="O264" s="7"/>
      <c r="Q264" s="8"/>
      <c r="Y264" s="136"/>
      <c r="AE264" s="330"/>
    </row>
    <row r="265" spans="2:31" ht="12.75" customHeight="1">
      <c r="B265" s="80"/>
      <c r="C265" s="3"/>
      <c r="D265" s="4"/>
      <c r="E265" s="4"/>
      <c r="F265" s="4"/>
      <c r="G265" s="4"/>
      <c r="H265" s="4"/>
      <c r="I265" s="4"/>
      <c r="J265" s="5"/>
      <c r="L265" s="6"/>
      <c r="M265" s="6"/>
      <c r="O265" s="7"/>
      <c r="Q265" s="8"/>
      <c r="Y265" s="136"/>
      <c r="AE265" s="330"/>
    </row>
    <row r="266" spans="2:31" ht="12.75" customHeight="1">
      <c r="B266" s="80"/>
      <c r="C266" s="3"/>
      <c r="D266" s="4"/>
      <c r="E266" s="4"/>
      <c r="F266" s="4"/>
      <c r="G266" s="4"/>
      <c r="H266" s="4"/>
      <c r="I266" s="4"/>
      <c r="J266" s="5"/>
      <c r="L266" s="6"/>
      <c r="M266" s="6"/>
      <c r="O266" s="7"/>
      <c r="Q266" s="8"/>
      <c r="Y266" s="136"/>
      <c r="AE266" s="330"/>
    </row>
    <row r="267" spans="2:31" ht="12.75" customHeight="1">
      <c r="B267" s="80"/>
      <c r="C267" s="3"/>
      <c r="D267" s="4"/>
      <c r="E267" s="4"/>
      <c r="F267" s="4"/>
      <c r="G267" s="4"/>
      <c r="H267" s="4"/>
      <c r="I267" s="4"/>
      <c r="J267" s="5"/>
      <c r="L267" s="6"/>
      <c r="M267" s="6"/>
      <c r="O267" s="7"/>
      <c r="Q267" s="8"/>
      <c r="Y267" s="136"/>
      <c r="AE267" s="330"/>
    </row>
    <row r="268" spans="2:31" ht="12.75" customHeight="1">
      <c r="B268" s="80"/>
      <c r="C268" s="3"/>
      <c r="D268" s="4"/>
      <c r="E268" s="4"/>
      <c r="F268" s="4"/>
      <c r="G268" s="4"/>
      <c r="H268" s="4"/>
      <c r="I268" s="4"/>
      <c r="J268" s="5"/>
      <c r="L268" s="6"/>
      <c r="M268" s="6"/>
      <c r="O268" s="7"/>
      <c r="Q268" s="8"/>
      <c r="Y268" s="136"/>
      <c r="AE268" s="330"/>
    </row>
    <row r="269" spans="2:31" ht="12.75" customHeight="1">
      <c r="B269" s="80"/>
      <c r="C269" s="3"/>
      <c r="D269" s="4"/>
      <c r="E269" s="4"/>
      <c r="F269" s="4"/>
      <c r="G269" s="4"/>
      <c r="H269" s="4"/>
      <c r="I269" s="4"/>
      <c r="J269" s="5"/>
      <c r="L269" s="6"/>
      <c r="M269" s="6"/>
      <c r="O269" s="7"/>
      <c r="Q269" s="8"/>
      <c r="Y269" s="136"/>
      <c r="AE269" s="330"/>
    </row>
    <row r="270" spans="2:31" ht="12.75" customHeight="1">
      <c r="B270" s="80"/>
      <c r="C270" s="3"/>
      <c r="D270" s="4"/>
      <c r="E270" s="4"/>
      <c r="F270" s="4"/>
      <c r="G270" s="4"/>
      <c r="H270" s="4"/>
      <c r="I270" s="4"/>
      <c r="J270" s="5"/>
      <c r="L270" s="6"/>
      <c r="M270" s="6"/>
      <c r="O270" s="7"/>
      <c r="Q270" s="8"/>
      <c r="Y270" s="136"/>
      <c r="AE270" s="330"/>
    </row>
    <row r="271" spans="2:31" ht="12.75" customHeight="1">
      <c r="B271" s="80"/>
      <c r="C271" s="3"/>
      <c r="D271" s="4"/>
      <c r="E271" s="4"/>
      <c r="F271" s="4"/>
      <c r="G271" s="4"/>
      <c r="H271" s="4"/>
      <c r="I271" s="4"/>
      <c r="J271" s="5"/>
      <c r="L271" s="6"/>
      <c r="M271" s="6"/>
      <c r="O271" s="7"/>
      <c r="Q271" s="8"/>
      <c r="Y271" s="136"/>
      <c r="AE271" s="330"/>
    </row>
    <row r="272" spans="2:31" ht="12.75" customHeight="1">
      <c r="B272" s="80"/>
      <c r="C272" s="3"/>
      <c r="D272" s="4"/>
      <c r="E272" s="4"/>
      <c r="F272" s="4"/>
      <c r="G272" s="4"/>
      <c r="H272" s="4"/>
      <c r="I272" s="4"/>
      <c r="J272" s="5"/>
      <c r="L272" s="6"/>
      <c r="M272" s="6"/>
      <c r="O272" s="7"/>
      <c r="Q272" s="8"/>
      <c r="Y272" s="136"/>
      <c r="AE272" s="330"/>
    </row>
    <row r="273" spans="2:31" ht="12.75" customHeight="1">
      <c r="B273" s="80"/>
      <c r="C273" s="3"/>
      <c r="D273" s="4"/>
      <c r="E273" s="4"/>
      <c r="F273" s="4"/>
      <c r="G273" s="4"/>
      <c r="H273" s="4"/>
      <c r="I273" s="4"/>
      <c r="J273" s="5"/>
      <c r="L273" s="6"/>
      <c r="M273" s="6"/>
      <c r="O273" s="7"/>
      <c r="Q273" s="8"/>
      <c r="Y273" s="136"/>
      <c r="AE273" s="330"/>
    </row>
    <row r="274" spans="2:31" ht="12.75" customHeight="1">
      <c r="B274" s="80"/>
      <c r="C274" s="3"/>
      <c r="D274" s="4"/>
      <c r="E274" s="4"/>
      <c r="F274" s="4"/>
      <c r="G274" s="4"/>
      <c r="H274" s="4"/>
      <c r="I274" s="4"/>
      <c r="J274" s="5"/>
      <c r="L274" s="6"/>
      <c r="M274" s="6"/>
      <c r="O274" s="7"/>
      <c r="Q274" s="8"/>
      <c r="Y274" s="136"/>
      <c r="AE274" s="330"/>
    </row>
    <row r="275" spans="2:31" ht="12.75" customHeight="1">
      <c r="B275" s="80"/>
      <c r="C275" s="3"/>
      <c r="D275" s="4"/>
      <c r="E275" s="4"/>
      <c r="F275" s="4"/>
      <c r="G275" s="4"/>
      <c r="H275" s="4"/>
      <c r="I275" s="4"/>
      <c r="J275" s="5"/>
      <c r="L275" s="6"/>
      <c r="M275" s="6"/>
      <c r="O275" s="7"/>
      <c r="Q275" s="8"/>
      <c r="Y275" s="136"/>
      <c r="AE275" s="330"/>
    </row>
    <row r="276" spans="2:31" ht="12.75" customHeight="1">
      <c r="B276" s="80"/>
      <c r="C276" s="3"/>
      <c r="D276" s="4"/>
      <c r="E276" s="4"/>
      <c r="F276" s="4"/>
      <c r="G276" s="4"/>
      <c r="H276" s="4"/>
      <c r="I276" s="4"/>
      <c r="J276" s="5"/>
      <c r="L276" s="6"/>
      <c r="M276" s="6"/>
      <c r="O276" s="7"/>
      <c r="Q276" s="8"/>
      <c r="Y276" s="136"/>
      <c r="AE276" s="330"/>
    </row>
    <row r="277" spans="2:31" ht="12.75" customHeight="1">
      <c r="B277" s="80"/>
      <c r="C277" s="3"/>
      <c r="D277" s="4"/>
      <c r="E277" s="4"/>
      <c r="F277" s="4"/>
      <c r="G277" s="4"/>
      <c r="H277" s="4"/>
      <c r="I277" s="4"/>
      <c r="J277" s="5"/>
      <c r="L277" s="6"/>
      <c r="M277" s="6"/>
      <c r="O277" s="7"/>
      <c r="Q277" s="8"/>
      <c r="Y277" s="136"/>
      <c r="AE277" s="330"/>
    </row>
    <row r="278" spans="2:31" ht="12.75" customHeight="1">
      <c r="B278" s="80"/>
      <c r="C278" s="3"/>
      <c r="D278" s="4"/>
      <c r="E278" s="4"/>
      <c r="F278" s="4"/>
      <c r="G278" s="4"/>
      <c r="H278" s="4"/>
      <c r="I278" s="4"/>
      <c r="J278" s="5"/>
      <c r="L278" s="6"/>
      <c r="M278" s="6"/>
      <c r="O278" s="7"/>
      <c r="Q278" s="8"/>
      <c r="Y278" s="136"/>
      <c r="AE278" s="330"/>
    </row>
    <row r="279" spans="2:31" ht="12.75" customHeight="1">
      <c r="B279" s="80"/>
      <c r="C279" s="3"/>
      <c r="D279" s="4"/>
      <c r="E279" s="4"/>
      <c r="F279" s="4"/>
      <c r="G279" s="4"/>
      <c r="H279" s="4"/>
      <c r="I279" s="4"/>
      <c r="J279" s="5"/>
      <c r="L279" s="6"/>
      <c r="M279" s="6"/>
      <c r="O279" s="7"/>
      <c r="Q279" s="8"/>
      <c r="Y279" s="136"/>
      <c r="AE279" s="330"/>
    </row>
    <row r="280" spans="2:31" ht="12.75" customHeight="1">
      <c r="B280" s="80"/>
      <c r="C280" s="3"/>
      <c r="D280" s="4"/>
      <c r="E280" s="4"/>
      <c r="F280" s="4"/>
      <c r="G280" s="4"/>
      <c r="H280" s="4"/>
      <c r="I280" s="4"/>
      <c r="J280" s="5"/>
      <c r="L280" s="6"/>
      <c r="M280" s="6"/>
      <c r="O280" s="7"/>
      <c r="Q280" s="8"/>
      <c r="Y280" s="136"/>
      <c r="AE280" s="330"/>
    </row>
    <row r="281" spans="2:31" ht="12.75" customHeight="1">
      <c r="B281" s="80"/>
      <c r="C281" s="3"/>
      <c r="D281" s="4"/>
      <c r="E281" s="4"/>
      <c r="F281" s="4"/>
      <c r="G281" s="4"/>
      <c r="H281" s="4"/>
      <c r="I281" s="4"/>
      <c r="J281" s="5"/>
      <c r="L281" s="6"/>
      <c r="M281" s="6"/>
      <c r="O281" s="7"/>
      <c r="Q281" s="8"/>
      <c r="Y281" s="136"/>
      <c r="AE281" s="330"/>
    </row>
    <row r="282" spans="2:31" ht="12.75" customHeight="1">
      <c r="B282" s="80"/>
      <c r="C282" s="3"/>
      <c r="D282" s="4"/>
      <c r="E282" s="4"/>
      <c r="F282" s="4"/>
      <c r="G282" s="4"/>
      <c r="H282" s="4"/>
      <c r="I282" s="4"/>
      <c r="J282" s="5"/>
      <c r="L282" s="6"/>
      <c r="M282" s="6"/>
      <c r="O282" s="7"/>
      <c r="Q282" s="8"/>
      <c r="Y282" s="136"/>
      <c r="AE282" s="330"/>
    </row>
    <row r="283" spans="2:31" ht="12.75" customHeight="1">
      <c r="B283" s="80"/>
      <c r="C283" s="3"/>
      <c r="D283" s="4"/>
      <c r="E283" s="4"/>
      <c r="F283" s="4"/>
      <c r="G283" s="4"/>
      <c r="H283" s="4"/>
      <c r="I283" s="4"/>
      <c r="J283" s="5"/>
      <c r="L283" s="6"/>
      <c r="M283" s="6"/>
      <c r="O283" s="7"/>
      <c r="Q283" s="8"/>
      <c r="Y283" s="136"/>
      <c r="AE283" s="330"/>
    </row>
    <row r="284" spans="2:31" ht="12.75" customHeight="1">
      <c r="B284" s="80"/>
      <c r="C284" s="3"/>
      <c r="D284" s="4"/>
      <c r="E284" s="4"/>
      <c r="F284" s="4"/>
      <c r="G284" s="4"/>
      <c r="H284" s="4"/>
      <c r="I284" s="4"/>
      <c r="J284" s="5"/>
      <c r="L284" s="6"/>
      <c r="M284" s="6"/>
      <c r="O284" s="7"/>
      <c r="Q284" s="8"/>
      <c r="Y284" s="136"/>
      <c r="AE284" s="330"/>
    </row>
    <row r="285" spans="2:31" ht="12.75" customHeight="1">
      <c r="B285" s="80"/>
      <c r="C285" s="3"/>
      <c r="D285" s="4"/>
      <c r="E285" s="4"/>
      <c r="F285" s="4"/>
      <c r="G285" s="4"/>
      <c r="H285" s="4"/>
      <c r="I285" s="4"/>
      <c r="J285" s="5"/>
      <c r="L285" s="6"/>
      <c r="M285" s="6"/>
      <c r="O285" s="7"/>
      <c r="Q285" s="8"/>
      <c r="Y285" s="136"/>
      <c r="AE285" s="330"/>
    </row>
    <row r="286" spans="2:31" ht="12.75" customHeight="1">
      <c r="B286" s="80"/>
      <c r="C286" s="3"/>
      <c r="D286" s="4"/>
      <c r="E286" s="4"/>
      <c r="F286" s="4"/>
      <c r="G286" s="4"/>
      <c r="H286" s="4"/>
      <c r="I286" s="4"/>
      <c r="J286" s="5"/>
      <c r="L286" s="6"/>
      <c r="M286" s="6"/>
      <c r="O286" s="7"/>
      <c r="Q286" s="8"/>
      <c r="Y286" s="136"/>
      <c r="AE286" s="330"/>
    </row>
    <row r="287" spans="2:31" ht="12.75" customHeight="1">
      <c r="B287" s="80"/>
      <c r="C287" s="3"/>
      <c r="D287" s="4"/>
      <c r="E287" s="4"/>
      <c r="F287" s="4"/>
      <c r="G287" s="4"/>
      <c r="H287" s="4"/>
      <c r="I287" s="4"/>
      <c r="J287" s="5"/>
      <c r="L287" s="6"/>
      <c r="M287" s="6"/>
      <c r="O287" s="7"/>
      <c r="Q287" s="8"/>
      <c r="Y287" s="136"/>
      <c r="AE287" s="330"/>
    </row>
    <row r="288" spans="2:31" ht="12.75" customHeight="1">
      <c r="B288" s="80"/>
      <c r="C288" s="3"/>
      <c r="D288" s="4"/>
      <c r="E288" s="4"/>
      <c r="F288" s="4"/>
      <c r="G288" s="4"/>
      <c r="H288" s="4"/>
      <c r="I288" s="4"/>
      <c r="J288" s="5"/>
      <c r="L288" s="6"/>
      <c r="M288" s="6"/>
      <c r="O288" s="7"/>
      <c r="Q288" s="8"/>
      <c r="Y288" s="136"/>
      <c r="AE288" s="330"/>
    </row>
    <row r="289" spans="2:31" ht="12.75" customHeight="1">
      <c r="B289" s="80"/>
      <c r="C289" s="3"/>
      <c r="D289" s="4"/>
      <c r="E289" s="4"/>
      <c r="F289" s="4"/>
      <c r="G289" s="4"/>
      <c r="H289" s="4"/>
      <c r="I289" s="4"/>
      <c r="J289" s="5"/>
      <c r="L289" s="6"/>
      <c r="M289" s="6"/>
      <c r="O289" s="7"/>
      <c r="Q289" s="8"/>
      <c r="Y289" s="136"/>
      <c r="AE289" s="330"/>
    </row>
    <row r="290" spans="2:31" ht="12.75" customHeight="1">
      <c r="B290" s="80"/>
      <c r="C290" s="3"/>
      <c r="D290" s="4"/>
      <c r="E290" s="4"/>
      <c r="F290" s="4"/>
      <c r="G290" s="4"/>
      <c r="H290" s="4"/>
      <c r="I290" s="4"/>
      <c r="J290" s="5"/>
      <c r="L290" s="6"/>
      <c r="M290" s="6"/>
      <c r="O290" s="7"/>
      <c r="Q290" s="8"/>
      <c r="Y290" s="136"/>
      <c r="AE290" s="330"/>
    </row>
    <row r="291" spans="2:31" ht="12.75" customHeight="1">
      <c r="B291" s="80"/>
      <c r="C291" s="3"/>
      <c r="D291" s="4"/>
      <c r="E291" s="4"/>
      <c r="F291" s="4"/>
      <c r="G291" s="4"/>
      <c r="H291" s="4"/>
      <c r="I291" s="4"/>
      <c r="J291" s="5"/>
      <c r="L291" s="6"/>
      <c r="M291" s="6"/>
      <c r="O291" s="7"/>
      <c r="Q291" s="8"/>
      <c r="Y291" s="136"/>
      <c r="AE291" s="330"/>
    </row>
    <row r="292" spans="2:31" ht="12.75" customHeight="1">
      <c r="B292" s="80"/>
      <c r="C292" s="3"/>
      <c r="D292" s="4"/>
      <c r="E292" s="4"/>
      <c r="F292" s="4"/>
      <c r="G292" s="4"/>
      <c r="H292" s="4"/>
      <c r="I292" s="4"/>
      <c r="J292" s="5"/>
      <c r="L292" s="6"/>
      <c r="M292" s="6"/>
      <c r="O292" s="7"/>
      <c r="Q292" s="8"/>
      <c r="Y292" s="136"/>
      <c r="AE292" s="330"/>
    </row>
    <row r="293" spans="2:31" ht="12.75" customHeight="1">
      <c r="B293" s="80"/>
      <c r="C293" s="3"/>
      <c r="D293" s="4"/>
      <c r="E293" s="4"/>
      <c r="F293" s="4"/>
      <c r="G293" s="4"/>
      <c r="H293" s="4"/>
      <c r="I293" s="4"/>
      <c r="J293" s="5"/>
      <c r="L293" s="6"/>
      <c r="M293" s="6"/>
      <c r="O293" s="7"/>
      <c r="Q293" s="8"/>
      <c r="Y293" s="136"/>
      <c r="AE293" s="330"/>
    </row>
    <row r="294" spans="2:31" ht="12.75" customHeight="1">
      <c r="B294" s="80"/>
      <c r="C294" s="3"/>
      <c r="D294" s="4"/>
      <c r="E294" s="4"/>
      <c r="F294" s="4"/>
      <c r="G294" s="4"/>
      <c r="H294" s="4"/>
      <c r="I294" s="4"/>
      <c r="J294" s="5"/>
      <c r="L294" s="6"/>
      <c r="M294" s="6"/>
      <c r="O294" s="7"/>
      <c r="Q294" s="8"/>
      <c r="Y294" s="136"/>
      <c r="AE294" s="330"/>
    </row>
    <row r="295" spans="2:31" ht="12.75" customHeight="1">
      <c r="B295" s="80"/>
      <c r="C295" s="3"/>
      <c r="D295" s="4"/>
      <c r="E295" s="4"/>
      <c r="F295" s="4"/>
      <c r="G295" s="4"/>
      <c r="H295" s="4"/>
      <c r="I295" s="4"/>
      <c r="J295" s="5"/>
      <c r="L295" s="6"/>
      <c r="M295" s="6"/>
      <c r="O295" s="7"/>
      <c r="Q295" s="8"/>
      <c r="Y295" s="136"/>
      <c r="AE295" s="330"/>
    </row>
    <row r="296" spans="2:31" ht="12.75" customHeight="1">
      <c r="B296" s="80"/>
      <c r="C296" s="3"/>
      <c r="D296" s="4"/>
      <c r="E296" s="4"/>
      <c r="F296" s="4"/>
      <c r="G296" s="4"/>
      <c r="H296" s="4"/>
      <c r="I296" s="4"/>
      <c r="J296" s="5"/>
      <c r="L296" s="6"/>
      <c r="M296" s="6"/>
      <c r="O296" s="7"/>
      <c r="Q296" s="8"/>
      <c r="Y296" s="136"/>
      <c r="AE296" s="330"/>
    </row>
    <row r="297" spans="2:31" ht="12.75" customHeight="1">
      <c r="B297" s="80"/>
      <c r="C297" s="3"/>
      <c r="D297" s="4"/>
      <c r="E297" s="4"/>
      <c r="F297" s="4"/>
      <c r="G297" s="4"/>
      <c r="H297" s="4"/>
      <c r="I297" s="4"/>
      <c r="J297" s="5"/>
      <c r="L297" s="6"/>
      <c r="M297" s="6"/>
      <c r="O297" s="7"/>
      <c r="Q297" s="8"/>
      <c r="Y297" s="136"/>
      <c r="AE297" s="330"/>
    </row>
    <row r="298" spans="2:31" ht="12.75" customHeight="1">
      <c r="B298" s="80"/>
      <c r="C298" s="3"/>
      <c r="D298" s="4"/>
      <c r="E298" s="4"/>
      <c r="F298" s="4"/>
      <c r="G298" s="4"/>
      <c r="H298" s="4"/>
      <c r="I298" s="4"/>
      <c r="J298" s="5"/>
      <c r="L298" s="6"/>
      <c r="M298" s="6"/>
      <c r="O298" s="7"/>
      <c r="Q298" s="8"/>
      <c r="Y298" s="136"/>
      <c r="AE298" s="330"/>
    </row>
    <row r="299" spans="2:31" ht="12.75" customHeight="1">
      <c r="B299" s="80"/>
      <c r="C299" s="3"/>
      <c r="D299" s="4"/>
      <c r="E299" s="4"/>
      <c r="F299" s="4"/>
      <c r="G299" s="4"/>
      <c r="H299" s="4"/>
      <c r="I299" s="4"/>
      <c r="J299" s="5"/>
      <c r="L299" s="6"/>
      <c r="M299" s="6"/>
      <c r="O299" s="7"/>
      <c r="Q299" s="8"/>
      <c r="Y299" s="136"/>
      <c r="AE299" s="330"/>
    </row>
    <row r="300" spans="2:31" ht="12.75" customHeight="1">
      <c r="B300" s="80"/>
      <c r="C300" s="3"/>
      <c r="D300" s="4"/>
      <c r="E300" s="4"/>
      <c r="F300" s="4"/>
      <c r="G300" s="4"/>
      <c r="H300" s="4"/>
      <c r="I300" s="4"/>
      <c r="J300" s="5"/>
      <c r="L300" s="6"/>
      <c r="M300" s="6"/>
      <c r="O300" s="7"/>
      <c r="Q300" s="8"/>
      <c r="Y300" s="136"/>
      <c r="AE300" s="330"/>
    </row>
    <row r="301" spans="2:31" ht="12.75" customHeight="1">
      <c r="B301" s="80"/>
      <c r="C301" s="3"/>
      <c r="D301" s="4"/>
      <c r="E301" s="4"/>
      <c r="F301" s="4"/>
      <c r="G301" s="4"/>
      <c r="H301" s="4"/>
      <c r="I301" s="4"/>
      <c r="J301" s="5"/>
      <c r="L301" s="6"/>
      <c r="M301" s="6"/>
      <c r="O301" s="7"/>
      <c r="Q301" s="8"/>
      <c r="Y301" s="136"/>
      <c r="AE301" s="330"/>
    </row>
    <row r="302" spans="2:31" ht="12.75" customHeight="1">
      <c r="B302" s="80"/>
      <c r="C302" s="3"/>
      <c r="D302" s="4"/>
      <c r="E302" s="4"/>
      <c r="F302" s="4"/>
      <c r="G302" s="4"/>
      <c r="H302" s="4"/>
      <c r="I302" s="4"/>
      <c r="J302" s="5"/>
      <c r="L302" s="6"/>
      <c r="M302" s="6"/>
      <c r="O302" s="7"/>
      <c r="Q302" s="8"/>
      <c r="Y302" s="136"/>
      <c r="AE302" s="330"/>
    </row>
    <row r="303" spans="2:31" ht="12.75" customHeight="1">
      <c r="B303" s="80"/>
      <c r="C303" s="3"/>
      <c r="D303" s="4"/>
      <c r="E303" s="4"/>
      <c r="F303" s="4"/>
      <c r="G303" s="4"/>
      <c r="H303" s="4"/>
      <c r="I303" s="4"/>
      <c r="J303" s="5"/>
      <c r="L303" s="6"/>
      <c r="M303" s="6"/>
      <c r="O303" s="7"/>
      <c r="Q303" s="8"/>
      <c r="Y303" s="136"/>
      <c r="AE303" s="330"/>
    </row>
    <row r="304" spans="2:31" ht="12.75" customHeight="1">
      <c r="B304" s="80"/>
      <c r="C304" s="3"/>
      <c r="D304" s="4"/>
      <c r="E304" s="4"/>
      <c r="F304" s="4"/>
      <c r="G304" s="4"/>
      <c r="H304" s="4"/>
      <c r="I304" s="4"/>
      <c r="J304" s="5"/>
      <c r="L304" s="6"/>
      <c r="M304" s="6"/>
      <c r="O304" s="7"/>
      <c r="Q304" s="8"/>
      <c r="Y304" s="136"/>
      <c r="AE304" s="330"/>
    </row>
    <row r="305" spans="2:31" ht="12.75" customHeight="1">
      <c r="B305" s="80"/>
      <c r="C305" s="3"/>
      <c r="D305" s="4"/>
      <c r="E305" s="4"/>
      <c r="F305" s="4"/>
      <c r="G305" s="4"/>
      <c r="H305" s="4"/>
      <c r="I305" s="4"/>
      <c r="J305" s="5"/>
      <c r="L305" s="6"/>
      <c r="M305" s="6"/>
      <c r="O305" s="7"/>
      <c r="Q305" s="8"/>
      <c r="Y305" s="136"/>
      <c r="AE305" s="330"/>
    </row>
    <row r="306" spans="2:31" ht="12.75" customHeight="1">
      <c r="B306" s="80"/>
      <c r="C306" s="3"/>
      <c r="D306" s="4"/>
      <c r="E306" s="4"/>
      <c r="F306" s="4"/>
      <c r="G306" s="4"/>
      <c r="H306" s="4"/>
      <c r="I306" s="4"/>
      <c r="J306" s="5"/>
      <c r="L306" s="6"/>
      <c r="M306" s="6"/>
      <c r="O306" s="7"/>
      <c r="Q306" s="8"/>
      <c r="Y306" s="136"/>
      <c r="AE306" s="330"/>
    </row>
    <row r="307" spans="2:31" ht="12.75" customHeight="1">
      <c r="B307" s="80"/>
      <c r="C307" s="3"/>
      <c r="D307" s="4"/>
      <c r="E307" s="4"/>
      <c r="F307" s="4"/>
      <c r="G307" s="4"/>
      <c r="H307" s="4"/>
      <c r="I307" s="4"/>
      <c r="J307" s="5"/>
      <c r="L307" s="6"/>
      <c r="M307" s="6"/>
      <c r="O307" s="7"/>
      <c r="Q307" s="8"/>
      <c r="Y307" s="136"/>
      <c r="AE307" s="330"/>
    </row>
    <row r="308" spans="2:31" ht="12.75" customHeight="1">
      <c r="B308" s="80"/>
      <c r="C308" s="3"/>
      <c r="D308" s="4"/>
      <c r="E308" s="4"/>
      <c r="F308" s="4"/>
      <c r="G308" s="4"/>
      <c r="H308" s="4"/>
      <c r="I308" s="4"/>
      <c r="J308" s="5"/>
      <c r="L308" s="6"/>
      <c r="M308" s="6"/>
      <c r="O308" s="7"/>
      <c r="Q308" s="8"/>
      <c r="Y308" s="136"/>
      <c r="AE308" s="330"/>
    </row>
    <row r="309" spans="2:31" ht="12.75" customHeight="1">
      <c r="B309" s="80"/>
      <c r="C309" s="3"/>
      <c r="D309" s="4"/>
      <c r="E309" s="4"/>
      <c r="F309" s="4"/>
      <c r="G309" s="4"/>
      <c r="H309" s="4"/>
      <c r="I309" s="4"/>
      <c r="J309" s="5"/>
      <c r="L309" s="6"/>
      <c r="M309" s="6"/>
      <c r="O309" s="7"/>
      <c r="Q309" s="8"/>
      <c r="Y309" s="136"/>
      <c r="AE309" s="330"/>
    </row>
    <row r="310" spans="2:31" ht="12.75" customHeight="1">
      <c r="B310" s="80"/>
      <c r="C310" s="3"/>
      <c r="D310" s="4"/>
      <c r="E310" s="4"/>
      <c r="F310" s="4"/>
      <c r="G310" s="4"/>
      <c r="H310" s="4"/>
      <c r="I310" s="4"/>
      <c r="J310" s="5"/>
      <c r="L310" s="6"/>
      <c r="M310" s="6"/>
      <c r="O310" s="7"/>
      <c r="Q310" s="8"/>
      <c r="Y310" s="136"/>
      <c r="AE310" s="330"/>
    </row>
    <row r="311" spans="2:31" ht="12.75" customHeight="1">
      <c r="B311" s="80"/>
      <c r="C311" s="3"/>
      <c r="D311" s="4"/>
      <c r="E311" s="4"/>
      <c r="F311" s="4"/>
      <c r="G311" s="4"/>
      <c r="H311" s="4"/>
      <c r="I311" s="4"/>
      <c r="J311" s="5"/>
      <c r="L311" s="6"/>
      <c r="M311" s="6"/>
      <c r="O311" s="7"/>
      <c r="Q311" s="8"/>
      <c r="Y311" s="136"/>
      <c r="AE311" s="330"/>
    </row>
    <row r="312" spans="2:31" ht="12.75" customHeight="1">
      <c r="B312" s="80"/>
      <c r="C312" s="3"/>
      <c r="D312" s="4"/>
      <c r="E312" s="4"/>
      <c r="F312" s="4"/>
      <c r="G312" s="4"/>
      <c r="H312" s="4"/>
      <c r="I312" s="4"/>
      <c r="J312" s="5"/>
      <c r="L312" s="6"/>
      <c r="M312" s="6"/>
      <c r="O312" s="7"/>
      <c r="Q312" s="8"/>
      <c r="Y312" s="136"/>
      <c r="AE312" s="330"/>
    </row>
    <row r="313" spans="2:31" ht="12.75" customHeight="1">
      <c r="B313" s="80"/>
      <c r="C313" s="3"/>
      <c r="D313" s="4"/>
      <c r="E313" s="4"/>
      <c r="F313" s="4"/>
      <c r="G313" s="4"/>
      <c r="H313" s="4"/>
      <c r="I313" s="4"/>
      <c r="J313" s="5"/>
      <c r="L313" s="6"/>
      <c r="M313" s="6"/>
      <c r="O313" s="7"/>
      <c r="Q313" s="8"/>
      <c r="Y313" s="136"/>
      <c r="AE313" s="330"/>
    </row>
    <row r="314" spans="2:31" ht="12.75" customHeight="1">
      <c r="B314" s="80"/>
      <c r="C314" s="3"/>
      <c r="D314" s="4"/>
      <c r="E314" s="4"/>
      <c r="F314" s="4"/>
      <c r="G314" s="4"/>
      <c r="H314" s="4"/>
      <c r="I314" s="4"/>
      <c r="J314" s="5"/>
      <c r="L314" s="6"/>
      <c r="M314" s="6"/>
      <c r="O314" s="7"/>
      <c r="Q314" s="8"/>
      <c r="Y314" s="136"/>
      <c r="AE314" s="330"/>
    </row>
    <row r="315" spans="2:31" ht="12.75" customHeight="1">
      <c r="B315" s="80"/>
      <c r="C315" s="3"/>
      <c r="D315" s="4"/>
      <c r="E315" s="4"/>
      <c r="F315" s="4"/>
      <c r="G315" s="4"/>
      <c r="H315" s="4"/>
      <c r="I315" s="4"/>
      <c r="J315" s="5"/>
      <c r="L315" s="6"/>
      <c r="M315" s="6"/>
      <c r="O315" s="7"/>
      <c r="Q315" s="8"/>
      <c r="Y315" s="136"/>
      <c r="AE315" s="330"/>
    </row>
    <row r="316" spans="2:31" ht="12.75" customHeight="1">
      <c r="B316" s="80"/>
      <c r="C316" s="3"/>
      <c r="D316" s="4"/>
      <c r="E316" s="4"/>
      <c r="F316" s="4"/>
      <c r="G316" s="4"/>
      <c r="H316" s="4"/>
      <c r="I316" s="4"/>
      <c r="J316" s="5"/>
      <c r="L316" s="6"/>
      <c r="M316" s="6"/>
      <c r="O316" s="7"/>
      <c r="Q316" s="8"/>
      <c r="Y316" s="136"/>
      <c r="AE316" s="330"/>
    </row>
    <row r="317" spans="2:31" ht="12.75" customHeight="1">
      <c r="B317" s="80"/>
      <c r="C317" s="3"/>
      <c r="D317" s="4"/>
      <c r="E317" s="4"/>
      <c r="F317" s="4"/>
      <c r="G317" s="4"/>
      <c r="H317" s="4"/>
      <c r="I317" s="4"/>
      <c r="J317" s="5"/>
      <c r="L317" s="6"/>
      <c r="M317" s="6"/>
      <c r="O317" s="7"/>
      <c r="Q317" s="8"/>
      <c r="Y317" s="136"/>
      <c r="AE317" s="330"/>
    </row>
    <row r="318" spans="2:31" ht="12.75" customHeight="1">
      <c r="B318" s="80"/>
      <c r="C318" s="3"/>
      <c r="D318" s="4"/>
      <c r="E318" s="4"/>
      <c r="F318" s="4"/>
      <c r="G318" s="4"/>
      <c r="H318" s="4"/>
      <c r="I318" s="4"/>
      <c r="J318" s="5"/>
      <c r="L318" s="6"/>
      <c r="M318" s="6"/>
      <c r="O318" s="7"/>
      <c r="Q318" s="8"/>
      <c r="Y318" s="136"/>
      <c r="AE318" s="330"/>
    </row>
    <row r="319" spans="2:31" ht="12.75" customHeight="1">
      <c r="B319" s="80"/>
      <c r="C319" s="3"/>
      <c r="D319" s="4"/>
      <c r="E319" s="4"/>
      <c r="F319" s="4"/>
      <c r="G319" s="4"/>
      <c r="H319" s="4"/>
      <c r="I319" s="4"/>
      <c r="J319" s="5"/>
      <c r="L319" s="6"/>
      <c r="M319" s="6"/>
      <c r="O319" s="7"/>
      <c r="Q319" s="8"/>
      <c r="Y319" s="136"/>
      <c r="AE319" s="330"/>
    </row>
    <row r="320" spans="2:31" ht="12.75" customHeight="1">
      <c r="B320" s="80"/>
      <c r="C320" s="3"/>
      <c r="D320" s="4"/>
      <c r="E320" s="4"/>
      <c r="F320" s="4"/>
      <c r="G320" s="4"/>
      <c r="H320" s="4"/>
      <c r="I320" s="4"/>
      <c r="J320" s="5"/>
      <c r="L320" s="6"/>
      <c r="M320" s="6"/>
      <c r="O320" s="7"/>
      <c r="Q320" s="8"/>
      <c r="Y320" s="136"/>
      <c r="AE320" s="330"/>
    </row>
    <row r="321" spans="2:31" ht="12.75" customHeight="1">
      <c r="B321" s="80"/>
      <c r="C321" s="3"/>
      <c r="D321" s="4"/>
      <c r="E321" s="4"/>
      <c r="F321" s="4"/>
      <c r="G321" s="4"/>
      <c r="H321" s="4"/>
      <c r="I321" s="4"/>
      <c r="J321" s="5"/>
      <c r="L321" s="6"/>
      <c r="M321" s="6"/>
      <c r="O321" s="7"/>
      <c r="Q321" s="8"/>
      <c r="Y321" s="136"/>
      <c r="AE321" s="330"/>
    </row>
    <row r="322" spans="2:31" ht="12.75" customHeight="1">
      <c r="B322" s="80"/>
      <c r="C322" s="3"/>
      <c r="D322" s="4"/>
      <c r="E322" s="4"/>
      <c r="F322" s="4"/>
      <c r="G322" s="4"/>
      <c r="H322" s="4"/>
      <c r="I322" s="4"/>
      <c r="J322" s="5"/>
      <c r="L322" s="6"/>
      <c r="M322" s="6"/>
      <c r="O322" s="7"/>
      <c r="Q322" s="8"/>
      <c r="Y322" s="136"/>
      <c r="AE322" s="330"/>
    </row>
    <row r="323" spans="2:31" ht="12.75" customHeight="1">
      <c r="B323" s="80"/>
      <c r="C323" s="3"/>
      <c r="D323" s="4"/>
      <c r="E323" s="4"/>
      <c r="F323" s="4"/>
      <c r="G323" s="4"/>
      <c r="H323" s="4"/>
      <c r="I323" s="4"/>
      <c r="J323" s="5"/>
      <c r="L323" s="6"/>
      <c r="M323" s="6"/>
      <c r="O323" s="7"/>
      <c r="Q323" s="8"/>
      <c r="Y323" s="136"/>
      <c r="AE323" s="330"/>
    </row>
    <row r="324" spans="2:31" ht="12.75" customHeight="1">
      <c r="B324" s="80"/>
      <c r="C324" s="3"/>
      <c r="D324" s="4"/>
      <c r="E324" s="4"/>
      <c r="F324" s="4"/>
      <c r="G324" s="4"/>
      <c r="H324" s="4"/>
      <c r="I324" s="4"/>
      <c r="J324" s="5"/>
      <c r="L324" s="6"/>
      <c r="M324" s="6"/>
      <c r="O324" s="7"/>
      <c r="Q324" s="8"/>
      <c r="Y324" s="136"/>
      <c r="AE324" s="330"/>
    </row>
    <row r="325" spans="2:31" ht="12.75" customHeight="1">
      <c r="B325" s="80"/>
      <c r="C325" s="3"/>
      <c r="D325" s="4"/>
      <c r="E325" s="4"/>
      <c r="F325" s="4"/>
      <c r="G325" s="4"/>
      <c r="H325" s="4"/>
      <c r="I325" s="4"/>
      <c r="J325" s="5"/>
      <c r="L325" s="6"/>
      <c r="M325" s="6"/>
      <c r="O325" s="7"/>
      <c r="Q325" s="8"/>
      <c r="Y325" s="136"/>
      <c r="AE325" s="330"/>
    </row>
    <row r="326" spans="2:31" ht="12.75" customHeight="1">
      <c r="B326" s="80"/>
      <c r="C326" s="3"/>
      <c r="D326" s="4"/>
      <c r="E326" s="4"/>
      <c r="F326" s="4"/>
      <c r="G326" s="4"/>
      <c r="H326" s="4"/>
      <c r="I326" s="4"/>
      <c r="J326" s="5"/>
      <c r="L326" s="6"/>
      <c r="M326" s="6"/>
      <c r="O326" s="7"/>
      <c r="Q326" s="8"/>
      <c r="Y326" s="136"/>
      <c r="AE326" s="330"/>
    </row>
    <row r="327" spans="2:31" ht="12.75" customHeight="1">
      <c r="B327" s="80"/>
      <c r="C327" s="3"/>
      <c r="D327" s="4"/>
      <c r="E327" s="4"/>
      <c r="F327" s="4"/>
      <c r="G327" s="4"/>
      <c r="H327" s="4"/>
      <c r="I327" s="4"/>
      <c r="J327" s="5"/>
      <c r="L327" s="6"/>
      <c r="M327" s="6"/>
      <c r="O327" s="7"/>
      <c r="Q327" s="8"/>
      <c r="Y327" s="136"/>
      <c r="AE327" s="330"/>
    </row>
    <row r="328" spans="2:31" ht="12.75" customHeight="1">
      <c r="B328" s="80"/>
      <c r="C328" s="3"/>
      <c r="D328" s="4"/>
      <c r="E328" s="4"/>
      <c r="F328" s="4"/>
      <c r="G328" s="4"/>
      <c r="H328" s="4"/>
      <c r="I328" s="4"/>
      <c r="J328" s="5"/>
      <c r="L328" s="6"/>
      <c r="M328" s="6"/>
      <c r="O328" s="7"/>
      <c r="Q328" s="8"/>
      <c r="Y328" s="136"/>
      <c r="AE328" s="330"/>
    </row>
    <row r="329" spans="2:31" ht="12.75" customHeight="1">
      <c r="B329" s="80"/>
      <c r="C329" s="3"/>
      <c r="D329" s="4"/>
      <c r="E329" s="4"/>
      <c r="F329" s="4"/>
      <c r="G329" s="4"/>
      <c r="H329" s="4"/>
      <c r="I329" s="4"/>
      <c r="J329" s="5"/>
      <c r="L329" s="6"/>
      <c r="M329" s="6"/>
      <c r="O329" s="7"/>
      <c r="Q329" s="8"/>
      <c r="Y329" s="136"/>
      <c r="AE329" s="330"/>
    </row>
    <row r="330" spans="2:31" ht="12.75" customHeight="1">
      <c r="B330" s="80"/>
      <c r="C330" s="3"/>
      <c r="D330" s="4"/>
      <c r="E330" s="4"/>
      <c r="F330" s="4"/>
      <c r="G330" s="4"/>
      <c r="H330" s="4"/>
      <c r="I330" s="4"/>
      <c r="J330" s="5"/>
      <c r="L330" s="6"/>
      <c r="M330" s="6"/>
      <c r="O330" s="7"/>
      <c r="Q330" s="8"/>
      <c r="Y330" s="136"/>
      <c r="AE330" s="330"/>
    </row>
    <row r="331" spans="2:31" ht="12.75" customHeight="1">
      <c r="B331" s="80"/>
      <c r="C331" s="3"/>
      <c r="D331" s="4"/>
      <c r="E331" s="4"/>
      <c r="F331" s="4"/>
      <c r="G331" s="4"/>
      <c r="H331" s="4"/>
      <c r="I331" s="4"/>
      <c r="J331" s="5"/>
      <c r="L331" s="6"/>
      <c r="M331" s="6"/>
      <c r="O331" s="7"/>
      <c r="Q331" s="8"/>
      <c r="Y331" s="136"/>
      <c r="AE331" s="330"/>
    </row>
    <row r="332" spans="2:31" ht="12.75" customHeight="1">
      <c r="B332" s="80"/>
      <c r="C332" s="3"/>
      <c r="D332" s="4"/>
      <c r="E332" s="4"/>
      <c r="F332" s="4"/>
      <c r="G332" s="4"/>
      <c r="H332" s="4"/>
      <c r="I332" s="4"/>
      <c r="J332" s="5"/>
      <c r="L332" s="6"/>
      <c r="M332" s="6"/>
      <c r="O332" s="7"/>
      <c r="Q332" s="8"/>
      <c r="Y332" s="136"/>
      <c r="AE332" s="330"/>
    </row>
    <row r="333" spans="2:31" ht="12.75" customHeight="1">
      <c r="B333" s="80"/>
      <c r="C333" s="3"/>
      <c r="D333" s="4"/>
      <c r="E333" s="4"/>
      <c r="F333" s="4"/>
      <c r="G333" s="4"/>
      <c r="H333" s="4"/>
      <c r="I333" s="4"/>
      <c r="J333" s="5"/>
      <c r="L333" s="6"/>
      <c r="M333" s="6"/>
      <c r="O333" s="7"/>
      <c r="Q333" s="8"/>
      <c r="Y333" s="136"/>
      <c r="AE333" s="330"/>
    </row>
    <row r="334" spans="2:31" ht="12.75" customHeight="1">
      <c r="B334" s="80"/>
      <c r="C334" s="3"/>
      <c r="D334" s="4"/>
      <c r="E334" s="4"/>
      <c r="F334" s="4"/>
      <c r="G334" s="4"/>
      <c r="H334" s="4"/>
      <c r="I334" s="4"/>
      <c r="J334" s="5"/>
      <c r="L334" s="6"/>
      <c r="M334" s="6"/>
      <c r="O334" s="7"/>
      <c r="Q334" s="8"/>
      <c r="Y334" s="136"/>
      <c r="AE334" s="330"/>
    </row>
    <row r="335" spans="2:31" ht="12.75" customHeight="1">
      <c r="B335" s="80"/>
      <c r="C335" s="3"/>
      <c r="D335" s="4"/>
      <c r="E335" s="4"/>
      <c r="F335" s="4"/>
      <c r="G335" s="4"/>
      <c r="H335" s="4"/>
      <c r="I335" s="4"/>
      <c r="J335" s="5"/>
      <c r="L335" s="6"/>
      <c r="M335" s="6"/>
      <c r="O335" s="7"/>
      <c r="Q335" s="8"/>
      <c r="Y335" s="136"/>
      <c r="AE335" s="330"/>
    </row>
    <row r="336" spans="2:31" ht="12.75" customHeight="1">
      <c r="B336" s="80"/>
      <c r="C336" s="3"/>
      <c r="D336" s="4"/>
      <c r="E336" s="4"/>
      <c r="F336" s="4"/>
      <c r="G336" s="4"/>
      <c r="H336" s="4"/>
      <c r="I336" s="4"/>
      <c r="J336" s="5"/>
      <c r="L336" s="6"/>
      <c r="M336" s="6"/>
      <c r="O336" s="7"/>
      <c r="Q336" s="8"/>
      <c r="Y336" s="136"/>
      <c r="AE336" s="330"/>
    </row>
    <row r="337" spans="2:31" ht="12.75" customHeight="1">
      <c r="B337" s="80"/>
      <c r="C337" s="3"/>
      <c r="D337" s="4"/>
      <c r="E337" s="4"/>
      <c r="F337" s="4"/>
      <c r="G337" s="4"/>
      <c r="H337" s="4"/>
      <c r="I337" s="4"/>
      <c r="J337" s="5"/>
      <c r="L337" s="6"/>
      <c r="M337" s="6"/>
      <c r="O337" s="7"/>
      <c r="Q337" s="8"/>
      <c r="Y337" s="136"/>
      <c r="AE337" s="330"/>
    </row>
    <row r="338" spans="2:31" ht="12.75" customHeight="1">
      <c r="B338" s="80"/>
      <c r="C338" s="3"/>
      <c r="D338" s="4"/>
      <c r="E338" s="4"/>
      <c r="F338" s="4"/>
      <c r="G338" s="4"/>
      <c r="H338" s="4"/>
      <c r="I338" s="4"/>
      <c r="J338" s="5"/>
      <c r="L338" s="6"/>
      <c r="M338" s="6"/>
      <c r="O338" s="7"/>
      <c r="Q338" s="8"/>
      <c r="Y338" s="136"/>
      <c r="AE338" s="330"/>
    </row>
    <row r="339" spans="2:31" ht="12.75" customHeight="1">
      <c r="B339" s="80"/>
      <c r="C339" s="3"/>
      <c r="D339" s="4"/>
      <c r="E339" s="4"/>
      <c r="F339" s="4"/>
      <c r="G339" s="4"/>
      <c r="H339" s="4"/>
      <c r="I339" s="4"/>
      <c r="J339" s="5"/>
      <c r="L339" s="6"/>
      <c r="M339" s="6"/>
      <c r="O339" s="7"/>
      <c r="Q339" s="8"/>
      <c r="Y339" s="136"/>
      <c r="AE339" s="330"/>
    </row>
    <row r="340" spans="2:31" ht="12.75" customHeight="1">
      <c r="B340" s="80"/>
      <c r="C340" s="3"/>
      <c r="D340" s="4"/>
      <c r="E340" s="4"/>
      <c r="F340" s="4"/>
      <c r="G340" s="4"/>
      <c r="H340" s="4"/>
      <c r="I340" s="4"/>
      <c r="J340" s="5"/>
      <c r="L340" s="6"/>
      <c r="M340" s="6"/>
      <c r="O340" s="7"/>
      <c r="Q340" s="8"/>
      <c r="Y340" s="136"/>
      <c r="AE340" s="330"/>
    </row>
    <row r="341" spans="2:31" ht="12.75" customHeight="1">
      <c r="B341" s="80"/>
      <c r="C341" s="3"/>
      <c r="D341" s="4"/>
      <c r="E341" s="4"/>
      <c r="F341" s="4"/>
      <c r="G341" s="4"/>
      <c r="H341" s="4"/>
      <c r="I341" s="4"/>
      <c r="J341" s="5"/>
      <c r="L341" s="6"/>
      <c r="M341" s="6"/>
      <c r="O341" s="7"/>
      <c r="Q341" s="8"/>
      <c r="Y341" s="136"/>
      <c r="AE341" s="330"/>
    </row>
    <row r="342" spans="2:31" ht="12.75" customHeight="1">
      <c r="B342" s="80"/>
      <c r="C342" s="3"/>
      <c r="D342" s="4"/>
      <c r="E342" s="4"/>
      <c r="F342" s="4"/>
      <c r="G342" s="4"/>
      <c r="H342" s="4"/>
      <c r="I342" s="4"/>
      <c r="J342" s="5"/>
      <c r="L342" s="6"/>
      <c r="M342" s="6"/>
      <c r="O342" s="7"/>
      <c r="Q342" s="8"/>
      <c r="Y342" s="136"/>
      <c r="AE342" s="330"/>
    </row>
    <row r="343" spans="2:31" ht="12.75" customHeight="1">
      <c r="B343" s="80"/>
      <c r="C343" s="3"/>
      <c r="D343" s="4"/>
      <c r="E343" s="4"/>
      <c r="F343" s="4"/>
      <c r="G343" s="4"/>
      <c r="H343" s="4"/>
      <c r="I343" s="4"/>
      <c r="J343" s="5"/>
      <c r="L343" s="6"/>
      <c r="M343" s="6"/>
      <c r="O343" s="7"/>
      <c r="Q343" s="8"/>
      <c r="Y343" s="136"/>
      <c r="AE343" s="330"/>
    </row>
    <row r="344" spans="2:31" ht="12.75" customHeight="1">
      <c r="B344" s="80"/>
      <c r="C344" s="3"/>
      <c r="D344" s="4"/>
      <c r="E344" s="4"/>
      <c r="F344" s="4"/>
      <c r="G344" s="4"/>
      <c r="H344" s="4"/>
      <c r="I344" s="4"/>
      <c r="J344" s="5"/>
      <c r="L344" s="6"/>
      <c r="M344" s="6"/>
      <c r="O344" s="7"/>
      <c r="Q344" s="8"/>
      <c r="Y344" s="136"/>
      <c r="AE344" s="330"/>
    </row>
    <row r="345" spans="2:31" ht="12.75" customHeight="1">
      <c r="B345" s="80"/>
      <c r="C345" s="3"/>
      <c r="D345" s="4"/>
      <c r="E345" s="4"/>
      <c r="F345" s="4"/>
      <c r="G345" s="4"/>
      <c r="H345" s="4"/>
      <c r="I345" s="4"/>
      <c r="J345" s="5"/>
      <c r="L345" s="6"/>
      <c r="M345" s="6"/>
      <c r="O345" s="7"/>
      <c r="Q345" s="8"/>
      <c r="Y345" s="136"/>
      <c r="AE345" s="330"/>
    </row>
    <row r="346" spans="2:31" ht="12.75" customHeight="1">
      <c r="B346" s="80"/>
      <c r="C346" s="3"/>
      <c r="D346" s="4"/>
      <c r="E346" s="4"/>
      <c r="F346" s="4"/>
      <c r="G346" s="4"/>
      <c r="H346" s="4"/>
      <c r="I346" s="4"/>
      <c r="J346" s="5"/>
      <c r="L346" s="6"/>
      <c r="M346" s="6"/>
      <c r="O346" s="7"/>
      <c r="Q346" s="8"/>
      <c r="Y346" s="136"/>
      <c r="AE346" s="330"/>
    </row>
    <row r="347" spans="2:31" ht="12.75" customHeight="1">
      <c r="B347" s="80"/>
      <c r="C347" s="3"/>
      <c r="D347" s="4"/>
      <c r="E347" s="4"/>
      <c r="F347" s="4"/>
      <c r="G347" s="4"/>
      <c r="H347" s="4"/>
      <c r="I347" s="4"/>
      <c r="J347" s="5"/>
      <c r="L347" s="6"/>
      <c r="M347" s="6"/>
      <c r="O347" s="7"/>
      <c r="Q347" s="8"/>
      <c r="Y347" s="136"/>
      <c r="AE347" s="330"/>
    </row>
    <row r="348" spans="2:31" ht="12.75" customHeight="1">
      <c r="B348" s="80"/>
      <c r="C348" s="3"/>
      <c r="D348" s="4"/>
      <c r="E348" s="4"/>
      <c r="F348" s="4"/>
      <c r="G348" s="4"/>
      <c r="H348" s="4"/>
      <c r="I348" s="4"/>
      <c r="J348" s="5"/>
      <c r="L348" s="6"/>
      <c r="M348" s="6"/>
      <c r="O348" s="7"/>
      <c r="Q348" s="8"/>
      <c r="Y348" s="136"/>
      <c r="AE348" s="330"/>
    </row>
    <row r="349" spans="2:31" ht="12.75" customHeight="1">
      <c r="B349" s="80"/>
      <c r="C349" s="3"/>
      <c r="D349" s="4"/>
      <c r="E349" s="4"/>
      <c r="F349" s="4"/>
      <c r="G349" s="4"/>
      <c r="H349" s="4"/>
      <c r="I349" s="4"/>
      <c r="J349" s="5"/>
      <c r="L349" s="6"/>
      <c r="M349" s="6"/>
      <c r="O349" s="7"/>
      <c r="Q349" s="8"/>
      <c r="Y349" s="136"/>
      <c r="AE349" s="330"/>
    </row>
    <row r="350" spans="2:31" ht="12.75" customHeight="1">
      <c r="B350" s="80"/>
      <c r="C350" s="3"/>
      <c r="D350" s="4"/>
      <c r="E350" s="4"/>
      <c r="F350" s="4"/>
      <c r="G350" s="4"/>
      <c r="H350" s="4"/>
      <c r="I350" s="4"/>
      <c r="J350" s="5"/>
      <c r="L350" s="6"/>
      <c r="M350" s="6"/>
      <c r="O350" s="7"/>
      <c r="Q350" s="8"/>
      <c r="Y350" s="136"/>
      <c r="AE350" s="330"/>
    </row>
    <row r="351" spans="2:31" ht="12.75" customHeight="1">
      <c r="B351" s="80"/>
      <c r="C351" s="3"/>
      <c r="D351" s="4"/>
      <c r="E351" s="4"/>
      <c r="F351" s="4"/>
      <c r="G351" s="4"/>
      <c r="H351" s="4"/>
      <c r="I351" s="4"/>
      <c r="J351" s="5"/>
      <c r="L351" s="6"/>
      <c r="M351" s="6"/>
      <c r="O351" s="7"/>
      <c r="Q351" s="8"/>
      <c r="Y351" s="136"/>
      <c r="AE351" s="330"/>
    </row>
    <row r="352" spans="2:31" ht="12.75" customHeight="1">
      <c r="B352" s="80"/>
      <c r="C352" s="3"/>
      <c r="D352" s="4"/>
      <c r="E352" s="4"/>
      <c r="F352" s="4"/>
      <c r="G352" s="4"/>
      <c r="H352" s="4"/>
      <c r="I352" s="4"/>
      <c r="J352" s="5"/>
      <c r="L352" s="6"/>
      <c r="M352" s="6"/>
      <c r="O352" s="7"/>
      <c r="Q352" s="8"/>
      <c r="Y352" s="136"/>
      <c r="AE352" s="330"/>
    </row>
    <row r="353" spans="2:31" ht="12.75" customHeight="1">
      <c r="B353" s="80"/>
      <c r="C353" s="3"/>
      <c r="D353" s="4"/>
      <c r="E353" s="4"/>
      <c r="F353" s="4"/>
      <c r="G353" s="4"/>
      <c r="H353" s="4"/>
      <c r="I353" s="4"/>
      <c r="J353" s="5"/>
      <c r="L353" s="6"/>
      <c r="M353" s="6"/>
      <c r="O353" s="7"/>
      <c r="Q353" s="8"/>
      <c r="Y353" s="136"/>
      <c r="AE353" s="330"/>
    </row>
    <row r="354" spans="2:31" ht="12.75" customHeight="1">
      <c r="B354" s="80"/>
      <c r="C354" s="3"/>
      <c r="D354" s="4"/>
      <c r="E354" s="4"/>
      <c r="F354" s="4"/>
      <c r="G354" s="4"/>
      <c r="H354" s="4"/>
      <c r="I354" s="4"/>
      <c r="J354" s="5"/>
      <c r="L354" s="6"/>
      <c r="M354" s="6"/>
      <c r="O354" s="7"/>
      <c r="Q354" s="8"/>
      <c r="Y354" s="136"/>
      <c r="AE354" s="330"/>
    </row>
    <row r="355" spans="2:31" ht="12.75" customHeight="1">
      <c r="B355" s="80"/>
      <c r="C355" s="3"/>
      <c r="D355" s="4"/>
      <c r="E355" s="4"/>
      <c r="F355" s="4"/>
      <c r="G355" s="4"/>
      <c r="H355" s="4"/>
      <c r="I355" s="4"/>
      <c r="J355" s="5"/>
      <c r="L355" s="6"/>
      <c r="M355" s="6"/>
      <c r="O355" s="7"/>
      <c r="Q355" s="8"/>
      <c r="Y355" s="136"/>
      <c r="AE355" s="330"/>
    </row>
    <row r="356" spans="2:31" ht="12.75" customHeight="1">
      <c r="B356" s="80"/>
      <c r="C356" s="3"/>
      <c r="D356" s="4"/>
      <c r="E356" s="4"/>
      <c r="F356" s="4"/>
      <c r="G356" s="4"/>
      <c r="H356" s="4"/>
      <c r="I356" s="4"/>
      <c r="J356" s="5"/>
      <c r="L356" s="6"/>
      <c r="M356" s="6"/>
      <c r="O356" s="7"/>
      <c r="Q356" s="8"/>
      <c r="Y356" s="136"/>
      <c r="AE356" s="330"/>
    </row>
    <row r="357" spans="2:31" ht="12.75" customHeight="1">
      <c r="B357" s="80"/>
      <c r="C357" s="3"/>
      <c r="D357" s="4"/>
      <c r="E357" s="4"/>
      <c r="F357" s="4"/>
      <c r="G357" s="4"/>
      <c r="H357" s="4"/>
      <c r="I357" s="4"/>
      <c r="J357" s="5"/>
      <c r="L357" s="6"/>
      <c r="M357" s="6"/>
      <c r="O357" s="7"/>
      <c r="Q357" s="8"/>
      <c r="Y357" s="136"/>
      <c r="AE357" s="330"/>
    </row>
    <row r="358" spans="2:31" ht="12.75" customHeight="1">
      <c r="B358" s="80"/>
      <c r="C358" s="3"/>
      <c r="D358" s="4"/>
      <c r="E358" s="4"/>
      <c r="F358" s="4"/>
      <c r="G358" s="4"/>
      <c r="H358" s="4"/>
      <c r="I358" s="4"/>
      <c r="J358" s="5"/>
      <c r="L358" s="6"/>
      <c r="M358" s="6"/>
      <c r="O358" s="7"/>
      <c r="Q358" s="8"/>
      <c r="Y358" s="136"/>
      <c r="AE358" s="330"/>
    </row>
    <row r="359" spans="2:31" ht="12.75" customHeight="1">
      <c r="B359" s="80"/>
      <c r="C359" s="3"/>
      <c r="D359" s="4"/>
      <c r="E359" s="4"/>
      <c r="F359" s="4"/>
      <c r="G359" s="4"/>
      <c r="H359" s="4"/>
      <c r="I359" s="4"/>
      <c r="J359" s="5"/>
      <c r="L359" s="6"/>
      <c r="M359" s="6"/>
      <c r="O359" s="7"/>
      <c r="Q359" s="8"/>
      <c r="Y359" s="136"/>
      <c r="AE359" s="330"/>
    </row>
    <row r="360" spans="2:31" ht="12.75" customHeight="1">
      <c r="B360" s="80"/>
      <c r="C360" s="3"/>
      <c r="D360" s="4"/>
      <c r="E360" s="4"/>
      <c r="F360" s="4"/>
      <c r="G360" s="4"/>
      <c r="H360" s="4"/>
      <c r="I360" s="4"/>
      <c r="J360" s="5"/>
      <c r="L360" s="6"/>
      <c r="M360" s="6"/>
      <c r="O360" s="7"/>
      <c r="Q360" s="8"/>
      <c r="Y360" s="136"/>
      <c r="AE360" s="330"/>
    </row>
    <row r="361" spans="2:31" ht="12.75" customHeight="1">
      <c r="B361" s="80"/>
      <c r="C361" s="3"/>
      <c r="D361" s="4"/>
      <c r="E361" s="4"/>
      <c r="F361" s="4"/>
      <c r="G361" s="4"/>
      <c r="H361" s="4"/>
      <c r="I361" s="4"/>
      <c r="J361" s="5"/>
      <c r="L361" s="6"/>
      <c r="M361" s="6"/>
      <c r="O361" s="7"/>
      <c r="Q361" s="8"/>
      <c r="Y361" s="136"/>
      <c r="AE361" s="330"/>
    </row>
    <row r="362" spans="2:31" ht="12.75" customHeight="1">
      <c r="B362" s="80"/>
      <c r="C362" s="3"/>
      <c r="D362" s="4"/>
      <c r="E362" s="4"/>
      <c r="F362" s="4"/>
      <c r="G362" s="4"/>
      <c r="H362" s="4"/>
      <c r="I362" s="4"/>
      <c r="J362" s="5"/>
      <c r="L362" s="6"/>
      <c r="M362" s="6"/>
      <c r="O362" s="7"/>
      <c r="Q362" s="8"/>
      <c r="Y362" s="136"/>
      <c r="AE362" s="330"/>
    </row>
    <row r="363" spans="2:31" ht="12.75" customHeight="1">
      <c r="B363" s="80"/>
      <c r="C363" s="3"/>
      <c r="D363" s="4"/>
      <c r="E363" s="4"/>
      <c r="F363" s="4"/>
      <c r="G363" s="4"/>
      <c r="H363" s="4"/>
      <c r="I363" s="4"/>
      <c r="J363" s="5"/>
      <c r="L363" s="6"/>
      <c r="M363" s="6"/>
      <c r="O363" s="7"/>
      <c r="Q363" s="8"/>
      <c r="Y363" s="136"/>
      <c r="AE363" s="330"/>
    </row>
    <row r="364" spans="2:31" ht="12.75" customHeight="1">
      <c r="B364" s="80"/>
      <c r="C364" s="3"/>
      <c r="D364" s="4"/>
      <c r="E364" s="4"/>
      <c r="F364" s="4"/>
      <c r="G364" s="4"/>
      <c r="H364" s="4"/>
      <c r="I364" s="4"/>
      <c r="J364" s="5"/>
      <c r="L364" s="6"/>
      <c r="M364" s="6"/>
      <c r="O364" s="7"/>
      <c r="Q364" s="8"/>
      <c r="Y364" s="136"/>
      <c r="AE364" s="330"/>
    </row>
    <row r="365" spans="2:31" ht="12.75" customHeight="1">
      <c r="B365" s="80"/>
      <c r="C365" s="3"/>
      <c r="D365" s="4"/>
      <c r="E365" s="4"/>
      <c r="F365" s="4"/>
      <c r="G365" s="4"/>
      <c r="H365" s="4"/>
      <c r="I365" s="4"/>
      <c r="J365" s="5"/>
      <c r="L365" s="6"/>
      <c r="M365" s="6"/>
      <c r="O365" s="7"/>
      <c r="Q365" s="8"/>
      <c r="Y365" s="136"/>
      <c r="AE365" s="330"/>
    </row>
    <row r="366" spans="2:31" ht="12.75" customHeight="1">
      <c r="B366" s="80"/>
      <c r="C366" s="3"/>
      <c r="D366" s="4"/>
      <c r="E366" s="4"/>
      <c r="F366" s="4"/>
      <c r="G366" s="4"/>
      <c r="H366" s="4"/>
      <c r="I366" s="4"/>
      <c r="J366" s="5"/>
      <c r="L366" s="6"/>
      <c r="M366" s="6"/>
      <c r="O366" s="7"/>
      <c r="Q366" s="8"/>
      <c r="Y366" s="136"/>
      <c r="AE366" s="330"/>
    </row>
    <row r="367" spans="2:31" ht="12.75" customHeight="1">
      <c r="B367" s="80"/>
      <c r="C367" s="3"/>
      <c r="D367" s="4"/>
      <c r="E367" s="4"/>
      <c r="F367" s="4"/>
      <c r="G367" s="4"/>
      <c r="H367" s="4"/>
      <c r="I367" s="4"/>
      <c r="J367" s="5"/>
      <c r="L367" s="6"/>
      <c r="M367" s="6"/>
      <c r="O367" s="7"/>
      <c r="Q367" s="8"/>
      <c r="Y367" s="136"/>
      <c r="AE367" s="330"/>
    </row>
    <row r="368" spans="2:31" ht="12.75" customHeight="1">
      <c r="B368" s="80"/>
      <c r="C368" s="3"/>
      <c r="D368" s="4"/>
      <c r="E368" s="4"/>
      <c r="F368" s="4"/>
      <c r="G368" s="4"/>
      <c r="H368" s="4"/>
      <c r="I368" s="4"/>
      <c r="J368" s="5"/>
      <c r="L368" s="6"/>
      <c r="M368" s="6"/>
      <c r="O368" s="7"/>
      <c r="Q368" s="8"/>
      <c r="Y368" s="136"/>
      <c r="AE368" s="330"/>
    </row>
    <row r="369" spans="2:31" ht="12.75" customHeight="1">
      <c r="B369" s="80"/>
      <c r="C369" s="3"/>
      <c r="D369" s="4"/>
      <c r="E369" s="4"/>
      <c r="F369" s="4"/>
      <c r="G369" s="4"/>
      <c r="H369" s="4"/>
      <c r="I369" s="4"/>
      <c r="J369" s="5"/>
      <c r="L369" s="6"/>
      <c r="M369" s="6"/>
      <c r="O369" s="7"/>
      <c r="Q369" s="8"/>
      <c r="Y369" s="136"/>
      <c r="AE369" s="330"/>
    </row>
    <row r="370" spans="2:31" ht="12.75" customHeight="1">
      <c r="B370" s="80"/>
      <c r="C370" s="3"/>
      <c r="D370" s="4"/>
      <c r="E370" s="4"/>
      <c r="F370" s="4"/>
      <c r="G370" s="4"/>
      <c r="H370" s="4"/>
      <c r="I370" s="4"/>
      <c r="J370" s="5"/>
      <c r="L370" s="6"/>
      <c r="M370" s="6"/>
      <c r="O370" s="7"/>
      <c r="Q370" s="8"/>
      <c r="Y370" s="136"/>
      <c r="AE370" s="330"/>
    </row>
    <row r="371" spans="2:31" ht="12.75" customHeight="1">
      <c r="B371" s="80"/>
      <c r="C371" s="3"/>
      <c r="D371" s="4"/>
      <c r="E371" s="4"/>
      <c r="F371" s="4"/>
      <c r="G371" s="4"/>
      <c r="H371" s="4"/>
      <c r="I371" s="4"/>
      <c r="J371" s="5"/>
      <c r="L371" s="6"/>
      <c r="M371" s="6"/>
      <c r="O371" s="7"/>
      <c r="Q371" s="8"/>
      <c r="Y371" s="136"/>
      <c r="AE371" s="330"/>
    </row>
    <row r="372" spans="2:31" ht="12.75" customHeight="1">
      <c r="B372" s="80"/>
      <c r="C372" s="3"/>
      <c r="D372" s="4"/>
      <c r="E372" s="4"/>
      <c r="F372" s="4"/>
      <c r="G372" s="4"/>
      <c r="H372" s="4"/>
      <c r="I372" s="4"/>
      <c r="J372" s="5"/>
      <c r="L372" s="6"/>
      <c r="M372" s="6"/>
      <c r="O372" s="7"/>
      <c r="Q372" s="8"/>
      <c r="Y372" s="136"/>
      <c r="AE372" s="330"/>
    </row>
    <row r="373" spans="2:31" ht="12.75" customHeight="1">
      <c r="B373" s="80"/>
      <c r="C373" s="3"/>
      <c r="D373" s="4"/>
      <c r="E373" s="4"/>
      <c r="F373" s="4"/>
      <c r="G373" s="4"/>
      <c r="H373" s="4"/>
      <c r="I373" s="4"/>
      <c r="J373" s="5"/>
      <c r="L373" s="6"/>
      <c r="M373" s="6"/>
      <c r="O373" s="7"/>
      <c r="Q373" s="8"/>
      <c r="Y373" s="136"/>
      <c r="AE373" s="330"/>
    </row>
    <row r="374" spans="2:31" ht="12.75" customHeight="1">
      <c r="B374" s="80"/>
      <c r="C374" s="3"/>
      <c r="D374" s="4"/>
      <c r="E374" s="4"/>
      <c r="F374" s="4"/>
      <c r="G374" s="4"/>
      <c r="H374" s="4"/>
      <c r="I374" s="4"/>
      <c r="J374" s="5"/>
      <c r="L374" s="6"/>
      <c r="M374" s="6"/>
      <c r="O374" s="7"/>
      <c r="Q374" s="8"/>
      <c r="Y374" s="136"/>
      <c r="AE374" s="330"/>
    </row>
    <row r="375" spans="2:31" ht="12.75" customHeight="1">
      <c r="B375" s="80"/>
      <c r="C375" s="3"/>
      <c r="D375" s="4"/>
      <c r="E375" s="4"/>
      <c r="F375" s="4"/>
      <c r="G375" s="4"/>
      <c r="H375" s="4"/>
      <c r="I375" s="4"/>
      <c r="J375" s="5"/>
      <c r="L375" s="6"/>
      <c r="M375" s="6"/>
      <c r="O375" s="7"/>
      <c r="Q375" s="8"/>
      <c r="Y375" s="136"/>
      <c r="AE375" s="330"/>
    </row>
    <row r="376" spans="2:31" ht="12.75" customHeight="1">
      <c r="B376" s="80"/>
      <c r="C376" s="3"/>
      <c r="D376" s="4"/>
      <c r="E376" s="4"/>
      <c r="F376" s="4"/>
      <c r="G376" s="4"/>
      <c r="H376" s="4"/>
      <c r="I376" s="4"/>
      <c r="J376" s="5"/>
      <c r="L376" s="6"/>
      <c r="M376" s="6"/>
      <c r="O376" s="7"/>
      <c r="Q376" s="8"/>
      <c r="Y376" s="136"/>
      <c r="AE376" s="330"/>
    </row>
    <row r="377" spans="2:31" ht="12.75" customHeight="1">
      <c r="B377" s="80"/>
      <c r="C377" s="3"/>
      <c r="D377" s="4"/>
      <c r="E377" s="4"/>
      <c r="F377" s="4"/>
      <c r="G377" s="4"/>
      <c r="H377" s="4"/>
      <c r="I377" s="4"/>
      <c r="J377" s="5"/>
      <c r="L377" s="6"/>
      <c r="M377" s="6"/>
      <c r="O377" s="7"/>
      <c r="Q377" s="8"/>
      <c r="Y377" s="136"/>
      <c r="AE377" s="330"/>
    </row>
    <row r="378" spans="2:31" ht="12.75" customHeight="1">
      <c r="B378" s="80"/>
      <c r="C378" s="3"/>
      <c r="D378" s="4"/>
      <c r="E378" s="4"/>
      <c r="F378" s="4"/>
      <c r="G378" s="4"/>
      <c r="H378" s="4"/>
      <c r="I378" s="4"/>
      <c r="J378" s="5"/>
      <c r="L378" s="6"/>
      <c r="M378" s="6"/>
      <c r="O378" s="7"/>
      <c r="Q378" s="8"/>
      <c r="Y378" s="136"/>
      <c r="AE378" s="330"/>
    </row>
    <row r="379" spans="2:31" ht="12.75" customHeight="1">
      <c r="B379" s="80"/>
      <c r="C379" s="3"/>
      <c r="D379" s="4"/>
      <c r="E379" s="4"/>
      <c r="F379" s="4"/>
      <c r="G379" s="4"/>
      <c r="H379" s="4"/>
      <c r="I379" s="4"/>
      <c r="J379" s="5"/>
      <c r="L379" s="6"/>
      <c r="M379" s="6"/>
      <c r="O379" s="7"/>
      <c r="Q379" s="8"/>
      <c r="Y379" s="136"/>
      <c r="AE379" s="330"/>
    </row>
    <row r="380" spans="2:31" ht="12.75" customHeight="1">
      <c r="B380" s="80"/>
      <c r="C380" s="3"/>
      <c r="D380" s="4"/>
      <c r="E380" s="4"/>
      <c r="F380" s="4"/>
      <c r="G380" s="4"/>
      <c r="H380" s="4"/>
      <c r="I380" s="4"/>
      <c r="J380" s="5"/>
      <c r="L380" s="6"/>
      <c r="M380" s="6"/>
      <c r="O380" s="7"/>
      <c r="Q380" s="8"/>
      <c r="Y380" s="136"/>
      <c r="AE380" s="330"/>
    </row>
    <row r="381" spans="2:31" ht="12.75" customHeight="1">
      <c r="B381" s="80"/>
      <c r="C381" s="3"/>
      <c r="D381" s="4"/>
      <c r="E381" s="4"/>
      <c r="F381" s="4"/>
      <c r="G381" s="4"/>
      <c r="H381" s="4"/>
      <c r="I381" s="4"/>
      <c r="J381" s="5"/>
      <c r="L381" s="6"/>
      <c r="M381" s="6"/>
      <c r="O381" s="7"/>
      <c r="Q381" s="8"/>
      <c r="Y381" s="136"/>
      <c r="AE381" s="330"/>
    </row>
    <row r="382" spans="2:31" ht="12.75" customHeight="1">
      <c r="B382" s="80"/>
      <c r="C382" s="3"/>
      <c r="D382" s="4"/>
      <c r="E382" s="4"/>
      <c r="F382" s="4"/>
      <c r="G382" s="4"/>
      <c r="H382" s="4"/>
      <c r="I382" s="4"/>
      <c r="J382" s="5"/>
      <c r="L382" s="6"/>
      <c r="M382" s="6"/>
      <c r="O382" s="7"/>
      <c r="Q382" s="8"/>
      <c r="Y382" s="136"/>
      <c r="AE382" s="330"/>
    </row>
    <row r="383" spans="2:31" ht="12.75" customHeight="1">
      <c r="B383" s="80"/>
      <c r="C383" s="3"/>
      <c r="D383" s="4"/>
      <c r="E383" s="4"/>
      <c r="F383" s="4"/>
      <c r="G383" s="4"/>
      <c r="H383" s="4"/>
      <c r="I383" s="4"/>
      <c r="J383" s="5"/>
      <c r="L383" s="6"/>
      <c r="M383" s="6"/>
      <c r="O383" s="7"/>
      <c r="Q383" s="8"/>
      <c r="Y383" s="136"/>
      <c r="AE383" s="330"/>
    </row>
    <row r="384" spans="2:31" ht="12.75" customHeight="1">
      <c r="B384" s="80"/>
      <c r="C384" s="3"/>
      <c r="D384" s="4"/>
      <c r="E384" s="4"/>
      <c r="F384" s="4"/>
      <c r="G384" s="4"/>
      <c r="H384" s="4"/>
      <c r="I384" s="4"/>
      <c r="J384" s="5"/>
      <c r="L384" s="6"/>
      <c r="M384" s="6"/>
      <c r="O384" s="7"/>
      <c r="Q384" s="8"/>
      <c r="Y384" s="136"/>
      <c r="AE384" s="330"/>
    </row>
    <row r="385" spans="2:31" ht="12.75" customHeight="1">
      <c r="B385" s="80"/>
      <c r="C385" s="3"/>
      <c r="D385" s="4"/>
      <c r="E385" s="4"/>
      <c r="F385" s="4"/>
      <c r="G385" s="4"/>
      <c r="H385" s="4"/>
      <c r="I385" s="4"/>
      <c r="J385" s="5"/>
      <c r="L385" s="6"/>
      <c r="M385" s="6"/>
      <c r="O385" s="7"/>
      <c r="Q385" s="8"/>
      <c r="Y385" s="136"/>
      <c r="AE385" s="330"/>
    </row>
    <row r="386" spans="2:31" ht="12.75" customHeight="1">
      <c r="B386" s="80"/>
      <c r="C386" s="3"/>
      <c r="D386" s="4"/>
      <c r="E386" s="4"/>
      <c r="F386" s="4"/>
      <c r="G386" s="4"/>
      <c r="H386" s="4"/>
      <c r="I386" s="4"/>
      <c r="J386" s="5"/>
      <c r="L386" s="6"/>
      <c r="M386" s="6"/>
      <c r="O386" s="7"/>
      <c r="Q386" s="8"/>
      <c r="Y386" s="136"/>
      <c r="AE386" s="330"/>
    </row>
    <row r="387" spans="2:31" ht="12.75" customHeight="1">
      <c r="B387" s="80"/>
      <c r="C387" s="3"/>
      <c r="D387" s="4"/>
      <c r="E387" s="4"/>
      <c r="F387" s="4"/>
      <c r="G387" s="4"/>
      <c r="H387" s="4"/>
      <c r="I387" s="4"/>
      <c r="J387" s="5"/>
      <c r="L387" s="6"/>
      <c r="M387" s="6"/>
      <c r="O387" s="7"/>
      <c r="Q387" s="8"/>
      <c r="Y387" s="136"/>
      <c r="AE387" s="330"/>
    </row>
    <row r="388" spans="2:31" ht="12.75" customHeight="1">
      <c r="B388" s="80"/>
      <c r="C388" s="3"/>
      <c r="D388" s="4"/>
      <c r="E388" s="4"/>
      <c r="F388" s="4"/>
      <c r="G388" s="4"/>
      <c r="H388" s="4"/>
      <c r="I388" s="4"/>
      <c r="J388" s="5"/>
      <c r="L388" s="6"/>
      <c r="M388" s="6"/>
      <c r="O388" s="7"/>
      <c r="Q388" s="8"/>
      <c r="Y388" s="136"/>
      <c r="AE388" s="330"/>
    </row>
    <row r="389" spans="2:31" ht="12.75" customHeight="1">
      <c r="B389" s="80"/>
      <c r="C389" s="3"/>
      <c r="D389" s="4"/>
      <c r="E389" s="4"/>
      <c r="F389" s="4"/>
      <c r="G389" s="4"/>
      <c r="H389" s="4"/>
      <c r="I389" s="4"/>
      <c r="J389" s="5"/>
      <c r="L389" s="6"/>
      <c r="M389" s="6"/>
      <c r="O389" s="7"/>
      <c r="Q389" s="8"/>
      <c r="Y389" s="136"/>
      <c r="AE389" s="330"/>
    </row>
    <row r="390" spans="2:31" ht="12.75" customHeight="1">
      <c r="B390" s="80"/>
      <c r="C390" s="3"/>
      <c r="D390" s="4"/>
      <c r="E390" s="4"/>
      <c r="F390" s="4"/>
      <c r="G390" s="4"/>
      <c r="H390" s="4"/>
      <c r="I390" s="4"/>
      <c r="J390" s="5"/>
      <c r="L390" s="6"/>
      <c r="M390" s="6"/>
      <c r="O390" s="7"/>
      <c r="Q390" s="8"/>
      <c r="Y390" s="136"/>
      <c r="AE390" s="330"/>
    </row>
    <row r="391" spans="2:31" ht="12.75" customHeight="1">
      <c r="B391" s="80"/>
      <c r="C391" s="3"/>
      <c r="D391" s="4"/>
      <c r="E391" s="4"/>
      <c r="F391" s="4"/>
      <c r="G391" s="4"/>
      <c r="H391" s="4"/>
      <c r="I391" s="4"/>
      <c r="J391" s="5"/>
      <c r="L391" s="6"/>
      <c r="M391" s="6"/>
      <c r="O391" s="7"/>
      <c r="Q391" s="8"/>
      <c r="Y391" s="136"/>
      <c r="AE391" s="330"/>
    </row>
    <row r="392" spans="2:31" ht="12.75" customHeight="1">
      <c r="B392" s="80"/>
      <c r="C392" s="3"/>
      <c r="D392" s="4"/>
      <c r="E392" s="4"/>
      <c r="F392" s="4"/>
      <c r="G392" s="4"/>
      <c r="H392" s="4"/>
      <c r="I392" s="4"/>
      <c r="J392" s="5"/>
      <c r="L392" s="6"/>
      <c r="M392" s="6"/>
      <c r="O392" s="7"/>
      <c r="Q392" s="8"/>
      <c r="Y392" s="136"/>
      <c r="AE392" s="330"/>
    </row>
    <row r="393" spans="2:31" ht="12.75" customHeight="1">
      <c r="B393" s="80"/>
      <c r="C393" s="3"/>
      <c r="D393" s="4"/>
      <c r="E393" s="4"/>
      <c r="F393" s="4"/>
      <c r="G393" s="4"/>
      <c r="H393" s="4"/>
      <c r="I393" s="4"/>
      <c r="J393" s="5"/>
      <c r="L393" s="6"/>
      <c r="M393" s="6"/>
      <c r="O393" s="7"/>
      <c r="Q393" s="8"/>
      <c r="Y393" s="136"/>
      <c r="AE393" s="330"/>
    </row>
    <row r="394" spans="2:31" ht="12.75" customHeight="1">
      <c r="B394" s="80"/>
      <c r="C394" s="3"/>
      <c r="D394" s="4"/>
      <c r="E394" s="4"/>
      <c r="F394" s="4"/>
      <c r="G394" s="4"/>
      <c r="H394" s="4"/>
      <c r="I394" s="4"/>
      <c r="J394" s="5"/>
      <c r="L394" s="6"/>
      <c r="M394" s="6"/>
      <c r="O394" s="7"/>
      <c r="Q394" s="8"/>
      <c r="Y394" s="136"/>
      <c r="AE394" s="330"/>
    </row>
    <row r="395" spans="2:31" ht="12.75" customHeight="1">
      <c r="B395" s="80"/>
      <c r="C395" s="3"/>
      <c r="D395" s="4"/>
      <c r="E395" s="4"/>
      <c r="F395" s="4"/>
      <c r="G395" s="4"/>
      <c r="H395" s="4"/>
      <c r="I395" s="4"/>
      <c r="J395" s="5"/>
      <c r="L395" s="6"/>
      <c r="M395" s="6"/>
      <c r="O395" s="7"/>
      <c r="Q395" s="8"/>
      <c r="Y395" s="136"/>
      <c r="AE395" s="330"/>
    </row>
    <row r="396" spans="2:31" ht="12.75" customHeight="1">
      <c r="B396" s="80"/>
      <c r="C396" s="3"/>
      <c r="D396" s="4"/>
      <c r="E396" s="4"/>
      <c r="F396" s="4"/>
      <c r="G396" s="4"/>
      <c r="H396" s="4"/>
      <c r="I396" s="4"/>
      <c r="J396" s="5"/>
      <c r="L396" s="6"/>
      <c r="M396" s="6"/>
      <c r="O396" s="7"/>
      <c r="Q396" s="8"/>
      <c r="Y396" s="136"/>
      <c r="AE396" s="330"/>
    </row>
    <row r="397" spans="2:31" ht="12.75" customHeight="1">
      <c r="B397" s="80"/>
      <c r="C397" s="3"/>
      <c r="D397" s="4"/>
      <c r="E397" s="4"/>
      <c r="F397" s="4"/>
      <c r="G397" s="4"/>
      <c r="H397" s="4"/>
      <c r="I397" s="4"/>
      <c r="J397" s="5"/>
      <c r="L397" s="6"/>
      <c r="M397" s="6"/>
      <c r="O397" s="7"/>
      <c r="Q397" s="8"/>
      <c r="Y397" s="136"/>
      <c r="AE397" s="330"/>
    </row>
    <row r="398" spans="2:31" ht="12.75" customHeight="1">
      <c r="B398" s="80"/>
      <c r="C398" s="3"/>
      <c r="D398" s="4"/>
      <c r="E398" s="4"/>
      <c r="F398" s="4"/>
      <c r="G398" s="4"/>
      <c r="H398" s="4"/>
      <c r="I398" s="4"/>
      <c r="J398" s="5"/>
      <c r="L398" s="6"/>
      <c r="M398" s="6"/>
      <c r="O398" s="7"/>
      <c r="Q398" s="8"/>
      <c r="Y398" s="136"/>
      <c r="AE398" s="330"/>
    </row>
    <row r="399" spans="2:31" ht="12.75" customHeight="1">
      <c r="B399" s="80"/>
      <c r="C399" s="3"/>
      <c r="D399" s="4"/>
      <c r="E399" s="4"/>
      <c r="F399" s="4"/>
      <c r="G399" s="4"/>
      <c r="H399" s="4"/>
      <c r="I399" s="4"/>
      <c r="J399" s="5"/>
      <c r="L399" s="6"/>
      <c r="M399" s="6"/>
      <c r="O399" s="7"/>
      <c r="Q399" s="8"/>
      <c r="Y399" s="136"/>
      <c r="AE399" s="330"/>
    </row>
    <row r="400" spans="2:31" ht="12.75" customHeight="1">
      <c r="B400" s="80"/>
      <c r="C400" s="3"/>
      <c r="D400" s="4"/>
      <c r="E400" s="4"/>
      <c r="F400" s="4"/>
      <c r="G400" s="4"/>
      <c r="H400" s="4"/>
      <c r="I400" s="4"/>
      <c r="J400" s="5"/>
      <c r="L400" s="6"/>
      <c r="M400" s="6"/>
      <c r="O400" s="7"/>
      <c r="Q400" s="8"/>
      <c r="Y400" s="136"/>
      <c r="AE400" s="330"/>
    </row>
    <row r="401" spans="2:31" ht="12.75" customHeight="1">
      <c r="B401" s="80"/>
      <c r="C401" s="3"/>
      <c r="D401" s="4"/>
      <c r="E401" s="4"/>
      <c r="F401" s="4"/>
      <c r="G401" s="4"/>
      <c r="H401" s="4"/>
      <c r="I401" s="4"/>
      <c r="J401" s="5"/>
      <c r="L401" s="6"/>
      <c r="M401" s="6"/>
      <c r="O401" s="7"/>
      <c r="Q401" s="8"/>
      <c r="Y401" s="136"/>
      <c r="AE401" s="330"/>
    </row>
    <row r="402" spans="2:31" ht="12.75" customHeight="1">
      <c r="B402" s="80"/>
      <c r="C402" s="3"/>
      <c r="D402" s="4"/>
      <c r="E402" s="4"/>
      <c r="F402" s="4"/>
      <c r="G402" s="4"/>
      <c r="H402" s="4"/>
      <c r="I402" s="4"/>
      <c r="J402" s="5"/>
      <c r="L402" s="6"/>
      <c r="M402" s="6"/>
      <c r="O402" s="7"/>
      <c r="Q402" s="8"/>
      <c r="Y402" s="136"/>
      <c r="AE402" s="330"/>
    </row>
    <row r="403" spans="2:31" ht="12.75" customHeight="1">
      <c r="B403" s="80"/>
      <c r="C403" s="3"/>
      <c r="D403" s="4"/>
      <c r="E403" s="4"/>
      <c r="F403" s="4"/>
      <c r="G403" s="4"/>
      <c r="H403" s="4"/>
      <c r="I403" s="4"/>
      <c r="J403" s="5"/>
      <c r="L403" s="6"/>
      <c r="M403" s="6"/>
      <c r="O403" s="7"/>
      <c r="Q403" s="8"/>
      <c r="Y403" s="136"/>
      <c r="AE403" s="330"/>
    </row>
    <row r="404" spans="2:31" ht="12.75" customHeight="1">
      <c r="B404" s="80"/>
      <c r="C404" s="3"/>
      <c r="D404" s="4"/>
      <c r="E404" s="4"/>
      <c r="F404" s="4"/>
      <c r="G404" s="4"/>
      <c r="H404" s="4"/>
      <c r="I404" s="4"/>
      <c r="J404" s="5"/>
      <c r="L404" s="6"/>
      <c r="M404" s="6"/>
      <c r="O404" s="7"/>
      <c r="Q404" s="8"/>
      <c r="Y404" s="136"/>
      <c r="AE404" s="330"/>
    </row>
    <row r="405" spans="2:31" ht="12.75" customHeight="1">
      <c r="B405" s="80"/>
      <c r="C405" s="3"/>
      <c r="D405" s="4"/>
      <c r="E405" s="4"/>
      <c r="F405" s="4"/>
      <c r="G405" s="4"/>
      <c r="H405" s="4"/>
      <c r="I405" s="4"/>
      <c r="J405" s="5"/>
      <c r="L405" s="6"/>
      <c r="M405" s="6"/>
      <c r="O405" s="7"/>
      <c r="Q405" s="8"/>
      <c r="Y405" s="136"/>
      <c r="AE405" s="330"/>
    </row>
    <row r="406" spans="2:31" ht="12.75" customHeight="1">
      <c r="B406" s="80"/>
      <c r="C406" s="3"/>
      <c r="D406" s="4"/>
      <c r="E406" s="4"/>
      <c r="F406" s="4"/>
      <c r="G406" s="4"/>
      <c r="H406" s="4"/>
      <c r="I406" s="4"/>
      <c r="J406" s="5"/>
      <c r="L406" s="6"/>
      <c r="M406" s="6"/>
      <c r="O406" s="7"/>
      <c r="Q406" s="8"/>
      <c r="Y406" s="136"/>
      <c r="AE406" s="330"/>
    </row>
    <row r="407" spans="2:31" ht="12.75" customHeight="1">
      <c r="B407" s="80"/>
      <c r="C407" s="3"/>
      <c r="D407" s="4"/>
      <c r="E407" s="4"/>
      <c r="F407" s="4"/>
      <c r="G407" s="4"/>
      <c r="H407" s="4"/>
      <c r="I407" s="4"/>
      <c r="J407" s="5"/>
      <c r="L407" s="6"/>
      <c r="M407" s="6"/>
      <c r="O407" s="7"/>
      <c r="Q407" s="8"/>
      <c r="Y407" s="136"/>
      <c r="AE407" s="330"/>
    </row>
    <row r="408" spans="2:31" ht="12.75" customHeight="1">
      <c r="B408" s="80"/>
      <c r="C408" s="3"/>
      <c r="D408" s="4"/>
      <c r="E408" s="4"/>
      <c r="F408" s="4"/>
      <c r="G408" s="4"/>
      <c r="H408" s="4"/>
      <c r="I408" s="4"/>
      <c r="J408" s="5"/>
      <c r="L408" s="6"/>
      <c r="M408" s="6"/>
      <c r="O408" s="7"/>
      <c r="Q408" s="8"/>
      <c r="Y408" s="136"/>
      <c r="AE408" s="330"/>
    </row>
    <row r="409" spans="2:31" ht="12.75" customHeight="1">
      <c r="B409" s="80"/>
      <c r="C409" s="3"/>
      <c r="D409" s="4"/>
      <c r="E409" s="4"/>
      <c r="F409" s="4"/>
      <c r="G409" s="4"/>
      <c r="H409" s="4"/>
      <c r="I409" s="4"/>
      <c r="J409" s="5"/>
      <c r="L409" s="6"/>
      <c r="M409" s="6"/>
      <c r="O409" s="7"/>
      <c r="Q409" s="8"/>
      <c r="Y409" s="136"/>
      <c r="AE409" s="330"/>
    </row>
    <row r="410" spans="2:31" ht="12.75" customHeight="1">
      <c r="B410" s="80"/>
      <c r="C410" s="3"/>
      <c r="D410" s="4"/>
      <c r="E410" s="4"/>
      <c r="F410" s="4"/>
      <c r="G410" s="4"/>
      <c r="H410" s="4"/>
      <c r="I410" s="4"/>
      <c r="J410" s="5"/>
      <c r="L410" s="6"/>
      <c r="M410" s="6"/>
      <c r="O410" s="7"/>
      <c r="Q410" s="8"/>
      <c r="Y410" s="136"/>
      <c r="AE410" s="330"/>
    </row>
    <row r="411" spans="2:31" ht="12.75" customHeight="1">
      <c r="B411" s="80"/>
      <c r="C411" s="3"/>
      <c r="D411" s="4"/>
      <c r="E411" s="4"/>
      <c r="F411" s="4"/>
      <c r="G411" s="4"/>
      <c r="H411" s="4"/>
      <c r="I411" s="4"/>
      <c r="J411" s="5"/>
      <c r="L411" s="6"/>
      <c r="M411" s="6"/>
      <c r="O411" s="7"/>
      <c r="Q411" s="8"/>
      <c r="Y411" s="136"/>
      <c r="AE411" s="330"/>
    </row>
    <row r="412" spans="2:31" ht="12.75" customHeight="1">
      <c r="B412" s="80"/>
      <c r="C412" s="3"/>
      <c r="D412" s="4"/>
      <c r="E412" s="4"/>
      <c r="F412" s="4"/>
      <c r="G412" s="4"/>
      <c r="H412" s="4"/>
      <c r="I412" s="4"/>
      <c r="J412" s="5"/>
      <c r="L412" s="6"/>
      <c r="M412" s="6"/>
      <c r="O412" s="7"/>
      <c r="Q412" s="8"/>
      <c r="Y412" s="136"/>
      <c r="AE412" s="330"/>
    </row>
    <row r="413" spans="2:31" ht="12.75" customHeight="1">
      <c r="B413" s="80"/>
      <c r="C413" s="3"/>
      <c r="D413" s="4"/>
      <c r="E413" s="4"/>
      <c r="F413" s="4"/>
      <c r="G413" s="4"/>
      <c r="H413" s="4"/>
      <c r="I413" s="4"/>
      <c r="J413" s="5"/>
      <c r="L413" s="6"/>
      <c r="M413" s="6"/>
      <c r="O413" s="7"/>
      <c r="Q413" s="8"/>
      <c r="Y413" s="136"/>
      <c r="AE413" s="330"/>
    </row>
    <row r="414" spans="2:31" ht="12.75" customHeight="1">
      <c r="B414" s="80"/>
      <c r="C414" s="3"/>
      <c r="D414" s="4"/>
      <c r="E414" s="4"/>
      <c r="F414" s="4"/>
      <c r="G414" s="4"/>
      <c r="H414" s="4"/>
      <c r="I414" s="4"/>
      <c r="J414" s="5"/>
      <c r="L414" s="6"/>
      <c r="M414" s="6"/>
      <c r="O414" s="7"/>
      <c r="Q414" s="8"/>
      <c r="Y414" s="136"/>
      <c r="AE414" s="330"/>
    </row>
    <row r="415" spans="2:31" ht="12.75" customHeight="1">
      <c r="B415" s="80"/>
      <c r="C415" s="3"/>
      <c r="D415" s="4"/>
      <c r="E415" s="4"/>
      <c r="F415" s="4"/>
      <c r="G415" s="4"/>
      <c r="H415" s="4"/>
      <c r="I415" s="4"/>
      <c r="J415" s="5"/>
      <c r="L415" s="6"/>
      <c r="M415" s="6"/>
      <c r="O415" s="7"/>
      <c r="Q415" s="8"/>
      <c r="Y415" s="136"/>
      <c r="AE415" s="330"/>
    </row>
    <row r="416" spans="2:31" ht="12.75" customHeight="1">
      <c r="B416" s="80"/>
      <c r="C416" s="3"/>
      <c r="D416" s="4"/>
      <c r="E416" s="4"/>
      <c r="F416" s="4"/>
      <c r="G416" s="4"/>
      <c r="H416" s="4"/>
      <c r="I416" s="4"/>
      <c r="J416" s="5"/>
      <c r="L416" s="6"/>
      <c r="M416" s="6"/>
      <c r="O416" s="7"/>
      <c r="Q416" s="8"/>
      <c r="Y416" s="136"/>
      <c r="AE416" s="330"/>
    </row>
    <row r="417" spans="2:31" ht="12.75" customHeight="1">
      <c r="B417" s="80"/>
      <c r="C417" s="3"/>
      <c r="D417" s="4"/>
      <c r="E417" s="4"/>
      <c r="F417" s="4"/>
      <c r="G417" s="4"/>
      <c r="H417" s="4"/>
      <c r="I417" s="4"/>
      <c r="J417" s="5"/>
      <c r="L417" s="6"/>
      <c r="M417" s="6"/>
      <c r="O417" s="7"/>
      <c r="Q417" s="8"/>
      <c r="Y417" s="136"/>
      <c r="AE417" s="330"/>
    </row>
    <row r="418" spans="2:31" ht="12.75" customHeight="1">
      <c r="B418" s="80"/>
      <c r="C418" s="3"/>
      <c r="D418" s="4"/>
      <c r="E418" s="4"/>
      <c r="F418" s="4"/>
      <c r="G418" s="4"/>
      <c r="H418" s="4"/>
      <c r="I418" s="4"/>
      <c r="J418" s="5"/>
      <c r="L418" s="6"/>
      <c r="M418" s="6"/>
      <c r="O418" s="7"/>
      <c r="Q418" s="8"/>
      <c r="Y418" s="136"/>
      <c r="AE418" s="330"/>
    </row>
    <row r="419" spans="2:31" ht="12.75" customHeight="1">
      <c r="B419" s="80"/>
      <c r="C419" s="3"/>
      <c r="D419" s="4"/>
      <c r="E419" s="4"/>
      <c r="F419" s="4"/>
      <c r="G419" s="4"/>
      <c r="H419" s="4"/>
      <c r="I419" s="4"/>
      <c r="J419" s="5"/>
      <c r="L419" s="6"/>
      <c r="M419" s="6"/>
      <c r="O419" s="7"/>
      <c r="Q419" s="8"/>
      <c r="Y419" s="136"/>
      <c r="AE419" s="330"/>
    </row>
    <row r="420" spans="2:31" ht="12.75" customHeight="1">
      <c r="B420" s="80"/>
      <c r="C420" s="3"/>
      <c r="D420" s="4"/>
      <c r="E420" s="4"/>
      <c r="F420" s="4"/>
      <c r="G420" s="4"/>
      <c r="H420" s="4"/>
      <c r="I420" s="4"/>
      <c r="J420" s="5"/>
      <c r="L420" s="6"/>
      <c r="M420" s="6"/>
      <c r="O420" s="7"/>
      <c r="Q420" s="8"/>
      <c r="Y420" s="136"/>
      <c r="AE420" s="330"/>
    </row>
    <row r="421" spans="2:31" ht="12.75" customHeight="1">
      <c r="B421" s="80"/>
      <c r="C421" s="3"/>
      <c r="D421" s="4"/>
      <c r="E421" s="4"/>
      <c r="F421" s="4"/>
      <c r="G421" s="4"/>
      <c r="H421" s="4"/>
      <c r="I421" s="4"/>
      <c r="J421" s="5"/>
      <c r="L421" s="6"/>
      <c r="M421" s="6"/>
      <c r="O421" s="7"/>
      <c r="Q421" s="8"/>
      <c r="Y421" s="136"/>
      <c r="AE421" s="330"/>
    </row>
    <row r="422" spans="2:31" ht="12.75" customHeight="1">
      <c r="B422" s="80"/>
      <c r="C422" s="3"/>
      <c r="D422" s="4"/>
      <c r="E422" s="4"/>
      <c r="F422" s="4"/>
      <c r="G422" s="4"/>
      <c r="H422" s="4"/>
      <c r="I422" s="4"/>
      <c r="J422" s="5"/>
      <c r="L422" s="6"/>
      <c r="M422" s="6"/>
      <c r="O422" s="7"/>
      <c r="Q422" s="8"/>
      <c r="Y422" s="136"/>
      <c r="AE422" s="330"/>
    </row>
    <row r="423" spans="2:31" ht="12.75" customHeight="1">
      <c r="B423" s="80"/>
      <c r="C423" s="3"/>
      <c r="D423" s="4"/>
      <c r="E423" s="4"/>
      <c r="F423" s="4"/>
      <c r="G423" s="4"/>
      <c r="H423" s="4"/>
      <c r="I423" s="4"/>
      <c r="J423" s="5"/>
      <c r="L423" s="6"/>
      <c r="M423" s="6"/>
      <c r="O423" s="7"/>
      <c r="Q423" s="8"/>
      <c r="Y423" s="136"/>
      <c r="AE423" s="330"/>
    </row>
    <row r="424" spans="2:31" ht="12.75" customHeight="1">
      <c r="B424" s="80"/>
      <c r="C424" s="3"/>
      <c r="D424" s="4"/>
      <c r="E424" s="4"/>
      <c r="F424" s="4"/>
      <c r="G424" s="4"/>
      <c r="H424" s="4"/>
      <c r="I424" s="4"/>
      <c r="J424" s="5"/>
      <c r="L424" s="6"/>
      <c r="M424" s="6"/>
      <c r="O424" s="7"/>
      <c r="Q424" s="8"/>
      <c r="Y424" s="136"/>
      <c r="AE424" s="330"/>
    </row>
    <row r="425" spans="2:31" ht="12.75" customHeight="1">
      <c r="B425" s="80"/>
      <c r="C425" s="3"/>
      <c r="D425" s="4"/>
      <c r="E425" s="4"/>
      <c r="F425" s="4"/>
      <c r="G425" s="4"/>
      <c r="H425" s="4"/>
      <c r="I425" s="4"/>
      <c r="J425" s="5"/>
      <c r="L425" s="6"/>
      <c r="M425" s="6"/>
      <c r="O425" s="7"/>
      <c r="Q425" s="8"/>
      <c r="Y425" s="136"/>
      <c r="AE425" s="330"/>
    </row>
    <row r="426" spans="2:31" ht="12.75" customHeight="1">
      <c r="B426" s="80"/>
      <c r="C426" s="3"/>
      <c r="D426" s="4"/>
      <c r="E426" s="4"/>
      <c r="F426" s="4"/>
      <c r="G426" s="4"/>
      <c r="H426" s="4"/>
      <c r="I426" s="4"/>
      <c r="J426" s="5"/>
      <c r="L426" s="6"/>
      <c r="M426" s="6"/>
      <c r="O426" s="7"/>
      <c r="Q426" s="8"/>
      <c r="Y426" s="136"/>
      <c r="AE426" s="330"/>
    </row>
    <row r="427" spans="2:31" ht="12.75" customHeight="1">
      <c r="B427" s="80"/>
      <c r="C427" s="3"/>
      <c r="D427" s="4"/>
      <c r="E427" s="4"/>
      <c r="F427" s="4"/>
      <c r="G427" s="4"/>
      <c r="H427" s="4"/>
      <c r="I427" s="4"/>
      <c r="J427" s="5"/>
      <c r="L427" s="6"/>
      <c r="M427" s="6"/>
      <c r="O427" s="7"/>
      <c r="Q427" s="8"/>
      <c r="Y427" s="136"/>
      <c r="AE427" s="330"/>
    </row>
    <row r="428" spans="2:31" ht="12.75" customHeight="1">
      <c r="B428" s="80"/>
      <c r="C428" s="3"/>
      <c r="D428" s="4"/>
      <c r="E428" s="4"/>
      <c r="F428" s="4"/>
      <c r="G428" s="4"/>
      <c r="H428" s="4"/>
      <c r="I428" s="4"/>
      <c r="J428" s="5"/>
      <c r="L428" s="6"/>
      <c r="M428" s="6"/>
      <c r="O428" s="7"/>
      <c r="Q428" s="8"/>
      <c r="Y428" s="136"/>
      <c r="AE428" s="330"/>
    </row>
    <row r="429" spans="2:31" ht="12.75" customHeight="1">
      <c r="B429" s="80"/>
      <c r="C429" s="3"/>
      <c r="D429" s="4"/>
      <c r="E429" s="4"/>
      <c r="F429" s="4"/>
      <c r="G429" s="4"/>
      <c r="H429" s="4"/>
      <c r="I429" s="4"/>
      <c r="J429" s="5"/>
      <c r="L429" s="6"/>
      <c r="M429" s="6"/>
      <c r="O429" s="7"/>
      <c r="Q429" s="8"/>
      <c r="Y429" s="136"/>
      <c r="AE429" s="330"/>
    </row>
    <row r="430" spans="2:31" ht="12.75" customHeight="1">
      <c r="B430" s="80"/>
      <c r="C430" s="3"/>
      <c r="D430" s="4"/>
      <c r="E430" s="4"/>
      <c r="F430" s="4"/>
      <c r="G430" s="4"/>
      <c r="H430" s="4"/>
      <c r="I430" s="4"/>
      <c r="J430" s="5"/>
      <c r="L430" s="6"/>
      <c r="M430" s="6"/>
      <c r="O430" s="7"/>
      <c r="Q430" s="8"/>
      <c r="Y430" s="136"/>
      <c r="AE430" s="330"/>
    </row>
    <row r="431" spans="2:31" ht="12.75" customHeight="1">
      <c r="B431" s="80"/>
      <c r="C431" s="3"/>
      <c r="D431" s="4"/>
      <c r="E431" s="4"/>
      <c r="F431" s="4"/>
      <c r="G431" s="4"/>
      <c r="H431" s="4"/>
      <c r="I431" s="4"/>
      <c r="J431" s="5"/>
      <c r="L431" s="6"/>
      <c r="M431" s="6"/>
      <c r="O431" s="7"/>
      <c r="Q431" s="8"/>
      <c r="Y431" s="136"/>
      <c r="AE431" s="330"/>
    </row>
    <row r="432" spans="2:31" ht="12.75" customHeight="1">
      <c r="B432" s="80"/>
      <c r="C432" s="3"/>
      <c r="D432" s="4"/>
      <c r="E432" s="4"/>
      <c r="F432" s="4"/>
      <c r="G432" s="4"/>
      <c r="H432" s="4"/>
      <c r="I432" s="4"/>
      <c r="J432" s="5"/>
      <c r="L432" s="6"/>
      <c r="M432" s="6"/>
      <c r="O432" s="7"/>
      <c r="Q432" s="8"/>
      <c r="Y432" s="136"/>
      <c r="AE432" s="330"/>
    </row>
    <row r="433" spans="2:31" ht="12.75" customHeight="1">
      <c r="B433" s="80"/>
      <c r="C433" s="3"/>
      <c r="D433" s="4"/>
      <c r="E433" s="4"/>
      <c r="F433" s="4"/>
      <c r="G433" s="4"/>
      <c r="H433" s="4"/>
      <c r="I433" s="4"/>
      <c r="J433" s="5"/>
      <c r="L433" s="6"/>
      <c r="M433" s="6"/>
      <c r="O433" s="7"/>
      <c r="Q433" s="8"/>
      <c r="Y433" s="136"/>
      <c r="AE433" s="330"/>
    </row>
    <row r="434" spans="2:31" ht="12.75" customHeight="1">
      <c r="B434" s="80"/>
      <c r="C434" s="3"/>
      <c r="D434" s="4"/>
      <c r="E434" s="4"/>
      <c r="F434" s="4"/>
      <c r="G434" s="4"/>
      <c r="H434" s="4"/>
      <c r="I434" s="4"/>
      <c r="J434" s="5"/>
      <c r="L434" s="6"/>
      <c r="M434" s="6"/>
      <c r="O434" s="7"/>
      <c r="Q434" s="8"/>
      <c r="Y434" s="136"/>
      <c r="AE434" s="330"/>
    </row>
    <row r="435" spans="2:31" ht="12.75" customHeight="1">
      <c r="B435" s="80"/>
      <c r="C435" s="3"/>
      <c r="D435" s="4"/>
      <c r="E435" s="4"/>
      <c r="F435" s="4"/>
      <c r="G435" s="4"/>
      <c r="H435" s="4"/>
      <c r="I435" s="4"/>
      <c r="J435" s="5"/>
      <c r="L435" s="6"/>
      <c r="M435" s="6"/>
      <c r="O435" s="7"/>
      <c r="Q435" s="8"/>
      <c r="Y435" s="136"/>
      <c r="AE435" s="330"/>
    </row>
    <row r="436" spans="2:31" ht="12.75" customHeight="1">
      <c r="B436" s="80"/>
      <c r="C436" s="3"/>
      <c r="D436" s="4"/>
      <c r="E436" s="4"/>
      <c r="F436" s="4"/>
      <c r="G436" s="4"/>
      <c r="H436" s="4"/>
      <c r="I436" s="4"/>
      <c r="J436" s="5"/>
      <c r="L436" s="6"/>
      <c r="M436" s="6"/>
      <c r="O436" s="7"/>
      <c r="Q436" s="8"/>
      <c r="Y436" s="136"/>
      <c r="AE436" s="330"/>
    </row>
    <row r="437" spans="2:31" ht="12.75" customHeight="1">
      <c r="B437" s="80"/>
      <c r="C437" s="3"/>
      <c r="D437" s="4"/>
      <c r="E437" s="4"/>
      <c r="F437" s="4"/>
      <c r="G437" s="4"/>
      <c r="H437" s="4"/>
      <c r="I437" s="4"/>
      <c r="J437" s="5"/>
      <c r="L437" s="6"/>
      <c r="M437" s="6"/>
      <c r="O437" s="7"/>
      <c r="Q437" s="8"/>
      <c r="Y437" s="136"/>
      <c r="AE437" s="330"/>
    </row>
    <row r="438" spans="2:31" ht="12.75" customHeight="1">
      <c r="B438" s="80"/>
      <c r="C438" s="3"/>
      <c r="D438" s="4"/>
      <c r="E438" s="4"/>
      <c r="F438" s="4"/>
      <c r="G438" s="4"/>
      <c r="H438" s="4"/>
      <c r="I438" s="4"/>
      <c r="J438" s="5"/>
      <c r="L438" s="6"/>
      <c r="M438" s="6"/>
      <c r="O438" s="7"/>
      <c r="Q438" s="8"/>
      <c r="Y438" s="136"/>
      <c r="AE438" s="330"/>
    </row>
    <row r="439" spans="2:31" ht="12.75" customHeight="1">
      <c r="B439" s="80"/>
      <c r="C439" s="3"/>
      <c r="D439" s="4"/>
      <c r="E439" s="4"/>
      <c r="F439" s="4"/>
      <c r="G439" s="4"/>
      <c r="H439" s="4"/>
      <c r="I439" s="4"/>
      <c r="J439" s="5"/>
      <c r="L439" s="6"/>
      <c r="M439" s="6"/>
      <c r="O439" s="7"/>
      <c r="Q439" s="8"/>
      <c r="Y439" s="136"/>
      <c r="AE439" s="330"/>
    </row>
    <row r="440" spans="2:31" ht="12.75" customHeight="1">
      <c r="B440" s="80"/>
      <c r="C440" s="3"/>
      <c r="D440" s="4"/>
      <c r="E440" s="4"/>
      <c r="F440" s="4"/>
      <c r="G440" s="4"/>
      <c r="H440" s="4"/>
      <c r="I440" s="4"/>
      <c r="J440" s="5"/>
      <c r="L440" s="6"/>
      <c r="M440" s="6"/>
      <c r="O440" s="7"/>
      <c r="Q440" s="8"/>
      <c r="Y440" s="136"/>
      <c r="AE440" s="330"/>
    </row>
    <row r="441" spans="2:31" ht="12.75" customHeight="1">
      <c r="B441" s="80"/>
      <c r="C441" s="3"/>
      <c r="D441" s="4"/>
      <c r="E441" s="4"/>
      <c r="F441" s="4"/>
      <c r="G441" s="4"/>
      <c r="H441" s="4"/>
      <c r="I441" s="4"/>
      <c r="J441" s="5"/>
      <c r="L441" s="6"/>
      <c r="M441" s="6"/>
      <c r="O441" s="7"/>
      <c r="Q441" s="8"/>
      <c r="Y441" s="136"/>
      <c r="AE441" s="330"/>
    </row>
    <row r="442" spans="2:31" ht="12.75" customHeight="1">
      <c r="B442" s="80"/>
      <c r="C442" s="3"/>
      <c r="D442" s="4"/>
      <c r="E442" s="4"/>
      <c r="F442" s="4"/>
      <c r="G442" s="4"/>
      <c r="H442" s="4"/>
      <c r="I442" s="4"/>
      <c r="J442" s="5"/>
      <c r="L442" s="6"/>
      <c r="M442" s="6"/>
      <c r="O442" s="7"/>
      <c r="Q442" s="8"/>
      <c r="Y442" s="136"/>
      <c r="AE442" s="330"/>
    </row>
    <row r="443" spans="2:31" ht="12.75" customHeight="1">
      <c r="B443" s="80"/>
      <c r="C443" s="3"/>
      <c r="D443" s="4"/>
      <c r="E443" s="4"/>
      <c r="F443" s="4"/>
      <c r="G443" s="4"/>
      <c r="H443" s="4"/>
      <c r="I443" s="4"/>
      <c r="J443" s="5"/>
      <c r="L443" s="6"/>
      <c r="M443" s="6"/>
      <c r="O443" s="7"/>
      <c r="Q443" s="8"/>
      <c r="Y443" s="136"/>
      <c r="AE443" s="330"/>
    </row>
    <row r="444" spans="2:31" ht="12.75" customHeight="1">
      <c r="B444" s="80"/>
      <c r="C444" s="3"/>
      <c r="D444" s="4"/>
      <c r="E444" s="4"/>
      <c r="F444" s="4"/>
      <c r="G444" s="4"/>
      <c r="H444" s="4"/>
      <c r="I444" s="4"/>
      <c r="J444" s="5"/>
      <c r="L444" s="6"/>
      <c r="M444" s="6"/>
      <c r="O444" s="7"/>
      <c r="Q444" s="8"/>
      <c r="Y444" s="136"/>
      <c r="AE444" s="330"/>
    </row>
    <row r="445" spans="2:31" ht="12.75" customHeight="1">
      <c r="B445" s="80"/>
      <c r="C445" s="3"/>
      <c r="D445" s="4"/>
      <c r="E445" s="4"/>
      <c r="F445" s="4"/>
      <c r="G445" s="4"/>
      <c r="H445" s="4"/>
      <c r="I445" s="4"/>
      <c r="J445" s="5"/>
      <c r="L445" s="6"/>
      <c r="M445" s="6"/>
      <c r="O445" s="7"/>
      <c r="Q445" s="8"/>
      <c r="Y445" s="136"/>
      <c r="AE445" s="330"/>
    </row>
    <row r="446" spans="2:31" ht="12.75" customHeight="1">
      <c r="B446" s="80"/>
      <c r="C446" s="3"/>
      <c r="D446" s="4"/>
      <c r="E446" s="4"/>
      <c r="F446" s="4"/>
      <c r="G446" s="4"/>
      <c r="H446" s="4"/>
      <c r="I446" s="4"/>
      <c r="J446" s="5"/>
      <c r="L446" s="6"/>
      <c r="M446" s="6"/>
      <c r="O446" s="7"/>
      <c r="Q446" s="8"/>
      <c r="Y446" s="136"/>
      <c r="AE446" s="330"/>
    </row>
    <row r="447" spans="2:31" ht="12.75" customHeight="1">
      <c r="B447" s="80"/>
      <c r="C447" s="3"/>
      <c r="D447" s="4"/>
      <c r="E447" s="4"/>
      <c r="F447" s="4"/>
      <c r="G447" s="4"/>
      <c r="H447" s="4"/>
      <c r="I447" s="4"/>
      <c r="J447" s="5"/>
      <c r="L447" s="6"/>
      <c r="M447" s="6"/>
      <c r="O447" s="7"/>
      <c r="Q447" s="8"/>
      <c r="Y447" s="136"/>
      <c r="AE447" s="330"/>
    </row>
    <row r="448" spans="2:31" ht="12.75" customHeight="1">
      <c r="B448" s="80"/>
      <c r="C448" s="3"/>
      <c r="D448" s="4"/>
      <c r="E448" s="4"/>
      <c r="F448" s="4"/>
      <c r="G448" s="4"/>
      <c r="H448" s="4"/>
      <c r="I448" s="4"/>
      <c r="J448" s="5"/>
      <c r="L448" s="6"/>
      <c r="M448" s="6"/>
      <c r="O448" s="7"/>
      <c r="Q448" s="8"/>
      <c r="Y448" s="136"/>
      <c r="AE448" s="330"/>
    </row>
    <row r="449" spans="2:31" ht="12.75" customHeight="1">
      <c r="B449" s="80"/>
      <c r="C449" s="3"/>
      <c r="D449" s="4"/>
      <c r="E449" s="4"/>
      <c r="F449" s="4"/>
      <c r="G449" s="4"/>
      <c r="H449" s="4"/>
      <c r="I449" s="4"/>
      <c r="J449" s="5"/>
      <c r="L449" s="6"/>
      <c r="M449" s="6"/>
      <c r="O449" s="7"/>
      <c r="Q449" s="8"/>
      <c r="Y449" s="136"/>
      <c r="AE449" s="330"/>
    </row>
    <row r="450" spans="2:31" ht="12.75" customHeight="1">
      <c r="B450" s="80"/>
      <c r="C450" s="3"/>
      <c r="D450" s="4"/>
      <c r="E450" s="4"/>
      <c r="F450" s="4"/>
      <c r="G450" s="4"/>
      <c r="H450" s="4"/>
      <c r="I450" s="4"/>
      <c r="J450" s="5"/>
      <c r="L450" s="6"/>
      <c r="M450" s="6"/>
      <c r="O450" s="7"/>
      <c r="Q450" s="8"/>
      <c r="Y450" s="136"/>
      <c r="AE450" s="330"/>
    </row>
    <row r="451" spans="2:31" ht="12.75" customHeight="1">
      <c r="B451" s="80"/>
      <c r="C451" s="3"/>
      <c r="D451" s="4"/>
      <c r="E451" s="4"/>
      <c r="F451" s="4"/>
      <c r="G451" s="4"/>
      <c r="H451" s="4"/>
      <c r="I451" s="4"/>
      <c r="J451" s="5"/>
      <c r="L451" s="6"/>
      <c r="M451" s="6"/>
      <c r="O451" s="7"/>
      <c r="Q451" s="8"/>
      <c r="Y451" s="136"/>
      <c r="AE451" s="330"/>
    </row>
    <row r="452" spans="2:31" ht="12.75" customHeight="1">
      <c r="B452" s="80"/>
      <c r="C452" s="3"/>
      <c r="D452" s="4"/>
      <c r="E452" s="4"/>
      <c r="F452" s="4"/>
      <c r="G452" s="4"/>
      <c r="H452" s="4"/>
      <c r="I452" s="4"/>
      <c r="J452" s="5"/>
      <c r="L452" s="6"/>
      <c r="M452" s="6"/>
      <c r="O452" s="7"/>
      <c r="Q452" s="8"/>
      <c r="Y452" s="136"/>
      <c r="AE452" s="330"/>
    </row>
    <row r="453" spans="2:31" ht="12.75" customHeight="1">
      <c r="B453" s="80"/>
      <c r="C453" s="3"/>
      <c r="D453" s="4"/>
      <c r="E453" s="4"/>
      <c r="F453" s="4"/>
      <c r="G453" s="4"/>
      <c r="H453" s="4"/>
      <c r="I453" s="4"/>
      <c r="J453" s="5"/>
      <c r="L453" s="6"/>
      <c r="M453" s="6"/>
      <c r="O453" s="7"/>
      <c r="Q453" s="8"/>
      <c r="Y453" s="136"/>
      <c r="AE453" s="330"/>
    </row>
    <row r="454" spans="2:31" ht="12.75" customHeight="1">
      <c r="B454" s="80"/>
      <c r="C454" s="3"/>
      <c r="D454" s="4"/>
      <c r="E454" s="4"/>
      <c r="F454" s="4"/>
      <c r="G454" s="4"/>
      <c r="H454" s="4"/>
      <c r="I454" s="4"/>
      <c r="J454" s="5"/>
      <c r="L454" s="6"/>
      <c r="M454" s="6"/>
      <c r="O454" s="7"/>
      <c r="Q454" s="8"/>
      <c r="Y454" s="136"/>
      <c r="AE454" s="330"/>
    </row>
    <row r="455" spans="2:31" ht="12.75" customHeight="1">
      <c r="B455" s="80"/>
      <c r="C455" s="3"/>
      <c r="D455" s="4"/>
      <c r="E455" s="4"/>
      <c r="F455" s="4"/>
      <c r="G455" s="4"/>
      <c r="H455" s="4"/>
      <c r="I455" s="4"/>
      <c r="J455" s="5"/>
      <c r="L455" s="6"/>
      <c r="M455" s="6"/>
      <c r="O455" s="7"/>
      <c r="Q455" s="8"/>
      <c r="Y455" s="136"/>
      <c r="AE455" s="330"/>
    </row>
    <row r="456" spans="2:31" ht="12.75" customHeight="1">
      <c r="B456" s="80"/>
      <c r="C456" s="3"/>
      <c r="D456" s="4"/>
      <c r="E456" s="4"/>
      <c r="F456" s="4"/>
      <c r="G456" s="4"/>
      <c r="H456" s="4"/>
      <c r="I456" s="4"/>
      <c r="J456" s="5"/>
      <c r="L456" s="6"/>
      <c r="M456" s="6"/>
      <c r="O456" s="7"/>
      <c r="Q456" s="8"/>
      <c r="Y456" s="136"/>
      <c r="AE456" s="330"/>
    </row>
    <row r="457" spans="2:31" ht="12.75" customHeight="1">
      <c r="B457" s="80"/>
      <c r="C457" s="3"/>
      <c r="D457" s="4"/>
      <c r="E457" s="4"/>
      <c r="F457" s="4"/>
      <c r="G457" s="4"/>
      <c r="H457" s="4"/>
      <c r="I457" s="4"/>
      <c r="J457" s="5"/>
      <c r="L457" s="6"/>
      <c r="M457" s="6"/>
      <c r="O457" s="7"/>
      <c r="Q457" s="8"/>
      <c r="Y457" s="136"/>
      <c r="AE457" s="330"/>
    </row>
    <row r="458" spans="2:31" ht="12.75" customHeight="1">
      <c r="B458" s="80"/>
      <c r="C458" s="3"/>
      <c r="D458" s="4"/>
      <c r="E458" s="4"/>
      <c r="F458" s="4"/>
      <c r="G458" s="4"/>
      <c r="H458" s="4"/>
      <c r="I458" s="4"/>
      <c r="J458" s="5"/>
      <c r="L458" s="6"/>
      <c r="M458" s="6"/>
      <c r="O458" s="7"/>
      <c r="Q458" s="8"/>
      <c r="Y458" s="136"/>
      <c r="AE458" s="330"/>
    </row>
    <row r="459" spans="2:31" ht="12.75" customHeight="1">
      <c r="B459" s="80"/>
      <c r="C459" s="3"/>
      <c r="D459" s="4"/>
      <c r="E459" s="4"/>
      <c r="F459" s="4"/>
      <c r="G459" s="4"/>
      <c r="H459" s="4"/>
      <c r="I459" s="4"/>
      <c r="J459" s="5"/>
      <c r="L459" s="6"/>
      <c r="M459" s="6"/>
      <c r="O459" s="7"/>
      <c r="Q459" s="8"/>
      <c r="Y459" s="136"/>
      <c r="AE459" s="330"/>
    </row>
    <row r="460" spans="2:31" ht="12.75" customHeight="1">
      <c r="B460" s="80"/>
      <c r="C460" s="3"/>
      <c r="D460" s="4"/>
      <c r="E460" s="4"/>
      <c r="F460" s="4"/>
      <c r="G460" s="4"/>
      <c r="H460" s="4"/>
      <c r="I460" s="4"/>
      <c r="J460" s="5"/>
      <c r="L460" s="6"/>
      <c r="M460" s="6"/>
      <c r="O460" s="7"/>
      <c r="Q460" s="8"/>
      <c r="Y460" s="136"/>
      <c r="AE460" s="330"/>
    </row>
    <row r="461" spans="2:31" ht="12.75" customHeight="1">
      <c r="B461" s="80"/>
      <c r="C461" s="3"/>
      <c r="D461" s="4"/>
      <c r="E461" s="4"/>
      <c r="F461" s="4"/>
      <c r="G461" s="4"/>
      <c r="H461" s="4"/>
      <c r="I461" s="4"/>
      <c r="J461" s="5"/>
      <c r="L461" s="6"/>
      <c r="M461" s="6"/>
      <c r="O461" s="7"/>
      <c r="Q461" s="8"/>
      <c r="Y461" s="136"/>
      <c r="AE461" s="330"/>
    </row>
    <row r="462" spans="2:31" ht="12.75" customHeight="1">
      <c r="B462" s="80"/>
      <c r="C462" s="3"/>
      <c r="D462" s="4"/>
      <c r="E462" s="4"/>
      <c r="F462" s="4"/>
      <c r="G462" s="4"/>
      <c r="H462" s="4"/>
      <c r="I462" s="4"/>
      <c r="J462" s="5"/>
      <c r="L462" s="6"/>
      <c r="M462" s="6"/>
      <c r="O462" s="7"/>
      <c r="Q462" s="8"/>
      <c r="Y462" s="136"/>
      <c r="AE462" s="330"/>
    </row>
    <row r="463" spans="2:31" ht="12.75" customHeight="1">
      <c r="B463" s="80"/>
      <c r="C463" s="3"/>
      <c r="D463" s="4"/>
      <c r="E463" s="4"/>
      <c r="F463" s="4"/>
      <c r="G463" s="4"/>
      <c r="H463" s="4"/>
      <c r="I463" s="4"/>
      <c r="J463" s="5"/>
      <c r="L463" s="6"/>
      <c r="M463" s="6"/>
      <c r="O463" s="7"/>
      <c r="Q463" s="8"/>
      <c r="Y463" s="136"/>
      <c r="AE463" s="330"/>
    </row>
    <row r="464" spans="2:31" ht="12.75" customHeight="1">
      <c r="B464" s="80"/>
      <c r="C464" s="3"/>
      <c r="D464" s="4"/>
      <c r="E464" s="4"/>
      <c r="F464" s="4"/>
      <c r="G464" s="4"/>
      <c r="H464" s="4"/>
      <c r="I464" s="4"/>
      <c r="J464" s="5"/>
      <c r="L464" s="6"/>
      <c r="M464" s="6"/>
      <c r="O464" s="7"/>
      <c r="Q464" s="8"/>
      <c r="Y464" s="136"/>
      <c r="AE464" s="330"/>
    </row>
    <row r="465" spans="2:31" ht="12.75" customHeight="1">
      <c r="B465" s="80"/>
      <c r="C465" s="3"/>
      <c r="D465" s="4"/>
      <c r="E465" s="4"/>
      <c r="F465" s="4"/>
      <c r="G465" s="4"/>
      <c r="H465" s="4"/>
      <c r="I465" s="4"/>
      <c r="J465" s="5"/>
      <c r="L465" s="6"/>
      <c r="M465" s="6"/>
      <c r="O465" s="7"/>
      <c r="Q465" s="8"/>
      <c r="Y465" s="136"/>
      <c r="AE465" s="330"/>
    </row>
    <row r="466" spans="2:31" ht="12.75" customHeight="1">
      <c r="B466" s="80"/>
      <c r="C466" s="3"/>
      <c r="D466" s="4"/>
      <c r="E466" s="4"/>
      <c r="F466" s="4"/>
      <c r="G466" s="4"/>
      <c r="H466" s="4"/>
      <c r="I466" s="4"/>
      <c r="J466" s="5"/>
      <c r="L466" s="6"/>
      <c r="M466" s="6"/>
      <c r="O466" s="7"/>
      <c r="Q466" s="8"/>
      <c r="Y466" s="136"/>
      <c r="AE466" s="330"/>
    </row>
    <row r="467" spans="2:31" ht="12.75" customHeight="1">
      <c r="B467" s="80"/>
      <c r="C467" s="3"/>
      <c r="D467" s="4"/>
      <c r="E467" s="4"/>
      <c r="F467" s="4"/>
      <c r="G467" s="4"/>
      <c r="H467" s="4"/>
      <c r="I467" s="4"/>
      <c r="J467" s="5"/>
      <c r="L467" s="6"/>
      <c r="M467" s="6"/>
      <c r="O467" s="7"/>
      <c r="Q467" s="8"/>
      <c r="Y467" s="136"/>
      <c r="AE467" s="330"/>
    </row>
    <row r="468" spans="2:31" ht="12.75" customHeight="1">
      <c r="B468" s="80"/>
      <c r="C468" s="3"/>
      <c r="D468" s="4"/>
      <c r="E468" s="4"/>
      <c r="F468" s="4"/>
      <c r="G468" s="4"/>
      <c r="H468" s="4"/>
      <c r="I468" s="4"/>
      <c r="J468" s="5"/>
      <c r="L468" s="6"/>
      <c r="M468" s="6"/>
      <c r="O468" s="7"/>
      <c r="Q468" s="8"/>
      <c r="Y468" s="136"/>
      <c r="AE468" s="330"/>
    </row>
    <row r="469" spans="2:31" ht="12.75" customHeight="1">
      <c r="B469" s="80"/>
      <c r="C469" s="3"/>
      <c r="D469" s="4"/>
      <c r="E469" s="4"/>
      <c r="F469" s="4"/>
      <c r="G469" s="4"/>
      <c r="H469" s="4"/>
      <c r="I469" s="4"/>
      <c r="J469" s="5"/>
      <c r="L469" s="6"/>
      <c r="M469" s="6"/>
      <c r="O469" s="7"/>
      <c r="Q469" s="8"/>
      <c r="Y469" s="136"/>
      <c r="AE469" s="330"/>
    </row>
    <row r="470" spans="2:31" ht="12.75" customHeight="1">
      <c r="B470" s="80"/>
      <c r="C470" s="3"/>
      <c r="D470" s="4"/>
      <c r="E470" s="4"/>
      <c r="F470" s="4"/>
      <c r="G470" s="4"/>
      <c r="H470" s="4"/>
      <c r="I470" s="4"/>
      <c r="J470" s="5"/>
      <c r="L470" s="6"/>
      <c r="M470" s="6"/>
      <c r="O470" s="7"/>
      <c r="Q470" s="8"/>
      <c r="Y470" s="136"/>
      <c r="AE470" s="330"/>
    </row>
    <row r="471" spans="2:31" ht="12.75" customHeight="1">
      <c r="B471" s="80"/>
      <c r="C471" s="3"/>
      <c r="D471" s="4"/>
      <c r="E471" s="4"/>
      <c r="F471" s="4"/>
      <c r="G471" s="4"/>
      <c r="H471" s="4"/>
      <c r="I471" s="4"/>
      <c r="J471" s="5"/>
      <c r="L471" s="6"/>
      <c r="M471" s="6"/>
      <c r="O471" s="7"/>
      <c r="Q471" s="8"/>
      <c r="Y471" s="136"/>
      <c r="AE471" s="330"/>
    </row>
    <row r="472" spans="2:31" ht="12.75" customHeight="1">
      <c r="B472" s="80"/>
      <c r="C472" s="3"/>
      <c r="D472" s="4"/>
      <c r="E472" s="4"/>
      <c r="F472" s="4"/>
      <c r="G472" s="4"/>
      <c r="H472" s="4"/>
      <c r="I472" s="4"/>
      <c r="J472" s="5"/>
      <c r="L472" s="6"/>
      <c r="M472" s="6"/>
      <c r="O472" s="7"/>
      <c r="Q472" s="8"/>
      <c r="Y472" s="136"/>
      <c r="AE472" s="330"/>
    </row>
    <row r="473" spans="2:31" ht="12.75" customHeight="1">
      <c r="B473" s="80"/>
      <c r="C473" s="3"/>
      <c r="D473" s="4"/>
      <c r="E473" s="4"/>
      <c r="F473" s="4"/>
      <c r="G473" s="4"/>
      <c r="H473" s="4"/>
      <c r="I473" s="4"/>
      <c r="J473" s="5"/>
      <c r="L473" s="6"/>
      <c r="M473" s="6"/>
      <c r="O473" s="7"/>
      <c r="Q473" s="8"/>
      <c r="Y473" s="136"/>
      <c r="AE473" s="330"/>
    </row>
    <row r="474" spans="2:31" ht="12.75" customHeight="1">
      <c r="B474" s="80"/>
      <c r="C474" s="3"/>
      <c r="D474" s="4"/>
      <c r="E474" s="4"/>
      <c r="F474" s="4"/>
      <c r="G474" s="4"/>
      <c r="H474" s="4"/>
      <c r="I474" s="4"/>
      <c r="J474" s="5"/>
      <c r="L474" s="6"/>
      <c r="M474" s="6"/>
      <c r="O474" s="7"/>
      <c r="Q474" s="8"/>
      <c r="Y474" s="136"/>
      <c r="AE474" s="330"/>
    </row>
    <row r="475" spans="2:31" ht="12.75" customHeight="1">
      <c r="B475" s="80"/>
      <c r="C475" s="3"/>
      <c r="D475" s="4"/>
      <c r="E475" s="4"/>
      <c r="F475" s="4"/>
      <c r="G475" s="4"/>
      <c r="H475" s="4"/>
      <c r="I475" s="4"/>
      <c r="J475" s="5"/>
      <c r="L475" s="6"/>
      <c r="M475" s="6"/>
      <c r="O475" s="7"/>
      <c r="Q475" s="8"/>
      <c r="Y475" s="136"/>
      <c r="AE475" s="330"/>
    </row>
    <row r="476" spans="2:31" ht="12.75" customHeight="1">
      <c r="B476" s="80"/>
      <c r="C476" s="3"/>
      <c r="D476" s="4"/>
      <c r="E476" s="4"/>
      <c r="F476" s="4"/>
      <c r="G476" s="4"/>
      <c r="H476" s="4"/>
      <c r="I476" s="4"/>
      <c r="J476" s="5"/>
      <c r="L476" s="6"/>
      <c r="M476" s="6"/>
      <c r="O476" s="7"/>
      <c r="Q476" s="8"/>
      <c r="Y476" s="136"/>
      <c r="AE476" s="330"/>
    </row>
    <row r="477" spans="2:31" ht="12.75" customHeight="1">
      <c r="B477" s="80"/>
      <c r="C477" s="3"/>
      <c r="D477" s="4"/>
      <c r="E477" s="4"/>
      <c r="F477" s="4"/>
      <c r="G477" s="4"/>
      <c r="H477" s="4"/>
      <c r="I477" s="4"/>
      <c r="J477" s="5"/>
      <c r="L477" s="6"/>
      <c r="M477" s="6"/>
      <c r="O477" s="7"/>
      <c r="Q477" s="8"/>
      <c r="Y477" s="136"/>
      <c r="AE477" s="330"/>
    </row>
    <row r="478" spans="2:31" ht="12.75" customHeight="1">
      <c r="B478" s="80"/>
      <c r="C478" s="3"/>
      <c r="D478" s="4"/>
      <c r="E478" s="4"/>
      <c r="F478" s="4"/>
      <c r="G478" s="4"/>
      <c r="H478" s="4"/>
      <c r="I478" s="4"/>
      <c r="J478" s="5"/>
      <c r="L478" s="6"/>
      <c r="M478" s="6"/>
      <c r="O478" s="7"/>
      <c r="Q478" s="8"/>
      <c r="Y478" s="136"/>
      <c r="AE478" s="330"/>
    </row>
    <row r="479" spans="2:31" ht="12.75" customHeight="1">
      <c r="B479" s="80"/>
      <c r="C479" s="3"/>
      <c r="D479" s="4"/>
      <c r="E479" s="4"/>
      <c r="F479" s="4"/>
      <c r="G479" s="4"/>
      <c r="H479" s="4"/>
      <c r="I479" s="4"/>
      <c r="J479" s="5"/>
      <c r="L479" s="6"/>
      <c r="M479" s="6"/>
      <c r="O479" s="7"/>
      <c r="Q479" s="8"/>
      <c r="Y479" s="136"/>
      <c r="AE479" s="330"/>
    </row>
    <row r="480" spans="2:31" ht="12.75" customHeight="1">
      <c r="B480" s="80"/>
      <c r="C480" s="3"/>
      <c r="D480" s="4"/>
      <c r="E480" s="4"/>
      <c r="F480" s="4"/>
      <c r="G480" s="4"/>
      <c r="H480" s="4"/>
      <c r="I480" s="4"/>
      <c r="J480" s="5"/>
      <c r="L480" s="6"/>
      <c r="M480" s="6"/>
      <c r="O480" s="7"/>
      <c r="Q480" s="8"/>
      <c r="Y480" s="136"/>
      <c r="AE480" s="330"/>
    </row>
    <row r="481" spans="2:31" ht="12.75" customHeight="1">
      <c r="B481" s="80"/>
      <c r="C481" s="3"/>
      <c r="D481" s="4"/>
      <c r="E481" s="4"/>
      <c r="F481" s="4"/>
      <c r="G481" s="4"/>
      <c r="H481" s="4"/>
      <c r="I481" s="4"/>
      <c r="J481" s="5"/>
      <c r="L481" s="6"/>
      <c r="M481" s="6"/>
      <c r="O481" s="7"/>
      <c r="Q481" s="8"/>
      <c r="Y481" s="136"/>
      <c r="AE481" s="330"/>
    </row>
    <row r="482" spans="2:31" ht="12.75" customHeight="1">
      <c r="B482" s="80"/>
      <c r="C482" s="3"/>
      <c r="D482" s="4"/>
      <c r="E482" s="4"/>
      <c r="F482" s="4"/>
      <c r="G482" s="4"/>
      <c r="H482" s="4"/>
      <c r="I482" s="4"/>
      <c r="J482" s="5"/>
      <c r="L482" s="6"/>
      <c r="M482" s="6"/>
      <c r="O482" s="7"/>
      <c r="Q482" s="8"/>
      <c r="Y482" s="136"/>
      <c r="AE482" s="330"/>
    </row>
    <row r="483" spans="2:31" ht="12.75" customHeight="1">
      <c r="B483" s="80"/>
      <c r="C483" s="3"/>
      <c r="D483" s="4"/>
      <c r="E483" s="4"/>
      <c r="F483" s="4"/>
      <c r="G483" s="4"/>
      <c r="H483" s="4"/>
      <c r="I483" s="4"/>
      <c r="J483" s="5"/>
      <c r="L483" s="6"/>
      <c r="M483" s="6"/>
      <c r="O483" s="7"/>
      <c r="Q483" s="8"/>
      <c r="Y483" s="136"/>
      <c r="AE483" s="330"/>
    </row>
    <row r="484" spans="2:31" ht="12.75" customHeight="1">
      <c r="B484" s="80"/>
      <c r="C484" s="3"/>
      <c r="D484" s="4"/>
      <c r="E484" s="4"/>
      <c r="F484" s="4"/>
      <c r="G484" s="4"/>
      <c r="H484" s="4"/>
      <c r="I484" s="4"/>
      <c r="J484" s="5"/>
      <c r="L484" s="6"/>
      <c r="M484" s="6"/>
      <c r="O484" s="7"/>
      <c r="Q484" s="8"/>
      <c r="Y484" s="136"/>
      <c r="AE484" s="330"/>
    </row>
    <row r="485" spans="2:31" ht="12.75" customHeight="1">
      <c r="B485" s="80"/>
      <c r="C485" s="3"/>
      <c r="D485" s="4"/>
      <c r="E485" s="4"/>
      <c r="F485" s="4"/>
      <c r="G485" s="4"/>
      <c r="H485" s="4"/>
      <c r="I485" s="4"/>
      <c r="J485" s="5"/>
      <c r="L485" s="6"/>
      <c r="M485" s="6"/>
      <c r="O485" s="7"/>
      <c r="Q485" s="8"/>
      <c r="Y485" s="136"/>
      <c r="AE485" s="330"/>
    </row>
    <row r="486" spans="2:31" ht="12.75" customHeight="1">
      <c r="B486" s="80"/>
      <c r="C486" s="3"/>
      <c r="D486" s="4"/>
      <c r="E486" s="4"/>
      <c r="F486" s="4"/>
      <c r="G486" s="4"/>
      <c r="H486" s="4"/>
      <c r="I486" s="4"/>
      <c r="J486" s="5"/>
      <c r="L486" s="6"/>
      <c r="M486" s="6"/>
      <c r="O486" s="7"/>
      <c r="Q486" s="8"/>
      <c r="Y486" s="136"/>
      <c r="AE486" s="330"/>
    </row>
    <row r="487" spans="2:31" ht="12.75" customHeight="1">
      <c r="B487" s="80"/>
      <c r="C487" s="3"/>
      <c r="D487" s="4"/>
      <c r="E487" s="4"/>
      <c r="F487" s="4"/>
      <c r="G487" s="4"/>
      <c r="H487" s="4"/>
      <c r="I487" s="4"/>
      <c r="J487" s="5"/>
      <c r="L487" s="6"/>
      <c r="M487" s="6"/>
      <c r="O487" s="7"/>
      <c r="Q487" s="8"/>
      <c r="Y487" s="136"/>
      <c r="AE487" s="330"/>
    </row>
    <row r="488" spans="2:31" ht="12.75" customHeight="1">
      <c r="B488" s="80"/>
      <c r="C488" s="3"/>
      <c r="D488" s="4"/>
      <c r="E488" s="4"/>
      <c r="F488" s="4"/>
      <c r="G488" s="4"/>
      <c r="H488" s="4"/>
      <c r="I488" s="4"/>
      <c r="J488" s="5"/>
      <c r="L488" s="6"/>
      <c r="M488" s="6"/>
      <c r="O488" s="7"/>
      <c r="Q488" s="8"/>
      <c r="Y488" s="136"/>
      <c r="AE488" s="330"/>
    </row>
    <row r="489" spans="2:31" ht="12.75" customHeight="1">
      <c r="B489" s="80"/>
      <c r="C489" s="3"/>
      <c r="D489" s="4"/>
      <c r="E489" s="4"/>
      <c r="F489" s="4"/>
      <c r="G489" s="4"/>
      <c r="H489" s="4"/>
      <c r="I489" s="4"/>
      <c r="J489" s="5"/>
      <c r="L489" s="6"/>
      <c r="M489" s="6"/>
      <c r="O489" s="7"/>
      <c r="Q489" s="8"/>
      <c r="Y489" s="136"/>
      <c r="AE489" s="330"/>
    </row>
    <row r="490" spans="2:31" ht="12.75" customHeight="1">
      <c r="B490" s="80"/>
      <c r="C490" s="3"/>
      <c r="D490" s="4"/>
      <c r="E490" s="4"/>
      <c r="F490" s="4"/>
      <c r="G490" s="4"/>
      <c r="H490" s="4"/>
      <c r="I490" s="4"/>
      <c r="J490" s="5"/>
      <c r="L490" s="6"/>
      <c r="M490" s="6"/>
      <c r="O490" s="7"/>
      <c r="Q490" s="8"/>
      <c r="Y490" s="136"/>
      <c r="AE490" s="330"/>
    </row>
    <row r="491" spans="2:31" ht="12.75" customHeight="1">
      <c r="B491" s="80"/>
      <c r="C491" s="3"/>
      <c r="D491" s="4"/>
      <c r="E491" s="4"/>
      <c r="F491" s="4"/>
      <c r="G491" s="4"/>
      <c r="H491" s="4"/>
      <c r="I491" s="4"/>
      <c r="J491" s="5"/>
      <c r="L491" s="6"/>
      <c r="M491" s="6"/>
      <c r="O491" s="7"/>
      <c r="Q491" s="8"/>
      <c r="Y491" s="136"/>
      <c r="AE491" s="330"/>
    </row>
    <row r="492" spans="2:31" ht="12.75" customHeight="1">
      <c r="B492" s="80"/>
      <c r="C492" s="3"/>
      <c r="D492" s="4"/>
      <c r="E492" s="4"/>
      <c r="F492" s="4"/>
      <c r="G492" s="4"/>
      <c r="H492" s="4"/>
      <c r="I492" s="4"/>
      <c r="J492" s="5"/>
      <c r="L492" s="6"/>
      <c r="M492" s="6"/>
      <c r="O492" s="7"/>
      <c r="Q492" s="8"/>
      <c r="Y492" s="136"/>
      <c r="AE492" s="330"/>
    </row>
    <row r="493" spans="2:31" ht="12.75" customHeight="1">
      <c r="B493" s="80"/>
      <c r="C493" s="3"/>
      <c r="D493" s="4"/>
      <c r="E493" s="4"/>
      <c r="F493" s="4"/>
      <c r="G493" s="4"/>
      <c r="H493" s="4"/>
      <c r="I493" s="4"/>
      <c r="J493" s="5"/>
      <c r="L493" s="6"/>
      <c r="M493" s="6"/>
      <c r="O493" s="7"/>
      <c r="Q493" s="8"/>
      <c r="Y493" s="136"/>
      <c r="AE493" s="330"/>
    </row>
    <row r="494" spans="2:31" ht="12.75" customHeight="1">
      <c r="B494" s="80"/>
      <c r="C494" s="3"/>
      <c r="D494" s="4"/>
      <c r="E494" s="4"/>
      <c r="F494" s="4"/>
      <c r="G494" s="4"/>
      <c r="H494" s="4"/>
      <c r="I494" s="4"/>
      <c r="J494" s="5"/>
      <c r="L494" s="6"/>
      <c r="M494" s="6"/>
      <c r="O494" s="7"/>
      <c r="Q494" s="8"/>
      <c r="Y494" s="136"/>
      <c r="AE494" s="330"/>
    </row>
    <row r="495" spans="2:31" ht="12.75" customHeight="1">
      <c r="B495" s="80"/>
      <c r="C495" s="3"/>
      <c r="D495" s="4"/>
      <c r="E495" s="4"/>
      <c r="F495" s="4"/>
      <c r="G495" s="4"/>
      <c r="H495" s="4"/>
      <c r="I495" s="4"/>
      <c r="J495" s="5"/>
      <c r="L495" s="6"/>
      <c r="M495" s="6"/>
      <c r="O495" s="7"/>
      <c r="Q495" s="8"/>
      <c r="Y495" s="136"/>
      <c r="AE495" s="330"/>
    </row>
    <row r="496" spans="2:31" ht="12.75" customHeight="1">
      <c r="B496" s="80"/>
      <c r="C496" s="3"/>
      <c r="D496" s="4"/>
      <c r="E496" s="4"/>
      <c r="F496" s="4"/>
      <c r="G496" s="4"/>
      <c r="H496" s="4"/>
      <c r="I496" s="4"/>
      <c r="J496" s="5"/>
      <c r="L496" s="6"/>
      <c r="M496" s="6"/>
      <c r="O496" s="7"/>
      <c r="Q496" s="8"/>
      <c r="Y496" s="136"/>
      <c r="AE496" s="330"/>
    </row>
    <row r="497" spans="2:31" ht="12.75" customHeight="1">
      <c r="B497" s="80"/>
      <c r="C497" s="3"/>
      <c r="D497" s="4"/>
      <c r="E497" s="4"/>
      <c r="F497" s="4"/>
      <c r="G497" s="4"/>
      <c r="H497" s="4"/>
      <c r="I497" s="4"/>
      <c r="J497" s="5"/>
      <c r="L497" s="6"/>
      <c r="M497" s="6"/>
      <c r="O497" s="7"/>
      <c r="Q497" s="8"/>
      <c r="Y497" s="136"/>
      <c r="AE497" s="330"/>
    </row>
    <row r="498" spans="2:31" ht="12.75" customHeight="1">
      <c r="B498" s="80"/>
      <c r="C498" s="3"/>
      <c r="D498" s="4"/>
      <c r="E498" s="4"/>
      <c r="F498" s="4"/>
      <c r="G498" s="4"/>
      <c r="H498" s="4"/>
      <c r="I498" s="4"/>
      <c r="J498" s="5"/>
      <c r="L498" s="6"/>
      <c r="M498" s="6"/>
      <c r="O498" s="7"/>
      <c r="Q498" s="8"/>
      <c r="Y498" s="136"/>
      <c r="AE498" s="330"/>
    </row>
    <row r="499" spans="2:31" ht="12.75" customHeight="1">
      <c r="B499" s="80"/>
      <c r="C499" s="3"/>
      <c r="D499" s="4"/>
      <c r="E499" s="4"/>
      <c r="F499" s="4"/>
      <c r="G499" s="4"/>
      <c r="H499" s="4"/>
      <c r="I499" s="4"/>
      <c r="J499" s="5"/>
      <c r="L499" s="6"/>
      <c r="M499" s="6"/>
      <c r="O499" s="7"/>
      <c r="Q499" s="8"/>
      <c r="Y499" s="136"/>
      <c r="AE499" s="330"/>
    </row>
    <row r="500" spans="2:31" ht="12.75" customHeight="1">
      <c r="B500" s="80"/>
      <c r="C500" s="3"/>
      <c r="D500" s="4"/>
      <c r="E500" s="4"/>
      <c r="F500" s="4"/>
      <c r="G500" s="4"/>
      <c r="H500" s="4"/>
      <c r="I500" s="4"/>
      <c r="J500" s="5"/>
      <c r="L500" s="6"/>
      <c r="M500" s="6"/>
      <c r="O500" s="7"/>
      <c r="Q500" s="8"/>
      <c r="Y500" s="136"/>
      <c r="AE500" s="330"/>
    </row>
    <row r="501" spans="2:31" ht="12.75" customHeight="1">
      <c r="B501" s="80"/>
      <c r="C501" s="3"/>
      <c r="D501" s="4"/>
      <c r="E501" s="4"/>
      <c r="F501" s="4"/>
      <c r="G501" s="4"/>
      <c r="H501" s="4"/>
      <c r="I501" s="4"/>
      <c r="J501" s="5"/>
      <c r="L501" s="6"/>
      <c r="M501" s="6"/>
      <c r="O501" s="7"/>
      <c r="Q501" s="8"/>
      <c r="Y501" s="136"/>
      <c r="AE501" s="330"/>
    </row>
    <row r="502" spans="2:31" ht="12.75" customHeight="1">
      <c r="B502" s="80"/>
      <c r="C502" s="3"/>
      <c r="D502" s="4"/>
      <c r="E502" s="4"/>
      <c r="F502" s="4"/>
      <c r="G502" s="4"/>
      <c r="H502" s="4"/>
      <c r="I502" s="4"/>
      <c r="J502" s="5"/>
      <c r="L502" s="6"/>
      <c r="M502" s="6"/>
      <c r="O502" s="7"/>
      <c r="Q502" s="8"/>
      <c r="Y502" s="136"/>
      <c r="AE502" s="330"/>
    </row>
    <row r="503" spans="2:31" ht="12.75" customHeight="1">
      <c r="B503" s="80"/>
      <c r="C503" s="3"/>
      <c r="D503" s="4"/>
      <c r="E503" s="4"/>
      <c r="F503" s="4"/>
      <c r="G503" s="4"/>
      <c r="H503" s="4"/>
      <c r="I503" s="4"/>
      <c r="J503" s="5"/>
      <c r="L503" s="6"/>
      <c r="M503" s="6"/>
      <c r="O503" s="7"/>
      <c r="Q503" s="8"/>
      <c r="Y503" s="136"/>
      <c r="AE503" s="330"/>
    </row>
    <row r="504" spans="2:31" ht="12.75" customHeight="1">
      <c r="B504" s="80"/>
      <c r="C504" s="3"/>
      <c r="D504" s="4"/>
      <c r="E504" s="4"/>
      <c r="F504" s="4"/>
      <c r="G504" s="4"/>
      <c r="H504" s="4"/>
      <c r="I504" s="4"/>
      <c r="J504" s="5"/>
      <c r="L504" s="6"/>
      <c r="M504" s="6"/>
      <c r="O504" s="7"/>
      <c r="Q504" s="8"/>
      <c r="Y504" s="136"/>
      <c r="AE504" s="330"/>
    </row>
    <row r="505" spans="2:31" ht="12.75" customHeight="1">
      <c r="B505" s="80"/>
      <c r="C505" s="3"/>
      <c r="D505" s="4"/>
      <c r="E505" s="4"/>
      <c r="F505" s="4"/>
      <c r="G505" s="4"/>
      <c r="H505" s="4"/>
      <c r="I505" s="4"/>
      <c r="J505" s="5"/>
      <c r="L505" s="6"/>
      <c r="M505" s="6"/>
      <c r="O505" s="7"/>
      <c r="Q505" s="8"/>
      <c r="Y505" s="136"/>
      <c r="AE505" s="330"/>
    </row>
    <row r="506" spans="2:31" ht="12.75" customHeight="1">
      <c r="B506" s="80"/>
      <c r="C506" s="3"/>
      <c r="D506" s="4"/>
      <c r="E506" s="4"/>
      <c r="F506" s="4"/>
      <c r="G506" s="4"/>
      <c r="H506" s="4"/>
      <c r="I506" s="4"/>
      <c r="J506" s="5"/>
      <c r="L506" s="6"/>
      <c r="M506" s="6"/>
      <c r="O506" s="7"/>
      <c r="Q506" s="8"/>
      <c r="Y506" s="136"/>
      <c r="AE506" s="330"/>
    </row>
    <row r="507" spans="2:31" ht="12.75" customHeight="1">
      <c r="B507" s="80"/>
      <c r="C507" s="3"/>
      <c r="D507" s="4"/>
      <c r="E507" s="4"/>
      <c r="F507" s="4"/>
      <c r="G507" s="4"/>
      <c r="H507" s="4"/>
      <c r="I507" s="4"/>
      <c r="J507" s="5"/>
      <c r="L507" s="6"/>
      <c r="M507" s="6"/>
      <c r="O507" s="7"/>
      <c r="Q507" s="8"/>
      <c r="Y507" s="136"/>
      <c r="AE507" s="330"/>
    </row>
    <row r="508" spans="2:31" ht="12.75" customHeight="1">
      <c r="B508" s="80"/>
      <c r="C508" s="3"/>
      <c r="D508" s="4"/>
      <c r="E508" s="4"/>
      <c r="F508" s="4"/>
      <c r="G508" s="4"/>
      <c r="H508" s="4"/>
      <c r="I508" s="4"/>
      <c r="J508" s="5"/>
      <c r="L508" s="6"/>
      <c r="M508" s="6"/>
      <c r="O508" s="7"/>
      <c r="Q508" s="8"/>
      <c r="Y508" s="136"/>
      <c r="AE508" s="330"/>
    </row>
    <row r="509" spans="2:31" ht="12.75" customHeight="1">
      <c r="B509" s="80"/>
      <c r="C509" s="3"/>
      <c r="D509" s="4"/>
      <c r="E509" s="4"/>
      <c r="F509" s="4"/>
      <c r="G509" s="4"/>
      <c r="H509" s="4"/>
      <c r="I509" s="4"/>
      <c r="J509" s="5"/>
      <c r="L509" s="6"/>
      <c r="M509" s="6"/>
      <c r="O509" s="7"/>
      <c r="Q509" s="8"/>
      <c r="Y509" s="136"/>
      <c r="AE509" s="330"/>
    </row>
    <row r="510" spans="2:31" ht="12.75" customHeight="1">
      <c r="B510" s="80"/>
      <c r="C510" s="3"/>
      <c r="D510" s="4"/>
      <c r="E510" s="4"/>
      <c r="F510" s="4"/>
      <c r="G510" s="4"/>
      <c r="H510" s="4"/>
      <c r="I510" s="4"/>
      <c r="J510" s="5"/>
      <c r="L510" s="6"/>
      <c r="M510" s="6"/>
      <c r="O510" s="7"/>
      <c r="Q510" s="8"/>
      <c r="Y510" s="136"/>
      <c r="AE510" s="330"/>
    </row>
    <row r="511" spans="2:31" ht="12.75" customHeight="1">
      <c r="B511" s="80"/>
      <c r="C511" s="3"/>
      <c r="D511" s="4"/>
      <c r="E511" s="4"/>
      <c r="F511" s="4"/>
      <c r="G511" s="4"/>
      <c r="H511" s="4"/>
      <c r="I511" s="4"/>
      <c r="J511" s="5"/>
      <c r="L511" s="6"/>
      <c r="M511" s="6"/>
      <c r="O511" s="7"/>
      <c r="Q511" s="8"/>
      <c r="Y511" s="136"/>
      <c r="AE511" s="330"/>
    </row>
    <row r="512" spans="2:31" ht="12.75" customHeight="1">
      <c r="B512" s="80"/>
      <c r="C512" s="3"/>
      <c r="D512" s="4"/>
      <c r="E512" s="4"/>
      <c r="F512" s="4"/>
      <c r="G512" s="4"/>
      <c r="H512" s="4"/>
      <c r="I512" s="4"/>
      <c r="J512" s="5"/>
      <c r="L512" s="6"/>
      <c r="M512" s="6"/>
      <c r="O512" s="7"/>
      <c r="Q512" s="8"/>
      <c r="Y512" s="136"/>
      <c r="AE512" s="330"/>
    </row>
    <row r="513" spans="2:31" ht="12.75" customHeight="1">
      <c r="B513" s="80"/>
      <c r="C513" s="3"/>
      <c r="D513" s="4"/>
      <c r="E513" s="4"/>
      <c r="F513" s="4"/>
      <c r="G513" s="4"/>
      <c r="H513" s="4"/>
      <c r="I513" s="4"/>
      <c r="J513" s="5"/>
      <c r="L513" s="6"/>
      <c r="M513" s="6"/>
      <c r="O513" s="7"/>
      <c r="Q513" s="8"/>
      <c r="Y513" s="136"/>
      <c r="AE513" s="330"/>
    </row>
    <row r="514" spans="2:31" ht="12.75" customHeight="1">
      <c r="B514" s="80"/>
      <c r="C514" s="3"/>
      <c r="D514" s="4"/>
      <c r="E514" s="4"/>
      <c r="F514" s="4"/>
      <c r="G514" s="4"/>
      <c r="H514" s="4"/>
      <c r="I514" s="4"/>
      <c r="J514" s="5"/>
      <c r="L514" s="6"/>
      <c r="M514" s="6"/>
      <c r="O514" s="7"/>
      <c r="Q514" s="8"/>
      <c r="Y514" s="136"/>
      <c r="AE514" s="330"/>
    </row>
    <row r="515" spans="2:31" ht="12.75" customHeight="1">
      <c r="B515" s="80"/>
      <c r="C515" s="3"/>
      <c r="D515" s="4"/>
      <c r="E515" s="4"/>
      <c r="F515" s="4"/>
      <c r="G515" s="4"/>
      <c r="H515" s="4"/>
      <c r="I515" s="4"/>
      <c r="J515" s="5"/>
      <c r="L515" s="6"/>
      <c r="M515" s="6"/>
      <c r="O515" s="7"/>
      <c r="Q515" s="8"/>
      <c r="Y515" s="136"/>
      <c r="AE515" s="330"/>
    </row>
    <row r="516" spans="2:31" ht="12.75" customHeight="1">
      <c r="B516" s="80"/>
      <c r="C516" s="3"/>
      <c r="D516" s="4"/>
      <c r="E516" s="4"/>
      <c r="F516" s="4"/>
      <c r="G516" s="4"/>
      <c r="H516" s="4"/>
      <c r="I516" s="4"/>
      <c r="J516" s="5"/>
      <c r="L516" s="6"/>
      <c r="M516" s="6"/>
      <c r="O516" s="7"/>
      <c r="Q516" s="8"/>
      <c r="Y516" s="136"/>
      <c r="AE516" s="330"/>
    </row>
    <row r="517" spans="2:31" ht="12.75" customHeight="1">
      <c r="B517" s="80"/>
      <c r="C517" s="3"/>
      <c r="D517" s="4"/>
      <c r="E517" s="4"/>
      <c r="F517" s="4"/>
      <c r="G517" s="4"/>
      <c r="H517" s="4"/>
      <c r="I517" s="4"/>
      <c r="J517" s="5"/>
      <c r="L517" s="6"/>
      <c r="M517" s="6"/>
      <c r="O517" s="7"/>
      <c r="Q517" s="8"/>
      <c r="Y517" s="136"/>
      <c r="AE517" s="330"/>
    </row>
    <row r="518" spans="2:31" ht="12.75" customHeight="1">
      <c r="B518" s="80"/>
      <c r="C518" s="3"/>
      <c r="D518" s="4"/>
      <c r="E518" s="4"/>
      <c r="F518" s="4"/>
      <c r="G518" s="4"/>
      <c r="H518" s="4"/>
      <c r="I518" s="4"/>
      <c r="J518" s="5"/>
      <c r="L518" s="6"/>
      <c r="M518" s="6"/>
      <c r="O518" s="7"/>
      <c r="Q518" s="8"/>
      <c r="Y518" s="136"/>
      <c r="AE518" s="330"/>
    </row>
    <row r="519" spans="2:31" ht="12.75" customHeight="1">
      <c r="B519" s="80"/>
      <c r="C519" s="3"/>
      <c r="D519" s="4"/>
      <c r="E519" s="4"/>
      <c r="F519" s="4"/>
      <c r="G519" s="4"/>
      <c r="H519" s="4"/>
      <c r="I519" s="4"/>
      <c r="J519" s="5"/>
      <c r="L519" s="6"/>
      <c r="M519" s="6"/>
      <c r="O519" s="7"/>
      <c r="Q519" s="8"/>
      <c r="Y519" s="136"/>
      <c r="AE519" s="330"/>
    </row>
    <row r="520" spans="2:31" ht="12.75" customHeight="1">
      <c r="B520" s="80"/>
      <c r="C520" s="3"/>
      <c r="D520" s="4"/>
      <c r="E520" s="4"/>
      <c r="F520" s="4"/>
      <c r="G520" s="4"/>
      <c r="H520" s="4"/>
      <c r="I520" s="4"/>
      <c r="J520" s="5"/>
      <c r="L520" s="6"/>
      <c r="M520" s="6"/>
      <c r="O520" s="7"/>
      <c r="Q520" s="8"/>
      <c r="Y520" s="136"/>
      <c r="AE520" s="330"/>
    </row>
    <row r="521" spans="2:31" ht="12.75" customHeight="1">
      <c r="B521" s="80"/>
      <c r="C521" s="3"/>
      <c r="D521" s="4"/>
      <c r="E521" s="4"/>
      <c r="F521" s="4"/>
      <c r="G521" s="4"/>
      <c r="H521" s="4"/>
      <c r="I521" s="4"/>
      <c r="J521" s="5"/>
      <c r="L521" s="6"/>
      <c r="M521" s="6"/>
      <c r="O521" s="7"/>
      <c r="Q521" s="8"/>
      <c r="Y521" s="136"/>
      <c r="AE521" s="330"/>
    </row>
    <row r="522" spans="2:31" ht="12.75" customHeight="1">
      <c r="B522" s="80"/>
      <c r="C522" s="3"/>
      <c r="D522" s="4"/>
      <c r="E522" s="4"/>
      <c r="F522" s="4"/>
      <c r="G522" s="4"/>
      <c r="H522" s="4"/>
      <c r="I522" s="4"/>
      <c r="J522" s="5"/>
      <c r="L522" s="6"/>
      <c r="M522" s="6"/>
      <c r="O522" s="7"/>
      <c r="Q522" s="8"/>
      <c r="Y522" s="136"/>
      <c r="AE522" s="330"/>
    </row>
    <row r="523" spans="2:31" ht="12.75" customHeight="1">
      <c r="B523" s="80"/>
      <c r="C523" s="3"/>
      <c r="D523" s="4"/>
      <c r="E523" s="4"/>
      <c r="F523" s="4"/>
      <c r="G523" s="4"/>
      <c r="H523" s="4"/>
      <c r="I523" s="4"/>
      <c r="J523" s="5"/>
      <c r="L523" s="6"/>
      <c r="M523" s="6"/>
      <c r="O523" s="7"/>
      <c r="Q523" s="8"/>
      <c r="Y523" s="136"/>
      <c r="AE523" s="330"/>
    </row>
    <row r="524" spans="2:31" ht="12.75" customHeight="1">
      <c r="B524" s="80"/>
      <c r="C524" s="3"/>
      <c r="D524" s="4"/>
      <c r="E524" s="4"/>
      <c r="F524" s="4"/>
      <c r="G524" s="4"/>
      <c r="H524" s="4"/>
      <c r="I524" s="4"/>
      <c r="J524" s="5"/>
      <c r="L524" s="6"/>
      <c r="M524" s="6"/>
      <c r="O524" s="7"/>
      <c r="Q524" s="8"/>
      <c r="Y524" s="136"/>
      <c r="AE524" s="330"/>
    </row>
    <row r="525" spans="2:31" ht="12.75" customHeight="1">
      <c r="B525" s="80"/>
      <c r="C525" s="3"/>
      <c r="D525" s="4"/>
      <c r="E525" s="4"/>
      <c r="F525" s="4"/>
      <c r="G525" s="4"/>
      <c r="H525" s="4"/>
      <c r="I525" s="4"/>
      <c r="J525" s="5"/>
      <c r="L525" s="6"/>
      <c r="M525" s="6"/>
      <c r="O525" s="7"/>
      <c r="Q525" s="8"/>
      <c r="Y525" s="136"/>
      <c r="AE525" s="330"/>
    </row>
    <row r="526" spans="2:31" ht="12.75" customHeight="1">
      <c r="B526" s="80"/>
      <c r="C526" s="3"/>
      <c r="D526" s="4"/>
      <c r="E526" s="4"/>
      <c r="F526" s="4"/>
      <c r="G526" s="4"/>
      <c r="H526" s="4"/>
      <c r="I526" s="4"/>
      <c r="J526" s="5"/>
      <c r="L526" s="6"/>
      <c r="M526" s="6"/>
      <c r="O526" s="7"/>
      <c r="Q526" s="8"/>
      <c r="Y526" s="136"/>
      <c r="AE526" s="330"/>
    </row>
    <row r="527" spans="2:31" ht="12.75" customHeight="1">
      <c r="B527" s="80"/>
      <c r="C527" s="3"/>
      <c r="D527" s="4"/>
      <c r="E527" s="4"/>
      <c r="F527" s="4"/>
      <c r="G527" s="4"/>
      <c r="H527" s="4"/>
      <c r="I527" s="4"/>
      <c r="J527" s="5"/>
      <c r="L527" s="6"/>
      <c r="M527" s="6"/>
      <c r="O527" s="7"/>
      <c r="Q527" s="8"/>
      <c r="Y527" s="136"/>
      <c r="AE527" s="330"/>
    </row>
    <row r="528" spans="2:31" ht="12.75" customHeight="1">
      <c r="B528" s="80"/>
      <c r="C528" s="3"/>
      <c r="D528" s="4"/>
      <c r="E528" s="4"/>
      <c r="F528" s="4"/>
      <c r="G528" s="4"/>
      <c r="H528" s="4"/>
      <c r="I528" s="4"/>
      <c r="J528" s="5"/>
      <c r="L528" s="6"/>
      <c r="M528" s="6"/>
      <c r="O528" s="7"/>
      <c r="Q528" s="8"/>
      <c r="Y528" s="136"/>
      <c r="AE528" s="330"/>
    </row>
    <row r="529" spans="2:31" ht="12.75" customHeight="1">
      <c r="B529" s="80"/>
      <c r="C529" s="3"/>
      <c r="D529" s="4"/>
      <c r="E529" s="4"/>
      <c r="F529" s="4"/>
      <c r="G529" s="4"/>
      <c r="H529" s="4"/>
      <c r="I529" s="4"/>
      <c r="J529" s="5"/>
      <c r="L529" s="6"/>
      <c r="M529" s="6"/>
      <c r="O529" s="7"/>
      <c r="Q529" s="8"/>
      <c r="Y529" s="136"/>
      <c r="AE529" s="330"/>
    </row>
    <row r="530" spans="2:31" ht="12.75" customHeight="1">
      <c r="B530" s="80"/>
      <c r="C530" s="3"/>
      <c r="D530" s="4"/>
      <c r="E530" s="4"/>
      <c r="F530" s="4"/>
      <c r="G530" s="4"/>
      <c r="H530" s="4"/>
      <c r="I530" s="4"/>
      <c r="J530" s="5"/>
      <c r="L530" s="6"/>
      <c r="M530" s="6"/>
      <c r="O530" s="7"/>
      <c r="Q530" s="8"/>
      <c r="Y530" s="136"/>
      <c r="AE530" s="330"/>
    </row>
    <row r="531" spans="2:31" ht="12.75" customHeight="1">
      <c r="B531" s="80"/>
      <c r="C531" s="3"/>
      <c r="D531" s="4"/>
      <c r="E531" s="4"/>
      <c r="F531" s="4"/>
      <c r="G531" s="4"/>
      <c r="H531" s="4"/>
      <c r="I531" s="4"/>
      <c r="J531" s="5"/>
      <c r="L531" s="6"/>
      <c r="M531" s="6"/>
      <c r="O531" s="7"/>
      <c r="Q531" s="8"/>
      <c r="Y531" s="136"/>
      <c r="AE531" s="330"/>
    </row>
    <row r="532" spans="2:31" ht="12.75" customHeight="1">
      <c r="B532" s="80"/>
      <c r="C532" s="3"/>
      <c r="D532" s="4"/>
      <c r="E532" s="4"/>
      <c r="F532" s="4"/>
      <c r="G532" s="4"/>
      <c r="H532" s="4"/>
      <c r="I532" s="4"/>
      <c r="J532" s="5"/>
      <c r="L532" s="6"/>
      <c r="M532" s="6"/>
      <c r="O532" s="7"/>
      <c r="Q532" s="8"/>
      <c r="Y532" s="136"/>
      <c r="AE532" s="330"/>
    </row>
    <row r="533" spans="2:31" ht="12.75" customHeight="1">
      <c r="B533" s="80"/>
      <c r="C533" s="3"/>
      <c r="D533" s="4"/>
      <c r="E533" s="4"/>
      <c r="F533" s="4"/>
      <c r="G533" s="4"/>
      <c r="H533" s="4"/>
      <c r="I533" s="4"/>
      <c r="J533" s="5"/>
      <c r="L533" s="6"/>
      <c r="M533" s="6"/>
      <c r="O533" s="7"/>
      <c r="Q533" s="8"/>
      <c r="Y533" s="136"/>
      <c r="AE533" s="330"/>
    </row>
    <row r="534" spans="2:31" ht="12.75" customHeight="1">
      <c r="B534" s="80"/>
      <c r="C534" s="3"/>
      <c r="D534" s="4"/>
      <c r="E534" s="4"/>
      <c r="F534" s="4"/>
      <c r="G534" s="4"/>
      <c r="H534" s="4"/>
      <c r="I534" s="4"/>
      <c r="J534" s="5"/>
      <c r="L534" s="6"/>
      <c r="M534" s="6"/>
      <c r="O534" s="7"/>
      <c r="Q534" s="8"/>
      <c r="Y534" s="136"/>
      <c r="AE534" s="330"/>
    </row>
    <row r="535" spans="2:31" ht="12.75" customHeight="1">
      <c r="B535" s="80"/>
      <c r="C535" s="3"/>
      <c r="D535" s="4"/>
      <c r="E535" s="4"/>
      <c r="F535" s="4"/>
      <c r="G535" s="4"/>
      <c r="H535" s="4"/>
      <c r="I535" s="4"/>
      <c r="J535" s="5"/>
      <c r="L535" s="6"/>
      <c r="M535" s="6"/>
      <c r="O535" s="7"/>
      <c r="Q535" s="8"/>
      <c r="Y535" s="136"/>
      <c r="AE535" s="330"/>
    </row>
    <row r="536" spans="2:31" ht="12.75" customHeight="1">
      <c r="B536" s="80"/>
      <c r="C536" s="3"/>
      <c r="D536" s="4"/>
      <c r="E536" s="4"/>
      <c r="F536" s="4"/>
      <c r="G536" s="4"/>
      <c r="H536" s="4"/>
      <c r="I536" s="4"/>
      <c r="J536" s="5"/>
      <c r="L536" s="6"/>
      <c r="M536" s="6"/>
      <c r="O536" s="7"/>
      <c r="Q536" s="8"/>
      <c r="Y536" s="136"/>
      <c r="AE536" s="330"/>
    </row>
    <row r="537" spans="2:31" ht="12.75" customHeight="1">
      <c r="B537" s="80"/>
      <c r="C537" s="3"/>
      <c r="D537" s="4"/>
      <c r="E537" s="4"/>
      <c r="F537" s="4"/>
      <c r="G537" s="4"/>
      <c r="H537" s="4"/>
      <c r="I537" s="4"/>
      <c r="J537" s="5"/>
      <c r="L537" s="6"/>
      <c r="M537" s="6"/>
      <c r="O537" s="7"/>
      <c r="Q537" s="8"/>
      <c r="Y537" s="136"/>
      <c r="AE537" s="330"/>
    </row>
    <row r="538" spans="2:31" ht="12.75" customHeight="1">
      <c r="B538" s="80"/>
      <c r="C538" s="3"/>
      <c r="D538" s="4"/>
      <c r="E538" s="4"/>
      <c r="F538" s="4"/>
      <c r="G538" s="4"/>
      <c r="H538" s="4"/>
      <c r="I538" s="4"/>
      <c r="J538" s="5"/>
      <c r="L538" s="6"/>
      <c r="M538" s="6"/>
      <c r="O538" s="7"/>
      <c r="Q538" s="8"/>
      <c r="Y538" s="136"/>
      <c r="AE538" s="330"/>
    </row>
    <row r="539" spans="2:31" ht="12.75" customHeight="1">
      <c r="B539" s="80"/>
      <c r="C539" s="3"/>
      <c r="D539" s="4"/>
      <c r="E539" s="4"/>
      <c r="F539" s="4"/>
      <c r="G539" s="4"/>
      <c r="H539" s="4"/>
      <c r="I539" s="4"/>
      <c r="J539" s="5"/>
      <c r="L539" s="6"/>
      <c r="M539" s="6"/>
      <c r="O539" s="7"/>
      <c r="Q539" s="8"/>
      <c r="Y539" s="136"/>
      <c r="AE539" s="330"/>
    </row>
    <row r="540" spans="2:31" ht="12.75" customHeight="1">
      <c r="B540" s="80"/>
      <c r="C540" s="3"/>
      <c r="D540" s="4"/>
      <c r="E540" s="4"/>
      <c r="F540" s="4"/>
      <c r="G540" s="4"/>
      <c r="H540" s="4"/>
      <c r="I540" s="4"/>
      <c r="J540" s="5"/>
      <c r="L540" s="6"/>
      <c r="M540" s="6"/>
      <c r="O540" s="7"/>
      <c r="Q540" s="8"/>
      <c r="Y540" s="136"/>
      <c r="AE540" s="330"/>
    </row>
    <row r="541" spans="2:31" ht="12.75" customHeight="1">
      <c r="B541" s="80"/>
      <c r="C541" s="3"/>
      <c r="D541" s="4"/>
      <c r="E541" s="4"/>
      <c r="F541" s="4"/>
      <c r="G541" s="4"/>
      <c r="H541" s="4"/>
      <c r="I541" s="4"/>
      <c r="J541" s="5"/>
      <c r="L541" s="6"/>
      <c r="M541" s="6"/>
      <c r="O541" s="7"/>
      <c r="Q541" s="8"/>
      <c r="Y541" s="136"/>
      <c r="AE541" s="330"/>
    </row>
    <row r="542" spans="2:31" ht="12.75" customHeight="1">
      <c r="B542" s="80"/>
      <c r="C542" s="3"/>
      <c r="D542" s="4"/>
      <c r="E542" s="4"/>
      <c r="F542" s="4"/>
      <c r="G542" s="4"/>
      <c r="H542" s="4"/>
      <c r="I542" s="4"/>
      <c r="J542" s="5"/>
      <c r="L542" s="6"/>
      <c r="M542" s="6"/>
      <c r="O542" s="7"/>
      <c r="Q542" s="8"/>
      <c r="Y542" s="136"/>
      <c r="AE542" s="330"/>
    </row>
    <row r="543" spans="2:31" ht="12.75" customHeight="1">
      <c r="B543" s="80"/>
      <c r="C543" s="3"/>
      <c r="D543" s="4"/>
      <c r="E543" s="4"/>
      <c r="F543" s="4"/>
      <c r="G543" s="4"/>
      <c r="H543" s="4"/>
      <c r="I543" s="4"/>
      <c r="J543" s="5"/>
      <c r="L543" s="6"/>
      <c r="M543" s="6"/>
      <c r="O543" s="7"/>
      <c r="Q543" s="8"/>
      <c r="Y543" s="136"/>
      <c r="AE543" s="330"/>
    </row>
    <row r="544" spans="2:31" ht="12.75" customHeight="1">
      <c r="B544" s="80"/>
      <c r="C544" s="3"/>
      <c r="D544" s="4"/>
      <c r="E544" s="4"/>
      <c r="F544" s="4"/>
      <c r="G544" s="4"/>
      <c r="H544" s="4"/>
      <c r="I544" s="4"/>
      <c r="J544" s="5"/>
      <c r="L544" s="6"/>
      <c r="M544" s="6"/>
      <c r="O544" s="7"/>
      <c r="Q544" s="8"/>
      <c r="Y544" s="136"/>
      <c r="AE544" s="330"/>
    </row>
    <row r="545" spans="2:31" ht="12.75" customHeight="1">
      <c r="B545" s="80"/>
      <c r="C545" s="3"/>
      <c r="D545" s="4"/>
      <c r="E545" s="4"/>
      <c r="F545" s="4"/>
      <c r="G545" s="4"/>
      <c r="H545" s="4"/>
      <c r="I545" s="4"/>
      <c r="J545" s="5"/>
      <c r="L545" s="6"/>
      <c r="M545" s="6"/>
      <c r="O545" s="7"/>
      <c r="Q545" s="8"/>
      <c r="Y545" s="136"/>
      <c r="AE545" s="330"/>
    </row>
    <row r="546" spans="2:31" ht="12.75" customHeight="1">
      <c r="B546" s="80"/>
      <c r="C546" s="3"/>
      <c r="D546" s="4"/>
      <c r="E546" s="4"/>
      <c r="F546" s="4"/>
      <c r="G546" s="4"/>
      <c r="H546" s="4"/>
      <c r="I546" s="4"/>
      <c r="J546" s="5"/>
      <c r="L546" s="6"/>
      <c r="M546" s="6"/>
      <c r="O546" s="7"/>
      <c r="Q546" s="8"/>
      <c r="Y546" s="136"/>
      <c r="AE546" s="330"/>
    </row>
    <row r="547" spans="2:31" ht="12.75" customHeight="1">
      <c r="B547" s="80"/>
      <c r="C547" s="3"/>
      <c r="D547" s="4"/>
      <c r="E547" s="4"/>
      <c r="F547" s="4"/>
      <c r="G547" s="4"/>
      <c r="H547" s="4"/>
      <c r="I547" s="4"/>
      <c r="J547" s="5"/>
      <c r="L547" s="6"/>
      <c r="M547" s="6"/>
      <c r="O547" s="7"/>
      <c r="Q547" s="8"/>
      <c r="Y547" s="136"/>
      <c r="AE547" s="330"/>
    </row>
    <row r="548" spans="2:31" ht="12.75" customHeight="1">
      <c r="B548" s="80"/>
      <c r="C548" s="3"/>
      <c r="D548" s="4"/>
      <c r="E548" s="4"/>
      <c r="F548" s="4"/>
      <c r="G548" s="4"/>
      <c r="H548" s="4"/>
      <c r="I548" s="4"/>
      <c r="J548" s="5"/>
      <c r="L548" s="6"/>
      <c r="M548" s="6"/>
      <c r="O548" s="7"/>
      <c r="Q548" s="8"/>
      <c r="Y548" s="136"/>
      <c r="AE548" s="330"/>
    </row>
    <row r="549" spans="2:31" ht="12.75" customHeight="1">
      <c r="B549" s="80"/>
      <c r="C549" s="3"/>
      <c r="D549" s="4"/>
      <c r="E549" s="4"/>
      <c r="F549" s="4"/>
      <c r="G549" s="4"/>
      <c r="H549" s="4"/>
      <c r="I549" s="4"/>
      <c r="J549" s="5"/>
      <c r="L549" s="6"/>
      <c r="M549" s="6"/>
      <c r="O549" s="7"/>
      <c r="Q549" s="8"/>
      <c r="Y549" s="136"/>
      <c r="AE549" s="330"/>
    </row>
    <row r="550" spans="2:31" ht="12.75" customHeight="1">
      <c r="B550" s="80"/>
      <c r="C550" s="3"/>
      <c r="D550" s="4"/>
      <c r="E550" s="4"/>
      <c r="F550" s="4"/>
      <c r="G550" s="4"/>
      <c r="H550" s="4"/>
      <c r="I550" s="4"/>
      <c r="J550" s="5"/>
      <c r="L550" s="6"/>
      <c r="M550" s="6"/>
      <c r="O550" s="7"/>
      <c r="Q550" s="8"/>
      <c r="Y550" s="136"/>
      <c r="AE550" s="330"/>
    </row>
    <row r="551" spans="2:31" ht="12.75" customHeight="1">
      <c r="B551" s="80"/>
      <c r="C551" s="3"/>
      <c r="D551" s="4"/>
      <c r="E551" s="4"/>
      <c r="F551" s="4"/>
      <c r="G551" s="4"/>
      <c r="H551" s="4"/>
      <c r="I551" s="4"/>
      <c r="J551" s="5"/>
      <c r="L551" s="6"/>
      <c r="M551" s="6"/>
      <c r="O551" s="7"/>
      <c r="Q551" s="8"/>
      <c r="Y551" s="136"/>
      <c r="AE551" s="330"/>
    </row>
    <row r="552" spans="2:31" ht="12.75" customHeight="1">
      <c r="B552" s="80"/>
      <c r="C552" s="3"/>
      <c r="D552" s="4"/>
      <c r="E552" s="4"/>
      <c r="F552" s="4"/>
      <c r="G552" s="4"/>
      <c r="H552" s="4"/>
      <c r="I552" s="4"/>
      <c r="J552" s="5"/>
      <c r="L552" s="6"/>
      <c r="M552" s="6"/>
      <c r="O552" s="7"/>
      <c r="Q552" s="8"/>
      <c r="Y552" s="136"/>
      <c r="AE552" s="330"/>
    </row>
    <row r="553" spans="2:31" ht="12.75" customHeight="1">
      <c r="B553" s="80"/>
      <c r="C553" s="3"/>
      <c r="D553" s="4"/>
      <c r="E553" s="4"/>
      <c r="F553" s="4"/>
      <c r="G553" s="4"/>
      <c r="H553" s="4"/>
      <c r="I553" s="4"/>
      <c r="J553" s="5"/>
      <c r="L553" s="6"/>
      <c r="M553" s="6"/>
      <c r="O553" s="7"/>
      <c r="Q553" s="8"/>
      <c r="Y553" s="136"/>
      <c r="AE553" s="330"/>
    </row>
    <row r="554" spans="2:31" ht="12.75" customHeight="1">
      <c r="B554" s="80"/>
      <c r="C554" s="3"/>
      <c r="D554" s="4"/>
      <c r="E554" s="4"/>
      <c r="F554" s="4"/>
      <c r="G554" s="4"/>
      <c r="H554" s="4"/>
      <c r="I554" s="4"/>
      <c r="J554" s="5"/>
      <c r="L554" s="6"/>
      <c r="M554" s="6"/>
      <c r="O554" s="7"/>
      <c r="Q554" s="8"/>
      <c r="Y554" s="136"/>
      <c r="AE554" s="330"/>
    </row>
    <row r="555" spans="2:31" ht="12.75" customHeight="1">
      <c r="B555" s="80"/>
      <c r="C555" s="3"/>
      <c r="D555" s="4"/>
      <c r="E555" s="4"/>
      <c r="F555" s="4"/>
      <c r="G555" s="4"/>
      <c r="H555" s="4"/>
      <c r="I555" s="4"/>
      <c r="J555" s="5"/>
      <c r="L555" s="6"/>
      <c r="M555" s="6"/>
      <c r="O555" s="7"/>
      <c r="Q555" s="8"/>
      <c r="Y555" s="136"/>
      <c r="AE555" s="330"/>
    </row>
    <row r="556" spans="2:31" ht="12.75" customHeight="1">
      <c r="B556" s="80"/>
      <c r="C556" s="3"/>
      <c r="D556" s="4"/>
      <c r="E556" s="4"/>
      <c r="F556" s="4"/>
      <c r="G556" s="4"/>
      <c r="H556" s="4"/>
      <c r="I556" s="4"/>
      <c r="J556" s="5"/>
      <c r="L556" s="6"/>
      <c r="M556" s="6"/>
      <c r="O556" s="7"/>
      <c r="Q556" s="8"/>
      <c r="Y556" s="136"/>
      <c r="AE556" s="330"/>
    </row>
    <row r="557" spans="2:31" ht="12.75" customHeight="1">
      <c r="B557" s="80"/>
      <c r="C557" s="3"/>
      <c r="D557" s="4"/>
      <c r="E557" s="4"/>
      <c r="F557" s="4"/>
      <c r="G557" s="4"/>
      <c r="H557" s="4"/>
      <c r="I557" s="4"/>
      <c r="J557" s="5"/>
      <c r="L557" s="6"/>
      <c r="M557" s="6"/>
      <c r="O557" s="7"/>
      <c r="Q557" s="8"/>
      <c r="Y557" s="136"/>
      <c r="AE557" s="330"/>
    </row>
    <row r="558" spans="2:31" ht="12.75" customHeight="1">
      <c r="B558" s="80"/>
      <c r="C558" s="3"/>
      <c r="D558" s="4"/>
      <c r="E558" s="4"/>
      <c r="F558" s="4"/>
      <c r="G558" s="4"/>
      <c r="H558" s="4"/>
      <c r="I558" s="4"/>
      <c r="J558" s="5"/>
      <c r="L558" s="6"/>
      <c r="M558" s="6"/>
      <c r="O558" s="7"/>
      <c r="Q558" s="8"/>
      <c r="Y558" s="136"/>
      <c r="AE558" s="330"/>
    </row>
    <row r="559" spans="2:31" ht="12.75" customHeight="1">
      <c r="B559" s="80"/>
      <c r="C559" s="3"/>
      <c r="D559" s="4"/>
      <c r="E559" s="4"/>
      <c r="F559" s="4"/>
      <c r="G559" s="4"/>
      <c r="H559" s="4"/>
      <c r="I559" s="4"/>
      <c r="J559" s="5"/>
      <c r="L559" s="6"/>
      <c r="M559" s="6"/>
      <c r="O559" s="7"/>
      <c r="Q559" s="8"/>
      <c r="Y559" s="136"/>
      <c r="AE559" s="330"/>
    </row>
    <row r="560" spans="2:31" ht="12.75" customHeight="1">
      <c r="B560" s="80"/>
      <c r="C560" s="3"/>
      <c r="D560" s="4"/>
      <c r="E560" s="4"/>
      <c r="F560" s="4"/>
      <c r="G560" s="4"/>
      <c r="H560" s="4"/>
      <c r="I560" s="4"/>
      <c r="J560" s="5"/>
      <c r="L560" s="6"/>
      <c r="M560" s="6"/>
      <c r="O560" s="7"/>
      <c r="Q560" s="8"/>
      <c r="Y560" s="136"/>
      <c r="AE560" s="330"/>
    </row>
    <row r="561" spans="2:31" ht="12.75" customHeight="1">
      <c r="B561" s="80"/>
      <c r="C561" s="3"/>
      <c r="D561" s="4"/>
      <c r="E561" s="4"/>
      <c r="F561" s="4"/>
      <c r="G561" s="4"/>
      <c r="H561" s="4"/>
      <c r="I561" s="4"/>
      <c r="J561" s="5"/>
      <c r="L561" s="6"/>
      <c r="M561" s="6"/>
      <c r="O561" s="7"/>
      <c r="Q561" s="8"/>
      <c r="Y561" s="136"/>
      <c r="AE561" s="330"/>
    </row>
    <row r="562" spans="2:31" ht="12.75" customHeight="1">
      <c r="B562" s="80"/>
      <c r="C562" s="3"/>
      <c r="D562" s="4"/>
      <c r="E562" s="4"/>
      <c r="F562" s="4"/>
      <c r="G562" s="4"/>
      <c r="H562" s="4"/>
      <c r="I562" s="4"/>
      <c r="J562" s="5"/>
      <c r="L562" s="6"/>
      <c r="M562" s="6"/>
      <c r="O562" s="7"/>
      <c r="Q562" s="8"/>
      <c r="Y562" s="136"/>
      <c r="AE562" s="330"/>
    </row>
    <row r="563" spans="2:31" ht="12.75" customHeight="1">
      <c r="B563" s="80"/>
      <c r="C563" s="3"/>
      <c r="D563" s="4"/>
      <c r="E563" s="4"/>
      <c r="F563" s="4"/>
      <c r="G563" s="4"/>
      <c r="H563" s="4"/>
      <c r="I563" s="4"/>
      <c r="J563" s="5"/>
      <c r="L563" s="6"/>
      <c r="M563" s="6"/>
      <c r="O563" s="7"/>
      <c r="Q563" s="8"/>
      <c r="Y563" s="136"/>
      <c r="AE563" s="330"/>
    </row>
    <row r="564" spans="2:31" ht="12.75" customHeight="1">
      <c r="B564" s="80"/>
      <c r="C564" s="3"/>
      <c r="D564" s="4"/>
      <c r="E564" s="4"/>
      <c r="F564" s="4"/>
      <c r="G564" s="4"/>
      <c r="H564" s="4"/>
      <c r="I564" s="4"/>
      <c r="J564" s="5"/>
      <c r="L564" s="6"/>
      <c r="M564" s="6"/>
      <c r="O564" s="7"/>
      <c r="Q564" s="8"/>
      <c r="Y564" s="136"/>
      <c r="AE564" s="330"/>
    </row>
    <row r="565" spans="2:31" ht="12.75" customHeight="1">
      <c r="B565" s="80"/>
      <c r="C565" s="3"/>
      <c r="D565" s="4"/>
      <c r="E565" s="4"/>
      <c r="F565" s="4"/>
      <c r="G565" s="4"/>
      <c r="H565" s="4"/>
      <c r="I565" s="4"/>
      <c r="J565" s="5"/>
      <c r="L565" s="6"/>
      <c r="M565" s="6"/>
      <c r="O565" s="7"/>
      <c r="Q565" s="8"/>
      <c r="Y565" s="136"/>
      <c r="AE565" s="330"/>
    </row>
    <row r="566" spans="2:31" ht="12.75" customHeight="1">
      <c r="B566" s="80"/>
      <c r="C566" s="3"/>
      <c r="D566" s="4"/>
      <c r="E566" s="4"/>
      <c r="F566" s="4"/>
      <c r="G566" s="4"/>
      <c r="H566" s="4"/>
      <c r="I566" s="4"/>
      <c r="J566" s="5"/>
      <c r="L566" s="6"/>
      <c r="M566" s="6"/>
      <c r="O566" s="7"/>
      <c r="Q566" s="8"/>
      <c r="Y566" s="136"/>
      <c r="AE566" s="330"/>
    </row>
    <row r="567" spans="2:31" ht="12.75" customHeight="1">
      <c r="B567" s="80"/>
      <c r="C567" s="3"/>
      <c r="D567" s="4"/>
      <c r="E567" s="4"/>
      <c r="F567" s="4"/>
      <c r="G567" s="4"/>
      <c r="H567" s="4"/>
      <c r="I567" s="4"/>
      <c r="J567" s="5"/>
      <c r="L567" s="6"/>
      <c r="M567" s="6"/>
      <c r="O567" s="7"/>
      <c r="Q567" s="8"/>
      <c r="Y567" s="136"/>
      <c r="AE567" s="330"/>
    </row>
    <row r="568" spans="2:31" ht="12.75" customHeight="1">
      <c r="B568" s="80"/>
      <c r="C568" s="3"/>
      <c r="D568" s="4"/>
      <c r="E568" s="4"/>
      <c r="F568" s="4"/>
      <c r="G568" s="4"/>
      <c r="H568" s="4"/>
      <c r="I568" s="4"/>
      <c r="J568" s="5"/>
      <c r="L568" s="6"/>
      <c r="M568" s="6"/>
      <c r="O568" s="7"/>
      <c r="Q568" s="8"/>
      <c r="Y568" s="136"/>
      <c r="AE568" s="330"/>
    </row>
    <row r="569" spans="2:31" ht="12.75" customHeight="1">
      <c r="B569" s="80"/>
      <c r="C569" s="3"/>
      <c r="D569" s="4"/>
      <c r="E569" s="4"/>
      <c r="F569" s="4"/>
      <c r="G569" s="4"/>
      <c r="H569" s="4"/>
      <c r="I569" s="4"/>
      <c r="J569" s="5"/>
      <c r="L569" s="6"/>
      <c r="M569" s="6"/>
      <c r="O569" s="7"/>
      <c r="Q569" s="8"/>
      <c r="Y569" s="136"/>
      <c r="AE569" s="330"/>
    </row>
    <row r="570" spans="2:31" ht="12.75" customHeight="1">
      <c r="B570" s="80"/>
      <c r="C570" s="3"/>
      <c r="D570" s="4"/>
      <c r="E570" s="4"/>
      <c r="F570" s="4"/>
      <c r="G570" s="4"/>
      <c r="H570" s="4"/>
      <c r="I570" s="4"/>
      <c r="J570" s="5"/>
      <c r="L570" s="6"/>
      <c r="M570" s="6"/>
      <c r="O570" s="7"/>
      <c r="Q570" s="8"/>
      <c r="Y570" s="136"/>
      <c r="AE570" s="330"/>
    </row>
    <row r="571" spans="2:31" ht="12.75" customHeight="1">
      <c r="B571" s="80"/>
      <c r="C571" s="3"/>
      <c r="D571" s="4"/>
      <c r="E571" s="4"/>
      <c r="F571" s="4"/>
      <c r="G571" s="4"/>
      <c r="H571" s="4"/>
      <c r="I571" s="4"/>
      <c r="J571" s="5"/>
      <c r="L571" s="6"/>
      <c r="M571" s="6"/>
      <c r="O571" s="7"/>
      <c r="Q571" s="8"/>
      <c r="Y571" s="136"/>
      <c r="AE571" s="330"/>
    </row>
    <row r="572" spans="2:31" ht="12.75" customHeight="1">
      <c r="B572" s="80"/>
      <c r="C572" s="3"/>
      <c r="D572" s="4"/>
      <c r="E572" s="4"/>
      <c r="F572" s="4"/>
      <c r="G572" s="4"/>
      <c r="H572" s="4"/>
      <c r="I572" s="4"/>
      <c r="J572" s="5"/>
      <c r="L572" s="6"/>
      <c r="M572" s="6"/>
      <c r="O572" s="7"/>
      <c r="Q572" s="8"/>
      <c r="Y572" s="136"/>
      <c r="AE572" s="330"/>
    </row>
    <row r="573" spans="2:31" ht="12.75" customHeight="1">
      <c r="B573" s="80"/>
      <c r="C573" s="3"/>
      <c r="D573" s="4"/>
      <c r="E573" s="4"/>
      <c r="F573" s="4"/>
      <c r="G573" s="4"/>
      <c r="H573" s="4"/>
      <c r="I573" s="4"/>
      <c r="J573" s="5"/>
      <c r="L573" s="6"/>
      <c r="M573" s="6"/>
      <c r="O573" s="7"/>
      <c r="Q573" s="8"/>
      <c r="Y573" s="136"/>
      <c r="AE573" s="330"/>
    </row>
    <row r="574" spans="2:31" ht="12.75" customHeight="1">
      <c r="B574" s="80"/>
      <c r="C574" s="3"/>
      <c r="D574" s="4"/>
      <c r="E574" s="4"/>
      <c r="F574" s="4"/>
      <c r="G574" s="4"/>
      <c r="H574" s="4"/>
      <c r="I574" s="4"/>
      <c r="J574" s="5"/>
      <c r="L574" s="6"/>
      <c r="M574" s="6"/>
      <c r="O574" s="7"/>
      <c r="Q574" s="8"/>
      <c r="Y574" s="136"/>
      <c r="AE574" s="330"/>
    </row>
    <row r="575" spans="2:31" ht="12.75" customHeight="1">
      <c r="B575" s="80"/>
      <c r="C575" s="3"/>
      <c r="D575" s="4"/>
      <c r="E575" s="4"/>
      <c r="F575" s="4"/>
      <c r="G575" s="4"/>
      <c r="H575" s="4"/>
      <c r="I575" s="4"/>
      <c r="J575" s="5"/>
      <c r="L575" s="6"/>
      <c r="M575" s="6"/>
      <c r="O575" s="7"/>
      <c r="Q575" s="8"/>
      <c r="Y575" s="136"/>
      <c r="AE575" s="330"/>
    </row>
    <row r="576" spans="2:31" ht="12.75" customHeight="1">
      <c r="B576" s="80"/>
      <c r="C576" s="3"/>
      <c r="D576" s="4"/>
      <c r="E576" s="4"/>
      <c r="F576" s="4"/>
      <c r="G576" s="4"/>
      <c r="H576" s="4"/>
      <c r="I576" s="4"/>
      <c r="J576" s="5"/>
      <c r="L576" s="6"/>
      <c r="M576" s="6"/>
      <c r="O576" s="7"/>
      <c r="Q576" s="8"/>
      <c r="Y576" s="136"/>
      <c r="AE576" s="330"/>
    </row>
    <row r="577" spans="2:31" ht="12.75" customHeight="1">
      <c r="B577" s="80"/>
      <c r="C577" s="3"/>
      <c r="D577" s="4"/>
      <c r="E577" s="4"/>
      <c r="F577" s="4"/>
      <c r="G577" s="4"/>
      <c r="H577" s="4"/>
      <c r="I577" s="4"/>
      <c r="J577" s="5"/>
      <c r="L577" s="6"/>
      <c r="M577" s="6"/>
      <c r="O577" s="7"/>
      <c r="Q577" s="8"/>
      <c r="Y577" s="136"/>
      <c r="AE577" s="330"/>
    </row>
    <row r="578" spans="2:31" ht="12.75" customHeight="1">
      <c r="B578" s="80"/>
      <c r="C578" s="3"/>
      <c r="D578" s="4"/>
      <c r="E578" s="4"/>
      <c r="F578" s="4"/>
      <c r="G578" s="4"/>
      <c r="H578" s="4"/>
      <c r="I578" s="4"/>
      <c r="J578" s="5"/>
      <c r="L578" s="6"/>
      <c r="M578" s="6"/>
      <c r="O578" s="7"/>
      <c r="Q578" s="8"/>
      <c r="Y578" s="136"/>
      <c r="AE578" s="330"/>
    </row>
    <row r="579" spans="2:31" ht="12.75" customHeight="1">
      <c r="B579" s="80"/>
      <c r="C579" s="3"/>
      <c r="D579" s="4"/>
      <c r="E579" s="4"/>
      <c r="F579" s="4"/>
      <c r="G579" s="4"/>
      <c r="H579" s="4"/>
      <c r="I579" s="4"/>
      <c r="J579" s="5"/>
      <c r="L579" s="6"/>
      <c r="M579" s="6"/>
      <c r="O579" s="7"/>
      <c r="Q579" s="8"/>
      <c r="Y579" s="136"/>
      <c r="AE579" s="330"/>
    </row>
    <row r="580" spans="2:31" ht="12.75" customHeight="1">
      <c r="B580" s="80"/>
      <c r="C580" s="3"/>
      <c r="D580" s="4"/>
      <c r="E580" s="4"/>
      <c r="F580" s="4"/>
      <c r="G580" s="4"/>
      <c r="H580" s="4"/>
      <c r="I580" s="4"/>
      <c r="J580" s="5"/>
      <c r="L580" s="6"/>
      <c r="M580" s="6"/>
      <c r="O580" s="7"/>
      <c r="Q580" s="8"/>
      <c r="Y580" s="136"/>
      <c r="AE580" s="330"/>
    </row>
    <row r="581" spans="2:31" ht="12.75" customHeight="1">
      <c r="B581" s="80"/>
      <c r="C581" s="3"/>
      <c r="D581" s="4"/>
      <c r="E581" s="4"/>
      <c r="F581" s="4"/>
      <c r="G581" s="4"/>
      <c r="H581" s="4"/>
      <c r="I581" s="4"/>
      <c r="J581" s="5"/>
      <c r="L581" s="6"/>
      <c r="M581" s="6"/>
      <c r="O581" s="7"/>
      <c r="Q581" s="8"/>
      <c r="Y581" s="136"/>
      <c r="AE581" s="330"/>
    </row>
    <row r="582" spans="2:31" ht="12.75" customHeight="1">
      <c r="B582" s="80"/>
      <c r="C582" s="3"/>
      <c r="D582" s="4"/>
      <c r="E582" s="4"/>
      <c r="F582" s="4"/>
      <c r="G582" s="4"/>
      <c r="H582" s="4"/>
      <c r="I582" s="4"/>
      <c r="J582" s="5"/>
      <c r="L582" s="6"/>
      <c r="M582" s="6"/>
      <c r="O582" s="7"/>
      <c r="Q582" s="8"/>
      <c r="Y582" s="136"/>
      <c r="AE582" s="330"/>
    </row>
    <row r="583" spans="2:31" ht="12.75" customHeight="1">
      <c r="B583" s="80"/>
      <c r="C583" s="3"/>
      <c r="D583" s="4"/>
      <c r="E583" s="4"/>
      <c r="F583" s="4"/>
      <c r="G583" s="4"/>
      <c r="H583" s="4"/>
      <c r="I583" s="4"/>
      <c r="J583" s="5"/>
      <c r="L583" s="6"/>
      <c r="M583" s="6"/>
      <c r="O583" s="7"/>
      <c r="Q583" s="8"/>
      <c r="Y583" s="136"/>
      <c r="AE583" s="330"/>
    </row>
    <row r="584" spans="2:31" ht="12.75" customHeight="1">
      <c r="B584" s="80"/>
      <c r="C584" s="3"/>
      <c r="D584" s="4"/>
      <c r="E584" s="4"/>
      <c r="F584" s="4"/>
      <c r="G584" s="4"/>
      <c r="H584" s="4"/>
      <c r="I584" s="4"/>
      <c r="J584" s="5"/>
      <c r="L584" s="6"/>
      <c r="M584" s="6"/>
      <c r="O584" s="7"/>
      <c r="Q584" s="8"/>
      <c r="Y584" s="136"/>
      <c r="AE584" s="330"/>
    </row>
    <row r="585" spans="2:31" ht="12.75" customHeight="1">
      <c r="B585" s="80"/>
      <c r="C585" s="3"/>
      <c r="D585" s="4"/>
      <c r="E585" s="4"/>
      <c r="F585" s="4"/>
      <c r="G585" s="4"/>
      <c r="H585" s="4"/>
      <c r="I585" s="4"/>
      <c r="J585" s="5"/>
      <c r="L585" s="6"/>
      <c r="M585" s="6"/>
      <c r="O585" s="7"/>
      <c r="Q585" s="8"/>
      <c r="Y585" s="136"/>
      <c r="AE585" s="330"/>
    </row>
    <row r="586" spans="2:31" ht="12.75" customHeight="1">
      <c r="B586" s="80"/>
      <c r="C586" s="3"/>
      <c r="D586" s="4"/>
      <c r="E586" s="4"/>
      <c r="F586" s="4"/>
      <c r="G586" s="4"/>
      <c r="H586" s="4"/>
      <c r="I586" s="4"/>
      <c r="J586" s="5"/>
      <c r="L586" s="6"/>
      <c r="M586" s="6"/>
      <c r="O586" s="7"/>
      <c r="Q586" s="8"/>
      <c r="Y586" s="136"/>
      <c r="AE586" s="330"/>
    </row>
    <row r="587" spans="2:31" ht="12.75" customHeight="1">
      <c r="B587" s="80"/>
      <c r="C587" s="3"/>
      <c r="D587" s="4"/>
      <c r="E587" s="4"/>
      <c r="F587" s="4"/>
      <c r="G587" s="4"/>
      <c r="H587" s="4"/>
      <c r="I587" s="4"/>
      <c r="J587" s="5"/>
      <c r="L587" s="6"/>
      <c r="M587" s="6"/>
      <c r="O587" s="7"/>
      <c r="Q587" s="8"/>
      <c r="Y587" s="136"/>
      <c r="AE587" s="330"/>
    </row>
    <row r="588" spans="2:31" ht="12.75" customHeight="1">
      <c r="B588" s="80"/>
      <c r="C588" s="3"/>
      <c r="D588" s="4"/>
      <c r="E588" s="4"/>
      <c r="F588" s="4"/>
      <c r="G588" s="4"/>
      <c r="H588" s="4"/>
      <c r="I588" s="4"/>
      <c r="J588" s="5"/>
      <c r="L588" s="6"/>
      <c r="M588" s="6"/>
      <c r="O588" s="7"/>
      <c r="Q588" s="8"/>
      <c r="Y588" s="136"/>
      <c r="AE588" s="330"/>
    </row>
    <row r="589" spans="2:31" ht="12.75" customHeight="1">
      <c r="B589" s="80"/>
      <c r="C589" s="3"/>
      <c r="D589" s="4"/>
      <c r="E589" s="4"/>
      <c r="F589" s="4"/>
      <c r="G589" s="4"/>
      <c r="H589" s="4"/>
      <c r="I589" s="4"/>
      <c r="J589" s="5"/>
      <c r="L589" s="6"/>
      <c r="M589" s="6"/>
      <c r="O589" s="7"/>
      <c r="Q589" s="8"/>
      <c r="Y589" s="136"/>
      <c r="AE589" s="330"/>
    </row>
    <row r="590" spans="2:31" ht="12.75" customHeight="1">
      <c r="B590" s="80"/>
      <c r="C590" s="3"/>
      <c r="D590" s="4"/>
      <c r="E590" s="4"/>
      <c r="F590" s="4"/>
      <c r="G590" s="4"/>
      <c r="H590" s="4"/>
      <c r="I590" s="4"/>
      <c r="J590" s="5"/>
      <c r="L590" s="6"/>
      <c r="M590" s="6"/>
      <c r="O590" s="7"/>
      <c r="Q590" s="8"/>
      <c r="Y590" s="136"/>
      <c r="AE590" s="330"/>
    </row>
    <row r="591" spans="2:31" ht="12.75" customHeight="1">
      <c r="B591" s="80"/>
      <c r="C591" s="3"/>
      <c r="D591" s="4"/>
      <c r="E591" s="4"/>
      <c r="F591" s="4"/>
      <c r="G591" s="4"/>
      <c r="H591" s="4"/>
      <c r="I591" s="4"/>
      <c r="J591" s="5"/>
      <c r="L591" s="6"/>
      <c r="M591" s="6"/>
      <c r="O591" s="7"/>
      <c r="Q591" s="8"/>
      <c r="Y591" s="136"/>
      <c r="AE591" s="330"/>
    </row>
    <row r="592" spans="2:31" ht="12.75" customHeight="1">
      <c r="B592" s="80"/>
      <c r="C592" s="3"/>
      <c r="D592" s="4"/>
      <c r="E592" s="4"/>
      <c r="F592" s="4"/>
      <c r="G592" s="4"/>
      <c r="H592" s="4"/>
      <c r="I592" s="4"/>
      <c r="J592" s="5"/>
      <c r="L592" s="6"/>
      <c r="M592" s="6"/>
      <c r="O592" s="7"/>
      <c r="Q592" s="8"/>
      <c r="Y592" s="136"/>
      <c r="AE592" s="330"/>
    </row>
    <row r="593" spans="2:31" ht="12.75" customHeight="1">
      <c r="B593" s="80"/>
      <c r="C593" s="3"/>
      <c r="D593" s="4"/>
      <c r="E593" s="4"/>
      <c r="F593" s="4"/>
      <c r="G593" s="4"/>
      <c r="H593" s="4"/>
      <c r="I593" s="4"/>
      <c r="J593" s="5"/>
      <c r="L593" s="6"/>
      <c r="M593" s="6"/>
      <c r="O593" s="7"/>
      <c r="Q593" s="8"/>
      <c r="Y593" s="136"/>
      <c r="AE593" s="330"/>
    </row>
    <row r="594" spans="2:31" ht="12.75" customHeight="1">
      <c r="B594" s="80"/>
      <c r="C594" s="3"/>
      <c r="D594" s="4"/>
      <c r="E594" s="4"/>
      <c r="F594" s="4"/>
      <c r="G594" s="4"/>
      <c r="H594" s="4"/>
      <c r="I594" s="4"/>
      <c r="J594" s="5"/>
      <c r="L594" s="6"/>
      <c r="M594" s="6"/>
      <c r="O594" s="7"/>
      <c r="Q594" s="8"/>
      <c r="Y594" s="136"/>
      <c r="AE594" s="330"/>
    </row>
    <row r="595" spans="2:31" ht="12.75" customHeight="1">
      <c r="B595" s="80"/>
      <c r="C595" s="3"/>
      <c r="D595" s="4"/>
      <c r="E595" s="4"/>
      <c r="F595" s="4"/>
      <c r="G595" s="4"/>
      <c r="H595" s="4"/>
      <c r="I595" s="4"/>
      <c r="J595" s="5"/>
      <c r="L595" s="6"/>
      <c r="M595" s="6"/>
      <c r="O595" s="7"/>
      <c r="Q595" s="8"/>
      <c r="Y595" s="136"/>
      <c r="AE595" s="330"/>
    </row>
    <row r="596" spans="2:31" ht="12.75" customHeight="1">
      <c r="B596" s="80"/>
      <c r="C596" s="3"/>
      <c r="D596" s="4"/>
      <c r="E596" s="4"/>
      <c r="F596" s="4"/>
      <c r="G596" s="4"/>
      <c r="H596" s="4"/>
      <c r="I596" s="4"/>
      <c r="J596" s="5"/>
      <c r="L596" s="6"/>
      <c r="M596" s="6"/>
      <c r="O596" s="7"/>
      <c r="Q596" s="8"/>
      <c r="Y596" s="136"/>
      <c r="AE596" s="330"/>
    </row>
    <row r="597" spans="2:31" ht="12.75" customHeight="1">
      <c r="B597" s="80"/>
      <c r="C597" s="3"/>
      <c r="D597" s="4"/>
      <c r="E597" s="4"/>
      <c r="F597" s="4"/>
      <c r="G597" s="4"/>
      <c r="H597" s="4"/>
      <c r="I597" s="4"/>
      <c r="J597" s="5"/>
      <c r="L597" s="6"/>
      <c r="M597" s="6"/>
      <c r="O597" s="7"/>
      <c r="Q597" s="8"/>
      <c r="Y597" s="136"/>
      <c r="AE597" s="330"/>
    </row>
    <row r="598" spans="2:31" ht="12.75" customHeight="1">
      <c r="B598" s="80"/>
      <c r="C598" s="3"/>
      <c r="D598" s="4"/>
      <c r="E598" s="4"/>
      <c r="F598" s="4"/>
      <c r="G598" s="4"/>
      <c r="H598" s="4"/>
      <c r="I598" s="4"/>
      <c r="J598" s="5"/>
      <c r="L598" s="6"/>
      <c r="M598" s="6"/>
      <c r="O598" s="7"/>
      <c r="Q598" s="8"/>
      <c r="Y598" s="136"/>
      <c r="AE598" s="330"/>
    </row>
    <row r="599" spans="2:31" ht="12.75" customHeight="1">
      <c r="B599" s="80"/>
      <c r="C599" s="3"/>
      <c r="D599" s="4"/>
      <c r="E599" s="4"/>
      <c r="F599" s="4"/>
      <c r="G599" s="4"/>
      <c r="H599" s="4"/>
      <c r="I599" s="4"/>
      <c r="J599" s="5"/>
      <c r="L599" s="6"/>
      <c r="M599" s="6"/>
      <c r="O599" s="7"/>
      <c r="Q599" s="8"/>
      <c r="Y599" s="136"/>
      <c r="AE599" s="330"/>
    </row>
    <row r="600" spans="2:31" ht="12.75" customHeight="1">
      <c r="B600" s="80"/>
      <c r="C600" s="3"/>
      <c r="D600" s="4"/>
      <c r="E600" s="4"/>
      <c r="F600" s="4"/>
      <c r="G600" s="4"/>
      <c r="H600" s="4"/>
      <c r="I600" s="4"/>
      <c r="J600" s="5"/>
      <c r="L600" s="6"/>
      <c r="M600" s="6"/>
      <c r="O600" s="7"/>
      <c r="Q600" s="8"/>
      <c r="Y600" s="136"/>
      <c r="AE600" s="330"/>
    </row>
    <row r="601" spans="2:31" ht="12.75" customHeight="1">
      <c r="B601" s="80"/>
      <c r="C601" s="3"/>
      <c r="D601" s="4"/>
      <c r="E601" s="4"/>
      <c r="F601" s="4"/>
      <c r="G601" s="4"/>
      <c r="H601" s="4"/>
      <c r="I601" s="4"/>
      <c r="J601" s="5"/>
      <c r="L601" s="6"/>
      <c r="M601" s="6"/>
      <c r="O601" s="7"/>
      <c r="Q601" s="8"/>
      <c r="Y601" s="136"/>
      <c r="AE601" s="330"/>
    </row>
    <row r="602" spans="2:31" ht="12.75" customHeight="1">
      <c r="B602" s="80"/>
      <c r="C602" s="3"/>
      <c r="D602" s="4"/>
      <c r="E602" s="4"/>
      <c r="F602" s="4"/>
      <c r="G602" s="4"/>
      <c r="H602" s="4"/>
      <c r="I602" s="4"/>
      <c r="J602" s="5"/>
      <c r="L602" s="6"/>
      <c r="M602" s="6"/>
      <c r="O602" s="7"/>
      <c r="Q602" s="8"/>
      <c r="Y602" s="136"/>
      <c r="AE602" s="330"/>
    </row>
    <row r="603" spans="2:31" ht="12.75" customHeight="1">
      <c r="B603" s="80"/>
      <c r="C603" s="3"/>
      <c r="D603" s="4"/>
      <c r="E603" s="4"/>
      <c r="F603" s="4"/>
      <c r="G603" s="4"/>
      <c r="H603" s="4"/>
      <c r="I603" s="4"/>
      <c r="J603" s="5"/>
      <c r="L603" s="6"/>
      <c r="M603" s="6"/>
      <c r="O603" s="7"/>
      <c r="Q603" s="8"/>
      <c r="Y603" s="136"/>
      <c r="AE603" s="330"/>
    </row>
    <row r="604" spans="2:31" ht="12.75" customHeight="1">
      <c r="B604" s="80"/>
      <c r="C604" s="3"/>
      <c r="D604" s="4"/>
      <c r="E604" s="4"/>
      <c r="F604" s="4"/>
      <c r="G604" s="4"/>
      <c r="H604" s="4"/>
      <c r="I604" s="4"/>
      <c r="J604" s="5"/>
      <c r="L604" s="6"/>
      <c r="M604" s="6"/>
      <c r="O604" s="7"/>
      <c r="Q604" s="8"/>
      <c r="Y604" s="136"/>
      <c r="AE604" s="330"/>
    </row>
    <row r="605" spans="2:31" ht="12.75" customHeight="1">
      <c r="B605" s="80"/>
      <c r="C605" s="3"/>
      <c r="D605" s="4"/>
      <c r="E605" s="4"/>
      <c r="F605" s="4"/>
      <c r="G605" s="4"/>
      <c r="H605" s="4"/>
      <c r="I605" s="4"/>
      <c r="J605" s="5"/>
      <c r="L605" s="6"/>
      <c r="M605" s="6"/>
      <c r="O605" s="7"/>
      <c r="Q605" s="8"/>
      <c r="Y605" s="136"/>
      <c r="AE605" s="330"/>
    </row>
    <row r="606" spans="2:31" ht="12.75" customHeight="1">
      <c r="B606" s="80"/>
      <c r="C606" s="3"/>
      <c r="D606" s="4"/>
      <c r="E606" s="4"/>
      <c r="F606" s="4"/>
      <c r="G606" s="4"/>
      <c r="H606" s="4"/>
      <c r="I606" s="4"/>
      <c r="J606" s="5"/>
      <c r="L606" s="6"/>
      <c r="M606" s="6"/>
      <c r="O606" s="7"/>
      <c r="Q606" s="8"/>
      <c r="Y606" s="136"/>
      <c r="AE606" s="330"/>
    </row>
    <row r="607" spans="2:31" ht="12.75" customHeight="1">
      <c r="B607" s="80"/>
      <c r="C607" s="3"/>
      <c r="D607" s="4"/>
      <c r="E607" s="4"/>
      <c r="F607" s="4"/>
      <c r="G607" s="4"/>
      <c r="H607" s="4"/>
      <c r="I607" s="4"/>
      <c r="J607" s="5"/>
      <c r="L607" s="6"/>
      <c r="M607" s="6"/>
      <c r="O607" s="7"/>
      <c r="Q607" s="8"/>
      <c r="Y607" s="136"/>
      <c r="AE607" s="330"/>
    </row>
    <row r="608" spans="2:31" ht="12.75" customHeight="1">
      <c r="B608" s="80"/>
      <c r="C608" s="3"/>
      <c r="D608" s="4"/>
      <c r="E608" s="4"/>
      <c r="F608" s="4"/>
      <c r="G608" s="4"/>
      <c r="H608" s="4"/>
      <c r="I608" s="4"/>
      <c r="J608" s="5"/>
      <c r="L608" s="6"/>
      <c r="M608" s="6"/>
      <c r="O608" s="7"/>
      <c r="Q608" s="8"/>
      <c r="Y608" s="136"/>
      <c r="AE608" s="330"/>
    </row>
    <row r="609" spans="2:31" ht="12.75" customHeight="1">
      <c r="B609" s="80"/>
      <c r="C609" s="3"/>
      <c r="D609" s="4"/>
      <c r="E609" s="4"/>
      <c r="F609" s="4"/>
      <c r="G609" s="4"/>
      <c r="H609" s="4"/>
      <c r="I609" s="4"/>
      <c r="J609" s="5"/>
      <c r="L609" s="6"/>
      <c r="M609" s="6"/>
      <c r="O609" s="7"/>
      <c r="Q609" s="8"/>
      <c r="Y609" s="136"/>
      <c r="AE609" s="330"/>
    </row>
    <row r="610" spans="2:31" ht="12.75" customHeight="1">
      <c r="B610" s="80"/>
      <c r="C610" s="3"/>
      <c r="D610" s="4"/>
      <c r="E610" s="4"/>
      <c r="F610" s="4"/>
      <c r="G610" s="4"/>
      <c r="H610" s="4"/>
      <c r="I610" s="4"/>
      <c r="J610" s="5"/>
      <c r="L610" s="6"/>
      <c r="M610" s="6"/>
      <c r="O610" s="7"/>
      <c r="Q610" s="8"/>
      <c r="Y610" s="136"/>
      <c r="AE610" s="330"/>
    </row>
    <row r="611" spans="2:31" ht="12.75" customHeight="1">
      <c r="B611" s="80"/>
      <c r="C611" s="3"/>
      <c r="D611" s="4"/>
      <c r="E611" s="4"/>
      <c r="F611" s="4"/>
      <c r="G611" s="4"/>
      <c r="H611" s="4"/>
      <c r="I611" s="4"/>
      <c r="J611" s="5"/>
      <c r="L611" s="6"/>
      <c r="M611" s="6"/>
      <c r="O611" s="7"/>
      <c r="Q611" s="8"/>
      <c r="Y611" s="136"/>
      <c r="AE611" s="330"/>
    </row>
    <row r="612" spans="2:31" ht="12.75" customHeight="1">
      <c r="B612" s="80"/>
      <c r="C612" s="3"/>
      <c r="D612" s="4"/>
      <c r="E612" s="4"/>
      <c r="F612" s="4"/>
      <c r="G612" s="4"/>
      <c r="H612" s="4"/>
      <c r="I612" s="4"/>
      <c r="J612" s="5"/>
      <c r="L612" s="6"/>
      <c r="M612" s="6"/>
      <c r="O612" s="7"/>
      <c r="Q612" s="8"/>
      <c r="Y612" s="136"/>
      <c r="AE612" s="330"/>
    </row>
    <row r="613" spans="2:31" ht="12.75" customHeight="1">
      <c r="B613" s="80"/>
      <c r="C613" s="3"/>
      <c r="D613" s="4"/>
      <c r="E613" s="4"/>
      <c r="F613" s="4"/>
      <c r="G613" s="4"/>
      <c r="H613" s="4"/>
      <c r="I613" s="4"/>
      <c r="J613" s="5"/>
      <c r="L613" s="6"/>
      <c r="M613" s="6"/>
      <c r="O613" s="7"/>
      <c r="Q613" s="8"/>
      <c r="Y613" s="136"/>
      <c r="AE613" s="330"/>
    </row>
    <row r="614" spans="2:31" ht="12.75" customHeight="1">
      <c r="B614" s="80"/>
      <c r="C614" s="3"/>
      <c r="D614" s="4"/>
      <c r="E614" s="4"/>
      <c r="F614" s="4"/>
      <c r="G614" s="4"/>
      <c r="H614" s="4"/>
      <c r="I614" s="4"/>
      <c r="J614" s="5"/>
      <c r="L614" s="6"/>
      <c r="M614" s="6"/>
      <c r="O614" s="7"/>
      <c r="Q614" s="8"/>
      <c r="Y614" s="136"/>
      <c r="AE614" s="330"/>
    </row>
    <row r="615" spans="2:31" ht="12.75" customHeight="1">
      <c r="B615" s="80"/>
      <c r="C615" s="3"/>
      <c r="D615" s="4"/>
      <c r="E615" s="4"/>
      <c r="F615" s="4"/>
      <c r="G615" s="4"/>
      <c r="H615" s="4"/>
      <c r="I615" s="4"/>
      <c r="J615" s="5"/>
      <c r="L615" s="6"/>
      <c r="M615" s="6"/>
      <c r="O615" s="7"/>
      <c r="Q615" s="8"/>
      <c r="Y615" s="136"/>
      <c r="AE615" s="330"/>
    </row>
    <row r="616" spans="2:31" ht="12.75" customHeight="1">
      <c r="B616" s="80"/>
      <c r="C616" s="3"/>
      <c r="D616" s="4"/>
      <c r="E616" s="4"/>
      <c r="F616" s="4"/>
      <c r="G616" s="4"/>
      <c r="H616" s="4"/>
      <c r="I616" s="4"/>
      <c r="J616" s="5"/>
      <c r="L616" s="6"/>
      <c r="M616" s="6"/>
      <c r="O616" s="7"/>
      <c r="Q616" s="8"/>
      <c r="Y616" s="136"/>
      <c r="AE616" s="330"/>
    </row>
    <row r="617" spans="2:31" ht="12.75" customHeight="1">
      <c r="B617" s="80"/>
      <c r="C617" s="3"/>
      <c r="D617" s="4"/>
      <c r="E617" s="4"/>
      <c r="F617" s="4"/>
      <c r="G617" s="4"/>
      <c r="H617" s="4"/>
      <c r="I617" s="4"/>
      <c r="J617" s="5"/>
      <c r="L617" s="6"/>
      <c r="M617" s="6"/>
      <c r="O617" s="7"/>
      <c r="Q617" s="8"/>
      <c r="Y617" s="136"/>
      <c r="AE617" s="330"/>
    </row>
    <row r="618" spans="2:31" ht="12.75" customHeight="1">
      <c r="B618" s="80"/>
      <c r="C618" s="3"/>
      <c r="D618" s="4"/>
      <c r="E618" s="4"/>
      <c r="F618" s="4"/>
      <c r="G618" s="4"/>
      <c r="H618" s="4"/>
      <c r="I618" s="4"/>
      <c r="J618" s="5"/>
      <c r="L618" s="6"/>
      <c r="M618" s="6"/>
      <c r="O618" s="7"/>
      <c r="Q618" s="8"/>
      <c r="Y618" s="136"/>
      <c r="AE618" s="330"/>
    </row>
    <row r="619" spans="2:31" ht="12.75" customHeight="1">
      <c r="B619" s="80"/>
      <c r="C619" s="3"/>
      <c r="D619" s="4"/>
      <c r="E619" s="4"/>
      <c r="F619" s="4"/>
      <c r="G619" s="4"/>
      <c r="H619" s="4"/>
      <c r="I619" s="4"/>
      <c r="J619" s="5"/>
      <c r="L619" s="6"/>
      <c r="M619" s="6"/>
      <c r="O619" s="7"/>
      <c r="Q619" s="8"/>
      <c r="Y619" s="136"/>
      <c r="AE619" s="330"/>
    </row>
    <row r="620" spans="2:31" ht="12.75" customHeight="1">
      <c r="B620" s="80"/>
      <c r="C620" s="3"/>
      <c r="D620" s="4"/>
      <c r="E620" s="4"/>
      <c r="F620" s="4"/>
      <c r="G620" s="4"/>
      <c r="H620" s="4"/>
      <c r="I620" s="4"/>
      <c r="J620" s="5"/>
      <c r="L620" s="6"/>
      <c r="M620" s="6"/>
      <c r="O620" s="7"/>
      <c r="Q620" s="8"/>
      <c r="Y620" s="136"/>
      <c r="AE620" s="330"/>
    </row>
    <row r="621" spans="2:31" ht="12.75" customHeight="1">
      <c r="B621" s="80"/>
      <c r="C621" s="3"/>
      <c r="D621" s="4"/>
      <c r="E621" s="4"/>
      <c r="F621" s="4"/>
      <c r="G621" s="4"/>
      <c r="H621" s="4"/>
      <c r="I621" s="4"/>
      <c r="J621" s="5"/>
      <c r="L621" s="6"/>
      <c r="M621" s="6"/>
      <c r="O621" s="7"/>
      <c r="Q621" s="8"/>
      <c r="Y621" s="136"/>
      <c r="AE621" s="330"/>
    </row>
    <row r="622" spans="2:31" ht="12.75" customHeight="1">
      <c r="B622" s="80"/>
      <c r="C622" s="3"/>
      <c r="D622" s="4"/>
      <c r="E622" s="4"/>
      <c r="F622" s="4"/>
      <c r="G622" s="4"/>
      <c r="H622" s="4"/>
      <c r="I622" s="4"/>
      <c r="J622" s="5"/>
      <c r="L622" s="6"/>
      <c r="M622" s="6"/>
      <c r="O622" s="7"/>
      <c r="Q622" s="8"/>
      <c r="Y622" s="136"/>
      <c r="AE622" s="330"/>
    </row>
    <row r="623" spans="2:31" ht="12.75" customHeight="1">
      <c r="B623" s="80"/>
      <c r="C623" s="3"/>
      <c r="D623" s="4"/>
      <c r="E623" s="4"/>
      <c r="F623" s="4"/>
      <c r="G623" s="4"/>
      <c r="H623" s="4"/>
      <c r="I623" s="4"/>
      <c r="J623" s="5"/>
      <c r="L623" s="6"/>
      <c r="M623" s="6"/>
      <c r="O623" s="7"/>
      <c r="Q623" s="8"/>
      <c r="Y623" s="136"/>
      <c r="AE623" s="330"/>
    </row>
    <row r="624" spans="2:31" ht="12.75" customHeight="1">
      <c r="B624" s="80"/>
      <c r="C624" s="3"/>
      <c r="D624" s="4"/>
      <c r="E624" s="4"/>
      <c r="F624" s="4"/>
      <c r="G624" s="4"/>
      <c r="H624" s="4"/>
      <c r="I624" s="4"/>
      <c r="J624" s="5"/>
      <c r="L624" s="6"/>
      <c r="M624" s="6"/>
      <c r="O624" s="7"/>
      <c r="Q624" s="8"/>
      <c r="Y624" s="136"/>
      <c r="AE624" s="330"/>
    </row>
    <row r="625" spans="2:31" ht="12.75" customHeight="1">
      <c r="B625" s="80"/>
      <c r="C625" s="3"/>
      <c r="D625" s="4"/>
      <c r="E625" s="4"/>
      <c r="F625" s="4"/>
      <c r="G625" s="4"/>
      <c r="H625" s="4"/>
      <c r="I625" s="4"/>
      <c r="J625" s="5"/>
      <c r="L625" s="6"/>
      <c r="M625" s="6"/>
      <c r="O625" s="7"/>
      <c r="Q625" s="8"/>
      <c r="Y625" s="136"/>
      <c r="AE625" s="330"/>
    </row>
    <row r="626" spans="2:31" ht="12.75" customHeight="1">
      <c r="B626" s="80"/>
      <c r="C626" s="3"/>
      <c r="D626" s="4"/>
      <c r="E626" s="4"/>
      <c r="F626" s="4"/>
      <c r="G626" s="4"/>
      <c r="H626" s="4"/>
      <c r="I626" s="4"/>
      <c r="J626" s="5"/>
      <c r="L626" s="6"/>
      <c r="M626" s="6"/>
      <c r="O626" s="7"/>
      <c r="Q626" s="8"/>
      <c r="Y626" s="136"/>
      <c r="AE626" s="330"/>
    </row>
    <row r="627" spans="2:31" ht="12.75" customHeight="1">
      <c r="B627" s="80"/>
      <c r="C627" s="3"/>
      <c r="D627" s="4"/>
      <c r="E627" s="4"/>
      <c r="F627" s="4"/>
      <c r="G627" s="4"/>
      <c r="H627" s="4"/>
      <c r="I627" s="4"/>
      <c r="J627" s="5"/>
      <c r="L627" s="6"/>
      <c r="M627" s="6"/>
      <c r="O627" s="7"/>
      <c r="Q627" s="8"/>
      <c r="Y627" s="136"/>
      <c r="AE627" s="330"/>
    </row>
    <row r="628" spans="2:31" ht="12.75" customHeight="1">
      <c r="B628" s="80"/>
      <c r="C628" s="3"/>
      <c r="D628" s="4"/>
      <c r="E628" s="4"/>
      <c r="F628" s="4"/>
      <c r="G628" s="4"/>
      <c r="H628" s="4"/>
      <c r="I628" s="4"/>
      <c r="J628" s="5"/>
      <c r="L628" s="6"/>
      <c r="M628" s="6"/>
      <c r="O628" s="7"/>
      <c r="Q628" s="8"/>
      <c r="Y628" s="136"/>
      <c r="AE628" s="330"/>
    </row>
    <row r="629" spans="2:31" ht="12.75" customHeight="1">
      <c r="B629" s="80"/>
      <c r="C629" s="3"/>
      <c r="D629" s="4"/>
      <c r="E629" s="4"/>
      <c r="F629" s="4"/>
      <c r="G629" s="4"/>
      <c r="H629" s="4"/>
      <c r="I629" s="4"/>
      <c r="J629" s="5"/>
      <c r="L629" s="6"/>
      <c r="M629" s="6"/>
      <c r="O629" s="7"/>
      <c r="Q629" s="8"/>
      <c r="Y629" s="136"/>
      <c r="AE629" s="330"/>
    </row>
    <row r="630" spans="2:31" ht="12.75" customHeight="1">
      <c r="B630" s="80"/>
      <c r="C630" s="3"/>
      <c r="D630" s="4"/>
      <c r="E630" s="4"/>
      <c r="F630" s="4"/>
      <c r="G630" s="4"/>
      <c r="H630" s="4"/>
      <c r="I630" s="4"/>
      <c r="J630" s="5"/>
      <c r="L630" s="6"/>
      <c r="M630" s="6"/>
      <c r="O630" s="7"/>
      <c r="Q630" s="8"/>
      <c r="Y630" s="136"/>
      <c r="AE630" s="330"/>
    </row>
    <row r="631" spans="2:31" ht="12.75" customHeight="1">
      <c r="B631" s="80"/>
      <c r="C631" s="3"/>
      <c r="D631" s="4"/>
      <c r="E631" s="4"/>
      <c r="F631" s="4"/>
      <c r="G631" s="4"/>
      <c r="H631" s="4"/>
      <c r="I631" s="4"/>
      <c r="J631" s="5"/>
      <c r="L631" s="6"/>
      <c r="M631" s="6"/>
      <c r="O631" s="7"/>
      <c r="Q631" s="8"/>
      <c r="Y631" s="136"/>
      <c r="AE631" s="330"/>
    </row>
    <row r="632" spans="2:31" ht="12.75" customHeight="1">
      <c r="B632" s="80"/>
      <c r="C632" s="3"/>
      <c r="D632" s="4"/>
      <c r="E632" s="4"/>
      <c r="F632" s="4"/>
      <c r="G632" s="4"/>
      <c r="H632" s="4"/>
      <c r="I632" s="4"/>
      <c r="J632" s="5"/>
      <c r="L632" s="6"/>
      <c r="M632" s="6"/>
      <c r="O632" s="7"/>
      <c r="Q632" s="8"/>
      <c r="Y632" s="136"/>
      <c r="AE632" s="330"/>
    </row>
    <row r="633" spans="2:31" ht="12.75" customHeight="1">
      <c r="B633" s="80"/>
      <c r="C633" s="3"/>
      <c r="D633" s="4"/>
      <c r="E633" s="4"/>
      <c r="F633" s="4"/>
      <c r="G633" s="4"/>
      <c r="H633" s="4"/>
      <c r="I633" s="4"/>
      <c r="J633" s="5"/>
      <c r="L633" s="6"/>
      <c r="M633" s="6"/>
      <c r="O633" s="7"/>
      <c r="Q633" s="8"/>
      <c r="Y633" s="136"/>
      <c r="AE633" s="330"/>
    </row>
    <row r="634" spans="2:31" ht="12.75" customHeight="1">
      <c r="B634" s="80"/>
      <c r="C634" s="3"/>
      <c r="D634" s="4"/>
      <c r="E634" s="4"/>
      <c r="F634" s="4"/>
      <c r="G634" s="4"/>
      <c r="H634" s="4"/>
      <c r="I634" s="4"/>
      <c r="J634" s="5"/>
      <c r="L634" s="6"/>
      <c r="M634" s="6"/>
      <c r="O634" s="7"/>
      <c r="Q634" s="8"/>
      <c r="Y634" s="136"/>
      <c r="AE634" s="330"/>
    </row>
    <row r="635" spans="2:31" ht="12.75" customHeight="1">
      <c r="B635" s="80"/>
      <c r="C635" s="3"/>
      <c r="D635" s="4"/>
      <c r="E635" s="4"/>
      <c r="F635" s="4"/>
      <c r="G635" s="4"/>
      <c r="H635" s="4"/>
      <c r="I635" s="4"/>
      <c r="J635" s="5"/>
      <c r="L635" s="6"/>
      <c r="M635" s="6"/>
      <c r="O635" s="7"/>
      <c r="Q635" s="8"/>
      <c r="Y635" s="136"/>
      <c r="AE635" s="330"/>
    </row>
    <row r="636" spans="2:31" ht="12.75" customHeight="1">
      <c r="B636" s="80"/>
      <c r="C636" s="3"/>
      <c r="D636" s="4"/>
      <c r="E636" s="4"/>
      <c r="F636" s="4"/>
      <c r="G636" s="4"/>
      <c r="H636" s="4"/>
      <c r="I636" s="4"/>
      <c r="J636" s="5"/>
      <c r="L636" s="6"/>
      <c r="M636" s="6"/>
      <c r="O636" s="7"/>
      <c r="Q636" s="8"/>
      <c r="Y636" s="136"/>
      <c r="AE636" s="330"/>
    </row>
    <row r="637" spans="2:31" ht="12.75" customHeight="1">
      <c r="B637" s="80"/>
      <c r="C637" s="3"/>
      <c r="D637" s="4"/>
      <c r="E637" s="4"/>
      <c r="F637" s="4"/>
      <c r="G637" s="4"/>
      <c r="H637" s="4"/>
      <c r="I637" s="4"/>
      <c r="J637" s="5"/>
      <c r="L637" s="6"/>
      <c r="M637" s="6"/>
      <c r="O637" s="7"/>
      <c r="Q637" s="8"/>
      <c r="Y637" s="136"/>
      <c r="AE637" s="330"/>
    </row>
    <row r="638" spans="2:31" ht="12.75" customHeight="1">
      <c r="B638" s="80"/>
      <c r="C638" s="3"/>
      <c r="D638" s="4"/>
      <c r="E638" s="4"/>
      <c r="F638" s="4"/>
      <c r="G638" s="4"/>
      <c r="H638" s="4"/>
      <c r="I638" s="4"/>
      <c r="J638" s="5"/>
      <c r="L638" s="6"/>
      <c r="M638" s="6"/>
      <c r="O638" s="7"/>
      <c r="Q638" s="8"/>
      <c r="Y638" s="136"/>
      <c r="AE638" s="330"/>
    </row>
    <row r="639" spans="2:31" ht="12.75" customHeight="1">
      <c r="B639" s="80"/>
      <c r="C639" s="3"/>
      <c r="D639" s="4"/>
      <c r="E639" s="4"/>
      <c r="F639" s="4"/>
      <c r="G639" s="4"/>
      <c r="H639" s="4"/>
      <c r="I639" s="4"/>
      <c r="J639" s="5"/>
      <c r="L639" s="6"/>
      <c r="M639" s="6"/>
      <c r="O639" s="7"/>
      <c r="Q639" s="8"/>
      <c r="Y639" s="136"/>
      <c r="AE639" s="330"/>
    </row>
    <row r="640" spans="2:31" ht="12.75" customHeight="1">
      <c r="B640" s="80"/>
      <c r="C640" s="3"/>
      <c r="D640" s="4"/>
      <c r="E640" s="4"/>
      <c r="F640" s="4"/>
      <c r="G640" s="4"/>
      <c r="H640" s="4"/>
      <c r="I640" s="4"/>
      <c r="J640" s="5"/>
      <c r="L640" s="6"/>
      <c r="M640" s="6"/>
      <c r="O640" s="7"/>
      <c r="Q640" s="8"/>
      <c r="Y640" s="136"/>
      <c r="AE640" s="330"/>
    </row>
    <row r="641" spans="2:31" ht="12.75" customHeight="1">
      <c r="B641" s="80"/>
      <c r="C641" s="3"/>
      <c r="D641" s="4"/>
      <c r="E641" s="4"/>
      <c r="F641" s="4"/>
      <c r="G641" s="4"/>
      <c r="H641" s="4"/>
      <c r="I641" s="4"/>
      <c r="J641" s="5"/>
      <c r="L641" s="6"/>
      <c r="M641" s="6"/>
      <c r="O641" s="7"/>
      <c r="Q641" s="8"/>
      <c r="Y641" s="136"/>
      <c r="AE641" s="330"/>
    </row>
    <row r="642" spans="2:31" ht="12.75" customHeight="1">
      <c r="B642" s="80"/>
      <c r="C642" s="3"/>
      <c r="D642" s="4"/>
      <c r="E642" s="4"/>
      <c r="F642" s="4"/>
      <c r="G642" s="4"/>
      <c r="H642" s="4"/>
      <c r="I642" s="4"/>
      <c r="J642" s="5"/>
      <c r="L642" s="6"/>
      <c r="M642" s="6"/>
      <c r="O642" s="7"/>
      <c r="Q642" s="8"/>
      <c r="Y642" s="136"/>
      <c r="AE642" s="330"/>
    </row>
    <row r="643" spans="2:31" ht="12.75" customHeight="1">
      <c r="B643" s="80"/>
      <c r="C643" s="3"/>
      <c r="D643" s="4"/>
      <c r="E643" s="4"/>
      <c r="F643" s="4"/>
      <c r="G643" s="4"/>
      <c r="H643" s="4"/>
      <c r="I643" s="4"/>
      <c r="J643" s="5"/>
      <c r="L643" s="6"/>
      <c r="M643" s="6"/>
      <c r="O643" s="7"/>
      <c r="Q643" s="8"/>
      <c r="Y643" s="136"/>
      <c r="AE643" s="330"/>
    </row>
    <row r="644" spans="2:31" ht="12.75" customHeight="1">
      <c r="B644" s="80"/>
      <c r="C644" s="3"/>
      <c r="D644" s="4"/>
      <c r="E644" s="4"/>
      <c r="F644" s="4"/>
      <c r="G644" s="4"/>
      <c r="H644" s="4"/>
      <c r="I644" s="4"/>
      <c r="J644" s="5"/>
      <c r="L644" s="6"/>
      <c r="M644" s="6"/>
      <c r="O644" s="7"/>
      <c r="Q644" s="8"/>
      <c r="Y644" s="136"/>
      <c r="AE644" s="330"/>
    </row>
    <row r="645" spans="2:31" ht="12.75" customHeight="1">
      <c r="B645" s="80"/>
      <c r="C645" s="3"/>
      <c r="D645" s="4"/>
      <c r="E645" s="4"/>
      <c r="F645" s="4"/>
      <c r="G645" s="4"/>
      <c r="H645" s="4"/>
      <c r="I645" s="4"/>
      <c r="J645" s="5"/>
      <c r="L645" s="6"/>
      <c r="M645" s="6"/>
      <c r="O645" s="7"/>
      <c r="Q645" s="8"/>
      <c r="Y645" s="136"/>
      <c r="AE645" s="330"/>
    </row>
    <row r="646" spans="2:31" ht="12.75" customHeight="1">
      <c r="B646" s="80"/>
      <c r="C646" s="3"/>
      <c r="D646" s="4"/>
      <c r="E646" s="4"/>
      <c r="F646" s="4"/>
      <c r="G646" s="4"/>
      <c r="H646" s="4"/>
      <c r="I646" s="4"/>
      <c r="J646" s="5"/>
      <c r="L646" s="6"/>
      <c r="M646" s="6"/>
      <c r="O646" s="7"/>
      <c r="Q646" s="8"/>
      <c r="Y646" s="136"/>
      <c r="AE646" s="330"/>
    </row>
    <row r="647" spans="2:31" ht="12.75" customHeight="1">
      <c r="B647" s="80"/>
      <c r="C647" s="3"/>
      <c r="D647" s="4"/>
      <c r="E647" s="4"/>
      <c r="F647" s="4"/>
      <c r="G647" s="4"/>
      <c r="H647" s="4"/>
      <c r="I647" s="4"/>
      <c r="J647" s="5"/>
      <c r="L647" s="6"/>
      <c r="M647" s="6"/>
      <c r="O647" s="7"/>
      <c r="Q647" s="8"/>
      <c r="Y647" s="136"/>
      <c r="AE647" s="330"/>
    </row>
    <row r="648" spans="2:31" ht="12.75" customHeight="1">
      <c r="B648" s="80"/>
      <c r="C648" s="3"/>
      <c r="D648" s="4"/>
      <c r="E648" s="4"/>
      <c r="F648" s="4"/>
      <c r="G648" s="4"/>
      <c r="H648" s="4"/>
      <c r="I648" s="4"/>
      <c r="J648" s="5"/>
      <c r="L648" s="6"/>
      <c r="M648" s="6"/>
      <c r="O648" s="7"/>
      <c r="Q648" s="8"/>
      <c r="Y648" s="136"/>
      <c r="AE648" s="330"/>
    </row>
    <row r="649" spans="2:31" ht="12.75" customHeight="1">
      <c r="B649" s="80"/>
      <c r="C649" s="3"/>
      <c r="D649" s="4"/>
      <c r="E649" s="4"/>
      <c r="F649" s="4"/>
      <c r="G649" s="4"/>
      <c r="H649" s="4"/>
      <c r="I649" s="4"/>
      <c r="J649" s="5"/>
      <c r="L649" s="6"/>
      <c r="M649" s="6"/>
      <c r="O649" s="7"/>
      <c r="Q649" s="8"/>
      <c r="Y649" s="136"/>
      <c r="AE649" s="330"/>
    </row>
    <row r="650" spans="2:31" ht="12.75" customHeight="1">
      <c r="B650" s="80"/>
      <c r="C650" s="3"/>
      <c r="D650" s="4"/>
      <c r="E650" s="4"/>
      <c r="F650" s="4"/>
      <c r="G650" s="4"/>
      <c r="H650" s="4"/>
      <c r="I650" s="4"/>
      <c r="J650" s="5"/>
      <c r="L650" s="6"/>
      <c r="M650" s="6"/>
      <c r="O650" s="7"/>
      <c r="Q650" s="8"/>
      <c r="Y650" s="136"/>
      <c r="AE650" s="330"/>
    </row>
    <row r="651" spans="2:31" ht="12.75" customHeight="1">
      <c r="B651" s="80"/>
      <c r="C651" s="3"/>
      <c r="D651" s="4"/>
      <c r="E651" s="4"/>
      <c r="F651" s="4"/>
      <c r="G651" s="4"/>
      <c r="H651" s="4"/>
      <c r="I651" s="4"/>
      <c r="J651" s="5"/>
      <c r="L651" s="6"/>
      <c r="M651" s="6"/>
      <c r="O651" s="7"/>
      <c r="Q651" s="8"/>
      <c r="Y651" s="136"/>
      <c r="AE651" s="330"/>
    </row>
    <row r="652" spans="2:31" ht="12.75" customHeight="1">
      <c r="B652" s="80"/>
      <c r="C652" s="3"/>
      <c r="D652" s="4"/>
      <c r="E652" s="4"/>
      <c r="F652" s="4"/>
      <c r="G652" s="4"/>
      <c r="H652" s="4"/>
      <c r="I652" s="4"/>
      <c r="J652" s="5"/>
      <c r="L652" s="6"/>
      <c r="M652" s="6"/>
      <c r="O652" s="7"/>
      <c r="Q652" s="8"/>
      <c r="Y652" s="136"/>
      <c r="AE652" s="330"/>
    </row>
    <row r="653" spans="2:31" ht="12.75" customHeight="1">
      <c r="B653" s="80"/>
      <c r="C653" s="3"/>
      <c r="D653" s="4"/>
      <c r="E653" s="4"/>
      <c r="F653" s="4"/>
      <c r="G653" s="4"/>
      <c r="H653" s="4"/>
      <c r="I653" s="4"/>
      <c r="J653" s="5"/>
      <c r="L653" s="6"/>
      <c r="M653" s="6"/>
      <c r="O653" s="7"/>
      <c r="Q653" s="8"/>
      <c r="Y653" s="136"/>
      <c r="AE653" s="330"/>
    </row>
    <row r="654" spans="2:31" ht="12.75" customHeight="1">
      <c r="B654" s="80"/>
      <c r="C654" s="3"/>
      <c r="D654" s="4"/>
      <c r="E654" s="4"/>
      <c r="F654" s="4"/>
      <c r="G654" s="4"/>
      <c r="H654" s="4"/>
      <c r="I654" s="4"/>
      <c r="J654" s="5"/>
      <c r="L654" s="6"/>
      <c r="M654" s="6"/>
      <c r="O654" s="7"/>
      <c r="Q654" s="8"/>
      <c r="Y654" s="136"/>
      <c r="AE654" s="330"/>
    </row>
    <row r="655" spans="2:31" ht="12.75" customHeight="1">
      <c r="B655" s="80"/>
      <c r="C655" s="3"/>
      <c r="D655" s="4"/>
      <c r="E655" s="4"/>
      <c r="F655" s="4"/>
      <c r="G655" s="4"/>
      <c r="H655" s="4"/>
      <c r="I655" s="4"/>
      <c r="J655" s="5"/>
      <c r="L655" s="6"/>
      <c r="M655" s="6"/>
      <c r="O655" s="7"/>
      <c r="Q655" s="8"/>
      <c r="Y655" s="136"/>
      <c r="AE655" s="330"/>
    </row>
    <row r="656" spans="2:31" ht="12.75" customHeight="1">
      <c r="B656" s="80"/>
      <c r="C656" s="3"/>
      <c r="D656" s="4"/>
      <c r="E656" s="4"/>
      <c r="F656" s="4"/>
      <c r="G656" s="4"/>
      <c r="H656" s="4"/>
      <c r="I656" s="4"/>
      <c r="J656" s="5"/>
      <c r="L656" s="6"/>
      <c r="M656" s="6"/>
      <c r="O656" s="7"/>
      <c r="Q656" s="8"/>
      <c r="Y656" s="136"/>
      <c r="AE656" s="330"/>
    </row>
    <row r="657" spans="2:31" ht="12.75" customHeight="1">
      <c r="B657" s="80"/>
      <c r="C657" s="3"/>
      <c r="D657" s="4"/>
      <c r="E657" s="4"/>
      <c r="F657" s="4"/>
      <c r="G657" s="4"/>
      <c r="H657" s="4"/>
      <c r="I657" s="4"/>
      <c r="J657" s="5"/>
      <c r="L657" s="6"/>
      <c r="M657" s="6"/>
      <c r="O657" s="7"/>
      <c r="Q657" s="8"/>
      <c r="Y657" s="136"/>
      <c r="AE657" s="330"/>
    </row>
    <row r="658" spans="2:31" ht="12.75" customHeight="1">
      <c r="B658" s="80"/>
      <c r="C658" s="3"/>
      <c r="D658" s="4"/>
      <c r="E658" s="4"/>
      <c r="F658" s="4"/>
      <c r="G658" s="4"/>
      <c r="H658" s="4"/>
      <c r="I658" s="4"/>
      <c r="J658" s="5"/>
      <c r="L658" s="6"/>
      <c r="M658" s="6"/>
      <c r="O658" s="7"/>
      <c r="Q658" s="8"/>
      <c r="Y658" s="136"/>
      <c r="AE658" s="330"/>
    </row>
    <row r="659" spans="2:31" ht="12.75" customHeight="1">
      <c r="B659" s="80"/>
      <c r="C659" s="3"/>
      <c r="D659" s="4"/>
      <c r="E659" s="4"/>
      <c r="F659" s="4"/>
      <c r="G659" s="4"/>
      <c r="H659" s="4"/>
      <c r="I659" s="4"/>
      <c r="J659" s="5"/>
      <c r="L659" s="6"/>
      <c r="M659" s="6"/>
      <c r="O659" s="7"/>
      <c r="Q659" s="8"/>
      <c r="Y659" s="136"/>
      <c r="AE659" s="330"/>
    </row>
    <row r="660" spans="2:31" ht="12.75" customHeight="1">
      <c r="B660" s="80"/>
      <c r="C660" s="3"/>
      <c r="D660" s="4"/>
      <c r="E660" s="4"/>
      <c r="F660" s="4"/>
      <c r="G660" s="4"/>
      <c r="H660" s="4"/>
      <c r="I660" s="4"/>
      <c r="J660" s="5"/>
      <c r="L660" s="6"/>
      <c r="M660" s="6"/>
      <c r="O660" s="7"/>
      <c r="Q660" s="8"/>
      <c r="Y660" s="136"/>
      <c r="AE660" s="330"/>
    </row>
    <row r="661" spans="2:31" ht="12.75" customHeight="1">
      <c r="B661" s="80"/>
      <c r="C661" s="3"/>
      <c r="D661" s="4"/>
      <c r="E661" s="4"/>
      <c r="F661" s="4"/>
      <c r="G661" s="4"/>
      <c r="H661" s="4"/>
      <c r="I661" s="4"/>
      <c r="J661" s="5"/>
      <c r="L661" s="6"/>
      <c r="M661" s="6"/>
      <c r="O661" s="7"/>
      <c r="Q661" s="8"/>
      <c r="Y661" s="136"/>
      <c r="AE661" s="330"/>
    </row>
    <row r="662" spans="2:31" ht="12.75" customHeight="1">
      <c r="B662" s="80"/>
      <c r="C662" s="3"/>
      <c r="D662" s="4"/>
      <c r="E662" s="4"/>
      <c r="F662" s="4"/>
      <c r="G662" s="4"/>
      <c r="H662" s="4"/>
      <c r="I662" s="4"/>
      <c r="J662" s="5"/>
      <c r="L662" s="6"/>
      <c r="M662" s="6"/>
      <c r="O662" s="7"/>
      <c r="Q662" s="8"/>
      <c r="Y662" s="136"/>
      <c r="AE662" s="330"/>
    </row>
    <row r="663" spans="2:31" ht="12.75" customHeight="1">
      <c r="B663" s="80"/>
      <c r="C663" s="3"/>
      <c r="D663" s="4"/>
      <c r="E663" s="4"/>
      <c r="F663" s="4"/>
      <c r="G663" s="4"/>
      <c r="H663" s="4"/>
      <c r="I663" s="4"/>
      <c r="J663" s="5"/>
      <c r="L663" s="6"/>
      <c r="M663" s="6"/>
      <c r="O663" s="7"/>
      <c r="Q663" s="8"/>
      <c r="Y663" s="136"/>
      <c r="AE663" s="330"/>
    </row>
    <row r="664" spans="2:31" ht="12.75" customHeight="1">
      <c r="B664" s="80"/>
      <c r="C664" s="3"/>
      <c r="D664" s="4"/>
      <c r="E664" s="4"/>
      <c r="F664" s="4"/>
      <c r="G664" s="4"/>
      <c r="H664" s="4"/>
      <c r="I664" s="4"/>
      <c r="J664" s="5"/>
      <c r="L664" s="6"/>
      <c r="M664" s="6"/>
      <c r="O664" s="7"/>
      <c r="Q664" s="8"/>
      <c r="Y664" s="136"/>
      <c r="AE664" s="330"/>
    </row>
    <row r="665" spans="2:31" ht="12.75" customHeight="1">
      <c r="B665" s="80"/>
      <c r="C665" s="3"/>
      <c r="D665" s="4"/>
      <c r="E665" s="4"/>
      <c r="F665" s="4"/>
      <c r="G665" s="4"/>
      <c r="H665" s="4"/>
      <c r="I665" s="4"/>
      <c r="J665" s="5"/>
      <c r="L665" s="6"/>
      <c r="M665" s="6"/>
      <c r="O665" s="7"/>
      <c r="Q665" s="8"/>
      <c r="Y665" s="136"/>
      <c r="AE665" s="330"/>
    </row>
    <row r="666" spans="2:31" ht="12.75" customHeight="1">
      <c r="B666" s="80"/>
      <c r="C666" s="3"/>
      <c r="D666" s="4"/>
      <c r="E666" s="4"/>
      <c r="F666" s="4"/>
      <c r="G666" s="4"/>
      <c r="H666" s="4"/>
      <c r="I666" s="4"/>
      <c r="J666" s="5"/>
      <c r="L666" s="6"/>
      <c r="M666" s="6"/>
      <c r="O666" s="7"/>
      <c r="Q666" s="8"/>
      <c r="Y666" s="136"/>
      <c r="AE666" s="330"/>
    </row>
    <row r="667" spans="2:31" ht="12.75" customHeight="1">
      <c r="B667" s="80"/>
      <c r="C667" s="3"/>
      <c r="D667" s="4"/>
      <c r="E667" s="4"/>
      <c r="F667" s="4"/>
      <c r="G667" s="4"/>
      <c r="H667" s="4"/>
      <c r="I667" s="4"/>
      <c r="J667" s="5"/>
      <c r="L667" s="6"/>
      <c r="M667" s="6"/>
      <c r="O667" s="7"/>
      <c r="Q667" s="8"/>
      <c r="Y667" s="136"/>
      <c r="AE667" s="330"/>
    </row>
    <row r="668" spans="2:31" ht="12.75" customHeight="1">
      <c r="B668" s="80"/>
      <c r="C668" s="3"/>
      <c r="D668" s="4"/>
      <c r="E668" s="4"/>
      <c r="F668" s="4"/>
      <c r="G668" s="4"/>
      <c r="H668" s="4"/>
      <c r="I668" s="4"/>
      <c r="J668" s="5"/>
      <c r="L668" s="6"/>
      <c r="M668" s="6"/>
      <c r="O668" s="7"/>
      <c r="Q668" s="8"/>
      <c r="Y668" s="136"/>
      <c r="AE668" s="330"/>
    </row>
    <row r="669" spans="2:31" ht="12.75" customHeight="1">
      <c r="B669" s="80"/>
      <c r="C669" s="3"/>
      <c r="D669" s="4"/>
      <c r="E669" s="4"/>
      <c r="F669" s="4"/>
      <c r="G669" s="4"/>
      <c r="H669" s="4"/>
      <c r="I669" s="4"/>
      <c r="J669" s="5"/>
      <c r="L669" s="6"/>
      <c r="M669" s="6"/>
      <c r="O669" s="7"/>
      <c r="Q669" s="8"/>
      <c r="Y669" s="136"/>
      <c r="AE669" s="330"/>
    </row>
    <row r="670" spans="2:31" ht="12.75" customHeight="1">
      <c r="B670" s="80"/>
      <c r="C670" s="3"/>
      <c r="D670" s="4"/>
      <c r="E670" s="4"/>
      <c r="F670" s="4"/>
      <c r="G670" s="4"/>
      <c r="H670" s="4"/>
      <c r="I670" s="4"/>
      <c r="J670" s="5"/>
      <c r="L670" s="6"/>
      <c r="M670" s="6"/>
      <c r="O670" s="7"/>
      <c r="Q670" s="8"/>
      <c r="Y670" s="136"/>
      <c r="AE670" s="330"/>
    </row>
    <row r="671" spans="2:31" ht="12.75" customHeight="1">
      <c r="B671" s="80"/>
      <c r="C671" s="3"/>
      <c r="D671" s="4"/>
      <c r="E671" s="4"/>
      <c r="F671" s="4"/>
      <c r="G671" s="4"/>
      <c r="H671" s="4"/>
      <c r="I671" s="4"/>
      <c r="J671" s="5"/>
      <c r="L671" s="6"/>
      <c r="M671" s="6"/>
      <c r="O671" s="7"/>
      <c r="Q671" s="8"/>
      <c r="Y671" s="136"/>
      <c r="AE671" s="330"/>
    </row>
    <row r="672" spans="2:31" ht="12.75" customHeight="1">
      <c r="B672" s="80"/>
      <c r="C672" s="3"/>
      <c r="D672" s="4"/>
      <c r="E672" s="4"/>
      <c r="F672" s="4"/>
      <c r="G672" s="4"/>
      <c r="H672" s="4"/>
      <c r="I672" s="4"/>
      <c r="J672" s="5"/>
      <c r="L672" s="6"/>
      <c r="M672" s="6"/>
      <c r="O672" s="7"/>
      <c r="Q672" s="8"/>
      <c r="Y672" s="136"/>
      <c r="AE672" s="330"/>
    </row>
    <row r="673" spans="2:31" ht="12.75" customHeight="1">
      <c r="B673" s="80"/>
      <c r="C673" s="3"/>
      <c r="D673" s="4"/>
      <c r="E673" s="4"/>
      <c r="F673" s="4"/>
      <c r="G673" s="4"/>
      <c r="H673" s="4"/>
      <c r="I673" s="4"/>
      <c r="J673" s="5"/>
      <c r="L673" s="6"/>
      <c r="M673" s="6"/>
      <c r="O673" s="7"/>
      <c r="Q673" s="8"/>
      <c r="Y673" s="136"/>
      <c r="AE673" s="330"/>
    </row>
    <row r="674" spans="2:31" ht="12.75" customHeight="1">
      <c r="B674" s="80"/>
      <c r="C674" s="3"/>
      <c r="D674" s="4"/>
      <c r="E674" s="4"/>
      <c r="F674" s="4"/>
      <c r="G674" s="4"/>
      <c r="H674" s="4"/>
      <c r="I674" s="4"/>
      <c r="J674" s="5"/>
      <c r="L674" s="6"/>
      <c r="M674" s="6"/>
      <c r="O674" s="7"/>
      <c r="Q674" s="8"/>
      <c r="Y674" s="136"/>
      <c r="AE674" s="330"/>
    </row>
    <row r="675" spans="2:31" ht="12.75" customHeight="1">
      <c r="B675" s="80"/>
      <c r="C675" s="3"/>
      <c r="D675" s="4"/>
      <c r="E675" s="4"/>
      <c r="F675" s="4"/>
      <c r="G675" s="4"/>
      <c r="H675" s="4"/>
      <c r="I675" s="4"/>
      <c r="J675" s="5"/>
      <c r="L675" s="6"/>
      <c r="M675" s="6"/>
      <c r="O675" s="7"/>
      <c r="Q675" s="8"/>
      <c r="Y675" s="136"/>
      <c r="AE675" s="330"/>
    </row>
    <row r="676" spans="2:31" ht="12.75" customHeight="1">
      <c r="B676" s="80"/>
      <c r="C676" s="3"/>
      <c r="D676" s="4"/>
      <c r="E676" s="4"/>
      <c r="F676" s="4"/>
      <c r="G676" s="4"/>
      <c r="H676" s="4"/>
      <c r="I676" s="4"/>
      <c r="J676" s="5"/>
      <c r="L676" s="6"/>
      <c r="M676" s="6"/>
      <c r="O676" s="7"/>
      <c r="Q676" s="8"/>
      <c r="Y676" s="136"/>
      <c r="AE676" s="330"/>
    </row>
    <row r="677" spans="2:31" ht="12.75" customHeight="1">
      <c r="B677" s="80"/>
      <c r="C677" s="3"/>
      <c r="D677" s="4"/>
      <c r="E677" s="4"/>
      <c r="F677" s="4"/>
      <c r="G677" s="4"/>
      <c r="H677" s="4"/>
      <c r="I677" s="4"/>
      <c r="J677" s="5"/>
      <c r="L677" s="6"/>
      <c r="M677" s="6"/>
      <c r="O677" s="7"/>
      <c r="Q677" s="8"/>
      <c r="Y677" s="136"/>
      <c r="AE677" s="330"/>
    </row>
    <row r="678" spans="2:31" ht="12.75" customHeight="1">
      <c r="B678" s="80"/>
      <c r="C678" s="3"/>
      <c r="D678" s="4"/>
      <c r="E678" s="4"/>
      <c r="F678" s="4"/>
      <c r="G678" s="4"/>
      <c r="H678" s="4"/>
      <c r="I678" s="4"/>
      <c r="J678" s="5"/>
      <c r="L678" s="6"/>
      <c r="M678" s="6"/>
      <c r="O678" s="7"/>
      <c r="Q678" s="8"/>
      <c r="Y678" s="136"/>
      <c r="AE678" s="330"/>
    </row>
    <row r="679" spans="2:31" ht="12.75" customHeight="1">
      <c r="B679" s="80"/>
      <c r="C679" s="3"/>
      <c r="D679" s="4"/>
      <c r="E679" s="4"/>
      <c r="F679" s="4"/>
      <c r="G679" s="4"/>
      <c r="H679" s="4"/>
      <c r="I679" s="4"/>
      <c r="J679" s="5"/>
      <c r="L679" s="6"/>
      <c r="M679" s="6"/>
      <c r="O679" s="7"/>
      <c r="Q679" s="8"/>
      <c r="Y679" s="136"/>
      <c r="AE679" s="330"/>
    </row>
    <row r="680" spans="2:31" ht="12.75" customHeight="1">
      <c r="B680" s="80"/>
      <c r="C680" s="3"/>
      <c r="D680" s="4"/>
      <c r="E680" s="4"/>
      <c r="F680" s="4"/>
      <c r="G680" s="4"/>
      <c r="H680" s="4"/>
      <c r="I680" s="4"/>
      <c r="J680" s="5"/>
      <c r="L680" s="6"/>
      <c r="M680" s="6"/>
      <c r="O680" s="7"/>
      <c r="Q680" s="8"/>
      <c r="Y680" s="136"/>
      <c r="AE680" s="330"/>
    </row>
    <row r="681" spans="2:31" ht="12.75" customHeight="1">
      <c r="B681" s="80"/>
      <c r="C681" s="3"/>
      <c r="D681" s="4"/>
      <c r="E681" s="4"/>
      <c r="F681" s="4"/>
      <c r="G681" s="4"/>
      <c r="H681" s="4"/>
      <c r="I681" s="4"/>
      <c r="J681" s="5"/>
      <c r="L681" s="6"/>
      <c r="M681" s="6"/>
      <c r="O681" s="7"/>
      <c r="Q681" s="8"/>
      <c r="Y681" s="136"/>
      <c r="AE681" s="330"/>
    </row>
    <row r="682" spans="2:31" ht="12.75" customHeight="1">
      <c r="B682" s="80"/>
      <c r="C682" s="3"/>
      <c r="D682" s="4"/>
      <c r="E682" s="4"/>
      <c r="F682" s="4"/>
      <c r="G682" s="4"/>
      <c r="H682" s="4"/>
      <c r="I682" s="4"/>
      <c r="J682" s="5"/>
      <c r="L682" s="6"/>
      <c r="M682" s="6"/>
      <c r="O682" s="7"/>
      <c r="Q682" s="8"/>
      <c r="Y682" s="136"/>
      <c r="AE682" s="330"/>
    </row>
    <row r="683" spans="2:31" ht="12.75" customHeight="1">
      <c r="B683" s="80"/>
      <c r="C683" s="3"/>
      <c r="D683" s="4"/>
      <c r="E683" s="4"/>
      <c r="F683" s="4"/>
      <c r="G683" s="4"/>
      <c r="H683" s="4"/>
      <c r="I683" s="4"/>
      <c r="J683" s="5"/>
      <c r="L683" s="6"/>
      <c r="M683" s="6"/>
      <c r="O683" s="7"/>
      <c r="Q683" s="8"/>
      <c r="Y683" s="136"/>
      <c r="AE683" s="330"/>
    </row>
    <row r="684" spans="2:31" ht="12.75" customHeight="1">
      <c r="B684" s="80"/>
      <c r="C684" s="3"/>
      <c r="D684" s="4"/>
      <c r="E684" s="4"/>
      <c r="F684" s="4"/>
      <c r="G684" s="4"/>
      <c r="H684" s="4"/>
      <c r="I684" s="4"/>
      <c r="J684" s="5"/>
      <c r="L684" s="6"/>
      <c r="M684" s="6"/>
      <c r="O684" s="7"/>
      <c r="Q684" s="8"/>
      <c r="Y684" s="136"/>
      <c r="AE684" s="330"/>
    </row>
    <row r="685" spans="2:31" ht="12.75" customHeight="1">
      <c r="B685" s="80"/>
      <c r="C685" s="3"/>
      <c r="D685" s="4"/>
      <c r="E685" s="4"/>
      <c r="F685" s="4"/>
      <c r="G685" s="4"/>
      <c r="H685" s="4"/>
      <c r="I685" s="4"/>
      <c r="J685" s="5"/>
      <c r="L685" s="6"/>
      <c r="M685" s="6"/>
      <c r="O685" s="7"/>
      <c r="Q685" s="8"/>
      <c r="Y685" s="136"/>
      <c r="AE685" s="330"/>
    </row>
    <row r="686" spans="2:31" ht="12.75" customHeight="1">
      <c r="B686" s="80"/>
      <c r="C686" s="3"/>
      <c r="D686" s="4"/>
      <c r="E686" s="4"/>
      <c r="F686" s="4"/>
      <c r="G686" s="4"/>
      <c r="H686" s="4"/>
      <c r="I686" s="4"/>
      <c r="J686" s="5"/>
      <c r="L686" s="6"/>
      <c r="M686" s="6"/>
      <c r="O686" s="7"/>
      <c r="Q686" s="8"/>
      <c r="Y686" s="136"/>
      <c r="AE686" s="330"/>
    </row>
    <row r="687" spans="2:31" ht="12.75" customHeight="1">
      <c r="B687" s="80"/>
      <c r="C687" s="3"/>
      <c r="D687" s="4"/>
      <c r="E687" s="4"/>
      <c r="F687" s="4"/>
      <c r="G687" s="4"/>
      <c r="H687" s="4"/>
      <c r="I687" s="4"/>
      <c r="J687" s="5"/>
      <c r="L687" s="6"/>
      <c r="M687" s="6"/>
      <c r="O687" s="7"/>
      <c r="Q687" s="8"/>
      <c r="Y687" s="136"/>
      <c r="AE687" s="330"/>
    </row>
    <row r="688" spans="2:31" ht="12.75" customHeight="1">
      <c r="B688" s="80"/>
      <c r="C688" s="3"/>
      <c r="D688" s="4"/>
      <c r="E688" s="4"/>
      <c r="F688" s="4"/>
      <c r="G688" s="4"/>
      <c r="H688" s="4"/>
      <c r="I688" s="4"/>
      <c r="J688" s="5"/>
      <c r="L688" s="6"/>
      <c r="M688" s="6"/>
      <c r="O688" s="7"/>
      <c r="Q688" s="8"/>
      <c r="Y688" s="136"/>
      <c r="AE688" s="330"/>
    </row>
    <row r="689" spans="2:31" ht="12.75" customHeight="1">
      <c r="B689" s="80"/>
      <c r="C689" s="3"/>
      <c r="D689" s="4"/>
      <c r="E689" s="4"/>
      <c r="F689" s="4"/>
      <c r="G689" s="4"/>
      <c r="H689" s="4"/>
      <c r="I689" s="4"/>
      <c r="J689" s="5"/>
      <c r="L689" s="6"/>
      <c r="M689" s="6"/>
      <c r="O689" s="7"/>
      <c r="Q689" s="8"/>
      <c r="Y689" s="136"/>
      <c r="AE689" s="330"/>
    </row>
    <row r="690" spans="2:31" ht="12.75" customHeight="1">
      <c r="B690" s="80"/>
      <c r="C690" s="3"/>
      <c r="D690" s="4"/>
      <c r="E690" s="4"/>
      <c r="F690" s="4"/>
      <c r="G690" s="4"/>
      <c r="H690" s="4"/>
      <c r="I690" s="4"/>
      <c r="J690" s="5"/>
      <c r="L690" s="6"/>
      <c r="M690" s="6"/>
      <c r="O690" s="7"/>
      <c r="Q690" s="8"/>
      <c r="Y690" s="136"/>
      <c r="AE690" s="330"/>
    </row>
    <row r="691" spans="2:31" ht="12.75" customHeight="1">
      <c r="B691" s="80"/>
      <c r="C691" s="3"/>
      <c r="D691" s="4"/>
      <c r="E691" s="4"/>
      <c r="F691" s="4"/>
      <c r="G691" s="4"/>
      <c r="H691" s="4"/>
      <c r="I691" s="4"/>
      <c r="J691" s="5"/>
      <c r="L691" s="6"/>
      <c r="M691" s="6"/>
      <c r="O691" s="7"/>
      <c r="Q691" s="8"/>
      <c r="Y691" s="136"/>
      <c r="AE691" s="330"/>
    </row>
    <row r="692" spans="2:31" ht="12.75" customHeight="1">
      <c r="B692" s="80"/>
      <c r="C692" s="3"/>
      <c r="D692" s="4"/>
      <c r="E692" s="4"/>
      <c r="F692" s="4"/>
      <c r="G692" s="4"/>
      <c r="H692" s="4"/>
      <c r="I692" s="4"/>
      <c r="J692" s="5"/>
      <c r="L692" s="6"/>
      <c r="M692" s="6"/>
      <c r="O692" s="7"/>
      <c r="Q692" s="8"/>
      <c r="Y692" s="136"/>
      <c r="AE692" s="330"/>
    </row>
    <row r="693" spans="2:31" ht="12.75" customHeight="1">
      <c r="B693" s="80"/>
      <c r="C693" s="3"/>
      <c r="D693" s="4"/>
      <c r="E693" s="4"/>
      <c r="F693" s="4"/>
      <c r="G693" s="4"/>
      <c r="H693" s="4"/>
      <c r="I693" s="4"/>
      <c r="J693" s="5"/>
      <c r="L693" s="6"/>
      <c r="M693" s="6"/>
      <c r="O693" s="7"/>
      <c r="Q693" s="8"/>
      <c r="Y693" s="136"/>
      <c r="AE693" s="330"/>
    </row>
    <row r="694" spans="2:31" ht="12.75" customHeight="1">
      <c r="B694" s="80"/>
      <c r="C694" s="3"/>
      <c r="D694" s="4"/>
      <c r="E694" s="4"/>
      <c r="F694" s="4"/>
      <c r="G694" s="4"/>
      <c r="H694" s="4"/>
      <c r="I694" s="4"/>
      <c r="J694" s="5"/>
      <c r="L694" s="6"/>
      <c r="M694" s="6"/>
      <c r="O694" s="7"/>
      <c r="Q694" s="8"/>
      <c r="Y694" s="136"/>
      <c r="AE694" s="330"/>
    </row>
    <row r="695" spans="2:31" ht="12.75" customHeight="1">
      <c r="B695" s="80"/>
      <c r="C695" s="3"/>
      <c r="D695" s="4"/>
      <c r="E695" s="4"/>
      <c r="F695" s="4"/>
      <c r="G695" s="4"/>
      <c r="H695" s="4"/>
      <c r="I695" s="4"/>
      <c r="J695" s="5"/>
      <c r="L695" s="6"/>
      <c r="M695" s="6"/>
      <c r="O695" s="7"/>
      <c r="Q695" s="8"/>
      <c r="Y695" s="136"/>
      <c r="AE695" s="330"/>
    </row>
    <row r="696" spans="2:31" ht="12.75" customHeight="1">
      <c r="B696" s="80"/>
      <c r="C696" s="3"/>
      <c r="D696" s="4"/>
      <c r="E696" s="4"/>
      <c r="F696" s="4"/>
      <c r="G696" s="4"/>
      <c r="H696" s="4"/>
      <c r="I696" s="4"/>
      <c r="J696" s="5"/>
      <c r="L696" s="6"/>
      <c r="M696" s="6"/>
      <c r="O696" s="7"/>
      <c r="Q696" s="8"/>
      <c r="Y696" s="136"/>
      <c r="AE696" s="330"/>
    </row>
    <row r="697" spans="2:31" ht="12.75" customHeight="1">
      <c r="B697" s="80"/>
      <c r="C697" s="3"/>
      <c r="D697" s="4"/>
      <c r="E697" s="4"/>
      <c r="F697" s="4"/>
      <c r="G697" s="4"/>
      <c r="H697" s="4"/>
      <c r="I697" s="4"/>
      <c r="J697" s="5"/>
      <c r="L697" s="6"/>
      <c r="M697" s="6"/>
      <c r="O697" s="7"/>
      <c r="Q697" s="8"/>
      <c r="Y697" s="136"/>
      <c r="AE697" s="330"/>
    </row>
    <row r="698" spans="2:31" ht="12.75" customHeight="1">
      <c r="B698" s="80"/>
      <c r="C698" s="3"/>
      <c r="D698" s="4"/>
      <c r="E698" s="4"/>
      <c r="F698" s="4"/>
      <c r="G698" s="4"/>
      <c r="H698" s="4"/>
      <c r="I698" s="4"/>
      <c r="J698" s="5"/>
      <c r="L698" s="6"/>
      <c r="M698" s="6"/>
      <c r="O698" s="7"/>
      <c r="Q698" s="8"/>
      <c r="Y698" s="136"/>
      <c r="AE698" s="330"/>
    </row>
    <row r="699" spans="2:31" ht="12.75" customHeight="1">
      <c r="B699" s="80"/>
      <c r="C699" s="3"/>
      <c r="D699" s="4"/>
      <c r="E699" s="4"/>
      <c r="F699" s="4"/>
      <c r="G699" s="4"/>
      <c r="H699" s="4"/>
      <c r="I699" s="4"/>
      <c r="J699" s="5"/>
      <c r="L699" s="6"/>
      <c r="M699" s="6"/>
      <c r="O699" s="7"/>
      <c r="Q699" s="8"/>
      <c r="Y699" s="136"/>
      <c r="AE699" s="330"/>
    </row>
    <row r="700" spans="2:31" ht="12.75" customHeight="1">
      <c r="B700" s="80"/>
      <c r="C700" s="3"/>
      <c r="D700" s="4"/>
      <c r="E700" s="4"/>
      <c r="F700" s="4"/>
      <c r="G700" s="4"/>
      <c r="H700" s="4"/>
      <c r="I700" s="4"/>
      <c r="J700" s="5"/>
      <c r="L700" s="6"/>
      <c r="M700" s="6"/>
      <c r="O700" s="7"/>
      <c r="Q700" s="8"/>
      <c r="Y700" s="136"/>
      <c r="AE700" s="330"/>
    </row>
    <row r="701" spans="2:31" ht="12.75" customHeight="1">
      <c r="B701" s="80"/>
      <c r="C701" s="3"/>
      <c r="D701" s="4"/>
      <c r="E701" s="4"/>
      <c r="F701" s="4"/>
      <c r="G701" s="4"/>
      <c r="H701" s="4"/>
      <c r="I701" s="4"/>
      <c r="J701" s="5"/>
      <c r="L701" s="6"/>
      <c r="M701" s="6"/>
      <c r="O701" s="7"/>
      <c r="Q701" s="8"/>
      <c r="Y701" s="136"/>
      <c r="AE701" s="330"/>
    </row>
    <row r="702" spans="2:31" ht="12.75" customHeight="1">
      <c r="B702" s="80"/>
      <c r="C702" s="3"/>
      <c r="D702" s="4"/>
      <c r="E702" s="4"/>
      <c r="F702" s="4"/>
      <c r="G702" s="4"/>
      <c r="H702" s="4"/>
      <c r="I702" s="4"/>
      <c r="J702" s="5"/>
      <c r="L702" s="6"/>
      <c r="M702" s="6"/>
      <c r="O702" s="7"/>
      <c r="Q702" s="8"/>
      <c r="Y702" s="136"/>
      <c r="AE702" s="330"/>
    </row>
    <row r="703" spans="2:31" ht="12.75" customHeight="1">
      <c r="B703" s="80"/>
      <c r="C703" s="3"/>
      <c r="D703" s="4"/>
      <c r="E703" s="4"/>
      <c r="F703" s="4"/>
      <c r="G703" s="4"/>
      <c r="H703" s="4"/>
      <c r="I703" s="4"/>
      <c r="J703" s="5"/>
      <c r="L703" s="6"/>
      <c r="M703" s="6"/>
      <c r="O703" s="7"/>
      <c r="Q703" s="8"/>
      <c r="Y703" s="136"/>
      <c r="AE703" s="330"/>
    </row>
    <row r="704" spans="2:31" ht="12.75" customHeight="1">
      <c r="B704" s="80"/>
      <c r="C704" s="3"/>
      <c r="D704" s="4"/>
      <c r="E704" s="4"/>
      <c r="F704" s="4"/>
      <c r="G704" s="4"/>
      <c r="H704" s="4"/>
      <c r="I704" s="4"/>
      <c r="J704" s="5"/>
      <c r="L704" s="6"/>
      <c r="M704" s="6"/>
      <c r="O704" s="7"/>
      <c r="Q704" s="8"/>
      <c r="Y704" s="136"/>
      <c r="AE704" s="330"/>
    </row>
    <row r="705" spans="2:31" ht="12.75" customHeight="1">
      <c r="B705" s="80"/>
      <c r="C705" s="3"/>
      <c r="D705" s="4"/>
      <c r="E705" s="4"/>
      <c r="F705" s="4"/>
      <c r="G705" s="4"/>
      <c r="H705" s="4"/>
      <c r="I705" s="4"/>
      <c r="J705" s="5"/>
      <c r="L705" s="6"/>
      <c r="M705" s="6"/>
      <c r="O705" s="7"/>
      <c r="Q705" s="8"/>
      <c r="Y705" s="136"/>
      <c r="AE705" s="330"/>
    </row>
    <row r="706" spans="2:31" ht="12.75" customHeight="1">
      <c r="B706" s="80"/>
      <c r="C706" s="3"/>
      <c r="D706" s="4"/>
      <c r="E706" s="4"/>
      <c r="F706" s="4"/>
      <c r="G706" s="4"/>
      <c r="H706" s="4"/>
      <c r="I706" s="4"/>
      <c r="J706" s="5"/>
      <c r="L706" s="6"/>
      <c r="M706" s="6"/>
      <c r="O706" s="7"/>
      <c r="Q706" s="8"/>
      <c r="Y706" s="136"/>
      <c r="AE706" s="330"/>
    </row>
    <row r="707" spans="2:31" ht="12.75" customHeight="1">
      <c r="B707" s="80"/>
      <c r="C707" s="3"/>
      <c r="D707" s="4"/>
      <c r="E707" s="4"/>
      <c r="F707" s="4"/>
      <c r="G707" s="4"/>
      <c r="H707" s="4"/>
      <c r="I707" s="4"/>
      <c r="J707" s="5"/>
      <c r="L707" s="6"/>
      <c r="M707" s="6"/>
      <c r="O707" s="7"/>
      <c r="Q707" s="8"/>
      <c r="Y707" s="136"/>
      <c r="AE707" s="330"/>
    </row>
    <row r="708" spans="2:31" ht="12.75" customHeight="1">
      <c r="B708" s="80"/>
      <c r="C708" s="3"/>
      <c r="D708" s="4"/>
      <c r="E708" s="4"/>
      <c r="F708" s="4"/>
      <c r="G708" s="4"/>
      <c r="H708" s="4"/>
      <c r="I708" s="4"/>
      <c r="J708" s="5"/>
      <c r="L708" s="6"/>
      <c r="M708" s="6"/>
      <c r="O708" s="7"/>
      <c r="Q708" s="8"/>
      <c r="Y708" s="136"/>
      <c r="AE708" s="330"/>
    </row>
    <row r="709" spans="2:31" ht="12.75" customHeight="1">
      <c r="B709" s="80"/>
      <c r="C709" s="3"/>
      <c r="D709" s="4"/>
      <c r="E709" s="4"/>
      <c r="F709" s="4"/>
      <c r="G709" s="4"/>
      <c r="H709" s="4"/>
      <c r="I709" s="4"/>
      <c r="J709" s="5"/>
      <c r="L709" s="6"/>
      <c r="M709" s="6"/>
      <c r="O709" s="7"/>
      <c r="Q709" s="8"/>
      <c r="Y709" s="136"/>
      <c r="AE709" s="330"/>
    </row>
    <row r="710" spans="2:31" ht="12.75" customHeight="1">
      <c r="B710" s="80"/>
      <c r="C710" s="3"/>
      <c r="D710" s="4"/>
      <c r="E710" s="4"/>
      <c r="F710" s="4"/>
      <c r="G710" s="4"/>
      <c r="H710" s="4"/>
      <c r="I710" s="4"/>
      <c r="J710" s="5"/>
      <c r="L710" s="6"/>
      <c r="M710" s="6"/>
      <c r="O710" s="7"/>
      <c r="Q710" s="8"/>
      <c r="Y710" s="136"/>
      <c r="AE710" s="330"/>
    </row>
    <row r="711" spans="2:31" ht="12.75" customHeight="1">
      <c r="B711" s="80"/>
      <c r="C711" s="3"/>
      <c r="D711" s="4"/>
      <c r="E711" s="4"/>
      <c r="F711" s="4"/>
      <c r="G711" s="4"/>
      <c r="H711" s="4"/>
      <c r="I711" s="4"/>
      <c r="J711" s="5"/>
      <c r="L711" s="6"/>
      <c r="M711" s="6"/>
      <c r="O711" s="7"/>
      <c r="Q711" s="8"/>
      <c r="Y711" s="136"/>
      <c r="AE711" s="330"/>
    </row>
    <row r="712" spans="2:31" ht="12.75" customHeight="1">
      <c r="B712" s="80"/>
      <c r="C712" s="3"/>
      <c r="D712" s="4"/>
      <c r="E712" s="4"/>
      <c r="F712" s="4"/>
      <c r="G712" s="4"/>
      <c r="H712" s="4"/>
      <c r="I712" s="4"/>
      <c r="J712" s="5"/>
      <c r="L712" s="6"/>
      <c r="M712" s="6"/>
      <c r="O712" s="7"/>
      <c r="Q712" s="8"/>
      <c r="Y712" s="136"/>
      <c r="AE712" s="330"/>
    </row>
    <row r="713" spans="2:31" ht="12.75" customHeight="1">
      <c r="B713" s="80"/>
      <c r="C713" s="3"/>
      <c r="D713" s="4"/>
      <c r="E713" s="4"/>
      <c r="F713" s="4"/>
      <c r="G713" s="4"/>
      <c r="H713" s="4"/>
      <c r="I713" s="4"/>
      <c r="J713" s="5"/>
      <c r="L713" s="6"/>
      <c r="M713" s="6"/>
      <c r="O713" s="7"/>
      <c r="Q713" s="8"/>
      <c r="Y713" s="136"/>
      <c r="AE713" s="330"/>
    </row>
    <row r="714" spans="2:31" ht="12.75" customHeight="1">
      <c r="B714" s="80"/>
      <c r="C714" s="3"/>
      <c r="D714" s="4"/>
      <c r="E714" s="4"/>
      <c r="F714" s="4"/>
      <c r="G714" s="4"/>
      <c r="H714" s="4"/>
      <c r="I714" s="4"/>
      <c r="J714" s="5"/>
      <c r="L714" s="6"/>
      <c r="M714" s="6"/>
      <c r="O714" s="7"/>
      <c r="Q714" s="8"/>
      <c r="Y714" s="136"/>
      <c r="AE714" s="330"/>
    </row>
    <row r="715" spans="2:31" ht="12.75" customHeight="1">
      <c r="B715" s="80"/>
      <c r="C715" s="3"/>
      <c r="D715" s="4"/>
      <c r="E715" s="4"/>
      <c r="F715" s="4"/>
      <c r="G715" s="4"/>
      <c r="H715" s="4"/>
      <c r="I715" s="4"/>
      <c r="J715" s="5"/>
      <c r="L715" s="6"/>
      <c r="M715" s="6"/>
      <c r="O715" s="7"/>
      <c r="Q715" s="8"/>
      <c r="Y715" s="136"/>
      <c r="AE715" s="330"/>
    </row>
    <row r="716" spans="2:31" ht="12.75" customHeight="1">
      <c r="B716" s="80"/>
      <c r="C716" s="3"/>
      <c r="D716" s="4"/>
      <c r="E716" s="4"/>
      <c r="F716" s="4"/>
      <c r="G716" s="4"/>
      <c r="H716" s="4"/>
      <c r="I716" s="4"/>
      <c r="J716" s="5"/>
      <c r="L716" s="6"/>
      <c r="M716" s="6"/>
      <c r="O716" s="7"/>
      <c r="Q716" s="8"/>
      <c r="Y716" s="136"/>
      <c r="AE716" s="330"/>
    </row>
    <row r="717" spans="2:31" ht="12.75" customHeight="1">
      <c r="B717" s="80"/>
      <c r="C717" s="3"/>
      <c r="D717" s="4"/>
      <c r="E717" s="4"/>
      <c r="F717" s="4"/>
      <c r="G717" s="4"/>
      <c r="H717" s="4"/>
      <c r="I717" s="4"/>
      <c r="J717" s="5"/>
      <c r="L717" s="6"/>
      <c r="M717" s="6"/>
      <c r="O717" s="7"/>
      <c r="Q717" s="8"/>
      <c r="Y717" s="136"/>
      <c r="AE717" s="330"/>
    </row>
    <row r="718" spans="2:31" ht="12.75" customHeight="1">
      <c r="B718" s="80"/>
      <c r="C718" s="3"/>
      <c r="D718" s="4"/>
      <c r="E718" s="4"/>
      <c r="F718" s="4"/>
      <c r="G718" s="4"/>
      <c r="H718" s="4"/>
      <c r="I718" s="4"/>
      <c r="J718" s="5"/>
      <c r="L718" s="6"/>
      <c r="M718" s="6"/>
      <c r="O718" s="7"/>
      <c r="Q718" s="8"/>
      <c r="Y718" s="136"/>
      <c r="AE718" s="330"/>
    </row>
    <row r="719" spans="2:31" ht="12.75" customHeight="1">
      <c r="B719" s="80"/>
      <c r="C719" s="3"/>
      <c r="D719" s="4"/>
      <c r="E719" s="4"/>
      <c r="F719" s="4"/>
      <c r="G719" s="4"/>
      <c r="H719" s="4"/>
      <c r="I719" s="4"/>
      <c r="J719" s="5"/>
      <c r="L719" s="6"/>
      <c r="M719" s="6"/>
      <c r="O719" s="7"/>
      <c r="Q719" s="8"/>
      <c r="Y719" s="136"/>
      <c r="AE719" s="330"/>
    </row>
    <row r="720" spans="2:31" ht="12.75" customHeight="1">
      <c r="B720" s="80"/>
      <c r="C720" s="3"/>
      <c r="D720" s="4"/>
      <c r="E720" s="4"/>
      <c r="F720" s="4"/>
      <c r="G720" s="4"/>
      <c r="H720" s="4"/>
      <c r="I720" s="4"/>
      <c r="J720" s="5"/>
      <c r="L720" s="6"/>
      <c r="M720" s="6"/>
      <c r="O720" s="7"/>
      <c r="Q720" s="8"/>
      <c r="Y720" s="136"/>
      <c r="AE720" s="330"/>
    </row>
    <row r="721" spans="2:31" ht="12.75" customHeight="1">
      <c r="B721" s="80"/>
      <c r="C721" s="3"/>
      <c r="D721" s="4"/>
      <c r="E721" s="4"/>
      <c r="F721" s="4"/>
      <c r="G721" s="4"/>
      <c r="H721" s="4"/>
      <c r="I721" s="4"/>
      <c r="J721" s="5"/>
      <c r="L721" s="6"/>
      <c r="M721" s="6"/>
      <c r="O721" s="7"/>
      <c r="Q721" s="8"/>
      <c r="Y721" s="136"/>
      <c r="AE721" s="330"/>
    </row>
    <row r="722" spans="2:31" ht="12.75" customHeight="1">
      <c r="B722" s="80"/>
      <c r="C722" s="3"/>
      <c r="D722" s="4"/>
      <c r="E722" s="4"/>
      <c r="F722" s="4"/>
      <c r="G722" s="4"/>
      <c r="H722" s="4"/>
      <c r="I722" s="4"/>
      <c r="J722" s="5"/>
      <c r="L722" s="6"/>
      <c r="M722" s="6"/>
      <c r="O722" s="7"/>
      <c r="Q722" s="8"/>
      <c r="Y722" s="136"/>
      <c r="AE722" s="330"/>
    </row>
    <row r="723" spans="2:31" ht="12.75" customHeight="1">
      <c r="B723" s="80"/>
      <c r="C723" s="3"/>
      <c r="D723" s="4"/>
      <c r="E723" s="4"/>
      <c r="F723" s="4"/>
      <c r="G723" s="4"/>
      <c r="H723" s="4"/>
      <c r="I723" s="4"/>
      <c r="J723" s="5"/>
      <c r="L723" s="6"/>
      <c r="M723" s="6"/>
      <c r="O723" s="7"/>
      <c r="Q723" s="8"/>
      <c r="Y723" s="136"/>
      <c r="AE723" s="330"/>
    </row>
    <row r="724" spans="2:31" ht="12.75" customHeight="1">
      <c r="B724" s="80"/>
      <c r="C724" s="3"/>
      <c r="D724" s="4"/>
      <c r="E724" s="4"/>
      <c r="F724" s="4"/>
      <c r="G724" s="4"/>
      <c r="H724" s="4"/>
      <c r="I724" s="4"/>
      <c r="J724" s="5"/>
      <c r="L724" s="6"/>
      <c r="M724" s="6"/>
      <c r="O724" s="7"/>
      <c r="Q724" s="8"/>
      <c r="Y724" s="136"/>
      <c r="AE724" s="330"/>
    </row>
    <row r="725" spans="2:31" ht="12.75" customHeight="1">
      <c r="B725" s="80"/>
      <c r="C725" s="3"/>
      <c r="D725" s="4"/>
      <c r="E725" s="4"/>
      <c r="F725" s="4"/>
      <c r="G725" s="4"/>
      <c r="H725" s="4"/>
      <c r="I725" s="4"/>
      <c r="J725" s="5"/>
      <c r="L725" s="6"/>
      <c r="M725" s="6"/>
      <c r="O725" s="7"/>
      <c r="Q725" s="8"/>
      <c r="Y725" s="136"/>
      <c r="AE725" s="330"/>
    </row>
    <row r="726" spans="2:31" ht="12.75" customHeight="1">
      <c r="B726" s="80"/>
      <c r="C726" s="3"/>
      <c r="D726" s="4"/>
      <c r="E726" s="4"/>
      <c r="F726" s="4"/>
      <c r="G726" s="4"/>
      <c r="H726" s="4"/>
      <c r="I726" s="4"/>
      <c r="J726" s="5"/>
      <c r="L726" s="6"/>
      <c r="M726" s="6"/>
      <c r="O726" s="7"/>
      <c r="Q726" s="8"/>
      <c r="Y726" s="136"/>
      <c r="AE726" s="330"/>
    </row>
    <row r="727" spans="2:31" ht="12.75" customHeight="1">
      <c r="B727" s="80"/>
      <c r="C727" s="3"/>
      <c r="D727" s="4"/>
      <c r="E727" s="4"/>
      <c r="F727" s="4"/>
      <c r="G727" s="4"/>
      <c r="H727" s="4"/>
      <c r="I727" s="4"/>
      <c r="J727" s="5"/>
      <c r="L727" s="6"/>
      <c r="M727" s="6"/>
      <c r="O727" s="7"/>
      <c r="Q727" s="8"/>
      <c r="Y727" s="136"/>
      <c r="AE727" s="330"/>
    </row>
    <row r="728" spans="2:31" ht="12.75" customHeight="1">
      <c r="B728" s="80"/>
      <c r="C728" s="3"/>
      <c r="D728" s="4"/>
      <c r="E728" s="4"/>
      <c r="F728" s="4"/>
      <c r="G728" s="4"/>
      <c r="H728" s="4"/>
      <c r="I728" s="4"/>
      <c r="J728" s="5"/>
      <c r="L728" s="6"/>
      <c r="M728" s="6"/>
      <c r="O728" s="7"/>
      <c r="Q728" s="8"/>
      <c r="Y728" s="136"/>
      <c r="AE728" s="330"/>
    </row>
    <row r="729" spans="2:31" ht="12.75" customHeight="1">
      <c r="B729" s="80"/>
      <c r="C729" s="3"/>
      <c r="D729" s="4"/>
      <c r="E729" s="4"/>
      <c r="F729" s="4"/>
      <c r="G729" s="4"/>
      <c r="H729" s="4"/>
      <c r="I729" s="4"/>
      <c r="J729" s="5"/>
      <c r="L729" s="6"/>
      <c r="M729" s="6"/>
      <c r="O729" s="7"/>
      <c r="Q729" s="8"/>
      <c r="Y729" s="136"/>
      <c r="AE729" s="330"/>
    </row>
    <row r="730" spans="2:31" ht="12.75" customHeight="1">
      <c r="B730" s="80"/>
      <c r="C730" s="3"/>
      <c r="D730" s="4"/>
      <c r="E730" s="4"/>
      <c r="F730" s="4"/>
      <c r="G730" s="4"/>
      <c r="H730" s="4"/>
      <c r="I730" s="4"/>
      <c r="J730" s="5"/>
      <c r="L730" s="6"/>
      <c r="M730" s="6"/>
      <c r="O730" s="7"/>
      <c r="Q730" s="8"/>
      <c r="Y730" s="136"/>
      <c r="AE730" s="330"/>
    </row>
    <row r="731" spans="2:31" ht="12.75" customHeight="1">
      <c r="B731" s="80"/>
      <c r="C731" s="3"/>
      <c r="D731" s="4"/>
      <c r="E731" s="4"/>
      <c r="F731" s="4"/>
      <c r="G731" s="4"/>
      <c r="H731" s="4"/>
      <c r="I731" s="4"/>
      <c r="J731" s="5"/>
      <c r="L731" s="6"/>
      <c r="M731" s="6"/>
      <c r="O731" s="7"/>
      <c r="Q731" s="8"/>
      <c r="Y731" s="136"/>
      <c r="AE731" s="330"/>
    </row>
    <row r="732" spans="2:31" ht="12.75" customHeight="1">
      <c r="B732" s="80"/>
      <c r="C732" s="3"/>
      <c r="D732" s="4"/>
      <c r="E732" s="4"/>
      <c r="F732" s="4"/>
      <c r="G732" s="4"/>
      <c r="H732" s="4"/>
      <c r="I732" s="4"/>
      <c r="J732" s="5"/>
      <c r="L732" s="6"/>
      <c r="M732" s="6"/>
      <c r="O732" s="7"/>
      <c r="Q732" s="8"/>
      <c r="Y732" s="136"/>
      <c r="AE732" s="330"/>
    </row>
    <row r="733" spans="2:31" ht="12.75" customHeight="1">
      <c r="B733" s="80"/>
      <c r="C733" s="3"/>
      <c r="D733" s="4"/>
      <c r="E733" s="4"/>
      <c r="F733" s="4"/>
      <c r="G733" s="4"/>
      <c r="H733" s="4"/>
      <c r="I733" s="4"/>
      <c r="J733" s="5"/>
      <c r="L733" s="6"/>
      <c r="M733" s="6"/>
      <c r="O733" s="7"/>
      <c r="Q733" s="8"/>
      <c r="Y733" s="136"/>
      <c r="AE733" s="330"/>
    </row>
    <row r="734" spans="2:31" ht="12.75" customHeight="1">
      <c r="B734" s="80"/>
      <c r="C734" s="3"/>
      <c r="D734" s="4"/>
      <c r="E734" s="4"/>
      <c r="F734" s="4"/>
      <c r="G734" s="4"/>
      <c r="H734" s="4"/>
      <c r="I734" s="4"/>
      <c r="J734" s="5"/>
      <c r="L734" s="6"/>
      <c r="M734" s="6"/>
      <c r="O734" s="7"/>
      <c r="Q734" s="8"/>
      <c r="Y734" s="136"/>
      <c r="AE734" s="330"/>
    </row>
    <row r="735" spans="2:31" ht="12.75" customHeight="1">
      <c r="B735" s="80"/>
      <c r="C735" s="3"/>
      <c r="D735" s="4"/>
      <c r="E735" s="4"/>
      <c r="F735" s="4"/>
      <c r="G735" s="4"/>
      <c r="H735" s="4"/>
      <c r="I735" s="4"/>
      <c r="J735" s="5"/>
      <c r="L735" s="6"/>
      <c r="M735" s="6"/>
      <c r="O735" s="7"/>
      <c r="Q735" s="8"/>
      <c r="Y735" s="136"/>
      <c r="AE735" s="330"/>
    </row>
    <row r="736" spans="2:31" ht="12.75" customHeight="1">
      <c r="B736" s="80"/>
      <c r="C736" s="3"/>
      <c r="D736" s="4"/>
      <c r="E736" s="4"/>
      <c r="F736" s="4"/>
      <c r="G736" s="4"/>
      <c r="H736" s="4"/>
      <c r="I736" s="4"/>
      <c r="J736" s="5"/>
      <c r="L736" s="6"/>
      <c r="M736" s="6"/>
      <c r="O736" s="7"/>
      <c r="Q736" s="8"/>
      <c r="Y736" s="136"/>
      <c r="AE736" s="330"/>
    </row>
    <row r="737" spans="2:31" ht="12.75" customHeight="1">
      <c r="B737" s="80"/>
      <c r="C737" s="3"/>
      <c r="D737" s="4"/>
      <c r="E737" s="4"/>
      <c r="F737" s="4"/>
      <c r="G737" s="4"/>
      <c r="H737" s="4"/>
      <c r="I737" s="4"/>
      <c r="J737" s="5"/>
      <c r="L737" s="6"/>
      <c r="M737" s="6"/>
      <c r="O737" s="7"/>
      <c r="Q737" s="8"/>
      <c r="Y737" s="136"/>
      <c r="AE737" s="330"/>
    </row>
    <row r="738" spans="2:31" ht="12.75" customHeight="1">
      <c r="B738" s="80"/>
      <c r="C738" s="3"/>
      <c r="D738" s="4"/>
      <c r="E738" s="4"/>
      <c r="F738" s="4"/>
      <c r="G738" s="4"/>
      <c r="H738" s="4"/>
      <c r="I738" s="4"/>
      <c r="J738" s="5"/>
      <c r="L738" s="6"/>
      <c r="M738" s="6"/>
      <c r="O738" s="7"/>
      <c r="Q738" s="8"/>
      <c r="Y738" s="136"/>
      <c r="AE738" s="330"/>
    </row>
    <row r="739" spans="2:31" ht="12.75" customHeight="1">
      <c r="B739" s="80"/>
      <c r="C739" s="3"/>
      <c r="D739" s="4"/>
      <c r="E739" s="4"/>
      <c r="F739" s="4"/>
      <c r="G739" s="4"/>
      <c r="H739" s="4"/>
      <c r="I739" s="4"/>
      <c r="J739" s="5"/>
      <c r="L739" s="6"/>
      <c r="M739" s="6"/>
      <c r="O739" s="7"/>
      <c r="Q739" s="8"/>
      <c r="Y739" s="136"/>
      <c r="AE739" s="330"/>
    </row>
    <row r="740" spans="2:31" ht="12.75" customHeight="1">
      <c r="B740" s="80"/>
      <c r="C740" s="3"/>
      <c r="D740" s="4"/>
      <c r="E740" s="4"/>
      <c r="F740" s="4"/>
      <c r="G740" s="4"/>
      <c r="H740" s="4"/>
      <c r="I740" s="4"/>
      <c r="J740" s="5"/>
      <c r="L740" s="6"/>
      <c r="M740" s="6"/>
      <c r="O740" s="7"/>
      <c r="Q740" s="8"/>
      <c r="Y740" s="136"/>
      <c r="AE740" s="330"/>
    </row>
    <row r="741" spans="2:31" ht="12.75" customHeight="1">
      <c r="B741" s="80"/>
      <c r="C741" s="3"/>
      <c r="D741" s="4"/>
      <c r="E741" s="4"/>
      <c r="F741" s="4"/>
      <c r="G741" s="4"/>
      <c r="H741" s="4"/>
      <c r="I741" s="4"/>
      <c r="J741" s="5"/>
      <c r="L741" s="6"/>
      <c r="M741" s="6"/>
      <c r="O741" s="7"/>
      <c r="Q741" s="8"/>
      <c r="Y741" s="136"/>
      <c r="AE741" s="330"/>
    </row>
    <row r="742" spans="2:31" ht="12.75" customHeight="1">
      <c r="B742" s="80"/>
      <c r="C742" s="3"/>
      <c r="D742" s="4"/>
      <c r="E742" s="4"/>
      <c r="F742" s="4"/>
      <c r="G742" s="4"/>
      <c r="H742" s="4"/>
      <c r="I742" s="4"/>
      <c r="J742" s="5"/>
      <c r="L742" s="6"/>
      <c r="M742" s="6"/>
      <c r="O742" s="7"/>
      <c r="Q742" s="8"/>
      <c r="Y742" s="136"/>
      <c r="AE742" s="330"/>
    </row>
    <row r="743" spans="2:31" ht="12.75" customHeight="1">
      <c r="B743" s="80"/>
      <c r="C743" s="3"/>
      <c r="D743" s="4"/>
      <c r="E743" s="4"/>
      <c r="F743" s="4"/>
      <c r="G743" s="4"/>
      <c r="H743" s="4"/>
      <c r="I743" s="4"/>
      <c r="J743" s="5"/>
      <c r="L743" s="6"/>
      <c r="M743" s="6"/>
      <c r="O743" s="7"/>
      <c r="Q743" s="8"/>
      <c r="Y743" s="136"/>
      <c r="AE743" s="330"/>
    </row>
    <row r="744" spans="2:31" ht="12.75" customHeight="1">
      <c r="B744" s="80"/>
      <c r="C744" s="3"/>
      <c r="D744" s="4"/>
      <c r="E744" s="4"/>
      <c r="F744" s="4"/>
      <c r="G744" s="4"/>
      <c r="H744" s="4"/>
      <c r="I744" s="4"/>
      <c r="J744" s="5"/>
      <c r="L744" s="6"/>
      <c r="M744" s="6"/>
      <c r="O744" s="7"/>
      <c r="Q744" s="8"/>
      <c r="Y744" s="136"/>
      <c r="AE744" s="330"/>
    </row>
    <row r="745" spans="2:31" ht="12.75" customHeight="1">
      <c r="B745" s="80"/>
      <c r="C745" s="3"/>
      <c r="D745" s="4"/>
      <c r="E745" s="4"/>
      <c r="F745" s="4"/>
      <c r="G745" s="4"/>
      <c r="H745" s="4"/>
      <c r="I745" s="4"/>
      <c r="J745" s="5"/>
      <c r="L745" s="6"/>
      <c r="M745" s="6"/>
      <c r="O745" s="7"/>
      <c r="Q745" s="8"/>
      <c r="Y745" s="136"/>
      <c r="AE745" s="330"/>
    </row>
    <row r="746" spans="2:31" ht="12.75" customHeight="1">
      <c r="B746" s="80"/>
      <c r="C746" s="3"/>
      <c r="D746" s="4"/>
      <c r="E746" s="4"/>
      <c r="F746" s="4"/>
      <c r="G746" s="4"/>
      <c r="H746" s="4"/>
      <c r="I746" s="4"/>
      <c r="J746" s="5"/>
      <c r="L746" s="6"/>
      <c r="M746" s="6"/>
      <c r="O746" s="7"/>
      <c r="Q746" s="8"/>
      <c r="Y746" s="136"/>
      <c r="AE746" s="330"/>
    </row>
    <row r="747" spans="2:31" ht="12.75" customHeight="1">
      <c r="B747" s="80"/>
      <c r="C747" s="3"/>
      <c r="D747" s="4"/>
      <c r="E747" s="4"/>
      <c r="F747" s="4"/>
      <c r="G747" s="4"/>
      <c r="H747" s="4"/>
      <c r="I747" s="4"/>
      <c r="J747" s="5"/>
      <c r="L747" s="6"/>
      <c r="M747" s="6"/>
      <c r="O747" s="7"/>
      <c r="Q747" s="8"/>
      <c r="Y747" s="136"/>
      <c r="AE747" s="330"/>
    </row>
    <row r="748" spans="2:31" ht="12.75" customHeight="1">
      <c r="B748" s="80"/>
      <c r="C748" s="3"/>
      <c r="D748" s="4"/>
      <c r="E748" s="4"/>
      <c r="F748" s="4"/>
      <c r="G748" s="4"/>
      <c r="H748" s="4"/>
      <c r="I748" s="4"/>
      <c r="J748" s="5"/>
      <c r="L748" s="6"/>
      <c r="M748" s="6"/>
      <c r="O748" s="7"/>
      <c r="Q748" s="8"/>
      <c r="Y748" s="136"/>
      <c r="AE748" s="330"/>
    </row>
    <row r="749" spans="2:31" ht="12.75" customHeight="1">
      <c r="B749" s="80"/>
      <c r="C749" s="3"/>
      <c r="D749" s="4"/>
      <c r="E749" s="4"/>
      <c r="F749" s="4"/>
      <c r="G749" s="4"/>
      <c r="H749" s="4"/>
      <c r="I749" s="4"/>
      <c r="J749" s="5"/>
      <c r="L749" s="6"/>
      <c r="M749" s="6"/>
      <c r="O749" s="7"/>
      <c r="Q749" s="8"/>
      <c r="Y749" s="136"/>
      <c r="AE749" s="330"/>
    </row>
    <row r="750" spans="2:31" ht="12.75" customHeight="1">
      <c r="B750" s="80"/>
      <c r="C750" s="3"/>
      <c r="D750" s="4"/>
      <c r="E750" s="4"/>
      <c r="F750" s="4"/>
      <c r="G750" s="4"/>
      <c r="H750" s="4"/>
      <c r="I750" s="4"/>
      <c r="J750" s="5"/>
      <c r="L750" s="6"/>
      <c r="M750" s="6"/>
      <c r="O750" s="7"/>
      <c r="Q750" s="8"/>
      <c r="Y750" s="136"/>
      <c r="AE750" s="330"/>
    </row>
    <row r="751" spans="2:31" ht="12.75" customHeight="1">
      <c r="B751" s="80"/>
      <c r="C751" s="3"/>
      <c r="D751" s="4"/>
      <c r="E751" s="4"/>
      <c r="F751" s="4"/>
      <c r="G751" s="4"/>
      <c r="H751" s="4"/>
      <c r="I751" s="4"/>
      <c r="J751" s="5"/>
      <c r="L751" s="6"/>
      <c r="M751" s="6"/>
      <c r="O751" s="7"/>
      <c r="Q751" s="8"/>
      <c r="Y751" s="136"/>
      <c r="AE751" s="330"/>
    </row>
    <row r="752" spans="2:31" ht="12.75" customHeight="1">
      <c r="B752" s="80"/>
      <c r="C752" s="3"/>
      <c r="D752" s="4"/>
      <c r="E752" s="4"/>
      <c r="F752" s="4"/>
      <c r="G752" s="4"/>
      <c r="H752" s="4"/>
      <c r="I752" s="4"/>
      <c r="J752" s="5"/>
      <c r="L752" s="6"/>
      <c r="M752" s="6"/>
      <c r="O752" s="7"/>
      <c r="Q752" s="8"/>
      <c r="Y752" s="136"/>
      <c r="AE752" s="330"/>
    </row>
    <row r="753" spans="2:31" ht="12.75" customHeight="1">
      <c r="B753" s="80"/>
      <c r="C753" s="3"/>
      <c r="D753" s="4"/>
      <c r="E753" s="4"/>
      <c r="F753" s="4"/>
      <c r="G753" s="4"/>
      <c r="H753" s="4"/>
      <c r="I753" s="4"/>
      <c r="J753" s="5"/>
      <c r="L753" s="6"/>
      <c r="M753" s="6"/>
      <c r="O753" s="7"/>
      <c r="Q753" s="8"/>
      <c r="Y753" s="136"/>
      <c r="AE753" s="330"/>
    </row>
    <row r="754" spans="2:31" ht="12.75" customHeight="1">
      <c r="B754" s="80"/>
      <c r="C754" s="3"/>
      <c r="D754" s="4"/>
      <c r="E754" s="4"/>
      <c r="F754" s="4"/>
      <c r="G754" s="4"/>
      <c r="H754" s="4"/>
      <c r="I754" s="4"/>
      <c r="J754" s="5"/>
      <c r="L754" s="6"/>
      <c r="M754" s="6"/>
      <c r="O754" s="7"/>
      <c r="Q754" s="8"/>
      <c r="Y754" s="136"/>
      <c r="AE754" s="330"/>
    </row>
    <row r="755" spans="2:31" ht="12.75" customHeight="1">
      <c r="B755" s="80"/>
      <c r="C755" s="3"/>
      <c r="D755" s="4"/>
      <c r="E755" s="4"/>
      <c r="F755" s="4"/>
      <c r="G755" s="4"/>
      <c r="H755" s="4"/>
      <c r="I755" s="4"/>
      <c r="J755" s="5"/>
      <c r="L755" s="6"/>
      <c r="M755" s="6"/>
      <c r="O755" s="7"/>
      <c r="Q755" s="8"/>
      <c r="Y755" s="136"/>
      <c r="AE755" s="330"/>
    </row>
    <row r="756" spans="2:31" ht="12.75" customHeight="1">
      <c r="B756" s="80"/>
      <c r="C756" s="3"/>
      <c r="D756" s="4"/>
      <c r="E756" s="4"/>
      <c r="F756" s="4"/>
      <c r="G756" s="4"/>
      <c r="H756" s="4"/>
      <c r="I756" s="4"/>
      <c r="J756" s="5"/>
      <c r="L756" s="6"/>
      <c r="M756" s="6"/>
      <c r="O756" s="7"/>
      <c r="Q756" s="8"/>
      <c r="Y756" s="136"/>
      <c r="AE756" s="330"/>
    </row>
    <row r="757" spans="2:31" ht="12.75" customHeight="1">
      <c r="B757" s="80"/>
      <c r="C757" s="3"/>
      <c r="D757" s="4"/>
      <c r="E757" s="4"/>
      <c r="F757" s="4"/>
      <c r="G757" s="4"/>
      <c r="H757" s="4"/>
      <c r="I757" s="4"/>
      <c r="J757" s="5"/>
      <c r="L757" s="6"/>
      <c r="M757" s="6"/>
      <c r="O757" s="7"/>
      <c r="Q757" s="8"/>
      <c r="Y757" s="136"/>
      <c r="AE757" s="330"/>
    </row>
    <row r="758" spans="2:31" ht="12.75" customHeight="1">
      <c r="B758" s="80"/>
      <c r="C758" s="3"/>
      <c r="D758" s="4"/>
      <c r="E758" s="4"/>
      <c r="F758" s="4"/>
      <c r="G758" s="4"/>
      <c r="H758" s="4"/>
      <c r="I758" s="4"/>
      <c r="J758" s="5"/>
      <c r="L758" s="6"/>
      <c r="M758" s="6"/>
      <c r="O758" s="7"/>
      <c r="Q758" s="8"/>
      <c r="Y758" s="136"/>
      <c r="AE758" s="330"/>
    </row>
    <row r="759" spans="2:31" ht="12.75" customHeight="1">
      <c r="B759" s="80"/>
      <c r="C759" s="3"/>
      <c r="D759" s="4"/>
      <c r="E759" s="4"/>
      <c r="F759" s="4"/>
      <c r="G759" s="4"/>
      <c r="H759" s="4"/>
      <c r="I759" s="4"/>
      <c r="J759" s="5"/>
      <c r="L759" s="6"/>
      <c r="M759" s="6"/>
      <c r="O759" s="7"/>
      <c r="Q759" s="8"/>
      <c r="Y759" s="136"/>
      <c r="AE759" s="330"/>
    </row>
    <row r="760" spans="2:31" ht="12.75" customHeight="1">
      <c r="B760" s="80"/>
      <c r="C760" s="3"/>
      <c r="D760" s="4"/>
      <c r="E760" s="4"/>
      <c r="F760" s="4"/>
      <c r="G760" s="4"/>
      <c r="H760" s="4"/>
      <c r="I760" s="4"/>
      <c r="J760" s="5"/>
      <c r="L760" s="6"/>
      <c r="M760" s="6"/>
      <c r="O760" s="7"/>
      <c r="Q760" s="8"/>
      <c r="Y760" s="136"/>
      <c r="AE760" s="330"/>
    </row>
    <row r="761" spans="2:31" ht="12.75" customHeight="1">
      <c r="B761" s="80"/>
      <c r="C761" s="3"/>
      <c r="D761" s="4"/>
      <c r="E761" s="4"/>
      <c r="F761" s="4"/>
      <c r="G761" s="4"/>
      <c r="H761" s="4"/>
      <c r="I761" s="4"/>
      <c r="J761" s="5"/>
      <c r="L761" s="6"/>
      <c r="M761" s="6"/>
      <c r="O761" s="7"/>
      <c r="Q761" s="8"/>
      <c r="Y761" s="136"/>
      <c r="AE761" s="330"/>
    </row>
    <row r="762" spans="2:31" ht="12.75" customHeight="1">
      <c r="B762" s="80"/>
      <c r="C762" s="3"/>
      <c r="D762" s="4"/>
      <c r="E762" s="4"/>
      <c r="F762" s="4"/>
      <c r="G762" s="4"/>
      <c r="H762" s="4"/>
      <c r="I762" s="4"/>
      <c r="J762" s="5"/>
      <c r="L762" s="6"/>
      <c r="M762" s="6"/>
      <c r="O762" s="7"/>
      <c r="Q762" s="8"/>
      <c r="Y762" s="136"/>
      <c r="AE762" s="330"/>
    </row>
    <row r="763" spans="2:31" ht="12.75" customHeight="1">
      <c r="B763" s="80"/>
      <c r="C763" s="3"/>
      <c r="D763" s="4"/>
      <c r="E763" s="4"/>
      <c r="F763" s="4"/>
      <c r="G763" s="4"/>
      <c r="H763" s="4"/>
      <c r="I763" s="4"/>
      <c r="J763" s="5"/>
      <c r="L763" s="6"/>
      <c r="M763" s="6"/>
      <c r="O763" s="7"/>
      <c r="Q763" s="8"/>
      <c r="Y763" s="136"/>
      <c r="AE763" s="330"/>
    </row>
    <row r="764" spans="2:31" ht="12.75" customHeight="1">
      <c r="B764" s="80"/>
      <c r="C764" s="3"/>
      <c r="D764" s="4"/>
      <c r="E764" s="4"/>
      <c r="F764" s="4"/>
      <c r="G764" s="4"/>
      <c r="H764" s="4"/>
      <c r="I764" s="4"/>
      <c r="J764" s="5"/>
      <c r="L764" s="6"/>
      <c r="M764" s="6"/>
      <c r="O764" s="7"/>
      <c r="Q764" s="8"/>
      <c r="Y764" s="136"/>
      <c r="AE764" s="330"/>
    </row>
    <row r="765" spans="2:31" ht="12.75" customHeight="1">
      <c r="B765" s="80"/>
      <c r="C765" s="3"/>
      <c r="D765" s="4"/>
      <c r="E765" s="4"/>
      <c r="F765" s="4"/>
      <c r="G765" s="4"/>
      <c r="H765" s="4"/>
      <c r="I765" s="4"/>
      <c r="J765" s="5"/>
      <c r="L765" s="6"/>
      <c r="M765" s="6"/>
      <c r="O765" s="7"/>
      <c r="Q765" s="8"/>
      <c r="Y765" s="136"/>
      <c r="AE765" s="330"/>
    </row>
    <row r="766" spans="2:31" ht="12.75" customHeight="1">
      <c r="B766" s="80"/>
      <c r="C766" s="3"/>
      <c r="D766" s="4"/>
      <c r="E766" s="4"/>
      <c r="F766" s="4"/>
      <c r="G766" s="4"/>
      <c r="H766" s="4"/>
      <c r="I766" s="4"/>
      <c r="J766" s="5"/>
      <c r="L766" s="6"/>
      <c r="M766" s="6"/>
      <c r="O766" s="7"/>
      <c r="Q766" s="8"/>
      <c r="Y766" s="136"/>
      <c r="AE766" s="330"/>
    </row>
    <row r="767" spans="2:31" ht="12.75" customHeight="1">
      <c r="B767" s="80"/>
      <c r="C767" s="3"/>
      <c r="D767" s="4"/>
      <c r="E767" s="4"/>
      <c r="F767" s="4"/>
      <c r="G767" s="4"/>
      <c r="H767" s="4"/>
      <c r="I767" s="4"/>
      <c r="J767" s="5"/>
      <c r="L767" s="6"/>
      <c r="M767" s="6"/>
      <c r="O767" s="7"/>
      <c r="Q767" s="8"/>
      <c r="Y767" s="136"/>
      <c r="AE767" s="330"/>
    </row>
    <row r="768" spans="2:31" ht="12.75" customHeight="1">
      <c r="B768" s="80"/>
      <c r="C768" s="3"/>
      <c r="D768" s="4"/>
      <c r="E768" s="4"/>
      <c r="F768" s="4"/>
      <c r="G768" s="4"/>
      <c r="H768" s="4"/>
      <c r="I768" s="4"/>
      <c r="J768" s="5"/>
      <c r="L768" s="6"/>
      <c r="M768" s="6"/>
      <c r="O768" s="7"/>
      <c r="Q768" s="8"/>
      <c r="Y768" s="136"/>
      <c r="AE768" s="330"/>
    </row>
    <row r="769" spans="2:31" ht="12.75" customHeight="1">
      <c r="B769" s="80"/>
      <c r="C769" s="3"/>
      <c r="D769" s="4"/>
      <c r="E769" s="4"/>
      <c r="F769" s="4"/>
      <c r="G769" s="4"/>
      <c r="H769" s="4"/>
      <c r="I769" s="4"/>
      <c r="J769" s="5"/>
      <c r="L769" s="6"/>
      <c r="M769" s="6"/>
      <c r="O769" s="7"/>
      <c r="Q769" s="8"/>
      <c r="Y769" s="136"/>
      <c r="AE769" s="330"/>
    </row>
    <row r="770" spans="2:31" ht="12.75" customHeight="1">
      <c r="B770" s="80"/>
      <c r="C770" s="3"/>
      <c r="D770" s="4"/>
      <c r="E770" s="4"/>
      <c r="F770" s="4"/>
      <c r="G770" s="4"/>
      <c r="H770" s="4"/>
      <c r="I770" s="4"/>
      <c r="J770" s="5"/>
      <c r="L770" s="6"/>
      <c r="M770" s="6"/>
      <c r="O770" s="7"/>
      <c r="Q770" s="8"/>
      <c r="Y770" s="136"/>
      <c r="AE770" s="330"/>
    </row>
    <row r="771" spans="2:31" ht="12.75" customHeight="1">
      <c r="B771" s="80"/>
      <c r="C771" s="3"/>
      <c r="D771" s="4"/>
      <c r="E771" s="4"/>
      <c r="F771" s="4"/>
      <c r="G771" s="4"/>
      <c r="H771" s="4"/>
      <c r="I771" s="4"/>
      <c r="J771" s="5"/>
      <c r="L771" s="6"/>
      <c r="M771" s="6"/>
      <c r="O771" s="7"/>
      <c r="Q771" s="8"/>
      <c r="Y771" s="136"/>
      <c r="AE771" s="330"/>
    </row>
    <row r="772" spans="2:31" ht="12.75" customHeight="1">
      <c r="B772" s="80"/>
      <c r="C772" s="3"/>
      <c r="D772" s="4"/>
      <c r="E772" s="4"/>
      <c r="F772" s="4"/>
      <c r="G772" s="4"/>
      <c r="H772" s="4"/>
      <c r="I772" s="4"/>
      <c r="J772" s="5"/>
      <c r="L772" s="6"/>
      <c r="M772" s="6"/>
      <c r="O772" s="7"/>
      <c r="Q772" s="8"/>
      <c r="Y772" s="136"/>
      <c r="AE772" s="330"/>
    </row>
    <row r="773" spans="2:31" ht="12.75" customHeight="1">
      <c r="B773" s="80"/>
      <c r="C773" s="3"/>
      <c r="D773" s="4"/>
      <c r="E773" s="4"/>
      <c r="F773" s="4"/>
      <c r="G773" s="4"/>
      <c r="H773" s="4"/>
      <c r="I773" s="4"/>
      <c r="J773" s="5"/>
      <c r="L773" s="6"/>
      <c r="M773" s="6"/>
      <c r="O773" s="7"/>
      <c r="Q773" s="8"/>
      <c r="Y773" s="136"/>
      <c r="AE773" s="330"/>
    </row>
    <row r="774" spans="2:31" ht="12.75" customHeight="1">
      <c r="B774" s="80"/>
      <c r="C774" s="3"/>
      <c r="D774" s="4"/>
      <c r="E774" s="4"/>
      <c r="F774" s="4"/>
      <c r="G774" s="4"/>
      <c r="H774" s="4"/>
      <c r="I774" s="4"/>
      <c r="J774" s="5"/>
      <c r="L774" s="6"/>
      <c r="M774" s="6"/>
      <c r="O774" s="7"/>
      <c r="Q774" s="8"/>
      <c r="Y774" s="136"/>
      <c r="AE774" s="330"/>
    </row>
    <row r="775" spans="2:31" ht="12.75" customHeight="1">
      <c r="B775" s="80"/>
      <c r="C775" s="3"/>
      <c r="D775" s="4"/>
      <c r="E775" s="4"/>
      <c r="F775" s="4"/>
      <c r="G775" s="4"/>
      <c r="H775" s="4"/>
      <c r="I775" s="4"/>
      <c r="J775" s="5"/>
      <c r="L775" s="6"/>
      <c r="M775" s="6"/>
      <c r="O775" s="7"/>
      <c r="Q775" s="8"/>
      <c r="Y775" s="136"/>
      <c r="AE775" s="330"/>
    </row>
    <row r="776" spans="2:31" ht="12.75" customHeight="1">
      <c r="B776" s="80"/>
      <c r="C776" s="3"/>
      <c r="D776" s="4"/>
      <c r="E776" s="4"/>
      <c r="F776" s="4"/>
      <c r="G776" s="4"/>
      <c r="H776" s="4"/>
      <c r="I776" s="4"/>
      <c r="J776" s="5"/>
      <c r="L776" s="6"/>
      <c r="M776" s="6"/>
      <c r="O776" s="7"/>
      <c r="Q776" s="8"/>
      <c r="Y776" s="136"/>
      <c r="AE776" s="330"/>
    </row>
    <row r="777" spans="2:31" ht="12.75" customHeight="1">
      <c r="B777" s="80"/>
      <c r="C777" s="3"/>
      <c r="D777" s="4"/>
      <c r="E777" s="4"/>
      <c r="F777" s="4"/>
      <c r="G777" s="4"/>
      <c r="H777" s="4"/>
      <c r="I777" s="4"/>
      <c r="J777" s="5"/>
      <c r="L777" s="6"/>
      <c r="M777" s="6"/>
      <c r="O777" s="7"/>
      <c r="Q777" s="8"/>
      <c r="Y777" s="136"/>
      <c r="AE777" s="330"/>
    </row>
    <row r="778" spans="2:31" ht="12.75" customHeight="1">
      <c r="B778" s="80"/>
      <c r="C778" s="3"/>
      <c r="D778" s="4"/>
      <c r="E778" s="4"/>
      <c r="F778" s="4"/>
      <c r="G778" s="4"/>
      <c r="H778" s="4"/>
      <c r="I778" s="4"/>
      <c r="J778" s="5"/>
      <c r="L778" s="6"/>
      <c r="M778" s="6"/>
      <c r="O778" s="7"/>
      <c r="Q778" s="8"/>
      <c r="Y778" s="136"/>
      <c r="AE778" s="330"/>
    </row>
    <row r="779" spans="2:31" ht="12.75" customHeight="1">
      <c r="B779" s="80"/>
      <c r="C779" s="3"/>
      <c r="D779" s="4"/>
      <c r="E779" s="4"/>
      <c r="F779" s="4"/>
      <c r="G779" s="4"/>
      <c r="H779" s="4"/>
      <c r="I779" s="4"/>
      <c r="J779" s="5"/>
      <c r="L779" s="6"/>
      <c r="M779" s="6"/>
      <c r="O779" s="7"/>
      <c r="Q779" s="8"/>
      <c r="Y779" s="136"/>
      <c r="AE779" s="330"/>
    </row>
    <row r="780" spans="2:31" ht="12.75" customHeight="1">
      <c r="B780" s="80"/>
      <c r="C780" s="3"/>
      <c r="D780" s="4"/>
      <c r="E780" s="4"/>
      <c r="F780" s="4"/>
      <c r="G780" s="4"/>
      <c r="H780" s="4"/>
      <c r="I780" s="4"/>
      <c r="J780" s="5"/>
      <c r="L780" s="6"/>
      <c r="M780" s="6"/>
      <c r="O780" s="7"/>
      <c r="Q780" s="8"/>
      <c r="Y780" s="136"/>
      <c r="AE780" s="330"/>
    </row>
    <row r="781" spans="2:31" ht="12.75" customHeight="1">
      <c r="B781" s="80"/>
      <c r="C781" s="3"/>
      <c r="D781" s="4"/>
      <c r="E781" s="4"/>
      <c r="F781" s="4"/>
      <c r="G781" s="4"/>
      <c r="H781" s="4"/>
      <c r="I781" s="4"/>
      <c r="J781" s="5"/>
      <c r="L781" s="6"/>
      <c r="M781" s="6"/>
      <c r="O781" s="7"/>
      <c r="Q781" s="8"/>
      <c r="Y781" s="136"/>
      <c r="AE781" s="330"/>
    </row>
    <row r="782" spans="2:31" ht="12.75" customHeight="1">
      <c r="B782" s="80"/>
      <c r="C782" s="3"/>
      <c r="D782" s="4"/>
      <c r="E782" s="4"/>
      <c r="F782" s="4"/>
      <c r="G782" s="4"/>
      <c r="H782" s="4"/>
      <c r="I782" s="4"/>
      <c r="J782" s="5"/>
      <c r="L782" s="6"/>
      <c r="M782" s="6"/>
      <c r="O782" s="7"/>
      <c r="Q782" s="8"/>
      <c r="Y782" s="136"/>
      <c r="AE782" s="330"/>
    </row>
    <row r="783" spans="2:31" ht="12.75" customHeight="1">
      <c r="B783" s="80"/>
      <c r="C783" s="3"/>
      <c r="D783" s="4"/>
      <c r="E783" s="4"/>
      <c r="F783" s="4"/>
      <c r="G783" s="4"/>
      <c r="H783" s="4"/>
      <c r="I783" s="4"/>
      <c r="J783" s="5"/>
      <c r="L783" s="6"/>
      <c r="M783" s="6"/>
      <c r="O783" s="7"/>
      <c r="Q783" s="8"/>
      <c r="Y783" s="136"/>
      <c r="AE783" s="330"/>
    </row>
    <row r="784" spans="2:31" ht="12.75" customHeight="1">
      <c r="B784" s="80"/>
      <c r="C784" s="3"/>
      <c r="D784" s="4"/>
      <c r="E784" s="4"/>
      <c r="F784" s="4"/>
      <c r="G784" s="4"/>
      <c r="H784" s="4"/>
      <c r="I784" s="4"/>
      <c r="J784" s="5"/>
      <c r="L784" s="6"/>
      <c r="M784" s="6"/>
      <c r="O784" s="7"/>
      <c r="Q784" s="8"/>
      <c r="Y784" s="136"/>
      <c r="AE784" s="330"/>
    </row>
    <row r="785" spans="2:31" ht="12.75" customHeight="1">
      <c r="B785" s="80"/>
      <c r="C785" s="3"/>
      <c r="D785" s="4"/>
      <c r="E785" s="4"/>
      <c r="F785" s="4"/>
      <c r="G785" s="4"/>
      <c r="H785" s="4"/>
      <c r="I785" s="4"/>
      <c r="J785" s="5"/>
      <c r="L785" s="6"/>
      <c r="M785" s="6"/>
      <c r="O785" s="7"/>
      <c r="Q785" s="8"/>
      <c r="Y785" s="136"/>
      <c r="AE785" s="330"/>
    </row>
    <row r="786" spans="2:31" ht="12.75" customHeight="1">
      <c r="B786" s="80"/>
      <c r="C786" s="3"/>
      <c r="D786" s="4"/>
      <c r="E786" s="4"/>
      <c r="F786" s="4"/>
      <c r="G786" s="4"/>
      <c r="H786" s="4"/>
      <c r="I786" s="4"/>
      <c r="J786" s="5"/>
      <c r="L786" s="6"/>
      <c r="M786" s="6"/>
      <c r="O786" s="7"/>
      <c r="Q786" s="8"/>
      <c r="Y786" s="136"/>
      <c r="AE786" s="330"/>
    </row>
    <row r="787" spans="2:31" ht="12.75" customHeight="1">
      <c r="B787" s="80"/>
      <c r="C787" s="3"/>
      <c r="D787" s="4"/>
      <c r="E787" s="4"/>
      <c r="F787" s="4"/>
      <c r="G787" s="4"/>
      <c r="H787" s="4"/>
      <c r="I787" s="4"/>
      <c r="J787" s="5"/>
      <c r="L787" s="6"/>
      <c r="M787" s="6"/>
      <c r="O787" s="7"/>
      <c r="Q787" s="8"/>
      <c r="Y787" s="136"/>
      <c r="AE787" s="330"/>
    </row>
    <row r="788" spans="2:31" ht="12.75" customHeight="1">
      <c r="B788" s="80"/>
      <c r="C788" s="3"/>
      <c r="D788" s="4"/>
      <c r="E788" s="4"/>
      <c r="F788" s="4"/>
      <c r="G788" s="4"/>
      <c r="H788" s="4"/>
      <c r="I788" s="4"/>
      <c r="J788" s="5"/>
      <c r="L788" s="6"/>
      <c r="M788" s="6"/>
      <c r="O788" s="7"/>
      <c r="Q788" s="8"/>
      <c r="Y788" s="136"/>
      <c r="AE788" s="330"/>
    </row>
    <row r="789" spans="2:31" ht="12.75" customHeight="1">
      <c r="B789" s="80"/>
      <c r="C789" s="3"/>
      <c r="D789" s="4"/>
      <c r="E789" s="4"/>
      <c r="F789" s="4"/>
      <c r="G789" s="4"/>
      <c r="H789" s="4"/>
      <c r="I789" s="4"/>
      <c r="J789" s="5"/>
      <c r="L789" s="6"/>
      <c r="M789" s="6"/>
      <c r="O789" s="7"/>
      <c r="Q789" s="8"/>
      <c r="Y789" s="136"/>
      <c r="AE789" s="330"/>
    </row>
    <row r="790" spans="2:31" ht="12.75" customHeight="1">
      <c r="B790" s="80"/>
      <c r="C790" s="3"/>
      <c r="D790" s="4"/>
      <c r="E790" s="4"/>
      <c r="F790" s="4"/>
      <c r="G790" s="4"/>
      <c r="H790" s="4"/>
      <c r="I790" s="4"/>
      <c r="J790" s="5"/>
      <c r="L790" s="6"/>
      <c r="M790" s="6"/>
      <c r="O790" s="7"/>
      <c r="Q790" s="8"/>
      <c r="Y790" s="136"/>
      <c r="AE790" s="330"/>
    </row>
    <row r="791" spans="2:31" ht="12.75" customHeight="1">
      <c r="B791" s="80"/>
      <c r="C791" s="3"/>
      <c r="D791" s="4"/>
      <c r="E791" s="4"/>
      <c r="F791" s="4"/>
      <c r="G791" s="4"/>
      <c r="H791" s="4"/>
      <c r="I791" s="4"/>
      <c r="J791" s="5"/>
      <c r="L791" s="6"/>
      <c r="M791" s="6"/>
      <c r="O791" s="7"/>
      <c r="Q791" s="8"/>
      <c r="Y791" s="136"/>
      <c r="AE791" s="330"/>
    </row>
    <row r="792" spans="2:31" ht="12.75" customHeight="1">
      <c r="B792" s="80"/>
      <c r="C792" s="3"/>
      <c r="D792" s="4"/>
      <c r="E792" s="4"/>
      <c r="F792" s="4"/>
      <c r="G792" s="4"/>
      <c r="H792" s="4"/>
      <c r="I792" s="4"/>
      <c r="J792" s="5"/>
      <c r="L792" s="6"/>
      <c r="M792" s="6"/>
      <c r="O792" s="7"/>
      <c r="Q792" s="8"/>
      <c r="Y792" s="136"/>
      <c r="AE792" s="330"/>
    </row>
    <row r="793" spans="2:31" ht="12.75" customHeight="1">
      <c r="B793" s="80"/>
      <c r="C793" s="3"/>
      <c r="D793" s="4"/>
      <c r="E793" s="4"/>
      <c r="F793" s="4"/>
      <c r="G793" s="4"/>
      <c r="H793" s="4"/>
      <c r="I793" s="4"/>
      <c r="J793" s="5"/>
      <c r="L793" s="6"/>
      <c r="M793" s="6"/>
      <c r="O793" s="7"/>
      <c r="Q793" s="8"/>
      <c r="Y793" s="136"/>
      <c r="AE793" s="330"/>
    </row>
    <row r="794" spans="2:31" ht="12.75" customHeight="1">
      <c r="B794" s="80"/>
      <c r="C794" s="3"/>
      <c r="D794" s="4"/>
      <c r="E794" s="4"/>
      <c r="F794" s="4"/>
      <c r="G794" s="4"/>
      <c r="H794" s="4"/>
      <c r="I794" s="4"/>
      <c r="J794" s="5"/>
      <c r="L794" s="6"/>
      <c r="M794" s="6"/>
      <c r="O794" s="7"/>
      <c r="Q794" s="8"/>
      <c r="Y794" s="136"/>
      <c r="AE794" s="330"/>
    </row>
    <row r="795" spans="2:31" ht="12.75" customHeight="1">
      <c r="B795" s="80"/>
      <c r="C795" s="3"/>
      <c r="D795" s="4"/>
      <c r="E795" s="4"/>
      <c r="F795" s="4"/>
      <c r="G795" s="4"/>
      <c r="H795" s="4"/>
      <c r="I795" s="4"/>
      <c r="J795" s="5"/>
      <c r="L795" s="6"/>
      <c r="M795" s="6"/>
      <c r="O795" s="7"/>
      <c r="Q795" s="8"/>
      <c r="Y795" s="136"/>
      <c r="AE795" s="330"/>
    </row>
    <row r="796" spans="2:31" ht="12.75" customHeight="1">
      <c r="B796" s="80"/>
      <c r="C796" s="3"/>
      <c r="D796" s="4"/>
      <c r="E796" s="4"/>
      <c r="F796" s="4"/>
      <c r="G796" s="4"/>
      <c r="H796" s="4"/>
      <c r="I796" s="4"/>
      <c r="J796" s="5"/>
      <c r="L796" s="6"/>
      <c r="M796" s="6"/>
      <c r="O796" s="7"/>
      <c r="Q796" s="8"/>
      <c r="Y796" s="136"/>
      <c r="AE796" s="330"/>
    </row>
    <row r="797" spans="2:31" ht="12.75" customHeight="1">
      <c r="B797" s="80"/>
      <c r="C797" s="3"/>
      <c r="D797" s="4"/>
      <c r="E797" s="4"/>
      <c r="F797" s="4"/>
      <c r="G797" s="4"/>
      <c r="H797" s="4"/>
      <c r="I797" s="4"/>
      <c r="J797" s="5"/>
      <c r="L797" s="6"/>
      <c r="M797" s="6"/>
      <c r="O797" s="7"/>
      <c r="Q797" s="8"/>
      <c r="Y797" s="136"/>
      <c r="AE797" s="330"/>
    </row>
    <row r="798" spans="2:31" ht="12.75" customHeight="1">
      <c r="B798" s="80"/>
      <c r="C798" s="3"/>
      <c r="D798" s="4"/>
      <c r="E798" s="4"/>
      <c r="F798" s="4"/>
      <c r="G798" s="4"/>
      <c r="H798" s="4"/>
      <c r="I798" s="4"/>
      <c r="J798" s="5"/>
      <c r="L798" s="6"/>
      <c r="M798" s="6"/>
      <c r="O798" s="7"/>
      <c r="Q798" s="8"/>
      <c r="Y798" s="136"/>
      <c r="AE798" s="330"/>
    </row>
    <row r="799" spans="2:31" ht="12.75" customHeight="1">
      <c r="B799" s="80"/>
      <c r="C799" s="3"/>
      <c r="D799" s="4"/>
      <c r="E799" s="4"/>
      <c r="F799" s="4"/>
      <c r="G799" s="4"/>
      <c r="H799" s="4"/>
      <c r="I799" s="4"/>
      <c r="J799" s="5"/>
      <c r="L799" s="6"/>
      <c r="M799" s="6"/>
      <c r="O799" s="7"/>
      <c r="Q799" s="8"/>
      <c r="Y799" s="136"/>
      <c r="AE799" s="330"/>
    </row>
    <row r="800" spans="2:31" ht="12.75" customHeight="1">
      <c r="B800" s="80"/>
      <c r="C800" s="3"/>
      <c r="D800" s="4"/>
      <c r="E800" s="4"/>
      <c r="F800" s="4"/>
      <c r="G800" s="4"/>
      <c r="H800" s="4"/>
      <c r="I800" s="4"/>
      <c r="J800" s="5"/>
      <c r="L800" s="6"/>
      <c r="M800" s="6"/>
      <c r="O800" s="7"/>
      <c r="Q800" s="8"/>
      <c r="Y800" s="136"/>
      <c r="AE800" s="330"/>
    </row>
    <row r="801" spans="2:31" ht="12.75" customHeight="1">
      <c r="B801" s="80"/>
      <c r="C801" s="3"/>
      <c r="D801" s="4"/>
      <c r="E801" s="4"/>
      <c r="F801" s="4"/>
      <c r="G801" s="4"/>
      <c r="H801" s="4"/>
      <c r="I801" s="4"/>
      <c r="J801" s="5"/>
      <c r="L801" s="6"/>
      <c r="M801" s="6"/>
      <c r="O801" s="7"/>
      <c r="Q801" s="8"/>
      <c r="Y801" s="136"/>
      <c r="AE801" s="330"/>
    </row>
    <row r="802" spans="2:31" ht="12.75" customHeight="1">
      <c r="B802" s="80"/>
      <c r="C802" s="3"/>
      <c r="D802" s="4"/>
      <c r="E802" s="4"/>
      <c r="F802" s="4"/>
      <c r="G802" s="4"/>
      <c r="H802" s="4"/>
      <c r="I802" s="4"/>
      <c r="J802" s="5"/>
      <c r="L802" s="6"/>
      <c r="M802" s="6"/>
      <c r="O802" s="7"/>
      <c r="Q802" s="8"/>
      <c r="Y802" s="136"/>
      <c r="AE802" s="330"/>
    </row>
    <row r="803" spans="2:31" ht="12.75" customHeight="1">
      <c r="B803" s="80"/>
      <c r="C803" s="3"/>
      <c r="D803" s="4"/>
      <c r="E803" s="4"/>
      <c r="F803" s="4"/>
      <c r="G803" s="4"/>
      <c r="H803" s="4"/>
      <c r="I803" s="4"/>
      <c r="J803" s="5"/>
      <c r="L803" s="6"/>
      <c r="M803" s="6"/>
      <c r="O803" s="7"/>
      <c r="Q803" s="8"/>
      <c r="Y803" s="136"/>
      <c r="AE803" s="330"/>
    </row>
    <row r="804" spans="2:31" ht="12.75" customHeight="1">
      <c r="B804" s="80"/>
      <c r="C804" s="3"/>
      <c r="D804" s="4"/>
      <c r="E804" s="4"/>
      <c r="F804" s="4"/>
      <c r="G804" s="4"/>
      <c r="H804" s="4"/>
      <c r="I804" s="4"/>
      <c r="J804" s="5"/>
      <c r="L804" s="6"/>
      <c r="M804" s="6"/>
      <c r="O804" s="7"/>
      <c r="Q804" s="8"/>
      <c r="Y804" s="136"/>
      <c r="AE804" s="330"/>
    </row>
    <row r="805" spans="2:31" ht="12.75" customHeight="1">
      <c r="B805" s="80"/>
      <c r="C805" s="3"/>
      <c r="D805" s="4"/>
      <c r="E805" s="4"/>
      <c r="F805" s="4"/>
      <c r="G805" s="4"/>
      <c r="H805" s="4"/>
      <c r="I805" s="4"/>
      <c r="J805" s="5"/>
      <c r="L805" s="6"/>
      <c r="M805" s="6"/>
      <c r="O805" s="7"/>
      <c r="Q805" s="8"/>
      <c r="Y805" s="136"/>
      <c r="AE805" s="330"/>
    </row>
    <row r="806" spans="2:31" ht="12.75" customHeight="1">
      <c r="B806" s="80"/>
      <c r="C806" s="3"/>
      <c r="D806" s="4"/>
      <c r="E806" s="4"/>
      <c r="F806" s="4"/>
      <c r="G806" s="4"/>
      <c r="H806" s="4"/>
      <c r="I806" s="4"/>
      <c r="J806" s="5"/>
      <c r="L806" s="6"/>
      <c r="M806" s="6"/>
      <c r="O806" s="7"/>
      <c r="Q806" s="8"/>
      <c r="Y806" s="136"/>
      <c r="AE806" s="330"/>
    </row>
    <row r="807" spans="2:31" ht="12.75" customHeight="1">
      <c r="B807" s="80"/>
      <c r="C807" s="3"/>
      <c r="D807" s="4"/>
      <c r="E807" s="4"/>
      <c r="F807" s="4"/>
      <c r="G807" s="4"/>
      <c r="H807" s="4"/>
      <c r="I807" s="4"/>
      <c r="J807" s="5"/>
      <c r="L807" s="6"/>
      <c r="M807" s="6"/>
      <c r="O807" s="7"/>
      <c r="Q807" s="8"/>
      <c r="Y807" s="136"/>
      <c r="AE807" s="330"/>
    </row>
    <row r="808" spans="2:31" ht="12.75" customHeight="1">
      <c r="B808" s="80"/>
      <c r="C808" s="3"/>
      <c r="D808" s="4"/>
      <c r="E808" s="4"/>
      <c r="F808" s="4"/>
      <c r="G808" s="4"/>
      <c r="H808" s="4"/>
      <c r="I808" s="4"/>
      <c r="J808" s="5"/>
      <c r="L808" s="6"/>
      <c r="M808" s="6"/>
      <c r="O808" s="7"/>
      <c r="Q808" s="8"/>
      <c r="Y808" s="136"/>
      <c r="AE808" s="330"/>
    </row>
    <row r="809" spans="2:31" ht="12.75" customHeight="1">
      <c r="B809" s="80"/>
      <c r="C809" s="3"/>
      <c r="D809" s="4"/>
      <c r="E809" s="4"/>
      <c r="F809" s="4"/>
      <c r="G809" s="4"/>
      <c r="H809" s="4"/>
      <c r="I809" s="4"/>
      <c r="J809" s="5"/>
      <c r="L809" s="6"/>
      <c r="M809" s="6"/>
      <c r="O809" s="7"/>
      <c r="Q809" s="8"/>
      <c r="Y809" s="136"/>
      <c r="AE809" s="330"/>
    </row>
    <row r="810" spans="2:31" ht="12.75" customHeight="1">
      <c r="B810" s="80"/>
      <c r="C810" s="3"/>
      <c r="D810" s="4"/>
      <c r="E810" s="4"/>
      <c r="F810" s="4"/>
      <c r="G810" s="4"/>
      <c r="H810" s="4"/>
      <c r="I810" s="4"/>
      <c r="J810" s="5"/>
      <c r="L810" s="6"/>
      <c r="M810" s="6"/>
      <c r="O810" s="7"/>
      <c r="Q810" s="8"/>
      <c r="Y810" s="136"/>
      <c r="AE810" s="330"/>
    </row>
    <row r="811" spans="2:31" ht="12.75" customHeight="1">
      <c r="B811" s="80"/>
      <c r="C811" s="3"/>
      <c r="D811" s="4"/>
      <c r="E811" s="4"/>
      <c r="F811" s="4"/>
      <c r="G811" s="4"/>
      <c r="H811" s="4"/>
      <c r="I811" s="4"/>
      <c r="J811" s="5"/>
      <c r="L811" s="6"/>
      <c r="M811" s="6"/>
      <c r="O811" s="7"/>
      <c r="Q811" s="8"/>
      <c r="Y811" s="136"/>
      <c r="AE811" s="330"/>
    </row>
    <row r="812" spans="2:31" ht="12.75" customHeight="1">
      <c r="B812" s="80"/>
      <c r="C812" s="3"/>
      <c r="D812" s="4"/>
      <c r="E812" s="4"/>
      <c r="F812" s="4"/>
      <c r="G812" s="4"/>
      <c r="H812" s="4"/>
      <c r="I812" s="4"/>
      <c r="J812" s="5"/>
      <c r="L812" s="6"/>
      <c r="M812" s="6"/>
      <c r="O812" s="7"/>
      <c r="Q812" s="8"/>
      <c r="Y812" s="136"/>
      <c r="AE812" s="330"/>
    </row>
    <row r="813" spans="2:31" ht="12.75" customHeight="1">
      <c r="B813" s="80"/>
      <c r="C813" s="3"/>
      <c r="D813" s="4"/>
      <c r="E813" s="4"/>
      <c r="F813" s="4"/>
      <c r="G813" s="4"/>
      <c r="H813" s="4"/>
      <c r="I813" s="4"/>
      <c r="J813" s="5"/>
      <c r="L813" s="6"/>
      <c r="M813" s="6"/>
      <c r="O813" s="7"/>
      <c r="Q813" s="8"/>
      <c r="Y813" s="136"/>
      <c r="AE813" s="330"/>
    </row>
    <row r="814" spans="2:31" ht="12.75" customHeight="1">
      <c r="B814" s="80"/>
      <c r="C814" s="3"/>
      <c r="D814" s="4"/>
      <c r="E814" s="4"/>
      <c r="F814" s="4"/>
      <c r="G814" s="4"/>
      <c r="H814" s="4"/>
      <c r="I814" s="4"/>
      <c r="J814" s="5"/>
      <c r="L814" s="6"/>
      <c r="M814" s="6"/>
      <c r="O814" s="7"/>
      <c r="Q814" s="8"/>
      <c r="Y814" s="136"/>
      <c r="AE814" s="330"/>
    </row>
    <row r="815" spans="2:31" ht="12.75" customHeight="1">
      <c r="B815" s="80"/>
      <c r="C815" s="3"/>
      <c r="D815" s="4"/>
      <c r="E815" s="4"/>
      <c r="F815" s="4"/>
      <c r="G815" s="4"/>
      <c r="H815" s="4"/>
      <c r="I815" s="4"/>
      <c r="J815" s="5"/>
      <c r="L815" s="6"/>
      <c r="M815" s="6"/>
      <c r="O815" s="7"/>
      <c r="Q815" s="8"/>
      <c r="Y815" s="136"/>
      <c r="AE815" s="330"/>
    </row>
    <row r="816" spans="2:31" ht="12.75" customHeight="1">
      <c r="B816" s="80"/>
      <c r="C816" s="3"/>
      <c r="D816" s="4"/>
      <c r="E816" s="4"/>
      <c r="F816" s="4"/>
      <c r="G816" s="4"/>
      <c r="H816" s="4"/>
      <c r="I816" s="4"/>
      <c r="J816" s="5"/>
      <c r="L816" s="6"/>
      <c r="M816" s="6"/>
      <c r="O816" s="7"/>
      <c r="Q816" s="8"/>
      <c r="Y816" s="136"/>
      <c r="AE816" s="330"/>
    </row>
    <row r="817" spans="2:31" ht="12.75" customHeight="1">
      <c r="B817" s="80"/>
      <c r="C817" s="3"/>
      <c r="D817" s="4"/>
      <c r="E817" s="4"/>
      <c r="F817" s="4"/>
      <c r="G817" s="4"/>
      <c r="H817" s="4"/>
      <c r="I817" s="4"/>
      <c r="J817" s="5"/>
      <c r="L817" s="6"/>
      <c r="M817" s="6"/>
      <c r="O817" s="7"/>
      <c r="Q817" s="8"/>
      <c r="Y817" s="136"/>
      <c r="AE817" s="330"/>
    </row>
    <row r="818" spans="2:31" ht="12.75" customHeight="1">
      <c r="B818" s="80"/>
      <c r="C818" s="3"/>
      <c r="D818" s="4"/>
      <c r="E818" s="4"/>
      <c r="F818" s="4"/>
      <c r="G818" s="4"/>
      <c r="H818" s="4"/>
      <c r="I818" s="4"/>
      <c r="J818" s="5"/>
      <c r="L818" s="6"/>
      <c r="M818" s="6"/>
      <c r="O818" s="7"/>
      <c r="Q818" s="8"/>
      <c r="Y818" s="136"/>
      <c r="AE818" s="330"/>
    </row>
    <row r="819" spans="2:31" ht="12.75" customHeight="1">
      <c r="B819" s="80"/>
      <c r="C819" s="3"/>
      <c r="D819" s="4"/>
      <c r="E819" s="4"/>
      <c r="F819" s="4"/>
      <c r="G819" s="4"/>
      <c r="H819" s="4"/>
      <c r="I819" s="4"/>
      <c r="J819" s="5"/>
      <c r="L819" s="6"/>
      <c r="M819" s="6"/>
      <c r="O819" s="7"/>
      <c r="Q819" s="8"/>
      <c r="Y819" s="136"/>
      <c r="AE819" s="330"/>
    </row>
    <row r="820" spans="2:31" ht="12.75" customHeight="1">
      <c r="B820" s="80"/>
      <c r="C820" s="3"/>
      <c r="D820" s="4"/>
      <c r="E820" s="4"/>
      <c r="F820" s="4"/>
      <c r="G820" s="4"/>
      <c r="H820" s="4"/>
      <c r="I820" s="4"/>
      <c r="J820" s="5"/>
      <c r="L820" s="6"/>
      <c r="M820" s="6"/>
      <c r="O820" s="7"/>
      <c r="Q820" s="8"/>
      <c r="Y820" s="136"/>
      <c r="AE820" s="330"/>
    </row>
    <row r="821" spans="2:31" ht="12.75" customHeight="1">
      <c r="B821" s="80"/>
      <c r="C821" s="3"/>
      <c r="D821" s="4"/>
      <c r="E821" s="4"/>
      <c r="F821" s="4"/>
      <c r="G821" s="4"/>
      <c r="H821" s="4"/>
      <c r="I821" s="4"/>
      <c r="J821" s="5"/>
      <c r="L821" s="6"/>
      <c r="M821" s="6"/>
      <c r="O821" s="7"/>
      <c r="Q821" s="8"/>
      <c r="Y821" s="136"/>
      <c r="AE821" s="330"/>
    </row>
    <row r="822" spans="2:31" ht="12.75" customHeight="1">
      <c r="B822" s="80"/>
      <c r="C822" s="3"/>
      <c r="D822" s="4"/>
      <c r="E822" s="4"/>
      <c r="F822" s="4"/>
      <c r="G822" s="4"/>
      <c r="H822" s="4"/>
      <c r="I822" s="4"/>
      <c r="J822" s="5"/>
      <c r="L822" s="6"/>
      <c r="M822" s="6"/>
      <c r="O822" s="7"/>
      <c r="Q822" s="8"/>
      <c r="Y822" s="136"/>
      <c r="AE822" s="330"/>
    </row>
    <row r="823" spans="2:31" ht="12.75" customHeight="1">
      <c r="B823" s="80"/>
      <c r="C823" s="3"/>
      <c r="D823" s="4"/>
      <c r="E823" s="4"/>
      <c r="F823" s="4"/>
      <c r="G823" s="4"/>
      <c r="H823" s="4"/>
      <c r="I823" s="4"/>
      <c r="J823" s="5"/>
      <c r="L823" s="6"/>
      <c r="M823" s="6"/>
      <c r="O823" s="7"/>
      <c r="Q823" s="8"/>
      <c r="Y823" s="136"/>
      <c r="AE823" s="330"/>
    </row>
    <row r="824" spans="2:31" ht="12.75" customHeight="1">
      <c r="B824" s="80"/>
      <c r="C824" s="3"/>
      <c r="D824" s="4"/>
      <c r="E824" s="4"/>
      <c r="F824" s="4"/>
      <c r="G824" s="4"/>
      <c r="H824" s="4"/>
      <c r="I824" s="4"/>
      <c r="J824" s="5"/>
      <c r="L824" s="6"/>
      <c r="M824" s="6"/>
      <c r="O824" s="7"/>
      <c r="Q824" s="8"/>
      <c r="Y824" s="136"/>
      <c r="AE824" s="330"/>
    </row>
    <row r="825" spans="2:31" ht="12.75" customHeight="1">
      <c r="B825" s="80"/>
      <c r="C825" s="3"/>
      <c r="D825" s="4"/>
      <c r="E825" s="4"/>
      <c r="F825" s="4"/>
      <c r="G825" s="4"/>
      <c r="H825" s="4"/>
      <c r="I825" s="4"/>
      <c r="J825" s="5"/>
      <c r="L825" s="6"/>
      <c r="M825" s="6"/>
      <c r="O825" s="7"/>
      <c r="Q825" s="8"/>
      <c r="Y825" s="136"/>
      <c r="AE825" s="330"/>
    </row>
    <row r="826" spans="2:31" ht="12.75" customHeight="1">
      <c r="B826" s="80"/>
      <c r="C826" s="3"/>
      <c r="D826" s="4"/>
      <c r="E826" s="4"/>
      <c r="F826" s="4"/>
      <c r="G826" s="4"/>
      <c r="H826" s="4"/>
      <c r="I826" s="4"/>
      <c r="J826" s="5"/>
      <c r="L826" s="6"/>
      <c r="M826" s="6"/>
      <c r="O826" s="7"/>
      <c r="Q826" s="8"/>
      <c r="Y826" s="136"/>
      <c r="AE826" s="330"/>
    </row>
    <row r="827" spans="2:31" ht="12.75" customHeight="1">
      <c r="B827" s="80"/>
      <c r="C827" s="3"/>
      <c r="D827" s="4"/>
      <c r="E827" s="4"/>
      <c r="F827" s="4"/>
      <c r="G827" s="4"/>
      <c r="H827" s="4"/>
      <c r="I827" s="4"/>
      <c r="J827" s="5"/>
      <c r="L827" s="6"/>
      <c r="M827" s="6"/>
      <c r="O827" s="7"/>
      <c r="Q827" s="8"/>
      <c r="Y827" s="136"/>
      <c r="AE827" s="330"/>
    </row>
    <row r="828" spans="2:31" ht="12.75" customHeight="1">
      <c r="B828" s="80"/>
      <c r="C828" s="3"/>
      <c r="D828" s="4"/>
      <c r="E828" s="4"/>
      <c r="F828" s="4"/>
      <c r="G828" s="4"/>
      <c r="H828" s="4"/>
      <c r="I828" s="4"/>
      <c r="J828" s="5"/>
      <c r="L828" s="6"/>
      <c r="M828" s="6"/>
      <c r="O828" s="7"/>
      <c r="Q828" s="8"/>
      <c r="Y828" s="136"/>
      <c r="AE828" s="330"/>
    </row>
    <row r="829" spans="2:31" ht="12.75" customHeight="1">
      <c r="B829" s="80"/>
      <c r="C829" s="3"/>
      <c r="D829" s="4"/>
      <c r="E829" s="4"/>
      <c r="F829" s="4"/>
      <c r="G829" s="4"/>
      <c r="H829" s="4"/>
      <c r="I829" s="4"/>
      <c r="J829" s="5"/>
      <c r="L829" s="6"/>
      <c r="M829" s="6"/>
      <c r="O829" s="7"/>
      <c r="Q829" s="8"/>
      <c r="Y829" s="136"/>
      <c r="AE829" s="330"/>
    </row>
    <row r="830" spans="2:31" ht="12.75" customHeight="1">
      <c r="B830" s="80"/>
      <c r="C830" s="3"/>
      <c r="D830" s="4"/>
      <c r="E830" s="4"/>
      <c r="F830" s="4"/>
      <c r="G830" s="4"/>
      <c r="H830" s="4"/>
      <c r="I830" s="4"/>
      <c r="J830" s="5"/>
      <c r="L830" s="6"/>
      <c r="M830" s="6"/>
      <c r="O830" s="7"/>
      <c r="Q830" s="8"/>
      <c r="Y830" s="136"/>
      <c r="AE830" s="330"/>
    </row>
    <row r="831" spans="2:31" ht="12.75" customHeight="1">
      <c r="B831" s="80"/>
      <c r="C831" s="3"/>
      <c r="D831" s="4"/>
      <c r="E831" s="4"/>
      <c r="F831" s="4"/>
      <c r="G831" s="4"/>
      <c r="H831" s="4"/>
      <c r="I831" s="4"/>
      <c r="J831" s="5"/>
      <c r="L831" s="6"/>
      <c r="M831" s="6"/>
      <c r="O831" s="7"/>
      <c r="Q831" s="8"/>
      <c r="Y831" s="136"/>
      <c r="AE831" s="330"/>
    </row>
    <row r="832" spans="2:31" ht="12.75" customHeight="1">
      <c r="B832" s="80"/>
      <c r="C832" s="3"/>
      <c r="D832" s="4"/>
      <c r="E832" s="4"/>
      <c r="F832" s="4"/>
      <c r="G832" s="4"/>
      <c r="H832" s="4"/>
      <c r="I832" s="4"/>
      <c r="J832" s="5"/>
      <c r="L832" s="6"/>
      <c r="M832" s="6"/>
      <c r="O832" s="7"/>
      <c r="Q832" s="8"/>
      <c r="Y832" s="136"/>
      <c r="AE832" s="330"/>
    </row>
    <row r="833" spans="2:31" ht="12.75" customHeight="1">
      <c r="B833" s="80"/>
      <c r="C833" s="3"/>
      <c r="D833" s="4"/>
      <c r="E833" s="4"/>
      <c r="F833" s="4"/>
      <c r="G833" s="4"/>
      <c r="H833" s="4"/>
      <c r="I833" s="4"/>
      <c r="J833" s="5"/>
      <c r="L833" s="6"/>
      <c r="M833" s="6"/>
      <c r="O833" s="7"/>
      <c r="Q833" s="8"/>
      <c r="Y833" s="136"/>
      <c r="AE833" s="330"/>
    </row>
    <row r="834" spans="2:31" ht="12.75" customHeight="1">
      <c r="B834" s="80"/>
      <c r="C834" s="3"/>
      <c r="D834" s="4"/>
      <c r="E834" s="4"/>
      <c r="F834" s="4"/>
      <c r="G834" s="4"/>
      <c r="H834" s="4"/>
      <c r="I834" s="4"/>
      <c r="J834" s="5"/>
      <c r="L834" s="6"/>
      <c r="M834" s="6"/>
      <c r="O834" s="7"/>
      <c r="Q834" s="8"/>
      <c r="Y834" s="136"/>
      <c r="AE834" s="330"/>
    </row>
    <row r="835" spans="2:31" ht="12.75" customHeight="1">
      <c r="B835" s="80"/>
      <c r="C835" s="3"/>
      <c r="D835" s="4"/>
      <c r="E835" s="4"/>
      <c r="F835" s="4"/>
      <c r="G835" s="4"/>
      <c r="H835" s="4"/>
      <c r="I835" s="4"/>
      <c r="J835" s="5"/>
      <c r="L835" s="6"/>
      <c r="M835" s="6"/>
      <c r="O835" s="7"/>
      <c r="Q835" s="8"/>
      <c r="Y835" s="136"/>
      <c r="AE835" s="330"/>
    </row>
    <row r="836" spans="2:31" ht="12.75" customHeight="1">
      <c r="B836" s="80"/>
      <c r="C836" s="3"/>
      <c r="D836" s="4"/>
      <c r="E836" s="4"/>
      <c r="F836" s="4"/>
      <c r="G836" s="4"/>
      <c r="H836" s="4"/>
      <c r="I836" s="4"/>
      <c r="J836" s="5"/>
      <c r="L836" s="6"/>
      <c r="M836" s="6"/>
      <c r="O836" s="7"/>
      <c r="Q836" s="8"/>
      <c r="Y836" s="136"/>
      <c r="AE836" s="330"/>
    </row>
    <row r="837" spans="2:31" ht="12.75" customHeight="1">
      <c r="B837" s="80"/>
      <c r="C837" s="3"/>
      <c r="D837" s="4"/>
      <c r="E837" s="4"/>
      <c r="F837" s="4"/>
      <c r="G837" s="4"/>
      <c r="H837" s="4"/>
      <c r="I837" s="4"/>
      <c r="J837" s="5"/>
      <c r="L837" s="6"/>
      <c r="M837" s="6"/>
      <c r="O837" s="7"/>
      <c r="Q837" s="8"/>
      <c r="Y837" s="136"/>
      <c r="AE837" s="330"/>
    </row>
    <row r="838" spans="2:31" ht="12.75" customHeight="1">
      <c r="B838" s="80"/>
      <c r="C838" s="3"/>
      <c r="D838" s="4"/>
      <c r="E838" s="4"/>
      <c r="F838" s="4"/>
      <c r="G838" s="4"/>
      <c r="H838" s="4"/>
      <c r="I838" s="4"/>
      <c r="J838" s="5"/>
      <c r="L838" s="6"/>
      <c r="M838" s="6"/>
      <c r="O838" s="7"/>
      <c r="Q838" s="8"/>
      <c r="Y838" s="136"/>
      <c r="AE838" s="330"/>
    </row>
    <row r="839" spans="2:31" ht="12.75" customHeight="1">
      <c r="B839" s="80"/>
      <c r="C839" s="3"/>
      <c r="D839" s="4"/>
      <c r="E839" s="4"/>
      <c r="F839" s="4"/>
      <c r="G839" s="4"/>
      <c r="H839" s="4"/>
      <c r="I839" s="4"/>
      <c r="J839" s="5"/>
      <c r="L839" s="6"/>
      <c r="M839" s="6"/>
      <c r="O839" s="7"/>
      <c r="Q839" s="8"/>
      <c r="Y839" s="136"/>
      <c r="AE839" s="330"/>
    </row>
    <row r="840" spans="2:31" ht="12.75" customHeight="1">
      <c r="B840" s="80"/>
      <c r="C840" s="3"/>
      <c r="D840" s="4"/>
      <c r="E840" s="4"/>
      <c r="F840" s="4"/>
      <c r="G840" s="4"/>
      <c r="H840" s="4"/>
      <c r="I840" s="4"/>
      <c r="J840" s="5"/>
      <c r="L840" s="6"/>
      <c r="M840" s="6"/>
      <c r="O840" s="7"/>
      <c r="Q840" s="8"/>
      <c r="Y840" s="136"/>
      <c r="AE840" s="330"/>
    </row>
    <row r="841" spans="2:31" ht="12.75" customHeight="1">
      <c r="B841" s="80"/>
      <c r="C841" s="3"/>
      <c r="D841" s="4"/>
      <c r="E841" s="4"/>
      <c r="F841" s="4"/>
      <c r="G841" s="4"/>
      <c r="H841" s="4"/>
      <c r="I841" s="4"/>
      <c r="J841" s="5"/>
      <c r="L841" s="6"/>
      <c r="M841" s="6"/>
      <c r="O841" s="7"/>
      <c r="Q841" s="8"/>
      <c r="Y841" s="136"/>
      <c r="AE841" s="330"/>
    </row>
    <row r="842" spans="2:31" ht="12.75" customHeight="1">
      <c r="B842" s="80"/>
      <c r="C842" s="3"/>
      <c r="D842" s="4"/>
      <c r="E842" s="4"/>
      <c r="F842" s="4"/>
      <c r="G842" s="4"/>
      <c r="H842" s="4"/>
      <c r="I842" s="4"/>
      <c r="J842" s="5"/>
      <c r="L842" s="6"/>
      <c r="M842" s="6"/>
      <c r="O842" s="7"/>
      <c r="Q842" s="8"/>
      <c r="Y842" s="136"/>
      <c r="AE842" s="330"/>
    </row>
    <row r="843" spans="2:31" ht="12.75" customHeight="1">
      <c r="B843" s="80"/>
      <c r="C843" s="3"/>
      <c r="D843" s="4"/>
      <c r="E843" s="4"/>
      <c r="F843" s="4"/>
      <c r="G843" s="4"/>
      <c r="H843" s="4"/>
      <c r="I843" s="4"/>
      <c r="J843" s="5"/>
      <c r="L843" s="6"/>
      <c r="M843" s="6"/>
      <c r="O843" s="7"/>
      <c r="Q843" s="8"/>
      <c r="Y843" s="136"/>
      <c r="AE843" s="330"/>
    </row>
    <row r="844" spans="2:31" ht="12.75" customHeight="1">
      <c r="B844" s="80"/>
      <c r="C844" s="3"/>
      <c r="D844" s="4"/>
      <c r="E844" s="4"/>
      <c r="F844" s="4"/>
      <c r="G844" s="4"/>
      <c r="H844" s="4"/>
      <c r="I844" s="4"/>
      <c r="J844" s="5"/>
      <c r="L844" s="6"/>
      <c r="M844" s="6"/>
      <c r="O844" s="7"/>
      <c r="Q844" s="8"/>
      <c r="Y844" s="136"/>
      <c r="AE844" s="330"/>
    </row>
    <row r="845" spans="2:31" ht="12.75" customHeight="1">
      <c r="B845" s="80"/>
      <c r="C845" s="3"/>
      <c r="D845" s="4"/>
      <c r="E845" s="4"/>
      <c r="F845" s="4"/>
      <c r="G845" s="4"/>
      <c r="H845" s="4"/>
      <c r="I845" s="4"/>
      <c r="J845" s="5"/>
      <c r="L845" s="6"/>
      <c r="M845" s="6"/>
      <c r="O845" s="7"/>
      <c r="Q845" s="8"/>
      <c r="Y845" s="136"/>
      <c r="AE845" s="330"/>
    </row>
    <row r="846" spans="2:31" ht="12.75" customHeight="1">
      <c r="B846" s="80"/>
      <c r="C846" s="3"/>
      <c r="D846" s="4"/>
      <c r="E846" s="4"/>
      <c r="F846" s="4"/>
      <c r="G846" s="4"/>
      <c r="H846" s="4"/>
      <c r="I846" s="4"/>
      <c r="J846" s="5"/>
      <c r="L846" s="6"/>
      <c r="M846" s="6"/>
      <c r="O846" s="7"/>
      <c r="Q846" s="8"/>
      <c r="Y846" s="136"/>
      <c r="AE846" s="330"/>
    </row>
    <row r="847" spans="2:31" ht="12.75" customHeight="1">
      <c r="B847" s="80"/>
      <c r="C847" s="3"/>
      <c r="D847" s="4"/>
      <c r="E847" s="4"/>
      <c r="F847" s="4"/>
      <c r="G847" s="4"/>
      <c r="H847" s="4"/>
      <c r="I847" s="4"/>
      <c r="J847" s="5"/>
      <c r="L847" s="6"/>
      <c r="M847" s="6"/>
      <c r="O847" s="7"/>
      <c r="Q847" s="8"/>
      <c r="Y847" s="136"/>
      <c r="AE847" s="330"/>
    </row>
    <row r="848" spans="2:31" ht="12.75" customHeight="1">
      <c r="B848" s="80"/>
      <c r="C848" s="3"/>
      <c r="D848" s="4"/>
      <c r="E848" s="4"/>
      <c r="F848" s="4"/>
      <c r="G848" s="4"/>
      <c r="H848" s="4"/>
      <c r="I848" s="4"/>
      <c r="J848" s="5"/>
      <c r="L848" s="6"/>
      <c r="M848" s="6"/>
      <c r="O848" s="7"/>
      <c r="Q848" s="8"/>
      <c r="Y848" s="136"/>
      <c r="AE848" s="330"/>
    </row>
    <row r="849" spans="2:31" ht="12.75" customHeight="1">
      <c r="B849" s="80"/>
      <c r="C849" s="3"/>
      <c r="D849" s="4"/>
      <c r="E849" s="4"/>
      <c r="F849" s="4"/>
      <c r="G849" s="4"/>
      <c r="H849" s="4"/>
      <c r="I849" s="4"/>
      <c r="J849" s="5"/>
      <c r="L849" s="6"/>
      <c r="M849" s="6"/>
      <c r="O849" s="7"/>
      <c r="Q849" s="8"/>
      <c r="Y849" s="136"/>
      <c r="AE849" s="330"/>
    </row>
    <row r="850" spans="2:31" ht="12.75" customHeight="1">
      <c r="B850" s="80"/>
      <c r="C850" s="3"/>
      <c r="D850" s="4"/>
      <c r="E850" s="4"/>
      <c r="F850" s="4"/>
      <c r="G850" s="4"/>
      <c r="H850" s="4"/>
      <c r="I850" s="4"/>
      <c r="J850" s="5"/>
      <c r="L850" s="6"/>
      <c r="M850" s="6"/>
      <c r="O850" s="7"/>
      <c r="Q850" s="8"/>
      <c r="Y850" s="136"/>
      <c r="AE850" s="330"/>
    </row>
    <row r="851" spans="2:31" ht="12.75" customHeight="1">
      <c r="B851" s="80"/>
      <c r="C851" s="3"/>
      <c r="D851" s="4"/>
      <c r="E851" s="4"/>
      <c r="F851" s="4"/>
      <c r="G851" s="4"/>
      <c r="H851" s="4"/>
      <c r="I851" s="4"/>
      <c r="J851" s="5"/>
      <c r="L851" s="6"/>
      <c r="M851" s="6"/>
      <c r="O851" s="7"/>
      <c r="Q851" s="8"/>
      <c r="Y851" s="136"/>
      <c r="AE851" s="330"/>
    </row>
    <row r="852" spans="2:31" ht="12.75" customHeight="1">
      <c r="B852" s="80"/>
      <c r="C852" s="3"/>
      <c r="D852" s="4"/>
      <c r="E852" s="4"/>
      <c r="F852" s="4"/>
      <c r="G852" s="4"/>
      <c r="H852" s="4"/>
      <c r="I852" s="4"/>
      <c r="J852" s="5"/>
      <c r="L852" s="6"/>
      <c r="M852" s="6"/>
      <c r="O852" s="7"/>
      <c r="Q852" s="8"/>
      <c r="Y852" s="136"/>
      <c r="AE852" s="330"/>
    </row>
    <row r="853" spans="2:31" ht="12.75" customHeight="1">
      <c r="B853" s="80"/>
      <c r="C853" s="3"/>
      <c r="D853" s="4"/>
      <c r="E853" s="4"/>
      <c r="F853" s="4"/>
      <c r="G853" s="4"/>
      <c r="H853" s="4"/>
      <c r="I853" s="4"/>
      <c r="J853" s="5"/>
      <c r="L853" s="6"/>
      <c r="M853" s="6"/>
      <c r="O853" s="7"/>
      <c r="Q853" s="8"/>
      <c r="Y853" s="136"/>
      <c r="AE853" s="330"/>
    </row>
    <row r="854" spans="2:31" ht="12.75" customHeight="1">
      <c r="B854" s="80"/>
      <c r="C854" s="3"/>
      <c r="D854" s="4"/>
      <c r="E854" s="4"/>
      <c r="F854" s="4"/>
      <c r="G854" s="4"/>
      <c r="H854" s="4"/>
      <c r="I854" s="4"/>
      <c r="J854" s="5"/>
      <c r="L854" s="6"/>
      <c r="M854" s="6"/>
      <c r="O854" s="7"/>
      <c r="Q854" s="8"/>
      <c r="Y854" s="136"/>
      <c r="AE854" s="330"/>
    </row>
    <row r="855" spans="2:31" ht="12.75" customHeight="1">
      <c r="B855" s="80"/>
      <c r="C855" s="3"/>
      <c r="D855" s="4"/>
      <c r="E855" s="4"/>
      <c r="F855" s="4"/>
      <c r="G855" s="4"/>
      <c r="H855" s="4"/>
      <c r="I855" s="4"/>
      <c r="J855" s="5"/>
      <c r="L855" s="6"/>
      <c r="M855" s="6"/>
      <c r="O855" s="7"/>
      <c r="Q855" s="8"/>
      <c r="Y855" s="136"/>
      <c r="AE855" s="330"/>
    </row>
    <row r="856" spans="2:31" ht="12.75" customHeight="1">
      <c r="B856" s="80"/>
      <c r="C856" s="3"/>
      <c r="D856" s="4"/>
      <c r="E856" s="4"/>
      <c r="F856" s="4"/>
      <c r="G856" s="4"/>
      <c r="H856" s="4"/>
      <c r="I856" s="4"/>
      <c r="J856" s="5"/>
      <c r="L856" s="6"/>
      <c r="M856" s="6"/>
      <c r="O856" s="7"/>
      <c r="Q856" s="8"/>
      <c r="Y856" s="136"/>
      <c r="AE856" s="330"/>
    </row>
    <row r="857" spans="2:31" ht="12.75" customHeight="1">
      <c r="B857" s="80"/>
      <c r="C857" s="3"/>
      <c r="D857" s="4"/>
      <c r="E857" s="4"/>
      <c r="F857" s="4"/>
      <c r="G857" s="4"/>
      <c r="H857" s="4"/>
      <c r="I857" s="4"/>
      <c r="J857" s="5"/>
      <c r="L857" s="6"/>
      <c r="M857" s="6"/>
      <c r="O857" s="7"/>
      <c r="Q857" s="8"/>
      <c r="Y857" s="136"/>
      <c r="AE857" s="330"/>
    </row>
    <row r="858" spans="2:31" ht="12.75" customHeight="1">
      <c r="B858" s="80"/>
      <c r="C858" s="3"/>
      <c r="D858" s="4"/>
      <c r="E858" s="4"/>
      <c r="F858" s="4"/>
      <c r="G858" s="4"/>
      <c r="H858" s="4"/>
      <c r="I858" s="4"/>
      <c r="J858" s="5"/>
      <c r="L858" s="6"/>
      <c r="M858" s="6"/>
      <c r="O858" s="7"/>
      <c r="Q858" s="8"/>
      <c r="Y858" s="136"/>
      <c r="AE858" s="330"/>
    </row>
    <row r="859" spans="2:31" ht="12.75" customHeight="1">
      <c r="B859" s="80"/>
      <c r="C859" s="3"/>
      <c r="D859" s="4"/>
      <c r="E859" s="4"/>
      <c r="F859" s="4"/>
      <c r="G859" s="4"/>
      <c r="H859" s="4"/>
      <c r="I859" s="4"/>
      <c r="J859" s="5"/>
      <c r="L859" s="6"/>
      <c r="M859" s="6"/>
      <c r="O859" s="7"/>
      <c r="Q859" s="8"/>
      <c r="Y859" s="136"/>
      <c r="AE859" s="330"/>
    </row>
    <row r="860" spans="2:31" ht="12.75" customHeight="1">
      <c r="B860" s="80"/>
      <c r="C860" s="3"/>
      <c r="D860" s="4"/>
      <c r="E860" s="4"/>
      <c r="F860" s="4"/>
      <c r="G860" s="4"/>
      <c r="H860" s="4"/>
      <c r="I860" s="4"/>
      <c r="J860" s="5"/>
      <c r="L860" s="6"/>
      <c r="M860" s="6"/>
      <c r="O860" s="7"/>
      <c r="Q860" s="8"/>
      <c r="Y860" s="136"/>
      <c r="AE860" s="330"/>
    </row>
    <row r="861" spans="2:31" ht="12.75" customHeight="1">
      <c r="B861" s="80"/>
      <c r="C861" s="3"/>
      <c r="D861" s="4"/>
      <c r="E861" s="4"/>
      <c r="F861" s="4"/>
      <c r="G861" s="4"/>
      <c r="H861" s="4"/>
      <c r="I861" s="4"/>
      <c r="J861" s="5"/>
      <c r="L861" s="6"/>
      <c r="M861" s="6"/>
      <c r="O861" s="7"/>
      <c r="Q861" s="8"/>
      <c r="Y861" s="136"/>
      <c r="AE861" s="330"/>
    </row>
    <row r="862" spans="2:31" ht="12.75" customHeight="1">
      <c r="B862" s="80"/>
      <c r="C862" s="3"/>
      <c r="D862" s="4"/>
      <c r="E862" s="4"/>
      <c r="F862" s="4"/>
      <c r="G862" s="4"/>
      <c r="H862" s="4"/>
      <c r="I862" s="4"/>
      <c r="J862" s="5"/>
      <c r="L862" s="6"/>
      <c r="M862" s="6"/>
      <c r="O862" s="7"/>
      <c r="Q862" s="8"/>
      <c r="Y862" s="136"/>
      <c r="AE862" s="330"/>
    </row>
    <row r="863" spans="2:31" ht="12.75" customHeight="1">
      <c r="B863" s="80"/>
      <c r="C863" s="3"/>
      <c r="D863" s="4"/>
      <c r="E863" s="4"/>
      <c r="F863" s="4"/>
      <c r="G863" s="4"/>
      <c r="H863" s="4"/>
      <c r="I863" s="4"/>
      <c r="J863" s="5"/>
      <c r="L863" s="6"/>
      <c r="M863" s="6"/>
      <c r="O863" s="7"/>
      <c r="Q863" s="8"/>
      <c r="Y863" s="136"/>
      <c r="AE863" s="330"/>
    </row>
    <row r="864" spans="2:31" ht="12.75" customHeight="1">
      <c r="B864" s="80"/>
      <c r="C864" s="3"/>
      <c r="D864" s="4"/>
      <c r="E864" s="4"/>
      <c r="F864" s="4"/>
      <c r="G864" s="4"/>
      <c r="H864" s="4"/>
      <c r="I864" s="4"/>
      <c r="J864" s="5"/>
      <c r="L864" s="6"/>
      <c r="M864" s="6"/>
      <c r="O864" s="7"/>
      <c r="Q864" s="8"/>
      <c r="Y864" s="136"/>
      <c r="AE864" s="330"/>
    </row>
    <row r="865" spans="2:31" ht="12.75" customHeight="1">
      <c r="B865" s="80"/>
      <c r="C865" s="3"/>
      <c r="D865" s="4"/>
      <c r="E865" s="4"/>
      <c r="F865" s="4"/>
      <c r="G865" s="4"/>
      <c r="H865" s="4"/>
      <c r="I865" s="4"/>
      <c r="J865" s="5"/>
      <c r="L865" s="6"/>
      <c r="M865" s="6"/>
      <c r="O865" s="7"/>
      <c r="Q865" s="8"/>
      <c r="Y865" s="136"/>
      <c r="AE865" s="330"/>
    </row>
    <row r="866" spans="2:31" ht="12.75" customHeight="1">
      <c r="B866" s="80"/>
      <c r="C866" s="3"/>
      <c r="D866" s="4"/>
      <c r="E866" s="4"/>
      <c r="F866" s="4"/>
      <c r="G866" s="4"/>
      <c r="H866" s="4"/>
      <c r="I866" s="4"/>
      <c r="J866" s="5"/>
      <c r="L866" s="6"/>
      <c r="M866" s="6"/>
      <c r="O866" s="7"/>
      <c r="Q866" s="8"/>
      <c r="Y866" s="136"/>
      <c r="AE866" s="330"/>
    </row>
    <row r="867" spans="2:31" ht="12.75" customHeight="1">
      <c r="B867" s="80"/>
      <c r="C867" s="3"/>
      <c r="D867" s="4"/>
      <c r="E867" s="4"/>
      <c r="F867" s="4"/>
      <c r="G867" s="4"/>
      <c r="H867" s="4"/>
      <c r="I867" s="4"/>
      <c r="J867" s="5"/>
      <c r="L867" s="6"/>
      <c r="M867" s="6"/>
      <c r="O867" s="7"/>
      <c r="Q867" s="8"/>
      <c r="Y867" s="136"/>
      <c r="AE867" s="330"/>
    </row>
    <row r="868" spans="2:31" ht="12.75" customHeight="1">
      <c r="B868" s="80"/>
      <c r="C868" s="3"/>
      <c r="D868" s="4"/>
      <c r="E868" s="4"/>
      <c r="F868" s="4"/>
      <c r="G868" s="4"/>
      <c r="H868" s="4"/>
      <c r="I868" s="4"/>
      <c r="J868" s="5"/>
      <c r="L868" s="6"/>
      <c r="M868" s="6"/>
      <c r="O868" s="7"/>
      <c r="Q868" s="8"/>
      <c r="Y868" s="136"/>
      <c r="AE868" s="330"/>
    </row>
    <row r="869" spans="2:31" ht="12.75" customHeight="1">
      <c r="B869" s="80"/>
      <c r="C869" s="3"/>
      <c r="D869" s="4"/>
      <c r="E869" s="4"/>
      <c r="F869" s="4"/>
      <c r="G869" s="4"/>
      <c r="H869" s="4"/>
      <c r="I869" s="4"/>
      <c r="J869" s="5"/>
      <c r="L869" s="6"/>
      <c r="M869" s="6"/>
      <c r="O869" s="7"/>
      <c r="Q869" s="8"/>
      <c r="Y869" s="136"/>
      <c r="AE869" s="330"/>
    </row>
    <row r="870" spans="2:31" ht="12.75" customHeight="1">
      <c r="B870" s="80"/>
      <c r="C870" s="3"/>
      <c r="D870" s="4"/>
      <c r="E870" s="4"/>
      <c r="F870" s="4"/>
      <c r="G870" s="4"/>
      <c r="H870" s="4"/>
      <c r="I870" s="4"/>
      <c r="J870" s="5"/>
      <c r="L870" s="6"/>
      <c r="M870" s="6"/>
      <c r="O870" s="7"/>
      <c r="Q870" s="8"/>
      <c r="Y870" s="136"/>
      <c r="AE870" s="330"/>
    </row>
    <row r="871" spans="2:31" ht="12.75" customHeight="1">
      <c r="B871" s="80"/>
      <c r="C871" s="3"/>
      <c r="D871" s="4"/>
      <c r="E871" s="4"/>
      <c r="F871" s="4"/>
      <c r="G871" s="4"/>
      <c r="H871" s="4"/>
      <c r="I871" s="4"/>
      <c r="J871" s="5"/>
      <c r="L871" s="6"/>
      <c r="M871" s="6"/>
      <c r="O871" s="7"/>
      <c r="Q871" s="8"/>
      <c r="Y871" s="136"/>
      <c r="AE871" s="330"/>
    </row>
    <row r="872" spans="2:31" ht="12.75" customHeight="1">
      <c r="B872" s="80"/>
      <c r="C872" s="3"/>
      <c r="D872" s="4"/>
      <c r="E872" s="4"/>
      <c r="F872" s="4"/>
      <c r="G872" s="4"/>
      <c r="H872" s="4"/>
      <c r="I872" s="4"/>
      <c r="J872" s="5"/>
      <c r="L872" s="6"/>
      <c r="M872" s="6"/>
      <c r="O872" s="7"/>
      <c r="Q872" s="8"/>
      <c r="Y872" s="136"/>
      <c r="AE872" s="330"/>
    </row>
    <row r="873" spans="2:31" ht="12.75" customHeight="1">
      <c r="B873" s="80"/>
      <c r="C873" s="3"/>
      <c r="D873" s="4"/>
      <c r="E873" s="4"/>
      <c r="F873" s="4"/>
      <c r="G873" s="4"/>
      <c r="H873" s="4"/>
      <c r="I873" s="4"/>
      <c r="J873" s="5"/>
      <c r="L873" s="6"/>
      <c r="M873" s="6"/>
      <c r="O873" s="7"/>
      <c r="Q873" s="8"/>
      <c r="Y873" s="136"/>
      <c r="AE873" s="330"/>
    </row>
    <row r="874" spans="2:31" ht="12.75" customHeight="1">
      <c r="B874" s="80"/>
      <c r="C874" s="3"/>
      <c r="D874" s="4"/>
      <c r="E874" s="4"/>
      <c r="F874" s="4"/>
      <c r="G874" s="4"/>
      <c r="H874" s="4"/>
      <c r="I874" s="4"/>
      <c r="J874" s="5"/>
      <c r="L874" s="6"/>
      <c r="M874" s="6"/>
      <c r="O874" s="7"/>
      <c r="Q874" s="8"/>
      <c r="Y874" s="136"/>
      <c r="AE874" s="330"/>
    </row>
    <row r="875" spans="2:31" ht="12.75" customHeight="1">
      <c r="B875" s="80"/>
      <c r="C875" s="3"/>
      <c r="D875" s="4"/>
      <c r="E875" s="4"/>
      <c r="F875" s="4"/>
      <c r="G875" s="4"/>
      <c r="H875" s="4"/>
      <c r="I875" s="4"/>
      <c r="J875" s="5"/>
      <c r="L875" s="6"/>
      <c r="M875" s="6"/>
      <c r="O875" s="7"/>
      <c r="Q875" s="8"/>
      <c r="Y875" s="136"/>
      <c r="AE875" s="330"/>
    </row>
    <row r="876" spans="2:31" ht="12.75" customHeight="1">
      <c r="B876" s="80"/>
      <c r="C876" s="3"/>
      <c r="D876" s="4"/>
      <c r="E876" s="4"/>
      <c r="F876" s="4"/>
      <c r="G876" s="4"/>
      <c r="H876" s="4"/>
      <c r="I876" s="4"/>
      <c r="J876" s="5"/>
      <c r="L876" s="6"/>
      <c r="M876" s="6"/>
      <c r="O876" s="7"/>
      <c r="Q876" s="8"/>
      <c r="Y876" s="136"/>
      <c r="AE876" s="330"/>
    </row>
    <row r="877" spans="2:31" ht="12.75" customHeight="1">
      <c r="B877" s="80"/>
      <c r="C877" s="3"/>
      <c r="D877" s="4"/>
      <c r="E877" s="4"/>
      <c r="F877" s="4"/>
      <c r="G877" s="4"/>
      <c r="H877" s="4"/>
      <c r="I877" s="4"/>
      <c r="J877" s="5"/>
      <c r="L877" s="6"/>
      <c r="M877" s="6"/>
      <c r="O877" s="7"/>
      <c r="Q877" s="8"/>
      <c r="Y877" s="136"/>
      <c r="AE877" s="330"/>
    </row>
    <row r="878" spans="2:31" ht="12.75" customHeight="1">
      <c r="B878" s="80"/>
      <c r="C878" s="3"/>
      <c r="D878" s="4"/>
      <c r="E878" s="4"/>
      <c r="F878" s="4"/>
      <c r="G878" s="4"/>
      <c r="H878" s="4"/>
      <c r="I878" s="4"/>
      <c r="J878" s="5"/>
      <c r="L878" s="6"/>
      <c r="M878" s="6"/>
      <c r="O878" s="7"/>
      <c r="Q878" s="8"/>
      <c r="Y878" s="136"/>
      <c r="AE878" s="330"/>
    </row>
    <row r="879" spans="2:31" ht="12.75" customHeight="1">
      <c r="B879" s="80"/>
      <c r="C879" s="3"/>
      <c r="D879" s="4"/>
      <c r="E879" s="4"/>
      <c r="F879" s="4"/>
      <c r="G879" s="4"/>
      <c r="H879" s="4"/>
      <c r="I879" s="4"/>
      <c r="J879" s="5"/>
      <c r="L879" s="6"/>
      <c r="M879" s="6"/>
      <c r="O879" s="7"/>
      <c r="Q879" s="8"/>
      <c r="Y879" s="136"/>
      <c r="AE879" s="330"/>
    </row>
    <row r="880" spans="2:31" ht="12.75" customHeight="1">
      <c r="B880" s="80"/>
      <c r="C880" s="3"/>
      <c r="D880" s="4"/>
      <c r="E880" s="4"/>
      <c r="F880" s="4"/>
      <c r="G880" s="4"/>
      <c r="H880" s="4"/>
      <c r="I880" s="4"/>
      <c r="J880" s="5"/>
      <c r="L880" s="6"/>
      <c r="M880" s="6"/>
      <c r="O880" s="7"/>
      <c r="Q880" s="8"/>
      <c r="Y880" s="136"/>
      <c r="AE880" s="330"/>
    </row>
    <row r="881" spans="2:31" ht="12.75" customHeight="1">
      <c r="B881" s="80"/>
      <c r="C881" s="3"/>
      <c r="D881" s="4"/>
      <c r="E881" s="4"/>
      <c r="F881" s="4"/>
      <c r="G881" s="4"/>
      <c r="H881" s="4"/>
      <c r="I881" s="4"/>
      <c r="J881" s="5"/>
      <c r="L881" s="6"/>
      <c r="M881" s="6"/>
      <c r="O881" s="7"/>
      <c r="Q881" s="8"/>
      <c r="Y881" s="136"/>
      <c r="AE881" s="330"/>
    </row>
    <row r="882" spans="2:31" ht="12.75" customHeight="1">
      <c r="B882" s="80"/>
      <c r="C882" s="3"/>
      <c r="D882" s="4"/>
      <c r="E882" s="4"/>
      <c r="F882" s="4"/>
      <c r="G882" s="4"/>
      <c r="H882" s="4"/>
      <c r="I882" s="4"/>
      <c r="J882" s="5"/>
      <c r="L882" s="6"/>
      <c r="M882" s="6"/>
      <c r="O882" s="7"/>
      <c r="Q882" s="8"/>
      <c r="Y882" s="136"/>
      <c r="AE882" s="330"/>
    </row>
    <row r="883" spans="2:31" ht="12.75" customHeight="1">
      <c r="B883" s="80"/>
      <c r="C883" s="3"/>
      <c r="D883" s="4"/>
      <c r="E883" s="4"/>
      <c r="F883" s="4"/>
      <c r="G883" s="4"/>
      <c r="H883" s="4"/>
      <c r="I883" s="4"/>
      <c r="J883" s="5"/>
      <c r="L883" s="6"/>
      <c r="M883" s="6"/>
      <c r="O883" s="7"/>
      <c r="Q883" s="8"/>
      <c r="Y883" s="136"/>
      <c r="AE883" s="330"/>
    </row>
    <row r="884" spans="2:31" ht="12.75" customHeight="1">
      <c r="B884" s="80"/>
      <c r="C884" s="3"/>
      <c r="D884" s="4"/>
      <c r="E884" s="4"/>
      <c r="F884" s="4"/>
      <c r="G884" s="4"/>
      <c r="H884" s="4"/>
      <c r="I884" s="4"/>
      <c r="J884" s="5"/>
      <c r="L884" s="6"/>
      <c r="M884" s="6"/>
      <c r="O884" s="7"/>
      <c r="Q884" s="8"/>
      <c r="Y884" s="136"/>
      <c r="AE884" s="330"/>
    </row>
    <row r="885" spans="2:31" ht="12.75" customHeight="1">
      <c r="B885" s="80"/>
      <c r="C885" s="3"/>
      <c r="D885" s="4"/>
      <c r="E885" s="4"/>
      <c r="F885" s="4"/>
      <c r="G885" s="4"/>
      <c r="H885" s="4"/>
      <c r="I885" s="4"/>
      <c r="J885" s="5"/>
      <c r="L885" s="6"/>
      <c r="M885" s="6"/>
      <c r="O885" s="7"/>
      <c r="Q885" s="8"/>
      <c r="Y885" s="136"/>
      <c r="AE885" s="330"/>
    </row>
    <row r="886" spans="2:31" ht="12.75" customHeight="1">
      <c r="B886" s="80"/>
      <c r="C886" s="3"/>
      <c r="D886" s="4"/>
      <c r="E886" s="4"/>
      <c r="F886" s="4"/>
      <c r="G886" s="4"/>
      <c r="H886" s="4"/>
      <c r="I886" s="4"/>
      <c r="J886" s="5"/>
      <c r="L886" s="6"/>
      <c r="M886" s="6"/>
      <c r="O886" s="7"/>
      <c r="Q886" s="8"/>
      <c r="Y886" s="136"/>
      <c r="AE886" s="330"/>
    </row>
    <row r="887" spans="2:31" ht="12.75" customHeight="1">
      <c r="B887" s="80"/>
      <c r="C887" s="3"/>
      <c r="D887" s="4"/>
      <c r="E887" s="4"/>
      <c r="F887" s="4"/>
      <c r="G887" s="4"/>
      <c r="H887" s="4"/>
      <c r="I887" s="4"/>
      <c r="J887" s="5"/>
      <c r="L887" s="6"/>
      <c r="M887" s="6"/>
      <c r="O887" s="7"/>
      <c r="Q887" s="8"/>
      <c r="Y887" s="136"/>
      <c r="AE887" s="330"/>
    </row>
    <row r="888" spans="2:31" ht="12.75" customHeight="1">
      <c r="B888" s="80"/>
      <c r="C888" s="3"/>
      <c r="D888" s="4"/>
      <c r="E888" s="4"/>
      <c r="F888" s="4"/>
      <c r="G888" s="4"/>
      <c r="H888" s="4"/>
      <c r="I888" s="4"/>
      <c r="J888" s="5"/>
      <c r="L888" s="6"/>
      <c r="M888" s="6"/>
      <c r="O888" s="7"/>
      <c r="Q888" s="8"/>
      <c r="Y888" s="136"/>
      <c r="AE888" s="330"/>
    </row>
    <row r="889" spans="2:31" ht="12.75" customHeight="1">
      <c r="B889" s="80"/>
      <c r="C889" s="3"/>
      <c r="D889" s="4"/>
      <c r="E889" s="4"/>
      <c r="F889" s="4"/>
      <c r="G889" s="4"/>
      <c r="H889" s="4"/>
      <c r="I889" s="4"/>
      <c r="J889" s="5"/>
      <c r="L889" s="6"/>
      <c r="M889" s="6"/>
      <c r="O889" s="7"/>
      <c r="Q889" s="8"/>
      <c r="Y889" s="136"/>
      <c r="AE889" s="330"/>
    </row>
    <row r="890" spans="2:31" ht="12.75" customHeight="1">
      <c r="B890" s="80"/>
      <c r="C890" s="3"/>
      <c r="D890" s="4"/>
      <c r="E890" s="4"/>
      <c r="F890" s="4"/>
      <c r="G890" s="4"/>
      <c r="H890" s="4"/>
      <c r="I890" s="4"/>
      <c r="J890" s="5"/>
      <c r="L890" s="6"/>
      <c r="M890" s="6"/>
      <c r="O890" s="7"/>
      <c r="Q890" s="8"/>
      <c r="Y890" s="136"/>
      <c r="AE890" s="330"/>
    </row>
    <row r="891" spans="2:31" ht="12.75" customHeight="1">
      <c r="B891" s="80"/>
      <c r="C891" s="3"/>
      <c r="D891" s="4"/>
      <c r="E891" s="4"/>
      <c r="F891" s="4"/>
      <c r="G891" s="4"/>
      <c r="H891" s="4"/>
      <c r="I891" s="4"/>
      <c r="J891" s="5"/>
      <c r="L891" s="6"/>
      <c r="M891" s="6"/>
      <c r="O891" s="7"/>
      <c r="Q891" s="8"/>
      <c r="Y891" s="136"/>
      <c r="AE891" s="330"/>
    </row>
    <row r="892" spans="2:31" ht="12.75" customHeight="1">
      <c r="B892" s="80"/>
      <c r="C892" s="3"/>
      <c r="D892" s="4"/>
      <c r="E892" s="4"/>
      <c r="F892" s="4"/>
      <c r="G892" s="4"/>
      <c r="H892" s="4"/>
      <c r="I892" s="4"/>
      <c r="J892" s="5"/>
      <c r="L892" s="6"/>
      <c r="M892" s="6"/>
      <c r="O892" s="7"/>
      <c r="Q892" s="8"/>
      <c r="Y892" s="136"/>
      <c r="AE892" s="330"/>
    </row>
    <row r="893" spans="2:31" ht="12.75" customHeight="1">
      <c r="B893" s="80"/>
      <c r="C893" s="3"/>
      <c r="D893" s="4"/>
      <c r="E893" s="4"/>
      <c r="F893" s="4"/>
      <c r="G893" s="4"/>
      <c r="H893" s="4"/>
      <c r="I893" s="4"/>
      <c r="J893" s="5"/>
      <c r="L893" s="6"/>
      <c r="M893" s="6"/>
      <c r="O893" s="7"/>
      <c r="Q893" s="8"/>
      <c r="Y893" s="136"/>
      <c r="AE893" s="330"/>
    </row>
    <row r="894" spans="2:31" ht="12.75" customHeight="1">
      <c r="B894" s="80"/>
      <c r="C894" s="3"/>
      <c r="D894" s="4"/>
      <c r="E894" s="4"/>
      <c r="F894" s="4"/>
      <c r="G894" s="4"/>
      <c r="H894" s="4"/>
      <c r="I894" s="4"/>
      <c r="J894" s="5"/>
      <c r="L894" s="6"/>
      <c r="M894" s="6"/>
      <c r="O894" s="7"/>
      <c r="Q894" s="8"/>
      <c r="Y894" s="136"/>
      <c r="AE894" s="330"/>
    </row>
    <row r="895" spans="2:31" ht="12.75" customHeight="1">
      <c r="B895" s="80"/>
      <c r="C895" s="3"/>
      <c r="D895" s="4"/>
      <c r="E895" s="4"/>
      <c r="F895" s="4"/>
      <c r="G895" s="4"/>
      <c r="H895" s="4"/>
      <c r="I895" s="4"/>
      <c r="J895" s="5"/>
      <c r="L895" s="6"/>
      <c r="M895" s="6"/>
      <c r="O895" s="7"/>
      <c r="Q895" s="8"/>
      <c r="Y895" s="136"/>
      <c r="AE895" s="330"/>
    </row>
    <row r="896" spans="2:31" ht="12.75" customHeight="1">
      <c r="B896" s="80"/>
      <c r="C896" s="3"/>
      <c r="D896" s="4"/>
      <c r="E896" s="4"/>
      <c r="F896" s="4"/>
      <c r="G896" s="4"/>
      <c r="H896" s="4"/>
      <c r="I896" s="4"/>
      <c r="J896" s="5"/>
      <c r="L896" s="6"/>
      <c r="M896" s="6"/>
      <c r="O896" s="7"/>
      <c r="Q896" s="8"/>
      <c r="Y896" s="136"/>
      <c r="AE896" s="330"/>
    </row>
    <row r="897" spans="2:31" ht="12.75" customHeight="1">
      <c r="B897" s="80"/>
      <c r="C897" s="3"/>
      <c r="D897" s="4"/>
      <c r="E897" s="4"/>
      <c r="F897" s="4"/>
      <c r="G897" s="4"/>
      <c r="H897" s="4"/>
      <c r="I897" s="4"/>
      <c r="J897" s="5"/>
      <c r="L897" s="6"/>
      <c r="M897" s="6"/>
      <c r="O897" s="7"/>
      <c r="Q897" s="8"/>
      <c r="Y897" s="136"/>
      <c r="AE897" s="330"/>
    </row>
    <row r="898" spans="2:31" ht="12.75" customHeight="1">
      <c r="B898" s="80"/>
      <c r="C898" s="3"/>
      <c r="D898" s="4"/>
      <c r="E898" s="4"/>
      <c r="F898" s="4"/>
      <c r="G898" s="4"/>
      <c r="H898" s="4"/>
      <c r="I898" s="4"/>
      <c r="J898" s="5"/>
      <c r="L898" s="6"/>
      <c r="M898" s="6"/>
      <c r="O898" s="7"/>
      <c r="Q898" s="8"/>
      <c r="Y898" s="136"/>
      <c r="AE898" s="330"/>
    </row>
    <row r="899" spans="2:31" ht="12.75" customHeight="1">
      <c r="B899" s="80"/>
      <c r="C899" s="3"/>
      <c r="D899" s="4"/>
      <c r="E899" s="4"/>
      <c r="F899" s="4"/>
      <c r="G899" s="4"/>
      <c r="H899" s="4"/>
      <c r="I899" s="4"/>
      <c r="J899" s="5"/>
      <c r="L899" s="6"/>
      <c r="M899" s="6"/>
      <c r="O899" s="7"/>
      <c r="Q899" s="8"/>
      <c r="Y899" s="136"/>
      <c r="AE899" s="330"/>
    </row>
    <row r="900" spans="2:31" ht="12.75" customHeight="1">
      <c r="B900" s="80"/>
      <c r="C900" s="3"/>
      <c r="D900" s="4"/>
      <c r="E900" s="4"/>
      <c r="F900" s="4"/>
      <c r="G900" s="4"/>
      <c r="H900" s="4"/>
      <c r="I900" s="4"/>
      <c r="J900" s="5"/>
      <c r="L900" s="6"/>
      <c r="M900" s="6"/>
      <c r="O900" s="7"/>
      <c r="Q900" s="8"/>
      <c r="Y900" s="136"/>
      <c r="AE900" s="330"/>
    </row>
    <row r="901" spans="2:31" ht="12.75" customHeight="1">
      <c r="B901" s="80"/>
      <c r="C901" s="3"/>
      <c r="D901" s="4"/>
      <c r="E901" s="4"/>
      <c r="F901" s="4"/>
      <c r="G901" s="4"/>
      <c r="H901" s="4"/>
      <c r="I901" s="4"/>
      <c r="J901" s="5"/>
      <c r="L901" s="6"/>
      <c r="M901" s="6"/>
      <c r="O901" s="7"/>
      <c r="Q901" s="8"/>
      <c r="Y901" s="136"/>
      <c r="AE901" s="330"/>
    </row>
    <row r="902" spans="2:31" ht="12.75" customHeight="1">
      <c r="B902" s="80"/>
      <c r="C902" s="3"/>
      <c r="D902" s="4"/>
      <c r="E902" s="4"/>
      <c r="F902" s="4"/>
      <c r="G902" s="4"/>
      <c r="H902" s="4"/>
      <c r="I902" s="4"/>
      <c r="J902" s="5"/>
      <c r="L902" s="6"/>
      <c r="M902" s="6"/>
      <c r="O902" s="7"/>
      <c r="Q902" s="8"/>
      <c r="Y902" s="136"/>
      <c r="AE902" s="330"/>
    </row>
    <row r="903" spans="2:31" ht="12.75" customHeight="1">
      <c r="B903" s="80"/>
      <c r="C903" s="3"/>
      <c r="D903" s="4"/>
      <c r="E903" s="4"/>
      <c r="F903" s="4"/>
      <c r="G903" s="4"/>
      <c r="H903" s="4"/>
      <c r="I903" s="4"/>
      <c r="J903" s="5"/>
      <c r="L903" s="6"/>
      <c r="M903" s="6"/>
      <c r="O903" s="7"/>
      <c r="Q903" s="8"/>
      <c r="Y903" s="136"/>
      <c r="AE903" s="330"/>
    </row>
    <row r="904" spans="2:31" ht="12.75" customHeight="1">
      <c r="B904" s="80"/>
      <c r="C904" s="3"/>
      <c r="D904" s="4"/>
      <c r="E904" s="4"/>
      <c r="F904" s="4"/>
      <c r="G904" s="4"/>
      <c r="H904" s="4"/>
      <c r="I904" s="4"/>
      <c r="J904" s="5"/>
      <c r="L904" s="6"/>
      <c r="M904" s="6"/>
      <c r="O904" s="7"/>
      <c r="Q904" s="8"/>
      <c r="Y904" s="136"/>
      <c r="AE904" s="330"/>
    </row>
    <row r="905" spans="2:31" ht="12.75" customHeight="1">
      <c r="B905" s="80"/>
      <c r="C905" s="3"/>
      <c r="D905" s="4"/>
      <c r="E905" s="4"/>
      <c r="F905" s="4"/>
      <c r="G905" s="4"/>
      <c r="H905" s="4"/>
      <c r="I905" s="4"/>
      <c r="J905" s="5"/>
      <c r="L905" s="6"/>
      <c r="M905" s="6"/>
      <c r="O905" s="7"/>
      <c r="Q905" s="8"/>
      <c r="Y905" s="136"/>
      <c r="AE905" s="330"/>
    </row>
    <row r="906" spans="2:31" ht="12.75" customHeight="1">
      <c r="B906" s="80"/>
      <c r="C906" s="3"/>
      <c r="D906" s="4"/>
      <c r="E906" s="4"/>
      <c r="F906" s="4"/>
      <c r="G906" s="4"/>
      <c r="H906" s="4"/>
      <c r="I906" s="4"/>
      <c r="J906" s="5"/>
      <c r="L906" s="6"/>
      <c r="M906" s="6"/>
      <c r="O906" s="7"/>
      <c r="Q906" s="8"/>
      <c r="Y906" s="136"/>
      <c r="AE906" s="330"/>
    </row>
    <row r="907" spans="2:31" ht="12.75" customHeight="1">
      <c r="B907" s="80"/>
      <c r="C907" s="3"/>
      <c r="D907" s="4"/>
      <c r="E907" s="4"/>
      <c r="F907" s="4"/>
      <c r="G907" s="4"/>
      <c r="H907" s="4"/>
      <c r="I907" s="4"/>
      <c r="J907" s="5"/>
      <c r="L907" s="6"/>
      <c r="M907" s="6"/>
      <c r="O907" s="7"/>
      <c r="Q907" s="8"/>
      <c r="Y907" s="136"/>
      <c r="AE907" s="330"/>
    </row>
    <row r="908" spans="2:31" ht="12.75" customHeight="1">
      <c r="B908" s="80"/>
      <c r="C908" s="3"/>
      <c r="D908" s="4"/>
      <c r="E908" s="4"/>
      <c r="F908" s="4"/>
      <c r="G908" s="4"/>
      <c r="H908" s="4"/>
      <c r="I908" s="4"/>
      <c r="J908" s="5"/>
      <c r="L908" s="6"/>
      <c r="M908" s="6"/>
      <c r="O908" s="7"/>
      <c r="Q908" s="8"/>
      <c r="Y908" s="136"/>
      <c r="AE908" s="330"/>
    </row>
    <row r="909" spans="2:31" ht="12.75" customHeight="1">
      <c r="B909" s="80"/>
      <c r="C909" s="3"/>
      <c r="D909" s="4"/>
      <c r="E909" s="4"/>
      <c r="F909" s="4"/>
      <c r="G909" s="4"/>
      <c r="H909" s="4"/>
      <c r="I909" s="4"/>
      <c r="J909" s="5"/>
      <c r="L909" s="6"/>
      <c r="M909" s="6"/>
      <c r="O909" s="7"/>
      <c r="Q909" s="8"/>
      <c r="Y909" s="136"/>
      <c r="AE909" s="330"/>
    </row>
    <row r="910" spans="2:31" ht="12.75" customHeight="1">
      <c r="B910" s="80"/>
      <c r="C910" s="3"/>
      <c r="D910" s="4"/>
      <c r="E910" s="4"/>
      <c r="F910" s="4"/>
      <c r="G910" s="4"/>
      <c r="H910" s="4"/>
      <c r="I910" s="4"/>
      <c r="J910" s="5"/>
      <c r="L910" s="6"/>
      <c r="M910" s="6"/>
      <c r="O910" s="7"/>
      <c r="Q910" s="8"/>
      <c r="Y910" s="136"/>
      <c r="AE910" s="330"/>
    </row>
    <row r="911" spans="2:31" ht="12.75" customHeight="1">
      <c r="B911" s="80"/>
      <c r="C911" s="3"/>
      <c r="D911" s="4"/>
      <c r="E911" s="4"/>
      <c r="F911" s="4"/>
      <c r="G911" s="4"/>
      <c r="H911" s="4"/>
      <c r="I911" s="4"/>
      <c r="J911" s="5"/>
      <c r="L911" s="6"/>
      <c r="M911" s="6"/>
      <c r="O911" s="7"/>
      <c r="Q911" s="8"/>
      <c r="Y911" s="136"/>
      <c r="AE911" s="330"/>
    </row>
    <row r="912" spans="2:31" ht="12.75" customHeight="1">
      <c r="B912" s="80"/>
      <c r="C912" s="3"/>
      <c r="D912" s="4"/>
      <c r="E912" s="4"/>
      <c r="F912" s="4"/>
      <c r="G912" s="4"/>
      <c r="H912" s="4"/>
      <c r="I912" s="4"/>
      <c r="J912" s="5"/>
      <c r="L912" s="6"/>
      <c r="M912" s="6"/>
      <c r="O912" s="7"/>
      <c r="Q912" s="8"/>
      <c r="Y912" s="136"/>
      <c r="AE912" s="330"/>
    </row>
    <row r="913" spans="2:31" ht="12.75" customHeight="1">
      <c r="B913" s="80"/>
      <c r="C913" s="3"/>
      <c r="D913" s="4"/>
      <c r="E913" s="4"/>
      <c r="F913" s="4"/>
      <c r="G913" s="4"/>
      <c r="H913" s="4"/>
      <c r="I913" s="4"/>
      <c r="J913" s="5"/>
      <c r="L913" s="6"/>
      <c r="M913" s="6"/>
      <c r="O913" s="7"/>
      <c r="Q913" s="8"/>
      <c r="Y913" s="136"/>
      <c r="AE913" s="330"/>
    </row>
    <row r="914" spans="2:31" ht="12.75" customHeight="1">
      <c r="B914" s="80"/>
      <c r="C914" s="3"/>
      <c r="D914" s="4"/>
      <c r="E914" s="4"/>
      <c r="F914" s="4"/>
      <c r="G914" s="4"/>
      <c r="H914" s="4"/>
      <c r="I914" s="4"/>
      <c r="J914" s="5"/>
      <c r="L914" s="6"/>
      <c r="M914" s="6"/>
      <c r="O914" s="7"/>
      <c r="Q914" s="8"/>
      <c r="Y914" s="136"/>
      <c r="AE914" s="330"/>
    </row>
    <row r="915" spans="2:31" ht="12.75" customHeight="1">
      <c r="B915" s="80"/>
      <c r="C915" s="3"/>
      <c r="D915" s="4"/>
      <c r="E915" s="4"/>
      <c r="F915" s="4"/>
      <c r="G915" s="4"/>
      <c r="H915" s="4"/>
      <c r="I915" s="4"/>
      <c r="J915" s="5"/>
      <c r="L915" s="6"/>
      <c r="M915" s="6"/>
      <c r="O915" s="7"/>
      <c r="Q915" s="8"/>
      <c r="Y915" s="136"/>
      <c r="AE915" s="330"/>
    </row>
    <row r="916" spans="2:31" ht="12.75" customHeight="1">
      <c r="B916" s="80"/>
      <c r="C916" s="3"/>
      <c r="D916" s="4"/>
      <c r="E916" s="4"/>
      <c r="F916" s="4"/>
      <c r="G916" s="4"/>
      <c r="H916" s="4"/>
      <c r="I916" s="4"/>
      <c r="J916" s="5"/>
      <c r="L916" s="6"/>
      <c r="M916" s="6"/>
      <c r="O916" s="7"/>
      <c r="Q916" s="8"/>
      <c r="Y916" s="136"/>
      <c r="AE916" s="330"/>
    </row>
    <row r="917" spans="2:31" ht="12.75" customHeight="1">
      <c r="B917" s="80"/>
      <c r="C917" s="3"/>
      <c r="D917" s="4"/>
      <c r="E917" s="4"/>
      <c r="F917" s="4"/>
      <c r="G917" s="4"/>
      <c r="H917" s="4"/>
      <c r="I917" s="4"/>
      <c r="J917" s="5"/>
      <c r="L917" s="6"/>
      <c r="M917" s="6"/>
      <c r="O917" s="7"/>
      <c r="Q917" s="8"/>
      <c r="Y917" s="136"/>
      <c r="AE917" s="330"/>
    </row>
    <row r="918" spans="2:31" ht="12.75" customHeight="1">
      <c r="B918" s="80"/>
      <c r="C918" s="3"/>
      <c r="D918" s="4"/>
      <c r="E918" s="4"/>
      <c r="F918" s="4"/>
      <c r="G918" s="4"/>
      <c r="H918" s="4"/>
      <c r="I918" s="4"/>
      <c r="J918" s="5"/>
      <c r="L918" s="6"/>
      <c r="M918" s="6"/>
      <c r="O918" s="7"/>
      <c r="Q918" s="8"/>
      <c r="Y918" s="136"/>
      <c r="AE918" s="330"/>
    </row>
    <row r="919" spans="2:31" ht="12.75" customHeight="1">
      <c r="B919" s="80"/>
      <c r="C919" s="3"/>
      <c r="D919" s="4"/>
      <c r="E919" s="4"/>
      <c r="F919" s="4"/>
      <c r="G919" s="4"/>
      <c r="H919" s="4"/>
      <c r="I919" s="4"/>
      <c r="J919" s="5"/>
      <c r="L919" s="6"/>
      <c r="M919" s="6"/>
      <c r="O919" s="7"/>
      <c r="Q919" s="8"/>
      <c r="Y919" s="136"/>
      <c r="AE919" s="330"/>
    </row>
    <row r="920" spans="2:31" ht="12.75" customHeight="1">
      <c r="B920" s="80"/>
      <c r="C920" s="3"/>
      <c r="D920" s="4"/>
      <c r="E920" s="4"/>
      <c r="F920" s="4"/>
      <c r="G920" s="4"/>
      <c r="H920" s="4"/>
      <c r="I920" s="4"/>
      <c r="J920" s="5"/>
      <c r="L920" s="6"/>
      <c r="M920" s="6"/>
      <c r="O920" s="7"/>
      <c r="Q920" s="8"/>
      <c r="Y920" s="136"/>
      <c r="AE920" s="330"/>
    </row>
    <row r="921" spans="2:31" ht="12.75" customHeight="1">
      <c r="B921" s="80"/>
      <c r="C921" s="3"/>
      <c r="D921" s="4"/>
      <c r="E921" s="4"/>
      <c r="F921" s="4"/>
      <c r="G921" s="4"/>
      <c r="H921" s="4"/>
      <c r="I921" s="4"/>
      <c r="J921" s="5"/>
      <c r="L921" s="6"/>
      <c r="M921" s="6"/>
      <c r="O921" s="7"/>
      <c r="Q921" s="8"/>
      <c r="Y921" s="136"/>
      <c r="AE921" s="330"/>
    </row>
    <row r="922" spans="2:31" ht="12.75" customHeight="1">
      <c r="B922" s="80"/>
      <c r="C922" s="3"/>
      <c r="D922" s="4"/>
      <c r="E922" s="4"/>
      <c r="F922" s="4"/>
      <c r="G922" s="4"/>
      <c r="H922" s="4"/>
      <c r="I922" s="4"/>
      <c r="J922" s="5"/>
      <c r="L922" s="6"/>
      <c r="M922" s="6"/>
      <c r="O922" s="7"/>
      <c r="Q922" s="8"/>
      <c r="Y922" s="136"/>
      <c r="AE922" s="330"/>
    </row>
    <row r="923" spans="2:31" ht="12.75" customHeight="1">
      <c r="B923" s="80"/>
      <c r="C923" s="3"/>
      <c r="D923" s="4"/>
      <c r="E923" s="4"/>
      <c r="F923" s="4"/>
      <c r="G923" s="4"/>
      <c r="H923" s="4"/>
      <c r="I923" s="4"/>
      <c r="J923" s="5"/>
      <c r="L923" s="6"/>
      <c r="M923" s="6"/>
      <c r="O923" s="7"/>
      <c r="Q923" s="8"/>
      <c r="Y923" s="136"/>
      <c r="AE923" s="330"/>
    </row>
    <row r="924" spans="2:31" ht="12.75" customHeight="1">
      <c r="B924" s="80"/>
      <c r="C924" s="3"/>
      <c r="D924" s="4"/>
      <c r="E924" s="4"/>
      <c r="F924" s="4"/>
      <c r="G924" s="4"/>
      <c r="H924" s="4"/>
      <c r="I924" s="4"/>
      <c r="J924" s="5"/>
      <c r="L924" s="6"/>
      <c r="M924" s="6"/>
      <c r="O924" s="7"/>
      <c r="Q924" s="8"/>
      <c r="Y924" s="136"/>
      <c r="AE924" s="330"/>
    </row>
    <row r="925" spans="2:31" ht="12.75" customHeight="1">
      <c r="B925" s="80"/>
      <c r="C925" s="3"/>
      <c r="D925" s="4"/>
      <c r="E925" s="4"/>
      <c r="F925" s="4"/>
      <c r="G925" s="4"/>
      <c r="H925" s="4"/>
      <c r="I925" s="4"/>
      <c r="J925" s="5"/>
      <c r="L925" s="6"/>
      <c r="M925" s="6"/>
      <c r="O925" s="7"/>
      <c r="Q925" s="8"/>
      <c r="Y925" s="136"/>
      <c r="AE925" s="330"/>
    </row>
    <row r="926" spans="2:31" ht="12.75" customHeight="1">
      <c r="B926" s="80"/>
      <c r="C926" s="3"/>
      <c r="D926" s="4"/>
      <c r="E926" s="4"/>
      <c r="F926" s="4"/>
      <c r="G926" s="4"/>
      <c r="H926" s="4"/>
      <c r="I926" s="4"/>
      <c r="J926" s="5"/>
      <c r="L926" s="6"/>
      <c r="M926" s="6"/>
      <c r="O926" s="7"/>
      <c r="Q926" s="8"/>
      <c r="Y926" s="136"/>
      <c r="AE926" s="330"/>
    </row>
    <row r="927" spans="2:31" ht="12.75" customHeight="1">
      <c r="B927" s="80"/>
      <c r="C927" s="3"/>
      <c r="D927" s="4"/>
      <c r="E927" s="4"/>
      <c r="F927" s="4"/>
      <c r="G927" s="4"/>
      <c r="H927" s="4"/>
      <c r="I927" s="4"/>
      <c r="J927" s="5"/>
      <c r="L927" s="6"/>
      <c r="M927" s="6"/>
      <c r="O927" s="7"/>
      <c r="Q927" s="8"/>
      <c r="Y927" s="136"/>
      <c r="AE927" s="330"/>
    </row>
    <row r="928" spans="2:31" ht="12.75" customHeight="1">
      <c r="B928" s="80"/>
      <c r="C928" s="3"/>
      <c r="D928" s="4"/>
      <c r="E928" s="4"/>
      <c r="F928" s="4"/>
      <c r="G928" s="4"/>
      <c r="H928" s="4"/>
      <c r="I928" s="4"/>
      <c r="J928" s="5"/>
      <c r="L928" s="6"/>
      <c r="M928" s="6"/>
      <c r="O928" s="7"/>
      <c r="Q928" s="8"/>
      <c r="Y928" s="136"/>
      <c r="AE928" s="330"/>
    </row>
    <row r="929" spans="2:31" ht="12.75" customHeight="1">
      <c r="B929" s="80"/>
      <c r="C929" s="3"/>
      <c r="D929" s="4"/>
      <c r="E929" s="4"/>
      <c r="F929" s="4"/>
      <c r="G929" s="4"/>
      <c r="H929" s="4"/>
      <c r="I929" s="4"/>
      <c r="J929" s="5"/>
      <c r="L929" s="6"/>
      <c r="M929" s="6"/>
      <c r="O929" s="7"/>
      <c r="Q929" s="8"/>
      <c r="Y929" s="136"/>
      <c r="AE929" s="330"/>
    </row>
    <row r="930" spans="2:31" ht="12.75" customHeight="1">
      <c r="B930" s="80"/>
      <c r="C930" s="3"/>
      <c r="D930" s="4"/>
      <c r="E930" s="4"/>
      <c r="F930" s="4"/>
      <c r="G930" s="4"/>
      <c r="H930" s="4"/>
      <c r="I930" s="4"/>
      <c r="J930" s="5"/>
      <c r="L930" s="6"/>
      <c r="M930" s="6"/>
      <c r="O930" s="7"/>
      <c r="Q930" s="8"/>
      <c r="Y930" s="136"/>
      <c r="AE930" s="330"/>
    </row>
    <row r="931" spans="2:31" ht="12.75" customHeight="1">
      <c r="B931" s="80"/>
      <c r="C931" s="3"/>
      <c r="D931" s="4"/>
      <c r="E931" s="4"/>
      <c r="F931" s="4"/>
      <c r="G931" s="4"/>
      <c r="H931" s="4"/>
      <c r="I931" s="4"/>
      <c r="J931" s="5"/>
      <c r="L931" s="6"/>
      <c r="M931" s="6"/>
      <c r="O931" s="7"/>
      <c r="Q931" s="8"/>
      <c r="Y931" s="136"/>
      <c r="AE931" s="330"/>
    </row>
    <row r="932" spans="2:31" ht="12.75" customHeight="1">
      <c r="B932" s="80"/>
      <c r="C932" s="3"/>
      <c r="D932" s="4"/>
      <c r="E932" s="4"/>
      <c r="F932" s="4"/>
      <c r="G932" s="4"/>
      <c r="H932" s="4"/>
      <c r="I932" s="4"/>
      <c r="J932" s="5"/>
      <c r="L932" s="6"/>
      <c r="M932" s="6"/>
      <c r="O932" s="7"/>
      <c r="Q932" s="8"/>
      <c r="Y932" s="136"/>
      <c r="AE932" s="330"/>
    </row>
    <row r="933" spans="2:31" ht="12.75" customHeight="1">
      <c r="B933" s="80"/>
      <c r="C933" s="3"/>
      <c r="D933" s="4"/>
      <c r="E933" s="4"/>
      <c r="F933" s="4"/>
      <c r="G933" s="4"/>
      <c r="H933" s="4"/>
      <c r="I933" s="4"/>
      <c r="J933" s="5"/>
      <c r="L933" s="6"/>
      <c r="M933" s="6"/>
      <c r="O933" s="7"/>
      <c r="Q933" s="8"/>
      <c r="Y933" s="136"/>
      <c r="AE933" s="330"/>
    </row>
    <row r="934" spans="2:31" ht="12.75" customHeight="1">
      <c r="B934" s="80"/>
      <c r="C934" s="3"/>
      <c r="D934" s="4"/>
      <c r="E934" s="4"/>
      <c r="F934" s="4"/>
      <c r="G934" s="4"/>
      <c r="H934" s="4"/>
      <c r="I934" s="4"/>
      <c r="J934" s="5"/>
      <c r="L934" s="6"/>
      <c r="M934" s="6"/>
      <c r="O934" s="7"/>
      <c r="Q934" s="8"/>
      <c r="Y934" s="136"/>
      <c r="AE934" s="330"/>
    </row>
    <row r="935" spans="2:31" ht="12.75" customHeight="1">
      <c r="B935" s="80"/>
      <c r="C935" s="3"/>
      <c r="D935" s="4"/>
      <c r="E935" s="4"/>
      <c r="F935" s="4"/>
      <c r="G935" s="4"/>
      <c r="H935" s="4"/>
      <c r="I935" s="4"/>
      <c r="J935" s="5"/>
      <c r="L935" s="6"/>
      <c r="M935" s="6"/>
      <c r="O935" s="7"/>
      <c r="Q935" s="8"/>
      <c r="Y935" s="136"/>
      <c r="AE935" s="330"/>
    </row>
    <row r="936" spans="2:31" ht="12.75" customHeight="1">
      <c r="B936" s="80"/>
      <c r="C936" s="3"/>
      <c r="D936" s="4"/>
      <c r="E936" s="4"/>
      <c r="F936" s="4"/>
      <c r="G936" s="4"/>
      <c r="H936" s="4"/>
      <c r="I936" s="4"/>
      <c r="J936" s="5"/>
      <c r="L936" s="6"/>
      <c r="M936" s="6"/>
      <c r="O936" s="7"/>
      <c r="Q936" s="8"/>
      <c r="Y936" s="136"/>
      <c r="AE936" s="330"/>
    </row>
    <row r="937" spans="2:31" ht="12.75" customHeight="1">
      <c r="B937" s="80"/>
      <c r="C937" s="3"/>
      <c r="D937" s="4"/>
      <c r="E937" s="4"/>
      <c r="F937" s="4"/>
      <c r="G937" s="4"/>
      <c r="H937" s="4"/>
      <c r="I937" s="4"/>
      <c r="J937" s="5"/>
      <c r="L937" s="6"/>
      <c r="M937" s="6"/>
      <c r="O937" s="7"/>
      <c r="Q937" s="8"/>
      <c r="Y937" s="136"/>
      <c r="AE937" s="330"/>
    </row>
    <row r="938" spans="2:31" ht="12.75" customHeight="1">
      <c r="B938" s="80"/>
      <c r="C938" s="3"/>
      <c r="D938" s="4"/>
      <c r="E938" s="4"/>
      <c r="F938" s="4"/>
      <c r="G938" s="4"/>
      <c r="H938" s="4"/>
      <c r="I938" s="4"/>
      <c r="J938" s="5"/>
      <c r="L938" s="6"/>
      <c r="M938" s="6"/>
      <c r="O938" s="7"/>
      <c r="Q938" s="8"/>
      <c r="Y938" s="136"/>
      <c r="AE938" s="330"/>
    </row>
    <row r="939" spans="2:31" ht="12.75" customHeight="1">
      <c r="B939" s="80"/>
      <c r="C939" s="3"/>
      <c r="D939" s="4"/>
      <c r="E939" s="4"/>
      <c r="F939" s="4"/>
      <c r="G939" s="4"/>
      <c r="H939" s="4"/>
      <c r="I939" s="4"/>
      <c r="J939" s="5"/>
      <c r="L939" s="6"/>
      <c r="M939" s="6"/>
      <c r="O939" s="7"/>
      <c r="Q939" s="8"/>
      <c r="Y939" s="136"/>
      <c r="AE939" s="330"/>
    </row>
    <row r="940" spans="2:31" ht="12.75" customHeight="1">
      <c r="B940" s="80"/>
      <c r="C940" s="3"/>
      <c r="D940" s="4"/>
      <c r="E940" s="4"/>
      <c r="F940" s="4"/>
      <c r="G940" s="4"/>
      <c r="H940" s="4"/>
      <c r="I940" s="4"/>
      <c r="J940" s="5"/>
      <c r="L940" s="6"/>
      <c r="M940" s="6"/>
      <c r="O940" s="7"/>
      <c r="Q940" s="8"/>
      <c r="Y940" s="136"/>
      <c r="AE940" s="330"/>
    </row>
    <row r="941" spans="2:31" ht="12.75" customHeight="1">
      <c r="B941" s="80"/>
      <c r="C941" s="3"/>
      <c r="D941" s="4"/>
      <c r="E941" s="4"/>
      <c r="F941" s="4"/>
      <c r="G941" s="4"/>
      <c r="H941" s="4"/>
      <c r="I941" s="4"/>
      <c r="J941" s="5"/>
      <c r="L941" s="6"/>
      <c r="M941" s="6"/>
      <c r="O941" s="7"/>
      <c r="Q941" s="8"/>
      <c r="Y941" s="136"/>
      <c r="AE941" s="330"/>
    </row>
    <row r="942" spans="2:31" ht="12.75" customHeight="1">
      <c r="B942" s="80"/>
      <c r="C942" s="3"/>
      <c r="D942" s="4"/>
      <c r="E942" s="4"/>
      <c r="F942" s="4"/>
      <c r="G942" s="4"/>
      <c r="H942" s="4"/>
      <c r="I942" s="4"/>
      <c r="J942" s="5"/>
      <c r="L942" s="6"/>
      <c r="M942" s="6"/>
      <c r="O942" s="7"/>
      <c r="Q942" s="8"/>
      <c r="Y942" s="136"/>
      <c r="AE942" s="330"/>
    </row>
    <row r="943" spans="2:31" ht="12.75" customHeight="1">
      <c r="B943" s="80"/>
      <c r="C943" s="3"/>
      <c r="D943" s="4"/>
      <c r="E943" s="4"/>
      <c r="F943" s="4"/>
      <c r="G943" s="4"/>
      <c r="H943" s="4"/>
      <c r="I943" s="4"/>
      <c r="J943" s="5"/>
      <c r="L943" s="6"/>
      <c r="M943" s="6"/>
      <c r="O943" s="7"/>
      <c r="Q943" s="8"/>
      <c r="Y943" s="136"/>
      <c r="AE943" s="330"/>
    </row>
    <row r="944" spans="2:31" ht="12.75" customHeight="1">
      <c r="B944" s="80"/>
      <c r="C944" s="3"/>
      <c r="D944" s="4"/>
      <c r="E944" s="4"/>
      <c r="F944" s="4"/>
      <c r="G944" s="4"/>
      <c r="H944" s="4"/>
      <c r="I944" s="4"/>
      <c r="J944" s="5"/>
      <c r="L944" s="6"/>
      <c r="M944" s="6"/>
      <c r="O944" s="7"/>
      <c r="Q944" s="8"/>
      <c r="Y944" s="136"/>
      <c r="AE944" s="330"/>
    </row>
    <row r="945" spans="2:31" ht="12.75" customHeight="1">
      <c r="B945" s="80"/>
      <c r="C945" s="3"/>
      <c r="D945" s="4"/>
      <c r="E945" s="4"/>
      <c r="F945" s="4"/>
      <c r="G945" s="4"/>
      <c r="H945" s="4"/>
      <c r="I945" s="4"/>
      <c r="J945" s="5"/>
      <c r="L945" s="6"/>
      <c r="M945" s="6"/>
      <c r="O945" s="7"/>
      <c r="Q945" s="8"/>
      <c r="Y945" s="136"/>
      <c r="AE945" s="330"/>
    </row>
    <row r="946" spans="2:31" ht="12.75" customHeight="1">
      <c r="B946" s="80"/>
      <c r="C946" s="3"/>
      <c r="D946" s="4"/>
      <c r="E946" s="4"/>
      <c r="F946" s="4"/>
      <c r="G946" s="4"/>
      <c r="H946" s="4"/>
      <c r="I946" s="4"/>
      <c r="J946" s="5"/>
      <c r="L946" s="6"/>
      <c r="M946" s="6"/>
      <c r="O946" s="7"/>
      <c r="Q946" s="8"/>
      <c r="Y946" s="136"/>
      <c r="AE946" s="330"/>
    </row>
    <row r="947" spans="2:31" ht="12.75" customHeight="1">
      <c r="B947" s="80"/>
      <c r="C947" s="3"/>
      <c r="D947" s="4"/>
      <c r="E947" s="4"/>
      <c r="F947" s="4"/>
      <c r="G947" s="4"/>
      <c r="H947" s="4"/>
      <c r="I947" s="4"/>
      <c r="J947" s="5"/>
      <c r="L947" s="6"/>
      <c r="M947" s="6"/>
      <c r="O947" s="7"/>
      <c r="Q947" s="8"/>
      <c r="Y947" s="136"/>
      <c r="AE947" s="330"/>
    </row>
    <row r="948" spans="2:31" ht="12.75" customHeight="1">
      <c r="B948" s="80"/>
      <c r="C948" s="3"/>
      <c r="D948" s="4"/>
      <c r="E948" s="4"/>
      <c r="F948" s="4"/>
      <c r="G948" s="4"/>
      <c r="H948" s="4"/>
      <c r="I948" s="4"/>
      <c r="J948" s="5"/>
      <c r="L948" s="6"/>
      <c r="M948" s="6"/>
      <c r="O948" s="7"/>
      <c r="Q948" s="8"/>
      <c r="Y948" s="136"/>
      <c r="AE948" s="330"/>
    </row>
    <row r="949" spans="2:31" ht="12.75" customHeight="1">
      <c r="B949" s="80"/>
      <c r="C949" s="3"/>
      <c r="D949" s="4"/>
      <c r="E949" s="4"/>
      <c r="F949" s="4"/>
      <c r="G949" s="4"/>
      <c r="H949" s="4"/>
      <c r="I949" s="4"/>
      <c r="J949" s="5"/>
      <c r="L949" s="6"/>
      <c r="M949" s="6"/>
      <c r="O949" s="7"/>
      <c r="Q949" s="8"/>
      <c r="Y949" s="136"/>
      <c r="AE949" s="330"/>
    </row>
    <row r="950" spans="2:31" ht="12.75" customHeight="1">
      <c r="B950" s="80"/>
      <c r="C950" s="3"/>
      <c r="D950" s="4"/>
      <c r="E950" s="4"/>
      <c r="F950" s="4"/>
      <c r="G950" s="4"/>
      <c r="H950" s="4"/>
      <c r="I950" s="4"/>
      <c r="J950" s="5"/>
      <c r="L950" s="6"/>
      <c r="M950" s="6"/>
      <c r="O950" s="7"/>
      <c r="Q950" s="8"/>
      <c r="Y950" s="136"/>
      <c r="AE950" s="330"/>
    </row>
    <row r="951" spans="2:31" ht="12.75" customHeight="1">
      <c r="B951" s="80"/>
      <c r="C951" s="3"/>
      <c r="D951" s="4"/>
      <c r="E951" s="4"/>
      <c r="F951" s="4"/>
      <c r="G951" s="4"/>
      <c r="H951" s="4"/>
      <c r="I951" s="4"/>
      <c r="J951" s="5"/>
      <c r="L951" s="6"/>
      <c r="M951" s="6"/>
      <c r="O951" s="7"/>
      <c r="Q951" s="8"/>
      <c r="Y951" s="136"/>
      <c r="AE951" s="330"/>
    </row>
  </sheetData>
  <mergeCells count="12">
    <mergeCell ref="C2:G2"/>
    <mergeCell ref="I2:I3"/>
    <mergeCell ref="L2:M2"/>
    <mergeCell ref="N2:S2"/>
    <mergeCell ref="T2:U2"/>
    <mergeCell ref="X2:Z2"/>
    <mergeCell ref="AA2:AC2"/>
    <mergeCell ref="AD2:AF2"/>
    <mergeCell ref="AG2:AI2"/>
    <mergeCell ref="T1:AN1"/>
    <mergeCell ref="V2:W2"/>
    <mergeCell ref="AJ2:AL2"/>
  </mergeCells>
  <conditionalFormatting sqref="F1:H1 F3:H951">
    <cfRule type="containsText" dxfId="1" priority="1" operator="containsText" text="si">
      <formula>NOT(ISERROR(SEARCH(("si"),(F1))))</formula>
    </cfRule>
  </conditionalFormatting>
  <conditionalFormatting sqref="F1:H951">
    <cfRule type="containsBlanks" dxfId="0" priority="3">
      <formula>LEN(TRIM(F1))=0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31"/>
  <sheetViews>
    <sheetView workbookViewId="0"/>
  </sheetViews>
  <sheetFormatPr baseColWidth="10" defaultColWidth="12.6640625" defaultRowHeight="15" customHeight="1"/>
  <cols>
    <col min="2" max="2" width="23.33203125" customWidth="1"/>
    <col min="3" max="3" width="15" customWidth="1"/>
  </cols>
  <sheetData>
    <row r="1" spans="1:35" ht="12.75" customHeight="1">
      <c r="A1" s="1" t="s">
        <v>0</v>
      </c>
      <c r="M1" s="8"/>
      <c r="P1" s="609" t="s">
        <v>1</v>
      </c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8"/>
    </row>
    <row r="2" spans="1:35" ht="12.75" customHeight="1">
      <c r="A2" s="12" t="s">
        <v>2</v>
      </c>
      <c r="B2" s="606" t="s">
        <v>3</v>
      </c>
      <c r="C2" s="607"/>
      <c r="D2" s="607"/>
      <c r="E2" s="608"/>
      <c r="F2" s="12" t="s">
        <v>4</v>
      </c>
      <c r="G2" s="12" t="s">
        <v>5</v>
      </c>
      <c r="H2" s="606" t="s">
        <v>6</v>
      </c>
      <c r="I2" s="608"/>
      <c r="J2" s="606" t="s">
        <v>7</v>
      </c>
      <c r="K2" s="607"/>
      <c r="L2" s="607"/>
      <c r="M2" s="607"/>
      <c r="N2" s="607"/>
      <c r="O2" s="608"/>
      <c r="P2" s="606" t="s">
        <v>8</v>
      </c>
      <c r="Q2" s="608"/>
      <c r="R2" s="606" t="s">
        <v>9</v>
      </c>
      <c r="S2" s="608"/>
      <c r="T2" s="606" t="s">
        <v>10</v>
      </c>
      <c r="U2" s="607"/>
      <c r="V2" s="608"/>
      <c r="W2" s="606" t="s">
        <v>11</v>
      </c>
      <c r="X2" s="607"/>
      <c r="Y2" s="608"/>
      <c r="Z2" s="606" t="s">
        <v>12</v>
      </c>
      <c r="AA2" s="607"/>
      <c r="AB2" s="608"/>
      <c r="AC2" s="606" t="s">
        <v>13</v>
      </c>
      <c r="AD2" s="607"/>
      <c r="AE2" s="608"/>
      <c r="AF2" s="14" t="s">
        <v>15</v>
      </c>
      <c r="AG2" s="12" t="s">
        <v>16</v>
      </c>
    </row>
    <row r="3" spans="1:35" ht="12.75" customHeight="1">
      <c r="A3" s="20" t="s">
        <v>18</v>
      </c>
      <c r="B3" s="22" t="s">
        <v>19</v>
      </c>
      <c r="C3" s="22" t="s">
        <v>167</v>
      </c>
      <c r="D3" s="22" t="s">
        <v>168</v>
      </c>
      <c r="E3" s="22" t="s">
        <v>169</v>
      </c>
      <c r="F3" s="20" t="s">
        <v>25</v>
      </c>
      <c r="G3" s="20" t="s">
        <v>26</v>
      </c>
      <c r="H3" s="22" t="s">
        <v>27</v>
      </c>
      <c r="I3" s="22" t="s">
        <v>28</v>
      </c>
      <c r="J3" s="22" t="s">
        <v>29</v>
      </c>
      <c r="K3" s="22" t="s">
        <v>30</v>
      </c>
      <c r="L3" s="22" t="s">
        <v>31</v>
      </c>
      <c r="M3" s="24" t="s">
        <v>32</v>
      </c>
      <c r="N3" s="22" t="s">
        <v>33</v>
      </c>
      <c r="O3" s="22" t="s">
        <v>34</v>
      </c>
      <c r="P3" s="22" t="s">
        <v>5</v>
      </c>
      <c r="Q3" s="22" t="s">
        <v>35</v>
      </c>
      <c r="R3" s="22" t="s">
        <v>5</v>
      </c>
      <c r="S3" s="22" t="s">
        <v>35</v>
      </c>
      <c r="T3" s="22" t="s">
        <v>5</v>
      </c>
      <c r="U3" s="22" t="s">
        <v>35</v>
      </c>
      <c r="V3" s="22" t="s">
        <v>36</v>
      </c>
      <c r="W3" s="22" t="s">
        <v>5</v>
      </c>
      <c r="X3" s="22" t="s">
        <v>35</v>
      </c>
      <c r="Y3" s="22" t="s">
        <v>36</v>
      </c>
      <c r="Z3" s="22" t="s">
        <v>5</v>
      </c>
      <c r="AA3" s="22" t="s">
        <v>35</v>
      </c>
      <c r="AB3" s="22" t="s">
        <v>36</v>
      </c>
      <c r="AC3" s="22" t="s">
        <v>5</v>
      </c>
      <c r="AD3" s="13" t="s">
        <v>35</v>
      </c>
      <c r="AE3" s="22" t="s">
        <v>36</v>
      </c>
      <c r="AF3" s="20" t="s">
        <v>5</v>
      </c>
      <c r="AG3" s="20" t="s">
        <v>170</v>
      </c>
      <c r="AI3" s="28">
        <f ca="1">TODAY()</f>
        <v>46183</v>
      </c>
    </row>
    <row r="4" spans="1:35" ht="12.75" customHeight="1">
      <c r="A4" s="9">
        <v>1</v>
      </c>
      <c r="B4" s="332" t="s">
        <v>76</v>
      </c>
      <c r="F4" s="333">
        <f t="shared" ref="F4:F22" si="0">I4-H4</f>
        <v>5</v>
      </c>
      <c r="H4" s="334">
        <v>45744</v>
      </c>
      <c r="I4" s="334">
        <v>45749</v>
      </c>
      <c r="J4" s="149">
        <f t="shared" ref="J4:J22" si="1">IF(F4=3,(1225000))+IF(F4=4,(1600000))+IF(F4=5,(1975000))+IF(F4=6,(2350000))+IF(F4=7,(2725000))</f>
        <v>1975000</v>
      </c>
      <c r="L4" s="149">
        <f t="shared" ref="L4:L22" si="2">J4*K4</f>
        <v>0</v>
      </c>
      <c r="M4" s="8"/>
      <c r="N4" s="151">
        <f t="shared" ref="N4:N22" si="3">J4-L4+M4</f>
        <v>1975000</v>
      </c>
      <c r="O4" s="152">
        <f t="shared" ref="O4:O22" si="4">N4/1.19</f>
        <v>1659663.8655462186</v>
      </c>
      <c r="P4" s="335">
        <f t="shared" ref="P4:P22" si="5">+H4-60</f>
        <v>45684</v>
      </c>
      <c r="Q4" s="336">
        <f t="shared" ref="Q4:Q22" si="6">+N4/2</f>
        <v>987500</v>
      </c>
      <c r="R4" s="335">
        <f t="shared" ref="R4:R22" si="7">+H4-30</f>
        <v>45714</v>
      </c>
      <c r="S4" s="336">
        <f t="shared" ref="S4:S22" si="8">+Q4</f>
        <v>987500</v>
      </c>
      <c r="AF4" s="331">
        <f t="shared" ref="AF4:AF22" si="9">U4+X4+AA4+AD4</f>
        <v>0</v>
      </c>
      <c r="AG4" s="331">
        <f t="shared" ref="AG4:AG22" si="10">+N4-U4-X4-AA4-AD4</f>
        <v>1975000</v>
      </c>
      <c r="AH4" s="337" t="str">
        <f t="shared" ref="AH4:AH22" si="11">CONCATENATE(IF(AI4&lt;0,IF(AI4&gt;-30,IF(AG4&gt;0,"T",""),""),IF(AI4&gt;0,IF(AG4&gt;0,"DEUDA",""),"")))</f>
        <v/>
      </c>
      <c r="AI4" s="337">
        <f>'Pesca Nacional'!$AP$3-H4</f>
        <v>-45744</v>
      </c>
    </row>
    <row r="5" spans="1:35" ht="12.75" customHeight="1">
      <c r="A5" s="9">
        <v>2</v>
      </c>
      <c r="B5" s="332" t="s">
        <v>76</v>
      </c>
      <c r="F5" s="333">
        <f t="shared" si="0"/>
        <v>5</v>
      </c>
      <c r="H5" s="334">
        <v>45744</v>
      </c>
      <c r="I5" s="334">
        <v>45749</v>
      </c>
      <c r="J5" s="149">
        <f t="shared" si="1"/>
        <v>1975000</v>
      </c>
      <c r="L5" s="149">
        <f t="shared" si="2"/>
        <v>0</v>
      </c>
      <c r="M5" s="8"/>
      <c r="N5" s="151">
        <f t="shared" si="3"/>
        <v>1975000</v>
      </c>
      <c r="O5" s="152">
        <f t="shared" si="4"/>
        <v>1659663.8655462186</v>
      </c>
      <c r="P5" s="335">
        <f t="shared" si="5"/>
        <v>45684</v>
      </c>
      <c r="Q5" s="336">
        <f t="shared" si="6"/>
        <v>987500</v>
      </c>
      <c r="R5" s="335">
        <f t="shared" si="7"/>
        <v>45714</v>
      </c>
      <c r="S5" s="336">
        <f t="shared" si="8"/>
        <v>987500</v>
      </c>
      <c r="AF5" s="331">
        <f t="shared" si="9"/>
        <v>0</v>
      </c>
      <c r="AG5" s="331">
        <f t="shared" si="10"/>
        <v>1975000</v>
      </c>
      <c r="AH5" s="337" t="str">
        <f t="shared" si="11"/>
        <v/>
      </c>
      <c r="AI5" s="337">
        <f>'Pesca Nacional'!$AP$3-H5</f>
        <v>-45744</v>
      </c>
    </row>
    <row r="6" spans="1:35" ht="12.75" customHeight="1">
      <c r="A6" s="9">
        <v>3</v>
      </c>
      <c r="B6" s="332" t="s">
        <v>76</v>
      </c>
      <c r="F6" s="333">
        <f t="shared" si="0"/>
        <v>5</v>
      </c>
      <c r="H6" s="334">
        <v>45744</v>
      </c>
      <c r="I6" s="334">
        <v>45749</v>
      </c>
      <c r="J6" s="149">
        <f t="shared" si="1"/>
        <v>1975000</v>
      </c>
      <c r="L6" s="149">
        <f t="shared" si="2"/>
        <v>0</v>
      </c>
      <c r="M6" s="8"/>
      <c r="N6" s="151">
        <f t="shared" si="3"/>
        <v>1975000</v>
      </c>
      <c r="O6" s="152">
        <f t="shared" si="4"/>
        <v>1659663.8655462186</v>
      </c>
      <c r="P6" s="335">
        <f t="shared" si="5"/>
        <v>45684</v>
      </c>
      <c r="Q6" s="336">
        <f t="shared" si="6"/>
        <v>987500</v>
      </c>
      <c r="R6" s="335">
        <f t="shared" si="7"/>
        <v>45714</v>
      </c>
      <c r="S6" s="336">
        <f t="shared" si="8"/>
        <v>987500</v>
      </c>
      <c r="AF6" s="331">
        <f t="shared" si="9"/>
        <v>0</v>
      </c>
      <c r="AG6" s="331">
        <f t="shared" si="10"/>
        <v>1975000</v>
      </c>
      <c r="AH6" s="337" t="str">
        <f t="shared" si="11"/>
        <v/>
      </c>
      <c r="AI6" s="337">
        <f>'Pesca Nacional'!$AP$3-H6</f>
        <v>-45744</v>
      </c>
    </row>
    <row r="7" spans="1:35" ht="12.75" customHeight="1">
      <c r="A7" s="9">
        <v>4</v>
      </c>
      <c r="B7" s="332" t="s">
        <v>76</v>
      </c>
      <c r="F7" s="333">
        <f t="shared" si="0"/>
        <v>5</v>
      </c>
      <c r="H7" s="334">
        <v>45744</v>
      </c>
      <c r="I7" s="334">
        <v>45749</v>
      </c>
      <c r="J7" s="149">
        <f t="shared" si="1"/>
        <v>1975000</v>
      </c>
      <c r="L7" s="149">
        <f t="shared" si="2"/>
        <v>0</v>
      </c>
      <c r="M7" s="8"/>
      <c r="N7" s="151">
        <f t="shared" si="3"/>
        <v>1975000</v>
      </c>
      <c r="O7" s="152">
        <f t="shared" si="4"/>
        <v>1659663.8655462186</v>
      </c>
      <c r="P7" s="335">
        <f t="shared" si="5"/>
        <v>45684</v>
      </c>
      <c r="Q7" s="336">
        <f t="shared" si="6"/>
        <v>987500</v>
      </c>
      <c r="R7" s="335">
        <f t="shared" si="7"/>
        <v>45714</v>
      </c>
      <c r="S7" s="336">
        <f t="shared" si="8"/>
        <v>987500</v>
      </c>
      <c r="AF7" s="331">
        <f t="shared" si="9"/>
        <v>0</v>
      </c>
      <c r="AG7" s="331">
        <f t="shared" si="10"/>
        <v>1975000</v>
      </c>
      <c r="AH7" s="337" t="str">
        <f t="shared" si="11"/>
        <v/>
      </c>
      <c r="AI7" s="337">
        <f>'Pesca Nacional'!$AP$3-H7</f>
        <v>-45744</v>
      </c>
    </row>
    <row r="8" spans="1:35" ht="12.75" customHeight="1">
      <c r="A8" s="9">
        <v>5</v>
      </c>
      <c r="B8" s="332" t="s">
        <v>76</v>
      </c>
      <c r="F8" s="333">
        <f t="shared" si="0"/>
        <v>5</v>
      </c>
      <c r="H8" s="334">
        <v>45744</v>
      </c>
      <c r="I8" s="334">
        <v>45749</v>
      </c>
      <c r="J8" s="149">
        <f t="shared" si="1"/>
        <v>1975000</v>
      </c>
      <c r="L8" s="149">
        <f t="shared" si="2"/>
        <v>0</v>
      </c>
      <c r="M8" s="8"/>
      <c r="N8" s="151">
        <f t="shared" si="3"/>
        <v>1975000</v>
      </c>
      <c r="O8" s="152">
        <f t="shared" si="4"/>
        <v>1659663.8655462186</v>
      </c>
      <c r="P8" s="335">
        <f t="shared" si="5"/>
        <v>45684</v>
      </c>
      <c r="Q8" s="336">
        <f t="shared" si="6"/>
        <v>987500</v>
      </c>
      <c r="R8" s="335">
        <f t="shared" si="7"/>
        <v>45714</v>
      </c>
      <c r="S8" s="336">
        <f t="shared" si="8"/>
        <v>987500</v>
      </c>
      <c r="AF8" s="331">
        <f t="shared" si="9"/>
        <v>0</v>
      </c>
      <c r="AG8" s="331">
        <f t="shared" si="10"/>
        <v>1975000</v>
      </c>
      <c r="AH8" s="337" t="str">
        <f t="shared" si="11"/>
        <v/>
      </c>
      <c r="AI8" s="337">
        <f>'Pesca Nacional'!$AP$3-H8</f>
        <v>-45744</v>
      </c>
    </row>
    <row r="9" spans="1:35" ht="12.75" customHeight="1">
      <c r="A9" s="9">
        <v>6</v>
      </c>
      <c r="B9" s="332" t="s">
        <v>171</v>
      </c>
      <c r="F9" s="333">
        <f t="shared" si="0"/>
        <v>4</v>
      </c>
      <c r="H9" s="334">
        <v>45729</v>
      </c>
      <c r="I9" s="334">
        <v>45733</v>
      </c>
      <c r="J9" s="149">
        <f t="shared" si="1"/>
        <v>1600000</v>
      </c>
      <c r="L9" s="149">
        <f t="shared" si="2"/>
        <v>0</v>
      </c>
      <c r="M9" s="8"/>
      <c r="N9" s="151">
        <f t="shared" si="3"/>
        <v>1600000</v>
      </c>
      <c r="O9" s="152">
        <f t="shared" si="4"/>
        <v>1344537.8151260505</v>
      </c>
      <c r="P9" s="335">
        <f t="shared" si="5"/>
        <v>45669</v>
      </c>
      <c r="Q9" s="336">
        <f t="shared" si="6"/>
        <v>800000</v>
      </c>
      <c r="R9" s="335">
        <f t="shared" si="7"/>
        <v>45699</v>
      </c>
      <c r="S9" s="336">
        <f t="shared" si="8"/>
        <v>800000</v>
      </c>
      <c r="AF9" s="331">
        <f t="shared" si="9"/>
        <v>0</v>
      </c>
      <c r="AG9" s="331">
        <f t="shared" si="10"/>
        <v>1600000</v>
      </c>
      <c r="AH9" s="337" t="str">
        <f t="shared" si="11"/>
        <v/>
      </c>
      <c r="AI9" s="337">
        <f>'Pesca Nacional'!$AP$3-H9</f>
        <v>-45729</v>
      </c>
    </row>
    <row r="10" spans="1:35" ht="12.75" customHeight="1">
      <c r="A10" s="9">
        <v>7</v>
      </c>
      <c r="B10" s="332" t="s">
        <v>171</v>
      </c>
      <c r="F10" s="333">
        <f t="shared" si="0"/>
        <v>4</v>
      </c>
      <c r="H10" s="334">
        <v>45729</v>
      </c>
      <c r="I10" s="334">
        <v>45733</v>
      </c>
      <c r="J10" s="149">
        <f t="shared" si="1"/>
        <v>1600000</v>
      </c>
      <c r="L10" s="149">
        <f t="shared" si="2"/>
        <v>0</v>
      </c>
      <c r="M10" s="8"/>
      <c r="N10" s="151">
        <f t="shared" si="3"/>
        <v>1600000</v>
      </c>
      <c r="O10" s="152">
        <f t="shared" si="4"/>
        <v>1344537.8151260505</v>
      </c>
      <c r="P10" s="335">
        <f t="shared" si="5"/>
        <v>45669</v>
      </c>
      <c r="Q10" s="336">
        <f t="shared" si="6"/>
        <v>800000</v>
      </c>
      <c r="R10" s="335">
        <f t="shared" si="7"/>
        <v>45699</v>
      </c>
      <c r="S10" s="336">
        <f t="shared" si="8"/>
        <v>800000</v>
      </c>
      <c r="AF10" s="331">
        <f t="shared" si="9"/>
        <v>0</v>
      </c>
      <c r="AG10" s="331">
        <f t="shared" si="10"/>
        <v>1600000</v>
      </c>
      <c r="AH10" s="337" t="str">
        <f t="shared" si="11"/>
        <v/>
      </c>
      <c r="AI10" s="337">
        <f>'Pesca Nacional'!$AP$3-H10</f>
        <v>-45729</v>
      </c>
    </row>
    <row r="11" spans="1:35" ht="12.75" customHeight="1">
      <c r="A11" s="9">
        <v>8</v>
      </c>
      <c r="B11" s="332" t="s">
        <v>171</v>
      </c>
      <c r="F11" s="333">
        <f t="shared" si="0"/>
        <v>4</v>
      </c>
      <c r="H11" s="334">
        <v>45729</v>
      </c>
      <c r="I11" s="334">
        <v>45733</v>
      </c>
      <c r="J11" s="149">
        <f t="shared" si="1"/>
        <v>1600000</v>
      </c>
      <c r="L11" s="149">
        <f t="shared" si="2"/>
        <v>0</v>
      </c>
      <c r="M11" s="8"/>
      <c r="N11" s="151">
        <f t="shared" si="3"/>
        <v>1600000</v>
      </c>
      <c r="O11" s="152">
        <f t="shared" si="4"/>
        <v>1344537.8151260505</v>
      </c>
      <c r="P11" s="335">
        <f t="shared" si="5"/>
        <v>45669</v>
      </c>
      <c r="Q11" s="336">
        <f t="shared" si="6"/>
        <v>800000</v>
      </c>
      <c r="R11" s="335">
        <f t="shared" si="7"/>
        <v>45699</v>
      </c>
      <c r="S11" s="336">
        <f t="shared" si="8"/>
        <v>800000</v>
      </c>
      <c r="AF11" s="331">
        <f t="shared" si="9"/>
        <v>0</v>
      </c>
      <c r="AG11" s="331">
        <f t="shared" si="10"/>
        <v>1600000</v>
      </c>
      <c r="AH11" s="337" t="str">
        <f t="shared" si="11"/>
        <v/>
      </c>
      <c r="AI11" s="337">
        <f>'Pesca Nacional'!$AP$3-H11</f>
        <v>-45729</v>
      </c>
    </row>
    <row r="12" spans="1:35" ht="12.75" customHeight="1">
      <c r="A12" s="9">
        <v>9</v>
      </c>
      <c r="B12" s="332" t="s">
        <v>171</v>
      </c>
      <c r="F12" s="333">
        <f t="shared" si="0"/>
        <v>4</v>
      </c>
      <c r="H12" s="334">
        <v>45729</v>
      </c>
      <c r="I12" s="334">
        <v>45733</v>
      </c>
      <c r="J12" s="149">
        <f t="shared" si="1"/>
        <v>1600000</v>
      </c>
      <c r="L12" s="149">
        <f t="shared" si="2"/>
        <v>0</v>
      </c>
      <c r="M12" s="8"/>
      <c r="N12" s="151">
        <f t="shared" si="3"/>
        <v>1600000</v>
      </c>
      <c r="O12" s="152">
        <f t="shared" si="4"/>
        <v>1344537.8151260505</v>
      </c>
      <c r="P12" s="335">
        <f t="shared" si="5"/>
        <v>45669</v>
      </c>
      <c r="Q12" s="336">
        <f t="shared" si="6"/>
        <v>800000</v>
      </c>
      <c r="R12" s="335">
        <f t="shared" si="7"/>
        <v>45699</v>
      </c>
      <c r="S12" s="336">
        <f t="shared" si="8"/>
        <v>800000</v>
      </c>
      <c r="AF12" s="331">
        <f t="shared" si="9"/>
        <v>0</v>
      </c>
      <c r="AG12" s="331">
        <f t="shared" si="10"/>
        <v>1600000</v>
      </c>
      <c r="AH12" s="337" t="str">
        <f t="shared" si="11"/>
        <v/>
      </c>
      <c r="AI12" s="337">
        <f>'Pesca Nacional'!$AP$3-H12</f>
        <v>-45729</v>
      </c>
    </row>
    <row r="13" spans="1:35" ht="12.75" customHeight="1">
      <c r="A13" s="9">
        <v>10</v>
      </c>
      <c r="B13" s="332" t="s">
        <v>171</v>
      </c>
      <c r="F13" s="333">
        <f t="shared" si="0"/>
        <v>4</v>
      </c>
      <c r="H13" s="334">
        <v>45729</v>
      </c>
      <c r="I13" s="334">
        <v>45733</v>
      </c>
      <c r="J13" s="149">
        <f t="shared" si="1"/>
        <v>1600000</v>
      </c>
      <c r="L13" s="149">
        <f t="shared" si="2"/>
        <v>0</v>
      </c>
      <c r="M13" s="8"/>
      <c r="N13" s="151">
        <f t="shared" si="3"/>
        <v>1600000</v>
      </c>
      <c r="O13" s="152">
        <f t="shared" si="4"/>
        <v>1344537.8151260505</v>
      </c>
      <c r="P13" s="335">
        <f t="shared" si="5"/>
        <v>45669</v>
      </c>
      <c r="Q13" s="336">
        <f t="shared" si="6"/>
        <v>800000</v>
      </c>
      <c r="R13" s="335">
        <f t="shared" si="7"/>
        <v>45699</v>
      </c>
      <c r="S13" s="336">
        <f t="shared" si="8"/>
        <v>800000</v>
      </c>
      <c r="AF13" s="331">
        <f t="shared" si="9"/>
        <v>0</v>
      </c>
      <c r="AG13" s="331">
        <f t="shared" si="10"/>
        <v>1600000</v>
      </c>
      <c r="AH13" s="337" t="str">
        <f t="shared" si="11"/>
        <v/>
      </c>
      <c r="AI13" s="337">
        <f>'Pesca Nacional'!$AP$3-H13</f>
        <v>-45729</v>
      </c>
    </row>
    <row r="14" spans="1:35" ht="12.75" customHeight="1">
      <c r="A14" s="9">
        <v>11</v>
      </c>
      <c r="B14" s="332" t="s">
        <v>171</v>
      </c>
      <c r="F14" s="333">
        <f t="shared" si="0"/>
        <v>4</v>
      </c>
      <c r="H14" s="334">
        <v>45729</v>
      </c>
      <c r="I14" s="334">
        <v>45733</v>
      </c>
      <c r="J14" s="149">
        <f t="shared" si="1"/>
        <v>1600000</v>
      </c>
      <c r="L14" s="149">
        <f t="shared" si="2"/>
        <v>0</v>
      </c>
      <c r="M14" s="8"/>
      <c r="N14" s="151">
        <f t="shared" si="3"/>
        <v>1600000</v>
      </c>
      <c r="O14" s="152">
        <f t="shared" si="4"/>
        <v>1344537.8151260505</v>
      </c>
      <c r="P14" s="335">
        <f t="shared" si="5"/>
        <v>45669</v>
      </c>
      <c r="Q14" s="336">
        <f t="shared" si="6"/>
        <v>800000</v>
      </c>
      <c r="R14" s="335">
        <f t="shared" si="7"/>
        <v>45699</v>
      </c>
      <c r="S14" s="336">
        <f t="shared" si="8"/>
        <v>800000</v>
      </c>
      <c r="AF14" s="331">
        <f t="shared" si="9"/>
        <v>0</v>
      </c>
      <c r="AG14" s="331">
        <f t="shared" si="10"/>
        <v>1600000</v>
      </c>
      <c r="AH14" s="337" t="str">
        <f t="shared" si="11"/>
        <v/>
      </c>
      <c r="AI14" s="337">
        <f>'Pesca Nacional'!$AP$3-H14</f>
        <v>-45729</v>
      </c>
    </row>
    <row r="15" spans="1:35" ht="12.75" customHeight="1">
      <c r="A15" s="9">
        <v>12</v>
      </c>
      <c r="B15" s="332" t="s">
        <v>171</v>
      </c>
      <c r="F15" s="333">
        <f t="shared" si="0"/>
        <v>4</v>
      </c>
      <c r="H15" s="334">
        <v>45729</v>
      </c>
      <c r="I15" s="334">
        <v>45733</v>
      </c>
      <c r="J15" s="149">
        <f t="shared" si="1"/>
        <v>1600000</v>
      </c>
      <c r="L15" s="149">
        <f t="shared" si="2"/>
        <v>0</v>
      </c>
      <c r="M15" s="8"/>
      <c r="N15" s="151">
        <f t="shared" si="3"/>
        <v>1600000</v>
      </c>
      <c r="O15" s="152">
        <f t="shared" si="4"/>
        <v>1344537.8151260505</v>
      </c>
      <c r="P15" s="335">
        <f t="shared" si="5"/>
        <v>45669</v>
      </c>
      <c r="Q15" s="336">
        <f t="shared" si="6"/>
        <v>800000</v>
      </c>
      <c r="R15" s="335">
        <f t="shared" si="7"/>
        <v>45699</v>
      </c>
      <c r="S15" s="336">
        <f t="shared" si="8"/>
        <v>800000</v>
      </c>
      <c r="AF15" s="331">
        <f t="shared" si="9"/>
        <v>0</v>
      </c>
      <c r="AG15" s="331">
        <f t="shared" si="10"/>
        <v>1600000</v>
      </c>
      <c r="AH15" s="337" t="str">
        <f t="shared" si="11"/>
        <v/>
      </c>
      <c r="AI15" s="337">
        <f>'Pesca Nacional'!$AP$3-H15</f>
        <v>-45729</v>
      </c>
    </row>
    <row r="16" spans="1:35" ht="12.75" customHeight="1">
      <c r="A16" s="9">
        <v>13</v>
      </c>
      <c r="B16" s="332" t="s">
        <v>171</v>
      </c>
      <c r="F16" s="333">
        <f t="shared" si="0"/>
        <v>4</v>
      </c>
      <c r="H16" s="334">
        <v>45729</v>
      </c>
      <c r="I16" s="334">
        <v>45733</v>
      </c>
      <c r="J16" s="149">
        <f t="shared" si="1"/>
        <v>1600000</v>
      </c>
      <c r="L16" s="149">
        <f t="shared" si="2"/>
        <v>0</v>
      </c>
      <c r="M16" s="8"/>
      <c r="N16" s="151">
        <f t="shared" si="3"/>
        <v>1600000</v>
      </c>
      <c r="O16" s="152">
        <f t="shared" si="4"/>
        <v>1344537.8151260505</v>
      </c>
      <c r="P16" s="335">
        <f t="shared" si="5"/>
        <v>45669</v>
      </c>
      <c r="Q16" s="336">
        <f t="shared" si="6"/>
        <v>800000</v>
      </c>
      <c r="R16" s="335">
        <f t="shared" si="7"/>
        <v>45699</v>
      </c>
      <c r="S16" s="336">
        <f t="shared" si="8"/>
        <v>800000</v>
      </c>
      <c r="AF16" s="331">
        <f t="shared" si="9"/>
        <v>0</v>
      </c>
      <c r="AG16" s="331">
        <f t="shared" si="10"/>
        <v>1600000</v>
      </c>
      <c r="AH16" s="337" t="str">
        <f t="shared" si="11"/>
        <v/>
      </c>
      <c r="AI16" s="337">
        <f>'Pesca Nacional'!$AP$3-H16</f>
        <v>-45729</v>
      </c>
    </row>
    <row r="17" spans="1:35" ht="12.75" customHeight="1">
      <c r="A17" s="9">
        <v>14</v>
      </c>
      <c r="B17" s="332" t="s">
        <v>172</v>
      </c>
      <c r="F17" s="333">
        <f t="shared" si="0"/>
        <v>5</v>
      </c>
      <c r="H17" s="338">
        <v>45771</v>
      </c>
      <c r="I17" s="339">
        <v>45776</v>
      </c>
      <c r="J17" s="149">
        <f t="shared" si="1"/>
        <v>1975000</v>
      </c>
      <c r="L17" s="149">
        <f t="shared" si="2"/>
        <v>0</v>
      </c>
      <c r="M17" s="8"/>
      <c r="N17" s="151">
        <f t="shared" si="3"/>
        <v>1975000</v>
      </c>
      <c r="O17" s="152">
        <f t="shared" si="4"/>
        <v>1659663.8655462186</v>
      </c>
      <c r="P17" s="335">
        <f t="shared" si="5"/>
        <v>45711</v>
      </c>
      <c r="Q17" s="336">
        <f t="shared" si="6"/>
        <v>987500</v>
      </c>
      <c r="R17" s="335">
        <f t="shared" si="7"/>
        <v>45741</v>
      </c>
      <c r="S17" s="336">
        <f t="shared" si="8"/>
        <v>987500</v>
      </c>
      <c r="AF17" s="331">
        <f t="shared" si="9"/>
        <v>0</v>
      </c>
      <c r="AG17" s="331">
        <f t="shared" si="10"/>
        <v>1975000</v>
      </c>
      <c r="AH17" s="337" t="str">
        <f t="shared" si="11"/>
        <v/>
      </c>
      <c r="AI17" s="337">
        <f>'Pesca Nacional'!$AP$3-H17</f>
        <v>-45771</v>
      </c>
    </row>
    <row r="18" spans="1:35" ht="12.75" customHeight="1">
      <c r="A18" s="9">
        <v>15</v>
      </c>
      <c r="B18" s="332" t="s">
        <v>172</v>
      </c>
      <c r="F18" s="333">
        <f t="shared" si="0"/>
        <v>5</v>
      </c>
      <c r="H18" s="338">
        <v>45771</v>
      </c>
      <c r="I18" s="339">
        <v>45776</v>
      </c>
      <c r="J18" s="149">
        <f t="shared" si="1"/>
        <v>1975000</v>
      </c>
      <c r="L18" s="149">
        <f t="shared" si="2"/>
        <v>0</v>
      </c>
      <c r="M18" s="8"/>
      <c r="N18" s="151">
        <f t="shared" si="3"/>
        <v>1975000</v>
      </c>
      <c r="O18" s="152">
        <f t="shared" si="4"/>
        <v>1659663.8655462186</v>
      </c>
      <c r="P18" s="335">
        <f t="shared" si="5"/>
        <v>45711</v>
      </c>
      <c r="Q18" s="336">
        <f t="shared" si="6"/>
        <v>987500</v>
      </c>
      <c r="R18" s="335">
        <f t="shared" si="7"/>
        <v>45741</v>
      </c>
      <c r="S18" s="336">
        <f t="shared" si="8"/>
        <v>987500</v>
      </c>
      <c r="AF18" s="331">
        <f t="shared" si="9"/>
        <v>0</v>
      </c>
      <c r="AG18" s="331">
        <f t="shared" si="10"/>
        <v>1975000</v>
      </c>
      <c r="AH18" s="337" t="str">
        <f t="shared" si="11"/>
        <v/>
      </c>
      <c r="AI18" s="337">
        <f>'Pesca Nacional'!$AP$3-H18</f>
        <v>-45771</v>
      </c>
    </row>
    <row r="19" spans="1:35" ht="12.75" customHeight="1">
      <c r="A19" s="9">
        <v>16</v>
      </c>
      <c r="B19" s="332" t="s">
        <v>172</v>
      </c>
      <c r="F19" s="333">
        <f t="shared" si="0"/>
        <v>5</v>
      </c>
      <c r="H19" s="338">
        <v>45771</v>
      </c>
      <c r="I19" s="339">
        <v>45776</v>
      </c>
      <c r="J19" s="149">
        <f t="shared" si="1"/>
        <v>1975000</v>
      </c>
      <c r="L19" s="149">
        <f t="shared" si="2"/>
        <v>0</v>
      </c>
      <c r="M19" s="8"/>
      <c r="N19" s="151">
        <f t="shared" si="3"/>
        <v>1975000</v>
      </c>
      <c r="O19" s="152">
        <f t="shared" si="4"/>
        <v>1659663.8655462186</v>
      </c>
      <c r="P19" s="335">
        <f t="shared" si="5"/>
        <v>45711</v>
      </c>
      <c r="Q19" s="336">
        <f t="shared" si="6"/>
        <v>987500</v>
      </c>
      <c r="R19" s="335">
        <f t="shared" si="7"/>
        <v>45741</v>
      </c>
      <c r="S19" s="336">
        <f t="shared" si="8"/>
        <v>987500</v>
      </c>
      <c r="AF19" s="331">
        <f t="shared" si="9"/>
        <v>0</v>
      </c>
      <c r="AG19" s="331">
        <f t="shared" si="10"/>
        <v>1975000</v>
      </c>
      <c r="AH19" s="337" t="str">
        <f t="shared" si="11"/>
        <v/>
      </c>
      <c r="AI19" s="337">
        <f>'Pesca Nacional'!$AP$3-H19</f>
        <v>-45771</v>
      </c>
    </row>
    <row r="20" spans="1:35" ht="12.75" customHeight="1">
      <c r="A20" s="9">
        <v>17</v>
      </c>
      <c r="B20" s="332" t="s">
        <v>172</v>
      </c>
      <c r="F20" s="333">
        <f t="shared" si="0"/>
        <v>5</v>
      </c>
      <c r="H20" s="338">
        <v>45771</v>
      </c>
      <c r="I20" s="339">
        <v>45776</v>
      </c>
      <c r="J20" s="149">
        <f t="shared" si="1"/>
        <v>1975000</v>
      </c>
      <c r="L20" s="149">
        <f t="shared" si="2"/>
        <v>0</v>
      </c>
      <c r="M20" s="8"/>
      <c r="N20" s="151">
        <f t="shared" si="3"/>
        <v>1975000</v>
      </c>
      <c r="O20" s="152">
        <f t="shared" si="4"/>
        <v>1659663.8655462186</v>
      </c>
      <c r="P20" s="335">
        <f t="shared" si="5"/>
        <v>45711</v>
      </c>
      <c r="Q20" s="336">
        <f t="shared" si="6"/>
        <v>987500</v>
      </c>
      <c r="R20" s="335">
        <f t="shared" si="7"/>
        <v>45741</v>
      </c>
      <c r="S20" s="336">
        <f t="shared" si="8"/>
        <v>987500</v>
      </c>
      <c r="AF20" s="331">
        <f t="shared" si="9"/>
        <v>0</v>
      </c>
      <c r="AG20" s="331">
        <f t="shared" si="10"/>
        <v>1975000</v>
      </c>
      <c r="AH20" s="337" t="str">
        <f t="shared" si="11"/>
        <v/>
      </c>
      <c r="AI20" s="337">
        <f>'Pesca Nacional'!$AP$3-H20</f>
        <v>-45771</v>
      </c>
    </row>
    <row r="21" spans="1:35" ht="12.75" customHeight="1">
      <c r="A21" s="9">
        <v>18</v>
      </c>
      <c r="B21" s="332" t="s">
        <v>172</v>
      </c>
      <c r="F21" s="333">
        <f t="shared" si="0"/>
        <v>5</v>
      </c>
      <c r="H21" s="338">
        <v>45771</v>
      </c>
      <c r="I21" s="339">
        <v>45776</v>
      </c>
      <c r="J21" s="149">
        <f t="shared" si="1"/>
        <v>1975000</v>
      </c>
      <c r="L21" s="149">
        <f t="shared" si="2"/>
        <v>0</v>
      </c>
      <c r="M21" s="8"/>
      <c r="N21" s="151">
        <f t="shared" si="3"/>
        <v>1975000</v>
      </c>
      <c r="O21" s="152">
        <f t="shared" si="4"/>
        <v>1659663.8655462186</v>
      </c>
      <c r="P21" s="335">
        <f t="shared" si="5"/>
        <v>45711</v>
      </c>
      <c r="Q21" s="336">
        <f t="shared" si="6"/>
        <v>987500</v>
      </c>
      <c r="R21" s="335">
        <f t="shared" si="7"/>
        <v>45741</v>
      </c>
      <c r="S21" s="336">
        <f t="shared" si="8"/>
        <v>987500</v>
      </c>
      <c r="AF21" s="331">
        <f t="shared" si="9"/>
        <v>0</v>
      </c>
      <c r="AG21" s="331">
        <f t="shared" si="10"/>
        <v>1975000</v>
      </c>
      <c r="AH21" s="337" t="str">
        <f t="shared" si="11"/>
        <v/>
      </c>
      <c r="AI21" s="337">
        <f>'Pesca Nacional'!$AP$3-H21</f>
        <v>-45771</v>
      </c>
    </row>
    <row r="22" spans="1:35" ht="12.75" customHeight="1">
      <c r="A22" s="9">
        <v>19</v>
      </c>
      <c r="B22" s="332" t="s">
        <v>172</v>
      </c>
      <c r="F22" s="333">
        <f t="shared" si="0"/>
        <v>5</v>
      </c>
      <c r="H22" s="338">
        <v>45771</v>
      </c>
      <c r="I22" s="339">
        <v>45776</v>
      </c>
      <c r="J22" s="149">
        <f t="shared" si="1"/>
        <v>1975000</v>
      </c>
      <c r="L22" s="149">
        <f t="shared" si="2"/>
        <v>0</v>
      </c>
      <c r="M22" s="8"/>
      <c r="N22" s="151">
        <f t="shared" si="3"/>
        <v>1975000</v>
      </c>
      <c r="O22" s="152">
        <f t="shared" si="4"/>
        <v>1659663.8655462186</v>
      </c>
      <c r="P22" s="335">
        <f t="shared" si="5"/>
        <v>45711</v>
      </c>
      <c r="Q22" s="336">
        <f t="shared" si="6"/>
        <v>987500</v>
      </c>
      <c r="R22" s="335">
        <f t="shared" si="7"/>
        <v>45741</v>
      </c>
      <c r="S22" s="336">
        <f t="shared" si="8"/>
        <v>987500</v>
      </c>
      <c r="AF22" s="331">
        <f t="shared" si="9"/>
        <v>0</v>
      </c>
      <c r="AG22" s="331">
        <f t="shared" si="10"/>
        <v>1975000</v>
      </c>
      <c r="AH22" s="337" t="str">
        <f t="shared" si="11"/>
        <v/>
      </c>
      <c r="AI22" s="337">
        <f>'Pesca Nacional'!$AP$3-H22</f>
        <v>-45771</v>
      </c>
    </row>
    <row r="29" spans="1:35" ht="12.75" customHeight="1">
      <c r="A29" s="9">
        <v>26</v>
      </c>
      <c r="B29" s="332" t="s">
        <v>173</v>
      </c>
      <c r="D29" s="9" t="s">
        <v>174</v>
      </c>
      <c r="F29" s="333">
        <f t="shared" ref="F29:F31" si="12">I29-H29</f>
        <v>4</v>
      </c>
      <c r="G29" s="340">
        <v>45571</v>
      </c>
      <c r="H29" s="334">
        <v>45764</v>
      </c>
      <c r="I29" s="334">
        <v>45768</v>
      </c>
      <c r="J29" s="149">
        <f t="shared" ref="J29:J31" si="13">IF(F29=3,(1225000))+IF(F29=4,(1600000))+IF(F29=5,(1975000))+IF(F29=6,(2350000))+IF(F29=7,(2725000))</f>
        <v>1600000</v>
      </c>
      <c r="K29" s="341">
        <v>0.2</v>
      </c>
      <c r="L29" s="149">
        <f t="shared" ref="L29:L31" si="14">J29*K29</f>
        <v>320000</v>
      </c>
      <c r="M29" s="8"/>
      <c r="N29" s="151">
        <f t="shared" ref="N29:N31" si="15">J29-L29+M29</f>
        <v>1280000</v>
      </c>
      <c r="O29" s="152">
        <f t="shared" ref="O29:O31" si="16">N29/1.19</f>
        <v>1075630.2521008404</v>
      </c>
      <c r="P29" s="335">
        <f t="shared" ref="P29:P31" si="17">+H29-60</f>
        <v>45704</v>
      </c>
      <c r="Q29" s="336">
        <f t="shared" ref="Q29:Q31" si="18">+N29/2</f>
        <v>640000</v>
      </c>
      <c r="R29" s="335">
        <f t="shared" ref="R29:R31" si="19">+H29-30</f>
        <v>45734</v>
      </c>
      <c r="S29" s="336">
        <f t="shared" ref="S29:S31" si="20">+Q29</f>
        <v>640000</v>
      </c>
      <c r="AF29" s="331">
        <f t="shared" ref="AF29:AF31" si="21">U29+X29+AA29+AD29</f>
        <v>0</v>
      </c>
      <c r="AG29" s="331">
        <f t="shared" ref="AG29:AG31" si="22">+N29-U29-X29-AA29-AD29</f>
        <v>1280000</v>
      </c>
      <c r="AH29" s="337" t="str">
        <f t="shared" ref="AH29:AH31" si="23">CONCATENATE(IF(AI29&lt;0,IF(AI29&gt;-30,IF(AG29&gt;0,"T",""),""),IF(AI29&gt;0,IF(AG29&gt;0,"DEUDA",""),"")))</f>
        <v/>
      </c>
      <c r="AI29" s="337">
        <f>'Pesca Nacional'!$AP$3-H29</f>
        <v>-45764</v>
      </c>
    </row>
    <row r="30" spans="1:35" ht="12.75" customHeight="1">
      <c r="A30" s="9">
        <v>27</v>
      </c>
      <c r="B30" s="332" t="s">
        <v>173</v>
      </c>
      <c r="D30" s="9" t="s">
        <v>175</v>
      </c>
      <c r="F30" s="333">
        <f t="shared" si="12"/>
        <v>4</v>
      </c>
      <c r="G30" s="340">
        <v>45571</v>
      </c>
      <c r="H30" s="334">
        <v>45764</v>
      </c>
      <c r="I30" s="334">
        <v>45768</v>
      </c>
      <c r="J30" s="149">
        <f t="shared" si="13"/>
        <v>1600000</v>
      </c>
      <c r="K30" s="341">
        <v>0.2</v>
      </c>
      <c r="L30" s="149">
        <f t="shared" si="14"/>
        <v>320000</v>
      </c>
      <c r="M30" s="8"/>
      <c r="N30" s="151">
        <f t="shared" si="15"/>
        <v>1280000</v>
      </c>
      <c r="O30" s="152">
        <f t="shared" si="16"/>
        <v>1075630.2521008404</v>
      </c>
      <c r="P30" s="335">
        <f t="shared" si="17"/>
        <v>45704</v>
      </c>
      <c r="Q30" s="336">
        <f t="shared" si="18"/>
        <v>640000</v>
      </c>
      <c r="R30" s="335">
        <f t="shared" si="19"/>
        <v>45734</v>
      </c>
      <c r="S30" s="336">
        <f t="shared" si="20"/>
        <v>640000</v>
      </c>
      <c r="AF30" s="331">
        <f t="shared" si="21"/>
        <v>0</v>
      </c>
      <c r="AG30" s="331">
        <f t="shared" si="22"/>
        <v>1280000</v>
      </c>
      <c r="AH30" s="337" t="str">
        <f t="shared" si="23"/>
        <v/>
      </c>
      <c r="AI30" s="337">
        <f>'Pesca Nacional'!$AP$3-H30</f>
        <v>-45764</v>
      </c>
    </row>
    <row r="31" spans="1:35" ht="12.75" customHeight="1">
      <c r="A31" s="9">
        <v>28</v>
      </c>
      <c r="B31" s="332" t="s">
        <v>173</v>
      </c>
      <c r="D31" s="9" t="s">
        <v>176</v>
      </c>
      <c r="F31" s="333">
        <f t="shared" si="12"/>
        <v>4</v>
      </c>
      <c r="G31" s="340">
        <v>45571</v>
      </c>
      <c r="H31" s="334">
        <v>45764</v>
      </c>
      <c r="I31" s="334">
        <v>45768</v>
      </c>
      <c r="J31" s="149">
        <f t="shared" si="13"/>
        <v>1600000</v>
      </c>
      <c r="K31" s="341">
        <v>0.2</v>
      </c>
      <c r="L31" s="149">
        <f t="shared" si="14"/>
        <v>320000</v>
      </c>
      <c r="M31" s="8"/>
      <c r="N31" s="151">
        <f t="shared" si="15"/>
        <v>1280000</v>
      </c>
      <c r="O31" s="152">
        <f t="shared" si="16"/>
        <v>1075630.2521008404</v>
      </c>
      <c r="P31" s="335">
        <f t="shared" si="17"/>
        <v>45704</v>
      </c>
      <c r="Q31" s="336">
        <f t="shared" si="18"/>
        <v>640000</v>
      </c>
      <c r="R31" s="335">
        <f t="shared" si="19"/>
        <v>45734</v>
      </c>
      <c r="S31" s="336">
        <f t="shared" si="20"/>
        <v>640000</v>
      </c>
      <c r="AF31" s="331">
        <f t="shared" si="21"/>
        <v>0</v>
      </c>
      <c r="AG31" s="331">
        <f t="shared" si="22"/>
        <v>1280000</v>
      </c>
      <c r="AH31" s="337" t="str">
        <f t="shared" si="23"/>
        <v/>
      </c>
      <c r="AI31" s="337">
        <f>'Pesca Nacional'!$AP$3-H31</f>
        <v>-45764</v>
      </c>
    </row>
  </sheetData>
  <mergeCells count="10">
    <mergeCell ref="W2:Y2"/>
    <mergeCell ref="Z2:AB2"/>
    <mergeCell ref="P1:AG1"/>
    <mergeCell ref="B2:E2"/>
    <mergeCell ref="H2:I2"/>
    <mergeCell ref="J2:O2"/>
    <mergeCell ref="P2:Q2"/>
    <mergeCell ref="R2:S2"/>
    <mergeCell ref="T2:V2"/>
    <mergeCell ref="AC2:A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L1000"/>
  <sheetViews>
    <sheetView workbookViewId="0"/>
  </sheetViews>
  <sheetFormatPr baseColWidth="10" defaultColWidth="12.6640625" defaultRowHeight="15" customHeight="1"/>
  <cols>
    <col min="1" max="2" width="10.6640625" customWidth="1"/>
    <col min="3" max="3" width="16.6640625" customWidth="1"/>
    <col min="4" max="9" width="12.1640625" customWidth="1"/>
    <col min="10" max="11" width="10.6640625" customWidth="1"/>
    <col min="12" max="12" width="13.1640625" customWidth="1"/>
    <col min="13" max="26" width="10.6640625" customWidth="1"/>
  </cols>
  <sheetData>
    <row r="1" spans="3:12" ht="12.75" customHeight="1"/>
    <row r="2" spans="3:12" ht="12.75" customHeight="1"/>
    <row r="3" spans="3:12" ht="12.75" customHeight="1"/>
    <row r="4" spans="3:12" ht="12.75" customHeight="1"/>
    <row r="5" spans="3:12" ht="12.75" customHeight="1"/>
    <row r="6" spans="3:12" ht="12.75" customHeight="1">
      <c r="D6" s="606" t="s">
        <v>177</v>
      </c>
      <c r="E6" s="607"/>
      <c r="F6" s="607"/>
      <c r="G6" s="607"/>
      <c r="H6" s="607"/>
      <c r="I6" s="607"/>
      <c r="J6" s="607"/>
      <c r="K6" s="607"/>
      <c r="L6" s="608"/>
    </row>
    <row r="7" spans="3:12" ht="12.75" customHeight="1">
      <c r="D7" s="22" t="s">
        <v>178</v>
      </c>
      <c r="E7" s="22" t="s">
        <v>179</v>
      </c>
      <c r="F7" s="22" t="s">
        <v>180</v>
      </c>
      <c r="G7" s="22" t="s">
        <v>181</v>
      </c>
      <c r="H7" s="22" t="s">
        <v>182</v>
      </c>
      <c r="I7" s="22" t="s">
        <v>183</v>
      </c>
      <c r="J7" s="22" t="s">
        <v>184</v>
      </c>
      <c r="K7" s="22" t="s">
        <v>185</v>
      </c>
      <c r="L7" s="22" t="s">
        <v>186</v>
      </c>
    </row>
    <row r="8" spans="3:12" ht="12.75" customHeight="1">
      <c r="C8" s="342" t="s">
        <v>187</v>
      </c>
      <c r="D8" s="342"/>
      <c r="E8" s="342"/>
      <c r="F8" s="342"/>
      <c r="G8" s="342"/>
      <c r="H8" s="342"/>
      <c r="I8" s="342"/>
      <c r="J8" s="342">
        <v>0</v>
      </c>
      <c r="K8" s="342">
        <v>0</v>
      </c>
      <c r="L8" s="342">
        <f t="shared" ref="L8:L11" si="0">SUM(D8:K8)</f>
        <v>0</v>
      </c>
    </row>
    <row r="9" spans="3:12" ht="12.75" customHeight="1">
      <c r="C9" s="342" t="s">
        <v>188</v>
      </c>
      <c r="D9" s="342"/>
      <c r="E9" s="342"/>
      <c r="F9" s="342"/>
      <c r="G9" s="342"/>
      <c r="H9" s="342"/>
      <c r="I9" s="342"/>
      <c r="J9" s="342">
        <v>0</v>
      </c>
      <c r="K9" s="342">
        <v>0</v>
      </c>
      <c r="L9" s="342">
        <f t="shared" si="0"/>
        <v>0</v>
      </c>
    </row>
    <row r="10" spans="3:12" ht="12.75" customHeight="1">
      <c r="C10" s="342" t="s">
        <v>25</v>
      </c>
      <c r="D10" s="342"/>
      <c r="E10" s="342"/>
      <c r="F10" s="342"/>
      <c r="G10" s="342"/>
      <c r="H10" s="342"/>
      <c r="I10" s="342"/>
      <c r="J10" s="342">
        <v>0</v>
      </c>
      <c r="K10" s="342">
        <v>0</v>
      </c>
      <c r="L10" s="342">
        <f t="shared" si="0"/>
        <v>0</v>
      </c>
    </row>
    <row r="11" spans="3:12" ht="12.75" customHeight="1">
      <c r="C11" s="342" t="s">
        <v>189</v>
      </c>
      <c r="D11" s="343"/>
      <c r="E11" s="343"/>
      <c r="F11" s="343"/>
      <c r="G11" s="343"/>
      <c r="H11" s="343"/>
      <c r="I11" s="343"/>
      <c r="J11" s="343"/>
      <c r="K11" s="343"/>
      <c r="L11" s="343">
        <f t="shared" si="0"/>
        <v>0</v>
      </c>
    </row>
    <row r="12" spans="3:12" ht="12.75" customHeight="1"/>
    <row r="13" spans="3:12" ht="12.75" customHeight="1">
      <c r="D13" s="606" t="s">
        <v>190</v>
      </c>
      <c r="E13" s="607"/>
      <c r="F13" s="607"/>
      <c r="G13" s="607"/>
      <c r="H13" s="607"/>
      <c r="I13" s="607"/>
      <c r="J13" s="607"/>
      <c r="K13" s="607"/>
      <c r="L13" s="608"/>
    </row>
    <row r="14" spans="3:12" ht="12.75" customHeight="1">
      <c r="D14" s="22" t="s">
        <v>178</v>
      </c>
      <c r="E14" s="22" t="s">
        <v>179</v>
      </c>
      <c r="F14" s="22" t="s">
        <v>180</v>
      </c>
      <c r="G14" s="22" t="s">
        <v>181</v>
      </c>
      <c r="H14" s="22" t="s">
        <v>182</v>
      </c>
      <c r="I14" s="22" t="s">
        <v>183</v>
      </c>
      <c r="J14" s="22" t="s">
        <v>184</v>
      </c>
      <c r="K14" s="22" t="s">
        <v>185</v>
      </c>
      <c r="L14" s="22" t="s">
        <v>186</v>
      </c>
    </row>
    <row r="15" spans="3:12" ht="12.75" customHeight="1">
      <c r="C15" s="342" t="s">
        <v>187</v>
      </c>
      <c r="D15" s="342">
        <v>8</v>
      </c>
      <c r="E15" s="342">
        <v>7</v>
      </c>
      <c r="F15" s="342">
        <v>4</v>
      </c>
      <c r="G15" s="342">
        <v>1</v>
      </c>
      <c r="H15" s="342">
        <v>1</v>
      </c>
      <c r="I15" s="342">
        <v>1</v>
      </c>
      <c r="J15" s="342">
        <v>0</v>
      </c>
      <c r="K15" s="342">
        <v>0</v>
      </c>
      <c r="L15" s="342">
        <f t="shared" ref="L15:L18" si="1">SUM(D15:K15)</f>
        <v>22</v>
      </c>
    </row>
    <row r="16" spans="3:12" ht="12.75" customHeight="1">
      <c r="C16" s="342" t="s">
        <v>188</v>
      </c>
      <c r="D16" s="342">
        <v>26</v>
      </c>
      <c r="E16" s="342">
        <v>27</v>
      </c>
      <c r="F16" s="342">
        <v>13</v>
      </c>
      <c r="G16" s="342">
        <v>2</v>
      </c>
      <c r="H16" s="342">
        <v>14</v>
      </c>
      <c r="I16" s="342">
        <v>17</v>
      </c>
      <c r="J16" s="342">
        <v>0</v>
      </c>
      <c r="K16" s="342">
        <v>0</v>
      </c>
      <c r="L16" s="342">
        <f t="shared" si="1"/>
        <v>99</v>
      </c>
    </row>
    <row r="17" spans="3:12" ht="12.75" customHeight="1">
      <c r="C17" s="342" t="s">
        <v>25</v>
      </c>
      <c r="D17" s="342">
        <v>129</v>
      </c>
      <c r="E17" s="342">
        <v>120</v>
      </c>
      <c r="F17" s="342">
        <v>57</v>
      </c>
      <c r="G17" s="342">
        <v>12</v>
      </c>
      <c r="H17" s="342">
        <v>98</v>
      </c>
      <c r="I17" s="342">
        <v>98</v>
      </c>
      <c r="J17" s="342">
        <v>0</v>
      </c>
      <c r="K17" s="342">
        <v>0</v>
      </c>
      <c r="L17" s="342">
        <f t="shared" si="1"/>
        <v>514</v>
      </c>
    </row>
    <row r="18" spans="3:12" ht="12.75" customHeight="1">
      <c r="C18" s="342" t="s">
        <v>189</v>
      </c>
      <c r="D18" s="343">
        <v>36373950</v>
      </c>
      <c r="E18" s="343">
        <v>37079832</v>
      </c>
      <c r="F18" s="343">
        <v>17813025</v>
      </c>
      <c r="G18" s="343">
        <v>3949500</v>
      </c>
      <c r="H18" s="343"/>
      <c r="I18" s="343">
        <v>21428571</v>
      </c>
      <c r="J18" s="343"/>
      <c r="K18" s="343"/>
      <c r="L18" s="343">
        <f t="shared" si="1"/>
        <v>116644878</v>
      </c>
    </row>
    <row r="19" spans="3:12" ht="12.75" customHeight="1"/>
    <row r="20" spans="3:12" ht="12.75" customHeight="1">
      <c r="D20" s="606" t="s">
        <v>191</v>
      </c>
      <c r="E20" s="607"/>
      <c r="F20" s="607"/>
      <c r="G20" s="607"/>
      <c r="H20" s="607"/>
      <c r="I20" s="607"/>
      <c r="J20" s="607"/>
      <c r="K20" s="607"/>
      <c r="L20" s="608"/>
    </row>
    <row r="21" spans="3:12" ht="12.75" customHeight="1">
      <c r="D21" s="22" t="s">
        <v>178</v>
      </c>
      <c r="E21" s="22" t="s">
        <v>179</v>
      </c>
      <c r="F21" s="22" t="s">
        <v>180</v>
      </c>
      <c r="G21" s="22" t="s">
        <v>181</v>
      </c>
      <c r="H21" s="22" t="s">
        <v>182</v>
      </c>
      <c r="I21" s="22" t="s">
        <v>184</v>
      </c>
      <c r="J21" s="22" t="s">
        <v>185</v>
      </c>
      <c r="K21" s="22"/>
      <c r="L21" s="22" t="s">
        <v>186</v>
      </c>
    </row>
    <row r="22" spans="3:12" ht="12.75" customHeight="1">
      <c r="C22" s="342" t="s">
        <v>187</v>
      </c>
      <c r="D22" s="344">
        <v>10</v>
      </c>
      <c r="E22" s="344">
        <v>12</v>
      </c>
      <c r="F22" s="344">
        <v>7</v>
      </c>
      <c r="G22" s="344">
        <v>3</v>
      </c>
      <c r="H22" s="344">
        <v>5</v>
      </c>
      <c r="I22" s="344">
        <v>10</v>
      </c>
      <c r="J22" s="344">
        <v>0</v>
      </c>
      <c r="K22" s="344"/>
      <c r="L22" s="344"/>
    </row>
    <row r="23" spans="3:12" ht="12.75" customHeight="1">
      <c r="C23" s="342" t="s">
        <v>188</v>
      </c>
      <c r="D23" s="344">
        <v>30</v>
      </c>
      <c r="E23" s="344">
        <v>42</v>
      </c>
      <c r="F23" s="344">
        <v>23</v>
      </c>
      <c r="G23" s="344">
        <v>8</v>
      </c>
      <c r="H23" s="344">
        <v>15</v>
      </c>
      <c r="I23" s="344">
        <v>22</v>
      </c>
      <c r="J23" s="344">
        <v>0</v>
      </c>
      <c r="K23" s="344"/>
      <c r="L23" s="344"/>
    </row>
    <row r="24" spans="3:12" ht="12.75" customHeight="1">
      <c r="C24" s="342" t="s">
        <v>25</v>
      </c>
      <c r="D24" s="344"/>
      <c r="E24" s="344"/>
      <c r="F24" s="344"/>
      <c r="G24" s="344"/>
      <c r="H24" s="344"/>
      <c r="I24" s="344"/>
      <c r="J24" s="344"/>
      <c r="K24" s="344"/>
      <c r="L24" s="344"/>
    </row>
    <row r="25" spans="3:12" ht="12.75" customHeight="1">
      <c r="C25" s="342" t="s">
        <v>189</v>
      </c>
      <c r="D25" s="343">
        <f>45988888/1.19</f>
        <v>38646124.369747899</v>
      </c>
      <c r="E25" s="343">
        <f>53475849/1.19</f>
        <v>44937688.235294119</v>
      </c>
      <c r="F25" s="343">
        <f>34481152/1.19</f>
        <v>28975757.983193278</v>
      </c>
      <c r="G25" s="343">
        <f>14900000/1.19</f>
        <v>12521008.403361345</v>
      </c>
      <c r="H25" s="343">
        <f>21496800/1.19</f>
        <v>18064537.81512605</v>
      </c>
      <c r="I25" s="343">
        <f>27095955/1.19</f>
        <v>22769710.084033616</v>
      </c>
      <c r="J25" s="343"/>
      <c r="K25" s="343"/>
      <c r="L25" s="343"/>
    </row>
    <row r="26" spans="3:12" ht="12.75" customHeight="1">
      <c r="C26" s="342" t="s">
        <v>192</v>
      </c>
      <c r="D26" s="342"/>
      <c r="E26" s="342"/>
      <c r="F26" s="342"/>
      <c r="G26" s="342"/>
      <c r="H26" s="342"/>
      <c r="I26" s="342"/>
      <c r="J26" s="342"/>
      <c r="K26" s="342"/>
      <c r="L26" s="342"/>
    </row>
    <row r="27" spans="3:12" ht="12.75" customHeight="1"/>
    <row r="28" spans="3:12" ht="12.75" customHeight="1"/>
    <row r="29" spans="3:12" ht="12.75" customHeight="1"/>
    <row r="30" spans="3:12" ht="12.75" customHeight="1"/>
    <row r="31" spans="3:12" ht="12.75" customHeight="1"/>
    <row r="32" spans="3:1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D6:L6"/>
    <mergeCell ref="D13:L13"/>
    <mergeCell ref="D20:L2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981"/>
  <sheetViews>
    <sheetView workbookViewId="0"/>
  </sheetViews>
  <sheetFormatPr baseColWidth="10" defaultColWidth="12.6640625" defaultRowHeight="15" customHeight="1"/>
  <cols>
    <col min="1" max="1" width="22.83203125" customWidth="1"/>
    <col min="2" max="2" width="10.6640625" customWidth="1"/>
    <col min="3" max="3" width="35.6640625" customWidth="1"/>
    <col min="4" max="4" width="5.1640625" hidden="1" customWidth="1"/>
    <col min="5" max="5" width="15.1640625" customWidth="1"/>
    <col min="6" max="6" width="10.6640625" hidden="1" customWidth="1"/>
    <col min="7" max="7" width="10.6640625" customWidth="1"/>
    <col min="8" max="8" width="10.6640625" hidden="1" customWidth="1"/>
    <col min="9" max="12" width="10.6640625" customWidth="1"/>
    <col min="13" max="13" width="19.83203125" customWidth="1"/>
    <col min="14" max="14" width="16.6640625" customWidth="1"/>
    <col min="15" max="22" width="10.6640625" customWidth="1"/>
    <col min="23" max="23" width="23.33203125" customWidth="1"/>
    <col min="24" max="24" width="10.1640625" customWidth="1"/>
    <col min="25" max="25" width="7.5" customWidth="1"/>
    <col min="26" max="26" width="23.33203125" customWidth="1"/>
    <col min="27" max="27" width="10.6640625" customWidth="1"/>
    <col min="28" max="28" width="5.6640625" customWidth="1"/>
    <col min="29" max="29" width="2.1640625" customWidth="1"/>
    <col min="30" max="32" width="10.6640625" customWidth="1"/>
    <col min="33" max="33" width="13.1640625" customWidth="1"/>
    <col min="34" max="34" width="14.1640625" customWidth="1"/>
    <col min="35" max="36" width="9.1640625" customWidth="1"/>
    <col min="37" max="37" width="14.6640625" customWidth="1"/>
    <col min="38" max="49" width="9.1640625" customWidth="1"/>
  </cols>
  <sheetData>
    <row r="1" spans="1:49" ht="12.75" customHeight="1">
      <c r="A1" s="1"/>
      <c r="B1" s="1" t="s">
        <v>0</v>
      </c>
      <c r="Q1" s="609" t="s">
        <v>1</v>
      </c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8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</row>
    <row r="2" spans="1:49" ht="12.75" customHeight="1">
      <c r="A2" s="9"/>
      <c r="B2" s="12" t="s">
        <v>2</v>
      </c>
      <c r="C2" s="606" t="s">
        <v>3</v>
      </c>
      <c r="D2" s="607"/>
      <c r="E2" s="607"/>
      <c r="F2" s="608"/>
      <c r="G2" s="12" t="s">
        <v>4</v>
      </c>
      <c r="H2" s="12"/>
      <c r="I2" s="12" t="s">
        <v>5</v>
      </c>
      <c r="J2" s="606" t="s">
        <v>6</v>
      </c>
      <c r="K2" s="608"/>
      <c r="L2" s="606" t="s">
        <v>7</v>
      </c>
      <c r="M2" s="607"/>
      <c r="N2" s="607"/>
      <c r="O2" s="607"/>
      <c r="P2" s="608"/>
      <c r="Q2" s="606" t="s">
        <v>8</v>
      </c>
      <c r="R2" s="608"/>
      <c r="S2" s="606" t="s">
        <v>9</v>
      </c>
      <c r="T2" s="608"/>
      <c r="U2" s="606" t="s">
        <v>10</v>
      </c>
      <c r="V2" s="607"/>
      <c r="W2" s="608"/>
      <c r="X2" s="606" t="s">
        <v>11</v>
      </c>
      <c r="Y2" s="607"/>
      <c r="Z2" s="608"/>
      <c r="AA2" s="606" t="s">
        <v>12</v>
      </c>
      <c r="AB2" s="607"/>
      <c r="AC2" s="608"/>
      <c r="AD2" s="606" t="s">
        <v>13</v>
      </c>
      <c r="AE2" s="607"/>
      <c r="AF2" s="608"/>
      <c r="AG2" s="14" t="s">
        <v>15</v>
      </c>
      <c r="AH2" s="12" t="s">
        <v>16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ht="12.75" customHeight="1">
      <c r="A3" s="9"/>
      <c r="B3" s="20" t="s">
        <v>18</v>
      </c>
      <c r="C3" s="22" t="s">
        <v>19</v>
      </c>
      <c r="D3" s="22" t="s">
        <v>167</v>
      </c>
      <c r="E3" s="22" t="s">
        <v>168</v>
      </c>
      <c r="F3" s="22" t="s">
        <v>169</v>
      </c>
      <c r="G3" s="20" t="s">
        <v>25</v>
      </c>
      <c r="H3" s="20"/>
      <c r="I3" s="20" t="s">
        <v>26</v>
      </c>
      <c r="J3" s="22" t="s">
        <v>27</v>
      </c>
      <c r="K3" s="22" t="s">
        <v>28</v>
      </c>
      <c r="L3" s="22" t="s">
        <v>29</v>
      </c>
      <c r="M3" s="22" t="s">
        <v>30</v>
      </c>
      <c r="N3" s="22" t="s">
        <v>31</v>
      </c>
      <c r="O3" s="22" t="s">
        <v>193</v>
      </c>
      <c r="P3" s="22" t="s">
        <v>34</v>
      </c>
      <c r="Q3" s="22" t="s">
        <v>5</v>
      </c>
      <c r="R3" s="22" t="s">
        <v>35</v>
      </c>
      <c r="S3" s="22" t="s">
        <v>5</v>
      </c>
      <c r="T3" s="22" t="s">
        <v>35</v>
      </c>
      <c r="U3" s="22" t="s">
        <v>5</v>
      </c>
      <c r="V3" s="22" t="s">
        <v>35</v>
      </c>
      <c r="W3" s="22" t="s">
        <v>36</v>
      </c>
      <c r="X3" s="22" t="s">
        <v>5</v>
      </c>
      <c r="Y3" s="22" t="s">
        <v>35</v>
      </c>
      <c r="Z3" s="22" t="s">
        <v>36</v>
      </c>
      <c r="AA3" s="22" t="s">
        <v>5</v>
      </c>
      <c r="AB3" s="22" t="s">
        <v>35</v>
      </c>
      <c r="AC3" s="22" t="s">
        <v>36</v>
      </c>
      <c r="AD3" s="22" t="s">
        <v>5</v>
      </c>
      <c r="AE3" s="13" t="s">
        <v>35</v>
      </c>
      <c r="AF3" s="22" t="s">
        <v>36</v>
      </c>
      <c r="AG3" s="20" t="s">
        <v>5</v>
      </c>
      <c r="AH3" s="20" t="s">
        <v>170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ht="12.75" customHeight="1">
      <c r="A4" s="9"/>
      <c r="B4" s="346">
        <v>1</v>
      </c>
      <c r="C4" s="347" t="s">
        <v>194</v>
      </c>
      <c r="D4" s="347"/>
      <c r="E4" s="347" t="s">
        <v>195</v>
      </c>
      <c r="F4" s="347"/>
      <c r="G4" s="35">
        <f t="shared" ref="G4:G22" si="0">K4-J4</f>
        <v>7</v>
      </c>
      <c r="H4" s="194">
        <f>G4*10</f>
        <v>70</v>
      </c>
      <c r="I4" s="348"/>
      <c r="J4" s="348">
        <v>46032</v>
      </c>
      <c r="K4" s="348">
        <v>46039</v>
      </c>
      <c r="L4" s="349">
        <f t="shared" ref="L4:L11" si="1">IF(G4=3,(3150))+IF(G4=4,(4050))+IF(G4=5,(4950))+IF(G4=6,(5850))+IF(G4=7,(6750))</f>
        <v>6750</v>
      </c>
      <c r="M4" s="350">
        <v>1</v>
      </c>
      <c r="N4" s="349">
        <f t="shared" ref="N4:N26" si="2">L4*M4</f>
        <v>6750</v>
      </c>
      <c r="O4" s="343">
        <f>L4-N4</f>
        <v>0</v>
      </c>
      <c r="P4" s="351" t="s">
        <v>196</v>
      </c>
      <c r="Q4" s="352">
        <f t="shared" ref="Q4:Q16" si="3">+J4-60</f>
        <v>45972</v>
      </c>
      <c r="R4" s="353">
        <f t="shared" ref="R4:R16" si="4">+O4/2</f>
        <v>0</v>
      </c>
      <c r="S4" s="352">
        <f t="shared" ref="S4:S16" si="5">+J4-30</f>
        <v>46002</v>
      </c>
      <c r="T4" s="353">
        <f t="shared" ref="T4:T16" si="6">+R4</f>
        <v>0</v>
      </c>
      <c r="U4" s="347"/>
      <c r="V4" s="354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55">
        <f t="shared" ref="AG4:AG16" si="7">V4+Y4+AB4+AE4</f>
        <v>0</v>
      </c>
      <c r="AH4" s="356">
        <f t="shared" ref="AH4:AH16" si="8">AG4-O4</f>
        <v>0</v>
      </c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ht="12.75" customHeight="1">
      <c r="A5" s="9"/>
      <c r="B5" s="357">
        <v>2</v>
      </c>
      <c r="C5" s="9" t="s">
        <v>194</v>
      </c>
      <c r="D5" s="9"/>
      <c r="E5" s="9" t="s">
        <v>175</v>
      </c>
      <c r="F5" s="9"/>
      <c r="G5" s="65">
        <f t="shared" si="0"/>
        <v>7</v>
      </c>
      <c r="H5" s="203"/>
      <c r="I5" s="358"/>
      <c r="J5" s="358">
        <v>46032</v>
      </c>
      <c r="K5" s="358">
        <v>46039</v>
      </c>
      <c r="L5" s="349">
        <f t="shared" si="1"/>
        <v>6750</v>
      </c>
      <c r="M5" s="359">
        <v>0.2</v>
      </c>
      <c r="N5" s="349">
        <f t="shared" si="2"/>
        <v>1350</v>
      </c>
      <c r="O5" s="343">
        <f t="shared" ref="O5:O11" si="9">L5-N5-860</f>
        <v>4540</v>
      </c>
      <c r="P5" s="351">
        <f t="shared" ref="P5:P26" si="10">O5</f>
        <v>4540</v>
      </c>
      <c r="Q5" s="360">
        <f t="shared" si="3"/>
        <v>45972</v>
      </c>
      <c r="R5" s="361">
        <f t="shared" si="4"/>
        <v>2270</v>
      </c>
      <c r="S5" s="360">
        <f t="shared" si="5"/>
        <v>46002</v>
      </c>
      <c r="T5" s="361">
        <f t="shared" si="6"/>
        <v>2270</v>
      </c>
      <c r="U5" s="362"/>
      <c r="V5" s="363"/>
      <c r="W5" s="9"/>
      <c r="X5" s="9"/>
      <c r="Y5" s="9"/>
      <c r="Z5" s="9"/>
      <c r="AA5" s="9"/>
      <c r="AB5" s="9"/>
      <c r="AC5" s="9"/>
      <c r="AD5" s="9"/>
      <c r="AE5" s="9"/>
      <c r="AF5" s="9"/>
      <c r="AG5" s="331">
        <f t="shared" si="7"/>
        <v>0</v>
      </c>
      <c r="AH5" s="364">
        <f t="shared" si="8"/>
        <v>-4540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ht="12.75" customHeight="1">
      <c r="A6" s="87" t="s">
        <v>197</v>
      </c>
      <c r="B6" s="357">
        <v>3</v>
      </c>
      <c r="C6" s="9" t="s">
        <v>194</v>
      </c>
      <c r="D6" s="9"/>
      <c r="E6" s="9" t="s">
        <v>176</v>
      </c>
      <c r="F6" s="9"/>
      <c r="G6" s="65">
        <f t="shared" si="0"/>
        <v>7</v>
      </c>
      <c r="H6" s="203"/>
      <c r="I6" s="358"/>
      <c r="J6" s="358">
        <v>46032</v>
      </c>
      <c r="K6" s="358">
        <v>46039</v>
      </c>
      <c r="L6" s="349">
        <f t="shared" si="1"/>
        <v>6750</v>
      </c>
      <c r="M6" s="359">
        <v>0.2</v>
      </c>
      <c r="N6" s="349">
        <f t="shared" si="2"/>
        <v>1350</v>
      </c>
      <c r="O6" s="343">
        <f t="shared" si="9"/>
        <v>4540</v>
      </c>
      <c r="P6" s="351">
        <f t="shared" si="10"/>
        <v>4540</v>
      </c>
      <c r="Q6" s="360">
        <f t="shared" si="3"/>
        <v>45972</v>
      </c>
      <c r="R6" s="361">
        <f t="shared" si="4"/>
        <v>2270</v>
      </c>
      <c r="S6" s="360">
        <f t="shared" si="5"/>
        <v>46002</v>
      </c>
      <c r="T6" s="361">
        <f t="shared" si="6"/>
        <v>2270</v>
      </c>
      <c r="U6" s="362"/>
      <c r="V6" s="363"/>
      <c r="W6" s="9"/>
      <c r="X6" s="9"/>
      <c r="Y6" s="9"/>
      <c r="Z6" s="9"/>
      <c r="AA6" s="9"/>
      <c r="AB6" s="9"/>
      <c r="AC6" s="9"/>
      <c r="AD6" s="9"/>
      <c r="AE6" s="9"/>
      <c r="AF6" s="9"/>
      <c r="AG6" s="331">
        <f t="shared" si="7"/>
        <v>0</v>
      </c>
      <c r="AH6" s="364">
        <f t="shared" si="8"/>
        <v>-4540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ht="12.75" customHeight="1">
      <c r="A7" s="89">
        <f>COUNT(B4:B157)</f>
        <v>23</v>
      </c>
      <c r="B7" s="357">
        <v>4</v>
      </c>
      <c r="C7" s="9" t="s">
        <v>194</v>
      </c>
      <c r="D7" s="9"/>
      <c r="E7" s="9" t="s">
        <v>198</v>
      </c>
      <c r="F7" s="9"/>
      <c r="G7" s="65">
        <f t="shared" si="0"/>
        <v>7</v>
      </c>
      <c r="H7" s="203"/>
      <c r="I7" s="358"/>
      <c r="J7" s="358">
        <v>46032</v>
      </c>
      <c r="K7" s="358">
        <v>46039</v>
      </c>
      <c r="L7" s="349">
        <f t="shared" si="1"/>
        <v>6750</v>
      </c>
      <c r="M7" s="359">
        <v>0.2</v>
      </c>
      <c r="N7" s="349">
        <f t="shared" si="2"/>
        <v>1350</v>
      </c>
      <c r="O7" s="343">
        <f t="shared" si="9"/>
        <v>4540</v>
      </c>
      <c r="P7" s="351">
        <f t="shared" si="10"/>
        <v>4540</v>
      </c>
      <c r="Q7" s="360">
        <f t="shared" si="3"/>
        <v>45972</v>
      </c>
      <c r="R7" s="361">
        <f t="shared" si="4"/>
        <v>2270</v>
      </c>
      <c r="S7" s="360">
        <f t="shared" si="5"/>
        <v>46002</v>
      </c>
      <c r="T7" s="361">
        <f t="shared" si="6"/>
        <v>2270</v>
      </c>
      <c r="U7" s="362"/>
      <c r="V7" s="363"/>
      <c r="W7" s="9"/>
      <c r="X7" s="9"/>
      <c r="Y7" s="9"/>
      <c r="Z7" s="9"/>
      <c r="AA7" s="9"/>
      <c r="AB7" s="9"/>
      <c r="AC7" s="9"/>
      <c r="AD7" s="9"/>
      <c r="AE7" s="9"/>
      <c r="AF7" s="9"/>
      <c r="AG7" s="331">
        <f t="shared" si="7"/>
        <v>0</v>
      </c>
      <c r="AH7" s="364">
        <f t="shared" si="8"/>
        <v>-4540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ht="12.75" customHeight="1">
      <c r="B8" s="357">
        <v>5</v>
      </c>
      <c r="C8" s="9" t="s">
        <v>194</v>
      </c>
      <c r="D8" s="9"/>
      <c r="E8" s="9" t="s">
        <v>199</v>
      </c>
      <c r="F8" s="9"/>
      <c r="G8" s="65">
        <f t="shared" si="0"/>
        <v>7</v>
      </c>
      <c r="H8" s="203"/>
      <c r="I8" s="358"/>
      <c r="J8" s="358">
        <v>46032</v>
      </c>
      <c r="K8" s="358">
        <v>46039</v>
      </c>
      <c r="L8" s="349">
        <f t="shared" si="1"/>
        <v>6750</v>
      </c>
      <c r="M8" s="359">
        <v>0.2</v>
      </c>
      <c r="N8" s="349">
        <f t="shared" si="2"/>
        <v>1350</v>
      </c>
      <c r="O8" s="343">
        <f t="shared" si="9"/>
        <v>4540</v>
      </c>
      <c r="P8" s="351">
        <f t="shared" si="10"/>
        <v>4540</v>
      </c>
      <c r="Q8" s="360">
        <f t="shared" si="3"/>
        <v>45972</v>
      </c>
      <c r="R8" s="361">
        <f t="shared" si="4"/>
        <v>2270</v>
      </c>
      <c r="S8" s="360">
        <f t="shared" si="5"/>
        <v>46002</v>
      </c>
      <c r="T8" s="361">
        <f t="shared" si="6"/>
        <v>2270</v>
      </c>
      <c r="U8" s="362"/>
      <c r="V8" s="363"/>
      <c r="W8" s="9"/>
      <c r="X8" s="9"/>
      <c r="Y8" s="9"/>
      <c r="Z8" s="9"/>
      <c r="AA8" s="9"/>
      <c r="AB8" s="9"/>
      <c r="AC8" s="9"/>
      <c r="AD8" s="9"/>
      <c r="AE8" s="9"/>
      <c r="AF8" s="9"/>
      <c r="AG8" s="331">
        <f t="shared" si="7"/>
        <v>0</v>
      </c>
      <c r="AH8" s="364">
        <f t="shared" si="8"/>
        <v>-4540</v>
      </c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ht="12.75" customHeight="1">
      <c r="A9" s="29"/>
      <c r="B9" s="357">
        <v>6</v>
      </c>
      <c r="C9" s="9" t="s">
        <v>194</v>
      </c>
      <c r="D9" s="9"/>
      <c r="E9" s="9" t="s">
        <v>200</v>
      </c>
      <c r="F9" s="9"/>
      <c r="G9" s="65">
        <f t="shared" si="0"/>
        <v>7</v>
      </c>
      <c r="H9" s="203"/>
      <c r="I9" s="358"/>
      <c r="J9" s="358">
        <v>46032</v>
      </c>
      <c r="K9" s="358">
        <v>46039</v>
      </c>
      <c r="L9" s="349">
        <f t="shared" si="1"/>
        <v>6750</v>
      </c>
      <c r="M9" s="359">
        <v>0.2</v>
      </c>
      <c r="N9" s="349">
        <f t="shared" si="2"/>
        <v>1350</v>
      </c>
      <c r="O9" s="343">
        <f t="shared" si="9"/>
        <v>4540</v>
      </c>
      <c r="P9" s="351">
        <f t="shared" si="10"/>
        <v>4540</v>
      </c>
      <c r="Q9" s="360">
        <f t="shared" si="3"/>
        <v>45972</v>
      </c>
      <c r="R9" s="361">
        <f t="shared" si="4"/>
        <v>2270</v>
      </c>
      <c r="S9" s="360">
        <f t="shared" si="5"/>
        <v>46002</v>
      </c>
      <c r="T9" s="361">
        <f t="shared" si="6"/>
        <v>2270</v>
      </c>
      <c r="U9" s="362"/>
      <c r="V9" s="363"/>
      <c r="W9" s="9"/>
      <c r="X9" s="9"/>
      <c r="Y9" s="9"/>
      <c r="Z9" s="9"/>
      <c r="AA9" s="9"/>
      <c r="AB9" s="9"/>
      <c r="AC9" s="9"/>
      <c r="AD9" s="9"/>
      <c r="AE9" s="9"/>
      <c r="AF9" s="9"/>
      <c r="AG9" s="331">
        <f t="shared" si="7"/>
        <v>0</v>
      </c>
      <c r="AH9" s="364">
        <f t="shared" si="8"/>
        <v>-4540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ht="12.75" customHeight="1">
      <c r="A10" s="117" t="s">
        <v>201</v>
      </c>
      <c r="B10" s="357">
        <v>7</v>
      </c>
      <c r="C10" s="9" t="s">
        <v>194</v>
      </c>
      <c r="D10" s="9"/>
      <c r="E10" s="9" t="s">
        <v>202</v>
      </c>
      <c r="F10" s="9"/>
      <c r="G10" s="65">
        <f t="shared" si="0"/>
        <v>7</v>
      </c>
      <c r="H10" s="203"/>
      <c r="I10" s="358"/>
      <c r="J10" s="358">
        <v>46032</v>
      </c>
      <c r="K10" s="358">
        <v>46039</v>
      </c>
      <c r="L10" s="349">
        <f t="shared" si="1"/>
        <v>6750</v>
      </c>
      <c r="M10" s="359">
        <v>0.2</v>
      </c>
      <c r="N10" s="349">
        <f t="shared" si="2"/>
        <v>1350</v>
      </c>
      <c r="O10" s="343">
        <f t="shared" si="9"/>
        <v>4540</v>
      </c>
      <c r="P10" s="351">
        <f t="shared" si="10"/>
        <v>4540</v>
      </c>
      <c r="Q10" s="360">
        <f t="shared" si="3"/>
        <v>45972</v>
      </c>
      <c r="R10" s="361">
        <f t="shared" si="4"/>
        <v>2270</v>
      </c>
      <c r="S10" s="360">
        <f t="shared" si="5"/>
        <v>46002</v>
      </c>
      <c r="T10" s="361">
        <f t="shared" si="6"/>
        <v>2270</v>
      </c>
      <c r="U10" s="362"/>
      <c r="V10" s="36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331">
        <f t="shared" si="7"/>
        <v>0</v>
      </c>
      <c r="AH10" s="364">
        <f t="shared" si="8"/>
        <v>-4540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ht="12.75" customHeight="1">
      <c r="A11" s="120">
        <f>SUM(G4:G26)</f>
        <v>135</v>
      </c>
      <c r="B11" s="357">
        <v>8</v>
      </c>
      <c r="C11" s="9" t="s">
        <v>194</v>
      </c>
      <c r="E11" s="9" t="s">
        <v>203</v>
      </c>
      <c r="G11" s="65">
        <f t="shared" si="0"/>
        <v>7</v>
      </c>
      <c r="H11" s="203"/>
      <c r="I11" s="358"/>
      <c r="J11" s="358">
        <v>46032</v>
      </c>
      <c r="K11" s="358">
        <v>46039</v>
      </c>
      <c r="L11" s="349">
        <f t="shared" si="1"/>
        <v>6750</v>
      </c>
      <c r="M11" s="359">
        <v>0.2</v>
      </c>
      <c r="N11" s="349">
        <f t="shared" si="2"/>
        <v>1350</v>
      </c>
      <c r="O11" s="343">
        <f t="shared" si="9"/>
        <v>4540</v>
      </c>
      <c r="P11" s="351">
        <f t="shared" si="10"/>
        <v>4540</v>
      </c>
      <c r="Q11" s="360">
        <f t="shared" si="3"/>
        <v>45972</v>
      </c>
      <c r="R11" s="361">
        <f t="shared" si="4"/>
        <v>2270</v>
      </c>
      <c r="S11" s="360">
        <f t="shared" si="5"/>
        <v>46002</v>
      </c>
      <c r="T11" s="361">
        <f t="shared" si="6"/>
        <v>2270</v>
      </c>
      <c r="U11" s="362"/>
      <c r="V11" s="363"/>
      <c r="W11" s="9"/>
      <c r="AG11" s="331">
        <f t="shared" si="7"/>
        <v>0</v>
      </c>
      <c r="AH11" s="364">
        <f t="shared" si="8"/>
        <v>-4540</v>
      </c>
    </row>
    <row r="12" spans="1:49" ht="12.75" customHeight="1">
      <c r="A12" s="29"/>
      <c r="B12" s="357">
        <v>9</v>
      </c>
      <c r="C12" s="365" t="s">
        <v>194</v>
      </c>
      <c r="D12" s="366"/>
      <c r="E12" s="365" t="s">
        <v>204</v>
      </c>
      <c r="F12" s="366"/>
      <c r="G12" s="367">
        <f t="shared" si="0"/>
        <v>9</v>
      </c>
      <c r="H12" s="368"/>
      <c r="I12" s="369"/>
      <c r="J12" s="369">
        <v>46032</v>
      </c>
      <c r="K12" s="369">
        <v>46041</v>
      </c>
      <c r="L12" s="370">
        <v>8325</v>
      </c>
      <c r="M12" s="371">
        <v>0.2</v>
      </c>
      <c r="N12" s="370">
        <f t="shared" si="2"/>
        <v>1665</v>
      </c>
      <c r="O12" s="372">
        <f t="shared" ref="O12:O26" si="11">L12-N12</f>
        <v>6660</v>
      </c>
      <c r="P12" s="373">
        <f t="shared" si="10"/>
        <v>6660</v>
      </c>
      <c r="Q12" s="374">
        <f t="shared" si="3"/>
        <v>45972</v>
      </c>
      <c r="R12" s="375">
        <f t="shared" si="4"/>
        <v>3330</v>
      </c>
      <c r="S12" s="374">
        <f t="shared" si="5"/>
        <v>46002</v>
      </c>
      <c r="T12" s="375">
        <f t="shared" si="6"/>
        <v>3330</v>
      </c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6"/>
      <c r="AF12" s="366"/>
      <c r="AG12" s="376">
        <f t="shared" si="7"/>
        <v>0</v>
      </c>
      <c r="AH12" s="377">
        <f t="shared" si="8"/>
        <v>-6660</v>
      </c>
    </row>
    <row r="13" spans="1:49" ht="12.75" customHeight="1">
      <c r="A13" s="130" t="s">
        <v>205</v>
      </c>
      <c r="B13" s="378">
        <v>10</v>
      </c>
      <c r="C13" s="379" t="s">
        <v>194</v>
      </c>
      <c r="D13" s="380"/>
      <c r="E13" s="379" t="s">
        <v>206</v>
      </c>
      <c r="F13" s="380"/>
      <c r="G13" s="381">
        <f t="shared" si="0"/>
        <v>9</v>
      </c>
      <c r="H13" s="382"/>
      <c r="I13" s="383"/>
      <c r="J13" s="383">
        <v>46032</v>
      </c>
      <c r="K13" s="383">
        <v>46041</v>
      </c>
      <c r="L13" s="370">
        <v>8325</v>
      </c>
      <c r="M13" s="384">
        <v>0.2</v>
      </c>
      <c r="N13" s="370">
        <f t="shared" si="2"/>
        <v>1665</v>
      </c>
      <c r="O13" s="372">
        <f t="shared" si="11"/>
        <v>6660</v>
      </c>
      <c r="P13" s="373">
        <f t="shared" si="10"/>
        <v>6660</v>
      </c>
      <c r="Q13" s="385">
        <f t="shared" si="3"/>
        <v>45972</v>
      </c>
      <c r="R13" s="386">
        <f t="shared" si="4"/>
        <v>3330</v>
      </c>
      <c r="S13" s="385">
        <f t="shared" si="5"/>
        <v>46002</v>
      </c>
      <c r="T13" s="386">
        <f t="shared" si="6"/>
        <v>3330</v>
      </c>
      <c r="U13" s="380"/>
      <c r="V13" s="380"/>
      <c r="W13" s="380"/>
      <c r="X13" s="380"/>
      <c r="Y13" s="380"/>
      <c r="Z13" s="380"/>
      <c r="AA13" s="380"/>
      <c r="AB13" s="380"/>
      <c r="AC13" s="380"/>
      <c r="AD13" s="380"/>
      <c r="AE13" s="380"/>
      <c r="AF13" s="380"/>
      <c r="AG13" s="387">
        <f t="shared" si="7"/>
        <v>0</v>
      </c>
      <c r="AH13" s="388">
        <f t="shared" si="8"/>
        <v>-6660</v>
      </c>
    </row>
    <row r="14" spans="1:49" ht="12.75" customHeight="1">
      <c r="A14" s="132">
        <f>G4+G12+G14+G17+G23</f>
        <v>31</v>
      </c>
      <c r="B14" s="346">
        <v>11</v>
      </c>
      <c r="C14" s="347" t="s">
        <v>207</v>
      </c>
      <c r="D14" s="389"/>
      <c r="E14" s="347" t="s">
        <v>174</v>
      </c>
      <c r="F14" s="389"/>
      <c r="G14" s="35">
        <f t="shared" si="0"/>
        <v>7</v>
      </c>
      <c r="H14" s="194">
        <f>G14*3</f>
        <v>21</v>
      </c>
      <c r="I14" s="348"/>
      <c r="J14" s="390" t="s">
        <v>208</v>
      </c>
      <c r="K14" s="390" t="s">
        <v>209</v>
      </c>
      <c r="L14" s="349">
        <v>5625</v>
      </c>
      <c r="M14" s="350"/>
      <c r="N14" s="349">
        <f t="shared" si="2"/>
        <v>0</v>
      </c>
      <c r="O14" s="343">
        <f t="shared" si="11"/>
        <v>5625</v>
      </c>
      <c r="P14" s="351">
        <f t="shared" si="10"/>
        <v>5625</v>
      </c>
      <c r="Q14" s="352">
        <f t="shared" si="3"/>
        <v>45935</v>
      </c>
      <c r="R14" s="353">
        <f t="shared" si="4"/>
        <v>2812.5</v>
      </c>
      <c r="S14" s="352">
        <f t="shared" si="5"/>
        <v>45965</v>
      </c>
      <c r="T14" s="353">
        <f t="shared" si="6"/>
        <v>2812.5</v>
      </c>
      <c r="U14" s="391"/>
      <c r="V14" s="354"/>
      <c r="W14" s="347"/>
      <c r="X14" s="391"/>
      <c r="Y14" s="354"/>
      <c r="Z14" s="347"/>
      <c r="AA14" s="389"/>
      <c r="AB14" s="389"/>
      <c r="AC14" s="389"/>
      <c r="AD14" s="389"/>
      <c r="AE14" s="389"/>
      <c r="AF14" s="389"/>
      <c r="AG14" s="355">
        <f t="shared" si="7"/>
        <v>0</v>
      </c>
      <c r="AH14" s="356">
        <f t="shared" si="8"/>
        <v>-5625</v>
      </c>
    </row>
    <row r="15" spans="1:49" ht="12.75" customHeight="1">
      <c r="A15" s="29"/>
      <c r="B15" s="357">
        <v>12</v>
      </c>
      <c r="C15" s="9" t="s">
        <v>207</v>
      </c>
      <c r="E15" s="9" t="s">
        <v>175</v>
      </c>
      <c r="G15" s="65">
        <f t="shared" si="0"/>
        <v>7</v>
      </c>
      <c r="H15" s="203"/>
      <c r="I15" s="358"/>
      <c r="J15" s="392" t="s">
        <v>208</v>
      </c>
      <c r="K15" s="392" t="s">
        <v>209</v>
      </c>
      <c r="L15" s="349">
        <v>5625</v>
      </c>
      <c r="M15" s="359"/>
      <c r="N15" s="349">
        <f t="shared" si="2"/>
        <v>0</v>
      </c>
      <c r="O15" s="343">
        <f t="shared" si="11"/>
        <v>5625</v>
      </c>
      <c r="P15" s="351">
        <f t="shared" si="10"/>
        <v>5625</v>
      </c>
      <c r="Q15" s="360">
        <f t="shared" si="3"/>
        <v>45935</v>
      </c>
      <c r="R15" s="361">
        <f t="shared" si="4"/>
        <v>2812.5</v>
      </c>
      <c r="S15" s="360">
        <f t="shared" si="5"/>
        <v>45965</v>
      </c>
      <c r="T15" s="361">
        <f t="shared" si="6"/>
        <v>2812.5</v>
      </c>
      <c r="U15" s="338"/>
      <c r="V15" s="363"/>
      <c r="W15" s="9"/>
      <c r="X15" s="338"/>
      <c r="Y15" s="363"/>
      <c r="Z15" s="9"/>
      <c r="AG15" s="331">
        <f t="shared" si="7"/>
        <v>0</v>
      </c>
      <c r="AH15" s="364">
        <f t="shared" si="8"/>
        <v>-5625</v>
      </c>
    </row>
    <row r="16" spans="1:49" ht="12.75" customHeight="1">
      <c r="A16" s="169" t="s">
        <v>210</v>
      </c>
      <c r="B16" s="378">
        <v>13</v>
      </c>
      <c r="C16" s="393" t="s">
        <v>207</v>
      </c>
      <c r="D16" s="394"/>
      <c r="E16" s="393" t="s">
        <v>176</v>
      </c>
      <c r="F16" s="394"/>
      <c r="G16" s="94">
        <f t="shared" si="0"/>
        <v>7</v>
      </c>
      <c r="H16" s="213"/>
      <c r="I16" s="395"/>
      <c r="J16" s="396" t="s">
        <v>208</v>
      </c>
      <c r="K16" s="396" t="s">
        <v>209</v>
      </c>
      <c r="L16" s="349">
        <v>5625</v>
      </c>
      <c r="M16" s="397"/>
      <c r="N16" s="349">
        <f t="shared" si="2"/>
        <v>0</v>
      </c>
      <c r="O16" s="343">
        <f t="shared" si="11"/>
        <v>5625</v>
      </c>
      <c r="P16" s="351">
        <f t="shared" si="10"/>
        <v>5625</v>
      </c>
      <c r="Q16" s="398">
        <f t="shared" si="3"/>
        <v>45935</v>
      </c>
      <c r="R16" s="399">
        <f t="shared" si="4"/>
        <v>2812.5</v>
      </c>
      <c r="S16" s="398">
        <f t="shared" si="5"/>
        <v>45965</v>
      </c>
      <c r="T16" s="399">
        <f t="shared" si="6"/>
        <v>2812.5</v>
      </c>
      <c r="U16" s="400"/>
      <c r="V16" s="401"/>
      <c r="W16" s="393"/>
      <c r="X16" s="400"/>
      <c r="Y16" s="401"/>
      <c r="Z16" s="393"/>
      <c r="AA16" s="394"/>
      <c r="AB16" s="394"/>
      <c r="AC16" s="394"/>
      <c r="AD16" s="394"/>
      <c r="AE16" s="394"/>
      <c r="AF16" s="394"/>
      <c r="AG16" s="402">
        <f t="shared" si="7"/>
        <v>0</v>
      </c>
      <c r="AH16" s="403">
        <f t="shared" si="8"/>
        <v>-5625</v>
      </c>
    </row>
    <row r="17" spans="1:36" ht="12.75" customHeight="1">
      <c r="A17" s="171">
        <f>SUM(P5:P37)</f>
        <v>93403</v>
      </c>
      <c r="B17" s="346">
        <v>14</v>
      </c>
      <c r="C17" s="404" t="s">
        <v>211</v>
      </c>
      <c r="D17" s="389"/>
      <c r="E17" s="347" t="s">
        <v>174</v>
      </c>
      <c r="F17" s="389"/>
      <c r="G17" s="194">
        <f t="shared" si="0"/>
        <v>4</v>
      </c>
      <c r="H17" s="194">
        <f>G17*6</f>
        <v>24</v>
      </c>
      <c r="I17" s="348"/>
      <c r="J17" s="390" t="s">
        <v>212</v>
      </c>
      <c r="K17" s="390" t="s">
        <v>213</v>
      </c>
      <c r="L17" s="405">
        <v>4050</v>
      </c>
      <c r="M17" s="350">
        <v>0.2</v>
      </c>
      <c r="N17" s="405">
        <f t="shared" si="2"/>
        <v>810</v>
      </c>
      <c r="O17" s="355">
        <f t="shared" si="11"/>
        <v>3240</v>
      </c>
      <c r="P17" s="406">
        <f t="shared" si="10"/>
        <v>3240</v>
      </c>
      <c r="Q17" s="407"/>
      <c r="R17" s="406"/>
      <c r="S17" s="407"/>
      <c r="T17" s="406"/>
      <c r="U17" s="389"/>
      <c r="V17" s="354"/>
      <c r="W17" s="347"/>
      <c r="X17" s="389"/>
      <c r="Y17" s="354"/>
      <c r="Z17" s="389"/>
      <c r="AA17" s="389"/>
      <c r="AB17" s="389"/>
      <c r="AC17" s="389"/>
      <c r="AD17" s="389"/>
      <c r="AE17" s="389"/>
      <c r="AF17" s="389"/>
      <c r="AG17" s="355"/>
      <c r="AH17" s="356"/>
    </row>
    <row r="18" spans="1:36" ht="12.75" customHeight="1">
      <c r="A18" s="29"/>
      <c r="B18" s="357">
        <v>15</v>
      </c>
      <c r="C18" s="408" t="s">
        <v>211</v>
      </c>
      <c r="E18" s="9" t="s">
        <v>175</v>
      </c>
      <c r="G18" s="203">
        <f t="shared" si="0"/>
        <v>4</v>
      </c>
      <c r="H18" s="203"/>
      <c r="I18" s="358"/>
      <c r="J18" s="392" t="s">
        <v>212</v>
      </c>
      <c r="K18" s="392" t="s">
        <v>213</v>
      </c>
      <c r="L18" s="409">
        <v>4050</v>
      </c>
      <c r="M18" s="359">
        <v>0.2</v>
      </c>
      <c r="N18" s="409">
        <f t="shared" si="2"/>
        <v>810</v>
      </c>
      <c r="O18" s="331">
        <f t="shared" si="11"/>
        <v>3240</v>
      </c>
      <c r="P18" s="410">
        <f t="shared" si="10"/>
        <v>3240</v>
      </c>
      <c r="Q18" s="411"/>
      <c r="R18" s="410"/>
      <c r="S18" s="411"/>
      <c r="T18" s="410"/>
      <c r="U18" s="334"/>
      <c r="V18" s="363"/>
      <c r="W18" s="9"/>
      <c r="Y18" s="363"/>
      <c r="AG18" s="331"/>
      <c r="AH18" s="364"/>
    </row>
    <row r="19" spans="1:36" ht="12.75" customHeight="1">
      <c r="A19" s="29"/>
      <c r="B19" s="357">
        <v>16</v>
      </c>
      <c r="C19" s="408" t="s">
        <v>211</v>
      </c>
      <c r="E19" s="9" t="s">
        <v>176</v>
      </c>
      <c r="G19" s="203">
        <f t="shared" si="0"/>
        <v>4</v>
      </c>
      <c r="H19" s="203"/>
      <c r="I19" s="358"/>
      <c r="J19" s="392" t="s">
        <v>212</v>
      </c>
      <c r="K19" s="392" t="s">
        <v>213</v>
      </c>
      <c r="L19" s="409">
        <v>4050</v>
      </c>
      <c r="M19" s="359">
        <v>0.2</v>
      </c>
      <c r="N19" s="409">
        <f t="shared" si="2"/>
        <v>810</v>
      </c>
      <c r="O19" s="331">
        <f t="shared" si="11"/>
        <v>3240</v>
      </c>
      <c r="P19" s="410">
        <f t="shared" si="10"/>
        <v>3240</v>
      </c>
      <c r="Q19" s="411"/>
      <c r="R19" s="410"/>
      <c r="S19" s="411"/>
      <c r="T19" s="410"/>
      <c r="U19" s="412"/>
      <c r="V19" s="363"/>
      <c r="W19" s="332"/>
      <c r="Y19" s="363"/>
      <c r="AG19" s="331"/>
      <c r="AH19" s="364"/>
    </row>
    <row r="20" spans="1:36" ht="12.75" customHeight="1">
      <c r="B20" s="357">
        <v>17</v>
      </c>
      <c r="C20" s="408" t="s">
        <v>211</v>
      </c>
      <c r="E20" s="9" t="s">
        <v>198</v>
      </c>
      <c r="G20" s="203">
        <f t="shared" si="0"/>
        <v>4</v>
      </c>
      <c r="H20" s="203"/>
      <c r="I20" s="358"/>
      <c r="J20" s="392" t="s">
        <v>212</v>
      </c>
      <c r="K20" s="392" t="s">
        <v>213</v>
      </c>
      <c r="L20" s="409">
        <v>4050</v>
      </c>
      <c r="M20" s="359">
        <v>0.2</v>
      </c>
      <c r="N20" s="409">
        <f t="shared" si="2"/>
        <v>810</v>
      </c>
      <c r="O20" s="331">
        <f t="shared" si="11"/>
        <v>3240</v>
      </c>
      <c r="P20" s="410">
        <f t="shared" si="10"/>
        <v>3240</v>
      </c>
      <c r="Q20" s="411"/>
      <c r="R20" s="410"/>
      <c r="S20" s="411"/>
      <c r="T20" s="410"/>
      <c r="U20" s="412"/>
      <c r="V20" s="363"/>
      <c r="W20" s="332"/>
      <c r="Y20" s="363"/>
      <c r="AG20" s="331"/>
      <c r="AH20" s="364"/>
    </row>
    <row r="21" spans="1:36" ht="12.75" customHeight="1">
      <c r="B21" s="357">
        <v>18</v>
      </c>
      <c r="C21" s="408" t="s">
        <v>211</v>
      </c>
      <c r="E21" s="9" t="s">
        <v>199</v>
      </c>
      <c r="G21" s="203">
        <f t="shared" si="0"/>
        <v>4</v>
      </c>
      <c r="H21" s="203"/>
      <c r="I21" s="358"/>
      <c r="J21" s="392" t="s">
        <v>212</v>
      </c>
      <c r="K21" s="392" t="s">
        <v>213</v>
      </c>
      <c r="L21" s="409">
        <v>4050</v>
      </c>
      <c r="M21" s="359">
        <v>0.2</v>
      </c>
      <c r="N21" s="409">
        <f t="shared" si="2"/>
        <v>810</v>
      </c>
      <c r="O21" s="331">
        <f t="shared" si="11"/>
        <v>3240</v>
      </c>
      <c r="P21" s="410">
        <f t="shared" si="10"/>
        <v>3240</v>
      </c>
      <c r="Q21" s="411"/>
      <c r="R21" s="410"/>
      <c r="S21" s="411"/>
      <c r="T21" s="410"/>
      <c r="AG21" s="331"/>
      <c r="AH21" s="364"/>
    </row>
    <row r="22" spans="1:36" ht="12.75" customHeight="1">
      <c r="A22" s="9"/>
      <c r="B22" s="378">
        <v>19</v>
      </c>
      <c r="C22" s="413" t="s">
        <v>211</v>
      </c>
      <c r="D22" s="394"/>
      <c r="E22" s="393" t="s">
        <v>200</v>
      </c>
      <c r="F22" s="394"/>
      <c r="G22" s="213">
        <f t="shared" si="0"/>
        <v>4</v>
      </c>
      <c r="H22" s="213"/>
      <c r="I22" s="395"/>
      <c r="J22" s="396" t="s">
        <v>212</v>
      </c>
      <c r="K22" s="396" t="s">
        <v>213</v>
      </c>
      <c r="L22" s="414">
        <v>4050</v>
      </c>
      <c r="M22" s="397">
        <v>0.2</v>
      </c>
      <c r="N22" s="414">
        <f t="shared" si="2"/>
        <v>810</v>
      </c>
      <c r="O22" s="402">
        <f t="shared" si="11"/>
        <v>3240</v>
      </c>
      <c r="P22" s="415">
        <f t="shared" si="10"/>
        <v>3240</v>
      </c>
      <c r="Q22" s="416"/>
      <c r="R22" s="415"/>
      <c r="S22" s="416"/>
      <c r="T22" s="415"/>
      <c r="U22" s="394"/>
      <c r="V22" s="394"/>
      <c r="W22" s="394"/>
      <c r="X22" s="394"/>
      <c r="Y22" s="394"/>
      <c r="Z22" s="394"/>
      <c r="AA22" s="394"/>
      <c r="AB22" s="394"/>
      <c r="AC22" s="394"/>
      <c r="AD22" s="394"/>
      <c r="AE22" s="394"/>
      <c r="AF22" s="394"/>
      <c r="AG22" s="402"/>
      <c r="AH22" s="403"/>
    </row>
    <row r="23" spans="1:36" ht="12.75" customHeight="1">
      <c r="A23" s="9"/>
      <c r="B23" s="346">
        <v>20</v>
      </c>
      <c r="C23" s="404" t="s">
        <v>214</v>
      </c>
      <c r="D23" s="389"/>
      <c r="E23" s="347" t="s">
        <v>215</v>
      </c>
      <c r="F23" s="389"/>
      <c r="G23" s="194">
        <v>4</v>
      </c>
      <c r="H23" s="194"/>
      <c r="I23" s="348"/>
      <c r="J23" s="390" t="s">
        <v>216</v>
      </c>
      <c r="K23" s="390" t="s">
        <v>217</v>
      </c>
      <c r="L23" s="405">
        <v>4050</v>
      </c>
      <c r="M23" s="350">
        <v>0.2</v>
      </c>
      <c r="N23" s="405">
        <f t="shared" si="2"/>
        <v>810</v>
      </c>
      <c r="O23" s="355">
        <f t="shared" si="11"/>
        <v>3240</v>
      </c>
      <c r="P23" s="415">
        <f t="shared" si="10"/>
        <v>3240</v>
      </c>
      <c r="Q23" s="407"/>
      <c r="R23" s="406"/>
      <c r="S23" s="407"/>
      <c r="T23" s="406"/>
      <c r="U23" s="417"/>
      <c r="V23" s="418"/>
      <c r="W23" s="418"/>
      <c r="X23" s="389"/>
      <c r="Y23" s="389"/>
      <c r="Z23" s="389"/>
      <c r="AA23" s="389"/>
      <c r="AB23" s="389"/>
      <c r="AC23" s="389"/>
      <c r="AD23" s="389"/>
      <c r="AE23" s="389"/>
      <c r="AF23" s="389"/>
      <c r="AG23" s="355"/>
      <c r="AH23" s="356"/>
    </row>
    <row r="24" spans="1:36" ht="12.75" customHeight="1">
      <c r="A24" s="9"/>
      <c r="B24" s="357">
        <v>21</v>
      </c>
      <c r="C24" s="408" t="s">
        <v>214</v>
      </c>
      <c r="E24" s="9" t="s">
        <v>175</v>
      </c>
      <c r="G24" s="203">
        <v>4</v>
      </c>
      <c r="H24" s="203"/>
      <c r="I24" s="358"/>
      <c r="J24" s="392" t="s">
        <v>216</v>
      </c>
      <c r="K24" s="392" t="s">
        <v>217</v>
      </c>
      <c r="L24" s="409">
        <v>4050</v>
      </c>
      <c r="M24" s="359">
        <v>0.2</v>
      </c>
      <c r="N24" s="409">
        <f t="shared" si="2"/>
        <v>810</v>
      </c>
      <c r="O24" s="331">
        <f t="shared" si="11"/>
        <v>3240</v>
      </c>
      <c r="P24" s="415">
        <f t="shared" si="10"/>
        <v>3240</v>
      </c>
      <c r="Q24" s="411"/>
      <c r="R24" s="410"/>
      <c r="S24" s="411"/>
      <c r="T24" s="410"/>
      <c r="AG24" s="331"/>
      <c r="AH24" s="364"/>
    </row>
    <row r="25" spans="1:36" ht="12.75" customHeight="1">
      <c r="A25" s="9"/>
      <c r="B25" s="357">
        <v>22</v>
      </c>
      <c r="C25" s="408" t="s">
        <v>214</v>
      </c>
      <c r="E25" s="9" t="s">
        <v>176</v>
      </c>
      <c r="G25" s="203">
        <v>4</v>
      </c>
      <c r="H25" s="203"/>
      <c r="I25" s="412"/>
      <c r="J25" s="392" t="s">
        <v>216</v>
      </c>
      <c r="K25" s="392" t="s">
        <v>217</v>
      </c>
      <c r="L25" s="409">
        <v>4050</v>
      </c>
      <c r="M25" s="359">
        <v>0.2</v>
      </c>
      <c r="N25" s="409">
        <f t="shared" si="2"/>
        <v>810</v>
      </c>
      <c r="O25" s="331">
        <f t="shared" si="11"/>
        <v>3240</v>
      </c>
      <c r="P25" s="415">
        <f t="shared" si="10"/>
        <v>3240</v>
      </c>
      <c r="Q25" s="411"/>
      <c r="R25" s="410"/>
      <c r="S25" s="411"/>
      <c r="T25" s="410"/>
      <c r="U25" s="334"/>
      <c r="AG25" s="331"/>
      <c r="AH25" s="364"/>
    </row>
    <row r="26" spans="1:36" ht="12.75" customHeight="1">
      <c r="A26" s="9"/>
      <c r="B26" s="378">
        <v>23</v>
      </c>
      <c r="C26" s="413" t="s">
        <v>214</v>
      </c>
      <c r="D26" s="394"/>
      <c r="E26" s="393" t="s">
        <v>198</v>
      </c>
      <c r="F26" s="394"/>
      <c r="G26" s="213">
        <v>4</v>
      </c>
      <c r="H26" s="213"/>
      <c r="I26" s="419"/>
      <c r="J26" s="396" t="s">
        <v>216</v>
      </c>
      <c r="K26" s="396" t="s">
        <v>217</v>
      </c>
      <c r="L26" s="414">
        <v>2835</v>
      </c>
      <c r="M26" s="397">
        <v>0.2</v>
      </c>
      <c r="N26" s="414">
        <f t="shared" si="2"/>
        <v>567</v>
      </c>
      <c r="O26" s="402">
        <f t="shared" si="11"/>
        <v>2268</v>
      </c>
      <c r="P26" s="415">
        <f t="shared" si="10"/>
        <v>2268</v>
      </c>
      <c r="Q26" s="416"/>
      <c r="R26" s="415"/>
      <c r="S26" s="416"/>
      <c r="T26" s="415"/>
      <c r="U26" s="420"/>
      <c r="V26" s="401"/>
      <c r="W26" s="421"/>
      <c r="X26" s="394"/>
      <c r="Y26" s="394"/>
      <c r="Z26" s="394"/>
      <c r="AA26" s="394"/>
      <c r="AB26" s="394"/>
      <c r="AC26" s="394"/>
      <c r="AD26" s="394"/>
      <c r="AE26" s="394"/>
      <c r="AF26" s="394"/>
      <c r="AG26" s="402"/>
      <c r="AH26" s="403"/>
    </row>
    <row r="27" spans="1:36" ht="12.75" customHeight="1">
      <c r="A27" s="9"/>
      <c r="B27" s="9"/>
      <c r="C27" s="408"/>
      <c r="E27" s="9"/>
      <c r="G27" s="203"/>
      <c r="H27" s="203"/>
      <c r="I27" s="412"/>
      <c r="J27" s="412"/>
      <c r="K27" s="412"/>
      <c r="L27" s="409"/>
      <c r="M27" s="422"/>
      <c r="N27" s="409"/>
      <c r="O27" s="331"/>
      <c r="P27" s="410"/>
      <c r="Q27" s="411"/>
      <c r="R27" s="410"/>
      <c r="S27" s="411"/>
      <c r="T27" s="410"/>
      <c r="U27" s="334"/>
      <c r="V27" s="363"/>
      <c r="W27" s="332"/>
      <c r="AG27" s="331"/>
      <c r="AH27" s="331"/>
      <c r="AJ27" s="423"/>
    </row>
    <row r="28" spans="1:36" ht="12.75" customHeight="1">
      <c r="A28" s="9"/>
      <c r="B28" s="9"/>
      <c r="C28" s="408"/>
      <c r="E28" s="9"/>
      <c r="G28" s="203"/>
      <c r="H28" s="203"/>
      <c r="I28" s="412"/>
      <c r="J28" s="412"/>
      <c r="K28" s="412"/>
      <c r="L28" s="409"/>
      <c r="M28" s="422"/>
      <c r="N28" s="409"/>
      <c r="O28" s="331"/>
      <c r="P28" s="410"/>
      <c r="Q28" s="411"/>
      <c r="R28" s="410"/>
      <c r="S28" s="411"/>
      <c r="T28" s="410"/>
      <c r="U28" s="334"/>
      <c r="V28" s="363"/>
      <c r="W28" s="332"/>
      <c r="AG28" s="331"/>
      <c r="AH28" s="331"/>
    </row>
    <row r="29" spans="1:36" ht="12.75" customHeight="1">
      <c r="A29" s="9"/>
      <c r="B29" s="9"/>
      <c r="C29" s="408"/>
      <c r="E29" s="9"/>
      <c r="G29" s="203"/>
      <c r="H29" s="203"/>
      <c r="I29" s="412"/>
      <c r="J29" s="412"/>
      <c r="K29" s="412"/>
      <c r="L29" s="409"/>
      <c r="M29" s="422"/>
      <c r="N29" s="409"/>
      <c r="O29" s="331"/>
      <c r="P29" s="410"/>
      <c r="Q29" s="411"/>
      <c r="R29" s="410"/>
      <c r="S29" s="411"/>
      <c r="T29" s="410"/>
      <c r="U29" s="334"/>
      <c r="V29" s="363"/>
      <c r="W29" s="332"/>
      <c r="AG29" s="331"/>
      <c r="AH29" s="331"/>
    </row>
    <row r="30" spans="1:36" ht="12.75" customHeight="1">
      <c r="A30" s="9"/>
      <c r="B30" s="9"/>
      <c r="C30" s="408"/>
      <c r="E30" s="9"/>
      <c r="G30" s="203"/>
      <c r="H30" s="203"/>
      <c r="I30" s="412"/>
      <c r="J30" s="412"/>
      <c r="K30" s="412"/>
      <c r="L30" s="409"/>
      <c r="M30" s="422"/>
      <c r="N30" s="409"/>
      <c r="O30" s="331"/>
      <c r="P30" s="410"/>
      <c r="Q30" s="411"/>
      <c r="R30" s="410"/>
      <c r="S30" s="411"/>
      <c r="T30" s="410"/>
      <c r="U30" s="334"/>
      <c r="V30" s="363"/>
      <c r="W30" s="332"/>
      <c r="AG30" s="331"/>
      <c r="AH30" s="331"/>
    </row>
    <row r="31" spans="1:36" ht="12.75" customHeight="1">
      <c r="A31" s="9"/>
      <c r="B31" s="9"/>
      <c r="C31" s="408"/>
      <c r="E31" s="9"/>
      <c r="G31" s="203"/>
      <c r="H31" s="203"/>
      <c r="I31" s="339"/>
      <c r="J31" s="412"/>
      <c r="K31" s="412"/>
      <c r="L31" s="409"/>
      <c r="M31" s="422"/>
      <c r="N31" s="409"/>
      <c r="O31" s="331"/>
      <c r="P31" s="410"/>
      <c r="Q31" s="411"/>
      <c r="R31" s="410"/>
      <c r="S31" s="411"/>
      <c r="T31" s="410"/>
      <c r="U31" s="362"/>
      <c r="V31" s="363"/>
      <c r="W31" s="9"/>
      <c r="AG31" s="331"/>
      <c r="AH31" s="331"/>
      <c r="AJ31" s="423"/>
    </row>
    <row r="32" spans="1:36" ht="12.75" customHeight="1">
      <c r="A32" s="9"/>
      <c r="B32" s="9"/>
      <c r="C32" s="408"/>
      <c r="E32" s="325"/>
      <c r="G32" s="203"/>
      <c r="H32" s="203"/>
      <c r="I32" s="339"/>
      <c r="J32" s="28"/>
      <c r="K32" s="28"/>
      <c r="L32" s="409"/>
      <c r="M32" s="422"/>
      <c r="N32" s="409"/>
      <c r="O32" s="331"/>
      <c r="P32" s="410"/>
      <c r="Q32" s="411"/>
      <c r="R32" s="410"/>
      <c r="S32" s="411"/>
      <c r="T32" s="410"/>
      <c r="U32" s="362"/>
      <c r="V32" s="363"/>
      <c r="W32" s="325"/>
      <c r="AG32" s="331"/>
      <c r="AH32" s="331"/>
    </row>
    <row r="33" spans="1:37" ht="12.75" customHeight="1">
      <c r="A33" s="9"/>
      <c r="B33" s="9"/>
      <c r="C33" s="325"/>
      <c r="E33" s="332"/>
      <c r="G33" s="203"/>
      <c r="H33" s="203"/>
      <c r="I33" s="339"/>
      <c r="J33" s="340"/>
      <c r="K33" s="340"/>
      <c r="L33" s="409"/>
      <c r="M33" s="341"/>
      <c r="N33" s="409"/>
      <c r="O33" s="331"/>
      <c r="P33" s="410"/>
      <c r="Q33" s="411"/>
      <c r="R33" s="410"/>
      <c r="S33" s="411"/>
      <c r="T33" s="410"/>
      <c r="U33" s="362"/>
      <c r="V33" s="363"/>
      <c r="W33" s="325"/>
      <c r="AG33" s="331"/>
      <c r="AH33" s="331"/>
    </row>
    <row r="34" spans="1:37" ht="12.75" customHeight="1">
      <c r="A34" s="9"/>
      <c r="B34" s="9"/>
      <c r="C34" s="325"/>
      <c r="E34" s="332"/>
      <c r="G34" s="203"/>
      <c r="H34" s="203"/>
      <c r="I34" s="339"/>
      <c r="J34" s="340"/>
      <c r="K34" s="340"/>
      <c r="L34" s="409"/>
      <c r="M34" s="341"/>
      <c r="N34" s="409"/>
      <c r="O34" s="331"/>
      <c r="P34" s="410"/>
      <c r="Q34" s="411"/>
      <c r="R34" s="410"/>
      <c r="S34" s="411"/>
      <c r="T34" s="410"/>
      <c r="U34" s="424"/>
      <c r="V34" s="425"/>
      <c r="W34" s="325"/>
      <c r="AG34" s="331"/>
      <c r="AH34" s="331"/>
    </row>
    <row r="35" spans="1:37" ht="12.75" customHeight="1">
      <c r="A35" s="9"/>
      <c r="B35" s="9"/>
      <c r="C35" s="325"/>
      <c r="E35" s="332"/>
      <c r="G35" s="203"/>
      <c r="H35" s="203"/>
      <c r="I35" s="340"/>
      <c r="J35" s="340"/>
      <c r="K35" s="340"/>
      <c r="L35" s="409"/>
      <c r="N35" s="409"/>
      <c r="O35" s="331"/>
      <c r="P35" s="410"/>
      <c r="Q35" s="411"/>
      <c r="R35" s="410"/>
      <c r="S35" s="411"/>
      <c r="T35" s="410"/>
      <c r="U35" s="340"/>
      <c r="V35" s="425"/>
      <c r="W35" s="332"/>
      <c r="AG35" s="331"/>
      <c r="AH35" s="331"/>
    </row>
    <row r="36" spans="1:37" ht="12.75" customHeight="1">
      <c r="A36" s="9"/>
      <c r="B36" s="9"/>
      <c r="C36" s="325"/>
      <c r="E36" s="332"/>
      <c r="G36" s="203"/>
      <c r="H36" s="203"/>
      <c r="I36" s="340"/>
      <c r="J36" s="340"/>
      <c r="K36" s="340"/>
      <c r="L36" s="409"/>
      <c r="N36" s="409"/>
      <c r="O36" s="331"/>
      <c r="P36" s="410"/>
      <c r="Q36" s="411"/>
      <c r="R36" s="410"/>
      <c r="S36" s="411"/>
      <c r="T36" s="410"/>
      <c r="AG36" s="331"/>
      <c r="AH36" s="331"/>
    </row>
    <row r="37" spans="1:37" ht="12.75" customHeight="1">
      <c r="A37" s="9"/>
      <c r="B37" s="9"/>
      <c r="C37" s="325"/>
      <c r="E37" s="332"/>
      <c r="G37" s="203"/>
      <c r="H37" s="203"/>
      <c r="I37" s="340"/>
      <c r="J37" s="340"/>
      <c r="K37" s="340"/>
      <c r="L37" s="409"/>
      <c r="N37" s="409"/>
      <c r="O37" s="331"/>
      <c r="P37" s="410"/>
      <c r="Q37" s="411"/>
      <c r="R37" s="410"/>
      <c r="S37" s="411"/>
      <c r="T37" s="410"/>
      <c r="AG37" s="331"/>
      <c r="AH37" s="331"/>
    </row>
    <row r="38" spans="1:37" ht="12.75" customHeight="1">
      <c r="A38" s="9"/>
      <c r="B38" s="9"/>
      <c r="C38" s="325"/>
      <c r="E38" s="332"/>
      <c r="G38" s="203"/>
      <c r="H38" s="203"/>
      <c r="I38" s="340"/>
      <c r="J38" s="340"/>
      <c r="K38" s="340"/>
      <c r="L38" s="409"/>
      <c r="N38" s="409"/>
      <c r="O38" s="331"/>
      <c r="P38" s="410"/>
      <c r="Q38" s="411"/>
      <c r="R38" s="410"/>
      <c r="S38" s="411"/>
      <c r="T38" s="410"/>
      <c r="U38" s="340"/>
      <c r="V38" s="332"/>
      <c r="W38" s="332"/>
      <c r="X38" s="340"/>
      <c r="Y38" s="332"/>
      <c r="Z38" s="332"/>
      <c r="AG38" s="331"/>
      <c r="AH38" s="426"/>
      <c r="AI38" s="331"/>
      <c r="AK38" s="331"/>
    </row>
    <row r="39" spans="1:37" ht="12.75" customHeight="1">
      <c r="A39" s="9"/>
      <c r="B39" s="9"/>
      <c r="C39" s="325"/>
      <c r="E39" s="332"/>
      <c r="G39" s="203"/>
      <c r="H39" s="203"/>
      <c r="I39" s="340"/>
      <c r="J39" s="340"/>
      <c r="K39" s="340"/>
      <c r="L39" s="409"/>
      <c r="N39" s="409"/>
      <c r="O39" s="331"/>
      <c r="P39" s="410"/>
      <c r="Q39" s="411"/>
      <c r="R39" s="410"/>
      <c r="S39" s="411"/>
      <c r="T39" s="410"/>
      <c r="U39" s="340"/>
      <c r="V39" s="332"/>
      <c r="W39" s="332"/>
      <c r="X39" s="340"/>
      <c r="Y39" s="332"/>
      <c r="Z39" s="332"/>
      <c r="AG39" s="331"/>
      <c r="AH39" s="331"/>
      <c r="AI39" s="331"/>
    </row>
    <row r="40" spans="1:37" ht="12.75" customHeight="1">
      <c r="A40" s="9"/>
      <c r="B40" s="9"/>
      <c r="C40" s="325"/>
      <c r="E40" s="332"/>
      <c r="G40" s="203"/>
      <c r="H40" s="203"/>
      <c r="J40" s="334"/>
      <c r="K40" s="334"/>
      <c r="L40" s="409"/>
      <c r="M40" s="341"/>
      <c r="N40" s="409"/>
      <c r="O40" s="331"/>
      <c r="P40" s="410"/>
      <c r="Q40" s="411"/>
      <c r="R40" s="410"/>
      <c r="S40" s="411"/>
      <c r="T40" s="410"/>
      <c r="V40" s="332"/>
      <c r="W40" s="325"/>
      <c r="AG40" s="331"/>
      <c r="AH40" s="331"/>
    </row>
    <row r="41" spans="1:37" ht="12.75" customHeight="1">
      <c r="A41" s="9"/>
      <c r="B41" s="9"/>
      <c r="C41" s="325"/>
      <c r="E41" s="332"/>
      <c r="G41" s="203"/>
      <c r="H41" s="203"/>
      <c r="J41" s="334"/>
      <c r="K41" s="334"/>
      <c r="L41" s="409"/>
      <c r="M41" s="341"/>
      <c r="N41" s="409"/>
      <c r="O41" s="331"/>
      <c r="P41" s="410"/>
      <c r="Q41" s="411"/>
      <c r="R41" s="410"/>
      <c r="S41" s="411"/>
      <c r="T41" s="410"/>
      <c r="V41" s="332"/>
      <c r="W41" s="325"/>
      <c r="AG41" s="331"/>
      <c r="AH41" s="331"/>
    </row>
    <row r="42" spans="1:37" ht="12.75" customHeight="1">
      <c r="A42" s="9"/>
      <c r="B42" s="9"/>
      <c r="C42" s="325"/>
      <c r="E42" s="332"/>
      <c r="G42" s="203"/>
      <c r="H42" s="203"/>
      <c r="J42" s="334"/>
      <c r="K42" s="334"/>
      <c r="L42" s="409"/>
      <c r="M42" s="427"/>
      <c r="N42" s="409"/>
      <c r="O42" s="331"/>
      <c r="P42" s="410"/>
      <c r="Q42" s="411"/>
      <c r="R42" s="410"/>
      <c r="S42" s="411"/>
      <c r="T42" s="410"/>
      <c r="V42" s="332"/>
      <c r="W42" s="325"/>
      <c r="AG42" s="331"/>
      <c r="AH42" s="331"/>
    </row>
    <row r="43" spans="1:37" ht="12.75" customHeight="1">
      <c r="O43" s="428"/>
      <c r="P43" s="337"/>
      <c r="AG43" s="331"/>
      <c r="AH43" s="331"/>
    </row>
    <row r="44" spans="1:37" ht="12.75" customHeight="1">
      <c r="AG44" s="331"/>
      <c r="AH44" s="331"/>
    </row>
    <row r="45" spans="1:37" ht="12.75" customHeight="1">
      <c r="AG45" s="331"/>
      <c r="AH45" s="331"/>
    </row>
    <row r="46" spans="1:37" ht="12.75" customHeight="1">
      <c r="AG46" s="331"/>
      <c r="AH46" s="331"/>
    </row>
    <row r="47" spans="1:37" ht="12.75" customHeight="1">
      <c r="AG47" s="331"/>
      <c r="AH47" s="331"/>
    </row>
    <row r="48" spans="1:37" ht="12.75" customHeight="1">
      <c r="AG48" s="331"/>
      <c r="AH48" s="331"/>
    </row>
    <row r="49" spans="33:34" ht="12.75" customHeight="1">
      <c r="AG49" s="331"/>
      <c r="AH49" s="331"/>
    </row>
    <row r="50" spans="33:34" ht="12.75" customHeight="1">
      <c r="AG50" s="331"/>
      <c r="AH50" s="331"/>
    </row>
    <row r="51" spans="33:34" ht="12.75" customHeight="1">
      <c r="AG51" s="331"/>
      <c r="AH51" s="331"/>
    </row>
    <row r="52" spans="33:34" ht="12.75" customHeight="1">
      <c r="AG52" s="331"/>
      <c r="AH52" s="331"/>
    </row>
    <row r="53" spans="33:34" ht="12.75" customHeight="1">
      <c r="AG53" s="331"/>
      <c r="AH53" s="331"/>
    </row>
    <row r="54" spans="33:34" ht="12.75" customHeight="1">
      <c r="AG54" s="331"/>
      <c r="AH54" s="331"/>
    </row>
    <row r="55" spans="33:34" ht="12.75" customHeight="1">
      <c r="AG55" s="331"/>
      <c r="AH55" s="331"/>
    </row>
    <row r="56" spans="33:34" ht="12.75" customHeight="1">
      <c r="AG56" s="331"/>
      <c r="AH56" s="331"/>
    </row>
    <row r="57" spans="33:34" ht="12.75" customHeight="1">
      <c r="AG57" s="331"/>
      <c r="AH57" s="331"/>
    </row>
    <row r="58" spans="33:34" ht="12.75" customHeight="1">
      <c r="AG58" s="331"/>
      <c r="AH58" s="331"/>
    </row>
    <row r="59" spans="33:34" ht="12.75" customHeight="1">
      <c r="AG59" s="331"/>
      <c r="AH59" s="331"/>
    </row>
    <row r="60" spans="33:34" ht="12.75" customHeight="1">
      <c r="AG60" s="331"/>
      <c r="AH60" s="331"/>
    </row>
    <row r="61" spans="33:34" ht="12.75" customHeight="1">
      <c r="AG61" s="331"/>
      <c r="AH61" s="331"/>
    </row>
    <row r="62" spans="33:34" ht="12.75" customHeight="1">
      <c r="AG62" s="331"/>
      <c r="AH62" s="331"/>
    </row>
    <row r="63" spans="33:34" ht="12.75" customHeight="1">
      <c r="AG63" s="331"/>
      <c r="AH63" s="331"/>
    </row>
    <row r="64" spans="33:34" ht="12.75" customHeight="1">
      <c r="AG64" s="331"/>
      <c r="AH64" s="331"/>
    </row>
    <row r="65" spans="33:34" ht="12.75" customHeight="1">
      <c r="AG65" s="331"/>
      <c r="AH65" s="331"/>
    </row>
    <row r="66" spans="33:34" ht="12.75" customHeight="1">
      <c r="AG66" s="331"/>
      <c r="AH66" s="331"/>
    </row>
    <row r="67" spans="33:34" ht="12.75" customHeight="1">
      <c r="AG67" s="331"/>
      <c r="AH67" s="331"/>
    </row>
    <row r="68" spans="33:34" ht="12.75" customHeight="1">
      <c r="AG68" s="331"/>
      <c r="AH68" s="331"/>
    </row>
    <row r="69" spans="33:34" ht="12.75" customHeight="1">
      <c r="AG69" s="331"/>
      <c r="AH69" s="331"/>
    </row>
    <row r="70" spans="33:34" ht="12.75" customHeight="1">
      <c r="AG70" s="331"/>
      <c r="AH70" s="331"/>
    </row>
    <row r="71" spans="33:34" ht="12.75" customHeight="1">
      <c r="AG71" s="331"/>
      <c r="AH71" s="331"/>
    </row>
    <row r="72" spans="33:34" ht="12.75" customHeight="1">
      <c r="AG72" s="331"/>
      <c r="AH72" s="331"/>
    </row>
    <row r="73" spans="33:34" ht="12.75" customHeight="1">
      <c r="AG73" s="331"/>
      <c r="AH73" s="331"/>
    </row>
    <row r="74" spans="33:34" ht="12.75" customHeight="1">
      <c r="AG74" s="331"/>
      <c r="AH74" s="331"/>
    </row>
    <row r="75" spans="33:34" ht="12.75" customHeight="1">
      <c r="AG75" s="331"/>
      <c r="AH75" s="331"/>
    </row>
    <row r="76" spans="33:34" ht="12.75" customHeight="1">
      <c r="AG76" s="331"/>
      <c r="AH76" s="331"/>
    </row>
    <row r="77" spans="33:34" ht="12.75" customHeight="1">
      <c r="AG77" s="331"/>
      <c r="AH77" s="331"/>
    </row>
    <row r="78" spans="33:34" ht="12.75" customHeight="1">
      <c r="AG78" s="331"/>
      <c r="AH78" s="331"/>
    </row>
    <row r="79" spans="33:34" ht="12.75" customHeight="1">
      <c r="AG79" s="331"/>
      <c r="AH79" s="331"/>
    </row>
    <row r="80" spans="33:34" ht="12.75" customHeight="1">
      <c r="AG80" s="331"/>
      <c r="AH80" s="331"/>
    </row>
    <row r="81" spans="33:34" ht="12.75" customHeight="1">
      <c r="AG81" s="331"/>
      <c r="AH81" s="331"/>
    </row>
    <row r="82" spans="33:34" ht="12.75" customHeight="1">
      <c r="AG82" s="331"/>
      <c r="AH82" s="331"/>
    </row>
    <row r="83" spans="33:34" ht="12.75" customHeight="1">
      <c r="AG83" s="331"/>
      <c r="AH83" s="331"/>
    </row>
    <row r="84" spans="33:34" ht="12.75" customHeight="1">
      <c r="AG84" s="331"/>
      <c r="AH84" s="331"/>
    </row>
    <row r="85" spans="33:34" ht="12.75" customHeight="1">
      <c r="AG85" s="331"/>
      <c r="AH85" s="331"/>
    </row>
    <row r="86" spans="33:34" ht="12.75" customHeight="1">
      <c r="AG86" s="331"/>
      <c r="AH86" s="331"/>
    </row>
    <row r="87" spans="33:34" ht="12.75" customHeight="1">
      <c r="AG87" s="331"/>
      <c r="AH87" s="331"/>
    </row>
    <row r="88" spans="33:34" ht="12.75" customHeight="1">
      <c r="AG88" s="331"/>
      <c r="AH88" s="331"/>
    </row>
    <row r="89" spans="33:34" ht="12.75" customHeight="1">
      <c r="AG89" s="331"/>
      <c r="AH89" s="331"/>
    </row>
    <row r="90" spans="33:34" ht="12.75" customHeight="1">
      <c r="AG90" s="331"/>
      <c r="AH90" s="331"/>
    </row>
    <row r="91" spans="33:34" ht="12.75" customHeight="1">
      <c r="AG91" s="331"/>
      <c r="AH91" s="331"/>
    </row>
    <row r="92" spans="33:34" ht="12.75" customHeight="1">
      <c r="AG92" s="331"/>
      <c r="AH92" s="331"/>
    </row>
    <row r="93" spans="33:34" ht="12.75" customHeight="1">
      <c r="AG93" s="331"/>
      <c r="AH93" s="331"/>
    </row>
    <row r="94" spans="33:34" ht="12.75" customHeight="1">
      <c r="AG94" s="331"/>
      <c r="AH94" s="331"/>
    </row>
    <row r="95" spans="33:34" ht="12.75" customHeight="1">
      <c r="AG95" s="331"/>
      <c r="AH95" s="331"/>
    </row>
    <row r="96" spans="33:34" ht="12.75" customHeight="1">
      <c r="AG96" s="331"/>
      <c r="AH96" s="331"/>
    </row>
    <row r="97" spans="33:34" ht="12.75" customHeight="1">
      <c r="AG97" s="331"/>
      <c r="AH97" s="331"/>
    </row>
    <row r="98" spans="33:34" ht="12.75" customHeight="1">
      <c r="AG98" s="331"/>
      <c r="AH98" s="331"/>
    </row>
    <row r="99" spans="33:34" ht="12.75" customHeight="1">
      <c r="AG99" s="331"/>
      <c r="AH99" s="331"/>
    </row>
    <row r="100" spans="33:34" ht="12.75" customHeight="1">
      <c r="AG100" s="331"/>
      <c r="AH100" s="331"/>
    </row>
    <row r="101" spans="33:34" ht="12.75" customHeight="1">
      <c r="AG101" s="331"/>
      <c r="AH101" s="331"/>
    </row>
    <row r="102" spans="33:34" ht="12.75" customHeight="1">
      <c r="AG102" s="331"/>
      <c r="AH102" s="331"/>
    </row>
    <row r="103" spans="33:34" ht="12.75" customHeight="1">
      <c r="AG103" s="331"/>
      <c r="AH103" s="331"/>
    </row>
    <row r="104" spans="33:34" ht="12.75" customHeight="1">
      <c r="AG104" s="331"/>
      <c r="AH104" s="331"/>
    </row>
    <row r="105" spans="33:34" ht="12.75" customHeight="1">
      <c r="AG105" s="331"/>
      <c r="AH105" s="331"/>
    </row>
    <row r="106" spans="33:34" ht="12.75" customHeight="1">
      <c r="AG106" s="331"/>
      <c r="AH106" s="331"/>
    </row>
    <row r="107" spans="33:34" ht="12.75" customHeight="1">
      <c r="AG107" s="331"/>
      <c r="AH107" s="331"/>
    </row>
    <row r="108" spans="33:34" ht="12.75" customHeight="1">
      <c r="AG108" s="331"/>
      <c r="AH108" s="331"/>
    </row>
    <row r="109" spans="33:34" ht="12.75" customHeight="1">
      <c r="AG109" s="331"/>
      <c r="AH109" s="331"/>
    </row>
    <row r="110" spans="33:34" ht="12.75" customHeight="1">
      <c r="AG110" s="331"/>
      <c r="AH110" s="331"/>
    </row>
    <row r="111" spans="33:34" ht="12.75" customHeight="1"/>
    <row r="112" spans="33:3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</sheetData>
  <mergeCells count="10">
    <mergeCell ref="X2:Z2"/>
    <mergeCell ref="AA2:AC2"/>
    <mergeCell ref="Q1:AF1"/>
    <mergeCell ref="C2:F2"/>
    <mergeCell ref="J2:K2"/>
    <mergeCell ref="L2:P2"/>
    <mergeCell ref="Q2:R2"/>
    <mergeCell ref="S2:T2"/>
    <mergeCell ref="U2:W2"/>
    <mergeCell ref="AD2:AF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K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3:11" ht="12.75" customHeight="1"/>
    <row r="2" spans="3:11" ht="12.75" customHeight="1"/>
    <row r="3" spans="3:11" ht="12.75" customHeight="1"/>
    <row r="4" spans="3:11" ht="12.75" customHeight="1"/>
    <row r="5" spans="3:11" ht="12.75" customHeight="1"/>
    <row r="6" spans="3:11" ht="12.75" customHeight="1">
      <c r="D6" s="606" t="s">
        <v>218</v>
      </c>
      <c r="E6" s="607"/>
      <c r="F6" s="607"/>
      <c r="G6" s="607"/>
      <c r="H6" s="607"/>
      <c r="I6" s="607"/>
      <c r="J6" s="607"/>
      <c r="K6" s="608"/>
    </row>
    <row r="7" spans="3:11" ht="12.75" customHeight="1">
      <c r="D7" s="22" t="s">
        <v>178</v>
      </c>
      <c r="E7" s="22" t="s">
        <v>179</v>
      </c>
      <c r="F7" s="22" t="s">
        <v>180</v>
      </c>
      <c r="G7" s="22" t="s">
        <v>181</v>
      </c>
      <c r="H7" s="22" t="s">
        <v>182</v>
      </c>
      <c r="I7" s="22" t="s">
        <v>184</v>
      </c>
      <c r="J7" s="22" t="s">
        <v>185</v>
      </c>
      <c r="K7" s="22" t="s">
        <v>186</v>
      </c>
    </row>
    <row r="8" spans="3:11" ht="12.75" customHeight="1">
      <c r="C8" s="342" t="s">
        <v>187</v>
      </c>
      <c r="D8" s="342"/>
      <c r="E8" s="342"/>
      <c r="F8" s="342"/>
      <c r="G8" s="342"/>
      <c r="H8" s="342"/>
      <c r="I8" s="342"/>
      <c r="J8" s="342"/>
      <c r="K8" s="342"/>
    </row>
    <row r="9" spans="3:11" ht="12.75" customHeight="1">
      <c r="C9" s="342" t="s">
        <v>188</v>
      </c>
      <c r="D9" s="342"/>
      <c r="E9" s="342"/>
      <c r="F9" s="342"/>
      <c r="G9" s="342"/>
      <c r="H9" s="342"/>
      <c r="I9" s="342"/>
      <c r="J9" s="342"/>
      <c r="K9" s="342"/>
    </row>
    <row r="10" spans="3:11" ht="12.75" customHeight="1">
      <c r="C10" s="342" t="s">
        <v>25</v>
      </c>
      <c r="D10" s="342"/>
      <c r="E10" s="342"/>
      <c r="F10" s="342"/>
      <c r="G10" s="342"/>
      <c r="H10" s="342"/>
      <c r="I10" s="342"/>
      <c r="J10" s="342"/>
      <c r="K10" s="342"/>
    </row>
    <row r="11" spans="3:11" ht="12.75" customHeight="1">
      <c r="C11" s="342" t="s">
        <v>189</v>
      </c>
      <c r="D11" s="342"/>
      <c r="E11" s="342"/>
      <c r="F11" s="342"/>
      <c r="G11" s="342"/>
      <c r="H11" s="342"/>
      <c r="I11" s="342"/>
      <c r="J11" s="342"/>
      <c r="K11" s="342"/>
    </row>
    <row r="12" spans="3:11" ht="12.75" customHeight="1"/>
    <row r="13" spans="3:11" ht="12.75" customHeight="1">
      <c r="D13" s="606" t="s">
        <v>219</v>
      </c>
      <c r="E13" s="607"/>
      <c r="F13" s="607"/>
      <c r="G13" s="607"/>
      <c r="H13" s="607"/>
      <c r="I13" s="607"/>
      <c r="J13" s="607"/>
      <c r="K13" s="608"/>
    </row>
    <row r="14" spans="3:11" ht="12.75" customHeight="1">
      <c r="D14" s="22" t="s">
        <v>178</v>
      </c>
      <c r="E14" s="22" t="s">
        <v>179</v>
      </c>
      <c r="F14" s="22" t="s">
        <v>180</v>
      </c>
      <c r="G14" s="22" t="s">
        <v>181</v>
      </c>
      <c r="H14" s="22" t="s">
        <v>182</v>
      </c>
      <c r="I14" s="22" t="s">
        <v>184</v>
      </c>
      <c r="J14" s="22" t="s">
        <v>185</v>
      </c>
      <c r="K14" s="22" t="s">
        <v>186</v>
      </c>
    </row>
    <row r="15" spans="3:11" ht="12.75" customHeight="1">
      <c r="C15" s="342" t="s">
        <v>187</v>
      </c>
      <c r="D15" s="344"/>
      <c r="E15" s="344"/>
      <c r="F15" s="344"/>
      <c r="G15" s="344"/>
      <c r="H15" s="344"/>
      <c r="I15" s="344"/>
      <c r="J15" s="344"/>
      <c r="K15" s="344"/>
    </row>
    <row r="16" spans="3:11" ht="12.75" customHeight="1">
      <c r="C16" s="342" t="s">
        <v>188</v>
      </c>
      <c r="D16" s="344"/>
      <c r="E16" s="344"/>
      <c r="F16" s="344"/>
      <c r="G16" s="344"/>
      <c r="H16" s="344"/>
      <c r="I16" s="344"/>
      <c r="J16" s="344"/>
      <c r="K16" s="344"/>
    </row>
    <row r="17" spans="3:11" ht="12.75" customHeight="1">
      <c r="C17" s="342" t="s">
        <v>25</v>
      </c>
      <c r="D17" s="344"/>
      <c r="E17" s="344"/>
      <c r="F17" s="344"/>
      <c r="G17" s="344"/>
      <c r="H17" s="344"/>
      <c r="I17" s="344"/>
      <c r="J17" s="344"/>
      <c r="K17" s="344"/>
    </row>
    <row r="18" spans="3:11" ht="12.75" customHeight="1">
      <c r="C18" s="342" t="s">
        <v>189</v>
      </c>
      <c r="D18" s="344"/>
      <c r="E18" s="344"/>
      <c r="F18" s="344"/>
      <c r="G18" s="344"/>
      <c r="H18" s="344"/>
      <c r="I18" s="344"/>
      <c r="J18" s="344"/>
      <c r="K18" s="344"/>
    </row>
    <row r="19" spans="3:11" ht="12.75" customHeight="1">
      <c r="C19" s="342" t="s">
        <v>192</v>
      </c>
      <c r="D19" s="342"/>
      <c r="E19" s="342"/>
      <c r="F19" s="342"/>
      <c r="G19" s="342"/>
      <c r="H19" s="342"/>
      <c r="I19" s="342"/>
      <c r="J19" s="342"/>
      <c r="K19" s="342"/>
    </row>
    <row r="20" spans="3:11" ht="12.75" customHeight="1"/>
    <row r="21" spans="3:11" ht="12.75" customHeight="1"/>
    <row r="22" spans="3:11" ht="12.75" customHeight="1"/>
    <row r="23" spans="3:11" ht="12.75" customHeight="1"/>
    <row r="24" spans="3:11" ht="12.75" customHeight="1"/>
    <row r="25" spans="3:11" ht="12.75" customHeight="1"/>
    <row r="26" spans="3:11" ht="12.75" customHeight="1"/>
    <row r="27" spans="3:11" ht="12.75" customHeight="1"/>
    <row r="28" spans="3:11" ht="12.75" customHeight="1"/>
    <row r="29" spans="3:11" ht="12.75" customHeight="1"/>
    <row r="30" spans="3:11" ht="12.75" customHeight="1"/>
    <row r="31" spans="3:11" ht="12.75" customHeight="1"/>
    <row r="32" spans="3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D6:K6"/>
    <mergeCell ref="D13:K1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8"/>
  <sheetViews>
    <sheetView zoomScale="195" zoomScaleNormal="195" workbookViewId="0"/>
  </sheetViews>
  <sheetFormatPr baseColWidth="10" defaultColWidth="12.6640625" defaultRowHeight="15" customHeight="1"/>
  <cols>
    <col min="1" max="1" width="18.6640625" customWidth="1"/>
    <col min="2" max="2" width="10.6640625" customWidth="1"/>
    <col min="3" max="3" width="21.83203125" customWidth="1"/>
    <col min="4" max="9" width="10.6640625" customWidth="1"/>
    <col min="10" max="10" width="19.83203125" customWidth="1"/>
    <col min="11" max="11" width="16.6640625" customWidth="1"/>
    <col min="12" max="19" width="10.6640625" customWidth="1"/>
    <col min="20" max="25" width="10.6640625" hidden="1" customWidth="1"/>
    <col min="26" max="26" width="10.6640625" customWidth="1"/>
  </cols>
  <sheetData>
    <row r="1" spans="1:26" ht="12.75" customHeight="1">
      <c r="A1" s="1"/>
      <c r="B1" s="345" t="s">
        <v>0</v>
      </c>
      <c r="J1" s="7"/>
      <c r="K1" s="429"/>
      <c r="N1" s="614"/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8"/>
    </row>
    <row r="2" spans="1:26" ht="12.75" customHeight="1">
      <c r="A2" s="9"/>
      <c r="B2" s="12" t="s">
        <v>2</v>
      </c>
      <c r="C2" s="606" t="s">
        <v>3</v>
      </c>
      <c r="D2" s="607"/>
      <c r="E2" s="608"/>
      <c r="F2" s="12" t="s">
        <v>220</v>
      </c>
      <c r="G2" s="12" t="s">
        <v>5</v>
      </c>
      <c r="H2" s="12" t="s">
        <v>5</v>
      </c>
      <c r="I2" s="615" t="s">
        <v>7</v>
      </c>
      <c r="J2" s="616"/>
      <c r="K2" s="616"/>
      <c r="L2" s="616"/>
      <c r="M2" s="617"/>
      <c r="N2" s="606" t="s">
        <v>10</v>
      </c>
      <c r="O2" s="607"/>
      <c r="P2" s="608"/>
      <c r="Q2" s="606" t="s">
        <v>11</v>
      </c>
      <c r="R2" s="607"/>
      <c r="S2" s="608"/>
      <c r="T2" s="606" t="s">
        <v>12</v>
      </c>
      <c r="U2" s="607"/>
      <c r="V2" s="608"/>
      <c r="W2" s="606" t="s">
        <v>13</v>
      </c>
      <c r="X2" s="607"/>
      <c r="Y2" s="608"/>
      <c r="Z2" s="12" t="s">
        <v>16</v>
      </c>
    </row>
    <row r="3" spans="1:26" ht="12.75" customHeight="1">
      <c r="A3" s="9"/>
      <c r="B3" s="20" t="s">
        <v>18</v>
      </c>
      <c r="C3" s="22" t="s">
        <v>19</v>
      </c>
      <c r="D3" s="22" t="s">
        <v>168</v>
      </c>
      <c r="E3" s="22" t="s">
        <v>169</v>
      </c>
      <c r="F3" s="20" t="s">
        <v>221</v>
      </c>
      <c r="G3" s="20" t="s">
        <v>26</v>
      </c>
      <c r="H3" s="357" t="s">
        <v>222</v>
      </c>
      <c r="I3" s="22" t="s">
        <v>29</v>
      </c>
      <c r="J3" s="430" t="s">
        <v>30</v>
      </c>
      <c r="K3" s="431" t="s">
        <v>31</v>
      </c>
      <c r="L3" s="12" t="s">
        <v>33</v>
      </c>
      <c r="M3" s="12" t="s">
        <v>34</v>
      </c>
      <c r="N3" s="12" t="s">
        <v>5</v>
      </c>
      <c r="O3" s="22" t="s">
        <v>35</v>
      </c>
      <c r="P3" s="22" t="s">
        <v>36</v>
      </c>
      <c r="Q3" s="22" t="s">
        <v>5</v>
      </c>
      <c r="R3" s="22" t="s">
        <v>35</v>
      </c>
      <c r="S3" s="22" t="s">
        <v>36</v>
      </c>
      <c r="T3" s="22" t="s">
        <v>5</v>
      </c>
      <c r="U3" s="22" t="s">
        <v>35</v>
      </c>
      <c r="V3" s="22" t="s">
        <v>36</v>
      </c>
      <c r="W3" s="22" t="s">
        <v>5</v>
      </c>
      <c r="X3" s="13" t="s">
        <v>35</v>
      </c>
      <c r="Y3" s="22" t="s">
        <v>36</v>
      </c>
      <c r="Z3" s="20" t="s">
        <v>170</v>
      </c>
    </row>
    <row r="4" spans="1:26" ht="12.75" customHeight="1">
      <c r="A4" s="9"/>
      <c r="B4" s="357">
        <v>1</v>
      </c>
      <c r="C4" s="432" t="s">
        <v>223</v>
      </c>
      <c r="D4" s="9" t="s">
        <v>224</v>
      </c>
      <c r="E4" s="9"/>
      <c r="F4" s="433">
        <v>1</v>
      </c>
      <c r="G4" s="434"/>
      <c r="H4" s="435">
        <v>46091</v>
      </c>
      <c r="I4" s="436">
        <f t="shared" ref="I4:I17" si="0">IF(F4=1,(500000))+IF(F4=0.5,(350000))</f>
        <v>500000</v>
      </c>
      <c r="J4" s="23">
        <v>0.2</v>
      </c>
      <c r="K4" s="354">
        <f t="shared" ref="K4:K26" si="1">I4*J4</f>
        <v>100000</v>
      </c>
      <c r="L4" s="437">
        <f t="shared" ref="L4:L15" si="2">I4-K4</f>
        <v>400000</v>
      </c>
      <c r="M4" s="438">
        <f t="shared" ref="M4:M58" si="3">L4/1.19</f>
        <v>336134.45378151262</v>
      </c>
      <c r="N4" s="439"/>
      <c r="O4" s="9"/>
      <c r="P4" s="9"/>
      <c r="Q4" s="362"/>
      <c r="R4" s="9"/>
      <c r="S4" s="9"/>
      <c r="T4" s="9"/>
      <c r="U4" s="9"/>
      <c r="V4" s="9"/>
      <c r="W4" s="9"/>
      <c r="X4" s="9"/>
      <c r="Y4" s="9"/>
      <c r="Z4" s="440"/>
    </row>
    <row r="5" spans="1:26" ht="12.75" customHeight="1">
      <c r="A5" s="5"/>
      <c r="B5" s="441">
        <v>2</v>
      </c>
      <c r="C5" s="442" t="s">
        <v>225</v>
      </c>
      <c r="D5" s="443"/>
      <c r="E5" s="443"/>
      <c r="F5" s="442">
        <v>1</v>
      </c>
      <c r="G5" s="444">
        <v>45889</v>
      </c>
      <c r="H5" s="445">
        <v>46019</v>
      </c>
      <c r="I5" s="436">
        <f t="shared" si="0"/>
        <v>500000</v>
      </c>
      <c r="J5" s="446">
        <v>0.2</v>
      </c>
      <c r="K5" s="447">
        <f t="shared" si="1"/>
        <v>100000</v>
      </c>
      <c r="L5" s="343">
        <f t="shared" si="2"/>
        <v>400000</v>
      </c>
      <c r="M5" s="351">
        <f t="shared" si="3"/>
        <v>336134.45378151262</v>
      </c>
      <c r="N5" s="443"/>
      <c r="O5" s="443"/>
      <c r="P5" s="443"/>
      <c r="Q5" s="443"/>
      <c r="R5" s="443"/>
      <c r="S5" s="443"/>
      <c r="T5" s="443"/>
      <c r="U5" s="443"/>
      <c r="V5" s="443"/>
      <c r="W5" s="443"/>
      <c r="X5" s="443"/>
      <c r="Y5" s="443"/>
      <c r="Z5" s="448"/>
    </row>
    <row r="6" spans="1:26" ht="12.75" customHeight="1">
      <c r="A6" s="87" t="s">
        <v>226</v>
      </c>
      <c r="B6" s="449">
        <v>3</v>
      </c>
      <c r="C6" s="418" t="s">
        <v>225</v>
      </c>
      <c r="D6" s="389"/>
      <c r="E6" s="389"/>
      <c r="F6" s="418">
        <v>1</v>
      </c>
      <c r="G6" s="450">
        <v>45889</v>
      </c>
      <c r="H6" s="451">
        <v>46020</v>
      </c>
      <c r="I6" s="185">
        <f t="shared" si="0"/>
        <v>500000</v>
      </c>
      <c r="J6" s="452">
        <v>0.2</v>
      </c>
      <c r="K6" s="354">
        <f t="shared" si="1"/>
        <v>100000</v>
      </c>
      <c r="L6" s="437">
        <f t="shared" si="2"/>
        <v>400000</v>
      </c>
      <c r="M6" s="438">
        <f t="shared" si="3"/>
        <v>336134.45378151262</v>
      </c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453"/>
    </row>
    <row r="7" spans="1:26" ht="12.75" customHeight="1">
      <c r="A7" s="89">
        <f>COUNT(B4:B87)</f>
        <v>55</v>
      </c>
      <c r="B7" s="454">
        <v>4</v>
      </c>
      <c r="C7" s="332" t="s">
        <v>225</v>
      </c>
      <c r="F7" s="332">
        <v>1</v>
      </c>
      <c r="G7" s="455">
        <v>45889</v>
      </c>
      <c r="H7" s="456">
        <v>46020</v>
      </c>
      <c r="I7" s="436">
        <f t="shared" si="0"/>
        <v>500000</v>
      </c>
      <c r="J7" s="457">
        <v>0.2</v>
      </c>
      <c r="K7" s="425">
        <f t="shared" si="1"/>
        <v>100000</v>
      </c>
      <c r="L7" s="458">
        <f t="shared" si="2"/>
        <v>400000</v>
      </c>
      <c r="M7" s="459">
        <f t="shared" si="3"/>
        <v>336134.45378151262</v>
      </c>
      <c r="Z7" s="460"/>
    </row>
    <row r="8" spans="1:26" ht="12.75" customHeight="1">
      <c r="B8" s="461">
        <v>5</v>
      </c>
      <c r="C8" s="421" t="s">
        <v>225</v>
      </c>
      <c r="D8" s="394"/>
      <c r="E8" s="394"/>
      <c r="F8" s="421">
        <v>1</v>
      </c>
      <c r="G8" s="462">
        <v>45889</v>
      </c>
      <c r="H8" s="463">
        <v>46020</v>
      </c>
      <c r="I8" s="224">
        <f t="shared" si="0"/>
        <v>500000</v>
      </c>
      <c r="J8" s="464">
        <v>0.2</v>
      </c>
      <c r="K8" s="465">
        <f t="shared" si="1"/>
        <v>100000</v>
      </c>
      <c r="L8" s="466">
        <f t="shared" si="2"/>
        <v>400000</v>
      </c>
      <c r="M8" s="467">
        <f t="shared" si="3"/>
        <v>336134.45378151262</v>
      </c>
      <c r="N8" s="394"/>
      <c r="O8" s="394"/>
      <c r="P8" s="394"/>
      <c r="Q8" s="394"/>
      <c r="R8" s="394"/>
      <c r="S8" s="394"/>
      <c r="T8" s="394"/>
      <c r="U8" s="394"/>
      <c r="V8" s="394"/>
      <c r="W8" s="394"/>
      <c r="X8" s="394"/>
      <c r="Y8" s="394"/>
      <c r="Z8" s="468"/>
    </row>
    <row r="9" spans="1:26" ht="12.75" customHeight="1">
      <c r="B9" s="449">
        <v>6</v>
      </c>
      <c r="C9" s="418" t="s">
        <v>225</v>
      </c>
      <c r="D9" s="389"/>
      <c r="E9" s="389"/>
      <c r="F9" s="418">
        <v>1</v>
      </c>
      <c r="G9" s="450">
        <v>45890</v>
      </c>
      <c r="H9" s="469">
        <v>46021</v>
      </c>
      <c r="I9" s="185">
        <f t="shared" si="0"/>
        <v>500000</v>
      </c>
      <c r="J9" s="452">
        <v>0.2</v>
      </c>
      <c r="K9" s="470">
        <f t="shared" si="1"/>
        <v>100000</v>
      </c>
      <c r="L9" s="437">
        <f t="shared" si="2"/>
        <v>400000</v>
      </c>
      <c r="M9" s="438">
        <f t="shared" si="3"/>
        <v>336134.45378151262</v>
      </c>
      <c r="N9" s="389"/>
      <c r="O9" s="389"/>
      <c r="P9" s="389"/>
      <c r="Q9" s="389"/>
      <c r="R9" s="389"/>
      <c r="S9" s="389"/>
      <c r="T9" s="389"/>
      <c r="U9" s="389"/>
      <c r="V9" s="389"/>
      <c r="W9" s="389"/>
      <c r="X9" s="389"/>
      <c r="Y9" s="389"/>
      <c r="Z9" s="453"/>
    </row>
    <row r="10" spans="1:26" ht="12.75" customHeight="1">
      <c r="A10" s="471" t="s">
        <v>65</v>
      </c>
      <c r="B10" s="454">
        <v>7</v>
      </c>
      <c r="C10" s="332" t="s">
        <v>225</v>
      </c>
      <c r="F10" s="332">
        <v>1</v>
      </c>
      <c r="G10" s="455">
        <v>45891</v>
      </c>
      <c r="H10" s="456">
        <v>46021</v>
      </c>
      <c r="I10" s="436">
        <f t="shared" si="0"/>
        <v>500000</v>
      </c>
      <c r="J10" s="457">
        <v>0.2</v>
      </c>
      <c r="K10" s="429">
        <f t="shared" si="1"/>
        <v>100000</v>
      </c>
      <c r="L10" s="458">
        <f t="shared" si="2"/>
        <v>400000</v>
      </c>
      <c r="M10" s="459">
        <f t="shared" si="3"/>
        <v>336134.45378151262</v>
      </c>
      <c r="Z10" s="460"/>
    </row>
    <row r="11" spans="1:26" ht="12.75" customHeight="1">
      <c r="A11" s="472">
        <f>SUM(L4:L77)</f>
        <v>22090000</v>
      </c>
      <c r="B11" s="461">
        <v>8</v>
      </c>
      <c r="C11" s="421" t="s">
        <v>225</v>
      </c>
      <c r="D11" s="394"/>
      <c r="E11" s="394"/>
      <c r="F11" s="421">
        <v>1</v>
      </c>
      <c r="G11" s="462">
        <v>45892</v>
      </c>
      <c r="H11" s="463">
        <v>46021</v>
      </c>
      <c r="I11" s="224">
        <f t="shared" si="0"/>
        <v>500000</v>
      </c>
      <c r="J11" s="464">
        <v>0.2</v>
      </c>
      <c r="K11" s="465">
        <f t="shared" si="1"/>
        <v>100000</v>
      </c>
      <c r="L11" s="466">
        <f t="shared" si="2"/>
        <v>400000</v>
      </c>
      <c r="M11" s="467">
        <f t="shared" si="3"/>
        <v>336134.45378151262</v>
      </c>
      <c r="N11" s="394"/>
      <c r="O11" s="394"/>
      <c r="P11" s="394"/>
      <c r="Q11" s="394"/>
      <c r="R11" s="394"/>
      <c r="S11" s="394"/>
      <c r="T11" s="394"/>
      <c r="U11" s="394"/>
      <c r="V11" s="394"/>
      <c r="W11" s="394"/>
      <c r="X11" s="394"/>
      <c r="Y11" s="394"/>
      <c r="Z11" s="468"/>
    </row>
    <row r="12" spans="1:26" ht="12.75" customHeight="1">
      <c r="A12" s="29"/>
      <c r="B12" s="449">
        <v>9</v>
      </c>
      <c r="C12" s="418" t="s">
        <v>225</v>
      </c>
      <c r="D12" s="389"/>
      <c r="E12" s="389"/>
      <c r="F12" s="418">
        <v>1</v>
      </c>
      <c r="G12" s="450">
        <v>45893</v>
      </c>
      <c r="H12" s="451">
        <v>46022</v>
      </c>
      <c r="I12" s="185">
        <f t="shared" si="0"/>
        <v>500000</v>
      </c>
      <c r="J12" s="452">
        <v>0.2</v>
      </c>
      <c r="K12" s="470">
        <f t="shared" si="1"/>
        <v>100000</v>
      </c>
      <c r="L12" s="437">
        <f t="shared" si="2"/>
        <v>400000</v>
      </c>
      <c r="M12" s="438">
        <f t="shared" si="3"/>
        <v>336134.45378151262</v>
      </c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453"/>
    </row>
    <row r="13" spans="1:26" ht="12.75" customHeight="1">
      <c r="A13" s="29"/>
      <c r="B13" s="454">
        <v>10</v>
      </c>
      <c r="C13" s="332" t="s">
        <v>225</v>
      </c>
      <c r="F13" s="332">
        <v>1</v>
      </c>
      <c r="G13" s="455">
        <v>45894</v>
      </c>
      <c r="H13" s="456">
        <v>46022</v>
      </c>
      <c r="I13" s="436">
        <f t="shared" si="0"/>
        <v>500000</v>
      </c>
      <c r="J13" s="457">
        <v>0.2</v>
      </c>
      <c r="K13" s="425">
        <f t="shared" si="1"/>
        <v>100000</v>
      </c>
      <c r="L13" s="458">
        <f t="shared" si="2"/>
        <v>400000</v>
      </c>
      <c r="M13" s="459">
        <f t="shared" si="3"/>
        <v>336134.45378151262</v>
      </c>
      <c r="Z13" s="460"/>
    </row>
    <row r="14" spans="1:26" ht="12.75" customHeight="1">
      <c r="A14" s="169" t="s">
        <v>72</v>
      </c>
      <c r="B14" s="454">
        <v>11</v>
      </c>
      <c r="C14" s="332" t="s">
        <v>225</v>
      </c>
      <c r="F14" s="332">
        <v>1</v>
      </c>
      <c r="G14" s="455">
        <v>45895</v>
      </c>
      <c r="H14" s="456">
        <v>46022</v>
      </c>
      <c r="I14" s="436">
        <f t="shared" si="0"/>
        <v>500000</v>
      </c>
      <c r="J14" s="464">
        <v>0.2</v>
      </c>
      <c r="K14" s="425">
        <f t="shared" si="1"/>
        <v>100000</v>
      </c>
      <c r="L14" s="458">
        <f t="shared" si="2"/>
        <v>400000</v>
      </c>
      <c r="M14" s="459">
        <f t="shared" si="3"/>
        <v>336134.45378151262</v>
      </c>
      <c r="Z14" s="460"/>
    </row>
    <row r="15" spans="1:26" ht="12.75" customHeight="1">
      <c r="A15" s="473">
        <f>SUM(M4:M77)</f>
        <v>18563025.21008404</v>
      </c>
      <c r="B15" s="449">
        <v>12</v>
      </c>
      <c r="C15" s="418" t="s">
        <v>227</v>
      </c>
      <c r="D15" s="389"/>
      <c r="E15" s="389"/>
      <c r="F15" s="418">
        <v>1</v>
      </c>
      <c r="G15" s="474">
        <v>45926</v>
      </c>
      <c r="H15" s="475">
        <v>46051</v>
      </c>
      <c r="I15" s="185">
        <f t="shared" si="0"/>
        <v>500000</v>
      </c>
      <c r="J15" s="452"/>
      <c r="K15" s="470">
        <f t="shared" si="1"/>
        <v>0</v>
      </c>
      <c r="L15" s="437">
        <f t="shared" si="2"/>
        <v>500000</v>
      </c>
      <c r="M15" s="438">
        <f t="shared" si="3"/>
        <v>420168.06722689077</v>
      </c>
      <c r="N15" s="389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453"/>
    </row>
    <row r="16" spans="1:26" ht="12.75" customHeight="1">
      <c r="A16" s="5"/>
      <c r="B16" s="454">
        <v>13</v>
      </c>
      <c r="C16" s="11" t="s">
        <v>227</v>
      </c>
      <c r="F16" s="11">
        <v>1</v>
      </c>
      <c r="G16" s="476">
        <v>45926</v>
      </c>
      <c r="H16" s="477">
        <v>46051</v>
      </c>
      <c r="I16" s="436">
        <f t="shared" si="0"/>
        <v>500000</v>
      </c>
      <c r="J16" s="478"/>
      <c r="K16" s="429">
        <f t="shared" si="1"/>
        <v>0</v>
      </c>
      <c r="L16" s="458">
        <f>I5-K16</f>
        <v>500000</v>
      </c>
      <c r="M16" s="459">
        <f t="shared" si="3"/>
        <v>420168.06722689077</v>
      </c>
      <c r="Z16" s="460"/>
    </row>
    <row r="17" spans="1:26" ht="12.75" customHeight="1">
      <c r="A17" s="5"/>
      <c r="B17" s="461">
        <v>14</v>
      </c>
      <c r="C17" s="421" t="s">
        <v>227</v>
      </c>
      <c r="D17" s="394"/>
      <c r="E17" s="394"/>
      <c r="F17" s="421">
        <v>1</v>
      </c>
      <c r="G17" s="479">
        <v>45926</v>
      </c>
      <c r="H17" s="480">
        <v>46051</v>
      </c>
      <c r="I17" s="224">
        <f t="shared" si="0"/>
        <v>500000</v>
      </c>
      <c r="J17" s="481"/>
      <c r="K17" s="429">
        <f t="shared" si="1"/>
        <v>0</v>
      </c>
      <c r="L17" s="466">
        <f t="shared" ref="L17:L58" si="4">I17-K17</f>
        <v>500000</v>
      </c>
      <c r="M17" s="467">
        <f t="shared" si="3"/>
        <v>420168.06722689077</v>
      </c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Z17" s="468"/>
    </row>
    <row r="18" spans="1:26" ht="12.75" customHeight="1">
      <c r="A18" s="5"/>
      <c r="B18" s="449">
        <v>15</v>
      </c>
      <c r="C18" s="418" t="s">
        <v>228</v>
      </c>
      <c r="D18" s="389"/>
      <c r="E18" s="389"/>
      <c r="F18" s="418">
        <v>1</v>
      </c>
      <c r="G18" s="450">
        <v>45960</v>
      </c>
      <c r="H18" s="475">
        <v>45995</v>
      </c>
      <c r="I18" s="185">
        <v>350000</v>
      </c>
      <c r="J18" s="482"/>
      <c r="K18" s="483">
        <f t="shared" si="1"/>
        <v>0</v>
      </c>
      <c r="L18" s="356">
        <f t="shared" si="4"/>
        <v>350000</v>
      </c>
      <c r="M18" s="438">
        <f t="shared" si="3"/>
        <v>294117.64705882355</v>
      </c>
      <c r="N18" s="389"/>
      <c r="O18" s="389"/>
      <c r="P18" s="389"/>
      <c r="Q18" s="389"/>
      <c r="R18" s="389"/>
      <c r="S18" s="389"/>
      <c r="T18" s="389"/>
      <c r="U18" s="389"/>
      <c r="V18" s="389"/>
      <c r="W18" s="389"/>
      <c r="X18" s="389"/>
      <c r="Y18" s="389"/>
      <c r="Z18" s="453"/>
    </row>
    <row r="19" spans="1:26" ht="12.75" customHeight="1">
      <c r="A19" s="5"/>
      <c r="B19" s="461">
        <v>16</v>
      </c>
      <c r="C19" s="421" t="s">
        <v>228</v>
      </c>
      <c r="D19" s="394"/>
      <c r="E19" s="394"/>
      <c r="F19" s="421">
        <v>1</v>
      </c>
      <c r="G19" s="462">
        <v>45960</v>
      </c>
      <c r="H19" s="480">
        <v>45995</v>
      </c>
      <c r="I19" s="224">
        <v>350000</v>
      </c>
      <c r="J19" s="484"/>
      <c r="K19" s="485">
        <f t="shared" si="1"/>
        <v>0</v>
      </c>
      <c r="L19" s="403">
        <f t="shared" si="4"/>
        <v>350000</v>
      </c>
      <c r="M19" s="467">
        <f t="shared" si="3"/>
        <v>294117.64705882355</v>
      </c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468"/>
    </row>
    <row r="20" spans="1:26" ht="12.75" customHeight="1">
      <c r="A20" s="5"/>
      <c r="B20" s="441">
        <v>17</v>
      </c>
      <c r="C20" s="442" t="s">
        <v>225</v>
      </c>
      <c r="D20" s="443"/>
      <c r="E20" s="443"/>
      <c r="F20" s="442">
        <v>1</v>
      </c>
      <c r="G20" s="444"/>
      <c r="H20" s="486">
        <v>46011</v>
      </c>
      <c r="I20" s="39">
        <v>500000</v>
      </c>
      <c r="J20" s="487">
        <v>0.2</v>
      </c>
      <c r="K20" s="488">
        <f t="shared" si="1"/>
        <v>100000</v>
      </c>
      <c r="L20" s="489">
        <f t="shared" si="4"/>
        <v>400000</v>
      </c>
      <c r="M20" s="351">
        <f t="shared" si="3"/>
        <v>336134.45378151262</v>
      </c>
      <c r="N20" s="443"/>
      <c r="O20" s="443"/>
      <c r="P20" s="443"/>
      <c r="Q20" s="443"/>
      <c r="R20" s="443"/>
      <c r="S20" s="443"/>
      <c r="T20" s="443"/>
      <c r="U20" s="443"/>
      <c r="V20" s="443"/>
      <c r="W20" s="443"/>
      <c r="X20" s="443"/>
      <c r="Y20" s="443"/>
      <c r="Z20" s="448"/>
    </row>
    <row r="21" spans="1:26" ht="12.75" customHeight="1">
      <c r="A21" s="5"/>
      <c r="B21" s="449">
        <v>18</v>
      </c>
      <c r="C21" s="418" t="s">
        <v>229</v>
      </c>
      <c r="D21" s="389"/>
      <c r="E21" s="389"/>
      <c r="F21" s="418">
        <v>1</v>
      </c>
      <c r="G21" s="450"/>
      <c r="H21" s="475">
        <v>46030</v>
      </c>
      <c r="I21" s="185">
        <v>500000</v>
      </c>
      <c r="J21" s="482"/>
      <c r="K21" s="490">
        <f t="shared" si="1"/>
        <v>0</v>
      </c>
      <c r="L21" s="356">
        <f t="shared" si="4"/>
        <v>500000</v>
      </c>
      <c r="M21" s="438">
        <f t="shared" si="3"/>
        <v>420168.06722689077</v>
      </c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453"/>
    </row>
    <row r="22" spans="1:26" ht="12.75" customHeight="1">
      <c r="A22" s="5"/>
      <c r="B22" s="461">
        <v>19</v>
      </c>
      <c r="C22" s="421" t="s">
        <v>229</v>
      </c>
      <c r="D22" s="394"/>
      <c r="E22" s="394"/>
      <c r="F22" s="421">
        <v>1</v>
      </c>
      <c r="G22" s="462"/>
      <c r="H22" s="480">
        <v>46030</v>
      </c>
      <c r="I22" s="224">
        <v>500000</v>
      </c>
      <c r="J22" s="484"/>
      <c r="K22" s="491">
        <f t="shared" si="1"/>
        <v>0</v>
      </c>
      <c r="L22" s="364">
        <f t="shared" si="4"/>
        <v>500000</v>
      </c>
      <c r="M22" s="459">
        <f t="shared" si="3"/>
        <v>420168.06722689077</v>
      </c>
      <c r="N22" s="394"/>
      <c r="O22" s="394"/>
      <c r="P22" s="394"/>
      <c r="Q22" s="394"/>
      <c r="R22" s="394"/>
      <c r="S22" s="394"/>
      <c r="T22" s="394"/>
      <c r="U22" s="394"/>
      <c r="V22" s="394"/>
      <c r="W22" s="394"/>
      <c r="X22" s="394"/>
      <c r="Y22" s="394"/>
      <c r="Z22" s="468"/>
    </row>
    <row r="23" spans="1:26" ht="12.75" customHeight="1">
      <c r="A23" s="5"/>
      <c r="B23" s="449">
        <v>20</v>
      </c>
      <c r="C23" s="418" t="s">
        <v>230</v>
      </c>
      <c r="D23" s="389"/>
      <c r="E23" s="389"/>
      <c r="F23" s="418">
        <v>1</v>
      </c>
      <c r="G23" s="450">
        <v>46009</v>
      </c>
      <c r="H23" s="475">
        <v>46010</v>
      </c>
      <c r="I23" s="185">
        <v>500000</v>
      </c>
      <c r="J23" s="482">
        <v>0.2</v>
      </c>
      <c r="K23" s="492">
        <f t="shared" si="1"/>
        <v>100000</v>
      </c>
      <c r="L23" s="437">
        <f t="shared" si="4"/>
        <v>400000</v>
      </c>
      <c r="M23" s="438">
        <f t="shared" si="3"/>
        <v>336134.45378151262</v>
      </c>
    </row>
    <row r="24" spans="1:26" ht="12.75" customHeight="1">
      <c r="A24" s="5"/>
      <c r="B24" s="454">
        <v>21</v>
      </c>
      <c r="C24" s="332" t="s">
        <v>230</v>
      </c>
      <c r="D24" s="394"/>
      <c r="E24" s="394"/>
      <c r="F24" s="421">
        <v>1</v>
      </c>
      <c r="G24" s="462">
        <v>46009</v>
      </c>
      <c r="H24" s="493">
        <v>46010</v>
      </c>
      <c r="I24" s="436">
        <v>500000</v>
      </c>
      <c r="J24" s="494">
        <v>0.2</v>
      </c>
      <c r="K24" s="495">
        <f t="shared" si="1"/>
        <v>100000</v>
      </c>
      <c r="L24" s="466">
        <f t="shared" si="4"/>
        <v>400000</v>
      </c>
      <c r="M24" s="467">
        <f t="shared" si="3"/>
        <v>336134.45378151262</v>
      </c>
    </row>
    <row r="25" spans="1:26" ht="12.75" customHeight="1">
      <c r="A25" s="5"/>
      <c r="B25" s="449">
        <v>22</v>
      </c>
      <c r="C25" s="389" t="s">
        <v>231</v>
      </c>
      <c r="D25" s="389"/>
      <c r="E25" s="389"/>
      <c r="F25" s="453"/>
      <c r="G25" s="15"/>
      <c r="H25" s="496">
        <v>46050</v>
      </c>
      <c r="I25" s="185">
        <v>500000</v>
      </c>
      <c r="J25" s="482"/>
      <c r="K25" s="490">
        <f t="shared" si="1"/>
        <v>0</v>
      </c>
      <c r="L25" s="458">
        <f t="shared" si="4"/>
        <v>500000</v>
      </c>
      <c r="M25" s="497">
        <f t="shared" si="3"/>
        <v>420168.06722689077</v>
      </c>
    </row>
    <row r="26" spans="1:26" ht="12.75" customHeight="1">
      <c r="A26" s="5"/>
      <c r="B26" s="461">
        <v>23</v>
      </c>
      <c r="C26" s="11" t="s">
        <v>231</v>
      </c>
      <c r="D26" s="394"/>
      <c r="E26" s="394"/>
      <c r="F26" s="468"/>
      <c r="G26" s="27"/>
      <c r="H26" s="498">
        <v>46050</v>
      </c>
      <c r="I26" s="224">
        <v>500000</v>
      </c>
      <c r="J26" s="484"/>
      <c r="K26" s="491">
        <f t="shared" si="1"/>
        <v>0</v>
      </c>
      <c r="L26" s="466">
        <f t="shared" si="4"/>
        <v>500000</v>
      </c>
      <c r="M26" s="499">
        <f t="shared" si="3"/>
        <v>420168.06722689077</v>
      </c>
    </row>
    <row r="27" spans="1:26" ht="12.75" customHeight="1">
      <c r="A27" s="5"/>
      <c r="B27" s="449">
        <v>24</v>
      </c>
      <c r="C27" s="389" t="s">
        <v>231</v>
      </c>
      <c r="D27" s="389"/>
      <c r="E27" s="389"/>
      <c r="F27" s="453"/>
      <c r="G27" s="500"/>
      <c r="H27" s="501">
        <v>46049</v>
      </c>
      <c r="I27" s="502">
        <v>350000</v>
      </c>
      <c r="J27" s="494"/>
      <c r="K27" s="503">
        <v>0</v>
      </c>
      <c r="L27" s="466">
        <f t="shared" si="4"/>
        <v>350000</v>
      </c>
      <c r="M27" s="499">
        <f t="shared" si="3"/>
        <v>294117.64705882355</v>
      </c>
    </row>
    <row r="28" spans="1:26" ht="12.75" customHeight="1">
      <c r="A28" s="5"/>
      <c r="B28" s="461">
        <v>25</v>
      </c>
      <c r="C28" s="11" t="s">
        <v>231</v>
      </c>
      <c r="D28" s="394"/>
      <c r="E28" s="394"/>
      <c r="F28" s="468"/>
      <c r="G28" s="500"/>
      <c r="H28" s="501">
        <v>46049</v>
      </c>
      <c r="I28" s="502">
        <v>350000</v>
      </c>
      <c r="J28" s="494"/>
      <c r="K28" s="503">
        <v>0</v>
      </c>
      <c r="L28" s="466">
        <f t="shared" si="4"/>
        <v>350000</v>
      </c>
      <c r="M28" s="499">
        <f t="shared" si="3"/>
        <v>294117.64705882355</v>
      </c>
    </row>
    <row r="29" spans="1:26" ht="12.75" customHeight="1">
      <c r="A29" s="5"/>
      <c r="B29" s="449">
        <v>26</v>
      </c>
      <c r="C29" s="418" t="s">
        <v>232</v>
      </c>
      <c r="D29" s="389"/>
      <c r="E29" s="389"/>
      <c r="F29" s="504">
        <v>1</v>
      </c>
      <c r="G29" s="450">
        <v>46007</v>
      </c>
      <c r="H29" s="475">
        <v>45707</v>
      </c>
      <c r="I29" s="185">
        <v>500000</v>
      </c>
      <c r="J29" s="482"/>
      <c r="K29" s="490">
        <f t="shared" ref="K29:K58" si="5">I29*J29</f>
        <v>0</v>
      </c>
      <c r="L29" s="355">
        <f t="shared" si="4"/>
        <v>500000</v>
      </c>
      <c r="M29" s="438">
        <f t="shared" si="3"/>
        <v>420168.06722689077</v>
      </c>
    </row>
    <row r="30" spans="1:26" ht="12.75" customHeight="1">
      <c r="A30" s="5"/>
      <c r="B30" s="454">
        <v>27</v>
      </c>
      <c r="C30" s="332" t="s">
        <v>232</v>
      </c>
      <c r="F30" s="505">
        <v>1</v>
      </c>
      <c r="G30" s="455">
        <v>46007</v>
      </c>
      <c r="H30" s="493">
        <v>45707</v>
      </c>
      <c r="I30" s="436">
        <v>500000</v>
      </c>
      <c r="J30" s="494"/>
      <c r="K30" s="503">
        <f t="shared" si="5"/>
        <v>0</v>
      </c>
      <c r="L30" s="331">
        <f t="shared" si="4"/>
        <v>500000</v>
      </c>
      <c r="M30" s="459">
        <f t="shared" si="3"/>
        <v>420168.06722689077</v>
      </c>
    </row>
    <row r="31" spans="1:26" ht="12.75" customHeight="1">
      <c r="A31" s="5"/>
      <c r="B31" s="461">
        <v>28</v>
      </c>
      <c r="C31" s="421" t="s">
        <v>232</v>
      </c>
      <c r="D31" s="394"/>
      <c r="E31" s="394"/>
      <c r="F31" s="506">
        <v>1</v>
      </c>
      <c r="G31" s="462">
        <v>46007</v>
      </c>
      <c r="H31" s="480">
        <v>45707</v>
      </c>
      <c r="I31" s="224">
        <v>500000</v>
      </c>
      <c r="J31" s="484"/>
      <c r="K31" s="491">
        <f t="shared" si="5"/>
        <v>0</v>
      </c>
      <c r="L31" s="402">
        <f t="shared" si="4"/>
        <v>500000</v>
      </c>
      <c r="M31" s="467">
        <f t="shared" si="3"/>
        <v>420168.06722689077</v>
      </c>
    </row>
    <row r="32" spans="1:26" ht="12.75" customHeight="1">
      <c r="A32" s="5"/>
      <c r="B32" s="441">
        <v>29</v>
      </c>
      <c r="C32" s="442" t="s">
        <v>233</v>
      </c>
      <c r="D32" s="443"/>
      <c r="E32" s="443"/>
      <c r="F32" s="507">
        <v>45689</v>
      </c>
      <c r="G32" s="444"/>
      <c r="H32" s="508">
        <v>46017</v>
      </c>
      <c r="I32" s="509">
        <v>350000</v>
      </c>
      <c r="J32" s="446"/>
      <c r="K32" s="488">
        <f t="shared" si="5"/>
        <v>0</v>
      </c>
      <c r="L32" s="343">
        <f t="shared" si="4"/>
        <v>350000</v>
      </c>
      <c r="M32" s="351">
        <f t="shared" si="3"/>
        <v>294117.64705882355</v>
      </c>
    </row>
    <row r="33" spans="1:13" ht="12.75" customHeight="1">
      <c r="A33" s="5"/>
      <c r="B33" s="449">
        <v>30</v>
      </c>
      <c r="C33" s="418" t="s">
        <v>234</v>
      </c>
      <c r="D33" s="389"/>
      <c r="E33" s="389"/>
      <c r="F33" s="510">
        <v>45689</v>
      </c>
      <c r="G33" s="450"/>
      <c r="H33" s="511">
        <v>46017</v>
      </c>
      <c r="I33" s="185">
        <v>350000</v>
      </c>
      <c r="J33" s="512"/>
      <c r="K33" s="425">
        <f t="shared" si="5"/>
        <v>0</v>
      </c>
      <c r="L33" s="437">
        <f t="shared" si="4"/>
        <v>350000</v>
      </c>
      <c r="M33" s="438">
        <f t="shared" si="3"/>
        <v>294117.64705882355</v>
      </c>
    </row>
    <row r="34" spans="1:13" ht="12.75" customHeight="1">
      <c r="A34" s="5"/>
      <c r="B34" s="461">
        <v>31</v>
      </c>
      <c r="C34" s="394" t="s">
        <v>234</v>
      </c>
      <c r="D34" s="394"/>
      <c r="E34" s="394"/>
      <c r="F34" s="513">
        <v>45689</v>
      </c>
      <c r="G34" s="514"/>
      <c r="H34" s="515">
        <v>46018</v>
      </c>
      <c r="I34" s="224">
        <v>350000</v>
      </c>
      <c r="J34" s="516"/>
      <c r="K34" s="425">
        <f t="shared" si="5"/>
        <v>0</v>
      </c>
      <c r="L34" s="466">
        <f t="shared" si="4"/>
        <v>350000</v>
      </c>
      <c r="M34" s="467">
        <f t="shared" si="3"/>
        <v>294117.64705882355</v>
      </c>
    </row>
    <row r="35" spans="1:13" ht="12.75" customHeight="1">
      <c r="A35" s="5"/>
      <c r="B35" s="441">
        <v>32</v>
      </c>
      <c r="C35" s="443" t="s">
        <v>235</v>
      </c>
      <c r="D35" s="443"/>
      <c r="E35" s="443"/>
      <c r="F35" s="448">
        <v>1</v>
      </c>
      <c r="G35" s="517"/>
      <c r="H35" s="518"/>
      <c r="I35" s="39">
        <v>350000</v>
      </c>
      <c r="J35" s="446"/>
      <c r="K35" s="519">
        <f t="shared" si="5"/>
        <v>0</v>
      </c>
      <c r="L35" s="343">
        <f t="shared" si="4"/>
        <v>350000</v>
      </c>
      <c r="M35" s="520">
        <f t="shared" si="3"/>
        <v>294117.64705882355</v>
      </c>
    </row>
    <row r="36" spans="1:13" ht="12.75" customHeight="1">
      <c r="A36" s="5"/>
      <c r="B36" s="441">
        <v>33</v>
      </c>
      <c r="C36" s="443" t="s">
        <v>236</v>
      </c>
      <c r="D36" s="443"/>
      <c r="E36" s="443"/>
      <c r="F36" s="521">
        <v>46054</v>
      </c>
      <c r="G36" s="517"/>
      <c r="H36" s="518">
        <v>46069</v>
      </c>
      <c r="I36" s="39">
        <v>350000</v>
      </c>
      <c r="J36" s="446"/>
      <c r="K36" s="519">
        <f t="shared" si="5"/>
        <v>0</v>
      </c>
      <c r="L36" s="343">
        <f t="shared" si="4"/>
        <v>350000</v>
      </c>
      <c r="M36" s="520">
        <f t="shared" si="3"/>
        <v>294117.64705882355</v>
      </c>
    </row>
    <row r="37" spans="1:13" ht="12.75" customHeight="1">
      <c r="B37" s="441">
        <v>34</v>
      </c>
      <c r="C37" s="443" t="s">
        <v>237</v>
      </c>
      <c r="D37" s="443"/>
      <c r="E37" s="443"/>
      <c r="F37" s="448">
        <v>1</v>
      </c>
      <c r="G37" s="517">
        <v>46027</v>
      </c>
      <c r="H37" s="518">
        <v>46052</v>
      </c>
      <c r="I37" s="39">
        <v>500000</v>
      </c>
      <c r="J37" s="446">
        <v>0.2</v>
      </c>
      <c r="K37" s="519">
        <f t="shared" si="5"/>
        <v>100000</v>
      </c>
      <c r="L37" s="343">
        <f t="shared" si="4"/>
        <v>400000</v>
      </c>
      <c r="M37" s="520">
        <f t="shared" si="3"/>
        <v>336134.45378151262</v>
      </c>
    </row>
    <row r="38" spans="1:13" ht="12.75" customHeight="1">
      <c r="B38" s="441">
        <v>35</v>
      </c>
      <c r="C38" s="443" t="s">
        <v>238</v>
      </c>
      <c r="D38" s="443"/>
      <c r="E38" s="443"/>
      <c r="F38" s="448">
        <v>1</v>
      </c>
      <c r="G38" s="517">
        <v>45673</v>
      </c>
      <c r="H38" s="518">
        <v>45675</v>
      </c>
      <c r="I38" s="39">
        <v>500000</v>
      </c>
      <c r="J38" s="446">
        <v>0.2</v>
      </c>
      <c r="K38" s="519">
        <f t="shared" si="5"/>
        <v>100000</v>
      </c>
      <c r="L38" s="343">
        <f t="shared" si="4"/>
        <v>400000</v>
      </c>
      <c r="M38" s="520">
        <f t="shared" si="3"/>
        <v>336134.45378151262</v>
      </c>
    </row>
    <row r="39" spans="1:13" ht="12.75" customHeight="1">
      <c r="B39" s="441">
        <v>36</v>
      </c>
      <c r="C39" s="443" t="s">
        <v>238</v>
      </c>
      <c r="D39" s="443"/>
      <c r="E39" s="443"/>
      <c r="F39" s="521">
        <v>46054</v>
      </c>
      <c r="G39" s="517">
        <v>46051</v>
      </c>
      <c r="H39" s="518">
        <v>46054</v>
      </c>
      <c r="I39" s="39">
        <v>350000</v>
      </c>
      <c r="J39" s="446">
        <v>0.2</v>
      </c>
      <c r="K39" s="470">
        <f t="shared" si="5"/>
        <v>70000</v>
      </c>
      <c r="L39" s="437">
        <f t="shared" si="4"/>
        <v>280000</v>
      </c>
      <c r="M39" s="522">
        <f t="shared" si="3"/>
        <v>235294.11764705883</v>
      </c>
    </row>
    <row r="40" spans="1:13" ht="12.75" customHeight="1">
      <c r="B40" s="449">
        <v>37</v>
      </c>
      <c r="C40" s="389" t="s">
        <v>239</v>
      </c>
      <c r="D40" s="389"/>
      <c r="E40" s="389"/>
      <c r="F40" s="453">
        <v>1</v>
      </c>
      <c r="G40" s="15"/>
      <c r="H40" s="523">
        <v>46086</v>
      </c>
      <c r="I40" s="185">
        <v>350000</v>
      </c>
      <c r="J40" s="524">
        <v>0</v>
      </c>
      <c r="K40" s="490">
        <f t="shared" si="5"/>
        <v>0</v>
      </c>
      <c r="L40" s="437">
        <f t="shared" si="4"/>
        <v>350000</v>
      </c>
      <c r="M40" s="438">
        <f t="shared" si="3"/>
        <v>294117.64705882355</v>
      </c>
    </row>
    <row r="41" spans="1:13" ht="12.75" customHeight="1">
      <c r="B41" s="449">
        <v>38</v>
      </c>
      <c r="C41" s="389" t="s">
        <v>240</v>
      </c>
      <c r="D41" s="389"/>
      <c r="E41" s="389"/>
      <c r="F41" s="525">
        <v>46054</v>
      </c>
      <c r="G41" s="15"/>
      <c r="H41" s="523">
        <v>46066</v>
      </c>
      <c r="I41" s="185">
        <v>350000</v>
      </c>
      <c r="J41" s="524">
        <v>0</v>
      </c>
      <c r="K41" s="490">
        <f t="shared" si="5"/>
        <v>0</v>
      </c>
      <c r="L41" s="526">
        <f t="shared" si="4"/>
        <v>350000</v>
      </c>
      <c r="M41" s="438">
        <f t="shared" si="3"/>
        <v>294117.64705882355</v>
      </c>
    </row>
    <row r="42" spans="1:13" ht="12.75" customHeight="1">
      <c r="B42" s="454">
        <v>39</v>
      </c>
      <c r="C42" s="11" t="s">
        <v>240</v>
      </c>
      <c r="F42" s="527">
        <v>46054</v>
      </c>
      <c r="G42" s="500"/>
      <c r="H42" s="528">
        <v>46066</v>
      </c>
      <c r="I42" s="436">
        <v>350000</v>
      </c>
      <c r="J42" s="7">
        <v>0</v>
      </c>
      <c r="K42" s="503">
        <f t="shared" si="5"/>
        <v>0</v>
      </c>
      <c r="L42" s="529">
        <f t="shared" si="4"/>
        <v>350000</v>
      </c>
      <c r="M42" s="459">
        <f t="shared" si="3"/>
        <v>294117.64705882355</v>
      </c>
    </row>
    <row r="43" spans="1:13" ht="12.75" customHeight="1">
      <c r="B43" s="461">
        <v>40</v>
      </c>
      <c r="C43" s="394" t="s">
        <v>240</v>
      </c>
      <c r="D43" s="394"/>
      <c r="E43" s="394"/>
      <c r="F43" s="513">
        <v>46054</v>
      </c>
      <c r="G43" s="27"/>
      <c r="H43" s="530">
        <v>46066</v>
      </c>
      <c r="I43" s="224">
        <v>350000</v>
      </c>
      <c r="J43" s="531">
        <v>0</v>
      </c>
      <c r="K43" s="491">
        <f t="shared" si="5"/>
        <v>0</v>
      </c>
      <c r="L43" s="532">
        <f t="shared" si="4"/>
        <v>350000</v>
      </c>
      <c r="M43" s="467">
        <f t="shared" si="3"/>
        <v>294117.64705882355</v>
      </c>
    </row>
    <row r="44" spans="1:13" ht="12.75" customHeight="1">
      <c r="B44" s="441">
        <v>41</v>
      </c>
      <c r="C44" s="443" t="s">
        <v>241</v>
      </c>
      <c r="D44" s="443"/>
      <c r="E44" s="443"/>
      <c r="F44" s="521">
        <v>46054</v>
      </c>
      <c r="G44" s="443"/>
      <c r="H44" s="523">
        <v>46061</v>
      </c>
      <c r="I44" s="185">
        <v>350000</v>
      </c>
      <c r="J44" s="533">
        <v>0</v>
      </c>
      <c r="K44" s="425">
        <f t="shared" si="5"/>
        <v>0</v>
      </c>
      <c r="L44" s="458">
        <f t="shared" si="4"/>
        <v>350000</v>
      </c>
      <c r="M44" s="497">
        <f t="shared" si="3"/>
        <v>294117.64705882355</v>
      </c>
    </row>
    <row r="45" spans="1:13" ht="12.75" customHeight="1">
      <c r="B45" s="449">
        <v>42</v>
      </c>
      <c r="C45" s="389" t="s">
        <v>242</v>
      </c>
      <c r="D45" s="389"/>
      <c r="E45" s="389"/>
      <c r="F45" s="389">
        <v>1</v>
      </c>
      <c r="G45" s="534">
        <v>46060</v>
      </c>
      <c r="H45" s="523">
        <v>46061</v>
      </c>
      <c r="I45" s="185">
        <v>500000</v>
      </c>
      <c r="J45" s="512">
        <v>0.2</v>
      </c>
      <c r="K45" s="490">
        <f t="shared" si="5"/>
        <v>100000</v>
      </c>
      <c r="L45" s="437">
        <f t="shared" si="4"/>
        <v>400000</v>
      </c>
      <c r="M45" s="522">
        <f t="shared" si="3"/>
        <v>336134.45378151262</v>
      </c>
    </row>
    <row r="46" spans="1:13" ht="12.75" customHeight="1">
      <c r="B46" s="461">
        <v>43</v>
      </c>
      <c r="C46" s="394" t="s">
        <v>242</v>
      </c>
      <c r="D46" s="394"/>
      <c r="E46" s="394"/>
      <c r="F46" s="394">
        <v>1</v>
      </c>
      <c r="G46" s="514">
        <v>46060</v>
      </c>
      <c r="H46" s="530">
        <v>46062</v>
      </c>
      <c r="I46" s="224">
        <v>500000</v>
      </c>
      <c r="J46" s="481">
        <v>0.2</v>
      </c>
      <c r="K46" s="491">
        <f t="shared" si="5"/>
        <v>100000</v>
      </c>
      <c r="L46" s="466">
        <f t="shared" si="4"/>
        <v>400000</v>
      </c>
      <c r="M46" s="499">
        <f t="shared" si="3"/>
        <v>336134.45378151262</v>
      </c>
    </row>
    <row r="47" spans="1:13" ht="12.75" customHeight="1">
      <c r="B47" s="441">
        <v>44</v>
      </c>
      <c r="C47" s="443" t="s">
        <v>238</v>
      </c>
      <c r="D47" s="443"/>
      <c r="E47" s="443"/>
      <c r="F47" s="535">
        <v>46054</v>
      </c>
      <c r="G47" s="536">
        <v>46065</v>
      </c>
      <c r="H47" s="537">
        <v>46067</v>
      </c>
      <c r="I47" s="39">
        <v>350000</v>
      </c>
      <c r="J47" s="446">
        <v>0.2</v>
      </c>
      <c r="K47" s="488">
        <f t="shared" si="5"/>
        <v>70000</v>
      </c>
      <c r="L47" s="489">
        <f t="shared" si="4"/>
        <v>280000</v>
      </c>
      <c r="M47" s="520">
        <f t="shared" si="3"/>
        <v>235294.11764705883</v>
      </c>
    </row>
    <row r="48" spans="1:13" ht="12.75" customHeight="1">
      <c r="B48" s="449">
        <v>45</v>
      </c>
      <c r="C48" s="389" t="s">
        <v>238</v>
      </c>
      <c r="D48" s="389"/>
      <c r="E48" s="389"/>
      <c r="F48" s="389">
        <v>1</v>
      </c>
      <c r="G48" s="538">
        <v>46065</v>
      </c>
      <c r="H48" s="523">
        <v>46069</v>
      </c>
      <c r="I48" s="185">
        <v>500000</v>
      </c>
      <c r="J48" s="512">
        <v>0.2</v>
      </c>
      <c r="K48" s="490">
        <f t="shared" si="5"/>
        <v>100000</v>
      </c>
      <c r="L48" s="356">
        <f t="shared" si="4"/>
        <v>400000</v>
      </c>
      <c r="M48" s="522">
        <f t="shared" si="3"/>
        <v>336134.45378151262</v>
      </c>
    </row>
    <row r="49" spans="2:13" ht="12.75" customHeight="1">
      <c r="B49" s="461">
        <v>46</v>
      </c>
      <c r="C49" s="394" t="s">
        <v>238</v>
      </c>
      <c r="D49" s="394"/>
      <c r="E49" s="394"/>
      <c r="F49" s="394">
        <v>1</v>
      </c>
      <c r="G49" s="539">
        <v>46065</v>
      </c>
      <c r="H49" s="530">
        <v>46069</v>
      </c>
      <c r="I49" s="224">
        <v>500000</v>
      </c>
      <c r="J49" s="481">
        <v>0.2</v>
      </c>
      <c r="K49" s="491">
        <f t="shared" si="5"/>
        <v>100000</v>
      </c>
      <c r="L49" s="403">
        <f t="shared" si="4"/>
        <v>400000</v>
      </c>
      <c r="M49" s="499">
        <f t="shared" si="3"/>
        <v>336134.45378151262</v>
      </c>
    </row>
    <row r="50" spans="2:13" ht="12.75" customHeight="1">
      <c r="B50" s="441">
        <v>47</v>
      </c>
      <c r="C50" s="443" t="s">
        <v>243</v>
      </c>
      <c r="D50" s="443"/>
      <c r="E50" s="443"/>
      <c r="F50" s="443">
        <v>1</v>
      </c>
      <c r="G50" s="517">
        <v>46070</v>
      </c>
      <c r="H50" s="537">
        <v>46105</v>
      </c>
      <c r="I50" s="39">
        <v>500000</v>
      </c>
      <c r="J50" s="446">
        <v>0.2</v>
      </c>
      <c r="K50" s="491">
        <f t="shared" si="5"/>
        <v>100000</v>
      </c>
      <c r="L50" s="403">
        <f t="shared" si="4"/>
        <v>400000</v>
      </c>
      <c r="M50" s="499">
        <f t="shared" si="3"/>
        <v>336134.45378151262</v>
      </c>
    </row>
    <row r="51" spans="2:13" ht="12.75" customHeight="1">
      <c r="B51" s="441">
        <v>48</v>
      </c>
      <c r="C51" s="443" t="s">
        <v>238</v>
      </c>
      <c r="D51" s="443"/>
      <c r="E51" s="443"/>
      <c r="F51" s="448">
        <v>1</v>
      </c>
      <c r="G51" s="517">
        <v>46072</v>
      </c>
      <c r="H51" s="537">
        <v>46086</v>
      </c>
      <c r="I51" s="39">
        <v>500000</v>
      </c>
      <c r="J51" s="446">
        <v>0.2</v>
      </c>
      <c r="K51" s="491">
        <f t="shared" si="5"/>
        <v>100000</v>
      </c>
      <c r="L51" s="403">
        <f t="shared" si="4"/>
        <v>400000</v>
      </c>
      <c r="M51" s="499">
        <f t="shared" si="3"/>
        <v>336134.45378151262</v>
      </c>
    </row>
    <row r="52" spans="2:13" ht="12.75" customHeight="1">
      <c r="B52" s="441">
        <v>49</v>
      </c>
      <c r="C52" s="443" t="s">
        <v>244</v>
      </c>
      <c r="D52" s="443"/>
      <c r="E52" s="443"/>
      <c r="F52" s="443">
        <v>1</v>
      </c>
      <c r="G52" s="540"/>
      <c r="H52" s="537">
        <v>46075</v>
      </c>
      <c r="I52" s="39">
        <v>500000</v>
      </c>
      <c r="J52" s="446"/>
      <c r="K52" s="491">
        <f t="shared" si="5"/>
        <v>0</v>
      </c>
      <c r="L52" s="403">
        <f t="shared" si="4"/>
        <v>500000</v>
      </c>
      <c r="M52" s="499">
        <f t="shared" si="3"/>
        <v>420168.06722689077</v>
      </c>
    </row>
    <row r="53" spans="2:13" ht="12.75" customHeight="1">
      <c r="B53" s="441">
        <v>50</v>
      </c>
      <c r="C53" s="443" t="s">
        <v>243</v>
      </c>
      <c r="D53" s="443"/>
      <c r="E53" s="443"/>
      <c r="F53" s="521">
        <v>46054</v>
      </c>
      <c r="G53" s="517">
        <v>46076</v>
      </c>
      <c r="H53" s="537">
        <v>46084</v>
      </c>
      <c r="I53" s="39">
        <v>350000</v>
      </c>
      <c r="J53" s="446">
        <v>0.2</v>
      </c>
      <c r="K53" s="491">
        <f t="shared" si="5"/>
        <v>70000</v>
      </c>
      <c r="L53" s="403">
        <f t="shared" si="4"/>
        <v>280000</v>
      </c>
      <c r="M53" s="499">
        <f t="shared" si="3"/>
        <v>235294.11764705883</v>
      </c>
    </row>
    <row r="54" spans="2:13" ht="12.75" customHeight="1">
      <c r="B54" s="449">
        <v>51</v>
      </c>
      <c r="C54" s="389" t="s">
        <v>245</v>
      </c>
      <c r="D54" s="389"/>
      <c r="E54" s="389"/>
      <c r="F54" s="389">
        <v>1</v>
      </c>
      <c r="G54" s="389"/>
      <c r="H54" s="541">
        <v>46101</v>
      </c>
      <c r="I54" s="39">
        <v>500000</v>
      </c>
      <c r="J54" s="446"/>
      <c r="K54" s="491">
        <f t="shared" si="5"/>
        <v>0</v>
      </c>
      <c r="L54" s="489">
        <f t="shared" si="4"/>
        <v>500000</v>
      </c>
      <c r="M54" s="520">
        <f t="shared" si="3"/>
        <v>420168.06722689077</v>
      </c>
    </row>
    <row r="55" spans="2:13" ht="12.75" customHeight="1">
      <c r="B55" s="461">
        <v>52</v>
      </c>
      <c r="C55" s="394" t="s">
        <v>245</v>
      </c>
      <c r="D55" s="394"/>
      <c r="E55" s="394"/>
      <c r="F55" s="542">
        <v>46054</v>
      </c>
      <c r="G55" s="394"/>
      <c r="H55" s="543">
        <v>46102</v>
      </c>
      <c r="I55" s="39">
        <v>350000</v>
      </c>
      <c r="J55" s="446"/>
      <c r="K55" s="491">
        <f t="shared" si="5"/>
        <v>0</v>
      </c>
      <c r="L55" s="403">
        <f t="shared" si="4"/>
        <v>350000</v>
      </c>
      <c r="M55" s="499">
        <f t="shared" si="3"/>
        <v>294117.64705882355</v>
      </c>
    </row>
    <row r="56" spans="2:13" ht="12.75" customHeight="1">
      <c r="B56" s="441">
        <v>53</v>
      </c>
      <c r="C56" s="443" t="s">
        <v>246</v>
      </c>
      <c r="D56" s="443" t="s">
        <v>247</v>
      </c>
      <c r="E56" s="443"/>
      <c r="F56" s="443">
        <v>1</v>
      </c>
      <c r="G56" s="443"/>
      <c r="H56" s="537">
        <v>46094</v>
      </c>
      <c r="I56" s="39">
        <v>500000</v>
      </c>
      <c r="J56" s="544">
        <v>0.2</v>
      </c>
      <c r="K56" s="488">
        <f t="shared" si="5"/>
        <v>100000</v>
      </c>
      <c r="L56" s="489">
        <f t="shared" si="4"/>
        <v>400000</v>
      </c>
      <c r="M56" s="520">
        <f t="shared" si="3"/>
        <v>336134.45378151262</v>
      </c>
    </row>
    <row r="57" spans="2:13" ht="12.75" customHeight="1">
      <c r="B57" s="441">
        <v>54</v>
      </c>
      <c r="C57" s="443" t="s">
        <v>238</v>
      </c>
      <c r="D57" s="443"/>
      <c r="E57" s="443"/>
      <c r="F57" s="443">
        <v>1</v>
      </c>
      <c r="G57" s="545">
        <v>46098</v>
      </c>
      <c r="H57" s="537">
        <v>46102</v>
      </c>
      <c r="I57" s="39">
        <v>500000</v>
      </c>
      <c r="J57" s="544">
        <v>0.2</v>
      </c>
      <c r="K57" s="488">
        <f t="shared" si="5"/>
        <v>100000</v>
      </c>
      <c r="L57" s="489">
        <f t="shared" si="4"/>
        <v>400000</v>
      </c>
      <c r="M57" s="520">
        <f t="shared" si="3"/>
        <v>336134.45378151262</v>
      </c>
    </row>
    <row r="58" spans="2:13" ht="12.75" customHeight="1">
      <c r="B58" s="441">
        <v>51</v>
      </c>
      <c r="C58" s="443" t="s">
        <v>243</v>
      </c>
      <c r="D58" s="443"/>
      <c r="E58" s="443"/>
      <c r="F58" s="443">
        <v>1</v>
      </c>
      <c r="G58" s="443"/>
      <c r="H58" s="537">
        <v>46086</v>
      </c>
      <c r="I58" s="540">
        <v>500000</v>
      </c>
      <c r="J58" s="446">
        <v>0.2</v>
      </c>
      <c r="K58" s="488">
        <f t="shared" si="5"/>
        <v>100000</v>
      </c>
      <c r="L58" s="489">
        <f t="shared" si="4"/>
        <v>400000</v>
      </c>
      <c r="M58" s="520">
        <f t="shared" si="3"/>
        <v>336134.45378151262</v>
      </c>
    </row>
    <row r="59" spans="2:13" ht="12.75" customHeight="1">
      <c r="B59" s="5"/>
      <c r="J59" s="7"/>
      <c r="K59" s="429"/>
    </row>
    <row r="60" spans="2:13" ht="12.75" customHeight="1">
      <c r="B60" s="5"/>
      <c r="J60" s="7"/>
      <c r="K60" s="429"/>
    </row>
    <row r="61" spans="2:13" ht="12.75" customHeight="1">
      <c r="B61" s="5"/>
      <c r="J61" s="7"/>
      <c r="K61" s="429"/>
    </row>
    <row r="62" spans="2:13" ht="12.75" customHeight="1">
      <c r="B62" s="5"/>
      <c r="J62" s="7"/>
      <c r="K62" s="429"/>
    </row>
    <row r="63" spans="2:13" ht="12.75" customHeight="1">
      <c r="B63" s="5"/>
      <c r="J63" s="7"/>
      <c r="K63" s="429"/>
    </row>
    <row r="64" spans="2:13" ht="12.75" customHeight="1">
      <c r="B64" s="5"/>
      <c r="J64" s="7"/>
      <c r="K64" s="429"/>
    </row>
    <row r="65" spans="2:11" ht="12.75" customHeight="1">
      <c r="B65" s="5"/>
      <c r="J65" s="7"/>
      <c r="K65" s="429"/>
    </row>
    <row r="66" spans="2:11" ht="12.75" customHeight="1">
      <c r="B66" s="5"/>
      <c r="J66" s="7"/>
      <c r="K66" s="429"/>
    </row>
    <row r="67" spans="2:11" ht="12.75" customHeight="1">
      <c r="B67" s="5"/>
      <c r="J67" s="7"/>
      <c r="K67" s="429"/>
    </row>
    <row r="68" spans="2:11" ht="12.75" customHeight="1">
      <c r="B68" s="5"/>
      <c r="J68" s="7"/>
      <c r="K68" s="429"/>
    </row>
    <row r="69" spans="2:11" ht="12.75" customHeight="1">
      <c r="B69" s="5"/>
      <c r="J69" s="7"/>
      <c r="K69" s="429"/>
    </row>
    <row r="70" spans="2:11" ht="12.75" customHeight="1">
      <c r="B70" s="5"/>
      <c r="J70" s="7"/>
      <c r="K70" s="429"/>
    </row>
    <row r="71" spans="2:11" ht="12.75" customHeight="1">
      <c r="B71" s="5"/>
      <c r="J71" s="7"/>
      <c r="K71" s="429"/>
    </row>
    <row r="72" spans="2:11" ht="12.75" customHeight="1">
      <c r="B72" s="5"/>
      <c r="J72" s="7"/>
      <c r="K72" s="429"/>
    </row>
    <row r="73" spans="2:11" ht="12.75" customHeight="1">
      <c r="B73" s="5"/>
      <c r="J73" s="7"/>
      <c r="K73" s="429"/>
    </row>
    <row r="74" spans="2:11" ht="12.75" customHeight="1">
      <c r="B74" s="5"/>
      <c r="J74" s="7"/>
      <c r="K74" s="429"/>
    </row>
    <row r="75" spans="2:11" ht="12.75" customHeight="1">
      <c r="B75" s="5"/>
      <c r="J75" s="7"/>
      <c r="K75" s="429"/>
    </row>
    <row r="76" spans="2:11" ht="12.75" customHeight="1">
      <c r="B76" s="5"/>
      <c r="J76" s="7"/>
      <c r="K76" s="429"/>
    </row>
    <row r="77" spans="2:11" ht="12.75" customHeight="1">
      <c r="B77" s="5"/>
      <c r="J77" s="7"/>
      <c r="K77" s="429"/>
    </row>
    <row r="78" spans="2:11" ht="12.75" customHeight="1">
      <c r="B78" s="5"/>
      <c r="J78" s="7"/>
      <c r="K78" s="429"/>
    </row>
    <row r="79" spans="2:11" ht="12.75" customHeight="1">
      <c r="B79" s="5"/>
      <c r="J79" s="7"/>
      <c r="K79" s="429"/>
    </row>
    <row r="80" spans="2:11" ht="12.75" customHeight="1">
      <c r="B80" s="5"/>
      <c r="J80" s="7"/>
      <c r="K80" s="429"/>
    </row>
    <row r="81" spans="2:11" ht="12.75" customHeight="1">
      <c r="B81" s="5"/>
      <c r="J81" s="7"/>
      <c r="K81" s="429"/>
    </row>
    <row r="82" spans="2:11" ht="12.75" customHeight="1">
      <c r="B82" s="5"/>
      <c r="J82" s="7"/>
      <c r="K82" s="429"/>
    </row>
    <row r="83" spans="2:11" ht="12.75" customHeight="1">
      <c r="B83" s="5"/>
      <c r="J83" s="7"/>
      <c r="K83" s="429"/>
    </row>
    <row r="84" spans="2:11" ht="12.75" customHeight="1">
      <c r="B84" s="5"/>
      <c r="J84" s="7"/>
      <c r="K84" s="429"/>
    </row>
    <row r="85" spans="2:11" ht="12.75" customHeight="1">
      <c r="B85" s="5"/>
      <c r="J85" s="7"/>
      <c r="K85" s="429"/>
    </row>
    <row r="86" spans="2:11" ht="12.75" customHeight="1">
      <c r="B86" s="5"/>
      <c r="J86" s="7"/>
      <c r="K86" s="429"/>
    </row>
    <row r="87" spans="2:11" ht="12.75" customHeight="1">
      <c r="B87" s="5"/>
      <c r="J87" s="7"/>
      <c r="K87" s="429"/>
    </row>
    <row r="88" spans="2:11" ht="12.75" customHeight="1">
      <c r="B88" s="5"/>
      <c r="J88" s="7"/>
      <c r="K88" s="429"/>
    </row>
    <row r="89" spans="2:11" ht="12.75" customHeight="1">
      <c r="B89" s="5"/>
      <c r="J89" s="7"/>
      <c r="K89" s="429"/>
    </row>
    <row r="90" spans="2:11" ht="12.75" customHeight="1">
      <c r="B90" s="5"/>
      <c r="J90" s="7"/>
      <c r="K90" s="429"/>
    </row>
    <row r="91" spans="2:11" ht="12.75" customHeight="1">
      <c r="B91" s="5"/>
      <c r="J91" s="7"/>
      <c r="K91" s="429"/>
    </row>
    <row r="92" spans="2:11" ht="12.75" customHeight="1">
      <c r="B92" s="5"/>
      <c r="J92" s="7"/>
      <c r="K92" s="429"/>
    </row>
    <row r="93" spans="2:11" ht="12.75" customHeight="1">
      <c r="B93" s="5"/>
      <c r="J93" s="7"/>
      <c r="K93" s="429"/>
    </row>
    <row r="94" spans="2:11" ht="12.75" customHeight="1">
      <c r="B94" s="5"/>
      <c r="J94" s="7"/>
      <c r="K94" s="429"/>
    </row>
    <row r="95" spans="2:11" ht="12.75" customHeight="1">
      <c r="B95" s="5"/>
      <c r="J95" s="7"/>
      <c r="K95" s="429"/>
    </row>
    <row r="96" spans="2:11" ht="12.75" customHeight="1">
      <c r="B96" s="5"/>
      <c r="J96" s="7"/>
      <c r="K96" s="429"/>
    </row>
    <row r="97" spans="2:11" ht="12.75" customHeight="1">
      <c r="B97" s="5"/>
      <c r="J97" s="7"/>
      <c r="K97" s="429"/>
    </row>
    <row r="98" spans="2:11" ht="12.75" customHeight="1">
      <c r="B98" s="5"/>
      <c r="J98" s="7"/>
      <c r="K98" s="429"/>
    </row>
    <row r="99" spans="2:11" ht="12.75" customHeight="1">
      <c r="B99" s="5"/>
      <c r="J99" s="7"/>
      <c r="K99" s="429"/>
    </row>
    <row r="100" spans="2:11" ht="12.75" customHeight="1">
      <c r="B100" s="5"/>
      <c r="J100" s="7"/>
      <c r="K100" s="429"/>
    </row>
    <row r="101" spans="2:11" ht="12.75" customHeight="1">
      <c r="B101" s="5"/>
      <c r="J101" s="7"/>
      <c r="K101" s="429"/>
    </row>
    <row r="102" spans="2:11" ht="12.75" customHeight="1">
      <c r="B102" s="5"/>
      <c r="J102" s="7"/>
      <c r="K102" s="429"/>
    </row>
    <row r="103" spans="2:11" ht="12.75" customHeight="1">
      <c r="B103" s="5"/>
      <c r="J103" s="7"/>
      <c r="K103" s="429"/>
    </row>
    <row r="104" spans="2:11" ht="12.75" customHeight="1">
      <c r="B104" s="5"/>
      <c r="J104" s="7"/>
      <c r="K104" s="429"/>
    </row>
    <row r="105" spans="2:11" ht="12.75" customHeight="1">
      <c r="B105" s="5"/>
      <c r="J105" s="7"/>
      <c r="K105" s="429"/>
    </row>
    <row r="106" spans="2:11" ht="12.75" customHeight="1">
      <c r="B106" s="5"/>
      <c r="J106" s="7"/>
      <c r="K106" s="429"/>
    </row>
    <row r="107" spans="2:11" ht="12.75" customHeight="1">
      <c r="B107" s="5"/>
      <c r="J107" s="7"/>
      <c r="K107" s="429"/>
    </row>
    <row r="108" spans="2:11" ht="12.75" customHeight="1">
      <c r="B108" s="5"/>
      <c r="J108" s="7"/>
      <c r="K108" s="429"/>
    </row>
    <row r="109" spans="2:11" ht="12.75" customHeight="1">
      <c r="B109" s="5"/>
      <c r="J109" s="7"/>
      <c r="K109" s="429"/>
    </row>
    <row r="110" spans="2:11" ht="12.75" customHeight="1">
      <c r="B110" s="5"/>
      <c r="J110" s="7"/>
      <c r="K110" s="429"/>
    </row>
    <row r="111" spans="2:11" ht="12.75" customHeight="1">
      <c r="B111" s="5"/>
      <c r="J111" s="7"/>
      <c r="K111" s="429"/>
    </row>
    <row r="112" spans="2:11" ht="12.75" customHeight="1">
      <c r="B112" s="5"/>
      <c r="J112" s="7"/>
      <c r="K112" s="429"/>
    </row>
    <row r="113" spans="2:11" ht="12.75" customHeight="1">
      <c r="B113" s="5"/>
      <c r="J113" s="7"/>
      <c r="K113" s="429"/>
    </row>
    <row r="114" spans="2:11" ht="12.75" customHeight="1">
      <c r="B114" s="5"/>
      <c r="J114" s="7"/>
      <c r="K114" s="429"/>
    </row>
    <row r="115" spans="2:11" ht="12.75" customHeight="1">
      <c r="B115" s="5"/>
      <c r="J115" s="7"/>
      <c r="K115" s="429"/>
    </row>
    <row r="116" spans="2:11" ht="12.75" customHeight="1">
      <c r="B116" s="5"/>
      <c r="J116" s="7"/>
      <c r="K116" s="429"/>
    </row>
    <row r="117" spans="2:11" ht="12.75" customHeight="1">
      <c r="B117" s="5"/>
      <c r="J117" s="7"/>
      <c r="K117" s="429"/>
    </row>
    <row r="118" spans="2:11" ht="12.75" customHeight="1">
      <c r="B118" s="5"/>
      <c r="J118" s="7"/>
      <c r="K118" s="429"/>
    </row>
    <row r="119" spans="2:11" ht="12.75" customHeight="1">
      <c r="B119" s="5"/>
      <c r="J119" s="7"/>
      <c r="K119" s="429"/>
    </row>
    <row r="120" spans="2:11" ht="12.75" customHeight="1">
      <c r="B120" s="5"/>
      <c r="J120" s="7"/>
      <c r="K120" s="429"/>
    </row>
    <row r="121" spans="2:11" ht="12.75" customHeight="1">
      <c r="B121" s="5"/>
      <c r="J121" s="7"/>
      <c r="K121" s="429"/>
    </row>
    <row r="122" spans="2:11" ht="12.75" customHeight="1">
      <c r="B122" s="5"/>
      <c r="J122" s="7"/>
      <c r="K122" s="429"/>
    </row>
    <row r="123" spans="2:11" ht="12.75" customHeight="1">
      <c r="B123" s="5"/>
      <c r="J123" s="7"/>
      <c r="K123" s="429"/>
    </row>
    <row r="124" spans="2:11" ht="12.75" customHeight="1">
      <c r="B124" s="5"/>
      <c r="J124" s="7"/>
      <c r="K124" s="429"/>
    </row>
    <row r="125" spans="2:11" ht="12.75" customHeight="1">
      <c r="B125" s="5"/>
      <c r="J125" s="7"/>
      <c r="K125" s="429"/>
    </row>
    <row r="126" spans="2:11" ht="12.75" customHeight="1">
      <c r="B126" s="5"/>
      <c r="J126" s="7"/>
      <c r="K126" s="429"/>
    </row>
    <row r="127" spans="2:11" ht="12.75" customHeight="1">
      <c r="B127" s="5"/>
      <c r="J127" s="7"/>
      <c r="K127" s="429"/>
    </row>
    <row r="128" spans="2:11" ht="12.75" customHeight="1">
      <c r="B128" s="5"/>
      <c r="J128" s="7"/>
      <c r="K128" s="429"/>
    </row>
    <row r="129" spans="2:11" ht="12.75" customHeight="1">
      <c r="B129" s="5"/>
      <c r="J129" s="7"/>
      <c r="K129" s="429"/>
    </row>
    <row r="130" spans="2:11" ht="12.75" customHeight="1">
      <c r="B130" s="5"/>
      <c r="J130" s="7"/>
      <c r="K130" s="429"/>
    </row>
    <row r="131" spans="2:11" ht="12.75" customHeight="1">
      <c r="B131" s="5"/>
      <c r="J131" s="7"/>
      <c r="K131" s="429"/>
    </row>
    <row r="132" spans="2:11" ht="12.75" customHeight="1">
      <c r="B132" s="5"/>
      <c r="J132" s="7"/>
      <c r="K132" s="429"/>
    </row>
    <row r="133" spans="2:11" ht="12.75" customHeight="1">
      <c r="B133" s="5"/>
      <c r="J133" s="7"/>
      <c r="K133" s="429"/>
    </row>
    <row r="134" spans="2:11" ht="12.75" customHeight="1">
      <c r="B134" s="5"/>
      <c r="J134" s="7"/>
      <c r="K134" s="429"/>
    </row>
    <row r="135" spans="2:11" ht="12.75" customHeight="1">
      <c r="B135" s="5"/>
      <c r="J135" s="7"/>
      <c r="K135" s="429"/>
    </row>
    <row r="136" spans="2:11" ht="12.75" customHeight="1">
      <c r="B136" s="5"/>
      <c r="J136" s="7"/>
      <c r="K136" s="429"/>
    </row>
    <row r="137" spans="2:11" ht="12.75" customHeight="1">
      <c r="B137" s="5"/>
      <c r="J137" s="7"/>
      <c r="K137" s="429"/>
    </row>
    <row r="138" spans="2:11" ht="12.75" customHeight="1">
      <c r="B138" s="5"/>
      <c r="J138" s="7"/>
      <c r="K138" s="429"/>
    </row>
    <row r="139" spans="2:11" ht="12.75" customHeight="1">
      <c r="B139" s="5"/>
      <c r="J139" s="7"/>
      <c r="K139" s="429"/>
    </row>
    <row r="140" spans="2:11" ht="12.75" customHeight="1">
      <c r="B140" s="5"/>
      <c r="J140" s="7"/>
      <c r="K140" s="429"/>
    </row>
    <row r="141" spans="2:11" ht="12.75" customHeight="1">
      <c r="B141" s="5"/>
      <c r="J141" s="7"/>
      <c r="K141" s="429"/>
    </row>
    <row r="142" spans="2:11" ht="12.75" customHeight="1">
      <c r="B142" s="5"/>
      <c r="J142" s="7"/>
      <c r="K142" s="429"/>
    </row>
    <row r="143" spans="2:11" ht="12.75" customHeight="1">
      <c r="B143" s="5"/>
      <c r="J143" s="7"/>
      <c r="K143" s="429"/>
    </row>
    <row r="144" spans="2:11" ht="12.75" customHeight="1">
      <c r="B144" s="5"/>
      <c r="J144" s="7"/>
      <c r="K144" s="429"/>
    </row>
    <row r="145" spans="2:11" ht="12.75" customHeight="1">
      <c r="B145" s="5"/>
      <c r="J145" s="7"/>
      <c r="K145" s="429"/>
    </row>
    <row r="146" spans="2:11" ht="12.75" customHeight="1">
      <c r="B146" s="5"/>
      <c r="J146" s="7"/>
      <c r="K146" s="429"/>
    </row>
    <row r="147" spans="2:11" ht="12.75" customHeight="1">
      <c r="B147" s="5"/>
      <c r="J147" s="7"/>
      <c r="K147" s="429"/>
    </row>
    <row r="148" spans="2:11" ht="12.75" customHeight="1">
      <c r="B148" s="5"/>
      <c r="J148" s="7"/>
      <c r="K148" s="429"/>
    </row>
    <row r="149" spans="2:11" ht="12.75" customHeight="1">
      <c r="B149" s="5"/>
      <c r="J149" s="7"/>
      <c r="K149" s="429"/>
    </row>
    <row r="150" spans="2:11" ht="12.75" customHeight="1">
      <c r="B150" s="5"/>
      <c r="J150" s="7"/>
      <c r="K150" s="429"/>
    </row>
    <row r="151" spans="2:11" ht="12.75" customHeight="1">
      <c r="B151" s="5"/>
      <c r="J151" s="7"/>
      <c r="K151" s="429"/>
    </row>
    <row r="152" spans="2:11" ht="12.75" customHeight="1">
      <c r="B152" s="5"/>
      <c r="J152" s="7"/>
      <c r="K152" s="429"/>
    </row>
    <row r="153" spans="2:11" ht="12.75" customHeight="1">
      <c r="B153" s="5"/>
      <c r="J153" s="7"/>
      <c r="K153" s="429"/>
    </row>
    <row r="154" spans="2:11" ht="12.75" customHeight="1">
      <c r="B154" s="5"/>
      <c r="J154" s="7"/>
      <c r="K154" s="429"/>
    </row>
    <row r="155" spans="2:11" ht="12.75" customHeight="1">
      <c r="B155" s="5"/>
      <c r="J155" s="7"/>
      <c r="K155" s="429"/>
    </row>
    <row r="156" spans="2:11" ht="12.75" customHeight="1">
      <c r="B156" s="5"/>
      <c r="J156" s="7"/>
      <c r="K156" s="429"/>
    </row>
    <row r="157" spans="2:11" ht="12.75" customHeight="1">
      <c r="B157" s="5"/>
      <c r="J157" s="7"/>
      <c r="K157" s="429"/>
    </row>
    <row r="158" spans="2:11" ht="12.75" customHeight="1">
      <c r="B158" s="5"/>
      <c r="J158" s="7"/>
      <c r="K158" s="429"/>
    </row>
    <row r="159" spans="2:11" ht="12.75" customHeight="1">
      <c r="B159" s="5"/>
      <c r="J159" s="7"/>
      <c r="K159" s="429"/>
    </row>
    <row r="160" spans="2:11" ht="12.75" customHeight="1">
      <c r="B160" s="5"/>
      <c r="J160" s="7"/>
      <c r="K160" s="429"/>
    </row>
    <row r="161" spans="2:11" ht="12.75" customHeight="1">
      <c r="B161" s="5"/>
      <c r="J161" s="7"/>
      <c r="K161" s="429"/>
    </row>
    <row r="162" spans="2:11" ht="12.75" customHeight="1">
      <c r="B162" s="5"/>
      <c r="J162" s="7"/>
      <c r="K162" s="429"/>
    </row>
    <row r="163" spans="2:11" ht="12.75" customHeight="1">
      <c r="B163" s="5"/>
      <c r="J163" s="7"/>
      <c r="K163" s="429"/>
    </row>
    <row r="164" spans="2:11" ht="12.75" customHeight="1">
      <c r="B164" s="5"/>
      <c r="J164" s="7"/>
      <c r="K164" s="429"/>
    </row>
    <row r="165" spans="2:11" ht="12.75" customHeight="1">
      <c r="B165" s="5"/>
      <c r="J165" s="7"/>
      <c r="K165" s="429"/>
    </row>
    <row r="166" spans="2:11" ht="12.75" customHeight="1">
      <c r="B166" s="5"/>
      <c r="J166" s="7"/>
      <c r="K166" s="429"/>
    </row>
    <row r="167" spans="2:11" ht="12.75" customHeight="1">
      <c r="B167" s="5"/>
      <c r="J167" s="7"/>
      <c r="K167" s="429"/>
    </row>
    <row r="168" spans="2:11" ht="12.75" customHeight="1">
      <c r="B168" s="5"/>
      <c r="J168" s="7"/>
      <c r="K168" s="429"/>
    </row>
    <row r="169" spans="2:11" ht="12.75" customHeight="1">
      <c r="B169" s="5"/>
      <c r="J169" s="7"/>
      <c r="K169" s="429"/>
    </row>
    <row r="170" spans="2:11" ht="12.75" customHeight="1">
      <c r="B170" s="5"/>
      <c r="J170" s="7"/>
      <c r="K170" s="429"/>
    </row>
    <row r="171" spans="2:11" ht="12.75" customHeight="1">
      <c r="B171" s="5"/>
      <c r="J171" s="7"/>
      <c r="K171" s="429"/>
    </row>
    <row r="172" spans="2:11" ht="12.75" customHeight="1">
      <c r="B172" s="5"/>
      <c r="J172" s="7"/>
      <c r="K172" s="429"/>
    </row>
    <row r="173" spans="2:11" ht="12.75" customHeight="1">
      <c r="B173" s="5"/>
      <c r="J173" s="7"/>
      <c r="K173" s="429"/>
    </row>
    <row r="174" spans="2:11" ht="12.75" customHeight="1">
      <c r="B174" s="5"/>
      <c r="J174" s="7"/>
      <c r="K174" s="429"/>
    </row>
    <row r="175" spans="2:11" ht="12.75" customHeight="1">
      <c r="B175" s="5"/>
      <c r="J175" s="7"/>
      <c r="K175" s="429"/>
    </row>
    <row r="176" spans="2:11" ht="12.75" customHeight="1">
      <c r="B176" s="5"/>
      <c r="J176" s="7"/>
      <c r="K176" s="429"/>
    </row>
    <row r="177" spans="2:11" ht="12.75" customHeight="1">
      <c r="B177" s="5"/>
      <c r="J177" s="7"/>
      <c r="K177" s="429"/>
    </row>
    <row r="178" spans="2:11" ht="12.75" customHeight="1">
      <c r="B178" s="5"/>
      <c r="J178" s="7"/>
      <c r="K178" s="429"/>
    </row>
    <row r="179" spans="2:11" ht="12.75" customHeight="1">
      <c r="B179" s="5"/>
      <c r="J179" s="7"/>
      <c r="K179" s="429"/>
    </row>
    <row r="180" spans="2:11" ht="12.75" customHeight="1">
      <c r="B180" s="5"/>
      <c r="J180" s="7"/>
      <c r="K180" s="429"/>
    </row>
    <row r="181" spans="2:11" ht="12.75" customHeight="1">
      <c r="B181" s="5"/>
      <c r="J181" s="7"/>
      <c r="K181" s="429"/>
    </row>
    <row r="182" spans="2:11" ht="12.75" customHeight="1">
      <c r="B182" s="5"/>
      <c r="J182" s="7"/>
      <c r="K182" s="429"/>
    </row>
    <row r="183" spans="2:11" ht="12.75" customHeight="1">
      <c r="B183" s="5"/>
      <c r="J183" s="7"/>
      <c r="K183" s="429"/>
    </row>
    <row r="184" spans="2:11" ht="12.75" customHeight="1">
      <c r="B184" s="5"/>
      <c r="J184" s="7"/>
      <c r="K184" s="429"/>
    </row>
    <row r="185" spans="2:11" ht="12.75" customHeight="1">
      <c r="B185" s="5"/>
      <c r="J185" s="7"/>
      <c r="K185" s="429"/>
    </row>
    <row r="186" spans="2:11" ht="12.75" customHeight="1">
      <c r="B186" s="5"/>
      <c r="J186" s="7"/>
      <c r="K186" s="429"/>
    </row>
    <row r="187" spans="2:11" ht="12.75" customHeight="1">
      <c r="B187" s="5"/>
      <c r="J187" s="7"/>
      <c r="K187" s="429"/>
    </row>
    <row r="188" spans="2:11" ht="12.75" customHeight="1">
      <c r="B188" s="5"/>
      <c r="J188" s="7"/>
      <c r="K188" s="429"/>
    </row>
    <row r="189" spans="2:11" ht="12.75" customHeight="1">
      <c r="B189" s="5"/>
      <c r="J189" s="7"/>
      <c r="K189" s="429"/>
    </row>
    <row r="190" spans="2:11" ht="12.75" customHeight="1">
      <c r="B190" s="5"/>
      <c r="J190" s="7"/>
      <c r="K190" s="429"/>
    </row>
    <row r="191" spans="2:11" ht="12.75" customHeight="1">
      <c r="B191" s="5"/>
      <c r="J191" s="7"/>
      <c r="K191" s="429"/>
    </row>
    <row r="192" spans="2:11" ht="12.75" customHeight="1">
      <c r="B192" s="5"/>
      <c r="J192" s="7"/>
      <c r="K192" s="429"/>
    </row>
    <row r="193" spans="2:11" ht="12.75" customHeight="1">
      <c r="B193" s="5"/>
      <c r="J193" s="7"/>
      <c r="K193" s="429"/>
    </row>
    <row r="194" spans="2:11" ht="12.75" customHeight="1">
      <c r="B194" s="5"/>
      <c r="J194" s="7"/>
      <c r="K194" s="429"/>
    </row>
    <row r="195" spans="2:11" ht="12.75" customHeight="1">
      <c r="B195" s="5"/>
      <c r="J195" s="7"/>
      <c r="K195" s="429"/>
    </row>
    <row r="196" spans="2:11" ht="12.75" customHeight="1">
      <c r="B196" s="5"/>
      <c r="J196" s="7"/>
      <c r="K196" s="429"/>
    </row>
    <row r="197" spans="2:11" ht="12.75" customHeight="1">
      <c r="B197" s="5"/>
      <c r="J197" s="7"/>
      <c r="K197" s="429"/>
    </row>
    <row r="198" spans="2:11" ht="12.75" customHeight="1">
      <c r="B198" s="5"/>
      <c r="J198" s="7"/>
      <c r="K198" s="429"/>
    </row>
    <row r="199" spans="2:11" ht="12.75" customHeight="1">
      <c r="B199" s="5"/>
      <c r="J199" s="7"/>
      <c r="K199" s="429"/>
    </row>
    <row r="200" spans="2:11" ht="12.75" customHeight="1">
      <c r="B200" s="5"/>
      <c r="J200" s="7"/>
      <c r="K200" s="429"/>
    </row>
    <row r="201" spans="2:11" ht="12.75" customHeight="1">
      <c r="B201" s="5"/>
      <c r="J201" s="7"/>
      <c r="K201" s="429"/>
    </row>
    <row r="202" spans="2:11" ht="12.75" customHeight="1">
      <c r="B202" s="5"/>
      <c r="J202" s="7"/>
      <c r="K202" s="429"/>
    </row>
    <row r="203" spans="2:11" ht="12.75" customHeight="1">
      <c r="B203" s="5"/>
      <c r="J203" s="7"/>
      <c r="K203" s="429"/>
    </row>
    <row r="204" spans="2:11" ht="12.75" customHeight="1">
      <c r="B204" s="5"/>
      <c r="J204" s="7"/>
      <c r="K204" s="429"/>
    </row>
    <row r="205" spans="2:11" ht="12.75" customHeight="1">
      <c r="B205" s="5"/>
      <c r="J205" s="7"/>
      <c r="K205" s="429"/>
    </row>
    <row r="206" spans="2:11" ht="12.75" customHeight="1">
      <c r="B206" s="5"/>
      <c r="J206" s="7"/>
      <c r="K206" s="429"/>
    </row>
    <row r="207" spans="2:11" ht="12.75" customHeight="1">
      <c r="B207" s="5"/>
      <c r="J207" s="7"/>
      <c r="K207" s="429"/>
    </row>
    <row r="208" spans="2:11" ht="12.75" customHeight="1">
      <c r="B208" s="5"/>
      <c r="J208" s="7"/>
      <c r="K208" s="429"/>
    </row>
    <row r="209" spans="2:11" ht="12.75" customHeight="1">
      <c r="B209" s="5"/>
      <c r="J209" s="7"/>
      <c r="K209" s="429"/>
    </row>
    <row r="210" spans="2:11" ht="12.75" customHeight="1">
      <c r="B210" s="5"/>
      <c r="J210" s="7"/>
      <c r="K210" s="429"/>
    </row>
    <row r="211" spans="2:11" ht="12.75" customHeight="1">
      <c r="B211" s="5"/>
      <c r="J211" s="7"/>
      <c r="K211" s="429"/>
    </row>
    <row r="212" spans="2:11" ht="12.75" customHeight="1">
      <c r="B212" s="5"/>
      <c r="J212" s="7"/>
      <c r="K212" s="429"/>
    </row>
    <row r="213" spans="2:11" ht="12.75" customHeight="1">
      <c r="B213" s="5"/>
      <c r="J213" s="7"/>
      <c r="K213" s="429"/>
    </row>
    <row r="214" spans="2:11" ht="12.75" customHeight="1">
      <c r="B214" s="5"/>
      <c r="J214" s="7"/>
      <c r="K214" s="429"/>
    </row>
    <row r="215" spans="2:11" ht="12.75" customHeight="1">
      <c r="B215" s="5"/>
      <c r="J215" s="7"/>
      <c r="K215" s="429"/>
    </row>
    <row r="216" spans="2:11" ht="12.75" customHeight="1">
      <c r="B216" s="5"/>
      <c r="J216" s="7"/>
      <c r="K216" s="429"/>
    </row>
    <row r="217" spans="2:11" ht="12.75" customHeight="1">
      <c r="B217" s="5"/>
      <c r="J217" s="7"/>
      <c r="K217" s="429"/>
    </row>
    <row r="218" spans="2:11" ht="12.75" customHeight="1">
      <c r="B218" s="5"/>
      <c r="J218" s="7"/>
      <c r="K218" s="429"/>
    </row>
    <row r="219" spans="2:11" ht="12.75" customHeight="1">
      <c r="B219" s="5"/>
      <c r="J219" s="7"/>
      <c r="K219" s="429"/>
    </row>
    <row r="220" spans="2:11" ht="12.75" customHeight="1">
      <c r="B220" s="5"/>
      <c r="J220" s="7"/>
      <c r="K220" s="429"/>
    </row>
    <row r="221" spans="2:11" ht="12.75" customHeight="1">
      <c r="B221" s="5"/>
      <c r="J221" s="7"/>
      <c r="K221" s="429"/>
    </row>
    <row r="222" spans="2:11" ht="12.75" customHeight="1">
      <c r="B222" s="5"/>
      <c r="J222" s="7"/>
      <c r="K222" s="429"/>
    </row>
    <row r="223" spans="2:11" ht="12.75" customHeight="1">
      <c r="B223" s="5"/>
      <c r="J223" s="7"/>
      <c r="K223" s="429"/>
    </row>
    <row r="224" spans="2:11" ht="12.75" customHeight="1">
      <c r="B224" s="5"/>
      <c r="J224" s="7"/>
      <c r="K224" s="429"/>
    </row>
    <row r="225" spans="2:11" ht="12.75" customHeight="1">
      <c r="B225" s="5"/>
      <c r="J225" s="7"/>
      <c r="K225" s="429"/>
    </row>
    <row r="226" spans="2:11" ht="12.75" customHeight="1">
      <c r="B226" s="5"/>
      <c r="J226" s="7"/>
      <c r="K226" s="429"/>
    </row>
    <row r="227" spans="2:11" ht="12.75" customHeight="1">
      <c r="B227" s="5"/>
      <c r="J227" s="7"/>
      <c r="K227" s="429"/>
    </row>
    <row r="228" spans="2:11" ht="12.75" customHeight="1">
      <c r="B228" s="5"/>
      <c r="J228" s="7"/>
      <c r="K228" s="429"/>
    </row>
    <row r="229" spans="2:11" ht="12.75" customHeight="1">
      <c r="B229" s="5"/>
      <c r="J229" s="7"/>
      <c r="K229" s="429"/>
    </row>
    <row r="230" spans="2:11" ht="12.75" customHeight="1">
      <c r="B230" s="5"/>
      <c r="J230" s="7"/>
      <c r="K230" s="429"/>
    </row>
    <row r="231" spans="2:11" ht="12.75" customHeight="1">
      <c r="B231" s="5"/>
      <c r="J231" s="7"/>
      <c r="K231" s="429"/>
    </row>
    <row r="232" spans="2:11" ht="12.75" customHeight="1">
      <c r="B232" s="5"/>
      <c r="J232" s="7"/>
      <c r="K232" s="429"/>
    </row>
    <row r="233" spans="2:11" ht="12.75" customHeight="1">
      <c r="B233" s="5"/>
      <c r="J233" s="7"/>
      <c r="K233" s="429"/>
    </row>
    <row r="234" spans="2:11" ht="12.75" customHeight="1">
      <c r="B234" s="5"/>
      <c r="J234" s="7"/>
      <c r="K234" s="429"/>
    </row>
    <row r="235" spans="2:11" ht="12.75" customHeight="1">
      <c r="B235" s="5"/>
      <c r="J235" s="7"/>
      <c r="K235" s="429"/>
    </row>
    <row r="236" spans="2:11" ht="12.75" customHeight="1">
      <c r="B236" s="5"/>
      <c r="J236" s="7"/>
      <c r="K236" s="429"/>
    </row>
    <row r="237" spans="2:11" ht="12.75" customHeight="1">
      <c r="B237" s="5"/>
      <c r="J237" s="7"/>
      <c r="K237" s="429"/>
    </row>
    <row r="238" spans="2:11" ht="12.75" customHeight="1">
      <c r="B238" s="5"/>
      <c r="J238" s="7"/>
      <c r="K238" s="429"/>
    </row>
    <row r="239" spans="2:11" ht="12.75" customHeight="1">
      <c r="B239" s="5"/>
      <c r="J239" s="7"/>
      <c r="K239" s="429"/>
    </row>
    <row r="240" spans="2:11" ht="12.75" customHeight="1">
      <c r="B240" s="5"/>
      <c r="J240" s="7"/>
      <c r="K240" s="429"/>
    </row>
    <row r="241" spans="2:11" ht="12.75" customHeight="1">
      <c r="B241" s="5"/>
      <c r="J241" s="7"/>
      <c r="K241" s="429"/>
    </row>
    <row r="242" spans="2:11" ht="12.75" customHeight="1">
      <c r="B242" s="5"/>
      <c r="J242" s="7"/>
      <c r="K242" s="429"/>
    </row>
    <row r="243" spans="2:11" ht="12.75" customHeight="1">
      <c r="B243" s="5"/>
      <c r="J243" s="7"/>
      <c r="K243" s="429"/>
    </row>
    <row r="244" spans="2:11" ht="12.75" customHeight="1">
      <c r="B244" s="5"/>
      <c r="J244" s="7"/>
      <c r="K244" s="429"/>
    </row>
    <row r="245" spans="2:11" ht="12.75" customHeight="1">
      <c r="B245" s="5"/>
      <c r="J245" s="7"/>
      <c r="K245" s="429"/>
    </row>
    <row r="246" spans="2:11" ht="12.75" customHeight="1">
      <c r="B246" s="5"/>
      <c r="J246" s="7"/>
      <c r="K246" s="429"/>
    </row>
    <row r="247" spans="2:11" ht="12.75" customHeight="1">
      <c r="B247" s="5"/>
      <c r="J247" s="7"/>
      <c r="K247" s="429"/>
    </row>
    <row r="248" spans="2:11" ht="12.75" customHeight="1">
      <c r="B248" s="5"/>
      <c r="J248" s="7"/>
      <c r="K248" s="429"/>
    </row>
    <row r="249" spans="2:11" ht="12.75" customHeight="1">
      <c r="B249" s="5"/>
      <c r="J249" s="7"/>
      <c r="K249" s="429"/>
    </row>
    <row r="250" spans="2:11" ht="12.75" customHeight="1">
      <c r="B250" s="5"/>
      <c r="J250" s="7"/>
      <c r="K250" s="429"/>
    </row>
    <row r="251" spans="2:11" ht="12.75" customHeight="1">
      <c r="B251" s="5"/>
      <c r="J251" s="7"/>
      <c r="K251" s="429"/>
    </row>
    <row r="252" spans="2:11" ht="12.75" customHeight="1">
      <c r="B252" s="5"/>
      <c r="J252" s="7"/>
      <c r="K252" s="429"/>
    </row>
    <row r="253" spans="2:11" ht="12.75" customHeight="1">
      <c r="B253" s="5"/>
      <c r="J253" s="7"/>
      <c r="K253" s="429"/>
    </row>
    <row r="254" spans="2:11" ht="12.75" customHeight="1">
      <c r="B254" s="5"/>
      <c r="J254" s="7"/>
      <c r="K254" s="429"/>
    </row>
    <row r="255" spans="2:11" ht="12.75" customHeight="1">
      <c r="B255" s="5"/>
      <c r="J255" s="7"/>
      <c r="K255" s="429"/>
    </row>
    <row r="256" spans="2:11" ht="12.75" customHeight="1">
      <c r="B256" s="5"/>
      <c r="J256" s="7"/>
      <c r="K256" s="429"/>
    </row>
    <row r="257" spans="2:11" ht="12.75" customHeight="1">
      <c r="B257" s="5"/>
      <c r="J257" s="7"/>
      <c r="K257" s="429"/>
    </row>
    <row r="258" spans="2:11" ht="12.75" customHeight="1">
      <c r="B258" s="5"/>
      <c r="J258" s="7"/>
      <c r="K258" s="429"/>
    </row>
    <row r="259" spans="2:11" ht="12.75" customHeight="1">
      <c r="B259" s="5"/>
      <c r="J259" s="7"/>
      <c r="K259" s="429"/>
    </row>
    <row r="260" spans="2:11" ht="12.75" customHeight="1">
      <c r="B260" s="5"/>
      <c r="J260" s="7"/>
      <c r="K260" s="429"/>
    </row>
    <row r="261" spans="2:11" ht="12.75" customHeight="1">
      <c r="B261" s="5"/>
      <c r="J261" s="7"/>
      <c r="K261" s="429"/>
    </row>
    <row r="262" spans="2:11" ht="12.75" customHeight="1">
      <c r="B262" s="5"/>
      <c r="J262" s="7"/>
      <c r="K262" s="429"/>
    </row>
    <row r="263" spans="2:11" ht="12.75" customHeight="1">
      <c r="B263" s="5"/>
      <c r="J263" s="7"/>
      <c r="K263" s="429"/>
    </row>
    <row r="264" spans="2:11" ht="12.75" customHeight="1">
      <c r="B264" s="5"/>
      <c r="J264" s="7"/>
      <c r="K264" s="429"/>
    </row>
    <row r="265" spans="2:11" ht="12.75" customHeight="1">
      <c r="B265" s="5"/>
      <c r="J265" s="7"/>
      <c r="K265" s="429"/>
    </row>
    <row r="266" spans="2:11" ht="12.75" customHeight="1">
      <c r="B266" s="5"/>
      <c r="J266" s="7"/>
      <c r="K266" s="429"/>
    </row>
    <row r="267" spans="2:11" ht="12.75" customHeight="1">
      <c r="B267" s="5"/>
      <c r="J267" s="7"/>
      <c r="K267" s="429"/>
    </row>
    <row r="268" spans="2:11" ht="12.75" customHeight="1">
      <c r="B268" s="5"/>
      <c r="J268" s="7"/>
      <c r="K268" s="429"/>
    </row>
    <row r="269" spans="2:11" ht="12.75" customHeight="1">
      <c r="B269" s="5"/>
      <c r="J269" s="7"/>
      <c r="K269" s="429"/>
    </row>
    <row r="270" spans="2:11" ht="12.75" customHeight="1">
      <c r="B270" s="5"/>
      <c r="J270" s="7"/>
      <c r="K270" s="429"/>
    </row>
    <row r="271" spans="2:11" ht="12.75" customHeight="1">
      <c r="B271" s="5"/>
      <c r="J271" s="7"/>
      <c r="K271" s="429"/>
    </row>
    <row r="272" spans="2:11" ht="12.75" customHeight="1">
      <c r="B272" s="5"/>
      <c r="J272" s="7"/>
      <c r="K272" s="429"/>
    </row>
    <row r="273" spans="2:11" ht="12.75" customHeight="1">
      <c r="B273" s="5"/>
      <c r="J273" s="7"/>
      <c r="K273" s="429"/>
    </row>
    <row r="274" spans="2:11" ht="12.75" customHeight="1">
      <c r="B274" s="5"/>
      <c r="J274" s="7"/>
      <c r="K274" s="429"/>
    </row>
    <row r="275" spans="2:11" ht="12.75" customHeight="1">
      <c r="B275" s="5"/>
      <c r="J275" s="7"/>
      <c r="K275" s="429"/>
    </row>
    <row r="276" spans="2:11" ht="12.75" customHeight="1">
      <c r="B276" s="5"/>
      <c r="J276" s="7"/>
      <c r="K276" s="429"/>
    </row>
    <row r="277" spans="2:11" ht="12.75" customHeight="1">
      <c r="B277" s="5"/>
      <c r="J277" s="7"/>
      <c r="K277" s="429"/>
    </row>
    <row r="278" spans="2:11" ht="12.75" customHeight="1">
      <c r="B278" s="5"/>
      <c r="J278" s="7"/>
      <c r="K278" s="429"/>
    </row>
    <row r="279" spans="2:11" ht="12.75" customHeight="1">
      <c r="B279" s="5"/>
      <c r="J279" s="7"/>
      <c r="K279" s="429"/>
    </row>
    <row r="280" spans="2:11" ht="12.75" customHeight="1">
      <c r="B280" s="5"/>
      <c r="J280" s="7"/>
      <c r="K280" s="429"/>
    </row>
    <row r="281" spans="2:11" ht="12.75" customHeight="1">
      <c r="B281" s="5"/>
      <c r="J281" s="7"/>
      <c r="K281" s="429"/>
    </row>
    <row r="282" spans="2:11" ht="12.75" customHeight="1">
      <c r="B282" s="5"/>
      <c r="J282" s="7"/>
      <c r="K282" s="429"/>
    </row>
    <row r="283" spans="2:11" ht="12.75" customHeight="1">
      <c r="B283" s="5"/>
      <c r="J283" s="7"/>
      <c r="K283" s="429"/>
    </row>
    <row r="284" spans="2:11" ht="12.75" customHeight="1">
      <c r="B284" s="5"/>
      <c r="J284" s="7"/>
      <c r="K284" s="429"/>
    </row>
    <row r="285" spans="2:11" ht="12.75" customHeight="1">
      <c r="B285" s="5"/>
      <c r="J285" s="7"/>
      <c r="K285" s="429"/>
    </row>
    <row r="286" spans="2:11" ht="12.75" customHeight="1">
      <c r="B286" s="5"/>
      <c r="J286" s="7"/>
      <c r="K286" s="429"/>
    </row>
    <row r="287" spans="2:11" ht="12.75" customHeight="1">
      <c r="B287" s="5"/>
      <c r="J287" s="7"/>
      <c r="K287" s="429"/>
    </row>
    <row r="288" spans="2:11" ht="12.75" customHeight="1">
      <c r="B288" s="5"/>
      <c r="J288" s="7"/>
      <c r="K288" s="429"/>
    </row>
    <row r="289" spans="2:11" ht="12.75" customHeight="1">
      <c r="B289" s="5"/>
      <c r="J289" s="7"/>
      <c r="K289" s="429"/>
    </row>
    <row r="290" spans="2:11" ht="12.75" customHeight="1">
      <c r="B290" s="5"/>
      <c r="J290" s="7"/>
      <c r="K290" s="429"/>
    </row>
    <row r="291" spans="2:11" ht="12.75" customHeight="1">
      <c r="B291" s="5"/>
      <c r="J291" s="7"/>
      <c r="K291" s="429"/>
    </row>
    <row r="292" spans="2:11" ht="12.75" customHeight="1">
      <c r="B292" s="5"/>
      <c r="J292" s="7"/>
      <c r="K292" s="429"/>
    </row>
    <row r="293" spans="2:11" ht="12.75" customHeight="1">
      <c r="B293" s="5"/>
      <c r="J293" s="7"/>
      <c r="K293" s="429"/>
    </row>
    <row r="294" spans="2:11" ht="12.75" customHeight="1">
      <c r="B294" s="5"/>
      <c r="J294" s="7"/>
      <c r="K294" s="429"/>
    </row>
    <row r="295" spans="2:11" ht="12.75" customHeight="1">
      <c r="B295" s="5"/>
      <c r="J295" s="7"/>
      <c r="K295" s="429"/>
    </row>
    <row r="296" spans="2:11" ht="12.75" customHeight="1">
      <c r="B296" s="5"/>
      <c r="J296" s="7"/>
      <c r="K296" s="429"/>
    </row>
    <row r="297" spans="2:11" ht="12.75" customHeight="1">
      <c r="B297" s="5"/>
      <c r="J297" s="7"/>
      <c r="K297" s="429"/>
    </row>
    <row r="298" spans="2:11" ht="12.75" customHeight="1">
      <c r="B298" s="5"/>
      <c r="J298" s="7"/>
      <c r="K298" s="429"/>
    </row>
    <row r="299" spans="2:11" ht="12.75" customHeight="1">
      <c r="B299" s="5"/>
      <c r="J299" s="7"/>
      <c r="K299" s="429"/>
    </row>
    <row r="300" spans="2:11" ht="12.75" customHeight="1">
      <c r="B300" s="5"/>
      <c r="J300" s="7"/>
      <c r="K300" s="429"/>
    </row>
    <row r="301" spans="2:11" ht="12.75" customHeight="1">
      <c r="B301" s="5"/>
      <c r="J301" s="7"/>
      <c r="K301" s="429"/>
    </row>
    <row r="302" spans="2:11" ht="12.75" customHeight="1">
      <c r="B302" s="5"/>
      <c r="J302" s="7"/>
      <c r="K302" s="429"/>
    </row>
    <row r="303" spans="2:11" ht="12.75" customHeight="1">
      <c r="B303" s="5"/>
      <c r="J303" s="7"/>
      <c r="K303" s="429"/>
    </row>
    <row r="304" spans="2:11" ht="12.75" customHeight="1">
      <c r="B304" s="5"/>
      <c r="J304" s="7"/>
      <c r="K304" s="429"/>
    </row>
    <row r="305" spans="2:11" ht="12.75" customHeight="1">
      <c r="B305" s="5"/>
      <c r="J305" s="7"/>
      <c r="K305" s="429"/>
    </row>
    <row r="306" spans="2:11" ht="12.75" customHeight="1">
      <c r="B306" s="5"/>
      <c r="J306" s="7"/>
      <c r="K306" s="429"/>
    </row>
    <row r="307" spans="2:11" ht="12.75" customHeight="1">
      <c r="B307" s="5"/>
      <c r="J307" s="7"/>
      <c r="K307" s="429"/>
    </row>
    <row r="308" spans="2:11" ht="12.75" customHeight="1">
      <c r="B308" s="5"/>
      <c r="J308" s="7"/>
      <c r="K308" s="429"/>
    </row>
    <row r="309" spans="2:11" ht="12.75" customHeight="1">
      <c r="B309" s="5"/>
      <c r="J309" s="7"/>
      <c r="K309" s="429"/>
    </row>
    <row r="310" spans="2:11" ht="12.75" customHeight="1">
      <c r="B310" s="5"/>
      <c r="J310" s="7"/>
      <c r="K310" s="429"/>
    </row>
    <row r="311" spans="2:11" ht="12.75" customHeight="1">
      <c r="B311" s="5"/>
      <c r="J311" s="7"/>
      <c r="K311" s="429"/>
    </row>
    <row r="312" spans="2:11" ht="12.75" customHeight="1">
      <c r="B312" s="5"/>
      <c r="J312" s="7"/>
      <c r="K312" s="429"/>
    </row>
    <row r="313" spans="2:11" ht="12.75" customHeight="1">
      <c r="B313" s="5"/>
      <c r="J313" s="7"/>
      <c r="K313" s="429"/>
    </row>
    <row r="314" spans="2:11" ht="12.75" customHeight="1">
      <c r="B314" s="5"/>
      <c r="J314" s="7"/>
      <c r="K314" s="429"/>
    </row>
    <row r="315" spans="2:11" ht="12.75" customHeight="1">
      <c r="B315" s="5"/>
      <c r="J315" s="7"/>
      <c r="K315" s="429"/>
    </row>
    <row r="316" spans="2:11" ht="12.75" customHeight="1">
      <c r="B316" s="5"/>
      <c r="J316" s="7"/>
      <c r="K316" s="429"/>
    </row>
    <row r="317" spans="2:11" ht="12.75" customHeight="1">
      <c r="B317" s="5"/>
      <c r="J317" s="7"/>
      <c r="K317" s="429"/>
    </row>
    <row r="318" spans="2:11" ht="12.75" customHeight="1">
      <c r="B318" s="5"/>
      <c r="J318" s="7"/>
      <c r="K318" s="429"/>
    </row>
    <row r="319" spans="2:11" ht="12.75" customHeight="1">
      <c r="B319" s="5"/>
      <c r="J319" s="7"/>
      <c r="K319" s="429"/>
    </row>
    <row r="320" spans="2:11" ht="12.75" customHeight="1">
      <c r="B320" s="5"/>
      <c r="J320" s="7"/>
      <c r="K320" s="429"/>
    </row>
    <row r="321" spans="2:11" ht="12.75" customHeight="1">
      <c r="B321" s="5"/>
      <c r="J321" s="7"/>
      <c r="K321" s="429"/>
    </row>
    <row r="322" spans="2:11" ht="12.75" customHeight="1">
      <c r="B322" s="5"/>
      <c r="J322" s="7"/>
      <c r="K322" s="429"/>
    </row>
    <row r="323" spans="2:11" ht="12.75" customHeight="1">
      <c r="B323" s="5"/>
      <c r="J323" s="7"/>
      <c r="K323" s="429"/>
    </row>
    <row r="324" spans="2:11" ht="12.75" customHeight="1">
      <c r="B324" s="5"/>
      <c r="J324" s="7"/>
      <c r="K324" s="429"/>
    </row>
    <row r="325" spans="2:11" ht="12.75" customHeight="1">
      <c r="B325" s="5"/>
      <c r="J325" s="7"/>
      <c r="K325" s="429"/>
    </row>
    <row r="326" spans="2:11" ht="12.75" customHeight="1">
      <c r="B326" s="5"/>
      <c r="J326" s="7"/>
      <c r="K326" s="429"/>
    </row>
    <row r="327" spans="2:11" ht="12.75" customHeight="1">
      <c r="B327" s="5"/>
      <c r="J327" s="7"/>
      <c r="K327" s="429"/>
    </row>
    <row r="328" spans="2:11" ht="12.75" customHeight="1">
      <c r="B328" s="5"/>
      <c r="J328" s="7"/>
      <c r="K328" s="429"/>
    </row>
    <row r="329" spans="2:11" ht="12.75" customHeight="1">
      <c r="B329" s="5"/>
      <c r="J329" s="7"/>
      <c r="K329" s="429"/>
    </row>
    <row r="330" spans="2:11" ht="12.75" customHeight="1">
      <c r="B330" s="5"/>
      <c r="J330" s="7"/>
      <c r="K330" s="429"/>
    </row>
    <row r="331" spans="2:11" ht="12.75" customHeight="1">
      <c r="B331" s="5"/>
      <c r="J331" s="7"/>
      <c r="K331" s="429"/>
    </row>
    <row r="332" spans="2:11" ht="12.75" customHeight="1">
      <c r="B332" s="5"/>
      <c r="J332" s="7"/>
      <c r="K332" s="429"/>
    </row>
    <row r="333" spans="2:11" ht="12.75" customHeight="1">
      <c r="B333" s="5"/>
      <c r="J333" s="7"/>
      <c r="K333" s="429"/>
    </row>
    <row r="334" spans="2:11" ht="12.75" customHeight="1">
      <c r="B334" s="5"/>
      <c r="J334" s="7"/>
      <c r="K334" s="429"/>
    </row>
    <row r="335" spans="2:11" ht="12.75" customHeight="1">
      <c r="B335" s="5"/>
      <c r="J335" s="7"/>
      <c r="K335" s="429"/>
    </row>
    <row r="336" spans="2:11" ht="12.75" customHeight="1">
      <c r="B336" s="5"/>
      <c r="J336" s="7"/>
      <c r="K336" s="429"/>
    </row>
    <row r="337" spans="2:11" ht="12.75" customHeight="1">
      <c r="B337" s="5"/>
      <c r="J337" s="7"/>
      <c r="K337" s="429"/>
    </row>
    <row r="338" spans="2:11" ht="12.75" customHeight="1">
      <c r="B338" s="5"/>
      <c r="J338" s="7"/>
      <c r="K338" s="429"/>
    </row>
    <row r="339" spans="2:11" ht="12.75" customHeight="1">
      <c r="B339" s="5"/>
      <c r="J339" s="7"/>
      <c r="K339" s="429"/>
    </row>
    <row r="340" spans="2:11" ht="12.75" customHeight="1">
      <c r="B340" s="5"/>
      <c r="J340" s="7"/>
      <c r="K340" s="429"/>
    </row>
    <row r="341" spans="2:11" ht="12.75" customHeight="1">
      <c r="B341" s="5"/>
      <c r="J341" s="7"/>
      <c r="K341" s="429"/>
    </row>
    <row r="342" spans="2:11" ht="12.75" customHeight="1">
      <c r="B342" s="5"/>
      <c r="J342" s="7"/>
      <c r="K342" s="429"/>
    </row>
    <row r="343" spans="2:11" ht="12.75" customHeight="1">
      <c r="B343" s="5"/>
      <c r="J343" s="7"/>
      <c r="K343" s="429"/>
    </row>
    <row r="344" spans="2:11" ht="12.75" customHeight="1">
      <c r="B344" s="5"/>
      <c r="J344" s="7"/>
      <c r="K344" s="429"/>
    </row>
    <row r="345" spans="2:11" ht="12.75" customHeight="1">
      <c r="B345" s="5"/>
      <c r="J345" s="7"/>
      <c r="K345" s="429"/>
    </row>
    <row r="346" spans="2:11" ht="12.75" customHeight="1">
      <c r="B346" s="5"/>
      <c r="J346" s="7"/>
      <c r="K346" s="429"/>
    </row>
    <row r="347" spans="2:11" ht="12.75" customHeight="1">
      <c r="B347" s="5"/>
      <c r="J347" s="7"/>
      <c r="K347" s="429"/>
    </row>
    <row r="348" spans="2:11" ht="12.75" customHeight="1">
      <c r="B348" s="5"/>
      <c r="J348" s="7"/>
      <c r="K348" s="429"/>
    </row>
    <row r="349" spans="2:11" ht="12.75" customHeight="1">
      <c r="B349" s="5"/>
      <c r="J349" s="7"/>
      <c r="K349" s="429"/>
    </row>
    <row r="350" spans="2:11" ht="12.75" customHeight="1">
      <c r="B350" s="5"/>
      <c r="J350" s="7"/>
      <c r="K350" s="429"/>
    </row>
    <row r="351" spans="2:11" ht="12.75" customHeight="1">
      <c r="B351" s="5"/>
      <c r="J351" s="7"/>
      <c r="K351" s="429"/>
    </row>
    <row r="352" spans="2:11" ht="12.75" customHeight="1">
      <c r="B352" s="5"/>
      <c r="J352" s="7"/>
      <c r="K352" s="429"/>
    </row>
    <row r="353" spans="2:11" ht="12.75" customHeight="1">
      <c r="B353" s="5"/>
      <c r="J353" s="7"/>
      <c r="K353" s="429"/>
    </row>
    <row r="354" spans="2:11" ht="12.75" customHeight="1">
      <c r="B354" s="5"/>
      <c r="J354" s="7"/>
      <c r="K354" s="429"/>
    </row>
    <row r="355" spans="2:11" ht="12.75" customHeight="1">
      <c r="B355" s="5"/>
      <c r="J355" s="7"/>
      <c r="K355" s="429"/>
    </row>
    <row r="356" spans="2:11" ht="12.75" customHeight="1">
      <c r="B356" s="5"/>
      <c r="J356" s="7"/>
      <c r="K356" s="429"/>
    </row>
    <row r="357" spans="2:11" ht="12.75" customHeight="1">
      <c r="B357" s="5"/>
      <c r="J357" s="7"/>
      <c r="K357" s="429"/>
    </row>
    <row r="358" spans="2:11" ht="12.75" customHeight="1">
      <c r="B358" s="5"/>
      <c r="J358" s="7"/>
      <c r="K358" s="429"/>
    </row>
    <row r="359" spans="2:11" ht="12.75" customHeight="1">
      <c r="B359" s="5"/>
      <c r="J359" s="7"/>
      <c r="K359" s="429"/>
    </row>
    <row r="360" spans="2:11" ht="12.75" customHeight="1">
      <c r="B360" s="5"/>
      <c r="J360" s="7"/>
      <c r="K360" s="429"/>
    </row>
    <row r="361" spans="2:11" ht="12.75" customHeight="1">
      <c r="B361" s="5"/>
      <c r="J361" s="7"/>
      <c r="K361" s="429"/>
    </row>
    <row r="362" spans="2:11" ht="12.75" customHeight="1">
      <c r="B362" s="5"/>
      <c r="J362" s="7"/>
      <c r="K362" s="429"/>
    </row>
    <row r="363" spans="2:11" ht="12.75" customHeight="1">
      <c r="B363" s="5"/>
      <c r="J363" s="7"/>
      <c r="K363" s="429"/>
    </row>
    <row r="364" spans="2:11" ht="12.75" customHeight="1">
      <c r="B364" s="5"/>
      <c r="J364" s="7"/>
      <c r="K364" s="429"/>
    </row>
    <row r="365" spans="2:11" ht="12.75" customHeight="1">
      <c r="B365" s="5"/>
      <c r="J365" s="7"/>
      <c r="K365" s="429"/>
    </row>
    <row r="366" spans="2:11" ht="12.75" customHeight="1">
      <c r="B366" s="5"/>
      <c r="J366" s="7"/>
      <c r="K366" s="429"/>
    </row>
    <row r="367" spans="2:11" ht="12.75" customHeight="1">
      <c r="B367" s="5"/>
      <c r="J367" s="7"/>
      <c r="K367" s="429"/>
    </row>
    <row r="368" spans="2:11" ht="12.75" customHeight="1">
      <c r="B368" s="5"/>
      <c r="J368" s="7"/>
      <c r="K368" s="429"/>
    </row>
    <row r="369" spans="2:11" ht="12.75" customHeight="1">
      <c r="B369" s="5"/>
      <c r="J369" s="7"/>
      <c r="K369" s="429"/>
    </row>
    <row r="370" spans="2:11" ht="12.75" customHeight="1">
      <c r="B370" s="5"/>
      <c r="J370" s="7"/>
      <c r="K370" s="429"/>
    </row>
    <row r="371" spans="2:11" ht="12.75" customHeight="1">
      <c r="B371" s="5"/>
      <c r="J371" s="7"/>
      <c r="K371" s="429"/>
    </row>
    <row r="372" spans="2:11" ht="12.75" customHeight="1">
      <c r="B372" s="5"/>
      <c r="J372" s="7"/>
      <c r="K372" s="429"/>
    </row>
    <row r="373" spans="2:11" ht="12.75" customHeight="1">
      <c r="B373" s="5"/>
      <c r="J373" s="7"/>
      <c r="K373" s="429"/>
    </row>
    <row r="374" spans="2:11" ht="12.75" customHeight="1">
      <c r="B374" s="5"/>
      <c r="J374" s="7"/>
      <c r="K374" s="429"/>
    </row>
    <row r="375" spans="2:11" ht="12.75" customHeight="1">
      <c r="B375" s="5"/>
      <c r="J375" s="7"/>
      <c r="K375" s="429"/>
    </row>
    <row r="376" spans="2:11" ht="12.75" customHeight="1">
      <c r="B376" s="5"/>
      <c r="J376" s="7"/>
      <c r="K376" s="429"/>
    </row>
    <row r="377" spans="2:11" ht="12.75" customHeight="1">
      <c r="B377" s="5"/>
      <c r="J377" s="7"/>
      <c r="K377" s="429"/>
    </row>
    <row r="378" spans="2:11" ht="12.75" customHeight="1">
      <c r="B378" s="5"/>
      <c r="J378" s="7"/>
      <c r="K378" s="429"/>
    </row>
    <row r="379" spans="2:11" ht="12.75" customHeight="1">
      <c r="B379" s="5"/>
      <c r="J379" s="7"/>
      <c r="K379" s="429"/>
    </row>
    <row r="380" spans="2:11" ht="12.75" customHeight="1">
      <c r="B380" s="5"/>
      <c r="J380" s="7"/>
      <c r="K380" s="429"/>
    </row>
    <row r="381" spans="2:11" ht="12.75" customHeight="1">
      <c r="B381" s="5"/>
      <c r="J381" s="7"/>
      <c r="K381" s="429"/>
    </row>
    <row r="382" spans="2:11" ht="12.75" customHeight="1">
      <c r="B382" s="5"/>
      <c r="J382" s="7"/>
      <c r="K382" s="429"/>
    </row>
    <row r="383" spans="2:11" ht="12.75" customHeight="1">
      <c r="B383" s="5"/>
      <c r="J383" s="7"/>
      <c r="K383" s="429"/>
    </row>
    <row r="384" spans="2:11" ht="12.75" customHeight="1">
      <c r="B384" s="5"/>
      <c r="J384" s="7"/>
      <c r="K384" s="429"/>
    </row>
    <row r="385" spans="2:11" ht="12.75" customHeight="1">
      <c r="B385" s="5"/>
      <c r="J385" s="7"/>
      <c r="K385" s="429"/>
    </row>
    <row r="386" spans="2:11" ht="12.75" customHeight="1">
      <c r="B386" s="5"/>
      <c r="J386" s="7"/>
      <c r="K386" s="429"/>
    </row>
    <row r="387" spans="2:11" ht="12.75" customHeight="1">
      <c r="B387" s="5"/>
      <c r="J387" s="7"/>
      <c r="K387" s="429"/>
    </row>
    <row r="388" spans="2:11" ht="12.75" customHeight="1">
      <c r="B388" s="5"/>
      <c r="J388" s="7"/>
      <c r="K388" s="429"/>
    </row>
    <row r="389" spans="2:11" ht="12.75" customHeight="1">
      <c r="B389" s="5"/>
      <c r="J389" s="7"/>
      <c r="K389" s="429"/>
    </row>
    <row r="390" spans="2:11" ht="12.75" customHeight="1">
      <c r="B390" s="5"/>
      <c r="J390" s="7"/>
      <c r="K390" s="429"/>
    </row>
    <row r="391" spans="2:11" ht="12.75" customHeight="1">
      <c r="B391" s="5"/>
      <c r="J391" s="7"/>
      <c r="K391" s="429"/>
    </row>
    <row r="392" spans="2:11" ht="12.75" customHeight="1">
      <c r="B392" s="5"/>
      <c r="J392" s="7"/>
      <c r="K392" s="429"/>
    </row>
    <row r="393" spans="2:11" ht="12.75" customHeight="1">
      <c r="B393" s="5"/>
      <c r="J393" s="7"/>
      <c r="K393" s="429"/>
    </row>
    <row r="394" spans="2:11" ht="12.75" customHeight="1">
      <c r="B394" s="5"/>
      <c r="J394" s="7"/>
      <c r="K394" s="429"/>
    </row>
    <row r="395" spans="2:11" ht="12.75" customHeight="1">
      <c r="B395" s="5"/>
      <c r="J395" s="7"/>
      <c r="K395" s="429"/>
    </row>
    <row r="396" spans="2:11" ht="12.75" customHeight="1">
      <c r="B396" s="5"/>
      <c r="J396" s="7"/>
      <c r="K396" s="429"/>
    </row>
    <row r="397" spans="2:11" ht="12.75" customHeight="1">
      <c r="B397" s="5"/>
      <c r="J397" s="7"/>
      <c r="K397" s="429"/>
    </row>
    <row r="398" spans="2:11" ht="12.75" customHeight="1">
      <c r="B398" s="5"/>
      <c r="J398" s="7"/>
      <c r="K398" s="429"/>
    </row>
    <row r="399" spans="2:11" ht="12.75" customHeight="1">
      <c r="B399" s="5"/>
      <c r="J399" s="7"/>
      <c r="K399" s="429"/>
    </row>
    <row r="400" spans="2:11" ht="12.75" customHeight="1">
      <c r="B400" s="5"/>
      <c r="J400" s="7"/>
      <c r="K400" s="429"/>
    </row>
    <row r="401" spans="2:11" ht="12.75" customHeight="1">
      <c r="B401" s="5"/>
      <c r="J401" s="7"/>
      <c r="K401" s="429"/>
    </row>
    <row r="402" spans="2:11" ht="12.75" customHeight="1">
      <c r="B402" s="5"/>
      <c r="J402" s="7"/>
      <c r="K402" s="429"/>
    </row>
    <row r="403" spans="2:11" ht="12.75" customHeight="1">
      <c r="B403" s="5"/>
      <c r="J403" s="7"/>
      <c r="K403" s="429"/>
    </row>
    <row r="404" spans="2:11" ht="12.75" customHeight="1">
      <c r="B404" s="5"/>
      <c r="J404" s="7"/>
      <c r="K404" s="429"/>
    </row>
    <row r="405" spans="2:11" ht="12.75" customHeight="1">
      <c r="B405" s="5"/>
      <c r="J405" s="7"/>
      <c r="K405" s="429"/>
    </row>
    <row r="406" spans="2:11" ht="12.75" customHeight="1">
      <c r="B406" s="5"/>
      <c r="J406" s="7"/>
      <c r="K406" s="429"/>
    </row>
    <row r="407" spans="2:11" ht="12.75" customHeight="1">
      <c r="B407" s="5"/>
      <c r="J407" s="7"/>
      <c r="K407" s="429"/>
    </row>
    <row r="408" spans="2:11" ht="12.75" customHeight="1">
      <c r="B408" s="5"/>
      <c r="J408" s="7"/>
      <c r="K408" s="429"/>
    </row>
    <row r="409" spans="2:11" ht="12.75" customHeight="1">
      <c r="B409" s="5"/>
      <c r="J409" s="7"/>
      <c r="K409" s="429"/>
    </row>
    <row r="410" spans="2:11" ht="12.75" customHeight="1">
      <c r="B410" s="5"/>
      <c r="J410" s="7"/>
      <c r="K410" s="429"/>
    </row>
    <row r="411" spans="2:11" ht="12.75" customHeight="1">
      <c r="B411" s="5"/>
      <c r="J411" s="7"/>
      <c r="K411" s="429"/>
    </row>
    <row r="412" spans="2:11" ht="12.75" customHeight="1">
      <c r="B412" s="5"/>
      <c r="J412" s="7"/>
      <c r="K412" s="429"/>
    </row>
    <row r="413" spans="2:11" ht="12.75" customHeight="1">
      <c r="B413" s="5"/>
      <c r="J413" s="7"/>
      <c r="K413" s="429"/>
    </row>
    <row r="414" spans="2:11" ht="12.75" customHeight="1">
      <c r="B414" s="5"/>
      <c r="J414" s="7"/>
      <c r="K414" s="429"/>
    </row>
    <row r="415" spans="2:11" ht="12.75" customHeight="1">
      <c r="B415" s="5"/>
      <c r="J415" s="7"/>
      <c r="K415" s="429"/>
    </row>
    <row r="416" spans="2:11" ht="12.75" customHeight="1">
      <c r="B416" s="5"/>
      <c r="J416" s="7"/>
      <c r="K416" s="429"/>
    </row>
    <row r="417" spans="2:11" ht="12.75" customHeight="1">
      <c r="B417" s="5"/>
      <c r="J417" s="7"/>
      <c r="K417" s="429"/>
    </row>
    <row r="418" spans="2:11" ht="12.75" customHeight="1">
      <c r="B418" s="5"/>
      <c r="J418" s="7"/>
      <c r="K418" s="429"/>
    </row>
    <row r="419" spans="2:11" ht="12.75" customHeight="1">
      <c r="B419" s="5"/>
      <c r="J419" s="7"/>
      <c r="K419" s="429"/>
    </row>
    <row r="420" spans="2:11" ht="12.75" customHeight="1">
      <c r="B420" s="5"/>
      <c r="J420" s="7"/>
      <c r="K420" s="429"/>
    </row>
    <row r="421" spans="2:11" ht="12.75" customHeight="1">
      <c r="B421" s="5"/>
      <c r="J421" s="7"/>
      <c r="K421" s="429"/>
    </row>
    <row r="422" spans="2:11" ht="12.75" customHeight="1">
      <c r="B422" s="5"/>
      <c r="J422" s="7"/>
      <c r="K422" s="429"/>
    </row>
    <row r="423" spans="2:11" ht="12.75" customHeight="1">
      <c r="B423" s="5"/>
      <c r="J423" s="7"/>
      <c r="K423" s="429"/>
    </row>
    <row r="424" spans="2:11" ht="12.75" customHeight="1">
      <c r="B424" s="5"/>
      <c r="J424" s="7"/>
      <c r="K424" s="429"/>
    </row>
    <row r="425" spans="2:11" ht="12.75" customHeight="1">
      <c r="B425" s="5"/>
      <c r="J425" s="7"/>
      <c r="K425" s="429"/>
    </row>
    <row r="426" spans="2:11" ht="12.75" customHeight="1">
      <c r="B426" s="5"/>
      <c r="J426" s="7"/>
      <c r="K426" s="429"/>
    </row>
    <row r="427" spans="2:11" ht="12.75" customHeight="1">
      <c r="B427" s="5"/>
      <c r="J427" s="7"/>
      <c r="K427" s="429"/>
    </row>
    <row r="428" spans="2:11" ht="12.75" customHeight="1">
      <c r="B428" s="5"/>
      <c r="J428" s="7"/>
      <c r="K428" s="429"/>
    </row>
    <row r="429" spans="2:11" ht="12.75" customHeight="1">
      <c r="B429" s="5"/>
      <c r="J429" s="7"/>
      <c r="K429" s="429"/>
    </row>
    <row r="430" spans="2:11" ht="12.75" customHeight="1">
      <c r="B430" s="5"/>
      <c r="J430" s="7"/>
      <c r="K430" s="429"/>
    </row>
    <row r="431" spans="2:11" ht="12.75" customHeight="1">
      <c r="B431" s="5"/>
      <c r="J431" s="7"/>
      <c r="K431" s="429"/>
    </row>
    <row r="432" spans="2:11" ht="12.75" customHeight="1">
      <c r="B432" s="5"/>
      <c r="J432" s="7"/>
      <c r="K432" s="429"/>
    </row>
    <row r="433" spans="2:11" ht="12.75" customHeight="1">
      <c r="B433" s="5"/>
      <c r="J433" s="7"/>
      <c r="K433" s="429"/>
    </row>
    <row r="434" spans="2:11" ht="12.75" customHeight="1">
      <c r="B434" s="5"/>
      <c r="J434" s="7"/>
      <c r="K434" s="429"/>
    </row>
    <row r="435" spans="2:11" ht="12.75" customHeight="1">
      <c r="B435" s="5"/>
      <c r="J435" s="7"/>
      <c r="K435" s="429"/>
    </row>
    <row r="436" spans="2:11" ht="12.75" customHeight="1">
      <c r="B436" s="5"/>
      <c r="J436" s="7"/>
      <c r="K436" s="429"/>
    </row>
    <row r="437" spans="2:11" ht="12.75" customHeight="1">
      <c r="B437" s="5"/>
      <c r="J437" s="7"/>
      <c r="K437" s="429"/>
    </row>
    <row r="438" spans="2:11" ht="12.75" customHeight="1">
      <c r="B438" s="5"/>
      <c r="J438" s="7"/>
      <c r="K438" s="429"/>
    </row>
    <row r="439" spans="2:11" ht="12.75" customHeight="1">
      <c r="B439" s="5"/>
      <c r="J439" s="7"/>
      <c r="K439" s="429"/>
    </row>
    <row r="440" spans="2:11" ht="12.75" customHeight="1">
      <c r="B440" s="5"/>
      <c r="J440" s="7"/>
      <c r="K440" s="429"/>
    </row>
    <row r="441" spans="2:11" ht="12.75" customHeight="1">
      <c r="B441" s="5"/>
      <c r="J441" s="7"/>
      <c r="K441" s="429"/>
    </row>
    <row r="442" spans="2:11" ht="12.75" customHeight="1">
      <c r="B442" s="5"/>
      <c r="J442" s="7"/>
      <c r="K442" s="429"/>
    </row>
    <row r="443" spans="2:11" ht="12.75" customHeight="1">
      <c r="B443" s="5"/>
      <c r="J443" s="7"/>
      <c r="K443" s="429"/>
    </row>
    <row r="444" spans="2:11" ht="12.75" customHeight="1">
      <c r="B444" s="5"/>
      <c r="J444" s="7"/>
      <c r="K444" s="429"/>
    </row>
    <row r="445" spans="2:11" ht="12.75" customHeight="1">
      <c r="B445" s="5"/>
      <c r="J445" s="7"/>
      <c r="K445" s="429"/>
    </row>
    <row r="446" spans="2:11" ht="12.75" customHeight="1">
      <c r="B446" s="5"/>
      <c r="J446" s="7"/>
      <c r="K446" s="429"/>
    </row>
    <row r="447" spans="2:11" ht="12.75" customHeight="1">
      <c r="B447" s="5"/>
      <c r="J447" s="7"/>
      <c r="K447" s="429"/>
    </row>
    <row r="448" spans="2:11" ht="12.75" customHeight="1">
      <c r="B448" s="5"/>
      <c r="J448" s="7"/>
      <c r="K448" s="429"/>
    </row>
    <row r="449" spans="2:11" ht="12.75" customHeight="1">
      <c r="B449" s="5"/>
      <c r="J449" s="7"/>
      <c r="K449" s="429"/>
    </row>
    <row r="450" spans="2:11" ht="12.75" customHeight="1">
      <c r="B450" s="5"/>
      <c r="J450" s="7"/>
      <c r="K450" s="429"/>
    </row>
    <row r="451" spans="2:11" ht="12.75" customHeight="1">
      <c r="B451" s="5"/>
      <c r="J451" s="7"/>
      <c r="K451" s="429"/>
    </row>
    <row r="452" spans="2:11" ht="12.75" customHeight="1">
      <c r="B452" s="5"/>
      <c r="J452" s="7"/>
      <c r="K452" s="429"/>
    </row>
    <row r="453" spans="2:11" ht="12.75" customHeight="1">
      <c r="B453" s="5"/>
      <c r="J453" s="7"/>
      <c r="K453" s="429"/>
    </row>
    <row r="454" spans="2:11" ht="12.75" customHeight="1">
      <c r="B454" s="5"/>
      <c r="J454" s="7"/>
      <c r="K454" s="429"/>
    </row>
    <row r="455" spans="2:11" ht="12.75" customHeight="1">
      <c r="B455" s="5"/>
      <c r="J455" s="7"/>
      <c r="K455" s="429"/>
    </row>
    <row r="456" spans="2:11" ht="12.75" customHeight="1">
      <c r="B456" s="5"/>
      <c r="J456" s="7"/>
      <c r="K456" s="429"/>
    </row>
    <row r="457" spans="2:11" ht="12.75" customHeight="1">
      <c r="B457" s="5"/>
      <c r="J457" s="7"/>
      <c r="K457" s="429"/>
    </row>
    <row r="458" spans="2:11" ht="12.75" customHeight="1">
      <c r="B458" s="5"/>
      <c r="J458" s="7"/>
      <c r="K458" s="429"/>
    </row>
    <row r="459" spans="2:11" ht="12.75" customHeight="1">
      <c r="B459" s="5"/>
      <c r="J459" s="7"/>
      <c r="K459" s="429"/>
    </row>
    <row r="460" spans="2:11" ht="12.75" customHeight="1">
      <c r="B460" s="5"/>
      <c r="J460" s="7"/>
      <c r="K460" s="429"/>
    </row>
    <row r="461" spans="2:11" ht="12.75" customHeight="1">
      <c r="B461" s="5"/>
      <c r="J461" s="7"/>
      <c r="K461" s="429"/>
    </row>
    <row r="462" spans="2:11" ht="12.75" customHeight="1">
      <c r="B462" s="5"/>
      <c r="J462" s="7"/>
      <c r="K462" s="429"/>
    </row>
    <row r="463" spans="2:11" ht="12.75" customHeight="1">
      <c r="B463" s="5"/>
      <c r="J463" s="7"/>
      <c r="K463" s="429"/>
    </row>
    <row r="464" spans="2:11" ht="12.75" customHeight="1">
      <c r="B464" s="5"/>
      <c r="J464" s="7"/>
      <c r="K464" s="429"/>
    </row>
    <row r="465" spans="2:11" ht="12.75" customHeight="1">
      <c r="B465" s="5"/>
      <c r="J465" s="7"/>
      <c r="K465" s="429"/>
    </row>
    <row r="466" spans="2:11" ht="12.75" customHeight="1">
      <c r="B466" s="5"/>
      <c r="J466" s="7"/>
      <c r="K466" s="429"/>
    </row>
    <row r="467" spans="2:11" ht="12.75" customHeight="1">
      <c r="B467" s="5"/>
      <c r="J467" s="7"/>
      <c r="K467" s="429"/>
    </row>
    <row r="468" spans="2:11" ht="12.75" customHeight="1">
      <c r="B468" s="5"/>
      <c r="J468" s="7"/>
      <c r="K468" s="429"/>
    </row>
    <row r="469" spans="2:11" ht="12.75" customHeight="1">
      <c r="B469" s="5"/>
      <c r="J469" s="7"/>
      <c r="K469" s="429"/>
    </row>
    <row r="470" spans="2:11" ht="12.75" customHeight="1">
      <c r="B470" s="5"/>
      <c r="J470" s="7"/>
      <c r="K470" s="429"/>
    </row>
    <row r="471" spans="2:11" ht="12.75" customHeight="1">
      <c r="B471" s="5"/>
      <c r="J471" s="7"/>
      <c r="K471" s="429"/>
    </row>
    <row r="472" spans="2:11" ht="12.75" customHeight="1">
      <c r="B472" s="5"/>
      <c r="J472" s="7"/>
      <c r="K472" s="429"/>
    </row>
    <row r="473" spans="2:11" ht="12.75" customHeight="1">
      <c r="B473" s="5"/>
      <c r="J473" s="7"/>
      <c r="K473" s="429"/>
    </row>
    <row r="474" spans="2:11" ht="12.75" customHeight="1">
      <c r="B474" s="5"/>
      <c r="J474" s="7"/>
      <c r="K474" s="429"/>
    </row>
    <row r="475" spans="2:11" ht="12.75" customHeight="1">
      <c r="B475" s="5"/>
      <c r="J475" s="7"/>
      <c r="K475" s="429"/>
    </row>
    <row r="476" spans="2:11" ht="12.75" customHeight="1">
      <c r="B476" s="5"/>
      <c r="J476" s="7"/>
      <c r="K476" s="429"/>
    </row>
    <row r="477" spans="2:11" ht="12.75" customHeight="1">
      <c r="B477" s="5"/>
      <c r="J477" s="7"/>
      <c r="K477" s="429"/>
    </row>
    <row r="478" spans="2:11" ht="12.75" customHeight="1">
      <c r="B478" s="5"/>
      <c r="J478" s="7"/>
      <c r="K478" s="429"/>
    </row>
    <row r="479" spans="2:11" ht="12.75" customHeight="1">
      <c r="B479" s="5"/>
      <c r="J479" s="7"/>
      <c r="K479" s="429"/>
    </row>
    <row r="480" spans="2:11" ht="12.75" customHeight="1">
      <c r="B480" s="5"/>
      <c r="J480" s="7"/>
      <c r="K480" s="429"/>
    </row>
    <row r="481" spans="2:11" ht="12.75" customHeight="1">
      <c r="B481" s="5"/>
      <c r="J481" s="7"/>
      <c r="K481" s="429"/>
    </row>
    <row r="482" spans="2:11" ht="12.75" customHeight="1">
      <c r="B482" s="5"/>
      <c r="J482" s="7"/>
      <c r="K482" s="429"/>
    </row>
    <row r="483" spans="2:11" ht="12.75" customHeight="1">
      <c r="B483" s="5"/>
      <c r="J483" s="7"/>
      <c r="K483" s="429"/>
    </row>
    <row r="484" spans="2:11" ht="12.75" customHeight="1">
      <c r="B484" s="5"/>
      <c r="J484" s="7"/>
      <c r="K484" s="429"/>
    </row>
    <row r="485" spans="2:11" ht="12.75" customHeight="1">
      <c r="B485" s="5"/>
      <c r="J485" s="7"/>
      <c r="K485" s="429"/>
    </row>
    <row r="486" spans="2:11" ht="12.75" customHeight="1">
      <c r="B486" s="5"/>
      <c r="J486" s="7"/>
      <c r="K486" s="429"/>
    </row>
    <row r="487" spans="2:11" ht="12.75" customHeight="1">
      <c r="B487" s="5"/>
      <c r="J487" s="7"/>
      <c r="K487" s="429"/>
    </row>
    <row r="488" spans="2:11" ht="12.75" customHeight="1">
      <c r="B488" s="5"/>
      <c r="J488" s="7"/>
      <c r="K488" s="429"/>
    </row>
    <row r="489" spans="2:11" ht="12.75" customHeight="1">
      <c r="B489" s="5"/>
      <c r="J489" s="7"/>
      <c r="K489" s="429"/>
    </row>
    <row r="490" spans="2:11" ht="12.75" customHeight="1">
      <c r="B490" s="5"/>
      <c r="J490" s="7"/>
      <c r="K490" s="429"/>
    </row>
    <row r="491" spans="2:11" ht="12.75" customHeight="1">
      <c r="B491" s="5"/>
      <c r="J491" s="7"/>
      <c r="K491" s="429"/>
    </row>
    <row r="492" spans="2:11" ht="12.75" customHeight="1">
      <c r="B492" s="5"/>
      <c r="J492" s="7"/>
      <c r="K492" s="429"/>
    </row>
    <row r="493" spans="2:11" ht="12.75" customHeight="1">
      <c r="B493" s="5"/>
      <c r="J493" s="7"/>
      <c r="K493" s="429"/>
    </row>
    <row r="494" spans="2:11" ht="12.75" customHeight="1">
      <c r="B494" s="5"/>
      <c r="J494" s="7"/>
      <c r="K494" s="429"/>
    </row>
    <row r="495" spans="2:11" ht="12.75" customHeight="1">
      <c r="B495" s="5"/>
      <c r="J495" s="7"/>
      <c r="K495" s="429"/>
    </row>
    <row r="496" spans="2:11" ht="12.75" customHeight="1">
      <c r="B496" s="5"/>
      <c r="J496" s="7"/>
      <c r="K496" s="429"/>
    </row>
    <row r="497" spans="2:11" ht="12.75" customHeight="1">
      <c r="B497" s="5"/>
      <c r="J497" s="7"/>
      <c r="K497" s="429"/>
    </row>
    <row r="498" spans="2:11" ht="12.75" customHeight="1">
      <c r="B498" s="5"/>
      <c r="J498" s="7"/>
      <c r="K498" s="429"/>
    </row>
    <row r="499" spans="2:11" ht="12.75" customHeight="1">
      <c r="B499" s="5"/>
      <c r="J499" s="7"/>
      <c r="K499" s="429"/>
    </row>
    <row r="500" spans="2:11" ht="12.75" customHeight="1">
      <c r="B500" s="5"/>
      <c r="J500" s="7"/>
      <c r="K500" s="429"/>
    </row>
    <row r="501" spans="2:11" ht="12.75" customHeight="1">
      <c r="B501" s="5"/>
      <c r="J501" s="7"/>
      <c r="K501" s="429"/>
    </row>
    <row r="502" spans="2:11" ht="12.75" customHeight="1">
      <c r="B502" s="5"/>
      <c r="J502" s="7"/>
      <c r="K502" s="429"/>
    </row>
    <row r="503" spans="2:11" ht="12.75" customHeight="1">
      <c r="B503" s="5"/>
      <c r="J503" s="7"/>
      <c r="K503" s="429"/>
    </row>
    <row r="504" spans="2:11" ht="12.75" customHeight="1">
      <c r="B504" s="5"/>
      <c r="J504" s="7"/>
      <c r="K504" s="429"/>
    </row>
    <row r="505" spans="2:11" ht="12.75" customHeight="1">
      <c r="B505" s="5"/>
      <c r="J505" s="7"/>
      <c r="K505" s="429"/>
    </row>
    <row r="506" spans="2:11" ht="12.75" customHeight="1">
      <c r="B506" s="5"/>
      <c r="J506" s="7"/>
      <c r="K506" s="429"/>
    </row>
    <row r="507" spans="2:11" ht="12.75" customHeight="1">
      <c r="B507" s="5"/>
      <c r="J507" s="7"/>
      <c r="K507" s="429"/>
    </row>
    <row r="508" spans="2:11" ht="12.75" customHeight="1">
      <c r="B508" s="5"/>
      <c r="J508" s="7"/>
      <c r="K508" s="429"/>
    </row>
    <row r="509" spans="2:11" ht="12.75" customHeight="1">
      <c r="B509" s="5"/>
      <c r="J509" s="7"/>
      <c r="K509" s="429"/>
    </row>
    <row r="510" spans="2:11" ht="12.75" customHeight="1">
      <c r="B510" s="5"/>
      <c r="J510" s="7"/>
      <c r="K510" s="429"/>
    </row>
    <row r="511" spans="2:11" ht="12.75" customHeight="1">
      <c r="B511" s="5"/>
      <c r="J511" s="7"/>
      <c r="K511" s="429"/>
    </row>
    <row r="512" spans="2:11" ht="12.75" customHeight="1">
      <c r="B512" s="5"/>
      <c r="J512" s="7"/>
      <c r="K512" s="429"/>
    </row>
    <row r="513" spans="2:11" ht="12.75" customHeight="1">
      <c r="B513" s="5"/>
      <c r="J513" s="7"/>
      <c r="K513" s="429"/>
    </row>
    <row r="514" spans="2:11" ht="12.75" customHeight="1">
      <c r="B514" s="5"/>
      <c r="J514" s="7"/>
      <c r="K514" s="429"/>
    </row>
    <row r="515" spans="2:11" ht="12.75" customHeight="1">
      <c r="B515" s="5"/>
      <c r="J515" s="7"/>
      <c r="K515" s="429"/>
    </row>
    <row r="516" spans="2:11" ht="12.75" customHeight="1">
      <c r="B516" s="5"/>
      <c r="J516" s="7"/>
      <c r="K516" s="429"/>
    </row>
    <row r="517" spans="2:11" ht="12.75" customHeight="1">
      <c r="B517" s="5"/>
      <c r="J517" s="7"/>
      <c r="K517" s="429"/>
    </row>
    <row r="518" spans="2:11" ht="12.75" customHeight="1">
      <c r="B518" s="5"/>
      <c r="J518" s="7"/>
      <c r="K518" s="429"/>
    </row>
    <row r="519" spans="2:11" ht="12.75" customHeight="1">
      <c r="B519" s="5"/>
      <c r="J519" s="7"/>
      <c r="K519" s="429"/>
    </row>
    <row r="520" spans="2:11" ht="12.75" customHeight="1">
      <c r="B520" s="5"/>
      <c r="J520" s="7"/>
      <c r="K520" s="429"/>
    </row>
    <row r="521" spans="2:11" ht="12.75" customHeight="1">
      <c r="B521" s="5"/>
      <c r="J521" s="7"/>
      <c r="K521" s="429"/>
    </row>
    <row r="522" spans="2:11" ht="12.75" customHeight="1">
      <c r="B522" s="5"/>
      <c r="J522" s="7"/>
      <c r="K522" s="429"/>
    </row>
    <row r="523" spans="2:11" ht="12.75" customHeight="1">
      <c r="B523" s="5"/>
      <c r="J523" s="7"/>
      <c r="K523" s="429"/>
    </row>
    <row r="524" spans="2:11" ht="12.75" customHeight="1">
      <c r="B524" s="5"/>
      <c r="J524" s="7"/>
      <c r="K524" s="429"/>
    </row>
    <row r="525" spans="2:11" ht="12.75" customHeight="1">
      <c r="B525" s="5"/>
      <c r="J525" s="7"/>
      <c r="K525" s="429"/>
    </row>
    <row r="526" spans="2:11" ht="12.75" customHeight="1">
      <c r="B526" s="5"/>
      <c r="J526" s="7"/>
      <c r="K526" s="429"/>
    </row>
    <row r="527" spans="2:11" ht="12.75" customHeight="1">
      <c r="B527" s="5"/>
      <c r="J527" s="7"/>
      <c r="K527" s="429"/>
    </row>
    <row r="528" spans="2:11" ht="12.75" customHeight="1">
      <c r="B528" s="5"/>
      <c r="J528" s="7"/>
      <c r="K528" s="429"/>
    </row>
    <row r="529" spans="2:11" ht="12.75" customHeight="1">
      <c r="B529" s="5"/>
      <c r="J529" s="7"/>
      <c r="K529" s="429"/>
    </row>
    <row r="530" spans="2:11" ht="12.75" customHeight="1">
      <c r="B530" s="5"/>
      <c r="J530" s="7"/>
      <c r="K530" s="429"/>
    </row>
    <row r="531" spans="2:11" ht="12.75" customHeight="1">
      <c r="B531" s="5"/>
      <c r="J531" s="7"/>
      <c r="K531" s="429"/>
    </row>
    <row r="532" spans="2:11" ht="12.75" customHeight="1">
      <c r="B532" s="5"/>
      <c r="J532" s="7"/>
      <c r="K532" s="429"/>
    </row>
    <row r="533" spans="2:11" ht="12.75" customHeight="1">
      <c r="B533" s="5"/>
      <c r="J533" s="7"/>
      <c r="K533" s="429"/>
    </row>
    <row r="534" spans="2:11" ht="12.75" customHeight="1">
      <c r="B534" s="5"/>
      <c r="J534" s="7"/>
      <c r="K534" s="429"/>
    </row>
    <row r="535" spans="2:11" ht="12.75" customHeight="1">
      <c r="B535" s="5"/>
      <c r="J535" s="7"/>
      <c r="K535" s="429"/>
    </row>
    <row r="536" spans="2:11" ht="12.75" customHeight="1">
      <c r="B536" s="5"/>
      <c r="J536" s="7"/>
      <c r="K536" s="429"/>
    </row>
    <row r="537" spans="2:11" ht="12.75" customHeight="1">
      <c r="B537" s="5"/>
      <c r="J537" s="7"/>
      <c r="K537" s="429"/>
    </row>
    <row r="538" spans="2:11" ht="12.75" customHeight="1">
      <c r="B538" s="5"/>
      <c r="J538" s="7"/>
      <c r="K538" s="429"/>
    </row>
    <row r="539" spans="2:11" ht="12.75" customHeight="1">
      <c r="B539" s="5"/>
      <c r="J539" s="7"/>
      <c r="K539" s="429"/>
    </row>
    <row r="540" spans="2:11" ht="12.75" customHeight="1">
      <c r="B540" s="5"/>
      <c r="J540" s="7"/>
      <c r="K540" s="429"/>
    </row>
    <row r="541" spans="2:11" ht="12.75" customHeight="1">
      <c r="B541" s="5"/>
      <c r="J541" s="7"/>
      <c r="K541" s="429"/>
    </row>
    <row r="542" spans="2:11" ht="12.75" customHeight="1">
      <c r="B542" s="5"/>
      <c r="J542" s="7"/>
      <c r="K542" s="429"/>
    </row>
    <row r="543" spans="2:11" ht="12.75" customHeight="1">
      <c r="B543" s="5"/>
      <c r="J543" s="7"/>
      <c r="K543" s="429"/>
    </row>
    <row r="544" spans="2:11" ht="12.75" customHeight="1">
      <c r="B544" s="5"/>
      <c r="J544" s="7"/>
      <c r="K544" s="429"/>
    </row>
    <row r="545" spans="2:11" ht="12.75" customHeight="1">
      <c r="B545" s="5"/>
      <c r="J545" s="7"/>
      <c r="K545" s="429"/>
    </row>
    <row r="546" spans="2:11" ht="12.75" customHeight="1">
      <c r="B546" s="5"/>
      <c r="J546" s="7"/>
      <c r="K546" s="429"/>
    </row>
    <row r="547" spans="2:11" ht="12.75" customHeight="1">
      <c r="B547" s="5"/>
      <c r="J547" s="7"/>
      <c r="K547" s="429"/>
    </row>
    <row r="548" spans="2:11" ht="12.75" customHeight="1">
      <c r="B548" s="5"/>
      <c r="J548" s="7"/>
      <c r="K548" s="429"/>
    </row>
    <row r="549" spans="2:11" ht="12.75" customHeight="1">
      <c r="B549" s="5"/>
      <c r="J549" s="7"/>
      <c r="K549" s="429"/>
    </row>
    <row r="550" spans="2:11" ht="12.75" customHeight="1">
      <c r="B550" s="5"/>
      <c r="J550" s="7"/>
      <c r="K550" s="429"/>
    </row>
    <row r="551" spans="2:11" ht="12.75" customHeight="1">
      <c r="B551" s="5"/>
      <c r="J551" s="7"/>
      <c r="K551" s="429"/>
    </row>
    <row r="552" spans="2:11" ht="12.75" customHeight="1">
      <c r="B552" s="5"/>
      <c r="J552" s="7"/>
      <c r="K552" s="429"/>
    </row>
    <row r="553" spans="2:11" ht="12.75" customHeight="1">
      <c r="B553" s="5"/>
      <c r="J553" s="7"/>
      <c r="K553" s="429"/>
    </row>
    <row r="554" spans="2:11" ht="12.75" customHeight="1">
      <c r="B554" s="5"/>
      <c r="J554" s="7"/>
      <c r="K554" s="429"/>
    </row>
    <row r="555" spans="2:11" ht="12.75" customHeight="1">
      <c r="B555" s="5"/>
      <c r="J555" s="7"/>
      <c r="K555" s="429"/>
    </row>
    <row r="556" spans="2:11" ht="12.75" customHeight="1">
      <c r="B556" s="5"/>
      <c r="J556" s="7"/>
      <c r="K556" s="429"/>
    </row>
    <row r="557" spans="2:11" ht="12.75" customHeight="1">
      <c r="B557" s="5"/>
      <c r="J557" s="7"/>
      <c r="K557" s="429"/>
    </row>
    <row r="558" spans="2:11" ht="12.75" customHeight="1">
      <c r="B558" s="5"/>
      <c r="J558" s="7"/>
      <c r="K558" s="429"/>
    </row>
    <row r="559" spans="2:11" ht="12.75" customHeight="1">
      <c r="B559" s="5"/>
      <c r="J559" s="7"/>
      <c r="K559" s="429"/>
    </row>
    <row r="560" spans="2:11" ht="12.75" customHeight="1">
      <c r="B560" s="5"/>
      <c r="J560" s="7"/>
      <c r="K560" s="429"/>
    </row>
    <row r="561" spans="2:11" ht="12.75" customHeight="1">
      <c r="B561" s="5"/>
      <c r="J561" s="7"/>
      <c r="K561" s="429"/>
    </row>
    <row r="562" spans="2:11" ht="12.75" customHeight="1">
      <c r="B562" s="5"/>
      <c r="J562" s="7"/>
      <c r="K562" s="429"/>
    </row>
    <row r="563" spans="2:11" ht="12.75" customHeight="1">
      <c r="B563" s="5"/>
      <c r="J563" s="7"/>
      <c r="K563" s="429"/>
    </row>
    <row r="564" spans="2:11" ht="12.75" customHeight="1">
      <c r="B564" s="5"/>
      <c r="J564" s="7"/>
      <c r="K564" s="429"/>
    </row>
    <row r="565" spans="2:11" ht="12.75" customHeight="1">
      <c r="B565" s="5"/>
      <c r="J565" s="7"/>
      <c r="K565" s="429"/>
    </row>
    <row r="566" spans="2:11" ht="12.75" customHeight="1">
      <c r="B566" s="5"/>
      <c r="J566" s="7"/>
      <c r="K566" s="429"/>
    </row>
    <row r="567" spans="2:11" ht="12.75" customHeight="1">
      <c r="B567" s="5"/>
      <c r="J567" s="7"/>
      <c r="K567" s="429"/>
    </row>
    <row r="568" spans="2:11" ht="12.75" customHeight="1">
      <c r="B568" s="5"/>
      <c r="J568" s="7"/>
      <c r="K568" s="429"/>
    </row>
    <row r="569" spans="2:11" ht="12.75" customHeight="1">
      <c r="B569" s="5"/>
      <c r="J569" s="7"/>
      <c r="K569" s="429"/>
    </row>
    <row r="570" spans="2:11" ht="12.75" customHeight="1">
      <c r="B570" s="5"/>
      <c r="J570" s="7"/>
      <c r="K570" s="429"/>
    </row>
    <row r="571" spans="2:11" ht="12.75" customHeight="1">
      <c r="B571" s="5"/>
      <c r="J571" s="7"/>
      <c r="K571" s="429"/>
    </row>
    <row r="572" spans="2:11" ht="12.75" customHeight="1">
      <c r="B572" s="5"/>
      <c r="J572" s="7"/>
      <c r="K572" s="429"/>
    </row>
    <row r="573" spans="2:11" ht="12.75" customHeight="1">
      <c r="B573" s="5"/>
      <c r="J573" s="7"/>
      <c r="K573" s="429"/>
    </row>
    <row r="574" spans="2:11" ht="12.75" customHeight="1">
      <c r="B574" s="5"/>
      <c r="J574" s="7"/>
      <c r="K574" s="429"/>
    </row>
    <row r="575" spans="2:11" ht="12.75" customHeight="1">
      <c r="B575" s="5"/>
      <c r="J575" s="7"/>
      <c r="K575" s="429"/>
    </row>
    <row r="576" spans="2:11" ht="12.75" customHeight="1">
      <c r="B576" s="5"/>
      <c r="J576" s="7"/>
      <c r="K576" s="429"/>
    </row>
    <row r="577" spans="2:11" ht="12.75" customHeight="1">
      <c r="B577" s="5"/>
      <c r="J577" s="7"/>
      <c r="K577" s="429"/>
    </row>
    <row r="578" spans="2:11" ht="12.75" customHeight="1">
      <c r="B578" s="5"/>
      <c r="J578" s="7"/>
      <c r="K578" s="429"/>
    </row>
    <row r="579" spans="2:11" ht="12.75" customHeight="1">
      <c r="B579" s="5"/>
      <c r="J579" s="7"/>
      <c r="K579" s="429"/>
    </row>
    <row r="580" spans="2:11" ht="12.75" customHeight="1">
      <c r="B580" s="5"/>
      <c r="J580" s="7"/>
      <c r="K580" s="429"/>
    </row>
    <row r="581" spans="2:11" ht="12.75" customHeight="1">
      <c r="B581" s="5"/>
      <c r="J581" s="7"/>
      <c r="K581" s="429"/>
    </row>
    <row r="582" spans="2:11" ht="12.75" customHeight="1">
      <c r="B582" s="5"/>
      <c r="J582" s="7"/>
      <c r="K582" s="429"/>
    </row>
    <row r="583" spans="2:11" ht="12.75" customHeight="1">
      <c r="B583" s="5"/>
      <c r="J583" s="7"/>
      <c r="K583" s="429"/>
    </row>
    <row r="584" spans="2:11" ht="12.75" customHeight="1">
      <c r="B584" s="5"/>
      <c r="J584" s="7"/>
      <c r="K584" s="429"/>
    </row>
    <row r="585" spans="2:11" ht="12.75" customHeight="1">
      <c r="B585" s="5"/>
      <c r="J585" s="7"/>
      <c r="K585" s="429"/>
    </row>
    <row r="586" spans="2:11" ht="12.75" customHeight="1">
      <c r="B586" s="5"/>
      <c r="J586" s="7"/>
      <c r="K586" s="429"/>
    </row>
    <row r="587" spans="2:11" ht="12.75" customHeight="1">
      <c r="B587" s="5"/>
      <c r="J587" s="7"/>
      <c r="K587" s="429"/>
    </row>
    <row r="588" spans="2:11" ht="12.75" customHeight="1">
      <c r="B588" s="5"/>
      <c r="J588" s="7"/>
      <c r="K588" s="429"/>
    </row>
    <row r="589" spans="2:11" ht="12.75" customHeight="1">
      <c r="B589" s="5"/>
      <c r="J589" s="7"/>
      <c r="K589" s="429"/>
    </row>
    <row r="590" spans="2:11" ht="12.75" customHeight="1">
      <c r="B590" s="5"/>
      <c r="J590" s="7"/>
      <c r="K590" s="429"/>
    </row>
    <row r="591" spans="2:11" ht="12.75" customHeight="1">
      <c r="B591" s="5"/>
      <c r="J591" s="7"/>
      <c r="K591" s="429"/>
    </row>
    <row r="592" spans="2:11" ht="12.75" customHeight="1">
      <c r="B592" s="5"/>
      <c r="J592" s="7"/>
      <c r="K592" s="429"/>
    </row>
    <row r="593" spans="2:11" ht="12.75" customHeight="1">
      <c r="B593" s="5"/>
      <c r="J593" s="7"/>
      <c r="K593" s="429"/>
    </row>
    <row r="594" spans="2:11" ht="12.75" customHeight="1">
      <c r="B594" s="5"/>
      <c r="J594" s="7"/>
      <c r="K594" s="429"/>
    </row>
    <row r="595" spans="2:11" ht="12.75" customHeight="1">
      <c r="B595" s="5"/>
      <c r="J595" s="7"/>
      <c r="K595" s="429"/>
    </row>
    <row r="596" spans="2:11" ht="12.75" customHeight="1">
      <c r="B596" s="5"/>
      <c r="J596" s="7"/>
      <c r="K596" s="429"/>
    </row>
    <row r="597" spans="2:11" ht="12.75" customHeight="1">
      <c r="B597" s="5"/>
      <c r="J597" s="7"/>
      <c r="K597" s="429"/>
    </row>
    <row r="598" spans="2:11" ht="12.75" customHeight="1">
      <c r="B598" s="5"/>
      <c r="J598" s="7"/>
      <c r="K598" s="429"/>
    </row>
    <row r="599" spans="2:11" ht="12.75" customHeight="1">
      <c r="B599" s="5"/>
      <c r="J599" s="7"/>
      <c r="K599" s="429"/>
    </row>
    <row r="600" spans="2:11" ht="12.75" customHeight="1">
      <c r="B600" s="5"/>
      <c r="J600" s="7"/>
      <c r="K600" s="429"/>
    </row>
    <row r="601" spans="2:11" ht="12.75" customHeight="1">
      <c r="B601" s="5"/>
      <c r="J601" s="7"/>
      <c r="K601" s="429"/>
    </row>
    <row r="602" spans="2:11" ht="12.75" customHeight="1">
      <c r="B602" s="5"/>
      <c r="J602" s="7"/>
      <c r="K602" s="429"/>
    </row>
    <row r="603" spans="2:11" ht="12.75" customHeight="1">
      <c r="B603" s="5"/>
      <c r="J603" s="7"/>
      <c r="K603" s="429"/>
    </row>
    <row r="604" spans="2:11" ht="12.75" customHeight="1">
      <c r="B604" s="5"/>
      <c r="J604" s="7"/>
      <c r="K604" s="429"/>
    </row>
    <row r="605" spans="2:11" ht="12.75" customHeight="1">
      <c r="B605" s="5"/>
      <c r="J605" s="7"/>
      <c r="K605" s="429"/>
    </row>
    <row r="606" spans="2:11" ht="12.75" customHeight="1">
      <c r="B606" s="5"/>
      <c r="J606" s="7"/>
      <c r="K606" s="429"/>
    </row>
    <row r="607" spans="2:11" ht="12.75" customHeight="1">
      <c r="B607" s="5"/>
      <c r="J607" s="7"/>
      <c r="K607" s="429"/>
    </row>
    <row r="608" spans="2:11" ht="12.75" customHeight="1">
      <c r="B608" s="5"/>
      <c r="J608" s="7"/>
      <c r="K608" s="429"/>
    </row>
    <row r="609" spans="2:11" ht="12.75" customHeight="1">
      <c r="B609" s="5"/>
      <c r="J609" s="7"/>
      <c r="K609" s="429"/>
    </row>
    <row r="610" spans="2:11" ht="12.75" customHeight="1">
      <c r="B610" s="5"/>
      <c r="J610" s="7"/>
      <c r="K610" s="429"/>
    </row>
    <row r="611" spans="2:11" ht="12.75" customHeight="1">
      <c r="B611" s="5"/>
      <c r="J611" s="7"/>
      <c r="K611" s="429"/>
    </row>
    <row r="612" spans="2:11" ht="12.75" customHeight="1">
      <c r="B612" s="5"/>
      <c r="J612" s="7"/>
      <c r="K612" s="429"/>
    </row>
    <row r="613" spans="2:11" ht="12.75" customHeight="1">
      <c r="B613" s="5"/>
      <c r="J613" s="7"/>
      <c r="K613" s="429"/>
    </row>
    <row r="614" spans="2:11" ht="12.75" customHeight="1">
      <c r="B614" s="5"/>
      <c r="J614" s="7"/>
      <c r="K614" s="429"/>
    </row>
    <row r="615" spans="2:11" ht="12.75" customHeight="1">
      <c r="B615" s="5"/>
      <c r="J615" s="7"/>
      <c r="K615" s="429"/>
    </row>
    <row r="616" spans="2:11" ht="12.75" customHeight="1">
      <c r="B616" s="5"/>
      <c r="J616" s="7"/>
      <c r="K616" s="429"/>
    </row>
    <row r="617" spans="2:11" ht="12.75" customHeight="1">
      <c r="B617" s="5"/>
      <c r="J617" s="7"/>
      <c r="K617" s="429"/>
    </row>
    <row r="618" spans="2:11" ht="12.75" customHeight="1">
      <c r="B618" s="5"/>
      <c r="J618" s="7"/>
      <c r="K618" s="429"/>
    </row>
    <row r="619" spans="2:11" ht="12.75" customHeight="1">
      <c r="B619" s="5"/>
      <c r="J619" s="7"/>
      <c r="K619" s="429"/>
    </row>
    <row r="620" spans="2:11" ht="12.75" customHeight="1">
      <c r="B620" s="5"/>
      <c r="J620" s="7"/>
      <c r="K620" s="429"/>
    </row>
    <row r="621" spans="2:11" ht="12.75" customHeight="1">
      <c r="B621" s="5"/>
      <c r="J621" s="7"/>
      <c r="K621" s="429"/>
    </row>
    <row r="622" spans="2:11" ht="12.75" customHeight="1">
      <c r="B622" s="5"/>
      <c r="J622" s="7"/>
      <c r="K622" s="429"/>
    </row>
    <row r="623" spans="2:11" ht="12.75" customHeight="1">
      <c r="B623" s="5"/>
      <c r="J623" s="7"/>
      <c r="K623" s="429"/>
    </row>
    <row r="624" spans="2:11" ht="12.75" customHeight="1">
      <c r="B624" s="5"/>
      <c r="J624" s="7"/>
      <c r="K624" s="429"/>
    </row>
    <row r="625" spans="2:11" ht="12.75" customHeight="1">
      <c r="B625" s="5"/>
      <c r="J625" s="7"/>
      <c r="K625" s="429"/>
    </row>
    <row r="626" spans="2:11" ht="12.75" customHeight="1">
      <c r="B626" s="5"/>
      <c r="J626" s="7"/>
      <c r="K626" s="429"/>
    </row>
    <row r="627" spans="2:11" ht="12.75" customHeight="1">
      <c r="B627" s="5"/>
      <c r="J627" s="7"/>
      <c r="K627" s="429"/>
    </row>
    <row r="628" spans="2:11" ht="12.75" customHeight="1">
      <c r="B628" s="5"/>
      <c r="J628" s="7"/>
      <c r="K628" s="429"/>
    </row>
    <row r="629" spans="2:11" ht="12.75" customHeight="1">
      <c r="B629" s="5"/>
      <c r="J629" s="7"/>
      <c r="K629" s="429"/>
    </row>
    <row r="630" spans="2:11" ht="12.75" customHeight="1">
      <c r="B630" s="5"/>
      <c r="J630" s="7"/>
      <c r="K630" s="429"/>
    </row>
    <row r="631" spans="2:11" ht="12.75" customHeight="1">
      <c r="B631" s="5"/>
      <c r="J631" s="7"/>
      <c r="K631" s="429"/>
    </row>
    <row r="632" spans="2:11" ht="12.75" customHeight="1">
      <c r="B632" s="5"/>
      <c r="J632" s="7"/>
      <c r="K632" s="429"/>
    </row>
    <row r="633" spans="2:11" ht="12.75" customHeight="1">
      <c r="B633" s="5"/>
      <c r="J633" s="7"/>
      <c r="K633" s="429"/>
    </row>
    <row r="634" spans="2:11" ht="12.75" customHeight="1">
      <c r="B634" s="5"/>
      <c r="J634" s="7"/>
      <c r="K634" s="429"/>
    </row>
    <row r="635" spans="2:11" ht="12.75" customHeight="1">
      <c r="B635" s="5"/>
      <c r="J635" s="7"/>
      <c r="K635" s="429"/>
    </row>
    <row r="636" spans="2:11" ht="12.75" customHeight="1">
      <c r="B636" s="5"/>
      <c r="J636" s="7"/>
      <c r="K636" s="429"/>
    </row>
    <row r="637" spans="2:11" ht="12.75" customHeight="1">
      <c r="B637" s="5"/>
      <c r="J637" s="7"/>
      <c r="K637" s="429"/>
    </row>
    <row r="638" spans="2:11" ht="12.75" customHeight="1">
      <c r="B638" s="5"/>
      <c r="J638" s="7"/>
      <c r="K638" s="429"/>
    </row>
    <row r="639" spans="2:11" ht="12.75" customHeight="1">
      <c r="B639" s="5"/>
      <c r="J639" s="7"/>
      <c r="K639" s="429"/>
    </row>
    <row r="640" spans="2:11" ht="12.75" customHeight="1">
      <c r="B640" s="5"/>
      <c r="J640" s="7"/>
      <c r="K640" s="429"/>
    </row>
    <row r="641" spans="2:11" ht="12.75" customHeight="1">
      <c r="B641" s="5"/>
      <c r="J641" s="7"/>
      <c r="K641" s="429"/>
    </row>
    <row r="642" spans="2:11" ht="12.75" customHeight="1">
      <c r="B642" s="5"/>
      <c r="J642" s="7"/>
      <c r="K642" s="429"/>
    </row>
    <row r="643" spans="2:11" ht="12.75" customHeight="1">
      <c r="B643" s="5"/>
      <c r="J643" s="7"/>
      <c r="K643" s="429"/>
    </row>
    <row r="644" spans="2:11" ht="12.75" customHeight="1">
      <c r="B644" s="5"/>
      <c r="J644" s="7"/>
      <c r="K644" s="429"/>
    </row>
    <row r="645" spans="2:11" ht="12.75" customHeight="1">
      <c r="B645" s="5"/>
      <c r="J645" s="7"/>
      <c r="K645" s="429"/>
    </row>
    <row r="646" spans="2:11" ht="12.75" customHeight="1">
      <c r="B646" s="5"/>
      <c r="J646" s="7"/>
      <c r="K646" s="429"/>
    </row>
    <row r="647" spans="2:11" ht="12.75" customHeight="1">
      <c r="B647" s="5"/>
      <c r="J647" s="7"/>
      <c r="K647" s="429"/>
    </row>
    <row r="648" spans="2:11" ht="12.75" customHeight="1">
      <c r="B648" s="5"/>
      <c r="J648" s="7"/>
      <c r="K648" s="429"/>
    </row>
    <row r="649" spans="2:11" ht="12.75" customHeight="1">
      <c r="B649" s="5"/>
      <c r="J649" s="7"/>
      <c r="K649" s="429"/>
    </row>
    <row r="650" spans="2:11" ht="12.75" customHeight="1">
      <c r="B650" s="5"/>
      <c r="J650" s="7"/>
      <c r="K650" s="429"/>
    </row>
    <row r="651" spans="2:11" ht="12.75" customHeight="1">
      <c r="B651" s="5"/>
      <c r="J651" s="7"/>
      <c r="K651" s="429"/>
    </row>
    <row r="652" spans="2:11" ht="12.75" customHeight="1">
      <c r="B652" s="5"/>
      <c r="J652" s="7"/>
      <c r="K652" s="429"/>
    </row>
    <row r="653" spans="2:11" ht="12.75" customHeight="1">
      <c r="B653" s="5"/>
      <c r="J653" s="7"/>
      <c r="K653" s="429"/>
    </row>
    <row r="654" spans="2:11" ht="12.75" customHeight="1">
      <c r="B654" s="5"/>
      <c r="J654" s="7"/>
      <c r="K654" s="429"/>
    </row>
    <row r="655" spans="2:11" ht="12.75" customHeight="1">
      <c r="B655" s="5"/>
      <c r="J655" s="7"/>
      <c r="K655" s="429"/>
    </row>
    <row r="656" spans="2:11" ht="12.75" customHeight="1">
      <c r="B656" s="5"/>
      <c r="J656" s="7"/>
      <c r="K656" s="429"/>
    </row>
    <row r="657" spans="2:11" ht="12.75" customHeight="1">
      <c r="B657" s="5"/>
      <c r="J657" s="7"/>
      <c r="K657" s="429"/>
    </row>
    <row r="658" spans="2:11" ht="12.75" customHeight="1">
      <c r="B658" s="5"/>
      <c r="J658" s="7"/>
      <c r="K658" s="429"/>
    </row>
    <row r="659" spans="2:11" ht="12.75" customHeight="1">
      <c r="B659" s="5"/>
      <c r="J659" s="7"/>
      <c r="K659" s="429"/>
    </row>
    <row r="660" spans="2:11" ht="12.75" customHeight="1">
      <c r="B660" s="5"/>
      <c r="J660" s="7"/>
      <c r="K660" s="429"/>
    </row>
    <row r="661" spans="2:11" ht="12.75" customHeight="1">
      <c r="B661" s="5"/>
      <c r="J661" s="7"/>
      <c r="K661" s="429"/>
    </row>
    <row r="662" spans="2:11" ht="12.75" customHeight="1">
      <c r="B662" s="5"/>
      <c r="J662" s="7"/>
      <c r="K662" s="429"/>
    </row>
    <row r="663" spans="2:11" ht="12.75" customHeight="1">
      <c r="B663" s="5"/>
      <c r="J663" s="7"/>
      <c r="K663" s="429"/>
    </row>
    <row r="664" spans="2:11" ht="12.75" customHeight="1">
      <c r="B664" s="5"/>
      <c r="J664" s="7"/>
      <c r="K664" s="429"/>
    </row>
    <row r="665" spans="2:11" ht="12.75" customHeight="1">
      <c r="B665" s="5"/>
      <c r="J665" s="7"/>
      <c r="K665" s="429"/>
    </row>
    <row r="666" spans="2:11" ht="12.75" customHeight="1">
      <c r="B666" s="5"/>
      <c r="J666" s="7"/>
      <c r="K666" s="429"/>
    </row>
    <row r="667" spans="2:11" ht="12.75" customHeight="1">
      <c r="B667" s="5"/>
      <c r="J667" s="7"/>
      <c r="K667" s="429"/>
    </row>
    <row r="668" spans="2:11" ht="12.75" customHeight="1">
      <c r="B668" s="5"/>
      <c r="J668" s="7"/>
      <c r="K668" s="429"/>
    </row>
    <row r="669" spans="2:11" ht="12.75" customHeight="1">
      <c r="B669" s="5"/>
      <c r="J669" s="7"/>
      <c r="K669" s="429"/>
    </row>
    <row r="670" spans="2:11" ht="12.75" customHeight="1">
      <c r="B670" s="5"/>
      <c r="J670" s="7"/>
      <c r="K670" s="429"/>
    </row>
    <row r="671" spans="2:11" ht="12.75" customHeight="1">
      <c r="B671" s="5"/>
      <c r="J671" s="7"/>
      <c r="K671" s="429"/>
    </row>
    <row r="672" spans="2:11" ht="12.75" customHeight="1">
      <c r="B672" s="5"/>
      <c r="J672" s="7"/>
      <c r="K672" s="429"/>
    </row>
    <row r="673" spans="2:11" ht="12.75" customHeight="1">
      <c r="B673" s="5"/>
      <c r="J673" s="7"/>
      <c r="K673" s="429"/>
    </row>
    <row r="674" spans="2:11" ht="12.75" customHeight="1">
      <c r="B674" s="5"/>
      <c r="J674" s="7"/>
      <c r="K674" s="429"/>
    </row>
    <row r="675" spans="2:11" ht="12.75" customHeight="1">
      <c r="B675" s="5"/>
      <c r="J675" s="7"/>
      <c r="K675" s="429"/>
    </row>
    <row r="676" spans="2:11" ht="12.75" customHeight="1">
      <c r="B676" s="5"/>
      <c r="J676" s="7"/>
      <c r="K676" s="429"/>
    </row>
    <row r="677" spans="2:11" ht="12.75" customHeight="1">
      <c r="B677" s="5"/>
      <c r="J677" s="7"/>
      <c r="K677" s="429"/>
    </row>
    <row r="678" spans="2:11" ht="12.75" customHeight="1">
      <c r="B678" s="5"/>
      <c r="J678" s="7"/>
      <c r="K678" s="429"/>
    </row>
    <row r="679" spans="2:11" ht="12.75" customHeight="1">
      <c r="B679" s="5"/>
      <c r="J679" s="7"/>
      <c r="K679" s="429"/>
    </row>
    <row r="680" spans="2:11" ht="12.75" customHeight="1">
      <c r="B680" s="5"/>
      <c r="J680" s="7"/>
      <c r="K680" s="429"/>
    </row>
    <row r="681" spans="2:11" ht="12.75" customHeight="1">
      <c r="B681" s="5"/>
      <c r="J681" s="7"/>
      <c r="K681" s="429"/>
    </row>
    <row r="682" spans="2:11" ht="12.75" customHeight="1">
      <c r="B682" s="5"/>
      <c r="J682" s="7"/>
      <c r="K682" s="429"/>
    </row>
    <row r="683" spans="2:11" ht="12.75" customHeight="1">
      <c r="B683" s="5"/>
      <c r="J683" s="7"/>
      <c r="K683" s="429"/>
    </row>
    <row r="684" spans="2:11" ht="12.75" customHeight="1">
      <c r="B684" s="5"/>
      <c r="J684" s="7"/>
      <c r="K684" s="429"/>
    </row>
    <row r="685" spans="2:11" ht="12.75" customHeight="1">
      <c r="B685" s="5"/>
      <c r="J685" s="7"/>
      <c r="K685" s="429"/>
    </row>
    <row r="686" spans="2:11" ht="12.75" customHeight="1">
      <c r="B686" s="5"/>
      <c r="J686" s="7"/>
      <c r="K686" s="429"/>
    </row>
    <row r="687" spans="2:11" ht="12.75" customHeight="1">
      <c r="B687" s="5"/>
      <c r="J687" s="7"/>
      <c r="K687" s="429"/>
    </row>
    <row r="688" spans="2:11" ht="12.75" customHeight="1">
      <c r="B688" s="5"/>
      <c r="J688" s="7"/>
      <c r="K688" s="429"/>
    </row>
    <row r="689" spans="2:11" ht="12.75" customHeight="1">
      <c r="B689" s="5"/>
      <c r="J689" s="7"/>
      <c r="K689" s="429"/>
    </row>
    <row r="690" spans="2:11" ht="12.75" customHeight="1">
      <c r="B690" s="5"/>
      <c r="J690" s="7"/>
      <c r="K690" s="429"/>
    </row>
    <row r="691" spans="2:11" ht="12.75" customHeight="1">
      <c r="B691" s="5"/>
      <c r="J691" s="7"/>
      <c r="K691" s="429"/>
    </row>
    <row r="692" spans="2:11" ht="12.75" customHeight="1">
      <c r="B692" s="5"/>
      <c r="J692" s="7"/>
      <c r="K692" s="429"/>
    </row>
    <row r="693" spans="2:11" ht="12.75" customHeight="1">
      <c r="B693" s="5"/>
      <c r="J693" s="7"/>
      <c r="K693" s="429"/>
    </row>
    <row r="694" spans="2:11" ht="12.75" customHeight="1">
      <c r="B694" s="5"/>
      <c r="J694" s="7"/>
      <c r="K694" s="429"/>
    </row>
    <row r="695" spans="2:11" ht="12.75" customHeight="1">
      <c r="B695" s="5"/>
      <c r="J695" s="7"/>
      <c r="K695" s="429"/>
    </row>
    <row r="696" spans="2:11" ht="12.75" customHeight="1">
      <c r="B696" s="5"/>
      <c r="J696" s="7"/>
      <c r="K696" s="429"/>
    </row>
    <row r="697" spans="2:11" ht="12.75" customHeight="1">
      <c r="B697" s="5"/>
      <c r="J697" s="7"/>
      <c r="K697" s="429"/>
    </row>
    <row r="698" spans="2:11" ht="12.75" customHeight="1">
      <c r="B698" s="5"/>
      <c r="J698" s="7"/>
      <c r="K698" s="429"/>
    </row>
    <row r="699" spans="2:11" ht="12.75" customHeight="1">
      <c r="B699" s="5"/>
      <c r="J699" s="7"/>
      <c r="K699" s="429"/>
    </row>
    <row r="700" spans="2:11" ht="12.75" customHeight="1">
      <c r="B700" s="5"/>
      <c r="J700" s="7"/>
      <c r="K700" s="429"/>
    </row>
    <row r="701" spans="2:11" ht="12.75" customHeight="1">
      <c r="B701" s="5"/>
      <c r="J701" s="7"/>
      <c r="K701" s="429"/>
    </row>
    <row r="702" spans="2:11" ht="12.75" customHeight="1">
      <c r="B702" s="5"/>
      <c r="J702" s="7"/>
      <c r="K702" s="429"/>
    </row>
    <row r="703" spans="2:11" ht="12.75" customHeight="1">
      <c r="B703" s="5"/>
      <c r="J703" s="7"/>
      <c r="K703" s="429"/>
    </row>
    <row r="704" spans="2:11" ht="12.75" customHeight="1">
      <c r="B704" s="5"/>
      <c r="J704" s="7"/>
      <c r="K704" s="429"/>
    </row>
    <row r="705" spans="2:11" ht="12.75" customHeight="1">
      <c r="B705" s="5"/>
      <c r="J705" s="7"/>
      <c r="K705" s="429"/>
    </row>
    <row r="706" spans="2:11" ht="12.75" customHeight="1">
      <c r="B706" s="5"/>
      <c r="J706" s="7"/>
      <c r="K706" s="429"/>
    </row>
    <row r="707" spans="2:11" ht="12.75" customHeight="1">
      <c r="B707" s="5"/>
      <c r="J707" s="7"/>
      <c r="K707" s="429"/>
    </row>
    <row r="708" spans="2:11" ht="12.75" customHeight="1">
      <c r="B708" s="5"/>
      <c r="J708" s="7"/>
      <c r="K708" s="429"/>
    </row>
    <row r="709" spans="2:11" ht="12.75" customHeight="1">
      <c r="B709" s="5"/>
      <c r="J709" s="7"/>
      <c r="K709" s="429"/>
    </row>
    <row r="710" spans="2:11" ht="12.75" customHeight="1">
      <c r="B710" s="5"/>
      <c r="J710" s="7"/>
      <c r="K710" s="429"/>
    </row>
    <row r="711" spans="2:11" ht="12.75" customHeight="1">
      <c r="B711" s="5"/>
      <c r="J711" s="7"/>
      <c r="K711" s="429"/>
    </row>
    <row r="712" spans="2:11" ht="12.75" customHeight="1">
      <c r="B712" s="5"/>
      <c r="J712" s="7"/>
      <c r="K712" s="429"/>
    </row>
    <row r="713" spans="2:11" ht="12.75" customHeight="1">
      <c r="B713" s="5"/>
      <c r="J713" s="7"/>
      <c r="K713" s="429"/>
    </row>
    <row r="714" spans="2:11" ht="12.75" customHeight="1">
      <c r="B714" s="5"/>
      <c r="J714" s="7"/>
      <c r="K714" s="429"/>
    </row>
    <row r="715" spans="2:11" ht="12.75" customHeight="1">
      <c r="B715" s="5"/>
      <c r="J715" s="7"/>
      <c r="K715" s="429"/>
    </row>
    <row r="716" spans="2:11" ht="12.75" customHeight="1">
      <c r="B716" s="5"/>
      <c r="J716" s="7"/>
      <c r="K716" s="429"/>
    </row>
    <row r="717" spans="2:11" ht="12.75" customHeight="1">
      <c r="B717" s="5"/>
      <c r="J717" s="7"/>
      <c r="K717" s="429"/>
    </row>
    <row r="718" spans="2:11" ht="12.75" customHeight="1">
      <c r="B718" s="5"/>
      <c r="J718" s="7"/>
      <c r="K718" s="429"/>
    </row>
    <row r="719" spans="2:11" ht="12.75" customHeight="1">
      <c r="B719" s="5"/>
      <c r="J719" s="7"/>
      <c r="K719" s="429"/>
    </row>
    <row r="720" spans="2:11" ht="12.75" customHeight="1">
      <c r="B720" s="5"/>
      <c r="J720" s="7"/>
      <c r="K720" s="429"/>
    </row>
    <row r="721" spans="2:11" ht="12.75" customHeight="1">
      <c r="B721" s="5"/>
      <c r="J721" s="7"/>
      <c r="K721" s="429"/>
    </row>
    <row r="722" spans="2:11" ht="12.75" customHeight="1">
      <c r="B722" s="5"/>
      <c r="J722" s="7"/>
      <c r="K722" s="429"/>
    </row>
    <row r="723" spans="2:11" ht="12.75" customHeight="1">
      <c r="B723" s="5"/>
      <c r="J723" s="7"/>
      <c r="K723" s="429"/>
    </row>
    <row r="724" spans="2:11" ht="12.75" customHeight="1">
      <c r="B724" s="5"/>
      <c r="J724" s="7"/>
      <c r="K724" s="429"/>
    </row>
    <row r="725" spans="2:11" ht="12.75" customHeight="1">
      <c r="B725" s="5"/>
      <c r="J725" s="7"/>
      <c r="K725" s="429"/>
    </row>
    <row r="726" spans="2:11" ht="12.75" customHeight="1">
      <c r="B726" s="5"/>
      <c r="J726" s="7"/>
      <c r="K726" s="429"/>
    </row>
    <row r="727" spans="2:11" ht="12.75" customHeight="1">
      <c r="B727" s="5"/>
      <c r="J727" s="7"/>
      <c r="K727" s="429"/>
    </row>
    <row r="728" spans="2:11" ht="12.75" customHeight="1">
      <c r="B728" s="5"/>
      <c r="J728" s="7"/>
      <c r="K728" s="429"/>
    </row>
    <row r="729" spans="2:11" ht="12.75" customHeight="1">
      <c r="B729" s="5"/>
      <c r="J729" s="7"/>
      <c r="K729" s="429"/>
    </row>
    <row r="730" spans="2:11" ht="12.75" customHeight="1">
      <c r="B730" s="5"/>
      <c r="J730" s="7"/>
      <c r="K730" s="429"/>
    </row>
    <row r="731" spans="2:11" ht="12.75" customHeight="1">
      <c r="B731" s="5"/>
      <c r="J731" s="7"/>
      <c r="K731" s="429"/>
    </row>
    <row r="732" spans="2:11" ht="12.75" customHeight="1">
      <c r="B732" s="5"/>
      <c r="J732" s="7"/>
      <c r="K732" s="429"/>
    </row>
    <row r="733" spans="2:11" ht="12.75" customHeight="1">
      <c r="B733" s="5"/>
      <c r="J733" s="7"/>
      <c r="K733" s="429"/>
    </row>
    <row r="734" spans="2:11" ht="12.75" customHeight="1">
      <c r="B734" s="5"/>
      <c r="J734" s="7"/>
      <c r="K734" s="429"/>
    </row>
    <row r="735" spans="2:11" ht="12.75" customHeight="1">
      <c r="B735" s="5"/>
      <c r="J735" s="7"/>
      <c r="K735" s="429"/>
    </row>
    <row r="736" spans="2:11" ht="12.75" customHeight="1">
      <c r="B736" s="5"/>
      <c r="J736" s="7"/>
      <c r="K736" s="429"/>
    </row>
    <row r="737" spans="2:11" ht="12.75" customHeight="1">
      <c r="B737" s="5"/>
      <c r="J737" s="7"/>
      <c r="K737" s="429"/>
    </row>
    <row r="738" spans="2:11" ht="12.75" customHeight="1">
      <c r="B738" s="5"/>
      <c r="J738" s="7"/>
      <c r="K738" s="429"/>
    </row>
    <row r="739" spans="2:11" ht="12.75" customHeight="1">
      <c r="B739" s="5"/>
      <c r="J739" s="7"/>
      <c r="K739" s="429"/>
    </row>
    <row r="740" spans="2:11" ht="12.75" customHeight="1">
      <c r="B740" s="5"/>
      <c r="J740" s="7"/>
      <c r="K740" s="429"/>
    </row>
    <row r="741" spans="2:11" ht="12.75" customHeight="1">
      <c r="B741" s="5"/>
      <c r="J741" s="7"/>
      <c r="K741" s="429"/>
    </row>
    <row r="742" spans="2:11" ht="12.75" customHeight="1">
      <c r="B742" s="5"/>
      <c r="J742" s="7"/>
      <c r="K742" s="429"/>
    </row>
    <row r="743" spans="2:11" ht="12.75" customHeight="1">
      <c r="B743" s="5"/>
      <c r="J743" s="7"/>
      <c r="K743" s="429"/>
    </row>
    <row r="744" spans="2:11" ht="12.75" customHeight="1">
      <c r="B744" s="5"/>
      <c r="J744" s="7"/>
      <c r="K744" s="429"/>
    </row>
    <row r="745" spans="2:11" ht="12.75" customHeight="1">
      <c r="B745" s="5"/>
      <c r="J745" s="7"/>
      <c r="K745" s="429"/>
    </row>
    <row r="746" spans="2:11" ht="12.75" customHeight="1">
      <c r="B746" s="5"/>
      <c r="J746" s="7"/>
      <c r="K746" s="429"/>
    </row>
    <row r="747" spans="2:11" ht="12.75" customHeight="1">
      <c r="B747" s="5"/>
      <c r="J747" s="7"/>
      <c r="K747" s="429"/>
    </row>
    <row r="748" spans="2:11" ht="12.75" customHeight="1">
      <c r="B748" s="5"/>
      <c r="J748" s="7"/>
      <c r="K748" s="429"/>
    </row>
    <row r="749" spans="2:11" ht="12.75" customHeight="1">
      <c r="B749" s="5"/>
      <c r="J749" s="7"/>
      <c r="K749" s="429"/>
    </row>
    <row r="750" spans="2:11" ht="12.75" customHeight="1">
      <c r="B750" s="5"/>
      <c r="J750" s="7"/>
      <c r="K750" s="429"/>
    </row>
    <row r="751" spans="2:11" ht="12.75" customHeight="1">
      <c r="B751" s="5"/>
      <c r="J751" s="7"/>
      <c r="K751" s="429"/>
    </row>
    <row r="752" spans="2:11" ht="12.75" customHeight="1">
      <c r="B752" s="5"/>
      <c r="J752" s="7"/>
      <c r="K752" s="429"/>
    </row>
    <row r="753" spans="2:11" ht="12.75" customHeight="1">
      <c r="B753" s="5"/>
      <c r="J753" s="7"/>
      <c r="K753" s="429"/>
    </row>
    <row r="754" spans="2:11" ht="12.75" customHeight="1">
      <c r="B754" s="5"/>
      <c r="J754" s="7"/>
      <c r="K754" s="429"/>
    </row>
    <row r="755" spans="2:11" ht="12.75" customHeight="1">
      <c r="B755" s="5"/>
      <c r="J755" s="7"/>
      <c r="K755" s="429"/>
    </row>
    <row r="756" spans="2:11" ht="12.75" customHeight="1">
      <c r="B756" s="5"/>
      <c r="J756" s="7"/>
      <c r="K756" s="429"/>
    </row>
    <row r="757" spans="2:11" ht="12.75" customHeight="1">
      <c r="B757" s="5"/>
      <c r="J757" s="7"/>
      <c r="K757" s="429"/>
    </row>
    <row r="758" spans="2:11" ht="12.75" customHeight="1">
      <c r="B758" s="5"/>
      <c r="J758" s="7"/>
      <c r="K758" s="429"/>
    </row>
    <row r="759" spans="2:11" ht="12.75" customHeight="1">
      <c r="B759" s="5"/>
      <c r="J759" s="7"/>
      <c r="K759" s="429"/>
    </row>
    <row r="760" spans="2:11" ht="12.75" customHeight="1">
      <c r="B760" s="5"/>
      <c r="J760" s="7"/>
      <c r="K760" s="429"/>
    </row>
    <row r="761" spans="2:11" ht="12.75" customHeight="1">
      <c r="B761" s="5"/>
      <c r="J761" s="7"/>
      <c r="K761" s="429"/>
    </row>
    <row r="762" spans="2:11" ht="12.75" customHeight="1">
      <c r="B762" s="5"/>
      <c r="J762" s="7"/>
      <c r="K762" s="429"/>
    </row>
    <row r="763" spans="2:11" ht="12.75" customHeight="1">
      <c r="B763" s="5"/>
      <c r="J763" s="7"/>
      <c r="K763" s="429"/>
    </row>
    <row r="764" spans="2:11" ht="12.75" customHeight="1">
      <c r="B764" s="5"/>
      <c r="J764" s="7"/>
      <c r="K764" s="429"/>
    </row>
    <row r="765" spans="2:11" ht="12.75" customHeight="1">
      <c r="B765" s="5"/>
      <c r="J765" s="7"/>
      <c r="K765" s="429"/>
    </row>
    <row r="766" spans="2:11" ht="12.75" customHeight="1">
      <c r="B766" s="5"/>
      <c r="J766" s="7"/>
      <c r="K766" s="429"/>
    </row>
    <row r="767" spans="2:11" ht="12.75" customHeight="1">
      <c r="B767" s="5"/>
      <c r="J767" s="7"/>
      <c r="K767" s="429"/>
    </row>
    <row r="768" spans="2:11" ht="12.75" customHeight="1">
      <c r="B768" s="5"/>
      <c r="J768" s="7"/>
      <c r="K768" s="429"/>
    </row>
    <row r="769" spans="2:11" ht="12.75" customHeight="1">
      <c r="B769" s="5"/>
      <c r="J769" s="7"/>
      <c r="K769" s="429"/>
    </row>
    <row r="770" spans="2:11" ht="12.75" customHeight="1">
      <c r="B770" s="5"/>
      <c r="J770" s="7"/>
      <c r="K770" s="429"/>
    </row>
    <row r="771" spans="2:11" ht="12.75" customHeight="1">
      <c r="B771" s="5"/>
      <c r="J771" s="7"/>
      <c r="K771" s="429"/>
    </row>
    <row r="772" spans="2:11" ht="12.75" customHeight="1">
      <c r="B772" s="5"/>
      <c r="J772" s="7"/>
      <c r="K772" s="429"/>
    </row>
    <row r="773" spans="2:11" ht="12.75" customHeight="1">
      <c r="B773" s="5"/>
      <c r="J773" s="7"/>
      <c r="K773" s="429"/>
    </row>
    <row r="774" spans="2:11" ht="12.75" customHeight="1">
      <c r="B774" s="5"/>
      <c r="J774" s="7"/>
      <c r="K774" s="429"/>
    </row>
    <row r="775" spans="2:11" ht="12.75" customHeight="1">
      <c r="B775" s="5"/>
      <c r="J775" s="7"/>
      <c r="K775" s="429"/>
    </row>
    <row r="776" spans="2:11" ht="12.75" customHeight="1">
      <c r="B776" s="5"/>
      <c r="J776" s="7"/>
      <c r="K776" s="429"/>
    </row>
    <row r="777" spans="2:11" ht="12.75" customHeight="1">
      <c r="B777" s="5"/>
      <c r="J777" s="7"/>
      <c r="K777" s="429"/>
    </row>
    <row r="778" spans="2:11" ht="12.75" customHeight="1">
      <c r="B778" s="5"/>
      <c r="J778" s="7"/>
      <c r="K778" s="429"/>
    </row>
    <row r="779" spans="2:11" ht="12.75" customHeight="1">
      <c r="B779" s="5"/>
      <c r="J779" s="7"/>
      <c r="K779" s="429"/>
    </row>
    <row r="780" spans="2:11" ht="12.75" customHeight="1">
      <c r="B780" s="5"/>
      <c r="J780" s="7"/>
      <c r="K780" s="429"/>
    </row>
    <row r="781" spans="2:11" ht="12.75" customHeight="1">
      <c r="B781" s="5"/>
      <c r="J781" s="7"/>
      <c r="K781" s="429"/>
    </row>
    <row r="782" spans="2:11" ht="12.75" customHeight="1">
      <c r="B782" s="5"/>
      <c r="J782" s="7"/>
      <c r="K782" s="429"/>
    </row>
    <row r="783" spans="2:11" ht="12.75" customHeight="1">
      <c r="B783" s="5"/>
      <c r="J783" s="7"/>
      <c r="K783" s="429"/>
    </row>
    <row r="784" spans="2:11" ht="12.75" customHeight="1">
      <c r="B784" s="5"/>
      <c r="J784" s="7"/>
      <c r="K784" s="429"/>
    </row>
    <row r="785" spans="2:11" ht="12.75" customHeight="1">
      <c r="B785" s="5"/>
      <c r="J785" s="7"/>
      <c r="K785" s="429"/>
    </row>
    <row r="786" spans="2:11" ht="12.75" customHeight="1">
      <c r="B786" s="5"/>
      <c r="J786" s="7"/>
      <c r="K786" s="429"/>
    </row>
    <row r="787" spans="2:11" ht="12.75" customHeight="1">
      <c r="B787" s="5"/>
      <c r="J787" s="7"/>
      <c r="K787" s="429"/>
    </row>
    <row r="788" spans="2:11" ht="12.75" customHeight="1">
      <c r="B788" s="5"/>
      <c r="J788" s="7"/>
      <c r="K788" s="429"/>
    </row>
    <row r="789" spans="2:11" ht="12.75" customHeight="1">
      <c r="B789" s="5"/>
      <c r="J789" s="7"/>
      <c r="K789" s="429"/>
    </row>
    <row r="790" spans="2:11" ht="12.75" customHeight="1">
      <c r="B790" s="5"/>
      <c r="J790" s="7"/>
      <c r="K790" s="429"/>
    </row>
    <row r="791" spans="2:11" ht="12.75" customHeight="1">
      <c r="B791" s="5"/>
      <c r="J791" s="7"/>
      <c r="K791" s="429"/>
    </row>
    <row r="792" spans="2:11" ht="12.75" customHeight="1">
      <c r="B792" s="5"/>
      <c r="J792" s="7"/>
      <c r="K792" s="429"/>
    </row>
    <row r="793" spans="2:11" ht="12.75" customHeight="1">
      <c r="B793" s="5"/>
      <c r="J793" s="7"/>
      <c r="K793" s="429"/>
    </row>
    <row r="794" spans="2:11" ht="12.75" customHeight="1">
      <c r="B794" s="5"/>
      <c r="J794" s="7"/>
      <c r="K794" s="429"/>
    </row>
    <row r="795" spans="2:11" ht="12.75" customHeight="1">
      <c r="B795" s="5"/>
      <c r="J795" s="7"/>
      <c r="K795" s="429"/>
    </row>
    <row r="796" spans="2:11" ht="12.75" customHeight="1">
      <c r="B796" s="5"/>
      <c r="J796" s="7"/>
      <c r="K796" s="429"/>
    </row>
    <row r="797" spans="2:11" ht="12.75" customHeight="1">
      <c r="B797" s="5"/>
      <c r="J797" s="7"/>
      <c r="K797" s="429"/>
    </row>
    <row r="798" spans="2:11" ht="12.75" customHeight="1">
      <c r="B798" s="5"/>
      <c r="J798" s="7"/>
      <c r="K798" s="429"/>
    </row>
    <row r="799" spans="2:11" ht="12.75" customHeight="1">
      <c r="B799" s="5"/>
      <c r="J799" s="7"/>
      <c r="K799" s="429"/>
    </row>
    <row r="800" spans="2:11" ht="12.75" customHeight="1">
      <c r="B800" s="5"/>
      <c r="J800" s="7"/>
      <c r="K800" s="429"/>
    </row>
    <row r="801" spans="2:11" ht="12.75" customHeight="1">
      <c r="B801" s="5"/>
      <c r="J801" s="7"/>
      <c r="K801" s="429"/>
    </row>
    <row r="802" spans="2:11" ht="12.75" customHeight="1">
      <c r="B802" s="5"/>
      <c r="J802" s="7"/>
      <c r="K802" s="429"/>
    </row>
    <row r="803" spans="2:11" ht="12.75" customHeight="1">
      <c r="B803" s="5"/>
      <c r="J803" s="7"/>
      <c r="K803" s="429"/>
    </row>
    <row r="804" spans="2:11" ht="12.75" customHeight="1">
      <c r="B804" s="5"/>
      <c r="J804" s="7"/>
      <c r="K804" s="429"/>
    </row>
    <row r="805" spans="2:11" ht="12.75" customHeight="1">
      <c r="B805" s="5"/>
      <c r="J805" s="7"/>
      <c r="K805" s="429"/>
    </row>
    <row r="806" spans="2:11" ht="12.75" customHeight="1">
      <c r="B806" s="5"/>
      <c r="J806" s="7"/>
      <c r="K806" s="429"/>
    </row>
    <row r="807" spans="2:11" ht="12.75" customHeight="1">
      <c r="B807" s="5"/>
      <c r="J807" s="7"/>
      <c r="K807" s="429"/>
    </row>
    <row r="808" spans="2:11" ht="12.75" customHeight="1">
      <c r="B808" s="5"/>
      <c r="J808" s="7"/>
      <c r="K808" s="429"/>
    </row>
    <row r="809" spans="2:11" ht="12.75" customHeight="1">
      <c r="B809" s="5"/>
      <c r="J809" s="7"/>
      <c r="K809" s="429"/>
    </row>
    <row r="810" spans="2:11" ht="12.75" customHeight="1">
      <c r="B810" s="5"/>
      <c r="J810" s="7"/>
      <c r="K810" s="429"/>
    </row>
    <row r="811" spans="2:11" ht="12.75" customHeight="1">
      <c r="B811" s="5"/>
      <c r="J811" s="7"/>
      <c r="K811" s="429"/>
    </row>
    <row r="812" spans="2:11" ht="12.75" customHeight="1">
      <c r="B812" s="5"/>
      <c r="J812" s="7"/>
      <c r="K812" s="429"/>
    </row>
    <row r="813" spans="2:11" ht="12.75" customHeight="1">
      <c r="B813" s="5"/>
      <c r="J813" s="7"/>
      <c r="K813" s="429"/>
    </row>
    <row r="814" spans="2:11" ht="12.75" customHeight="1">
      <c r="B814" s="5"/>
      <c r="J814" s="7"/>
      <c r="K814" s="429"/>
    </row>
    <row r="815" spans="2:11" ht="12.75" customHeight="1">
      <c r="B815" s="5"/>
      <c r="J815" s="7"/>
      <c r="K815" s="429"/>
    </row>
    <row r="816" spans="2:11" ht="12.75" customHeight="1">
      <c r="B816" s="5"/>
      <c r="J816" s="7"/>
      <c r="K816" s="429"/>
    </row>
    <row r="817" spans="2:11" ht="12.75" customHeight="1">
      <c r="B817" s="5"/>
      <c r="J817" s="7"/>
      <c r="K817" s="429"/>
    </row>
    <row r="818" spans="2:11" ht="12.75" customHeight="1">
      <c r="B818" s="5"/>
      <c r="J818" s="7"/>
      <c r="K818" s="429"/>
    </row>
    <row r="819" spans="2:11" ht="12.75" customHeight="1">
      <c r="B819" s="5"/>
      <c r="J819" s="7"/>
      <c r="K819" s="429"/>
    </row>
    <row r="820" spans="2:11" ht="12.75" customHeight="1">
      <c r="B820" s="5"/>
      <c r="J820" s="7"/>
      <c r="K820" s="429"/>
    </row>
    <row r="821" spans="2:11" ht="12.75" customHeight="1">
      <c r="B821" s="5"/>
      <c r="J821" s="7"/>
      <c r="K821" s="429"/>
    </row>
    <row r="822" spans="2:11" ht="12.75" customHeight="1">
      <c r="B822" s="5"/>
      <c r="J822" s="7"/>
      <c r="K822" s="429"/>
    </row>
    <row r="823" spans="2:11" ht="12.75" customHeight="1">
      <c r="B823" s="5"/>
      <c r="J823" s="7"/>
      <c r="K823" s="429"/>
    </row>
    <row r="824" spans="2:11" ht="12.75" customHeight="1">
      <c r="B824" s="5"/>
      <c r="J824" s="7"/>
      <c r="K824" s="429"/>
    </row>
    <row r="825" spans="2:11" ht="12.75" customHeight="1">
      <c r="B825" s="5"/>
      <c r="J825" s="7"/>
      <c r="K825" s="429"/>
    </row>
    <row r="826" spans="2:11" ht="12.75" customHeight="1">
      <c r="B826" s="5"/>
      <c r="J826" s="7"/>
      <c r="K826" s="429"/>
    </row>
    <row r="827" spans="2:11" ht="12.75" customHeight="1">
      <c r="B827" s="5"/>
      <c r="J827" s="7"/>
      <c r="K827" s="429"/>
    </row>
    <row r="828" spans="2:11" ht="12.75" customHeight="1">
      <c r="B828" s="5"/>
      <c r="J828" s="7"/>
      <c r="K828" s="429"/>
    </row>
    <row r="829" spans="2:11" ht="12.75" customHeight="1">
      <c r="B829" s="5"/>
      <c r="J829" s="7"/>
      <c r="K829" s="429"/>
    </row>
    <row r="830" spans="2:11" ht="12.75" customHeight="1">
      <c r="B830" s="5"/>
      <c r="J830" s="7"/>
      <c r="K830" s="429"/>
    </row>
    <row r="831" spans="2:11" ht="12.75" customHeight="1">
      <c r="B831" s="5"/>
      <c r="J831" s="7"/>
      <c r="K831" s="429"/>
    </row>
    <row r="832" spans="2:11" ht="12.75" customHeight="1">
      <c r="B832" s="5"/>
      <c r="J832" s="7"/>
      <c r="K832" s="429"/>
    </row>
    <row r="833" spans="2:11" ht="12.75" customHeight="1">
      <c r="B833" s="5"/>
      <c r="J833" s="7"/>
      <c r="K833" s="429"/>
    </row>
    <row r="834" spans="2:11" ht="12.75" customHeight="1">
      <c r="B834" s="5"/>
      <c r="J834" s="7"/>
      <c r="K834" s="429"/>
    </row>
    <row r="835" spans="2:11" ht="12.75" customHeight="1">
      <c r="B835" s="5"/>
      <c r="J835" s="7"/>
      <c r="K835" s="429"/>
    </row>
    <row r="836" spans="2:11" ht="12.75" customHeight="1">
      <c r="B836" s="5"/>
      <c r="J836" s="7"/>
      <c r="K836" s="429"/>
    </row>
    <row r="837" spans="2:11" ht="12.75" customHeight="1">
      <c r="B837" s="5"/>
      <c r="J837" s="7"/>
      <c r="K837" s="429"/>
    </row>
    <row r="838" spans="2:11" ht="12.75" customHeight="1">
      <c r="B838" s="5"/>
      <c r="J838" s="7"/>
      <c r="K838" s="429"/>
    </row>
    <row r="839" spans="2:11" ht="12.75" customHeight="1">
      <c r="B839" s="5"/>
      <c r="J839" s="7"/>
      <c r="K839" s="429"/>
    </row>
    <row r="840" spans="2:11" ht="12.75" customHeight="1">
      <c r="B840" s="5"/>
      <c r="J840" s="7"/>
      <c r="K840" s="429"/>
    </row>
    <row r="841" spans="2:11" ht="12.75" customHeight="1">
      <c r="B841" s="5"/>
      <c r="J841" s="7"/>
      <c r="K841" s="429"/>
    </row>
    <row r="842" spans="2:11" ht="12.75" customHeight="1">
      <c r="B842" s="5"/>
      <c r="J842" s="7"/>
      <c r="K842" s="429"/>
    </row>
    <row r="843" spans="2:11" ht="12.75" customHeight="1">
      <c r="B843" s="5"/>
      <c r="J843" s="7"/>
      <c r="K843" s="429"/>
    </row>
    <row r="844" spans="2:11" ht="12.75" customHeight="1">
      <c r="B844" s="5"/>
      <c r="J844" s="7"/>
      <c r="K844" s="429"/>
    </row>
    <row r="845" spans="2:11" ht="12.75" customHeight="1">
      <c r="B845" s="5"/>
      <c r="J845" s="7"/>
      <c r="K845" s="429"/>
    </row>
    <row r="846" spans="2:11" ht="12.75" customHeight="1">
      <c r="B846" s="5"/>
      <c r="J846" s="7"/>
      <c r="K846" s="429"/>
    </row>
    <row r="847" spans="2:11" ht="12.75" customHeight="1">
      <c r="B847" s="5"/>
      <c r="J847" s="7"/>
      <c r="K847" s="429"/>
    </row>
    <row r="848" spans="2:11" ht="12.75" customHeight="1">
      <c r="B848" s="5"/>
      <c r="J848" s="7"/>
      <c r="K848" s="429"/>
    </row>
    <row r="849" spans="2:11" ht="12.75" customHeight="1">
      <c r="B849" s="5"/>
      <c r="J849" s="7"/>
      <c r="K849" s="429"/>
    </row>
    <row r="850" spans="2:11" ht="12.75" customHeight="1">
      <c r="B850" s="5"/>
      <c r="J850" s="7"/>
      <c r="K850" s="429"/>
    </row>
    <row r="851" spans="2:11" ht="12.75" customHeight="1">
      <c r="B851" s="5"/>
      <c r="J851" s="7"/>
      <c r="K851" s="429"/>
    </row>
    <row r="852" spans="2:11" ht="12.75" customHeight="1">
      <c r="B852" s="5"/>
      <c r="J852" s="7"/>
      <c r="K852" s="429"/>
    </row>
    <row r="853" spans="2:11" ht="12.75" customHeight="1">
      <c r="B853" s="5"/>
      <c r="J853" s="7"/>
      <c r="K853" s="429"/>
    </row>
    <row r="854" spans="2:11" ht="12.75" customHeight="1">
      <c r="B854" s="5"/>
      <c r="J854" s="7"/>
      <c r="K854" s="429"/>
    </row>
    <row r="855" spans="2:11" ht="12.75" customHeight="1">
      <c r="B855" s="5"/>
      <c r="J855" s="7"/>
      <c r="K855" s="429"/>
    </row>
    <row r="856" spans="2:11" ht="12.75" customHeight="1">
      <c r="B856" s="5"/>
      <c r="J856" s="7"/>
      <c r="K856" s="429"/>
    </row>
    <row r="857" spans="2:11" ht="12.75" customHeight="1">
      <c r="B857" s="5"/>
      <c r="J857" s="7"/>
      <c r="K857" s="429"/>
    </row>
    <row r="858" spans="2:11" ht="12.75" customHeight="1">
      <c r="B858" s="5"/>
      <c r="J858" s="7"/>
      <c r="K858" s="429"/>
    </row>
    <row r="859" spans="2:11" ht="12.75" customHeight="1">
      <c r="B859" s="5"/>
      <c r="J859" s="7"/>
      <c r="K859" s="429"/>
    </row>
    <row r="860" spans="2:11" ht="12.75" customHeight="1">
      <c r="B860" s="5"/>
      <c r="J860" s="7"/>
      <c r="K860" s="429"/>
    </row>
    <row r="861" spans="2:11" ht="12.75" customHeight="1">
      <c r="B861" s="5"/>
      <c r="J861" s="7"/>
      <c r="K861" s="429"/>
    </row>
    <row r="862" spans="2:11" ht="12.75" customHeight="1">
      <c r="B862" s="5"/>
      <c r="J862" s="7"/>
      <c r="K862" s="429"/>
    </row>
    <row r="863" spans="2:11" ht="12.75" customHeight="1">
      <c r="B863" s="5"/>
      <c r="J863" s="7"/>
      <c r="K863" s="429"/>
    </row>
    <row r="864" spans="2:11" ht="12.75" customHeight="1">
      <c r="B864" s="5"/>
      <c r="J864" s="7"/>
      <c r="K864" s="429"/>
    </row>
    <row r="865" spans="2:11" ht="12.75" customHeight="1">
      <c r="B865" s="5"/>
      <c r="J865" s="7"/>
      <c r="K865" s="429"/>
    </row>
    <row r="866" spans="2:11" ht="12.75" customHeight="1">
      <c r="B866" s="5"/>
      <c r="J866" s="7"/>
      <c r="K866" s="429"/>
    </row>
    <row r="867" spans="2:11" ht="12.75" customHeight="1">
      <c r="B867" s="5"/>
      <c r="J867" s="7"/>
      <c r="K867" s="429"/>
    </row>
    <row r="868" spans="2:11" ht="12.75" customHeight="1">
      <c r="B868" s="5"/>
      <c r="J868" s="7"/>
      <c r="K868" s="429"/>
    </row>
    <row r="869" spans="2:11" ht="12.75" customHeight="1">
      <c r="B869" s="5"/>
      <c r="J869" s="7"/>
      <c r="K869" s="429"/>
    </row>
    <row r="870" spans="2:11" ht="12.75" customHeight="1">
      <c r="B870" s="5"/>
      <c r="J870" s="7"/>
      <c r="K870" s="429"/>
    </row>
    <row r="871" spans="2:11" ht="12.75" customHeight="1">
      <c r="B871" s="5"/>
      <c r="J871" s="7"/>
      <c r="K871" s="429"/>
    </row>
    <row r="872" spans="2:11" ht="12.75" customHeight="1">
      <c r="B872" s="5"/>
      <c r="J872" s="7"/>
      <c r="K872" s="429"/>
    </row>
    <row r="873" spans="2:11" ht="12.75" customHeight="1">
      <c r="B873" s="5"/>
      <c r="J873" s="7"/>
      <c r="K873" s="429"/>
    </row>
    <row r="874" spans="2:11" ht="12.75" customHeight="1">
      <c r="B874" s="5"/>
      <c r="J874" s="7"/>
      <c r="K874" s="429"/>
    </row>
    <row r="875" spans="2:11" ht="12.75" customHeight="1">
      <c r="B875" s="5"/>
      <c r="J875" s="7"/>
      <c r="K875" s="429"/>
    </row>
    <row r="876" spans="2:11" ht="12.75" customHeight="1">
      <c r="B876" s="5"/>
      <c r="J876" s="7"/>
      <c r="K876" s="429"/>
    </row>
    <row r="877" spans="2:11" ht="12.75" customHeight="1">
      <c r="B877" s="5"/>
      <c r="J877" s="7"/>
      <c r="K877" s="429"/>
    </row>
    <row r="878" spans="2:11" ht="12.75" customHeight="1">
      <c r="B878" s="5"/>
      <c r="J878" s="7"/>
      <c r="K878" s="429"/>
    </row>
    <row r="879" spans="2:11" ht="12.75" customHeight="1">
      <c r="B879" s="5"/>
      <c r="J879" s="7"/>
      <c r="K879" s="429"/>
    </row>
    <row r="880" spans="2:11" ht="12.75" customHeight="1">
      <c r="B880" s="5"/>
      <c r="J880" s="7"/>
      <c r="K880" s="429"/>
    </row>
    <row r="881" spans="2:11" ht="12.75" customHeight="1">
      <c r="B881" s="5"/>
      <c r="J881" s="7"/>
      <c r="K881" s="429"/>
    </row>
    <row r="882" spans="2:11" ht="12.75" customHeight="1">
      <c r="B882" s="5"/>
      <c r="J882" s="7"/>
      <c r="K882" s="429"/>
    </row>
    <row r="883" spans="2:11" ht="12.75" customHeight="1">
      <c r="B883" s="5"/>
      <c r="J883" s="7"/>
      <c r="K883" s="429"/>
    </row>
    <row r="884" spans="2:11" ht="12.75" customHeight="1">
      <c r="B884" s="5"/>
      <c r="J884" s="7"/>
      <c r="K884" s="429"/>
    </row>
    <row r="885" spans="2:11" ht="12.75" customHeight="1">
      <c r="B885" s="5"/>
      <c r="J885" s="7"/>
      <c r="K885" s="429"/>
    </row>
    <row r="886" spans="2:11" ht="12.75" customHeight="1">
      <c r="B886" s="5"/>
      <c r="J886" s="7"/>
      <c r="K886" s="429"/>
    </row>
    <row r="887" spans="2:11" ht="12.75" customHeight="1">
      <c r="B887" s="5"/>
      <c r="J887" s="7"/>
      <c r="K887" s="429"/>
    </row>
    <row r="888" spans="2:11" ht="12.75" customHeight="1">
      <c r="B888" s="5"/>
      <c r="J888" s="7"/>
      <c r="K888" s="429"/>
    </row>
    <row r="889" spans="2:11" ht="12.75" customHeight="1">
      <c r="B889" s="5"/>
      <c r="J889" s="7"/>
      <c r="K889" s="429"/>
    </row>
    <row r="890" spans="2:11" ht="12.75" customHeight="1">
      <c r="B890" s="5"/>
      <c r="J890" s="7"/>
      <c r="K890" s="429"/>
    </row>
    <row r="891" spans="2:11" ht="12.75" customHeight="1">
      <c r="B891" s="5"/>
      <c r="J891" s="7"/>
      <c r="K891" s="429"/>
    </row>
    <row r="892" spans="2:11" ht="12.75" customHeight="1">
      <c r="B892" s="5"/>
      <c r="J892" s="7"/>
      <c r="K892" s="429"/>
    </row>
    <row r="893" spans="2:11" ht="12.75" customHeight="1">
      <c r="B893" s="5"/>
      <c r="J893" s="7"/>
      <c r="K893" s="429"/>
    </row>
    <row r="894" spans="2:11" ht="12.75" customHeight="1">
      <c r="B894" s="5"/>
      <c r="J894" s="7"/>
      <c r="K894" s="429"/>
    </row>
    <row r="895" spans="2:11" ht="12.75" customHeight="1">
      <c r="B895" s="5"/>
      <c r="J895" s="7"/>
      <c r="K895" s="429"/>
    </row>
    <row r="896" spans="2:11" ht="12.75" customHeight="1">
      <c r="B896" s="5"/>
      <c r="J896" s="7"/>
      <c r="K896" s="429"/>
    </row>
    <row r="897" spans="2:11" ht="12.75" customHeight="1">
      <c r="B897" s="5"/>
      <c r="J897" s="7"/>
      <c r="K897" s="429"/>
    </row>
    <row r="898" spans="2:11" ht="12.75" customHeight="1">
      <c r="B898" s="5"/>
      <c r="J898" s="7"/>
      <c r="K898" s="429"/>
    </row>
    <row r="899" spans="2:11" ht="12.75" customHeight="1">
      <c r="B899" s="5"/>
      <c r="J899" s="7"/>
      <c r="K899" s="429"/>
    </row>
    <row r="900" spans="2:11" ht="12.75" customHeight="1">
      <c r="B900" s="5"/>
      <c r="J900" s="7"/>
      <c r="K900" s="429"/>
    </row>
    <row r="901" spans="2:11" ht="12.75" customHeight="1">
      <c r="B901" s="5"/>
      <c r="J901" s="7"/>
      <c r="K901" s="429"/>
    </row>
    <row r="902" spans="2:11" ht="12.75" customHeight="1">
      <c r="B902" s="5"/>
      <c r="J902" s="7"/>
      <c r="K902" s="429"/>
    </row>
    <row r="903" spans="2:11" ht="12.75" customHeight="1">
      <c r="B903" s="5"/>
      <c r="J903" s="7"/>
      <c r="K903" s="429"/>
    </row>
    <row r="904" spans="2:11" ht="12.75" customHeight="1">
      <c r="B904" s="5"/>
      <c r="J904" s="7"/>
      <c r="K904" s="429"/>
    </row>
    <row r="905" spans="2:11" ht="12.75" customHeight="1">
      <c r="B905" s="5"/>
      <c r="J905" s="7"/>
      <c r="K905" s="429"/>
    </row>
    <row r="906" spans="2:11" ht="12.75" customHeight="1">
      <c r="B906" s="5"/>
      <c r="J906" s="7"/>
      <c r="K906" s="429"/>
    </row>
    <row r="907" spans="2:11" ht="12.75" customHeight="1">
      <c r="B907" s="5"/>
      <c r="J907" s="7"/>
      <c r="K907" s="429"/>
    </row>
    <row r="908" spans="2:11" ht="12.75" customHeight="1">
      <c r="B908" s="5"/>
      <c r="J908" s="7"/>
      <c r="K908" s="429"/>
    </row>
    <row r="909" spans="2:11" ht="12.75" customHeight="1">
      <c r="B909" s="5"/>
      <c r="J909" s="7"/>
      <c r="K909" s="429"/>
    </row>
    <row r="910" spans="2:11" ht="12.75" customHeight="1">
      <c r="B910" s="5"/>
      <c r="J910" s="7"/>
      <c r="K910" s="429"/>
    </row>
    <row r="911" spans="2:11" ht="12.75" customHeight="1">
      <c r="B911" s="5"/>
      <c r="J911" s="7"/>
      <c r="K911" s="429"/>
    </row>
    <row r="912" spans="2:11" ht="12.75" customHeight="1">
      <c r="B912" s="5"/>
      <c r="J912" s="7"/>
      <c r="K912" s="429"/>
    </row>
    <row r="913" spans="2:11" ht="12.75" customHeight="1">
      <c r="B913" s="5"/>
      <c r="J913" s="7"/>
      <c r="K913" s="429"/>
    </row>
    <row r="914" spans="2:11" ht="12.75" customHeight="1">
      <c r="B914" s="5"/>
      <c r="J914" s="7"/>
      <c r="K914" s="429"/>
    </row>
    <row r="915" spans="2:11" ht="12.75" customHeight="1">
      <c r="B915" s="5"/>
      <c r="J915" s="7"/>
      <c r="K915" s="429"/>
    </row>
    <row r="916" spans="2:11" ht="12.75" customHeight="1">
      <c r="B916" s="5"/>
      <c r="J916" s="7"/>
      <c r="K916" s="429"/>
    </row>
    <row r="917" spans="2:11" ht="12.75" customHeight="1">
      <c r="B917" s="5"/>
      <c r="J917" s="7"/>
      <c r="K917" s="429"/>
    </row>
    <row r="918" spans="2:11" ht="12.75" customHeight="1">
      <c r="B918" s="5"/>
      <c r="J918" s="7"/>
      <c r="K918" s="429"/>
    </row>
    <row r="919" spans="2:11" ht="12.75" customHeight="1">
      <c r="B919" s="5"/>
      <c r="J919" s="7"/>
      <c r="K919" s="429"/>
    </row>
    <row r="920" spans="2:11" ht="12.75" customHeight="1">
      <c r="B920" s="5"/>
      <c r="J920" s="7"/>
      <c r="K920" s="429"/>
    </row>
    <row r="921" spans="2:11" ht="12.75" customHeight="1">
      <c r="B921" s="5"/>
      <c r="J921" s="7"/>
      <c r="K921" s="429"/>
    </row>
    <row r="922" spans="2:11" ht="12.75" customHeight="1">
      <c r="B922" s="5"/>
      <c r="J922" s="7"/>
      <c r="K922" s="429"/>
    </row>
    <row r="923" spans="2:11" ht="12.75" customHeight="1">
      <c r="B923" s="5"/>
      <c r="J923" s="7"/>
      <c r="K923" s="429"/>
    </row>
    <row r="924" spans="2:11" ht="12.75" customHeight="1">
      <c r="B924" s="5"/>
      <c r="J924" s="7"/>
      <c r="K924" s="429"/>
    </row>
    <row r="925" spans="2:11" ht="12.75" customHeight="1">
      <c r="B925" s="5"/>
      <c r="J925" s="7"/>
      <c r="K925" s="429"/>
    </row>
    <row r="926" spans="2:11" ht="12.75" customHeight="1">
      <c r="B926" s="5"/>
      <c r="J926" s="7"/>
      <c r="K926" s="429"/>
    </row>
    <row r="927" spans="2:11" ht="12.75" customHeight="1">
      <c r="B927" s="5"/>
      <c r="J927" s="7"/>
      <c r="K927" s="429"/>
    </row>
    <row r="928" spans="2:11" ht="12.75" customHeight="1">
      <c r="B928" s="5"/>
      <c r="J928" s="7"/>
      <c r="K928" s="429"/>
    </row>
    <row r="929" spans="2:11" ht="12.75" customHeight="1">
      <c r="B929" s="5"/>
      <c r="J929" s="7"/>
      <c r="K929" s="429"/>
    </row>
    <row r="930" spans="2:11" ht="12.75" customHeight="1">
      <c r="B930" s="5"/>
      <c r="J930" s="7"/>
      <c r="K930" s="429"/>
    </row>
    <row r="931" spans="2:11" ht="12.75" customHeight="1">
      <c r="B931" s="5"/>
      <c r="J931" s="7"/>
      <c r="K931" s="429"/>
    </row>
    <row r="932" spans="2:11" ht="12.75" customHeight="1">
      <c r="B932" s="5"/>
      <c r="J932" s="7"/>
      <c r="K932" s="429"/>
    </row>
    <row r="933" spans="2:11" ht="12.75" customHeight="1">
      <c r="B933" s="5"/>
      <c r="J933" s="7"/>
      <c r="K933" s="429"/>
    </row>
    <row r="934" spans="2:11" ht="12.75" customHeight="1">
      <c r="B934" s="5"/>
      <c r="J934" s="7"/>
      <c r="K934" s="429"/>
    </row>
    <row r="935" spans="2:11" ht="12.75" customHeight="1">
      <c r="B935" s="5"/>
      <c r="J935" s="7"/>
      <c r="K935" s="429"/>
    </row>
    <row r="936" spans="2:11" ht="12.75" customHeight="1">
      <c r="B936" s="5"/>
      <c r="J936" s="7"/>
      <c r="K936" s="429"/>
    </row>
    <row r="937" spans="2:11" ht="12.75" customHeight="1">
      <c r="B937" s="5"/>
      <c r="J937" s="7"/>
      <c r="K937" s="429"/>
    </row>
    <row r="938" spans="2:11" ht="12.75" customHeight="1">
      <c r="B938" s="5"/>
      <c r="J938" s="7"/>
      <c r="K938" s="429"/>
    </row>
    <row r="939" spans="2:11" ht="12.75" customHeight="1">
      <c r="B939" s="5"/>
      <c r="J939" s="7"/>
      <c r="K939" s="429"/>
    </row>
    <row r="940" spans="2:11" ht="12.75" customHeight="1">
      <c r="B940" s="5"/>
      <c r="J940" s="7"/>
      <c r="K940" s="429"/>
    </row>
    <row r="941" spans="2:11" ht="12.75" customHeight="1">
      <c r="B941" s="5"/>
      <c r="J941" s="7"/>
      <c r="K941" s="429"/>
    </row>
    <row r="942" spans="2:11" ht="12.75" customHeight="1">
      <c r="B942" s="5"/>
      <c r="J942" s="7"/>
      <c r="K942" s="429"/>
    </row>
    <row r="943" spans="2:11" ht="12.75" customHeight="1">
      <c r="B943" s="5"/>
      <c r="J943" s="7"/>
      <c r="K943" s="429"/>
    </row>
    <row r="944" spans="2:11" ht="12.75" customHeight="1">
      <c r="B944" s="5"/>
      <c r="J944" s="7"/>
      <c r="K944" s="429"/>
    </row>
    <row r="945" spans="2:11" ht="12.75" customHeight="1">
      <c r="B945" s="5"/>
      <c r="J945" s="7"/>
      <c r="K945" s="429"/>
    </row>
    <row r="946" spans="2:11" ht="12.75" customHeight="1">
      <c r="B946" s="5"/>
      <c r="J946" s="7"/>
      <c r="K946" s="429"/>
    </row>
    <row r="947" spans="2:11" ht="12.75" customHeight="1">
      <c r="B947" s="5"/>
      <c r="J947" s="7"/>
      <c r="K947" s="429"/>
    </row>
    <row r="948" spans="2:11" ht="12.75" customHeight="1">
      <c r="B948" s="5"/>
      <c r="J948" s="7"/>
      <c r="K948" s="429"/>
    </row>
    <row r="949" spans="2:11" ht="12.75" customHeight="1">
      <c r="B949" s="5"/>
      <c r="J949" s="7"/>
      <c r="K949" s="429"/>
    </row>
    <row r="950" spans="2:11" ht="12.75" customHeight="1">
      <c r="B950" s="5"/>
      <c r="J950" s="7"/>
      <c r="K950" s="429"/>
    </row>
    <row r="951" spans="2:11" ht="12.75" customHeight="1">
      <c r="B951" s="5"/>
      <c r="J951" s="7"/>
      <c r="K951" s="429"/>
    </row>
    <row r="952" spans="2:11" ht="12.75" customHeight="1">
      <c r="B952" s="5"/>
      <c r="J952" s="7"/>
      <c r="K952" s="429"/>
    </row>
    <row r="953" spans="2:11" ht="12.75" customHeight="1">
      <c r="B953" s="5"/>
      <c r="J953" s="7"/>
      <c r="K953" s="429"/>
    </row>
    <row r="954" spans="2:11" ht="12.75" customHeight="1">
      <c r="B954" s="5"/>
      <c r="J954" s="7"/>
      <c r="K954" s="429"/>
    </row>
    <row r="955" spans="2:11" ht="12.75" customHeight="1">
      <c r="B955" s="5"/>
      <c r="J955" s="7"/>
      <c r="K955" s="429"/>
    </row>
    <row r="956" spans="2:11" ht="12.75" customHeight="1">
      <c r="B956" s="5"/>
      <c r="J956" s="7"/>
      <c r="K956" s="429"/>
    </row>
    <row r="957" spans="2:11" ht="12.75" customHeight="1">
      <c r="B957" s="5"/>
      <c r="J957" s="7"/>
      <c r="K957" s="429"/>
    </row>
    <row r="958" spans="2:11" ht="12.75" customHeight="1">
      <c r="B958" s="5"/>
      <c r="J958" s="7"/>
      <c r="K958" s="429"/>
    </row>
    <row r="959" spans="2:11" ht="12.75" customHeight="1">
      <c r="B959" s="5"/>
      <c r="J959" s="7"/>
      <c r="K959" s="429"/>
    </row>
    <row r="960" spans="2:11" ht="12.75" customHeight="1">
      <c r="B960" s="5"/>
      <c r="J960" s="7"/>
      <c r="K960" s="429"/>
    </row>
    <row r="961" spans="2:11" ht="12.75" customHeight="1">
      <c r="B961" s="5"/>
      <c r="J961" s="7"/>
      <c r="K961" s="429"/>
    </row>
    <row r="962" spans="2:11" ht="12.75" customHeight="1">
      <c r="B962" s="5"/>
      <c r="J962" s="7"/>
      <c r="K962" s="429"/>
    </row>
    <row r="963" spans="2:11" ht="12.75" customHeight="1">
      <c r="B963" s="5"/>
      <c r="J963" s="7"/>
      <c r="K963" s="429"/>
    </row>
    <row r="964" spans="2:11" ht="12.75" customHeight="1">
      <c r="B964" s="5"/>
      <c r="J964" s="7"/>
      <c r="K964" s="429"/>
    </row>
    <row r="965" spans="2:11" ht="12.75" customHeight="1">
      <c r="B965" s="5"/>
      <c r="J965" s="7"/>
      <c r="K965" s="429"/>
    </row>
    <row r="966" spans="2:11" ht="12.75" customHeight="1">
      <c r="B966" s="5"/>
      <c r="J966" s="7"/>
      <c r="K966" s="429"/>
    </row>
    <row r="967" spans="2:11" ht="12.75" customHeight="1">
      <c r="B967" s="5"/>
      <c r="J967" s="7"/>
      <c r="K967" s="429"/>
    </row>
    <row r="968" spans="2:11" ht="12.75" customHeight="1">
      <c r="B968" s="5"/>
      <c r="J968" s="7"/>
      <c r="K968" s="429"/>
    </row>
    <row r="969" spans="2:11" ht="12.75" customHeight="1">
      <c r="B969" s="5"/>
      <c r="J969" s="7"/>
      <c r="K969" s="429"/>
    </row>
    <row r="970" spans="2:11" ht="12.75" customHeight="1">
      <c r="B970" s="5"/>
      <c r="J970" s="7"/>
      <c r="K970" s="429"/>
    </row>
    <row r="971" spans="2:11" ht="12.75" customHeight="1">
      <c r="B971" s="5"/>
      <c r="J971" s="7"/>
      <c r="K971" s="429"/>
    </row>
    <row r="972" spans="2:11" ht="12.75" customHeight="1">
      <c r="B972" s="5"/>
      <c r="J972" s="7"/>
      <c r="K972" s="429"/>
    </row>
    <row r="973" spans="2:11" ht="12.75" customHeight="1">
      <c r="B973" s="5"/>
      <c r="J973" s="7"/>
      <c r="K973" s="429"/>
    </row>
    <row r="974" spans="2:11" ht="12.75" customHeight="1">
      <c r="B974" s="5"/>
      <c r="J974" s="7"/>
      <c r="K974" s="429"/>
    </row>
    <row r="975" spans="2:11" ht="12.75" customHeight="1">
      <c r="B975" s="5"/>
      <c r="J975" s="7"/>
      <c r="K975" s="429"/>
    </row>
    <row r="976" spans="2:11" ht="12.75" customHeight="1">
      <c r="B976" s="5"/>
      <c r="J976" s="7"/>
      <c r="K976" s="429"/>
    </row>
    <row r="977" spans="2:11" ht="12.75" customHeight="1">
      <c r="B977" s="5"/>
      <c r="J977" s="7"/>
      <c r="K977" s="429"/>
    </row>
    <row r="978" spans="2:11" ht="12.75" customHeight="1">
      <c r="B978" s="5"/>
      <c r="J978" s="7"/>
      <c r="K978" s="429"/>
    </row>
    <row r="979" spans="2:11" ht="12.75" customHeight="1">
      <c r="B979" s="5"/>
      <c r="J979" s="7"/>
      <c r="K979" s="429"/>
    </row>
    <row r="980" spans="2:11" ht="12.75" customHeight="1">
      <c r="B980" s="5"/>
      <c r="J980" s="7"/>
      <c r="K980" s="429"/>
    </row>
    <row r="981" spans="2:11" ht="12.75" customHeight="1">
      <c r="B981" s="5"/>
      <c r="J981" s="7"/>
      <c r="K981" s="429"/>
    </row>
    <row r="982" spans="2:11" ht="12.75" customHeight="1">
      <c r="B982" s="5"/>
      <c r="J982" s="7"/>
      <c r="K982" s="429"/>
    </row>
    <row r="983" spans="2:11" ht="12.75" customHeight="1">
      <c r="B983" s="5"/>
      <c r="J983" s="7"/>
      <c r="K983" s="429"/>
    </row>
    <row r="984" spans="2:11" ht="12.75" customHeight="1">
      <c r="B984" s="5"/>
      <c r="J984" s="7"/>
      <c r="K984" s="429"/>
    </row>
    <row r="985" spans="2:11" ht="12.75" customHeight="1">
      <c r="B985" s="5"/>
      <c r="J985" s="7"/>
      <c r="K985" s="429"/>
    </row>
    <row r="986" spans="2:11" ht="12.75" customHeight="1">
      <c r="B986" s="5"/>
      <c r="J986" s="7"/>
      <c r="K986" s="429"/>
    </row>
    <row r="987" spans="2:11" ht="12.75" customHeight="1">
      <c r="B987" s="5"/>
      <c r="J987" s="7"/>
      <c r="K987" s="429"/>
    </row>
    <row r="988" spans="2:11" ht="12.75" customHeight="1">
      <c r="B988" s="5"/>
      <c r="J988" s="7"/>
      <c r="K988" s="429"/>
    </row>
    <row r="989" spans="2:11" ht="12.75" customHeight="1">
      <c r="B989" s="5"/>
      <c r="J989" s="7"/>
      <c r="K989" s="429"/>
    </row>
    <row r="990" spans="2:11" ht="12.75" customHeight="1">
      <c r="B990" s="5"/>
      <c r="J990" s="7"/>
      <c r="K990" s="429"/>
    </row>
    <row r="991" spans="2:11" ht="12.75" customHeight="1">
      <c r="B991" s="5"/>
      <c r="J991" s="7"/>
      <c r="K991" s="429"/>
    </row>
    <row r="992" spans="2:11" ht="12.75" customHeight="1">
      <c r="B992" s="5"/>
      <c r="J992" s="7"/>
      <c r="K992" s="429"/>
    </row>
    <row r="993" spans="2:11" ht="12.75" customHeight="1">
      <c r="B993" s="5"/>
      <c r="J993" s="7"/>
      <c r="K993" s="429"/>
    </row>
    <row r="994" spans="2:11" ht="12.75" customHeight="1">
      <c r="B994" s="5"/>
      <c r="J994" s="7"/>
      <c r="K994" s="429"/>
    </row>
    <row r="995" spans="2:11" ht="12.75" customHeight="1">
      <c r="B995" s="5"/>
      <c r="J995" s="7"/>
      <c r="K995" s="429"/>
    </row>
    <row r="996" spans="2:11" ht="12.75" customHeight="1">
      <c r="B996" s="5"/>
      <c r="J996" s="7"/>
      <c r="K996" s="429"/>
    </row>
    <row r="997" spans="2:11" ht="12.75" customHeight="1">
      <c r="B997" s="5"/>
      <c r="J997" s="7"/>
      <c r="K997" s="429"/>
    </row>
    <row r="998" spans="2:11" ht="12.75" customHeight="1">
      <c r="B998" s="5"/>
      <c r="J998" s="7"/>
      <c r="K998" s="429"/>
    </row>
  </sheetData>
  <mergeCells count="7">
    <mergeCell ref="N1:Z1"/>
    <mergeCell ref="C2:E2"/>
    <mergeCell ref="I2:M2"/>
    <mergeCell ref="N2:P2"/>
    <mergeCell ref="Q2:S2"/>
    <mergeCell ref="T2:V2"/>
    <mergeCell ref="W2:Y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99"/>
  <sheetViews>
    <sheetView workbookViewId="0"/>
  </sheetViews>
  <sheetFormatPr baseColWidth="10" defaultColWidth="12.6640625" defaultRowHeight="15" customHeight="1"/>
  <cols>
    <col min="1" max="1" width="22.1640625" customWidth="1"/>
    <col min="2" max="2" width="25" customWidth="1"/>
    <col min="3" max="3" width="10.6640625" customWidth="1"/>
    <col min="4" max="4" width="14" customWidth="1"/>
    <col min="5" max="5" width="15.1640625" customWidth="1"/>
    <col min="6" max="27" width="10.6640625" customWidth="1"/>
  </cols>
  <sheetData>
    <row r="1" spans="1:8" ht="12.75" customHeight="1">
      <c r="A1" s="546" t="s">
        <v>248</v>
      </c>
      <c r="B1" s="546"/>
      <c r="C1" s="546" t="s">
        <v>249</v>
      </c>
      <c r="D1" s="546" t="s">
        <v>250</v>
      </c>
      <c r="E1" s="546" t="s">
        <v>251</v>
      </c>
      <c r="F1" s="546" t="s">
        <v>252</v>
      </c>
      <c r="G1" s="546" t="s">
        <v>253</v>
      </c>
      <c r="H1" s="546" t="s">
        <v>254</v>
      </c>
    </row>
    <row r="2" spans="1:8" ht="12.75" customHeight="1">
      <c r="A2" s="546" t="s">
        <v>255</v>
      </c>
      <c r="B2" s="547"/>
      <c r="C2" s="547">
        <v>1</v>
      </c>
      <c r="D2" s="548"/>
      <c r="E2" s="548"/>
      <c r="F2" s="548"/>
      <c r="G2" s="549"/>
      <c r="H2" s="548"/>
    </row>
    <row r="3" spans="1:8" ht="12.75" customHeight="1">
      <c r="A3" s="550"/>
      <c r="B3" s="547"/>
      <c r="C3" s="547">
        <v>2</v>
      </c>
      <c r="D3" s="551"/>
      <c r="E3" s="551"/>
      <c r="F3" s="551"/>
      <c r="G3" s="552"/>
      <c r="H3" s="551"/>
    </row>
    <row r="4" spans="1:8" ht="12.75" customHeight="1">
      <c r="A4" s="332" t="s">
        <v>256</v>
      </c>
      <c r="C4" s="547">
        <v>3</v>
      </c>
      <c r="D4" s="551"/>
      <c r="E4" s="551"/>
      <c r="F4" s="551"/>
      <c r="G4" s="552"/>
      <c r="H4" s="551"/>
    </row>
    <row r="5" spans="1:8" ht="12.75" customHeight="1">
      <c r="A5" s="553"/>
      <c r="B5" s="554" t="s">
        <v>257</v>
      </c>
      <c r="C5" s="547">
        <v>4</v>
      </c>
      <c r="D5" s="551"/>
      <c r="E5" s="551"/>
      <c r="F5" s="551"/>
      <c r="G5" s="552"/>
      <c r="H5" s="551"/>
    </row>
    <row r="6" spans="1:8" ht="12.75" customHeight="1">
      <c r="A6" s="555"/>
      <c r="B6" s="505" t="s">
        <v>258</v>
      </c>
      <c r="C6" s="547">
        <v>5</v>
      </c>
      <c r="D6" s="551"/>
      <c r="E6" s="551"/>
      <c r="F6" s="551"/>
      <c r="G6" s="551"/>
      <c r="H6" s="552"/>
    </row>
    <row r="7" spans="1:8" ht="12.75" customHeight="1">
      <c r="A7" s="556"/>
      <c r="B7" s="506" t="s">
        <v>259</v>
      </c>
      <c r="C7" s="547">
        <v>6</v>
      </c>
      <c r="D7" s="551"/>
      <c r="E7" s="551"/>
      <c r="F7" s="551"/>
      <c r="G7" s="551"/>
      <c r="H7" s="552"/>
    </row>
    <row r="8" spans="1:8" ht="12.75" customHeight="1">
      <c r="A8" s="548" t="s">
        <v>260</v>
      </c>
      <c r="B8" s="557" t="s">
        <v>261</v>
      </c>
      <c r="C8" s="547">
        <v>7</v>
      </c>
      <c r="D8" s="551"/>
      <c r="E8" s="551"/>
      <c r="F8" s="552"/>
      <c r="G8" s="551"/>
      <c r="H8" s="552"/>
    </row>
    <row r="9" spans="1:8" ht="12.75" customHeight="1">
      <c r="A9" s="548" t="s">
        <v>262</v>
      </c>
      <c r="B9" s="557" t="s">
        <v>263</v>
      </c>
      <c r="C9" s="547">
        <v>8</v>
      </c>
      <c r="D9" s="551"/>
      <c r="E9" s="551"/>
      <c r="F9" s="552"/>
      <c r="G9" s="551"/>
      <c r="H9" s="552"/>
    </row>
    <row r="10" spans="1:8" ht="12.75" customHeight="1">
      <c r="A10" s="548" t="s">
        <v>196</v>
      </c>
      <c r="B10" s="557" t="s">
        <v>264</v>
      </c>
      <c r="C10" s="547">
        <v>9</v>
      </c>
      <c r="D10" s="551"/>
      <c r="E10" s="551"/>
      <c r="F10" s="552"/>
      <c r="G10" s="551"/>
      <c r="H10" s="552"/>
    </row>
    <row r="11" spans="1:8" ht="12.75" customHeight="1">
      <c r="A11" s="548">
        <v>1</v>
      </c>
      <c r="B11" s="557" t="s">
        <v>265</v>
      </c>
      <c r="C11" s="547">
        <v>10</v>
      </c>
      <c r="D11" s="551"/>
      <c r="E11" s="551"/>
      <c r="F11" s="551"/>
      <c r="G11" s="552"/>
      <c r="H11" s="552"/>
    </row>
    <row r="12" spans="1:8" ht="12.75" customHeight="1">
      <c r="A12" s="558">
        <v>45689</v>
      </c>
      <c r="B12" s="557" t="s">
        <v>266</v>
      </c>
      <c r="C12" s="547">
        <v>11</v>
      </c>
      <c r="D12" s="551"/>
      <c r="E12" s="551"/>
      <c r="F12" s="551"/>
      <c r="G12" s="552"/>
      <c r="H12" s="552"/>
    </row>
    <row r="13" spans="1:8" ht="12.75" customHeight="1">
      <c r="A13" s="550"/>
      <c r="B13" s="547"/>
      <c r="C13" s="547">
        <v>12</v>
      </c>
      <c r="D13" s="551"/>
      <c r="E13" s="551"/>
      <c r="F13" s="551"/>
      <c r="G13" s="552"/>
      <c r="H13" s="552"/>
    </row>
    <row r="14" spans="1:8" ht="12.75" customHeight="1">
      <c r="A14" s="550"/>
      <c r="B14" s="547"/>
      <c r="C14" s="547">
        <v>13</v>
      </c>
      <c r="D14" s="551"/>
      <c r="E14" s="552"/>
      <c r="F14" s="551"/>
      <c r="G14" s="552"/>
      <c r="H14" s="552"/>
    </row>
    <row r="15" spans="1:8" ht="12.75" customHeight="1">
      <c r="A15" s="550"/>
      <c r="B15" s="547"/>
      <c r="C15" s="547">
        <v>14</v>
      </c>
      <c r="D15" s="551"/>
      <c r="E15" s="551"/>
      <c r="F15" s="551"/>
      <c r="G15" s="552"/>
      <c r="H15" s="552"/>
    </row>
    <row r="16" spans="1:8" ht="12.75" customHeight="1">
      <c r="A16" s="550"/>
      <c r="B16" s="547"/>
      <c r="C16" s="547">
        <v>15</v>
      </c>
      <c r="D16" s="551"/>
      <c r="E16" s="551"/>
      <c r="F16" s="552"/>
      <c r="G16" s="552"/>
      <c r="H16" s="552"/>
    </row>
    <row r="17" spans="1:8" ht="12.75" customHeight="1">
      <c r="A17" s="550"/>
      <c r="B17" s="547"/>
      <c r="C17" s="547">
        <v>16</v>
      </c>
      <c r="D17" s="551"/>
      <c r="E17" s="551"/>
      <c r="F17" s="552"/>
      <c r="G17" s="552"/>
      <c r="H17" s="552"/>
    </row>
    <row r="18" spans="1:8" ht="12.75" customHeight="1">
      <c r="A18" s="550"/>
      <c r="B18" s="547"/>
      <c r="C18" s="547">
        <v>17</v>
      </c>
      <c r="D18" s="551"/>
      <c r="E18" s="551"/>
      <c r="F18" s="552"/>
      <c r="G18" s="552"/>
      <c r="H18" s="552"/>
    </row>
    <row r="19" spans="1:8" ht="12.75" customHeight="1">
      <c r="A19" s="550"/>
      <c r="B19" s="547"/>
      <c r="C19" s="547">
        <v>18</v>
      </c>
      <c r="D19" s="551"/>
      <c r="E19" s="552"/>
      <c r="F19" s="552"/>
      <c r="G19" s="552"/>
      <c r="H19" s="552"/>
    </row>
    <row r="20" spans="1:8" ht="12.75" customHeight="1">
      <c r="A20" s="550"/>
      <c r="B20" s="547"/>
      <c r="C20" s="547">
        <v>19</v>
      </c>
      <c r="D20" s="551"/>
      <c r="E20" s="552"/>
      <c r="F20" s="552"/>
      <c r="G20" s="552"/>
      <c r="H20" s="552"/>
    </row>
    <row r="21" spans="1:8" ht="12.75" customHeight="1">
      <c r="A21" s="550"/>
      <c r="B21" s="547"/>
      <c r="C21" s="547">
        <v>20</v>
      </c>
      <c r="D21" s="551"/>
      <c r="E21" s="552"/>
      <c r="F21" s="552"/>
      <c r="G21" s="552"/>
      <c r="H21" s="552"/>
    </row>
    <row r="22" spans="1:8" ht="12.75" customHeight="1">
      <c r="A22" s="550"/>
      <c r="B22" s="547"/>
      <c r="C22" s="547">
        <v>21</v>
      </c>
      <c r="D22" s="551"/>
      <c r="E22" s="552"/>
      <c r="F22" s="552"/>
      <c r="G22" s="552"/>
      <c r="H22" s="552"/>
    </row>
    <row r="23" spans="1:8" ht="12.75" customHeight="1">
      <c r="A23" s="550"/>
      <c r="B23" s="547"/>
      <c r="C23" s="547">
        <v>22</v>
      </c>
      <c r="D23" s="551"/>
      <c r="E23" s="552"/>
      <c r="F23" s="552"/>
      <c r="G23" s="551"/>
      <c r="H23" s="552"/>
    </row>
    <row r="24" spans="1:8" ht="12.75" customHeight="1">
      <c r="A24" s="550"/>
      <c r="B24" s="547"/>
      <c r="C24" s="547">
        <v>23</v>
      </c>
      <c r="D24" s="551"/>
      <c r="E24" s="551"/>
      <c r="F24" s="552"/>
      <c r="G24" s="551"/>
      <c r="H24" s="552"/>
    </row>
    <row r="25" spans="1:8" ht="12.75" customHeight="1">
      <c r="A25" s="550"/>
      <c r="B25" s="547"/>
      <c r="C25" s="547">
        <v>24</v>
      </c>
      <c r="D25" s="551"/>
      <c r="E25" s="551"/>
      <c r="F25" s="552"/>
      <c r="G25" s="552"/>
      <c r="H25" s="552"/>
    </row>
    <row r="26" spans="1:8" ht="12.75" customHeight="1">
      <c r="A26" s="550"/>
      <c r="B26" s="547"/>
      <c r="C26" s="547">
        <v>25</v>
      </c>
      <c r="D26" s="551"/>
      <c r="E26" s="551"/>
      <c r="F26" s="552"/>
      <c r="G26" s="552"/>
      <c r="H26" s="552"/>
    </row>
    <row r="27" spans="1:8" ht="12.75" customHeight="1">
      <c r="A27" s="550"/>
      <c r="B27" s="547"/>
      <c r="C27" s="547">
        <v>26</v>
      </c>
      <c r="D27" s="551"/>
      <c r="E27" s="551"/>
      <c r="F27" s="552"/>
      <c r="G27" s="552"/>
      <c r="H27" s="552"/>
    </row>
    <row r="28" spans="1:8" ht="12.75" customHeight="1">
      <c r="A28" s="550"/>
      <c r="B28" s="547"/>
      <c r="C28" s="547">
        <v>27</v>
      </c>
      <c r="D28" s="551"/>
      <c r="E28" s="551"/>
      <c r="F28" s="552"/>
      <c r="G28" s="552"/>
      <c r="H28" s="552"/>
    </row>
    <row r="29" spans="1:8" ht="12.75" customHeight="1">
      <c r="A29" s="550"/>
      <c r="B29" s="547"/>
      <c r="C29" s="547">
        <v>28</v>
      </c>
      <c r="D29" s="551"/>
      <c r="E29" s="551"/>
      <c r="F29" s="552"/>
      <c r="G29" s="552"/>
      <c r="H29" s="552"/>
    </row>
    <row r="30" spans="1:8" ht="12.75" customHeight="1">
      <c r="A30" s="550"/>
      <c r="B30" s="547"/>
      <c r="C30" s="547">
        <v>29</v>
      </c>
      <c r="D30" s="551"/>
      <c r="E30" s="551"/>
      <c r="F30" s="552"/>
      <c r="G30" s="551"/>
      <c r="H30" s="552"/>
    </row>
    <row r="31" spans="1:8" ht="12.75" customHeight="1">
      <c r="A31" s="550"/>
      <c r="B31" s="547"/>
      <c r="C31" s="547">
        <v>30</v>
      </c>
      <c r="D31" s="551"/>
      <c r="E31" s="551"/>
      <c r="F31" s="552"/>
      <c r="G31" s="551"/>
      <c r="H31" s="552"/>
    </row>
    <row r="32" spans="1:8" ht="12.75" customHeight="1">
      <c r="A32" s="550"/>
      <c r="B32" s="547"/>
      <c r="C32" s="547">
        <v>31</v>
      </c>
      <c r="D32" s="551"/>
      <c r="E32" s="551"/>
      <c r="F32" s="552"/>
      <c r="G32" s="552"/>
      <c r="H32" s="552"/>
    </row>
    <row r="33" spans="1:8" ht="12.75" customHeight="1">
      <c r="A33" s="550"/>
      <c r="B33" s="550"/>
      <c r="C33" s="550"/>
      <c r="D33" s="550"/>
      <c r="E33" s="550"/>
      <c r="F33" s="550"/>
      <c r="G33" s="550"/>
      <c r="H33" s="550"/>
    </row>
    <row r="34" spans="1:8" ht="12.75" customHeight="1">
      <c r="A34" s="550"/>
      <c r="B34" s="550"/>
      <c r="C34" s="550"/>
      <c r="D34" s="550"/>
      <c r="E34" s="550"/>
      <c r="F34" s="550"/>
      <c r="G34" s="550"/>
      <c r="H34" s="550"/>
    </row>
    <row r="35" spans="1:8" ht="12.75" customHeight="1"/>
    <row r="36" spans="1:8" ht="12.75" customHeight="1"/>
    <row r="37" spans="1:8" ht="12.75" customHeight="1"/>
    <row r="38" spans="1:8" ht="12.75" customHeight="1"/>
    <row r="39" spans="1:8" ht="12.75" customHeight="1"/>
    <row r="40" spans="1:8" ht="12.75" customHeight="1"/>
    <row r="41" spans="1:8" ht="12.75" customHeight="1"/>
    <row r="42" spans="1:8" ht="12.75" customHeight="1"/>
    <row r="43" spans="1:8" ht="12.75" customHeight="1"/>
    <row r="44" spans="1:8" ht="12.75" customHeight="1"/>
    <row r="45" spans="1:8" ht="12.75" customHeight="1"/>
    <row r="46" spans="1:8" ht="12.75" customHeight="1"/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23"/>
  <sheetViews>
    <sheetView workbookViewId="0"/>
  </sheetViews>
  <sheetFormatPr baseColWidth="10" defaultColWidth="12.6640625" defaultRowHeight="15" customHeight="1"/>
  <cols>
    <col min="1" max="1" width="28.83203125" customWidth="1"/>
    <col min="2" max="2" width="19.33203125" customWidth="1"/>
    <col min="3" max="3" width="4.5" customWidth="1"/>
    <col min="4" max="4" width="20.1640625" customWidth="1"/>
    <col min="5" max="5" width="4.1640625" customWidth="1"/>
    <col min="6" max="6" width="25.33203125" customWidth="1"/>
    <col min="7" max="7" width="3.83203125" customWidth="1"/>
    <col min="8" max="8" width="19" customWidth="1"/>
    <col min="9" max="9" width="4.5" customWidth="1"/>
    <col min="10" max="10" width="20.1640625" customWidth="1"/>
  </cols>
  <sheetData>
    <row r="1" spans="1:13">
      <c r="A1" s="546" t="s">
        <v>267</v>
      </c>
    </row>
    <row r="2" spans="1:13">
      <c r="A2" s="546" t="s">
        <v>268</v>
      </c>
    </row>
    <row r="3" spans="1:13" ht="15" customHeight="1">
      <c r="A3" s="559" t="s">
        <v>269</v>
      </c>
      <c r="B3" s="87" t="s">
        <v>45</v>
      </c>
      <c r="C3" s="389"/>
      <c r="D3" s="117" t="s">
        <v>52</v>
      </c>
      <c r="E3" s="389"/>
      <c r="F3" s="130" t="s">
        <v>58</v>
      </c>
      <c r="G3" s="389"/>
      <c r="H3" s="139" t="s">
        <v>65</v>
      </c>
      <c r="I3" s="389"/>
      <c r="J3" s="169" t="s">
        <v>72</v>
      </c>
    </row>
    <row r="4" spans="1:13" ht="15" customHeight="1">
      <c r="A4" s="559"/>
      <c r="B4" s="89">
        <f>'Pesca Nacional'!A7</f>
        <v>129</v>
      </c>
      <c r="C4" s="394"/>
      <c r="D4" s="120">
        <f>'Pesca Nacional'!A11</f>
        <v>546</v>
      </c>
      <c r="E4" s="394"/>
      <c r="F4" s="132">
        <f>'Pesca Nacional'!A15</f>
        <v>139</v>
      </c>
      <c r="G4" s="394"/>
      <c r="H4" s="560">
        <f>'Pesca Nacional'!A19</f>
        <v>208347000</v>
      </c>
      <c r="I4" s="394"/>
      <c r="J4" s="171">
        <f>'Pesca Nacional'!A23</f>
        <v>175081512.74789909</v>
      </c>
    </row>
    <row r="5" spans="1:13" ht="15" customHeight="1">
      <c r="A5" s="561"/>
    </row>
    <row r="6" spans="1:13" ht="15" customHeight="1">
      <c r="A6" s="559" t="s">
        <v>270</v>
      </c>
      <c r="B6" s="87" t="s">
        <v>271</v>
      </c>
      <c r="C6" s="389"/>
      <c r="D6" s="117" t="s">
        <v>272</v>
      </c>
      <c r="E6" s="389"/>
      <c r="F6" s="130" t="s">
        <v>205</v>
      </c>
      <c r="G6" s="389"/>
      <c r="H6" s="139" t="s">
        <v>273</v>
      </c>
      <c r="I6" s="389"/>
      <c r="J6" s="169" t="s">
        <v>274</v>
      </c>
      <c r="L6" s="11" t="s">
        <v>275</v>
      </c>
      <c r="M6" s="11">
        <v>900</v>
      </c>
    </row>
    <row r="7" spans="1:13" ht="15" customHeight="1">
      <c r="A7" s="433"/>
      <c r="B7" s="89">
        <f>'Pesca Extranjero'!A7</f>
        <v>23</v>
      </c>
      <c r="C7" s="394"/>
      <c r="D7" s="120">
        <f>'Pesca Extranjero'!A11</f>
        <v>135</v>
      </c>
      <c r="E7" s="394"/>
      <c r="F7" s="132">
        <f>'Pesca Extranjero'!A14</f>
        <v>31</v>
      </c>
      <c r="G7" s="394"/>
      <c r="H7" s="560">
        <f>'Pesca Extranjero'!A17</f>
        <v>93403</v>
      </c>
      <c r="I7" s="394"/>
      <c r="J7" s="171">
        <f>H7*900</f>
        <v>84062700</v>
      </c>
    </row>
    <row r="8" spans="1:13" ht="15" customHeight="1">
      <c r="A8" s="561"/>
    </row>
    <row r="9" spans="1:13" ht="15" customHeight="1">
      <c r="A9" s="433" t="s">
        <v>276</v>
      </c>
      <c r="B9" s="87" t="s">
        <v>226</v>
      </c>
      <c r="C9" s="389"/>
      <c r="D9" s="389"/>
      <c r="E9" s="389"/>
      <c r="F9" s="389"/>
      <c r="G9" s="389"/>
      <c r="H9" s="139" t="s">
        <v>277</v>
      </c>
      <c r="I9" s="389"/>
      <c r="J9" s="169" t="s">
        <v>278</v>
      </c>
    </row>
    <row r="10" spans="1:13" ht="15" customHeight="1">
      <c r="B10" s="89">
        <f>COUNT('Pesca por el Dia'!B4:B55)</f>
        <v>52</v>
      </c>
      <c r="C10" s="394"/>
      <c r="D10" s="394"/>
      <c r="E10" s="394"/>
      <c r="F10" s="394"/>
      <c r="G10" s="394"/>
      <c r="H10" s="560">
        <f>'Pesca por el Dia'!A11</f>
        <v>22090000</v>
      </c>
      <c r="I10" s="394"/>
      <c r="J10" s="171">
        <f>'Pesca por el Dia'!A15</f>
        <v>18563025.21008404</v>
      </c>
    </row>
    <row r="12" spans="1:13" ht="15" customHeight="1">
      <c r="A12" s="561" t="s">
        <v>279</v>
      </c>
      <c r="B12" s="87" t="s">
        <v>197</v>
      </c>
      <c r="D12" s="117" t="s">
        <v>280</v>
      </c>
      <c r="F12" s="130" t="s">
        <v>281</v>
      </c>
      <c r="H12" s="139" t="s">
        <v>282</v>
      </c>
      <c r="J12" s="169" t="s">
        <v>210</v>
      </c>
    </row>
    <row r="13" spans="1:13" ht="15" customHeight="1">
      <c r="B13" s="89">
        <f>B4+B7+B10</f>
        <v>204</v>
      </c>
      <c r="D13" s="120">
        <f>D4+D7</f>
        <v>681</v>
      </c>
      <c r="F13" s="132">
        <f>F4+F7</f>
        <v>170</v>
      </c>
      <c r="H13" s="560">
        <f>H4+(H7*950)+H10</f>
        <v>319169850</v>
      </c>
      <c r="J13" s="171">
        <f>J4+J7+J10</f>
        <v>277707237.95798314</v>
      </c>
    </row>
    <row r="14" spans="1:13" ht="15" customHeight="1">
      <c r="A14" s="9"/>
    </row>
    <row r="15" spans="1:13" ht="15" customHeight="1">
      <c r="A15" s="9"/>
    </row>
    <row r="16" spans="1:13" ht="15" customHeight="1">
      <c r="A16" s="562"/>
    </row>
    <row r="17" spans="1:13" ht="15" customHeight="1">
      <c r="A17" s="325"/>
    </row>
    <row r="18" spans="1:13" ht="15" customHeight="1">
      <c r="A18" s="9"/>
    </row>
    <row r="19" spans="1:13" ht="15" customHeight="1">
      <c r="A19" s="9"/>
    </row>
    <row r="20" spans="1:13" ht="15" customHeight="1">
      <c r="A20" s="345"/>
    </row>
    <row r="21" spans="1:13" ht="15" customHeight="1">
      <c r="A21" s="363"/>
    </row>
    <row r="23" spans="1:13" ht="15" customHeight="1">
      <c r="L23" s="563"/>
      <c r="M23" s="56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J155"/>
  <sheetViews>
    <sheetView topLeftCell="J1" zoomScale="185" zoomScaleNormal="185" workbookViewId="0">
      <selection activeCell="O1" sqref="O1:O108"/>
    </sheetView>
  </sheetViews>
  <sheetFormatPr baseColWidth="10" defaultColWidth="12.6640625" defaultRowHeight="15" customHeight="1"/>
  <cols>
    <col min="5" max="5" width="20.83203125" customWidth="1"/>
    <col min="7" max="7" width="2.83203125" customWidth="1"/>
    <col min="10" max="10" width="15.1640625" customWidth="1"/>
    <col min="15" max="15" width="22.5" bestFit="1" customWidth="1"/>
  </cols>
  <sheetData>
    <row r="1" spans="2:10" ht="15" customHeight="1">
      <c r="B1" s="325">
        <v>1</v>
      </c>
      <c r="C1" s="564" t="s">
        <v>70</v>
      </c>
      <c r="D1" s="332"/>
      <c r="E1" s="565" t="s">
        <v>283</v>
      </c>
      <c r="G1" s="325">
        <v>1</v>
      </c>
      <c r="H1" s="325" t="s">
        <v>194</v>
      </c>
      <c r="I1" s="332"/>
      <c r="J1" s="565" t="s">
        <v>195</v>
      </c>
    </row>
    <row r="2" spans="2:10" ht="15" customHeight="1">
      <c r="B2" s="325">
        <v>2</v>
      </c>
      <c r="C2" s="564" t="s">
        <v>70</v>
      </c>
      <c r="D2" s="332"/>
      <c r="E2" s="565" t="s">
        <v>284</v>
      </c>
      <c r="G2" s="325">
        <v>2</v>
      </c>
      <c r="H2" s="325" t="s">
        <v>194</v>
      </c>
      <c r="I2" s="332"/>
      <c r="J2" s="565" t="s">
        <v>175</v>
      </c>
    </row>
    <row r="3" spans="2:10" ht="15" customHeight="1">
      <c r="B3" s="325">
        <v>3</v>
      </c>
      <c r="C3" s="564" t="s">
        <v>285</v>
      </c>
      <c r="D3" s="332"/>
      <c r="E3" s="565" t="s">
        <v>286</v>
      </c>
      <c r="G3" s="325">
        <v>3</v>
      </c>
      <c r="H3" s="325" t="s">
        <v>194</v>
      </c>
      <c r="I3" s="332"/>
      <c r="J3" s="565" t="s">
        <v>176</v>
      </c>
    </row>
    <row r="4" spans="2:10" ht="15" customHeight="1">
      <c r="B4" s="325">
        <v>4</v>
      </c>
      <c r="C4" s="564" t="s">
        <v>287</v>
      </c>
      <c r="D4" s="332"/>
      <c r="E4" s="565" t="s">
        <v>288</v>
      </c>
      <c r="G4" s="325">
        <v>4</v>
      </c>
      <c r="H4" s="325" t="s">
        <v>194</v>
      </c>
      <c r="I4" s="332"/>
      <c r="J4" s="565" t="s">
        <v>198</v>
      </c>
    </row>
    <row r="5" spans="2:10" ht="15" customHeight="1">
      <c r="B5" s="325">
        <v>5</v>
      </c>
      <c r="C5" s="564" t="s">
        <v>287</v>
      </c>
      <c r="D5" s="332"/>
      <c r="E5" s="565" t="s">
        <v>176</v>
      </c>
      <c r="G5" s="325">
        <v>5</v>
      </c>
      <c r="H5" s="325" t="s">
        <v>194</v>
      </c>
      <c r="I5" s="332"/>
      <c r="J5" s="565" t="s">
        <v>199</v>
      </c>
    </row>
    <row r="6" spans="2:10" ht="15" customHeight="1">
      <c r="B6" s="325">
        <v>6</v>
      </c>
      <c r="C6" s="564" t="s">
        <v>287</v>
      </c>
      <c r="D6" s="332"/>
      <c r="E6" s="565" t="s">
        <v>198</v>
      </c>
      <c r="G6" s="325">
        <v>6</v>
      </c>
      <c r="H6" s="325" t="s">
        <v>194</v>
      </c>
      <c r="I6" s="332"/>
      <c r="J6" s="565" t="s">
        <v>200</v>
      </c>
    </row>
    <row r="7" spans="2:10" ht="15" customHeight="1">
      <c r="B7" s="325">
        <v>7</v>
      </c>
      <c r="C7" s="564" t="s">
        <v>289</v>
      </c>
      <c r="D7" s="332"/>
      <c r="E7" s="565" t="s">
        <v>290</v>
      </c>
      <c r="G7" s="325">
        <v>7</v>
      </c>
      <c r="H7" s="566" t="s">
        <v>194</v>
      </c>
      <c r="I7" s="332"/>
      <c r="J7" s="565" t="s">
        <v>202</v>
      </c>
    </row>
    <row r="8" spans="2:10" ht="15" customHeight="1">
      <c r="B8" s="325">
        <v>8</v>
      </c>
      <c r="C8" s="564" t="s">
        <v>289</v>
      </c>
      <c r="D8" s="332"/>
      <c r="E8" s="565" t="s">
        <v>291</v>
      </c>
      <c r="G8" s="325">
        <v>8</v>
      </c>
      <c r="H8" s="566" t="s">
        <v>194</v>
      </c>
      <c r="I8" s="332"/>
      <c r="J8" s="565" t="s">
        <v>203</v>
      </c>
    </row>
    <row r="9" spans="2:10" ht="15" customHeight="1">
      <c r="B9" s="325">
        <v>9</v>
      </c>
      <c r="C9" s="564" t="s">
        <v>289</v>
      </c>
      <c r="D9" s="332"/>
      <c r="E9" s="565" t="s">
        <v>292</v>
      </c>
      <c r="G9" s="325">
        <v>19</v>
      </c>
      <c r="H9" s="325" t="s">
        <v>293</v>
      </c>
      <c r="I9" s="332"/>
      <c r="J9" s="565" t="s">
        <v>294</v>
      </c>
    </row>
    <row r="10" spans="2:10" ht="15" customHeight="1">
      <c r="B10" s="325">
        <v>10</v>
      </c>
      <c r="C10" s="564" t="s">
        <v>289</v>
      </c>
      <c r="D10" s="332"/>
      <c r="E10" s="565" t="s">
        <v>295</v>
      </c>
      <c r="G10" s="325">
        <v>20</v>
      </c>
      <c r="H10" s="325" t="s">
        <v>293</v>
      </c>
      <c r="I10" s="332"/>
      <c r="J10" s="565" t="s">
        <v>296</v>
      </c>
    </row>
    <row r="11" spans="2:10" ht="15" customHeight="1">
      <c r="B11" s="325">
        <v>11</v>
      </c>
      <c r="C11" s="564" t="s">
        <v>297</v>
      </c>
      <c r="D11" s="332"/>
      <c r="E11" s="565" t="s">
        <v>298</v>
      </c>
      <c r="G11" s="325">
        <v>21</v>
      </c>
      <c r="H11" s="325" t="s">
        <v>293</v>
      </c>
      <c r="I11" s="332"/>
      <c r="J11" s="565" t="s">
        <v>174</v>
      </c>
    </row>
    <row r="12" spans="2:10" ht="15" customHeight="1">
      <c r="B12" s="325">
        <v>12</v>
      </c>
      <c r="C12" s="564" t="s">
        <v>297</v>
      </c>
      <c r="D12" s="332"/>
      <c r="E12" s="565" t="s">
        <v>299</v>
      </c>
      <c r="G12" s="325">
        <v>22</v>
      </c>
      <c r="H12" s="325" t="s">
        <v>293</v>
      </c>
      <c r="I12" s="332"/>
      <c r="J12" s="565" t="s">
        <v>175</v>
      </c>
    </row>
    <row r="13" spans="2:10" ht="15" customHeight="1">
      <c r="B13" s="325">
        <v>13</v>
      </c>
      <c r="C13" s="564" t="s">
        <v>297</v>
      </c>
      <c r="D13" s="332"/>
      <c r="E13" s="565" t="s">
        <v>300</v>
      </c>
      <c r="G13" s="325">
        <v>23</v>
      </c>
      <c r="H13" s="325" t="s">
        <v>293</v>
      </c>
      <c r="I13" s="332"/>
      <c r="J13" s="565" t="s">
        <v>176</v>
      </c>
    </row>
    <row r="14" spans="2:10" ht="15" customHeight="1">
      <c r="B14" s="325">
        <v>14</v>
      </c>
      <c r="C14" s="564" t="s">
        <v>297</v>
      </c>
      <c r="D14" s="332"/>
      <c r="E14" s="565" t="s">
        <v>301</v>
      </c>
      <c r="G14" s="325">
        <v>24</v>
      </c>
      <c r="H14" s="325" t="s">
        <v>293</v>
      </c>
      <c r="I14" s="332"/>
      <c r="J14" s="565" t="s">
        <v>198</v>
      </c>
    </row>
    <row r="15" spans="2:10" ht="15" customHeight="1">
      <c r="B15" s="325">
        <v>15</v>
      </c>
      <c r="C15" s="564" t="s">
        <v>297</v>
      </c>
      <c r="D15" s="332"/>
      <c r="E15" s="565" t="s">
        <v>302</v>
      </c>
      <c r="G15" s="332"/>
      <c r="H15" s="325" t="s">
        <v>293</v>
      </c>
      <c r="I15" s="332"/>
      <c r="J15" s="565" t="s">
        <v>199</v>
      </c>
    </row>
    <row r="16" spans="2:10" ht="15" customHeight="1">
      <c r="B16" s="325">
        <v>16</v>
      </c>
      <c r="C16" s="564" t="s">
        <v>303</v>
      </c>
      <c r="D16" s="332"/>
      <c r="E16" s="565" t="s">
        <v>304</v>
      </c>
      <c r="G16" s="325">
        <v>25</v>
      </c>
      <c r="H16" s="567" t="s">
        <v>305</v>
      </c>
      <c r="I16" s="332"/>
      <c r="J16" s="565" t="s">
        <v>174</v>
      </c>
    </row>
    <row r="17" spans="2:10" ht="15" customHeight="1">
      <c r="B17" s="325">
        <v>17</v>
      </c>
      <c r="C17" s="564" t="s">
        <v>173</v>
      </c>
      <c r="D17" s="332"/>
      <c r="E17" s="565" t="s">
        <v>306</v>
      </c>
      <c r="G17" s="325">
        <v>26</v>
      </c>
      <c r="H17" s="567" t="s">
        <v>305</v>
      </c>
      <c r="I17" s="332"/>
      <c r="J17" s="565" t="s">
        <v>175</v>
      </c>
    </row>
    <row r="18" spans="2:10" ht="15" customHeight="1">
      <c r="B18" s="325">
        <v>18</v>
      </c>
      <c r="C18" s="564" t="s">
        <v>173</v>
      </c>
      <c r="D18" s="332"/>
      <c r="E18" s="565" t="s">
        <v>307</v>
      </c>
      <c r="G18" s="325">
        <v>27</v>
      </c>
      <c r="H18" s="567" t="s">
        <v>308</v>
      </c>
      <c r="I18" s="332"/>
      <c r="J18" s="565" t="s">
        <v>174</v>
      </c>
    </row>
    <row r="19" spans="2:10" ht="15" customHeight="1">
      <c r="B19" s="325">
        <v>19</v>
      </c>
      <c r="C19" s="564" t="s">
        <v>173</v>
      </c>
      <c r="D19" s="332"/>
      <c r="E19" s="565" t="s">
        <v>309</v>
      </c>
      <c r="G19" s="325">
        <v>28</v>
      </c>
      <c r="H19" s="567" t="s">
        <v>308</v>
      </c>
      <c r="I19" s="332"/>
      <c r="J19" s="565" t="s">
        <v>175</v>
      </c>
    </row>
    <row r="20" spans="2:10" ht="15" customHeight="1">
      <c r="B20" s="325">
        <v>20</v>
      </c>
      <c r="C20" s="564" t="s">
        <v>173</v>
      </c>
      <c r="D20" s="332"/>
      <c r="E20" s="565" t="s">
        <v>310</v>
      </c>
      <c r="G20" s="325">
        <v>29</v>
      </c>
      <c r="H20" s="567" t="s">
        <v>308</v>
      </c>
      <c r="I20" s="332"/>
      <c r="J20" s="565" t="s">
        <v>311</v>
      </c>
    </row>
    <row r="21" spans="2:10" ht="15" customHeight="1">
      <c r="B21" s="325">
        <v>21</v>
      </c>
      <c r="C21" s="564" t="s">
        <v>312</v>
      </c>
      <c r="D21" s="332"/>
      <c r="E21" s="565" t="s">
        <v>313</v>
      </c>
      <c r="G21" s="325">
        <v>30</v>
      </c>
      <c r="H21" s="567" t="s">
        <v>308</v>
      </c>
      <c r="I21" s="332"/>
      <c r="J21" s="565" t="s">
        <v>311</v>
      </c>
    </row>
    <row r="22" spans="2:10" ht="15" customHeight="1">
      <c r="B22" s="325">
        <v>22</v>
      </c>
      <c r="C22" s="564" t="s">
        <v>312</v>
      </c>
      <c r="D22" s="332"/>
      <c r="E22" s="565" t="s">
        <v>314</v>
      </c>
      <c r="G22" s="325">
        <v>31</v>
      </c>
      <c r="H22" s="567" t="s">
        <v>315</v>
      </c>
      <c r="I22" s="332"/>
      <c r="J22" s="565" t="s">
        <v>316</v>
      </c>
    </row>
    <row r="23" spans="2:10" ht="15" customHeight="1">
      <c r="B23" s="325">
        <v>23</v>
      </c>
      <c r="C23" s="564" t="s">
        <v>312</v>
      </c>
      <c r="D23" s="332"/>
      <c r="E23" s="565" t="s">
        <v>317</v>
      </c>
      <c r="G23" s="325">
        <v>32</v>
      </c>
      <c r="H23" s="567" t="s">
        <v>315</v>
      </c>
      <c r="I23" s="332"/>
      <c r="J23" s="565" t="s">
        <v>311</v>
      </c>
    </row>
    <row r="24" spans="2:10" ht="15" customHeight="1">
      <c r="B24" s="325">
        <v>24</v>
      </c>
      <c r="C24" s="564" t="s">
        <v>312</v>
      </c>
      <c r="D24" s="332"/>
      <c r="E24" s="565" t="s">
        <v>318</v>
      </c>
      <c r="G24" s="325">
        <v>33</v>
      </c>
      <c r="H24" s="567" t="s">
        <v>319</v>
      </c>
      <c r="I24" s="332"/>
      <c r="J24" s="565" t="s">
        <v>320</v>
      </c>
    </row>
    <row r="25" spans="2:10" ht="15" customHeight="1">
      <c r="B25" s="325">
        <v>25</v>
      </c>
      <c r="C25" s="564" t="s">
        <v>321</v>
      </c>
      <c r="D25" s="332"/>
      <c r="E25" s="565" t="s">
        <v>322</v>
      </c>
      <c r="G25" s="325">
        <v>34</v>
      </c>
      <c r="H25" s="567" t="s">
        <v>319</v>
      </c>
      <c r="I25" s="332"/>
      <c r="J25" s="565" t="s">
        <v>323</v>
      </c>
    </row>
    <row r="26" spans="2:10" ht="15" customHeight="1">
      <c r="B26" s="325">
        <v>26</v>
      </c>
      <c r="C26" s="564" t="s">
        <v>321</v>
      </c>
      <c r="D26" s="332"/>
      <c r="E26" s="565" t="s">
        <v>324</v>
      </c>
      <c r="G26" s="325">
        <v>35</v>
      </c>
      <c r="H26" s="567" t="s">
        <v>319</v>
      </c>
      <c r="I26" s="332"/>
      <c r="J26" s="565" t="s">
        <v>325</v>
      </c>
    </row>
    <row r="27" spans="2:10" ht="15" customHeight="1">
      <c r="B27" s="325">
        <v>27</v>
      </c>
      <c r="C27" s="564" t="s">
        <v>321</v>
      </c>
      <c r="D27" s="332"/>
      <c r="E27" s="565" t="s">
        <v>326</v>
      </c>
      <c r="G27" s="325">
        <v>36</v>
      </c>
      <c r="H27" s="567" t="s">
        <v>319</v>
      </c>
      <c r="I27" s="332"/>
      <c r="J27" s="565" t="s">
        <v>198</v>
      </c>
    </row>
    <row r="28" spans="2:10" ht="15" customHeight="1">
      <c r="B28" s="325">
        <v>28</v>
      </c>
      <c r="C28" s="564" t="s">
        <v>321</v>
      </c>
      <c r="D28" s="332"/>
      <c r="E28" s="565" t="s">
        <v>327</v>
      </c>
      <c r="G28" s="325">
        <v>37</v>
      </c>
      <c r="H28" s="567" t="s">
        <v>319</v>
      </c>
      <c r="I28" s="332"/>
      <c r="J28" s="565" t="s">
        <v>199</v>
      </c>
    </row>
    <row r="29" spans="2:10" ht="15" customHeight="1">
      <c r="B29" s="325">
        <v>29</v>
      </c>
      <c r="C29" s="564" t="s">
        <v>328</v>
      </c>
      <c r="D29" s="332"/>
      <c r="E29" s="565" t="s">
        <v>329</v>
      </c>
      <c r="G29" s="325">
        <v>38</v>
      </c>
      <c r="H29" s="567" t="s">
        <v>319</v>
      </c>
      <c r="I29" s="332"/>
      <c r="J29" s="565" t="s">
        <v>200</v>
      </c>
    </row>
    <row r="30" spans="2:10" ht="15" customHeight="1">
      <c r="B30" s="325">
        <v>30</v>
      </c>
      <c r="C30" s="564" t="s">
        <v>328</v>
      </c>
      <c r="D30" s="332"/>
      <c r="E30" s="565" t="s">
        <v>330</v>
      </c>
      <c r="G30" s="325">
        <v>40</v>
      </c>
      <c r="H30" s="325" t="s">
        <v>331</v>
      </c>
      <c r="I30" s="332"/>
      <c r="J30" s="568" t="s">
        <v>332</v>
      </c>
    </row>
    <row r="31" spans="2:10" ht="15" customHeight="1">
      <c r="B31" s="325">
        <v>31</v>
      </c>
      <c r="C31" s="564" t="s">
        <v>328</v>
      </c>
      <c r="D31" s="332"/>
      <c r="E31" s="565" t="s">
        <v>333</v>
      </c>
      <c r="G31" s="325">
        <v>41</v>
      </c>
      <c r="H31" s="325" t="s">
        <v>331</v>
      </c>
      <c r="I31" s="332"/>
      <c r="J31" s="568" t="s">
        <v>334</v>
      </c>
    </row>
    <row r="32" spans="2:10" ht="15" customHeight="1">
      <c r="B32" s="325">
        <v>32</v>
      </c>
      <c r="C32" s="564" t="s">
        <v>328</v>
      </c>
      <c r="D32" s="332"/>
      <c r="E32" s="565" t="s">
        <v>335</v>
      </c>
      <c r="G32" s="325">
        <v>42</v>
      </c>
      <c r="H32" s="325" t="s">
        <v>331</v>
      </c>
      <c r="I32" s="332"/>
      <c r="J32" s="568" t="s">
        <v>336</v>
      </c>
    </row>
    <row r="33" spans="2:10" ht="15" customHeight="1">
      <c r="B33" s="325">
        <v>33</v>
      </c>
      <c r="C33" s="564" t="s">
        <v>328</v>
      </c>
      <c r="D33" s="332"/>
      <c r="E33" s="565" t="s">
        <v>337</v>
      </c>
      <c r="G33" s="325">
        <v>43</v>
      </c>
      <c r="H33" s="325" t="s">
        <v>338</v>
      </c>
      <c r="I33" s="332"/>
      <c r="J33" s="568" t="s">
        <v>339</v>
      </c>
    </row>
    <row r="34" spans="2:10" ht="15" customHeight="1">
      <c r="B34" s="325">
        <v>34</v>
      </c>
      <c r="C34" s="564" t="s">
        <v>328</v>
      </c>
      <c r="D34" s="332"/>
      <c r="E34" s="565" t="s">
        <v>340</v>
      </c>
      <c r="G34" s="325">
        <v>44</v>
      </c>
      <c r="H34" s="325" t="s">
        <v>341</v>
      </c>
      <c r="I34" s="332"/>
      <c r="J34" s="569" t="s">
        <v>342</v>
      </c>
    </row>
    <row r="35" spans="2:10" ht="15" customHeight="1">
      <c r="B35" s="325">
        <v>35</v>
      </c>
      <c r="C35" s="564" t="s">
        <v>343</v>
      </c>
      <c r="D35" s="332"/>
      <c r="E35" s="565" t="s">
        <v>344</v>
      </c>
      <c r="G35" s="325">
        <v>45</v>
      </c>
      <c r="H35" s="325" t="s">
        <v>341</v>
      </c>
      <c r="I35" s="332"/>
      <c r="J35" s="569" t="s">
        <v>345</v>
      </c>
    </row>
    <row r="36" spans="2:10" ht="15" customHeight="1">
      <c r="B36" s="325">
        <v>36</v>
      </c>
      <c r="C36" s="564" t="s">
        <v>343</v>
      </c>
      <c r="D36" s="332"/>
      <c r="E36" s="565" t="s">
        <v>346</v>
      </c>
      <c r="G36" s="325">
        <v>46</v>
      </c>
      <c r="H36" s="325" t="s">
        <v>341</v>
      </c>
      <c r="I36" s="332"/>
      <c r="J36" s="569" t="s">
        <v>347</v>
      </c>
    </row>
    <row r="37" spans="2:10" ht="15" customHeight="1">
      <c r="B37" s="325">
        <v>37</v>
      </c>
      <c r="C37" s="564" t="s">
        <v>343</v>
      </c>
      <c r="D37" s="332"/>
      <c r="E37" s="565" t="s">
        <v>348</v>
      </c>
      <c r="G37" s="325">
        <v>47</v>
      </c>
      <c r="H37" s="325" t="s">
        <v>349</v>
      </c>
      <c r="I37" s="332"/>
      <c r="J37" s="568" t="s">
        <v>350</v>
      </c>
    </row>
    <row r="38" spans="2:10" ht="15" customHeight="1">
      <c r="B38" s="325">
        <v>38</v>
      </c>
      <c r="C38" s="564" t="s">
        <v>343</v>
      </c>
      <c r="D38" s="332"/>
      <c r="E38" s="565" t="s">
        <v>351</v>
      </c>
      <c r="G38" s="325">
        <v>48</v>
      </c>
      <c r="H38" s="325" t="s">
        <v>349</v>
      </c>
      <c r="I38" s="332"/>
      <c r="J38" s="568" t="s">
        <v>352</v>
      </c>
    </row>
    <row r="39" spans="2:10" ht="15" customHeight="1">
      <c r="B39" s="325">
        <v>39</v>
      </c>
      <c r="C39" s="564" t="s">
        <v>353</v>
      </c>
      <c r="D39" s="332"/>
      <c r="E39" s="565" t="s">
        <v>354</v>
      </c>
      <c r="G39" s="325">
        <v>49</v>
      </c>
      <c r="H39" s="325" t="s">
        <v>355</v>
      </c>
      <c r="I39" s="332"/>
      <c r="J39" s="568" t="s">
        <v>356</v>
      </c>
    </row>
    <row r="40" spans="2:10" ht="15" customHeight="1">
      <c r="B40" s="325">
        <v>40</v>
      </c>
      <c r="C40" s="564" t="s">
        <v>353</v>
      </c>
      <c r="D40" s="332"/>
      <c r="E40" s="565" t="s">
        <v>357</v>
      </c>
      <c r="G40" s="325">
        <v>50</v>
      </c>
      <c r="H40" s="325" t="s">
        <v>355</v>
      </c>
      <c r="I40" s="332"/>
      <c r="J40" s="568" t="s">
        <v>358</v>
      </c>
    </row>
    <row r="41" spans="2:10" ht="15" customHeight="1">
      <c r="B41" s="325">
        <v>41</v>
      </c>
      <c r="C41" s="564" t="s">
        <v>353</v>
      </c>
      <c r="D41" s="332"/>
      <c r="E41" s="565" t="s">
        <v>359</v>
      </c>
      <c r="G41" s="325">
        <v>51</v>
      </c>
      <c r="H41" s="325" t="s">
        <v>355</v>
      </c>
      <c r="I41" s="332"/>
      <c r="J41" s="568" t="s">
        <v>360</v>
      </c>
    </row>
    <row r="42" spans="2:10" ht="15" customHeight="1">
      <c r="B42" s="325">
        <v>42</v>
      </c>
      <c r="C42" s="564" t="s">
        <v>353</v>
      </c>
      <c r="D42" s="332"/>
      <c r="E42" s="565" t="s">
        <v>344</v>
      </c>
    </row>
    <row r="43" spans="2:10" ht="15" customHeight="1">
      <c r="B43" s="325">
        <v>43</v>
      </c>
      <c r="C43" s="564" t="s">
        <v>361</v>
      </c>
      <c r="D43" s="332"/>
      <c r="E43" s="565" t="s">
        <v>362</v>
      </c>
    </row>
    <row r="44" spans="2:10" ht="15" customHeight="1">
      <c r="B44" s="325">
        <v>44</v>
      </c>
      <c r="C44" s="564" t="s">
        <v>361</v>
      </c>
      <c r="D44" s="332"/>
      <c r="E44" s="565" t="s">
        <v>363</v>
      </c>
    </row>
    <row r="45" spans="2:10" ht="15" customHeight="1">
      <c r="B45" s="570">
        <v>45</v>
      </c>
      <c r="C45" s="571" t="s">
        <v>364</v>
      </c>
      <c r="D45" s="572"/>
      <c r="E45" s="570" t="s">
        <v>365</v>
      </c>
    </row>
    <row r="46" spans="2:10" ht="15" customHeight="1">
      <c r="B46" s="570">
        <v>46</v>
      </c>
      <c r="C46" s="571" t="s">
        <v>364</v>
      </c>
      <c r="D46" s="572"/>
      <c r="E46" s="570" t="s">
        <v>366</v>
      </c>
    </row>
    <row r="47" spans="2:10" ht="15" customHeight="1">
      <c r="B47" s="570">
        <v>47</v>
      </c>
      <c r="C47" s="571" t="s">
        <v>364</v>
      </c>
      <c r="D47" s="572"/>
      <c r="E47" s="570" t="s">
        <v>367</v>
      </c>
    </row>
    <row r="48" spans="2:10" ht="15" customHeight="1">
      <c r="B48" s="570">
        <v>48</v>
      </c>
      <c r="C48" s="571" t="s">
        <v>364</v>
      </c>
      <c r="D48" s="572"/>
      <c r="E48" s="570" t="s">
        <v>368</v>
      </c>
    </row>
    <row r="49" spans="2:5" ht="15" customHeight="1">
      <c r="B49" s="570">
        <v>49</v>
      </c>
      <c r="C49" s="571" t="s">
        <v>364</v>
      </c>
      <c r="D49" s="572"/>
      <c r="E49" s="570" t="s">
        <v>369</v>
      </c>
    </row>
    <row r="50" spans="2:5" ht="15" customHeight="1">
      <c r="B50" s="570">
        <v>50</v>
      </c>
      <c r="C50" s="571" t="s">
        <v>364</v>
      </c>
      <c r="D50" s="572"/>
      <c r="E50" s="570" t="s">
        <v>370</v>
      </c>
    </row>
    <row r="51" spans="2:5" ht="15" customHeight="1">
      <c r="B51" s="570">
        <v>51</v>
      </c>
      <c r="C51" s="571" t="s">
        <v>364</v>
      </c>
      <c r="D51" s="572"/>
      <c r="E51" s="570" t="s">
        <v>371</v>
      </c>
    </row>
    <row r="52" spans="2:5" ht="15" customHeight="1">
      <c r="B52" s="570">
        <v>52</v>
      </c>
      <c r="C52" s="571" t="s">
        <v>364</v>
      </c>
      <c r="D52" s="572"/>
      <c r="E52" s="570" t="s">
        <v>372</v>
      </c>
    </row>
    <row r="53" spans="2:5" ht="15" customHeight="1">
      <c r="B53" s="325">
        <v>53</v>
      </c>
      <c r="C53" s="564" t="s">
        <v>373</v>
      </c>
      <c r="D53" s="332"/>
      <c r="E53" s="565" t="s">
        <v>374</v>
      </c>
    </row>
    <row r="54" spans="2:5" ht="15" customHeight="1">
      <c r="B54" s="325">
        <v>54</v>
      </c>
      <c r="C54" s="564" t="s">
        <v>373</v>
      </c>
      <c r="D54" s="332"/>
      <c r="E54" s="565" t="s">
        <v>375</v>
      </c>
    </row>
    <row r="55" spans="2:5" ht="15" customHeight="1">
      <c r="B55" s="325">
        <v>55</v>
      </c>
      <c r="C55" s="564" t="s">
        <v>373</v>
      </c>
      <c r="D55" s="332"/>
      <c r="E55" s="565" t="s">
        <v>376</v>
      </c>
    </row>
    <row r="56" spans="2:5" ht="15" customHeight="1">
      <c r="B56" s="325">
        <v>56</v>
      </c>
      <c r="C56" s="564" t="s">
        <v>373</v>
      </c>
      <c r="D56" s="332"/>
      <c r="E56" s="565" t="s">
        <v>377</v>
      </c>
    </row>
    <row r="57" spans="2:5" ht="15" customHeight="1">
      <c r="B57" s="325">
        <v>57</v>
      </c>
      <c r="C57" s="564" t="s">
        <v>373</v>
      </c>
      <c r="D57" s="332"/>
      <c r="E57" s="565" t="s">
        <v>378</v>
      </c>
    </row>
    <row r="58" spans="2:5" ht="15" customHeight="1">
      <c r="B58" s="325">
        <v>58</v>
      </c>
      <c r="C58" s="564" t="s">
        <v>373</v>
      </c>
      <c r="D58" s="332"/>
      <c r="E58" s="565" t="s">
        <v>379</v>
      </c>
    </row>
    <row r="59" spans="2:5" ht="15" customHeight="1">
      <c r="B59" s="325">
        <v>59</v>
      </c>
      <c r="C59" s="564" t="s">
        <v>373</v>
      </c>
      <c r="D59" s="332"/>
      <c r="E59" s="565" t="s">
        <v>380</v>
      </c>
    </row>
    <row r="60" spans="2:5" ht="15" customHeight="1">
      <c r="B60" s="325">
        <v>60</v>
      </c>
      <c r="C60" s="564" t="s">
        <v>373</v>
      </c>
      <c r="D60" s="332"/>
      <c r="E60" s="565" t="s">
        <v>381</v>
      </c>
    </row>
    <row r="61" spans="2:5" ht="15" customHeight="1">
      <c r="B61" s="325">
        <v>61</v>
      </c>
      <c r="C61" s="564" t="s">
        <v>373</v>
      </c>
      <c r="D61" s="332"/>
      <c r="E61" s="565" t="s">
        <v>382</v>
      </c>
    </row>
    <row r="62" spans="2:5" ht="15" customHeight="1">
      <c r="B62" s="325">
        <v>62</v>
      </c>
      <c r="C62" s="564" t="s">
        <v>373</v>
      </c>
      <c r="D62" s="332"/>
      <c r="E62" s="565" t="s">
        <v>383</v>
      </c>
    </row>
    <row r="63" spans="2:5" ht="13">
      <c r="B63" s="325">
        <v>63</v>
      </c>
      <c r="C63" s="564" t="s">
        <v>373</v>
      </c>
      <c r="D63" s="332"/>
      <c r="E63" s="565" t="s">
        <v>384</v>
      </c>
    </row>
    <row r="64" spans="2:5" ht="13">
      <c r="B64" s="325">
        <v>64</v>
      </c>
      <c r="C64" s="564" t="s">
        <v>373</v>
      </c>
      <c r="D64" s="332"/>
      <c r="E64" s="565" t="s">
        <v>385</v>
      </c>
    </row>
    <row r="65" spans="2:5" ht="13">
      <c r="B65" s="325">
        <v>65</v>
      </c>
      <c r="C65" s="564" t="s">
        <v>373</v>
      </c>
      <c r="D65" s="332"/>
      <c r="E65" s="565" t="s">
        <v>386</v>
      </c>
    </row>
    <row r="66" spans="2:5" ht="13">
      <c r="B66" s="325">
        <v>66</v>
      </c>
      <c r="C66" s="564" t="s">
        <v>373</v>
      </c>
      <c r="D66" s="332"/>
      <c r="E66" s="565" t="s">
        <v>387</v>
      </c>
    </row>
    <row r="67" spans="2:5" ht="13">
      <c r="B67" s="325">
        <v>67</v>
      </c>
      <c r="C67" s="564" t="s">
        <v>373</v>
      </c>
      <c r="D67" s="332"/>
      <c r="E67" s="565" t="s">
        <v>388</v>
      </c>
    </row>
    <row r="68" spans="2:5" ht="13">
      <c r="B68" s="325">
        <v>68</v>
      </c>
      <c r="C68" s="564" t="s">
        <v>373</v>
      </c>
      <c r="D68" s="332"/>
      <c r="E68" s="565" t="s">
        <v>389</v>
      </c>
    </row>
    <row r="69" spans="2:5" ht="13">
      <c r="B69" s="325">
        <v>69</v>
      </c>
      <c r="C69" s="564" t="s">
        <v>373</v>
      </c>
      <c r="D69" s="332"/>
      <c r="E69" s="565" t="s">
        <v>390</v>
      </c>
    </row>
    <row r="70" spans="2:5" ht="13">
      <c r="B70" s="325">
        <v>70</v>
      </c>
      <c r="C70" s="564" t="s">
        <v>391</v>
      </c>
      <c r="D70" s="332"/>
      <c r="E70" s="565" t="s">
        <v>392</v>
      </c>
    </row>
    <row r="71" spans="2:5" ht="13">
      <c r="B71" s="325">
        <v>71</v>
      </c>
      <c r="C71" s="564" t="s">
        <v>391</v>
      </c>
      <c r="D71" s="332"/>
      <c r="E71" s="565" t="s">
        <v>393</v>
      </c>
    </row>
    <row r="72" spans="2:5" ht="13">
      <c r="B72" s="325">
        <v>72</v>
      </c>
      <c r="C72" s="564" t="s">
        <v>391</v>
      </c>
      <c r="D72" s="332"/>
      <c r="E72" s="565" t="s">
        <v>394</v>
      </c>
    </row>
    <row r="73" spans="2:5" ht="13">
      <c r="B73" s="325">
        <v>73</v>
      </c>
      <c r="C73" s="564" t="s">
        <v>395</v>
      </c>
      <c r="D73" s="332"/>
      <c r="E73" s="565" t="s">
        <v>396</v>
      </c>
    </row>
    <row r="74" spans="2:5" ht="13">
      <c r="B74" s="325">
        <v>74</v>
      </c>
      <c r="C74" s="564" t="s">
        <v>395</v>
      </c>
      <c r="D74" s="332"/>
      <c r="E74" s="565" t="s">
        <v>397</v>
      </c>
    </row>
    <row r="75" spans="2:5" ht="13">
      <c r="B75" s="325">
        <v>75</v>
      </c>
      <c r="C75" s="564" t="s">
        <v>395</v>
      </c>
      <c r="D75" s="332"/>
      <c r="E75" s="565" t="s">
        <v>398</v>
      </c>
    </row>
    <row r="76" spans="2:5" ht="13">
      <c r="B76" s="325">
        <v>76</v>
      </c>
      <c r="C76" s="564" t="s">
        <v>395</v>
      </c>
      <c r="D76" s="332"/>
      <c r="E76" s="565" t="s">
        <v>399</v>
      </c>
    </row>
    <row r="77" spans="2:5" ht="13">
      <c r="B77" s="325">
        <v>77</v>
      </c>
      <c r="C77" s="564" t="s">
        <v>400</v>
      </c>
      <c r="D77" s="332"/>
      <c r="E77" s="565" t="s">
        <v>283</v>
      </c>
    </row>
    <row r="78" spans="2:5" ht="13">
      <c r="B78" s="325">
        <v>78</v>
      </c>
      <c r="C78" s="564" t="s">
        <v>400</v>
      </c>
      <c r="D78" s="332"/>
      <c r="E78" s="565" t="s">
        <v>401</v>
      </c>
    </row>
    <row r="79" spans="2:5" ht="13">
      <c r="B79" s="325">
        <v>79</v>
      </c>
      <c r="C79" s="564" t="s">
        <v>400</v>
      </c>
      <c r="D79" s="332"/>
      <c r="E79" s="565" t="s">
        <v>402</v>
      </c>
    </row>
    <row r="80" spans="2:5" ht="13">
      <c r="B80" s="325">
        <v>80</v>
      </c>
      <c r="C80" s="564" t="s">
        <v>400</v>
      </c>
      <c r="D80" s="332"/>
      <c r="E80" s="565" t="s">
        <v>403</v>
      </c>
    </row>
    <row r="81" spans="2:5" ht="13">
      <c r="B81" s="325">
        <v>81</v>
      </c>
      <c r="C81" s="564" t="s">
        <v>404</v>
      </c>
      <c r="D81" s="332"/>
      <c r="E81" s="565" t="s">
        <v>405</v>
      </c>
    </row>
    <row r="82" spans="2:5" ht="13">
      <c r="B82" s="325">
        <v>82</v>
      </c>
      <c r="C82" s="564" t="s">
        <v>404</v>
      </c>
      <c r="D82" s="332"/>
      <c r="E82" s="565" t="s">
        <v>175</v>
      </c>
    </row>
    <row r="83" spans="2:5" ht="13">
      <c r="B83" s="325">
        <v>83</v>
      </c>
      <c r="C83" s="564" t="s">
        <v>406</v>
      </c>
      <c r="D83" s="332"/>
      <c r="E83" s="565" t="s">
        <v>407</v>
      </c>
    </row>
    <row r="84" spans="2:5" ht="13">
      <c r="B84" s="325">
        <v>84</v>
      </c>
      <c r="C84" s="564" t="s">
        <v>406</v>
      </c>
      <c r="D84" s="332"/>
      <c r="E84" s="565" t="s">
        <v>408</v>
      </c>
    </row>
    <row r="85" spans="2:5" ht="13">
      <c r="B85" s="325">
        <v>85</v>
      </c>
      <c r="C85" s="332" t="s">
        <v>409</v>
      </c>
      <c r="D85" s="332"/>
      <c r="E85" s="565" t="s">
        <v>410</v>
      </c>
    </row>
    <row r="86" spans="2:5" ht="13">
      <c r="B86" s="325">
        <v>86</v>
      </c>
      <c r="C86" s="332" t="s">
        <v>409</v>
      </c>
      <c r="D86" s="332"/>
      <c r="E86" s="565" t="s">
        <v>175</v>
      </c>
    </row>
    <row r="87" spans="2:5" ht="13">
      <c r="B87" s="325">
        <v>87</v>
      </c>
      <c r="C87" s="332" t="s">
        <v>411</v>
      </c>
      <c r="D87" s="332"/>
      <c r="E87" s="565" t="s">
        <v>412</v>
      </c>
    </row>
    <row r="88" spans="2:5" ht="13">
      <c r="B88" s="325">
        <v>88</v>
      </c>
      <c r="C88" s="332" t="s">
        <v>411</v>
      </c>
      <c r="D88" s="332"/>
      <c r="E88" s="565" t="s">
        <v>413</v>
      </c>
    </row>
    <row r="89" spans="2:5" ht="13">
      <c r="B89" s="325">
        <v>89</v>
      </c>
      <c r="C89" s="332" t="s">
        <v>414</v>
      </c>
      <c r="D89" s="332"/>
      <c r="E89" s="565" t="s">
        <v>415</v>
      </c>
    </row>
    <row r="90" spans="2:5" ht="13">
      <c r="B90" s="325">
        <v>90</v>
      </c>
      <c r="C90" s="332" t="s">
        <v>416</v>
      </c>
      <c r="D90" s="332"/>
      <c r="E90" s="570" t="s">
        <v>59</v>
      </c>
    </row>
    <row r="91" spans="2:5" ht="13">
      <c r="B91" s="325">
        <v>91</v>
      </c>
      <c r="C91" s="332" t="s">
        <v>416</v>
      </c>
      <c r="D91" s="332"/>
      <c r="E91" s="570" t="s">
        <v>60</v>
      </c>
    </row>
    <row r="92" spans="2:5" ht="13">
      <c r="B92" s="325">
        <v>92</v>
      </c>
      <c r="C92" s="332" t="s">
        <v>416</v>
      </c>
      <c r="D92" s="332"/>
      <c r="E92" s="570" t="s">
        <v>417</v>
      </c>
    </row>
    <row r="93" spans="2:5" ht="13">
      <c r="B93" s="325">
        <v>93</v>
      </c>
      <c r="C93" s="332" t="s">
        <v>416</v>
      </c>
      <c r="D93" s="332"/>
      <c r="E93" s="570" t="s">
        <v>64</v>
      </c>
    </row>
    <row r="94" spans="2:5" ht="13">
      <c r="B94" s="325">
        <v>94</v>
      </c>
      <c r="C94" s="332" t="s">
        <v>416</v>
      </c>
      <c r="D94" s="332"/>
      <c r="E94" s="570" t="s">
        <v>66</v>
      </c>
    </row>
    <row r="95" spans="2:5" ht="13">
      <c r="B95" s="325">
        <v>95</v>
      </c>
      <c r="C95" s="332" t="s">
        <v>118</v>
      </c>
      <c r="D95" s="332"/>
      <c r="E95" s="569" t="s">
        <v>415</v>
      </c>
    </row>
    <row r="96" spans="2:5" ht="13">
      <c r="B96" s="325">
        <v>96</v>
      </c>
      <c r="C96" s="332" t="s">
        <v>70</v>
      </c>
      <c r="D96" s="332"/>
      <c r="E96" s="568" t="s">
        <v>283</v>
      </c>
    </row>
    <row r="97" spans="2:5" ht="13">
      <c r="B97" s="325">
        <v>97</v>
      </c>
      <c r="C97" s="332" t="s">
        <v>70</v>
      </c>
      <c r="D97" s="332"/>
      <c r="E97" s="568" t="s">
        <v>284</v>
      </c>
    </row>
    <row r="98" spans="2:5" ht="13">
      <c r="B98" s="325">
        <v>98</v>
      </c>
      <c r="C98" s="332" t="s">
        <v>418</v>
      </c>
      <c r="D98" s="332"/>
      <c r="E98" s="568" t="s">
        <v>419</v>
      </c>
    </row>
    <row r="99" spans="2:5" ht="13">
      <c r="B99" s="325">
        <v>99</v>
      </c>
      <c r="C99" s="332" t="s">
        <v>418</v>
      </c>
      <c r="D99" s="332"/>
      <c r="E99" s="568" t="s">
        <v>420</v>
      </c>
    </row>
    <row r="100" spans="2:5" ht="13">
      <c r="B100" s="325">
        <v>100</v>
      </c>
      <c r="C100" s="332" t="s">
        <v>421</v>
      </c>
      <c r="D100" s="332"/>
      <c r="E100" s="568" t="s">
        <v>55</v>
      </c>
    </row>
    <row r="101" spans="2:5" ht="13">
      <c r="B101" s="325">
        <v>101</v>
      </c>
      <c r="C101" s="332" t="s">
        <v>421</v>
      </c>
      <c r="D101" s="332"/>
      <c r="E101" s="568" t="s">
        <v>422</v>
      </c>
    </row>
    <row r="102" spans="2:5" ht="13">
      <c r="B102" s="325">
        <v>102</v>
      </c>
      <c r="C102" s="332" t="s">
        <v>423</v>
      </c>
      <c r="D102" s="332"/>
      <c r="E102" s="568" t="s">
        <v>424</v>
      </c>
    </row>
    <row r="103" spans="2:5" ht="13">
      <c r="B103" s="325">
        <v>103</v>
      </c>
      <c r="C103" s="332" t="s">
        <v>423</v>
      </c>
      <c r="D103" s="332"/>
      <c r="E103" s="568" t="s">
        <v>425</v>
      </c>
    </row>
    <row r="104" spans="2:5" ht="13">
      <c r="B104" s="325">
        <v>104</v>
      </c>
      <c r="C104" s="332" t="s">
        <v>426</v>
      </c>
      <c r="D104" s="332"/>
      <c r="E104" s="572" t="s">
        <v>427</v>
      </c>
    </row>
    <row r="105" spans="2:5" ht="13">
      <c r="B105" s="325">
        <v>105</v>
      </c>
      <c r="C105" s="332" t="s">
        <v>426</v>
      </c>
      <c r="D105" s="332"/>
      <c r="E105" s="572" t="s">
        <v>428</v>
      </c>
    </row>
    <row r="106" spans="2:5" ht="13">
      <c r="B106" s="325">
        <v>108</v>
      </c>
      <c r="C106" s="332" t="s">
        <v>429</v>
      </c>
      <c r="D106" s="332"/>
      <c r="E106" s="568" t="s">
        <v>430</v>
      </c>
    </row>
    <row r="107" spans="2:5" ht="13">
      <c r="B107" s="325">
        <v>109</v>
      </c>
      <c r="C107" s="332" t="s">
        <v>429</v>
      </c>
      <c r="D107" s="332"/>
      <c r="E107" s="568" t="s">
        <v>431</v>
      </c>
    </row>
    <row r="108" spans="2:5" ht="13">
      <c r="B108" s="325">
        <v>110</v>
      </c>
      <c r="C108" s="332" t="s">
        <v>432</v>
      </c>
      <c r="D108" s="332"/>
      <c r="E108" s="569" t="s">
        <v>433</v>
      </c>
    </row>
    <row r="109" spans="2:5" ht="13">
      <c r="B109" s="325">
        <v>111</v>
      </c>
      <c r="C109" s="332" t="s">
        <v>434</v>
      </c>
      <c r="D109" s="332"/>
      <c r="E109" s="568" t="s">
        <v>435</v>
      </c>
    </row>
    <row r="110" spans="2:5" ht="13">
      <c r="B110" s="325">
        <v>112</v>
      </c>
      <c r="C110" s="332" t="s">
        <v>434</v>
      </c>
      <c r="D110" s="332"/>
      <c r="E110" s="568" t="s">
        <v>436</v>
      </c>
    </row>
    <row r="111" spans="2:5" ht="13">
      <c r="B111" s="573">
        <v>113</v>
      </c>
      <c r="C111" s="574" t="s">
        <v>82</v>
      </c>
      <c r="D111" s="574"/>
      <c r="E111" s="574" t="s">
        <v>437</v>
      </c>
    </row>
    <row r="112" spans="2:5" ht="13">
      <c r="B112" s="573">
        <v>114</v>
      </c>
      <c r="C112" s="574" t="s">
        <v>82</v>
      </c>
      <c r="D112" s="574"/>
      <c r="E112" s="574" t="s">
        <v>438</v>
      </c>
    </row>
    <row r="113" spans="2:5" ht="13">
      <c r="B113" s="573">
        <v>115</v>
      </c>
      <c r="C113" s="574" t="s">
        <v>82</v>
      </c>
      <c r="D113" s="574"/>
      <c r="E113" s="574" t="s">
        <v>439</v>
      </c>
    </row>
    <row r="114" spans="2:5" ht="13">
      <c r="B114" s="573">
        <v>116</v>
      </c>
      <c r="C114" s="574" t="s">
        <v>82</v>
      </c>
      <c r="D114" s="574"/>
      <c r="E114" s="574" t="s">
        <v>440</v>
      </c>
    </row>
    <row r="115" spans="2:5" ht="13">
      <c r="B115" s="573">
        <v>117</v>
      </c>
      <c r="C115" s="574" t="s">
        <v>82</v>
      </c>
      <c r="D115" s="574"/>
      <c r="E115" s="574"/>
    </row>
    <row r="116" spans="2:5" ht="13">
      <c r="B116" s="573">
        <v>118</v>
      </c>
      <c r="C116" s="574" t="s">
        <v>82</v>
      </c>
      <c r="D116" s="574"/>
      <c r="E116" s="574"/>
    </row>
    <row r="117" spans="2:5" ht="13">
      <c r="B117" s="573">
        <v>119</v>
      </c>
      <c r="C117" s="574" t="s">
        <v>82</v>
      </c>
      <c r="D117" s="574"/>
      <c r="E117" s="574"/>
    </row>
    <row r="118" spans="2:5" ht="13">
      <c r="B118" s="325">
        <v>120</v>
      </c>
      <c r="C118" s="332" t="s">
        <v>441</v>
      </c>
      <c r="D118" s="332"/>
      <c r="E118" s="568" t="s">
        <v>442</v>
      </c>
    </row>
    <row r="119" spans="2:5" ht="13">
      <c r="B119" s="325">
        <v>121</v>
      </c>
      <c r="C119" s="332" t="s">
        <v>441</v>
      </c>
      <c r="D119" s="332"/>
      <c r="E119" s="568" t="s">
        <v>443</v>
      </c>
    </row>
    <row r="120" spans="2:5" ht="13">
      <c r="B120" s="325">
        <v>122</v>
      </c>
      <c r="C120" s="332" t="s">
        <v>297</v>
      </c>
      <c r="D120" s="332"/>
      <c r="E120" s="568" t="s">
        <v>298</v>
      </c>
    </row>
    <row r="121" spans="2:5" ht="13">
      <c r="B121" s="325">
        <v>123</v>
      </c>
      <c r="C121" s="332" t="s">
        <v>297</v>
      </c>
      <c r="D121" s="332"/>
      <c r="E121" s="568" t="s">
        <v>299</v>
      </c>
    </row>
    <row r="122" spans="2:5" ht="13">
      <c r="B122" s="325">
        <v>124</v>
      </c>
      <c r="C122" s="332" t="s">
        <v>297</v>
      </c>
      <c r="D122" s="332"/>
      <c r="E122" s="568" t="s">
        <v>302</v>
      </c>
    </row>
    <row r="123" spans="2:5" ht="13">
      <c r="B123" s="325">
        <v>125</v>
      </c>
      <c r="C123" s="332" t="s">
        <v>297</v>
      </c>
      <c r="D123" s="332"/>
      <c r="E123" s="568" t="s">
        <v>301</v>
      </c>
    </row>
    <row r="124" spans="2:5" ht="13">
      <c r="B124" s="325">
        <v>126</v>
      </c>
      <c r="C124" s="332" t="s">
        <v>297</v>
      </c>
      <c r="D124" s="332"/>
      <c r="E124" s="568" t="s">
        <v>300</v>
      </c>
    </row>
    <row r="125" spans="2:5" ht="13">
      <c r="B125" s="325">
        <v>127</v>
      </c>
      <c r="C125" s="332" t="s">
        <v>444</v>
      </c>
      <c r="D125" s="332"/>
      <c r="E125" s="568" t="s">
        <v>354</v>
      </c>
    </row>
    <row r="126" spans="2:5" ht="13">
      <c r="B126" s="325">
        <v>128</v>
      </c>
      <c r="C126" s="332" t="s">
        <v>444</v>
      </c>
      <c r="D126" s="332"/>
      <c r="E126" s="568" t="s">
        <v>357</v>
      </c>
    </row>
    <row r="127" spans="2:5" ht="13">
      <c r="B127" s="325">
        <v>129</v>
      </c>
      <c r="C127" s="332" t="s">
        <v>444</v>
      </c>
      <c r="D127" s="332"/>
      <c r="E127" s="568" t="s">
        <v>445</v>
      </c>
    </row>
    <row r="128" spans="2:5" ht="13">
      <c r="B128" s="325">
        <v>130</v>
      </c>
      <c r="C128" s="332" t="s">
        <v>446</v>
      </c>
      <c r="D128" s="332"/>
      <c r="E128" s="568" t="s">
        <v>412</v>
      </c>
    </row>
    <row r="129" spans="2:5" ht="13">
      <c r="B129" s="325">
        <v>133</v>
      </c>
      <c r="C129" s="332" t="s">
        <v>447</v>
      </c>
      <c r="D129" s="332"/>
      <c r="E129" s="568" t="s">
        <v>398</v>
      </c>
    </row>
    <row r="130" spans="2:5" ht="13">
      <c r="B130" s="325">
        <v>135</v>
      </c>
      <c r="C130" s="332" t="s">
        <v>447</v>
      </c>
      <c r="D130" s="332"/>
      <c r="E130" s="569" t="s">
        <v>448</v>
      </c>
    </row>
    <row r="131" spans="2:5" ht="13">
      <c r="B131" s="325">
        <v>136</v>
      </c>
      <c r="C131" s="332" t="s">
        <v>449</v>
      </c>
      <c r="D131" s="332"/>
      <c r="E131" s="568" t="s">
        <v>450</v>
      </c>
    </row>
    <row r="132" spans="2:5" ht="13">
      <c r="B132" s="325">
        <v>137</v>
      </c>
      <c r="C132" s="332" t="s">
        <v>449</v>
      </c>
      <c r="D132" s="332"/>
      <c r="E132" s="568" t="s">
        <v>451</v>
      </c>
    </row>
    <row r="133" spans="2:5" ht="13">
      <c r="B133" s="325">
        <v>138</v>
      </c>
      <c r="C133" s="332" t="s">
        <v>449</v>
      </c>
      <c r="D133" s="332"/>
      <c r="E133" s="568" t="s">
        <v>452</v>
      </c>
    </row>
    <row r="134" spans="2:5" ht="13">
      <c r="B134" s="325">
        <v>139</v>
      </c>
      <c r="C134" s="332" t="s">
        <v>449</v>
      </c>
      <c r="D134" s="332"/>
      <c r="E134" s="568" t="s">
        <v>452</v>
      </c>
    </row>
    <row r="135" spans="2:5" ht="13">
      <c r="B135" s="325">
        <v>140</v>
      </c>
      <c r="C135" s="332" t="s">
        <v>421</v>
      </c>
      <c r="D135" s="332"/>
      <c r="E135" s="572" t="s">
        <v>55</v>
      </c>
    </row>
    <row r="136" spans="2:5" ht="13">
      <c r="B136" s="325">
        <v>141</v>
      </c>
      <c r="C136" s="332" t="s">
        <v>421</v>
      </c>
      <c r="D136" s="332"/>
      <c r="E136" s="572" t="s">
        <v>57</v>
      </c>
    </row>
    <row r="137" spans="2:5" ht="13">
      <c r="B137" s="325">
        <v>142</v>
      </c>
      <c r="C137" s="332" t="s">
        <v>453</v>
      </c>
      <c r="D137" s="332"/>
      <c r="E137" s="568" t="s">
        <v>454</v>
      </c>
    </row>
    <row r="138" spans="2:5" ht="13">
      <c r="B138" s="325">
        <v>143</v>
      </c>
      <c r="C138" s="332" t="s">
        <v>76</v>
      </c>
      <c r="D138" s="332"/>
      <c r="E138" s="568" t="s">
        <v>455</v>
      </c>
    </row>
    <row r="139" spans="2:5" ht="13">
      <c r="B139" s="325">
        <v>144</v>
      </c>
      <c r="C139" s="332" t="s">
        <v>76</v>
      </c>
      <c r="D139" s="332"/>
      <c r="E139" s="568" t="s">
        <v>456</v>
      </c>
    </row>
    <row r="140" spans="2:5" ht="13">
      <c r="B140" s="325">
        <v>145</v>
      </c>
      <c r="C140" s="332" t="s">
        <v>76</v>
      </c>
      <c r="D140" s="332"/>
      <c r="E140" s="568" t="s">
        <v>457</v>
      </c>
    </row>
    <row r="141" spans="2:5" ht="13">
      <c r="B141" s="325">
        <v>146</v>
      </c>
      <c r="C141" s="332" t="s">
        <v>76</v>
      </c>
      <c r="D141" s="332"/>
      <c r="E141" s="568" t="s">
        <v>458</v>
      </c>
    </row>
    <row r="142" spans="2:5" ht="13">
      <c r="B142" s="325">
        <v>147</v>
      </c>
      <c r="C142" s="332" t="s">
        <v>76</v>
      </c>
      <c r="D142" s="332"/>
      <c r="E142" s="568" t="s">
        <v>459</v>
      </c>
    </row>
    <row r="143" spans="2:5" ht="13">
      <c r="B143" s="325">
        <v>148</v>
      </c>
      <c r="C143" s="332" t="s">
        <v>76</v>
      </c>
      <c r="D143" s="332"/>
      <c r="E143" s="568" t="s">
        <v>459</v>
      </c>
    </row>
    <row r="144" spans="2:5" ht="13">
      <c r="B144" s="325">
        <v>149</v>
      </c>
      <c r="C144" s="332" t="s">
        <v>76</v>
      </c>
      <c r="D144" s="332"/>
      <c r="E144" s="568" t="s">
        <v>459</v>
      </c>
    </row>
    <row r="145" spans="2:5" ht="13">
      <c r="B145" s="325">
        <v>150</v>
      </c>
      <c r="C145" s="332" t="s">
        <v>76</v>
      </c>
      <c r="D145" s="332"/>
      <c r="E145" s="568" t="s">
        <v>459</v>
      </c>
    </row>
    <row r="146" spans="2:5" ht="13">
      <c r="B146" s="325">
        <v>151</v>
      </c>
      <c r="C146" s="332" t="s">
        <v>76</v>
      </c>
      <c r="D146" s="332"/>
      <c r="E146" s="568" t="s">
        <v>459</v>
      </c>
    </row>
    <row r="147" spans="2:5" ht="13">
      <c r="B147" s="325">
        <v>152</v>
      </c>
      <c r="C147" s="332" t="s">
        <v>460</v>
      </c>
      <c r="D147" s="332" t="s">
        <v>74</v>
      </c>
      <c r="E147" s="332" t="s">
        <v>461</v>
      </c>
    </row>
    <row r="148" spans="2:5" ht="13">
      <c r="B148" s="325">
        <v>153</v>
      </c>
      <c r="C148" s="332" t="s">
        <v>460</v>
      </c>
      <c r="D148" s="332"/>
      <c r="E148" s="332" t="s">
        <v>462</v>
      </c>
    </row>
    <row r="149" spans="2:5" ht="13">
      <c r="B149" s="325">
        <v>154</v>
      </c>
      <c r="C149" s="332" t="s">
        <v>460</v>
      </c>
      <c r="D149" s="332"/>
      <c r="E149" s="332" t="s">
        <v>463</v>
      </c>
    </row>
    <row r="150" spans="2:5" ht="13">
      <c r="B150" s="325">
        <v>155</v>
      </c>
      <c r="C150" s="332" t="s">
        <v>460</v>
      </c>
      <c r="D150" s="332"/>
      <c r="E150" s="332" t="s">
        <v>464</v>
      </c>
    </row>
    <row r="151" spans="2:5" ht="13">
      <c r="B151" s="325">
        <v>156</v>
      </c>
      <c r="C151" s="332" t="s">
        <v>460</v>
      </c>
      <c r="D151" s="332"/>
      <c r="E151" s="332" t="s">
        <v>465</v>
      </c>
    </row>
    <row r="152" spans="2:5" ht="13">
      <c r="B152" s="325">
        <v>157</v>
      </c>
      <c r="C152" s="332" t="s">
        <v>460</v>
      </c>
      <c r="D152" s="332"/>
      <c r="E152" s="332" t="s">
        <v>466</v>
      </c>
    </row>
    <row r="153" spans="2:5" ht="13">
      <c r="B153" s="325">
        <v>158</v>
      </c>
      <c r="C153" s="332" t="s">
        <v>460</v>
      </c>
      <c r="D153" s="332"/>
      <c r="E153" s="332" t="s">
        <v>467</v>
      </c>
    </row>
    <row r="154" spans="2:5" ht="13">
      <c r="B154" s="325">
        <v>159</v>
      </c>
      <c r="C154" s="332" t="s">
        <v>460</v>
      </c>
      <c r="D154" s="332"/>
      <c r="E154" s="332" t="s">
        <v>468</v>
      </c>
    </row>
    <row r="155" spans="2:5" ht="13">
      <c r="B155" s="325">
        <v>160</v>
      </c>
      <c r="C155" s="332" t="s">
        <v>469</v>
      </c>
      <c r="D155" s="332"/>
      <c r="E155" s="568" t="s">
        <v>49</v>
      </c>
    </row>
  </sheetData>
  <sortState xmlns:xlrd2="http://schemas.microsoft.com/office/spreadsheetml/2017/richdata2" ref="O1:O108">
    <sortCondition ref="O1:O10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2B61-2EEF-3349-B223-B25DC5CF43D3}">
  <dimension ref="A1:I109"/>
  <sheetViews>
    <sheetView tabSelected="1" zoomScale="340" zoomScaleNormal="340" workbookViewId="0">
      <selection activeCell="C18" sqref="C18"/>
    </sheetView>
  </sheetViews>
  <sheetFormatPr baseColWidth="10" defaultRowHeight="13"/>
  <cols>
    <col min="1" max="1" width="22.5" style="619" bestFit="1" customWidth="1"/>
    <col min="2" max="2" width="0" hidden="1" customWidth="1"/>
  </cols>
  <sheetData>
    <row r="1" spans="1:9" s="622" customFormat="1">
      <c r="A1" s="621"/>
      <c r="B1" s="622" t="s">
        <v>20</v>
      </c>
      <c r="C1" s="622" t="s">
        <v>470</v>
      </c>
      <c r="D1" s="622" t="s">
        <v>471</v>
      </c>
      <c r="E1" s="622" t="s">
        <v>472</v>
      </c>
      <c r="F1" s="622" t="s">
        <v>21</v>
      </c>
      <c r="G1" s="622" t="s">
        <v>473</v>
      </c>
      <c r="H1" s="622" t="s">
        <v>474</v>
      </c>
      <c r="I1" s="622" t="s">
        <v>475</v>
      </c>
    </row>
    <row r="2" spans="1:9">
      <c r="A2" s="620" t="s">
        <v>291</v>
      </c>
      <c r="B2" s="618" t="s">
        <v>476</v>
      </c>
      <c r="C2" s="618" t="s">
        <v>527</v>
      </c>
    </row>
    <row r="3" spans="1:9">
      <c r="A3" s="620" t="s">
        <v>344</v>
      </c>
      <c r="B3" s="618" t="s">
        <v>477</v>
      </c>
      <c r="C3" s="618" t="s">
        <v>528</v>
      </c>
    </row>
    <row r="4" spans="1:9">
      <c r="A4" s="620" t="s">
        <v>433</v>
      </c>
      <c r="B4" s="618" t="s">
        <v>433</v>
      </c>
    </row>
    <row r="5" spans="1:9">
      <c r="A5" s="620" t="s">
        <v>354</v>
      </c>
      <c r="B5" s="618" t="s">
        <v>478</v>
      </c>
      <c r="C5" s="618" t="s">
        <v>529</v>
      </c>
    </row>
    <row r="6" spans="1:9">
      <c r="A6" s="620" t="s">
        <v>324</v>
      </c>
      <c r="B6" s="618" t="s">
        <v>479</v>
      </c>
      <c r="C6" s="618" t="s">
        <v>530</v>
      </c>
    </row>
    <row r="7" spans="1:9">
      <c r="A7" s="620" t="s">
        <v>431</v>
      </c>
      <c r="B7" s="618" t="s">
        <v>480</v>
      </c>
      <c r="C7" s="618" t="s">
        <v>531</v>
      </c>
    </row>
    <row r="8" spans="1:9">
      <c r="A8" s="620" t="s">
        <v>427</v>
      </c>
      <c r="B8" s="618" t="s">
        <v>481</v>
      </c>
      <c r="C8" s="618" t="s">
        <v>532</v>
      </c>
    </row>
    <row r="9" spans="1:9">
      <c r="A9" s="620" t="s">
        <v>389</v>
      </c>
      <c r="B9" s="618" t="s">
        <v>482</v>
      </c>
      <c r="C9" s="618" t="s">
        <v>533</v>
      </c>
    </row>
    <row r="10" spans="1:9">
      <c r="A10" s="620" t="s">
        <v>399</v>
      </c>
      <c r="B10" s="618" t="s">
        <v>482</v>
      </c>
      <c r="C10" s="618" t="s">
        <v>534</v>
      </c>
    </row>
    <row r="11" spans="1:9">
      <c r="A11" s="620" t="s">
        <v>330</v>
      </c>
    </row>
    <row r="12" spans="1:9">
      <c r="A12" s="620" t="s">
        <v>306</v>
      </c>
      <c r="B12" s="618" t="s">
        <v>483</v>
      </c>
      <c r="C12" s="618" t="s">
        <v>535</v>
      </c>
    </row>
    <row r="13" spans="1:9">
      <c r="A13" s="620" t="s">
        <v>380</v>
      </c>
      <c r="B13" s="618" t="s">
        <v>483</v>
      </c>
      <c r="C13" s="618" t="s">
        <v>536</v>
      </c>
    </row>
    <row r="14" spans="1:9">
      <c r="A14" s="620" t="s">
        <v>322</v>
      </c>
      <c r="B14" s="618" t="s">
        <v>483</v>
      </c>
      <c r="C14" s="618" t="s">
        <v>530</v>
      </c>
    </row>
    <row r="15" spans="1:9">
      <c r="A15" s="620" t="s">
        <v>55</v>
      </c>
      <c r="B15" s="618" t="s">
        <v>484</v>
      </c>
      <c r="C15" s="618" t="s">
        <v>537</v>
      </c>
    </row>
    <row r="16" spans="1:9">
      <c r="A16" s="620" t="s">
        <v>288</v>
      </c>
      <c r="B16" s="618" t="s">
        <v>485</v>
      </c>
      <c r="C16" s="618" t="s">
        <v>538</v>
      </c>
    </row>
    <row r="17" spans="1:3">
      <c r="A17" s="620" t="s">
        <v>415</v>
      </c>
      <c r="B17" s="618" t="s">
        <v>486</v>
      </c>
      <c r="C17" s="618" t="s">
        <v>539</v>
      </c>
    </row>
    <row r="18" spans="1:3">
      <c r="A18" s="620" t="s">
        <v>425</v>
      </c>
    </row>
    <row r="19" spans="1:3">
      <c r="A19" s="620" t="s">
        <v>398</v>
      </c>
      <c r="B19" s="618" t="s">
        <v>487</v>
      </c>
    </row>
    <row r="20" spans="1:3">
      <c r="A20" s="620" t="s">
        <v>326</v>
      </c>
      <c r="B20" s="618" t="s">
        <v>488</v>
      </c>
    </row>
    <row r="21" spans="1:3">
      <c r="A21" s="620" t="s">
        <v>301</v>
      </c>
      <c r="B21" s="618" t="s">
        <v>489</v>
      </c>
    </row>
    <row r="22" spans="1:3">
      <c r="A22" s="620" t="s">
        <v>379</v>
      </c>
      <c r="B22" s="618" t="s">
        <v>489</v>
      </c>
    </row>
    <row r="23" spans="1:3">
      <c r="A23" s="620" t="s">
        <v>333</v>
      </c>
      <c r="B23" s="618" t="s">
        <v>490</v>
      </c>
    </row>
    <row r="24" spans="1:3">
      <c r="A24" s="620" t="s">
        <v>370</v>
      </c>
      <c r="B24" s="618" t="s">
        <v>490</v>
      </c>
    </row>
    <row r="25" spans="1:3">
      <c r="A25" s="620" t="s">
        <v>363</v>
      </c>
      <c r="B25" s="618" t="s">
        <v>490</v>
      </c>
    </row>
    <row r="26" spans="1:3">
      <c r="A26" s="620" t="s">
        <v>374</v>
      </c>
      <c r="B26" s="618" t="s">
        <v>491</v>
      </c>
    </row>
    <row r="27" spans="1:3">
      <c r="A27" s="620" t="s">
        <v>405</v>
      </c>
      <c r="B27" s="618" t="s">
        <v>492</v>
      </c>
    </row>
    <row r="28" spans="1:3">
      <c r="A28" s="620" t="s">
        <v>439</v>
      </c>
      <c r="B28" s="618" t="s">
        <v>493</v>
      </c>
    </row>
    <row r="29" spans="1:3">
      <c r="A29" s="620" t="s">
        <v>390</v>
      </c>
      <c r="B29" s="618" t="s">
        <v>493</v>
      </c>
    </row>
    <row r="30" spans="1:3">
      <c r="A30" s="620" t="s">
        <v>387</v>
      </c>
      <c r="B30" s="618" t="s">
        <v>493</v>
      </c>
    </row>
    <row r="31" spans="1:3">
      <c r="A31" s="620" t="s">
        <v>388</v>
      </c>
      <c r="B31" s="618" t="s">
        <v>493</v>
      </c>
    </row>
    <row r="32" spans="1:3">
      <c r="A32" s="620" t="s">
        <v>340</v>
      </c>
      <c r="B32" s="618" t="s">
        <v>493</v>
      </c>
    </row>
    <row r="33" spans="1:2">
      <c r="A33" s="620" t="s">
        <v>283</v>
      </c>
      <c r="B33" s="618" t="s">
        <v>493</v>
      </c>
    </row>
    <row r="34" spans="1:2">
      <c r="A34" s="620" t="s">
        <v>401</v>
      </c>
      <c r="B34" s="618" t="s">
        <v>493</v>
      </c>
    </row>
    <row r="35" spans="1:2">
      <c r="A35" s="620" t="s">
        <v>309</v>
      </c>
      <c r="B35" s="618" t="s">
        <v>493</v>
      </c>
    </row>
    <row r="36" spans="1:2">
      <c r="A36" s="620" t="s">
        <v>304</v>
      </c>
      <c r="B36" s="618" t="s">
        <v>494</v>
      </c>
    </row>
    <row r="37" spans="1:2">
      <c r="A37" s="620" t="s">
        <v>351</v>
      </c>
    </row>
    <row r="38" spans="1:2">
      <c r="A38" s="620" t="s">
        <v>436</v>
      </c>
    </row>
    <row r="39" spans="1:2">
      <c r="A39" s="620" t="s">
        <v>327</v>
      </c>
    </row>
    <row r="40" spans="1:2">
      <c r="A40" s="620" t="s">
        <v>422</v>
      </c>
    </row>
    <row r="41" spans="1:2">
      <c r="A41" s="620" t="s">
        <v>402</v>
      </c>
    </row>
    <row r="42" spans="1:2">
      <c r="A42" s="620" t="s">
        <v>420</v>
      </c>
    </row>
    <row r="43" spans="1:2">
      <c r="A43" s="620" t="s">
        <v>386</v>
      </c>
      <c r="B43" s="618" t="s">
        <v>495</v>
      </c>
    </row>
    <row r="44" spans="1:2">
      <c r="A44" s="620" t="s">
        <v>359</v>
      </c>
      <c r="B44" s="618" t="s">
        <v>495</v>
      </c>
    </row>
    <row r="45" spans="1:2">
      <c r="A45" s="620" t="s">
        <v>430</v>
      </c>
      <c r="B45" s="618" t="s">
        <v>496</v>
      </c>
    </row>
    <row r="46" spans="1:2">
      <c r="A46" s="620" t="s">
        <v>64</v>
      </c>
      <c r="B46" s="618" t="s">
        <v>497</v>
      </c>
    </row>
    <row r="47" spans="1:2">
      <c r="A47" s="620" t="s">
        <v>437</v>
      </c>
      <c r="B47" s="618" t="s">
        <v>497</v>
      </c>
    </row>
    <row r="48" spans="1:2">
      <c r="A48" s="620" t="s">
        <v>175</v>
      </c>
    </row>
    <row r="49" spans="1:2">
      <c r="A49" s="620" t="s">
        <v>176</v>
      </c>
    </row>
    <row r="50" spans="1:2">
      <c r="A50" s="620" t="s">
        <v>198</v>
      </c>
    </row>
    <row r="51" spans="1:2">
      <c r="A51" s="620" t="s">
        <v>318</v>
      </c>
    </row>
    <row r="52" spans="1:2">
      <c r="A52" s="620" t="s">
        <v>372</v>
      </c>
      <c r="B52" s="618" t="s">
        <v>498</v>
      </c>
    </row>
    <row r="53" spans="1:2">
      <c r="A53" s="620" t="s">
        <v>59</v>
      </c>
      <c r="B53" s="618" t="s">
        <v>499</v>
      </c>
    </row>
    <row r="54" spans="1:2">
      <c r="A54" s="620" t="s">
        <v>375</v>
      </c>
      <c r="B54" s="618" t="s">
        <v>500</v>
      </c>
    </row>
    <row r="55" spans="1:2">
      <c r="A55" s="620" t="s">
        <v>378</v>
      </c>
      <c r="B55" s="618" t="s">
        <v>500</v>
      </c>
    </row>
    <row r="56" spans="1:2">
      <c r="A56" s="620" t="s">
        <v>317</v>
      </c>
      <c r="B56" s="618" t="s">
        <v>501</v>
      </c>
    </row>
    <row r="57" spans="1:2">
      <c r="A57" s="620" t="s">
        <v>60</v>
      </c>
      <c r="B57" s="618" t="s">
        <v>501</v>
      </c>
    </row>
    <row r="58" spans="1:2">
      <c r="A58" s="620" t="s">
        <v>300</v>
      </c>
      <c r="B58" s="618" t="s">
        <v>502</v>
      </c>
    </row>
    <row r="59" spans="1:2">
      <c r="A59" s="620" t="s">
        <v>365</v>
      </c>
      <c r="B59" s="618" t="s">
        <v>502</v>
      </c>
    </row>
    <row r="60" spans="1:2">
      <c r="A60" s="620" t="s">
        <v>382</v>
      </c>
      <c r="B60" s="618" t="s">
        <v>503</v>
      </c>
    </row>
    <row r="61" spans="1:2">
      <c r="A61" s="620" t="s">
        <v>66</v>
      </c>
      <c r="B61" s="618" t="s">
        <v>504</v>
      </c>
    </row>
    <row r="62" spans="1:2">
      <c r="A62" s="620" t="s">
        <v>366</v>
      </c>
      <c r="B62" s="618" t="s">
        <v>505</v>
      </c>
    </row>
    <row r="63" spans="1:2">
      <c r="A63" s="620" t="s">
        <v>428</v>
      </c>
      <c r="B63" s="618" t="s">
        <v>502</v>
      </c>
    </row>
    <row r="64" spans="1:2">
      <c r="A64" s="620" t="s">
        <v>412</v>
      </c>
      <c r="B64" s="618" t="s">
        <v>506</v>
      </c>
    </row>
    <row r="65" spans="1:2">
      <c r="A65" s="620" t="s">
        <v>424</v>
      </c>
      <c r="B65" s="618" t="s">
        <v>502</v>
      </c>
    </row>
    <row r="66" spans="1:2">
      <c r="A66" s="620" t="s">
        <v>367</v>
      </c>
      <c r="B66" s="618" t="s">
        <v>502</v>
      </c>
    </row>
    <row r="67" spans="1:2">
      <c r="A67" s="620" t="s">
        <v>290</v>
      </c>
      <c r="B67" s="618" t="s">
        <v>507</v>
      </c>
    </row>
    <row r="68" spans="1:2">
      <c r="A68" s="620" t="s">
        <v>419</v>
      </c>
      <c r="B68" s="618" t="s">
        <v>507</v>
      </c>
    </row>
    <row r="69" spans="1:2">
      <c r="A69" s="620" t="s">
        <v>394</v>
      </c>
      <c r="B69" s="618" t="s">
        <v>508</v>
      </c>
    </row>
    <row r="70" spans="1:2">
      <c r="A70" s="620" t="s">
        <v>314</v>
      </c>
      <c r="B70" s="618" t="s">
        <v>509</v>
      </c>
    </row>
    <row r="71" spans="1:2">
      <c r="A71" s="620" t="s">
        <v>348</v>
      </c>
    </row>
    <row r="72" spans="1:2">
      <c r="A72" s="620" t="s">
        <v>397</v>
      </c>
      <c r="B72" s="618" t="s">
        <v>510</v>
      </c>
    </row>
    <row r="73" spans="1:2">
      <c r="A73" s="620" t="s">
        <v>286</v>
      </c>
      <c r="B73" s="618" t="s">
        <v>511</v>
      </c>
    </row>
    <row r="74" spans="1:2">
      <c r="A74" s="620" t="s">
        <v>357</v>
      </c>
      <c r="B74" s="618" t="s">
        <v>511</v>
      </c>
    </row>
    <row r="75" spans="1:2">
      <c r="A75" s="620" t="s">
        <v>307</v>
      </c>
      <c r="B75" s="618" t="s">
        <v>512</v>
      </c>
    </row>
    <row r="76" spans="1:2">
      <c r="A76" s="620" t="s">
        <v>377</v>
      </c>
      <c r="B76" s="618" t="s">
        <v>513</v>
      </c>
    </row>
    <row r="77" spans="1:2">
      <c r="A77" s="620" t="s">
        <v>438</v>
      </c>
      <c r="B77" s="618" t="s">
        <v>514</v>
      </c>
    </row>
    <row r="78" spans="1:2">
      <c r="A78" s="620" t="s">
        <v>396</v>
      </c>
      <c r="B78" s="618" t="s">
        <v>514</v>
      </c>
    </row>
    <row r="79" spans="1:2">
      <c r="A79" s="620" t="s">
        <v>440</v>
      </c>
      <c r="B79" s="618" t="s">
        <v>514</v>
      </c>
    </row>
    <row r="80" spans="1:2">
      <c r="A80" s="620" t="s">
        <v>295</v>
      </c>
      <c r="B80" s="618" t="s">
        <v>515</v>
      </c>
    </row>
    <row r="81" spans="1:2">
      <c r="A81" s="620" t="s">
        <v>337</v>
      </c>
      <c r="B81" s="618" t="s">
        <v>515</v>
      </c>
    </row>
    <row r="82" spans="1:2">
      <c r="A82" s="620" t="s">
        <v>302</v>
      </c>
      <c r="B82" s="618" t="s">
        <v>516</v>
      </c>
    </row>
    <row r="83" spans="1:2">
      <c r="A83" s="620" t="s">
        <v>393</v>
      </c>
    </row>
    <row r="84" spans="1:2">
      <c r="A84" s="620" t="s">
        <v>368</v>
      </c>
      <c r="B84" s="618" t="s">
        <v>517</v>
      </c>
    </row>
    <row r="85" spans="1:2">
      <c r="A85" s="620" t="s">
        <v>292</v>
      </c>
      <c r="B85" s="618" t="s">
        <v>517</v>
      </c>
    </row>
    <row r="86" spans="1:2">
      <c r="A86" s="620" t="s">
        <v>369</v>
      </c>
      <c r="B86" s="618" t="s">
        <v>517</v>
      </c>
    </row>
    <row r="87" spans="1:2">
      <c r="A87" s="620" t="s">
        <v>346</v>
      </c>
    </row>
    <row r="88" spans="1:2">
      <c r="A88" s="620" t="s">
        <v>407</v>
      </c>
    </row>
    <row r="89" spans="1:2">
      <c r="A89" s="620" t="s">
        <v>299</v>
      </c>
      <c r="B89" s="618" t="s">
        <v>518</v>
      </c>
    </row>
    <row r="90" spans="1:2">
      <c r="A90" s="620" t="s">
        <v>284</v>
      </c>
    </row>
    <row r="91" spans="1:2">
      <c r="A91" s="620" t="s">
        <v>384</v>
      </c>
      <c r="B91" s="618" t="s">
        <v>519</v>
      </c>
    </row>
    <row r="92" spans="1:2">
      <c r="A92" s="620" t="s">
        <v>410</v>
      </c>
    </row>
    <row r="93" spans="1:2">
      <c r="A93" s="620" t="s">
        <v>362</v>
      </c>
      <c r="B93" s="618" t="s">
        <v>520</v>
      </c>
    </row>
    <row r="94" spans="1:2">
      <c r="A94" s="620" t="s">
        <v>335</v>
      </c>
      <c r="B94" s="618" t="s">
        <v>520</v>
      </c>
    </row>
    <row r="95" spans="1:2">
      <c r="A95" s="620" t="s">
        <v>329</v>
      </c>
    </row>
    <row r="96" spans="1:2">
      <c r="A96" s="620" t="s">
        <v>392</v>
      </c>
      <c r="B96" s="618" t="s">
        <v>521</v>
      </c>
    </row>
    <row r="97" spans="1:2">
      <c r="A97" s="620" t="s">
        <v>435</v>
      </c>
      <c r="B97" s="618" t="s">
        <v>522</v>
      </c>
    </row>
    <row r="98" spans="1:2">
      <c r="A98" s="620" t="s">
        <v>417</v>
      </c>
      <c r="B98" s="618" t="s">
        <v>522</v>
      </c>
    </row>
    <row r="99" spans="1:2">
      <c r="A99" s="620" t="s">
        <v>381</v>
      </c>
      <c r="B99" s="618" t="s">
        <v>522</v>
      </c>
    </row>
    <row r="100" spans="1:2">
      <c r="A100" s="620" t="s">
        <v>383</v>
      </c>
      <c r="B100" s="618" t="s">
        <v>522</v>
      </c>
    </row>
    <row r="101" spans="1:2">
      <c r="A101" s="620" t="s">
        <v>371</v>
      </c>
      <c r="B101" s="618" t="s">
        <v>522</v>
      </c>
    </row>
    <row r="102" spans="1:2">
      <c r="A102" s="620" t="s">
        <v>298</v>
      </c>
      <c r="B102" s="618" t="s">
        <v>523</v>
      </c>
    </row>
    <row r="103" spans="1:2">
      <c r="A103" s="620" t="s">
        <v>310</v>
      </c>
    </row>
    <row r="104" spans="1:2">
      <c r="A104" s="620" t="s">
        <v>385</v>
      </c>
      <c r="B104" s="618" t="s">
        <v>524</v>
      </c>
    </row>
    <row r="105" spans="1:2">
      <c r="A105" s="620" t="s">
        <v>408</v>
      </c>
    </row>
    <row r="106" spans="1:2">
      <c r="A106" s="620" t="s">
        <v>403</v>
      </c>
    </row>
    <row r="107" spans="1:2">
      <c r="A107" s="620" t="s">
        <v>413</v>
      </c>
    </row>
    <row r="108" spans="1:2">
      <c r="A108" s="620" t="s">
        <v>313</v>
      </c>
      <c r="B108" s="618" t="s">
        <v>525</v>
      </c>
    </row>
    <row r="109" spans="1:2">
      <c r="A109" s="620" t="s">
        <v>376</v>
      </c>
      <c r="B109" s="618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Pesca Nacional</vt:lpstr>
      <vt:lpstr>Negocios</vt:lpstr>
      <vt:lpstr>Comparativo Pesca Nac</vt:lpstr>
      <vt:lpstr>Pesca Extranjero</vt:lpstr>
      <vt:lpstr>Comparativo Pesca Extranjero</vt:lpstr>
      <vt:lpstr>Pesca por el Dia</vt:lpstr>
      <vt:lpstr>Guias disponibles</vt:lpstr>
      <vt:lpstr>GLOBAL PESCA</vt:lpstr>
      <vt:lpstr>Listado clientes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Cloudbeds</dc:creator>
  <cp:lastModifiedBy>Javier Icaza</cp:lastModifiedBy>
  <dcterms:created xsi:type="dcterms:W3CDTF">2024-08-12T20:43:11Z</dcterms:created>
  <dcterms:modified xsi:type="dcterms:W3CDTF">2026-06-10T17:33:02Z</dcterms:modified>
</cp:coreProperties>
</file>