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bbycosoi/Desktop/Astral/GBL/"/>
    </mc:Choice>
  </mc:AlternateContent>
  <xr:revisionPtr revIDLastSave="0" documentId="13_ncr:1_{1DA3B232-F678-2A4A-A20D-04953A9B32B3}" xr6:coauthVersionLast="47" xr6:coauthVersionMax="47" xr10:uidLastSave="{00000000-0000-0000-0000-000000000000}"/>
  <bookViews>
    <workbookView minimized="1" xWindow="-32000" yWindow="-880" windowWidth="32000" windowHeight="17500" activeTab="3" xr2:uid="{24CAD798-F53C-4268-AD2A-9BCB5D759923}"/>
  </bookViews>
  <sheets>
    <sheet name="Dinámica" sheetId="20" r:id="rId1"/>
    <sheet name="RESERVAS" sheetId="14" r:id="rId2"/>
    <sheet name="COBRANZA" sheetId="19" r:id="rId3"/>
    <sheet name="BBDD" sheetId="15" r:id="rId4"/>
    <sheet name="CHECK-IN" sheetId="17" r:id="rId5"/>
    <sheet name="EJEMPLO JIP" sheetId="1" r:id="rId6"/>
    <sheet name="PRICING" sheetId="11" r:id="rId7"/>
    <sheet name="precio" sheetId="5" r:id="rId8"/>
    <sheet name="Mantenedor" sheetId="12" r:id="rId9"/>
  </sheets>
  <definedNames>
    <definedName name="_xlnm._FilterDatabase" localSheetId="2" hidden="1">COBRANZA!$B$10:$C$10</definedName>
    <definedName name="_xleta.IF" hidden="1" xlm="1">#NAME?</definedName>
    <definedName name="_xleta.OR" hidden="1" xlm="1">#NAME?</definedName>
    <definedName name="_xlpm.base_" hidden="1" xlm="1">#NAME?</definedName>
    <definedName name="_xlpm.baseKey" hidden="1" xlm="1">#NAME?</definedName>
    <definedName name="_xlpm.baseKey2" hidden="1" xlm="1">#NAME?</definedName>
    <definedName name="_xlpm.baseNorm" hidden="1" xlm="1">#NAME?</definedName>
    <definedName name="_xlpm.baseRaw" hidden="1" xlm="1">#NAME?</definedName>
    <definedName name="_xlpm.clave" hidden="1" xlm="1">#NAME?</definedName>
    <definedName name="_xlpm.col" hidden="1" xlm="1">#NAME?</definedName>
    <definedName name="_xlpm.grp" hidden="1" xlm="1">#NAME?</definedName>
    <definedName name="_xlpm.l" hidden="1" xlm="1">#NAME?</definedName>
    <definedName name="_xlpm.noches" hidden="1" xlm="1">#NAME?</definedName>
    <definedName name="_xlpm.pas" hidden="1" xlm="1">#NAME?</definedName>
    <definedName name="_xlpm.tipo" hidden="1" xlm="1">#NAME?</definedName>
    <definedName name="_xlpm.tipoRes" hidden="1" xlm="1">#NAME?</definedName>
    <definedName name="_xlpm.v" hidden="1" xlm="1">#NAME?</definedName>
    <definedName name="AnclaPasajeros">RESERVAS!$B$14</definedName>
    <definedName name="GruposSpill">_xlfn._xlws.SORT(_xlfn.UNIQUE(_xlfn._xlws.FILTER(BBDD!$B$3:$B$1988,BBDD!$B$3:$B$1988&lt;&gt;"")))</definedName>
    <definedName name="ListaCondicional">IF(RESERVAS!$C$14="No",BBDD!#REF!,"")</definedName>
    <definedName name="ListaCondicional2">IF(RESERVAS!$C1="No",ListaReal,ListaVacia)</definedName>
    <definedName name="ListaGrupos">OFFSET(Mantenedor!$K$2,0,0,ROWS(_xlfn.ANCHORARRAY(Mantenedor!$K$2)),1)</definedName>
    <definedName name="ListaReal">BBDD!$E$3:$E$489</definedName>
    <definedName name="ListaVacia">RESERVAS!$AA$1</definedName>
  </definedNames>
  <calcPr calcId="191029"/>
  <pivotCaches>
    <pivotCache cacheId="4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" i="15" l="1"/>
  <c r="H7" i="19" a="1"/>
  <c r="H7" i="19"/>
  <c r="G7" i="19" a="1"/>
  <c r="G7" i="19"/>
  <c r="H6" i="19" a="1"/>
  <c r="H6" i="19"/>
  <c r="G6" i="19" a="1"/>
  <c r="G6" i="19"/>
  <c r="F19" i="19" a="1"/>
  <c r="F19" i="19" s="1"/>
  <c r="F18" i="19" a="1"/>
  <c r="F18" i="19"/>
  <c r="F17" i="19" a="1"/>
  <c r="F17" i="19"/>
  <c r="F16" i="19" a="1"/>
  <c r="F16" i="19" s="1"/>
  <c r="F15" i="19" a="1"/>
  <c r="F15" i="19"/>
  <c r="F14" i="19" a="1"/>
  <c r="F14" i="19"/>
  <c r="F13" i="19" a="1"/>
  <c r="F13" i="19"/>
  <c r="F12" i="19" a="1"/>
  <c r="F12" i="19"/>
  <c r="F11" i="19" a="1"/>
  <c r="F11" i="19" s="1"/>
  <c r="F10" i="19" a="1"/>
  <c r="F10" i="19"/>
  <c r="E19" i="19" a="1"/>
  <c r="E19" i="19" s="1"/>
  <c r="E18" i="19" a="1"/>
  <c r="E18" i="19" s="1"/>
  <c r="E17" i="19" a="1"/>
  <c r="E17" i="19"/>
  <c r="E16" i="19" a="1"/>
  <c r="E16" i="19"/>
  <c r="E15" i="19" a="1"/>
  <c r="E15" i="19"/>
  <c r="E14" i="19" a="1"/>
  <c r="E14" i="19"/>
  <c r="E13" i="19" a="1"/>
  <c r="E13" i="19"/>
  <c r="E12" i="19" a="1"/>
  <c r="E12" i="19"/>
  <c r="E11" i="19" a="1"/>
  <c r="E11" i="19"/>
  <c r="E10" i="19" a="1"/>
  <c r="E10" i="19"/>
  <c r="W3" i="15"/>
  <c r="N17" i="19" a="1"/>
  <c r="N17" i="19" s="1"/>
  <c r="N18" i="19" a="1"/>
  <c r="N18" i="19" s="1"/>
  <c r="N19" i="19" a="1"/>
  <c r="N19" i="19" s="1"/>
  <c r="D19" i="19" a="1"/>
  <c r="D19" i="19" s="1"/>
  <c r="D18" i="19" a="1"/>
  <c r="D18" i="19" s="1"/>
  <c r="D17" i="19" a="1"/>
  <c r="D17" i="19" s="1"/>
  <c r="K2" i="12" a="1"/>
  <c r="K2" i="12" s="1"/>
  <c r="M2" i="12" a="1"/>
  <c r="M2" i="12" s="1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6" i="15"/>
  <c r="S5" i="15"/>
  <c r="S4" i="15"/>
  <c r="S3" i="15"/>
  <c r="C8" i="14"/>
  <c r="AQ3" i="15" l="1"/>
  <c r="AR3" i="15"/>
  <c r="AJ3" i="15"/>
  <c r="AH3" i="15"/>
  <c r="AI3" i="15"/>
  <c r="AK3" i="15"/>
  <c r="AH4" i="15"/>
  <c r="AI4" i="15"/>
  <c r="AK4" i="15"/>
  <c r="AH5" i="15"/>
  <c r="AI5" i="15"/>
  <c r="AK5" i="15"/>
  <c r="AH6" i="15"/>
  <c r="AI6" i="15"/>
  <c r="AK6" i="15"/>
  <c r="AH7" i="15"/>
  <c r="AI7" i="15"/>
  <c r="AK7" i="15"/>
  <c r="AH8" i="15"/>
  <c r="AI8" i="15"/>
  <c r="AK8" i="15"/>
  <c r="AH9" i="15"/>
  <c r="AI9" i="15"/>
  <c r="AK9" i="15"/>
  <c r="AH10" i="15"/>
  <c r="AI10" i="15"/>
  <c r="AK10" i="15"/>
  <c r="AH11" i="15"/>
  <c r="AI11" i="15"/>
  <c r="AK11" i="15"/>
  <c r="AH12" i="15"/>
  <c r="AI12" i="15"/>
  <c r="AK12" i="15"/>
  <c r="AH13" i="15"/>
  <c r="AI13" i="15"/>
  <c r="AK13" i="15"/>
  <c r="AH14" i="15"/>
  <c r="AI14" i="15"/>
  <c r="AK14" i="15"/>
  <c r="AH15" i="15"/>
  <c r="AI15" i="15"/>
  <c r="AK15" i="15"/>
  <c r="AH16" i="15"/>
  <c r="AI16" i="15"/>
  <c r="AK16" i="15"/>
  <c r="AH17" i="15"/>
  <c r="AI17" i="15"/>
  <c r="AK17" i="15"/>
  <c r="AH18" i="15"/>
  <c r="AI18" i="15"/>
  <c r="AK18" i="15"/>
  <c r="AH19" i="15"/>
  <c r="AI19" i="15"/>
  <c r="AK19" i="15"/>
  <c r="AH20" i="15"/>
  <c r="AI20" i="15"/>
  <c r="AK20" i="15"/>
  <c r="AH21" i="15"/>
  <c r="AI21" i="15"/>
  <c r="AK21" i="15"/>
  <c r="AH22" i="15"/>
  <c r="AI22" i="15"/>
  <c r="AK22" i="15"/>
  <c r="AH23" i="15"/>
  <c r="AI23" i="15"/>
  <c r="AK23" i="15"/>
  <c r="AH24" i="15"/>
  <c r="AI24" i="15"/>
  <c r="AK24" i="15"/>
  <c r="AH25" i="15"/>
  <c r="AI25" i="15"/>
  <c r="AK25" i="15"/>
  <c r="AH26" i="15"/>
  <c r="AI26" i="15"/>
  <c r="AK26" i="15"/>
  <c r="AH27" i="15"/>
  <c r="AI27" i="15"/>
  <c r="AK27" i="15"/>
  <c r="AH28" i="15"/>
  <c r="AI28" i="15"/>
  <c r="AK28" i="15"/>
  <c r="AH29" i="15"/>
  <c r="AI29" i="15"/>
  <c r="AK29" i="15"/>
  <c r="AH30" i="15"/>
  <c r="AI30" i="15"/>
  <c r="AK30" i="15"/>
  <c r="AH31" i="15"/>
  <c r="AI31" i="15"/>
  <c r="AK31" i="15"/>
  <c r="AH32" i="15"/>
  <c r="AI32" i="15"/>
  <c r="AJ32" i="15"/>
  <c r="AK32" i="15"/>
  <c r="AH33" i="15"/>
  <c r="AI33" i="15"/>
  <c r="AJ33" i="15"/>
  <c r="AK33" i="15"/>
  <c r="AH34" i="15"/>
  <c r="AI34" i="15"/>
  <c r="AJ34" i="15"/>
  <c r="AK34" i="15"/>
  <c r="AH35" i="15"/>
  <c r="AI35" i="15"/>
  <c r="AJ35" i="15"/>
  <c r="AK35" i="15"/>
  <c r="AH36" i="15"/>
  <c r="AI36" i="15"/>
  <c r="AJ36" i="15"/>
  <c r="AK36" i="15"/>
  <c r="AH37" i="15"/>
  <c r="AI37" i="15"/>
  <c r="AJ37" i="15"/>
  <c r="AK37" i="15"/>
  <c r="AH38" i="15"/>
  <c r="AI38" i="15"/>
  <c r="AJ38" i="15"/>
  <c r="AK38" i="15"/>
  <c r="AH39" i="15"/>
  <c r="AI39" i="15"/>
  <c r="AJ39" i="15"/>
  <c r="AK39" i="15"/>
  <c r="AH40" i="15"/>
  <c r="AI40" i="15"/>
  <c r="AJ40" i="15"/>
  <c r="AK40" i="15"/>
  <c r="AH41" i="15"/>
  <c r="AI41" i="15"/>
  <c r="AJ41" i="15"/>
  <c r="AK41" i="15"/>
  <c r="AH42" i="15"/>
  <c r="AI42" i="15"/>
  <c r="AJ42" i="15"/>
  <c r="AK42" i="15"/>
  <c r="AH43" i="15"/>
  <c r="AI43" i="15"/>
  <c r="AJ43" i="15"/>
  <c r="AK43" i="15"/>
  <c r="AH44" i="15"/>
  <c r="AI44" i="15"/>
  <c r="AJ44" i="15"/>
  <c r="AK44" i="15"/>
  <c r="AH45" i="15"/>
  <c r="AI45" i="15"/>
  <c r="AJ45" i="15"/>
  <c r="AK45" i="15"/>
  <c r="AH46" i="15"/>
  <c r="AI46" i="15"/>
  <c r="AJ46" i="15"/>
  <c r="AK46" i="15"/>
  <c r="AH47" i="15"/>
  <c r="AI47" i="15"/>
  <c r="AJ47" i="15"/>
  <c r="AK47" i="15"/>
  <c r="AH48" i="15"/>
  <c r="AI48" i="15"/>
  <c r="AJ48" i="15"/>
  <c r="AK48" i="15"/>
  <c r="AH49" i="15"/>
  <c r="AI49" i="15"/>
  <c r="AJ49" i="15"/>
  <c r="AK49" i="15"/>
  <c r="AH50" i="15"/>
  <c r="AI50" i="15"/>
  <c r="AJ50" i="15"/>
  <c r="AK50" i="15"/>
  <c r="AH51" i="15"/>
  <c r="AI51" i="15"/>
  <c r="AJ51" i="15"/>
  <c r="AK51" i="15"/>
  <c r="AH52" i="15"/>
  <c r="AI52" i="15"/>
  <c r="AJ52" i="15"/>
  <c r="AK52" i="15"/>
  <c r="AH53" i="15"/>
  <c r="AI53" i="15"/>
  <c r="AJ53" i="15"/>
  <c r="AK53" i="15"/>
  <c r="AH54" i="15"/>
  <c r="AI54" i="15"/>
  <c r="AJ54" i="15"/>
  <c r="AK54" i="15"/>
  <c r="AH55" i="15"/>
  <c r="AI55" i="15"/>
  <c r="AJ55" i="15"/>
  <c r="AK55" i="15"/>
  <c r="AH56" i="15"/>
  <c r="AI56" i="15"/>
  <c r="AJ56" i="15"/>
  <c r="AK56" i="15"/>
  <c r="AH57" i="15"/>
  <c r="AI57" i="15"/>
  <c r="AJ57" i="15"/>
  <c r="AK57" i="15"/>
  <c r="AH58" i="15"/>
  <c r="AI58" i="15"/>
  <c r="AJ58" i="15"/>
  <c r="AK58" i="15"/>
  <c r="AH59" i="15"/>
  <c r="AI59" i="15"/>
  <c r="AJ59" i="15"/>
  <c r="AK59" i="15"/>
  <c r="AH60" i="15"/>
  <c r="AI60" i="15"/>
  <c r="AJ60" i="15"/>
  <c r="AK60" i="15"/>
  <c r="AH61" i="15"/>
  <c r="AI61" i="15"/>
  <c r="AJ61" i="15"/>
  <c r="AK61" i="15"/>
  <c r="AH62" i="15"/>
  <c r="AI62" i="15"/>
  <c r="AJ62" i="15"/>
  <c r="AK62" i="15"/>
  <c r="AH63" i="15"/>
  <c r="AI63" i="15"/>
  <c r="AJ63" i="15"/>
  <c r="AK63" i="15"/>
  <c r="AH64" i="15"/>
  <c r="AI64" i="15"/>
  <c r="AJ64" i="15"/>
  <c r="AK64" i="15"/>
  <c r="AH65" i="15"/>
  <c r="AI65" i="15"/>
  <c r="AJ65" i="15"/>
  <c r="AK65" i="15"/>
  <c r="AH66" i="15"/>
  <c r="AI66" i="15"/>
  <c r="AJ66" i="15"/>
  <c r="AK66" i="15"/>
  <c r="AH67" i="15"/>
  <c r="AI67" i="15"/>
  <c r="AJ67" i="15"/>
  <c r="AK67" i="15"/>
  <c r="AH68" i="15"/>
  <c r="AI68" i="15"/>
  <c r="AJ68" i="15"/>
  <c r="AK68" i="15"/>
  <c r="AH69" i="15"/>
  <c r="AI69" i="15"/>
  <c r="AJ69" i="15"/>
  <c r="AK69" i="15"/>
  <c r="AH70" i="15"/>
  <c r="AI70" i="15"/>
  <c r="AJ70" i="15"/>
  <c r="AK70" i="15"/>
  <c r="AH71" i="15"/>
  <c r="AI71" i="15"/>
  <c r="AJ71" i="15"/>
  <c r="AK71" i="15"/>
  <c r="AH72" i="15"/>
  <c r="AI72" i="15"/>
  <c r="AJ72" i="15"/>
  <c r="AK72" i="15"/>
  <c r="AH73" i="15"/>
  <c r="AI73" i="15"/>
  <c r="AJ73" i="15"/>
  <c r="AK73" i="15"/>
  <c r="AH74" i="15"/>
  <c r="AI74" i="15"/>
  <c r="AJ74" i="15"/>
  <c r="AK74" i="15"/>
  <c r="AH75" i="15"/>
  <c r="AI75" i="15"/>
  <c r="AJ75" i="15"/>
  <c r="AK75" i="15"/>
  <c r="AH76" i="15"/>
  <c r="AI76" i="15"/>
  <c r="AJ76" i="15"/>
  <c r="AK76" i="15"/>
  <c r="AH77" i="15"/>
  <c r="AI77" i="15"/>
  <c r="AJ77" i="15"/>
  <c r="AK77" i="15"/>
  <c r="AH78" i="15"/>
  <c r="AI78" i="15"/>
  <c r="AJ78" i="15"/>
  <c r="AK78" i="15"/>
  <c r="AH79" i="15"/>
  <c r="AI79" i="15"/>
  <c r="AJ79" i="15"/>
  <c r="AK79" i="15"/>
  <c r="AH80" i="15"/>
  <c r="AI80" i="15"/>
  <c r="AJ80" i="15"/>
  <c r="AK80" i="15"/>
  <c r="AH81" i="15"/>
  <c r="AI81" i="15"/>
  <c r="AJ81" i="15"/>
  <c r="AK81" i="15"/>
  <c r="AH82" i="15"/>
  <c r="AI82" i="15"/>
  <c r="AJ82" i="15"/>
  <c r="AK82" i="15"/>
  <c r="AH83" i="15"/>
  <c r="AI83" i="15"/>
  <c r="AJ83" i="15"/>
  <c r="AK83" i="15"/>
  <c r="AH84" i="15"/>
  <c r="AI84" i="15"/>
  <c r="AJ84" i="15"/>
  <c r="AK84" i="15"/>
  <c r="AH85" i="15"/>
  <c r="AI85" i="15"/>
  <c r="AJ85" i="15"/>
  <c r="AK85" i="15"/>
  <c r="AH86" i="15"/>
  <c r="AI86" i="15"/>
  <c r="AJ86" i="15"/>
  <c r="AK86" i="15"/>
  <c r="AH87" i="15"/>
  <c r="AI87" i="15"/>
  <c r="AJ87" i="15"/>
  <c r="AK87" i="15"/>
  <c r="AH88" i="15"/>
  <c r="AI88" i="15"/>
  <c r="AJ88" i="15"/>
  <c r="AK88" i="15"/>
  <c r="AH89" i="15"/>
  <c r="AI89" i="15"/>
  <c r="AJ89" i="15"/>
  <c r="AK89" i="15"/>
  <c r="AH90" i="15"/>
  <c r="AI90" i="15"/>
  <c r="AJ90" i="15"/>
  <c r="AK90" i="15"/>
  <c r="AH91" i="15"/>
  <c r="AI91" i="15"/>
  <c r="AJ91" i="15"/>
  <c r="AK91" i="15"/>
  <c r="AH92" i="15"/>
  <c r="AI92" i="15"/>
  <c r="AJ92" i="15"/>
  <c r="AK92" i="15"/>
  <c r="AH93" i="15"/>
  <c r="AI93" i="15"/>
  <c r="AJ93" i="15"/>
  <c r="AK93" i="15"/>
  <c r="AH94" i="15"/>
  <c r="AI94" i="15"/>
  <c r="AJ94" i="15"/>
  <c r="AK94" i="15"/>
  <c r="AH95" i="15"/>
  <c r="AI95" i="15"/>
  <c r="AJ95" i="15"/>
  <c r="AK95" i="15"/>
  <c r="AH96" i="15"/>
  <c r="AI96" i="15"/>
  <c r="AJ96" i="15"/>
  <c r="AK96" i="15"/>
  <c r="AH97" i="15"/>
  <c r="AI97" i="15"/>
  <c r="AJ97" i="15"/>
  <c r="AK97" i="15"/>
  <c r="AH98" i="15"/>
  <c r="AI98" i="15"/>
  <c r="AJ98" i="15"/>
  <c r="AK98" i="15"/>
  <c r="AH99" i="15"/>
  <c r="AI99" i="15"/>
  <c r="AJ99" i="15"/>
  <c r="AK99" i="15"/>
  <c r="AH100" i="15"/>
  <c r="AI100" i="15"/>
  <c r="AJ100" i="15"/>
  <c r="AK100" i="15"/>
  <c r="AH101" i="15"/>
  <c r="AI101" i="15"/>
  <c r="AJ101" i="15"/>
  <c r="AK101" i="15"/>
  <c r="AH102" i="15"/>
  <c r="AI102" i="15"/>
  <c r="AJ102" i="15"/>
  <c r="AK102" i="15"/>
  <c r="AH103" i="15"/>
  <c r="AI103" i="15"/>
  <c r="AJ103" i="15"/>
  <c r="AK103" i="15"/>
  <c r="AH104" i="15"/>
  <c r="AI104" i="15"/>
  <c r="AJ104" i="15"/>
  <c r="AK104" i="15"/>
  <c r="AH105" i="15"/>
  <c r="AI105" i="15"/>
  <c r="AJ105" i="15"/>
  <c r="AK105" i="15"/>
  <c r="AH106" i="15"/>
  <c r="AI106" i="15"/>
  <c r="AJ106" i="15"/>
  <c r="AK106" i="15"/>
  <c r="AH107" i="15"/>
  <c r="AI107" i="15"/>
  <c r="AJ107" i="15"/>
  <c r="AK107" i="15"/>
  <c r="AH108" i="15"/>
  <c r="AI108" i="15"/>
  <c r="AJ108" i="15"/>
  <c r="AK108" i="15"/>
  <c r="AH109" i="15"/>
  <c r="AI109" i="15"/>
  <c r="AJ109" i="15"/>
  <c r="AK109" i="15"/>
  <c r="AH110" i="15"/>
  <c r="AI110" i="15"/>
  <c r="AJ110" i="15"/>
  <c r="AK110" i="15"/>
  <c r="AH111" i="15"/>
  <c r="AI111" i="15"/>
  <c r="AJ111" i="15"/>
  <c r="AK111" i="15"/>
  <c r="AH112" i="15"/>
  <c r="AI112" i="15"/>
  <c r="AJ112" i="15"/>
  <c r="AK112" i="15"/>
  <c r="AH113" i="15"/>
  <c r="AI113" i="15"/>
  <c r="AJ113" i="15"/>
  <c r="AK113" i="15"/>
  <c r="AH114" i="15"/>
  <c r="AI114" i="15"/>
  <c r="AJ114" i="15"/>
  <c r="AK114" i="15"/>
  <c r="AH115" i="15"/>
  <c r="AI115" i="15"/>
  <c r="AJ115" i="15"/>
  <c r="AK115" i="15"/>
  <c r="AH116" i="15"/>
  <c r="AI116" i="15"/>
  <c r="AJ116" i="15"/>
  <c r="AK116" i="15"/>
  <c r="AH117" i="15"/>
  <c r="AI117" i="15"/>
  <c r="AJ117" i="15"/>
  <c r="AK117" i="15"/>
  <c r="AH118" i="15"/>
  <c r="AI118" i="15"/>
  <c r="AJ118" i="15"/>
  <c r="AK118" i="15"/>
  <c r="AH119" i="15"/>
  <c r="AI119" i="15"/>
  <c r="AJ119" i="15"/>
  <c r="AK119" i="15"/>
  <c r="AH120" i="15"/>
  <c r="AI120" i="15"/>
  <c r="AJ120" i="15"/>
  <c r="AK120" i="15"/>
  <c r="AH121" i="15"/>
  <c r="AI121" i="15"/>
  <c r="AJ121" i="15"/>
  <c r="AK121" i="15"/>
  <c r="AH122" i="15"/>
  <c r="AI122" i="15"/>
  <c r="AJ122" i="15"/>
  <c r="AK122" i="15"/>
  <c r="AH123" i="15"/>
  <c r="AI123" i="15"/>
  <c r="AJ123" i="15"/>
  <c r="AK123" i="15"/>
  <c r="AH124" i="15"/>
  <c r="AI124" i="15"/>
  <c r="AJ124" i="15"/>
  <c r="AK124" i="15"/>
  <c r="AH125" i="15"/>
  <c r="AI125" i="15"/>
  <c r="AJ125" i="15"/>
  <c r="AK125" i="15"/>
  <c r="AH126" i="15"/>
  <c r="AI126" i="15"/>
  <c r="AJ126" i="15"/>
  <c r="AK126" i="15"/>
  <c r="AH127" i="15"/>
  <c r="AI127" i="15"/>
  <c r="AJ127" i="15"/>
  <c r="AK127" i="15"/>
  <c r="AH128" i="15"/>
  <c r="AI128" i="15"/>
  <c r="AJ128" i="15"/>
  <c r="AK128" i="15"/>
  <c r="AH129" i="15"/>
  <c r="AI129" i="15"/>
  <c r="AJ129" i="15"/>
  <c r="AK129" i="15"/>
  <c r="AH130" i="15"/>
  <c r="AI130" i="15"/>
  <c r="AJ130" i="15"/>
  <c r="AK130" i="15"/>
  <c r="AH131" i="15"/>
  <c r="AI131" i="15"/>
  <c r="AJ131" i="15"/>
  <c r="AK131" i="15"/>
  <c r="AH132" i="15"/>
  <c r="AI132" i="15"/>
  <c r="AJ132" i="15"/>
  <c r="AK132" i="15"/>
  <c r="AH133" i="15"/>
  <c r="AI133" i="15"/>
  <c r="AJ133" i="15"/>
  <c r="AK133" i="15"/>
  <c r="AH134" i="15"/>
  <c r="AI134" i="15"/>
  <c r="AJ134" i="15"/>
  <c r="AK134" i="15"/>
  <c r="AH135" i="15"/>
  <c r="AI135" i="15"/>
  <c r="AJ135" i="15"/>
  <c r="AK135" i="15"/>
  <c r="AH136" i="15"/>
  <c r="AI136" i="15"/>
  <c r="AJ136" i="15"/>
  <c r="AK136" i="15"/>
  <c r="AH137" i="15"/>
  <c r="AI137" i="15"/>
  <c r="AJ137" i="15"/>
  <c r="AK137" i="15"/>
  <c r="AH138" i="15"/>
  <c r="AI138" i="15"/>
  <c r="AJ138" i="15"/>
  <c r="AK138" i="15"/>
  <c r="AH139" i="15"/>
  <c r="AI139" i="15"/>
  <c r="AJ139" i="15"/>
  <c r="AK139" i="15"/>
  <c r="AH140" i="15"/>
  <c r="AI140" i="15"/>
  <c r="AJ140" i="15"/>
  <c r="AK140" i="15"/>
  <c r="AH141" i="15"/>
  <c r="AI141" i="15"/>
  <c r="AJ141" i="15"/>
  <c r="AK141" i="15"/>
  <c r="AH142" i="15"/>
  <c r="AI142" i="15"/>
  <c r="AJ142" i="15"/>
  <c r="AK142" i="15"/>
  <c r="AH143" i="15"/>
  <c r="AI143" i="15"/>
  <c r="AJ143" i="15"/>
  <c r="AK143" i="15"/>
  <c r="AH144" i="15"/>
  <c r="AI144" i="15"/>
  <c r="AJ144" i="15"/>
  <c r="AK144" i="15"/>
  <c r="AH145" i="15"/>
  <c r="AI145" i="15"/>
  <c r="AJ145" i="15"/>
  <c r="AK145" i="15"/>
  <c r="AH146" i="15"/>
  <c r="AI146" i="15"/>
  <c r="AJ146" i="15"/>
  <c r="AK146" i="15"/>
  <c r="AH147" i="15"/>
  <c r="AI147" i="15"/>
  <c r="AJ147" i="15"/>
  <c r="AK147" i="15"/>
  <c r="AH148" i="15"/>
  <c r="AI148" i="15"/>
  <c r="AJ148" i="15"/>
  <c r="AK148" i="15"/>
  <c r="AH149" i="15"/>
  <c r="AI149" i="15"/>
  <c r="AJ149" i="15"/>
  <c r="AK149" i="15"/>
  <c r="AH150" i="15"/>
  <c r="AI150" i="15"/>
  <c r="AJ150" i="15"/>
  <c r="AK150" i="15"/>
  <c r="AH151" i="15"/>
  <c r="AI151" i="15"/>
  <c r="AJ151" i="15"/>
  <c r="AK151" i="15"/>
  <c r="AH152" i="15"/>
  <c r="AI152" i="15"/>
  <c r="AJ152" i="15"/>
  <c r="AK152" i="15"/>
  <c r="AH153" i="15"/>
  <c r="AI153" i="15"/>
  <c r="AJ153" i="15"/>
  <c r="AK153" i="15"/>
  <c r="AH154" i="15"/>
  <c r="AI154" i="15"/>
  <c r="AJ154" i="15"/>
  <c r="AK154" i="15"/>
  <c r="AH155" i="15"/>
  <c r="AI155" i="15"/>
  <c r="AJ155" i="15"/>
  <c r="AK155" i="15"/>
  <c r="AH156" i="15"/>
  <c r="AI156" i="15"/>
  <c r="AJ156" i="15"/>
  <c r="AK156" i="15"/>
  <c r="AH157" i="15"/>
  <c r="AI157" i="15"/>
  <c r="AJ157" i="15"/>
  <c r="AK157" i="15"/>
  <c r="AH158" i="15"/>
  <c r="AI158" i="15"/>
  <c r="AJ158" i="15"/>
  <c r="AK158" i="15"/>
  <c r="AH159" i="15"/>
  <c r="AI159" i="15"/>
  <c r="AJ159" i="15"/>
  <c r="AK159" i="15"/>
  <c r="AH160" i="15"/>
  <c r="AI160" i="15"/>
  <c r="AJ160" i="15"/>
  <c r="AK160" i="15"/>
  <c r="AH161" i="15"/>
  <c r="AI161" i="15"/>
  <c r="AJ161" i="15"/>
  <c r="AK161" i="15"/>
  <c r="AH162" i="15"/>
  <c r="AI162" i="15"/>
  <c r="AJ162" i="15"/>
  <c r="AK162" i="15"/>
  <c r="AH163" i="15"/>
  <c r="AI163" i="15"/>
  <c r="AJ163" i="15"/>
  <c r="AK163" i="15"/>
  <c r="AH164" i="15"/>
  <c r="AI164" i="15"/>
  <c r="AJ164" i="15"/>
  <c r="AK164" i="15"/>
  <c r="AH165" i="15"/>
  <c r="AI165" i="15"/>
  <c r="AJ165" i="15"/>
  <c r="AK165" i="15"/>
  <c r="AH166" i="15"/>
  <c r="AI166" i="15"/>
  <c r="AJ166" i="15"/>
  <c r="AK166" i="15"/>
  <c r="AH167" i="15"/>
  <c r="AI167" i="15"/>
  <c r="AJ167" i="15"/>
  <c r="AK167" i="15"/>
  <c r="AH168" i="15"/>
  <c r="AI168" i="15"/>
  <c r="AJ168" i="15"/>
  <c r="AK168" i="15"/>
  <c r="AH169" i="15"/>
  <c r="AI169" i="15"/>
  <c r="AJ169" i="15"/>
  <c r="AK169" i="15"/>
  <c r="AH170" i="15"/>
  <c r="AI170" i="15"/>
  <c r="AJ170" i="15"/>
  <c r="AK170" i="15"/>
  <c r="AH171" i="15"/>
  <c r="AI171" i="15"/>
  <c r="AJ171" i="15"/>
  <c r="AK171" i="15"/>
  <c r="AH172" i="15"/>
  <c r="AI172" i="15"/>
  <c r="AJ172" i="15"/>
  <c r="AK172" i="15"/>
  <c r="AH173" i="15"/>
  <c r="AI173" i="15"/>
  <c r="AJ173" i="15"/>
  <c r="AK173" i="15"/>
  <c r="AH174" i="15"/>
  <c r="AI174" i="15"/>
  <c r="AJ174" i="15"/>
  <c r="AK174" i="15"/>
  <c r="AH175" i="15"/>
  <c r="AI175" i="15"/>
  <c r="AJ175" i="15"/>
  <c r="AK175" i="15"/>
  <c r="AH176" i="15"/>
  <c r="AI176" i="15"/>
  <c r="AJ176" i="15"/>
  <c r="AK176" i="15"/>
  <c r="AH177" i="15"/>
  <c r="AI177" i="15"/>
  <c r="AJ177" i="15"/>
  <c r="AK177" i="15"/>
  <c r="AH178" i="15"/>
  <c r="AI178" i="15"/>
  <c r="AJ178" i="15"/>
  <c r="AK178" i="15"/>
  <c r="AH179" i="15"/>
  <c r="AI179" i="15"/>
  <c r="AJ179" i="15"/>
  <c r="AK179" i="15"/>
  <c r="AH180" i="15"/>
  <c r="AI180" i="15"/>
  <c r="AJ180" i="15"/>
  <c r="AK180" i="15"/>
  <c r="AH181" i="15"/>
  <c r="AI181" i="15"/>
  <c r="AJ181" i="15"/>
  <c r="AK181" i="15"/>
  <c r="AH182" i="15"/>
  <c r="AI182" i="15"/>
  <c r="AJ182" i="15"/>
  <c r="AK182" i="15"/>
  <c r="AH183" i="15"/>
  <c r="AI183" i="15"/>
  <c r="AJ183" i="15"/>
  <c r="AK183" i="15"/>
  <c r="AH184" i="15"/>
  <c r="AI184" i="15"/>
  <c r="AJ184" i="15"/>
  <c r="AK184" i="15"/>
  <c r="AH185" i="15"/>
  <c r="AI185" i="15"/>
  <c r="AJ185" i="15"/>
  <c r="AK185" i="15"/>
  <c r="AH186" i="15"/>
  <c r="AI186" i="15"/>
  <c r="AJ186" i="15"/>
  <c r="AK186" i="15"/>
  <c r="AH187" i="15"/>
  <c r="AI187" i="15"/>
  <c r="AJ187" i="15"/>
  <c r="AK187" i="15"/>
  <c r="AH188" i="15"/>
  <c r="AI188" i="15"/>
  <c r="AJ188" i="15"/>
  <c r="AK188" i="15"/>
  <c r="AH189" i="15"/>
  <c r="AI189" i="15"/>
  <c r="AJ189" i="15"/>
  <c r="AK189" i="15"/>
  <c r="AH190" i="15"/>
  <c r="AI190" i="15"/>
  <c r="AJ190" i="15"/>
  <c r="AK190" i="15"/>
  <c r="AH191" i="15"/>
  <c r="AI191" i="15"/>
  <c r="AJ191" i="15"/>
  <c r="AK191" i="15"/>
  <c r="AH192" i="15"/>
  <c r="AI192" i="15"/>
  <c r="AJ192" i="15"/>
  <c r="AK192" i="15"/>
  <c r="AH193" i="15"/>
  <c r="AI193" i="15"/>
  <c r="AJ193" i="15"/>
  <c r="AK193" i="15"/>
  <c r="AH194" i="15"/>
  <c r="AI194" i="15"/>
  <c r="AJ194" i="15"/>
  <c r="AK194" i="15"/>
  <c r="AH195" i="15"/>
  <c r="AI195" i="15"/>
  <c r="AJ195" i="15"/>
  <c r="AK195" i="15"/>
  <c r="AH196" i="15"/>
  <c r="AI196" i="15"/>
  <c r="AJ196" i="15"/>
  <c r="AK196" i="15"/>
  <c r="AH197" i="15"/>
  <c r="AI197" i="15"/>
  <c r="AJ197" i="15"/>
  <c r="AK197" i="15"/>
  <c r="AH198" i="15"/>
  <c r="AI198" i="15"/>
  <c r="AJ198" i="15"/>
  <c r="AK198" i="15"/>
  <c r="AH199" i="15"/>
  <c r="AI199" i="15"/>
  <c r="AJ199" i="15"/>
  <c r="AK199" i="15"/>
  <c r="AH200" i="15"/>
  <c r="AI200" i="15"/>
  <c r="AJ200" i="15"/>
  <c r="AK200" i="15"/>
  <c r="AH201" i="15"/>
  <c r="AI201" i="15"/>
  <c r="AJ201" i="15"/>
  <c r="AK201" i="15"/>
  <c r="AH202" i="15"/>
  <c r="AI202" i="15"/>
  <c r="AJ202" i="15"/>
  <c r="AK202" i="15"/>
  <c r="AH203" i="15"/>
  <c r="AI203" i="15"/>
  <c r="AJ203" i="15"/>
  <c r="AK203" i="15"/>
  <c r="AH204" i="15"/>
  <c r="AI204" i="15"/>
  <c r="AJ204" i="15"/>
  <c r="AK204" i="15"/>
  <c r="AH205" i="15"/>
  <c r="AI205" i="15"/>
  <c r="AJ205" i="15"/>
  <c r="AK205" i="15"/>
  <c r="AH206" i="15"/>
  <c r="AI206" i="15"/>
  <c r="AJ206" i="15"/>
  <c r="AK206" i="15"/>
  <c r="AH207" i="15"/>
  <c r="AI207" i="15"/>
  <c r="AJ207" i="15"/>
  <c r="AK207" i="15"/>
  <c r="AH208" i="15"/>
  <c r="AI208" i="15"/>
  <c r="AJ208" i="15"/>
  <c r="AK208" i="15"/>
  <c r="AH209" i="15"/>
  <c r="AI209" i="15"/>
  <c r="AJ209" i="15"/>
  <c r="AK209" i="15"/>
  <c r="AH210" i="15"/>
  <c r="AI210" i="15"/>
  <c r="AJ210" i="15"/>
  <c r="AK210" i="15"/>
  <c r="AH211" i="15"/>
  <c r="AI211" i="15"/>
  <c r="AJ211" i="15"/>
  <c r="AK211" i="15"/>
  <c r="AH212" i="15"/>
  <c r="AI212" i="15"/>
  <c r="AJ212" i="15"/>
  <c r="AK212" i="15"/>
  <c r="AH213" i="15"/>
  <c r="AI213" i="15"/>
  <c r="AJ213" i="15"/>
  <c r="AK213" i="15"/>
  <c r="AH214" i="15"/>
  <c r="AI214" i="15"/>
  <c r="AJ214" i="15"/>
  <c r="AK214" i="15"/>
  <c r="AH215" i="15"/>
  <c r="AI215" i="15"/>
  <c r="AJ215" i="15"/>
  <c r="AK215" i="15"/>
  <c r="AH216" i="15"/>
  <c r="AI216" i="15"/>
  <c r="AJ216" i="15"/>
  <c r="AK216" i="15"/>
  <c r="AH217" i="15"/>
  <c r="AI217" i="15"/>
  <c r="AJ217" i="15"/>
  <c r="AK217" i="15"/>
  <c r="AH218" i="15"/>
  <c r="AI218" i="15"/>
  <c r="AJ218" i="15"/>
  <c r="AK218" i="15"/>
  <c r="AH219" i="15"/>
  <c r="AI219" i="15"/>
  <c r="AJ219" i="15"/>
  <c r="AK219" i="15"/>
  <c r="AH220" i="15"/>
  <c r="AI220" i="15"/>
  <c r="AJ220" i="15"/>
  <c r="AK220" i="15"/>
  <c r="AH221" i="15"/>
  <c r="AI221" i="15"/>
  <c r="AJ221" i="15"/>
  <c r="AK221" i="15"/>
  <c r="AH222" i="15"/>
  <c r="AI222" i="15"/>
  <c r="AJ222" i="15"/>
  <c r="AK222" i="15"/>
  <c r="AH223" i="15"/>
  <c r="AI223" i="15"/>
  <c r="AJ223" i="15"/>
  <c r="AK223" i="15"/>
  <c r="AH224" i="15"/>
  <c r="AI224" i="15"/>
  <c r="AJ224" i="15"/>
  <c r="AK224" i="15"/>
  <c r="AH225" i="15"/>
  <c r="AI225" i="15"/>
  <c r="AJ225" i="15"/>
  <c r="AK225" i="15"/>
  <c r="AH226" i="15"/>
  <c r="AI226" i="15"/>
  <c r="AJ226" i="15"/>
  <c r="AK226" i="15"/>
  <c r="AH227" i="15"/>
  <c r="AI227" i="15"/>
  <c r="AJ227" i="15"/>
  <c r="AK227" i="15"/>
  <c r="AH228" i="15"/>
  <c r="AI228" i="15"/>
  <c r="AJ228" i="15"/>
  <c r="AK228" i="15"/>
  <c r="AH229" i="15"/>
  <c r="AI229" i="15"/>
  <c r="AJ229" i="15"/>
  <c r="AK229" i="15"/>
  <c r="AH230" i="15"/>
  <c r="AI230" i="15"/>
  <c r="AJ230" i="15"/>
  <c r="AK230" i="15"/>
  <c r="AH231" i="15"/>
  <c r="AI231" i="15"/>
  <c r="AJ231" i="15"/>
  <c r="AK231" i="15"/>
  <c r="AH232" i="15"/>
  <c r="AI232" i="15"/>
  <c r="AJ232" i="15"/>
  <c r="AK232" i="15"/>
  <c r="AH233" i="15"/>
  <c r="AI233" i="15"/>
  <c r="AJ233" i="15"/>
  <c r="AK233" i="15"/>
  <c r="AH234" i="15"/>
  <c r="AI234" i="15"/>
  <c r="AJ234" i="15"/>
  <c r="AK234" i="15"/>
  <c r="AH235" i="15"/>
  <c r="AI235" i="15"/>
  <c r="AJ235" i="15"/>
  <c r="AK235" i="15"/>
  <c r="AH236" i="15"/>
  <c r="AI236" i="15"/>
  <c r="AJ236" i="15"/>
  <c r="AK236" i="15"/>
  <c r="AH237" i="15"/>
  <c r="AI237" i="15"/>
  <c r="AJ237" i="15"/>
  <c r="AK237" i="15"/>
  <c r="AH238" i="15"/>
  <c r="AI238" i="15"/>
  <c r="AJ238" i="15"/>
  <c r="AK238" i="15"/>
  <c r="AH239" i="15"/>
  <c r="AI239" i="15"/>
  <c r="AJ239" i="15"/>
  <c r="AK239" i="15"/>
  <c r="AH240" i="15"/>
  <c r="AI240" i="15"/>
  <c r="AJ240" i="15"/>
  <c r="AK240" i="15"/>
  <c r="AH241" i="15"/>
  <c r="AI241" i="15"/>
  <c r="AJ241" i="15"/>
  <c r="AK241" i="15"/>
  <c r="AH242" i="15"/>
  <c r="AI242" i="15"/>
  <c r="AJ242" i="15"/>
  <c r="AK242" i="15"/>
  <c r="AH243" i="15"/>
  <c r="AI243" i="15"/>
  <c r="AJ243" i="15"/>
  <c r="AK243" i="15"/>
  <c r="AH244" i="15"/>
  <c r="AI244" i="15"/>
  <c r="AJ244" i="15"/>
  <c r="AK244" i="15"/>
  <c r="AH245" i="15"/>
  <c r="AI245" i="15"/>
  <c r="AJ245" i="15"/>
  <c r="AK245" i="15"/>
  <c r="AH246" i="15"/>
  <c r="AI246" i="15"/>
  <c r="AJ246" i="15"/>
  <c r="AK246" i="15"/>
  <c r="AH247" i="15"/>
  <c r="AI247" i="15"/>
  <c r="AJ247" i="15"/>
  <c r="AK247" i="15"/>
  <c r="AH248" i="15"/>
  <c r="AI248" i="15"/>
  <c r="AJ248" i="15"/>
  <c r="AK248" i="15"/>
  <c r="AH249" i="15"/>
  <c r="AI249" i="15"/>
  <c r="AJ249" i="15"/>
  <c r="AK249" i="15"/>
  <c r="AH250" i="15"/>
  <c r="AI250" i="15"/>
  <c r="AJ250" i="15"/>
  <c r="AK250" i="15"/>
  <c r="AH251" i="15"/>
  <c r="AI251" i="15"/>
  <c r="AJ251" i="15"/>
  <c r="AK251" i="15"/>
  <c r="AH252" i="15"/>
  <c r="AI252" i="15"/>
  <c r="AJ252" i="15"/>
  <c r="AK252" i="15"/>
  <c r="AH253" i="15"/>
  <c r="AI253" i="15"/>
  <c r="AJ253" i="15"/>
  <c r="AK253" i="15"/>
  <c r="AH254" i="15"/>
  <c r="AI254" i="15"/>
  <c r="AJ254" i="15"/>
  <c r="AK254" i="15"/>
  <c r="AH255" i="15"/>
  <c r="AI255" i="15"/>
  <c r="AJ255" i="15"/>
  <c r="AK255" i="15"/>
  <c r="AH256" i="15"/>
  <c r="AI256" i="15"/>
  <c r="AJ256" i="15"/>
  <c r="AK256" i="15"/>
  <c r="AH257" i="15"/>
  <c r="AI257" i="15"/>
  <c r="AJ257" i="15"/>
  <c r="AK257" i="15"/>
  <c r="AH258" i="15"/>
  <c r="AI258" i="15"/>
  <c r="AJ258" i="15"/>
  <c r="AK258" i="15"/>
  <c r="AH259" i="15"/>
  <c r="AI259" i="15"/>
  <c r="AJ259" i="15"/>
  <c r="AK259" i="15"/>
  <c r="AH260" i="15"/>
  <c r="AI260" i="15"/>
  <c r="AJ260" i="15"/>
  <c r="AK260" i="15"/>
  <c r="AH261" i="15"/>
  <c r="AI261" i="15"/>
  <c r="AJ261" i="15"/>
  <c r="AK261" i="15"/>
  <c r="AH262" i="15"/>
  <c r="AI262" i="15"/>
  <c r="AJ262" i="15"/>
  <c r="AK262" i="15"/>
  <c r="AH263" i="15"/>
  <c r="AI263" i="15"/>
  <c r="AJ263" i="15"/>
  <c r="AK263" i="15"/>
  <c r="AH264" i="15"/>
  <c r="AI264" i="15"/>
  <c r="AJ264" i="15"/>
  <c r="AK264" i="15"/>
  <c r="AH265" i="15"/>
  <c r="AI265" i="15"/>
  <c r="AJ265" i="15"/>
  <c r="AK265" i="15"/>
  <c r="AH266" i="15"/>
  <c r="AI266" i="15"/>
  <c r="AJ266" i="15"/>
  <c r="AK266" i="15"/>
  <c r="AH267" i="15"/>
  <c r="AI267" i="15"/>
  <c r="AJ267" i="15"/>
  <c r="AK267" i="15"/>
  <c r="AH268" i="15"/>
  <c r="AI268" i="15"/>
  <c r="AJ268" i="15"/>
  <c r="AK268" i="15"/>
  <c r="AH269" i="15"/>
  <c r="AI269" i="15"/>
  <c r="AJ269" i="15"/>
  <c r="AK269" i="15"/>
  <c r="AH270" i="15"/>
  <c r="AI270" i="15"/>
  <c r="AJ270" i="15"/>
  <c r="AK270" i="15"/>
  <c r="AH271" i="15"/>
  <c r="AI271" i="15"/>
  <c r="AJ271" i="15"/>
  <c r="AK271" i="15"/>
  <c r="AH272" i="15"/>
  <c r="AI272" i="15"/>
  <c r="AJ272" i="15"/>
  <c r="AK272" i="15"/>
  <c r="AH273" i="15"/>
  <c r="AI273" i="15"/>
  <c r="AJ273" i="15"/>
  <c r="AK273" i="15"/>
  <c r="AH274" i="15"/>
  <c r="AI274" i="15"/>
  <c r="AJ274" i="15"/>
  <c r="AK274" i="15"/>
  <c r="AH275" i="15"/>
  <c r="AI275" i="15"/>
  <c r="AJ275" i="15"/>
  <c r="AK275" i="15"/>
  <c r="AH276" i="15"/>
  <c r="AI276" i="15"/>
  <c r="AJ276" i="15"/>
  <c r="AK276" i="15"/>
  <c r="AH277" i="15"/>
  <c r="AI277" i="15"/>
  <c r="AJ277" i="15"/>
  <c r="AK277" i="15"/>
  <c r="AH278" i="15"/>
  <c r="AI278" i="15"/>
  <c r="AJ278" i="15"/>
  <c r="AK278" i="15"/>
  <c r="AH279" i="15"/>
  <c r="AI279" i="15"/>
  <c r="AJ279" i="15"/>
  <c r="AK279" i="15"/>
  <c r="AH280" i="15"/>
  <c r="AI280" i="15"/>
  <c r="AJ280" i="15"/>
  <c r="AK280" i="15"/>
  <c r="AH281" i="15"/>
  <c r="AI281" i="15"/>
  <c r="AJ281" i="15"/>
  <c r="AK281" i="15"/>
  <c r="AH282" i="15"/>
  <c r="AI282" i="15"/>
  <c r="AJ282" i="15"/>
  <c r="AK282" i="15"/>
  <c r="AH283" i="15"/>
  <c r="AI283" i="15"/>
  <c r="AJ283" i="15"/>
  <c r="AK283" i="15"/>
  <c r="AH284" i="15"/>
  <c r="AI284" i="15"/>
  <c r="AJ284" i="15"/>
  <c r="AK284" i="15"/>
  <c r="AH285" i="15"/>
  <c r="AI285" i="15"/>
  <c r="AJ285" i="15"/>
  <c r="AK285" i="15"/>
  <c r="AH286" i="15"/>
  <c r="AI286" i="15"/>
  <c r="AJ286" i="15"/>
  <c r="AK286" i="15"/>
  <c r="AH287" i="15"/>
  <c r="AI287" i="15"/>
  <c r="AJ287" i="15"/>
  <c r="AK287" i="15"/>
  <c r="AH288" i="15"/>
  <c r="AI288" i="15"/>
  <c r="AJ288" i="15"/>
  <c r="AK288" i="15"/>
  <c r="AH289" i="15"/>
  <c r="AI289" i="15"/>
  <c r="AJ289" i="15"/>
  <c r="AK289" i="15"/>
  <c r="AH290" i="15"/>
  <c r="AI290" i="15"/>
  <c r="AJ290" i="15"/>
  <c r="AK290" i="15"/>
  <c r="AH291" i="15"/>
  <c r="AI291" i="15"/>
  <c r="AJ291" i="15"/>
  <c r="AK291" i="15"/>
  <c r="AH292" i="15"/>
  <c r="AI292" i="15"/>
  <c r="AJ292" i="15"/>
  <c r="AK292" i="15"/>
  <c r="AH293" i="15"/>
  <c r="AI293" i="15"/>
  <c r="AJ293" i="15"/>
  <c r="AK293" i="15"/>
  <c r="AH294" i="15"/>
  <c r="AI294" i="15"/>
  <c r="AJ294" i="15"/>
  <c r="AK294" i="15"/>
  <c r="AH295" i="15"/>
  <c r="AI295" i="15"/>
  <c r="AJ295" i="15"/>
  <c r="AK295" i="15"/>
  <c r="AH296" i="15"/>
  <c r="AI296" i="15"/>
  <c r="AJ296" i="15"/>
  <c r="AK296" i="15"/>
  <c r="AH297" i="15"/>
  <c r="AI297" i="15"/>
  <c r="AJ297" i="15"/>
  <c r="AK297" i="15"/>
  <c r="AH298" i="15"/>
  <c r="AI298" i="15"/>
  <c r="AJ298" i="15"/>
  <c r="AK298" i="15"/>
  <c r="AH299" i="15"/>
  <c r="AI299" i="15"/>
  <c r="AJ299" i="15"/>
  <c r="AK299" i="15"/>
  <c r="AH300" i="15"/>
  <c r="AI300" i="15"/>
  <c r="AJ300" i="15"/>
  <c r="AK300" i="15"/>
  <c r="AH301" i="15"/>
  <c r="AI301" i="15"/>
  <c r="AJ301" i="15"/>
  <c r="AK301" i="15"/>
  <c r="AH302" i="15"/>
  <c r="AI302" i="15"/>
  <c r="AJ302" i="15"/>
  <c r="AK302" i="15"/>
  <c r="AH303" i="15"/>
  <c r="AI303" i="15"/>
  <c r="AJ303" i="15"/>
  <c r="AK303" i="15"/>
  <c r="AH304" i="15"/>
  <c r="AI304" i="15"/>
  <c r="AJ304" i="15"/>
  <c r="AK304" i="15"/>
  <c r="AH305" i="15"/>
  <c r="AI305" i="15"/>
  <c r="AJ305" i="15"/>
  <c r="AK305" i="15"/>
  <c r="AH306" i="15"/>
  <c r="AI306" i="15"/>
  <c r="AJ306" i="15"/>
  <c r="AK306" i="15"/>
  <c r="AH307" i="15"/>
  <c r="AI307" i="15"/>
  <c r="AJ307" i="15"/>
  <c r="AK307" i="15"/>
  <c r="AH308" i="15"/>
  <c r="AI308" i="15"/>
  <c r="AJ308" i="15"/>
  <c r="AK308" i="15"/>
  <c r="AH309" i="15"/>
  <c r="AI309" i="15"/>
  <c r="AJ309" i="15"/>
  <c r="AK309" i="15"/>
  <c r="AH310" i="15"/>
  <c r="AI310" i="15"/>
  <c r="AJ310" i="15"/>
  <c r="AK310" i="15"/>
  <c r="AH311" i="15"/>
  <c r="AI311" i="15"/>
  <c r="AJ311" i="15"/>
  <c r="AK311" i="15"/>
  <c r="AH312" i="15"/>
  <c r="AI312" i="15"/>
  <c r="AJ312" i="15"/>
  <c r="AK312" i="15"/>
  <c r="AH313" i="15"/>
  <c r="AI313" i="15"/>
  <c r="AJ313" i="15"/>
  <c r="AK313" i="15"/>
  <c r="AH314" i="15"/>
  <c r="AI314" i="15"/>
  <c r="AJ314" i="15"/>
  <c r="AK314" i="15"/>
  <c r="AH315" i="15"/>
  <c r="AI315" i="15"/>
  <c r="AJ315" i="15"/>
  <c r="AK315" i="15"/>
  <c r="AH316" i="15"/>
  <c r="AI316" i="15"/>
  <c r="AJ316" i="15"/>
  <c r="AK316" i="15"/>
  <c r="AH317" i="15"/>
  <c r="AI317" i="15"/>
  <c r="AJ317" i="15"/>
  <c r="AK317" i="15"/>
  <c r="AH318" i="15"/>
  <c r="AI318" i="15"/>
  <c r="AJ318" i="15"/>
  <c r="AK318" i="15"/>
  <c r="AH319" i="15"/>
  <c r="AI319" i="15"/>
  <c r="AJ319" i="15"/>
  <c r="AK319" i="15"/>
  <c r="AH320" i="15"/>
  <c r="AI320" i="15"/>
  <c r="AJ320" i="15"/>
  <c r="AK320" i="15"/>
  <c r="AH321" i="15"/>
  <c r="AI321" i="15"/>
  <c r="AJ321" i="15"/>
  <c r="AK321" i="15"/>
  <c r="AH322" i="15"/>
  <c r="AI322" i="15"/>
  <c r="AJ322" i="15"/>
  <c r="AK322" i="15"/>
  <c r="AH323" i="15"/>
  <c r="AI323" i="15"/>
  <c r="AJ323" i="15"/>
  <c r="AK323" i="15"/>
  <c r="AH324" i="15"/>
  <c r="AI324" i="15"/>
  <c r="AJ324" i="15"/>
  <c r="AK324" i="15"/>
  <c r="AH325" i="15"/>
  <c r="AI325" i="15"/>
  <c r="AJ325" i="15"/>
  <c r="AK325" i="15"/>
  <c r="AH326" i="15"/>
  <c r="AI326" i="15"/>
  <c r="AJ326" i="15"/>
  <c r="AK326" i="15"/>
  <c r="AH327" i="15"/>
  <c r="AI327" i="15"/>
  <c r="AJ327" i="15"/>
  <c r="AK327" i="15"/>
  <c r="AH328" i="15"/>
  <c r="AI328" i="15"/>
  <c r="AJ328" i="15"/>
  <c r="AK328" i="15"/>
  <c r="AH329" i="15"/>
  <c r="AI329" i="15"/>
  <c r="AJ329" i="15"/>
  <c r="AK329" i="15"/>
  <c r="AH330" i="15"/>
  <c r="AI330" i="15"/>
  <c r="AJ330" i="15"/>
  <c r="AK330" i="15"/>
  <c r="AH331" i="15"/>
  <c r="AI331" i="15"/>
  <c r="AJ331" i="15"/>
  <c r="AK331" i="15"/>
  <c r="AH332" i="15"/>
  <c r="AI332" i="15"/>
  <c r="AJ332" i="15"/>
  <c r="AK332" i="15"/>
  <c r="AH333" i="15"/>
  <c r="AI333" i="15"/>
  <c r="AJ333" i="15"/>
  <c r="AK333" i="15"/>
  <c r="AH334" i="15"/>
  <c r="AI334" i="15"/>
  <c r="AJ334" i="15"/>
  <c r="AK334" i="15"/>
  <c r="AH335" i="15"/>
  <c r="AI335" i="15"/>
  <c r="AJ335" i="15"/>
  <c r="AK335" i="15"/>
  <c r="AH336" i="15"/>
  <c r="AI336" i="15"/>
  <c r="AJ336" i="15"/>
  <c r="AK336" i="15"/>
  <c r="AH337" i="15"/>
  <c r="AI337" i="15"/>
  <c r="AJ337" i="15"/>
  <c r="AK337" i="15"/>
  <c r="AH338" i="15"/>
  <c r="AI338" i="15"/>
  <c r="AJ338" i="15"/>
  <c r="AK338" i="15"/>
  <c r="AH339" i="15"/>
  <c r="AI339" i="15"/>
  <c r="AJ339" i="15"/>
  <c r="AK339" i="15"/>
  <c r="AH340" i="15"/>
  <c r="AI340" i="15"/>
  <c r="AJ340" i="15"/>
  <c r="AK340" i="15"/>
  <c r="AH341" i="15"/>
  <c r="AI341" i="15"/>
  <c r="AJ341" i="15"/>
  <c r="AK341" i="15"/>
  <c r="AH342" i="15"/>
  <c r="AI342" i="15"/>
  <c r="AJ342" i="15"/>
  <c r="AK342" i="15"/>
  <c r="AH343" i="15"/>
  <c r="AI343" i="15"/>
  <c r="AJ343" i="15"/>
  <c r="AK343" i="15"/>
  <c r="AH344" i="15"/>
  <c r="AI344" i="15"/>
  <c r="AJ344" i="15"/>
  <c r="AK344" i="15"/>
  <c r="AH345" i="15"/>
  <c r="AI345" i="15"/>
  <c r="AJ345" i="15"/>
  <c r="AK345" i="15"/>
  <c r="AH346" i="15"/>
  <c r="AI346" i="15"/>
  <c r="AJ346" i="15"/>
  <c r="AK346" i="15"/>
  <c r="AH347" i="15"/>
  <c r="AI347" i="15"/>
  <c r="AJ347" i="15"/>
  <c r="AK347" i="15"/>
  <c r="AH348" i="15"/>
  <c r="AI348" i="15"/>
  <c r="AJ348" i="15"/>
  <c r="AK348" i="15"/>
  <c r="AH349" i="15"/>
  <c r="AI349" i="15"/>
  <c r="AJ349" i="15"/>
  <c r="AK349" i="15"/>
  <c r="AH350" i="15"/>
  <c r="AI350" i="15"/>
  <c r="AJ350" i="15"/>
  <c r="AK350" i="15"/>
  <c r="AH351" i="15"/>
  <c r="AI351" i="15"/>
  <c r="AJ351" i="15"/>
  <c r="AK351" i="15"/>
  <c r="AH352" i="15"/>
  <c r="AI352" i="15"/>
  <c r="AJ352" i="15"/>
  <c r="AK352" i="15"/>
  <c r="AH353" i="15"/>
  <c r="AI353" i="15"/>
  <c r="AJ353" i="15"/>
  <c r="AK353" i="15"/>
  <c r="AH354" i="15"/>
  <c r="AI354" i="15"/>
  <c r="AJ354" i="15"/>
  <c r="AK354" i="15"/>
  <c r="AH355" i="15"/>
  <c r="AI355" i="15"/>
  <c r="AJ355" i="15"/>
  <c r="AK355" i="15"/>
  <c r="AH356" i="15"/>
  <c r="AI356" i="15"/>
  <c r="AJ356" i="15"/>
  <c r="AK356" i="15"/>
  <c r="AH357" i="15"/>
  <c r="AI357" i="15"/>
  <c r="AJ357" i="15"/>
  <c r="AK357" i="15"/>
  <c r="AH358" i="15"/>
  <c r="AI358" i="15"/>
  <c r="AJ358" i="15"/>
  <c r="AK358" i="15"/>
  <c r="AH359" i="15"/>
  <c r="AI359" i="15"/>
  <c r="AJ359" i="15"/>
  <c r="AK359" i="15"/>
  <c r="AH360" i="15"/>
  <c r="AI360" i="15"/>
  <c r="AJ360" i="15"/>
  <c r="AK360" i="15"/>
  <c r="AH361" i="15"/>
  <c r="AI361" i="15"/>
  <c r="AJ361" i="15"/>
  <c r="AK361" i="15"/>
  <c r="AH362" i="15"/>
  <c r="AI362" i="15"/>
  <c r="AJ362" i="15"/>
  <c r="AK362" i="15"/>
  <c r="AH363" i="15"/>
  <c r="AI363" i="15"/>
  <c r="AJ363" i="15"/>
  <c r="AK363" i="15"/>
  <c r="AH364" i="15"/>
  <c r="AI364" i="15"/>
  <c r="AJ364" i="15"/>
  <c r="AK364" i="15"/>
  <c r="AH365" i="15"/>
  <c r="AI365" i="15"/>
  <c r="AJ365" i="15"/>
  <c r="AK365" i="15"/>
  <c r="AH366" i="15"/>
  <c r="AI366" i="15"/>
  <c r="AJ366" i="15"/>
  <c r="AK366" i="15"/>
  <c r="AH367" i="15"/>
  <c r="AI367" i="15"/>
  <c r="AJ367" i="15"/>
  <c r="AK367" i="15"/>
  <c r="AH368" i="15"/>
  <c r="AI368" i="15"/>
  <c r="AJ368" i="15"/>
  <c r="AK368" i="15"/>
  <c r="AH369" i="15"/>
  <c r="AI369" i="15"/>
  <c r="AJ369" i="15"/>
  <c r="AK369" i="15"/>
  <c r="AH370" i="15"/>
  <c r="AI370" i="15"/>
  <c r="AJ370" i="15"/>
  <c r="AK370" i="15"/>
  <c r="AH371" i="15"/>
  <c r="AI371" i="15"/>
  <c r="AJ371" i="15"/>
  <c r="AK371" i="15"/>
  <c r="AH372" i="15"/>
  <c r="AI372" i="15"/>
  <c r="AJ372" i="15"/>
  <c r="AK372" i="15"/>
  <c r="AH373" i="15"/>
  <c r="AI373" i="15"/>
  <c r="AJ373" i="15"/>
  <c r="AK373" i="15"/>
  <c r="AH374" i="15"/>
  <c r="AI374" i="15"/>
  <c r="AJ374" i="15"/>
  <c r="AK374" i="15"/>
  <c r="AH375" i="15"/>
  <c r="AI375" i="15"/>
  <c r="AJ375" i="15"/>
  <c r="AK375" i="15"/>
  <c r="AH376" i="15"/>
  <c r="AI376" i="15"/>
  <c r="AJ376" i="15"/>
  <c r="AK376" i="15"/>
  <c r="AH377" i="15"/>
  <c r="AI377" i="15"/>
  <c r="AJ377" i="15"/>
  <c r="AK377" i="15"/>
  <c r="AH378" i="15"/>
  <c r="AI378" i="15"/>
  <c r="AJ378" i="15"/>
  <c r="AK378" i="15"/>
  <c r="AH379" i="15"/>
  <c r="AI379" i="15"/>
  <c r="AJ379" i="15"/>
  <c r="AK379" i="15"/>
  <c r="AH380" i="15"/>
  <c r="AI380" i="15"/>
  <c r="AJ380" i="15"/>
  <c r="AK380" i="15"/>
  <c r="AH381" i="15"/>
  <c r="AI381" i="15"/>
  <c r="AJ381" i="15"/>
  <c r="AK381" i="15"/>
  <c r="AH382" i="15"/>
  <c r="AI382" i="15"/>
  <c r="AJ382" i="15"/>
  <c r="AK382" i="15"/>
  <c r="AH383" i="15"/>
  <c r="AI383" i="15"/>
  <c r="AJ383" i="15"/>
  <c r="AK383" i="15"/>
  <c r="AH384" i="15"/>
  <c r="AI384" i="15"/>
  <c r="AJ384" i="15"/>
  <c r="AK384" i="15"/>
  <c r="AH385" i="15"/>
  <c r="AI385" i="15"/>
  <c r="AJ385" i="15"/>
  <c r="AK385" i="15"/>
  <c r="AH386" i="15"/>
  <c r="AI386" i="15"/>
  <c r="AJ386" i="15"/>
  <c r="AK386" i="15"/>
  <c r="AH387" i="15"/>
  <c r="AI387" i="15"/>
  <c r="AJ387" i="15"/>
  <c r="AK387" i="15"/>
  <c r="AH388" i="15"/>
  <c r="AI388" i="15"/>
  <c r="AJ388" i="15"/>
  <c r="AK388" i="15"/>
  <c r="AH389" i="15"/>
  <c r="AI389" i="15"/>
  <c r="AJ389" i="15"/>
  <c r="AK389" i="15"/>
  <c r="AH390" i="15"/>
  <c r="AI390" i="15"/>
  <c r="AJ390" i="15"/>
  <c r="AK390" i="15"/>
  <c r="AH391" i="15"/>
  <c r="AI391" i="15"/>
  <c r="AJ391" i="15"/>
  <c r="AK391" i="15"/>
  <c r="AH392" i="15"/>
  <c r="AI392" i="15"/>
  <c r="AJ392" i="15"/>
  <c r="AK392" i="15"/>
  <c r="AH393" i="15"/>
  <c r="AI393" i="15"/>
  <c r="AJ393" i="15"/>
  <c r="AK393" i="15"/>
  <c r="AH394" i="15"/>
  <c r="AI394" i="15"/>
  <c r="AJ394" i="15"/>
  <c r="AK394" i="15"/>
  <c r="AH395" i="15"/>
  <c r="AI395" i="15"/>
  <c r="AJ395" i="15"/>
  <c r="AK395" i="15"/>
  <c r="AH396" i="15"/>
  <c r="AI396" i="15"/>
  <c r="AJ396" i="15"/>
  <c r="AK396" i="15"/>
  <c r="AH397" i="15"/>
  <c r="AI397" i="15"/>
  <c r="AJ397" i="15"/>
  <c r="AK397" i="15"/>
  <c r="AH398" i="15"/>
  <c r="AI398" i="15"/>
  <c r="AJ398" i="15"/>
  <c r="AK398" i="15"/>
  <c r="AH399" i="15"/>
  <c r="AI399" i="15"/>
  <c r="AJ399" i="15"/>
  <c r="AK399" i="15"/>
  <c r="AH400" i="15"/>
  <c r="AI400" i="15"/>
  <c r="AJ400" i="15"/>
  <c r="AK400" i="15"/>
  <c r="AH401" i="15"/>
  <c r="AI401" i="15"/>
  <c r="AJ401" i="15"/>
  <c r="AK401" i="15"/>
  <c r="AH402" i="15"/>
  <c r="AI402" i="15"/>
  <c r="AJ402" i="15"/>
  <c r="AK402" i="15"/>
  <c r="AH403" i="15"/>
  <c r="AI403" i="15"/>
  <c r="AJ403" i="15"/>
  <c r="AK403" i="15"/>
  <c r="AH404" i="15"/>
  <c r="AI404" i="15"/>
  <c r="AJ404" i="15"/>
  <c r="AK404" i="15"/>
  <c r="AH405" i="15"/>
  <c r="AI405" i="15"/>
  <c r="AJ405" i="15"/>
  <c r="AK405" i="15"/>
  <c r="AH406" i="15"/>
  <c r="AI406" i="15"/>
  <c r="AJ406" i="15"/>
  <c r="AK406" i="15"/>
  <c r="AH407" i="15"/>
  <c r="AI407" i="15"/>
  <c r="AJ407" i="15"/>
  <c r="AK407" i="15"/>
  <c r="AH408" i="15"/>
  <c r="AI408" i="15"/>
  <c r="AJ408" i="15"/>
  <c r="AK408" i="15"/>
  <c r="AH409" i="15"/>
  <c r="AI409" i="15"/>
  <c r="AJ409" i="15"/>
  <c r="AK409" i="15"/>
  <c r="AH410" i="15"/>
  <c r="AI410" i="15"/>
  <c r="AJ410" i="15"/>
  <c r="AK410" i="15"/>
  <c r="AH411" i="15"/>
  <c r="AI411" i="15"/>
  <c r="AJ411" i="15"/>
  <c r="AK411" i="15"/>
  <c r="AH412" i="15"/>
  <c r="AI412" i="15"/>
  <c r="AJ412" i="15"/>
  <c r="AK412" i="15"/>
  <c r="AH413" i="15"/>
  <c r="AI413" i="15"/>
  <c r="AJ413" i="15"/>
  <c r="AK413" i="15"/>
  <c r="AH414" i="15"/>
  <c r="AI414" i="15"/>
  <c r="AJ414" i="15"/>
  <c r="AK414" i="15"/>
  <c r="AH415" i="15"/>
  <c r="AI415" i="15"/>
  <c r="AJ415" i="15"/>
  <c r="AK415" i="15"/>
  <c r="AH416" i="15"/>
  <c r="AI416" i="15"/>
  <c r="AJ416" i="15"/>
  <c r="AK416" i="15"/>
  <c r="AH417" i="15"/>
  <c r="AI417" i="15"/>
  <c r="AJ417" i="15"/>
  <c r="AK417" i="15"/>
  <c r="AH418" i="15"/>
  <c r="AI418" i="15"/>
  <c r="AJ418" i="15"/>
  <c r="AK418" i="15"/>
  <c r="AH419" i="15"/>
  <c r="AI419" i="15"/>
  <c r="AJ419" i="15"/>
  <c r="AK419" i="15"/>
  <c r="AH420" i="15"/>
  <c r="AI420" i="15"/>
  <c r="AJ420" i="15"/>
  <c r="AK420" i="15"/>
  <c r="AH421" i="15"/>
  <c r="AI421" i="15"/>
  <c r="AJ421" i="15"/>
  <c r="AK421" i="15"/>
  <c r="AH422" i="15"/>
  <c r="AI422" i="15"/>
  <c r="AJ422" i="15"/>
  <c r="AK422" i="15"/>
  <c r="AH423" i="15"/>
  <c r="AI423" i="15"/>
  <c r="AJ423" i="15"/>
  <c r="AK423" i="15"/>
  <c r="AH424" i="15"/>
  <c r="AI424" i="15"/>
  <c r="AJ424" i="15"/>
  <c r="AK424" i="15"/>
  <c r="AH425" i="15"/>
  <c r="AI425" i="15"/>
  <c r="AJ425" i="15"/>
  <c r="AK425" i="15"/>
  <c r="AH426" i="15"/>
  <c r="AI426" i="15"/>
  <c r="AJ426" i="15"/>
  <c r="AK426" i="15"/>
  <c r="AH427" i="15"/>
  <c r="AI427" i="15"/>
  <c r="AJ427" i="15"/>
  <c r="AK427" i="15"/>
  <c r="AH428" i="15"/>
  <c r="AI428" i="15"/>
  <c r="AJ428" i="15"/>
  <c r="AK428" i="15"/>
  <c r="AH429" i="15"/>
  <c r="AI429" i="15"/>
  <c r="AJ429" i="15"/>
  <c r="AK429" i="15"/>
  <c r="AH430" i="15"/>
  <c r="AI430" i="15"/>
  <c r="AJ430" i="15"/>
  <c r="AK430" i="15"/>
  <c r="AH431" i="15"/>
  <c r="AI431" i="15"/>
  <c r="AJ431" i="15"/>
  <c r="AK431" i="15"/>
  <c r="AH432" i="15"/>
  <c r="AI432" i="15"/>
  <c r="AJ432" i="15"/>
  <c r="AK432" i="15"/>
  <c r="AH433" i="15"/>
  <c r="AI433" i="15"/>
  <c r="AJ433" i="15"/>
  <c r="AK43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AN49" i="15"/>
  <c r="AN50" i="15"/>
  <c r="AN51" i="15"/>
  <c r="AN52" i="15"/>
  <c r="AN53" i="15"/>
  <c r="AN54" i="15"/>
  <c r="AN55" i="15"/>
  <c r="AN56" i="15"/>
  <c r="AN57" i="15"/>
  <c r="AN58" i="15"/>
  <c r="AN59" i="15"/>
  <c r="AN60" i="15"/>
  <c r="AN61" i="15"/>
  <c r="AN62" i="15"/>
  <c r="AN63" i="15"/>
  <c r="AN64" i="15"/>
  <c r="AN65" i="15"/>
  <c r="AN66" i="15"/>
  <c r="AN67" i="15"/>
  <c r="AN68" i="15"/>
  <c r="AN69" i="15"/>
  <c r="AN70" i="15"/>
  <c r="AN71" i="15"/>
  <c r="AN72" i="15"/>
  <c r="AN73" i="15"/>
  <c r="AN74" i="15"/>
  <c r="AN75" i="15"/>
  <c r="AN76" i="15"/>
  <c r="AN77" i="15"/>
  <c r="AN78" i="15"/>
  <c r="AN79" i="15"/>
  <c r="AN80" i="15"/>
  <c r="AN81" i="15"/>
  <c r="AN82" i="15"/>
  <c r="AN83" i="15"/>
  <c r="AN84" i="15"/>
  <c r="AN85" i="15"/>
  <c r="AN86" i="15"/>
  <c r="AN87" i="15"/>
  <c r="AN88" i="15"/>
  <c r="AN89" i="15"/>
  <c r="AN90" i="15"/>
  <c r="AN91" i="15"/>
  <c r="AN92" i="15"/>
  <c r="AN93" i="15"/>
  <c r="AN94" i="15"/>
  <c r="AN95" i="15"/>
  <c r="AN96" i="15"/>
  <c r="AN97" i="15"/>
  <c r="AN98" i="15"/>
  <c r="AN99" i="15"/>
  <c r="AN100" i="15"/>
  <c r="AN101" i="15"/>
  <c r="AN102" i="15"/>
  <c r="AN103" i="15"/>
  <c r="AN104" i="15"/>
  <c r="AN105" i="15"/>
  <c r="AN106" i="15"/>
  <c r="AN107" i="15"/>
  <c r="AN108" i="15"/>
  <c r="AN109" i="15"/>
  <c r="AN110" i="15"/>
  <c r="AN111" i="15"/>
  <c r="AN112" i="15"/>
  <c r="AN113" i="15"/>
  <c r="AN114" i="15"/>
  <c r="AN115" i="15"/>
  <c r="AN116" i="15"/>
  <c r="AN117" i="15"/>
  <c r="AN118" i="15"/>
  <c r="AN119" i="15"/>
  <c r="AN120" i="15"/>
  <c r="AN121" i="15"/>
  <c r="AN122" i="15"/>
  <c r="AN123" i="15"/>
  <c r="AN124" i="15"/>
  <c r="AN125" i="15"/>
  <c r="AN126" i="15"/>
  <c r="AN127" i="15"/>
  <c r="AN128" i="15"/>
  <c r="AN129" i="15"/>
  <c r="AN130" i="15"/>
  <c r="AN131" i="15"/>
  <c r="AN132" i="15"/>
  <c r="AN133" i="15"/>
  <c r="AN134" i="15"/>
  <c r="AN135" i="15"/>
  <c r="AN136" i="15"/>
  <c r="AN137" i="15"/>
  <c r="AN138" i="15"/>
  <c r="AN139" i="15"/>
  <c r="AN140" i="15"/>
  <c r="AN141" i="15"/>
  <c r="AN142" i="15"/>
  <c r="AN143" i="15"/>
  <c r="AN144" i="15"/>
  <c r="AN145" i="15"/>
  <c r="AN146" i="15"/>
  <c r="AN147" i="15"/>
  <c r="AN148" i="15"/>
  <c r="AN149" i="15"/>
  <c r="AN150" i="15"/>
  <c r="AN151" i="15"/>
  <c r="AN152" i="15"/>
  <c r="AN153" i="15"/>
  <c r="AN154" i="15"/>
  <c r="AN155" i="15"/>
  <c r="AN156" i="15"/>
  <c r="AN157" i="15"/>
  <c r="AN158" i="15"/>
  <c r="AN159" i="15"/>
  <c r="AN160" i="15"/>
  <c r="AN161" i="15"/>
  <c r="AN162" i="15"/>
  <c r="AN163" i="15"/>
  <c r="AN164" i="15"/>
  <c r="AN165" i="15"/>
  <c r="AN166" i="15"/>
  <c r="AN167" i="15"/>
  <c r="AN168" i="15"/>
  <c r="AN169" i="15"/>
  <c r="AN170" i="15"/>
  <c r="AN171" i="15"/>
  <c r="AN172" i="15"/>
  <c r="AN173" i="15"/>
  <c r="AN174" i="15"/>
  <c r="AN175" i="15"/>
  <c r="AN176" i="15"/>
  <c r="AN177" i="15"/>
  <c r="AN178" i="15"/>
  <c r="AN179" i="15"/>
  <c r="AN180" i="15"/>
  <c r="AN181" i="15"/>
  <c r="AN182" i="15"/>
  <c r="AN183" i="15"/>
  <c r="AN184" i="15"/>
  <c r="AN185" i="15"/>
  <c r="AN186" i="15"/>
  <c r="AN187" i="15"/>
  <c r="AN188" i="15"/>
  <c r="AN189" i="15"/>
  <c r="AN190" i="15"/>
  <c r="AN191" i="15"/>
  <c r="AN192" i="15"/>
  <c r="AN193" i="15"/>
  <c r="AN194" i="15"/>
  <c r="AN195" i="15"/>
  <c r="AN196" i="15"/>
  <c r="AN197" i="15"/>
  <c r="AN198" i="15"/>
  <c r="AN199" i="15"/>
  <c r="AN200" i="15"/>
  <c r="AN201" i="15"/>
  <c r="AN202" i="15"/>
  <c r="AN203" i="15"/>
  <c r="AN204" i="15"/>
  <c r="AN205" i="15"/>
  <c r="AN206" i="15"/>
  <c r="AN207" i="15"/>
  <c r="AN208" i="15"/>
  <c r="AN209" i="15"/>
  <c r="AN210" i="15"/>
  <c r="AN211" i="15"/>
  <c r="AN212" i="15"/>
  <c r="AN213" i="15"/>
  <c r="AN214" i="15"/>
  <c r="AN215" i="15"/>
  <c r="AN216" i="15"/>
  <c r="AN217" i="15"/>
  <c r="AN218" i="15"/>
  <c r="AN219" i="15"/>
  <c r="AN220" i="15"/>
  <c r="AN221" i="15"/>
  <c r="AN222" i="15"/>
  <c r="AN223" i="15"/>
  <c r="AN224" i="15"/>
  <c r="AN225" i="15"/>
  <c r="AN226" i="15"/>
  <c r="AN227" i="15"/>
  <c r="AN228" i="15"/>
  <c r="AN229" i="15"/>
  <c r="AN230" i="15"/>
  <c r="AN231" i="15"/>
  <c r="AN232" i="15"/>
  <c r="AN233" i="15"/>
  <c r="AN234" i="15"/>
  <c r="AN235" i="15"/>
  <c r="AN236" i="15"/>
  <c r="AN237" i="15"/>
  <c r="AN238" i="15"/>
  <c r="AN239" i="15"/>
  <c r="AN240" i="15"/>
  <c r="AN241" i="15"/>
  <c r="AN242" i="15"/>
  <c r="AN243" i="15"/>
  <c r="AN244" i="15"/>
  <c r="AN245" i="15"/>
  <c r="AN246" i="15"/>
  <c r="AN247" i="15"/>
  <c r="AN248" i="15"/>
  <c r="AN249" i="15"/>
  <c r="AN250" i="15"/>
  <c r="AN251" i="15"/>
  <c r="AN252" i="15"/>
  <c r="AN253" i="15"/>
  <c r="AN254" i="15"/>
  <c r="AN255" i="15"/>
  <c r="AN256" i="15"/>
  <c r="AN257" i="15"/>
  <c r="AN258" i="15"/>
  <c r="AN259" i="15"/>
  <c r="AN260" i="15"/>
  <c r="AN261" i="15"/>
  <c r="AN262" i="15"/>
  <c r="AN263" i="15"/>
  <c r="AN264" i="15"/>
  <c r="AN265" i="15"/>
  <c r="AN266" i="15"/>
  <c r="AN267" i="15"/>
  <c r="AN268" i="15"/>
  <c r="AN269" i="15"/>
  <c r="AN270" i="15"/>
  <c r="AN271" i="15"/>
  <c r="AN272" i="15"/>
  <c r="AN273" i="15"/>
  <c r="AN274" i="15"/>
  <c r="AN275" i="15"/>
  <c r="AN276" i="15"/>
  <c r="AN277" i="15"/>
  <c r="AN278" i="15"/>
  <c r="AN279" i="15"/>
  <c r="AN280" i="15"/>
  <c r="AN281" i="15"/>
  <c r="AN282" i="15"/>
  <c r="AN283" i="15"/>
  <c r="AN284" i="15"/>
  <c r="AN285" i="15"/>
  <c r="AN286" i="15"/>
  <c r="AN287" i="15"/>
  <c r="AN288" i="15"/>
  <c r="AN289" i="15"/>
  <c r="AN290" i="15"/>
  <c r="AN291" i="15"/>
  <c r="AN292" i="15"/>
  <c r="AN293" i="15"/>
  <c r="AN294" i="15"/>
  <c r="AN295" i="15"/>
  <c r="AN296" i="15"/>
  <c r="AN297" i="15"/>
  <c r="AN298" i="15"/>
  <c r="AN299" i="15"/>
  <c r="AN300" i="15"/>
  <c r="AN301" i="15"/>
  <c r="AN302" i="15"/>
  <c r="AN303" i="15"/>
  <c r="AN304" i="15"/>
  <c r="AN305" i="15"/>
  <c r="AN306" i="15"/>
  <c r="AN307" i="15"/>
  <c r="AN308" i="15"/>
  <c r="AN309" i="15"/>
  <c r="AN310" i="15"/>
  <c r="AN311" i="15"/>
  <c r="AN312" i="15"/>
  <c r="AN313" i="15"/>
  <c r="AN314" i="15"/>
  <c r="AN315" i="15"/>
  <c r="AN316" i="15"/>
  <c r="AN317" i="15"/>
  <c r="AN318" i="15"/>
  <c r="AN319" i="15"/>
  <c r="AN320" i="15"/>
  <c r="AN321" i="15"/>
  <c r="AN322" i="15"/>
  <c r="AN323" i="15"/>
  <c r="AN324" i="15"/>
  <c r="AN325" i="15"/>
  <c r="AN326" i="15"/>
  <c r="AN327" i="15"/>
  <c r="AN328" i="15"/>
  <c r="AN329" i="15"/>
  <c r="AN330" i="15"/>
  <c r="AN331" i="15"/>
  <c r="AN332" i="15"/>
  <c r="AN333" i="15"/>
  <c r="AN334" i="15"/>
  <c r="AN335" i="15"/>
  <c r="AN336" i="15"/>
  <c r="AN337" i="15"/>
  <c r="AN338" i="15"/>
  <c r="AN339" i="15"/>
  <c r="AN340" i="15"/>
  <c r="AN341" i="15"/>
  <c r="AN342" i="15"/>
  <c r="AN343" i="15"/>
  <c r="AN344" i="15"/>
  <c r="AN345" i="15"/>
  <c r="AN346" i="15"/>
  <c r="AN347" i="15"/>
  <c r="AN348" i="15"/>
  <c r="AN349" i="15"/>
  <c r="AN350" i="15"/>
  <c r="AN351" i="15"/>
  <c r="AN352" i="15"/>
  <c r="AN353" i="15"/>
  <c r="AN354" i="15"/>
  <c r="AN355" i="15"/>
  <c r="AN356" i="15"/>
  <c r="AN357" i="15"/>
  <c r="AN358" i="15"/>
  <c r="AN359" i="15"/>
  <c r="AN360" i="15"/>
  <c r="AN361" i="15"/>
  <c r="AN362" i="15"/>
  <c r="AN363" i="15"/>
  <c r="AN364" i="15"/>
  <c r="AN365" i="15"/>
  <c r="AN366" i="15"/>
  <c r="AN367" i="15"/>
  <c r="AN368" i="15"/>
  <c r="AN369" i="15"/>
  <c r="AN370" i="15"/>
  <c r="AN371" i="15"/>
  <c r="AN372" i="15"/>
  <c r="AN373" i="15"/>
  <c r="AN374" i="15"/>
  <c r="AN375" i="15"/>
  <c r="AN376" i="15"/>
  <c r="AN377" i="15"/>
  <c r="AN378" i="15"/>
  <c r="AN379" i="15"/>
  <c r="AN380" i="15"/>
  <c r="AN381" i="15"/>
  <c r="AN382" i="15"/>
  <c r="AN383" i="15"/>
  <c r="AN384" i="15"/>
  <c r="AN385" i="15"/>
  <c r="AN386" i="15"/>
  <c r="AN387" i="15"/>
  <c r="AN388" i="15"/>
  <c r="AN389" i="15"/>
  <c r="AN390" i="15"/>
  <c r="AN391" i="15"/>
  <c r="AN392" i="15"/>
  <c r="AN393" i="15"/>
  <c r="AN394" i="15"/>
  <c r="AN395" i="15"/>
  <c r="AN396" i="15"/>
  <c r="AN397" i="15"/>
  <c r="AN398" i="15"/>
  <c r="AN399" i="15"/>
  <c r="AN400" i="15"/>
  <c r="AN401" i="15"/>
  <c r="AN402" i="15"/>
  <c r="AN403" i="15"/>
  <c r="AN404" i="15"/>
  <c r="AN405" i="15"/>
  <c r="AN406" i="15"/>
  <c r="AN407" i="15"/>
  <c r="AN408" i="15"/>
  <c r="AN409" i="15"/>
  <c r="AN410" i="15"/>
  <c r="AN411" i="15"/>
  <c r="AN412" i="15"/>
  <c r="AN413" i="15"/>
  <c r="AN414" i="15"/>
  <c r="AN415" i="15"/>
  <c r="AN416" i="15"/>
  <c r="AN417" i="15"/>
  <c r="AN418" i="15"/>
  <c r="AN419" i="15"/>
  <c r="AN420" i="15"/>
  <c r="AN421" i="15"/>
  <c r="AN422" i="15"/>
  <c r="AN423" i="15"/>
  <c r="AN424" i="15"/>
  <c r="AN425" i="15"/>
  <c r="AN426" i="15"/>
  <c r="AN427" i="15"/>
  <c r="AN428" i="15"/>
  <c r="AN429" i="15"/>
  <c r="AN430" i="15"/>
  <c r="AN431" i="15"/>
  <c r="AN432" i="15"/>
  <c r="AN43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AF90" i="15"/>
  <c r="AF91" i="15"/>
  <c r="AF92" i="15"/>
  <c r="AF93" i="15"/>
  <c r="AF94" i="15"/>
  <c r="AF95" i="15"/>
  <c r="AF96" i="15"/>
  <c r="AF97" i="15"/>
  <c r="AF98" i="15"/>
  <c r="AF99" i="15"/>
  <c r="AF100" i="15"/>
  <c r="AF101" i="15"/>
  <c r="AF102" i="15"/>
  <c r="AF103" i="15"/>
  <c r="AF104" i="15"/>
  <c r="AF105" i="15"/>
  <c r="AF106" i="15"/>
  <c r="AF107" i="15"/>
  <c r="AF108" i="15"/>
  <c r="AF109" i="15"/>
  <c r="AF110" i="15"/>
  <c r="AF111" i="15"/>
  <c r="AF112" i="15"/>
  <c r="AF113" i="15"/>
  <c r="AF114" i="15"/>
  <c r="AF115" i="15"/>
  <c r="AF116" i="15"/>
  <c r="AF117" i="15"/>
  <c r="AF118" i="15"/>
  <c r="AF119" i="15"/>
  <c r="AF120" i="15"/>
  <c r="AF121" i="15"/>
  <c r="AF122" i="15"/>
  <c r="AF123" i="15"/>
  <c r="AF124" i="15"/>
  <c r="AF125" i="15"/>
  <c r="AF126" i="15"/>
  <c r="AF127" i="15"/>
  <c r="AF128" i="15"/>
  <c r="AF129" i="15"/>
  <c r="AF130" i="15"/>
  <c r="AF131" i="15"/>
  <c r="AF132" i="15"/>
  <c r="AF133" i="15"/>
  <c r="AF134" i="15"/>
  <c r="AF135" i="15"/>
  <c r="AF136" i="15"/>
  <c r="AF137" i="15"/>
  <c r="AF138" i="15"/>
  <c r="AF139" i="15"/>
  <c r="AF140" i="15"/>
  <c r="AF141" i="15"/>
  <c r="AF142" i="15"/>
  <c r="AF143" i="15"/>
  <c r="AF144" i="15"/>
  <c r="AF145" i="15"/>
  <c r="AF146" i="15"/>
  <c r="AF147" i="15"/>
  <c r="AF148" i="15"/>
  <c r="AF149" i="15"/>
  <c r="AF150" i="15"/>
  <c r="AF151" i="15"/>
  <c r="AF152" i="15"/>
  <c r="AF153" i="15"/>
  <c r="AF154" i="15"/>
  <c r="AF155" i="15"/>
  <c r="AF156" i="15"/>
  <c r="AF157" i="15"/>
  <c r="AF158" i="15"/>
  <c r="AF159" i="15"/>
  <c r="AF160" i="15"/>
  <c r="AF161" i="15"/>
  <c r="AF162" i="15"/>
  <c r="AF163" i="15"/>
  <c r="AF164" i="15"/>
  <c r="AF165" i="15"/>
  <c r="AF166" i="15"/>
  <c r="AF167" i="15"/>
  <c r="AF168" i="15"/>
  <c r="AF169" i="15"/>
  <c r="AF170" i="15"/>
  <c r="AF171" i="15"/>
  <c r="AF172" i="15"/>
  <c r="AF173" i="15"/>
  <c r="AF174" i="15"/>
  <c r="AF175" i="15"/>
  <c r="AF176" i="15"/>
  <c r="AF177" i="15"/>
  <c r="AF178" i="15"/>
  <c r="AF179" i="15"/>
  <c r="AF180" i="15"/>
  <c r="AF181" i="15"/>
  <c r="AF182" i="15"/>
  <c r="AF183" i="15"/>
  <c r="AF184" i="15"/>
  <c r="AF185" i="15"/>
  <c r="AF186" i="15"/>
  <c r="AF187" i="15"/>
  <c r="AF188" i="15"/>
  <c r="AF189" i="15"/>
  <c r="AF190" i="15"/>
  <c r="AF191" i="15"/>
  <c r="AF192" i="15"/>
  <c r="AF193" i="15"/>
  <c r="AF194" i="15"/>
  <c r="AF195" i="15"/>
  <c r="AF196" i="15"/>
  <c r="AF197" i="15"/>
  <c r="AF198" i="15"/>
  <c r="AF199" i="15"/>
  <c r="AF200" i="15"/>
  <c r="AF201" i="15"/>
  <c r="AF202" i="15"/>
  <c r="AF203" i="15"/>
  <c r="AF204" i="15"/>
  <c r="AF205" i="15"/>
  <c r="AF206" i="15"/>
  <c r="AF207" i="15"/>
  <c r="AF208" i="15"/>
  <c r="AF209" i="15"/>
  <c r="AF210" i="15"/>
  <c r="AF211" i="15"/>
  <c r="AF212" i="15"/>
  <c r="AF213" i="15"/>
  <c r="AF214" i="15"/>
  <c r="AF215" i="15"/>
  <c r="AF216" i="15"/>
  <c r="AF217" i="15"/>
  <c r="AF218" i="15"/>
  <c r="AF219" i="15"/>
  <c r="AF220" i="15"/>
  <c r="AF221" i="15"/>
  <c r="AF222" i="15"/>
  <c r="AF223" i="15"/>
  <c r="AF224" i="15"/>
  <c r="AF225" i="15"/>
  <c r="AF226" i="15"/>
  <c r="AF227" i="15"/>
  <c r="AF228" i="15"/>
  <c r="AF229" i="15"/>
  <c r="AF230" i="15"/>
  <c r="AF231" i="15"/>
  <c r="AF232" i="15"/>
  <c r="AF233" i="15"/>
  <c r="AF234" i="15"/>
  <c r="AF235" i="15"/>
  <c r="AF236" i="15"/>
  <c r="AF237" i="15"/>
  <c r="AF238" i="15"/>
  <c r="AF239" i="15"/>
  <c r="AF240" i="15"/>
  <c r="AF241" i="15"/>
  <c r="AF242" i="15"/>
  <c r="AF243" i="15"/>
  <c r="AF244" i="15"/>
  <c r="AF245" i="15"/>
  <c r="AF246" i="15"/>
  <c r="AF247" i="15"/>
  <c r="AF248" i="15"/>
  <c r="AF249" i="15"/>
  <c r="AF250" i="15"/>
  <c r="AF251" i="15"/>
  <c r="AF252" i="15"/>
  <c r="AF253" i="15"/>
  <c r="AF254" i="15"/>
  <c r="AF255" i="15"/>
  <c r="AF256" i="15"/>
  <c r="AF257" i="15"/>
  <c r="AF258" i="15"/>
  <c r="AF259" i="15"/>
  <c r="AF260" i="15"/>
  <c r="AF261" i="15"/>
  <c r="AF262" i="15"/>
  <c r="AF263" i="15"/>
  <c r="AF264" i="15"/>
  <c r="AF265" i="15"/>
  <c r="AF266" i="15"/>
  <c r="AF267" i="15"/>
  <c r="AF268" i="15"/>
  <c r="AF269" i="15"/>
  <c r="AF270" i="15"/>
  <c r="AF271" i="15"/>
  <c r="AF272" i="15"/>
  <c r="AF273" i="15"/>
  <c r="AF274" i="15"/>
  <c r="AF275" i="15"/>
  <c r="AF276" i="15"/>
  <c r="AF277" i="15"/>
  <c r="AF278" i="15"/>
  <c r="AF279" i="15"/>
  <c r="AF280" i="15"/>
  <c r="AF281" i="15"/>
  <c r="AF282" i="15"/>
  <c r="AF283" i="15"/>
  <c r="AF284" i="15"/>
  <c r="AF285" i="15"/>
  <c r="AF286" i="15"/>
  <c r="AF287" i="15"/>
  <c r="AF288" i="15"/>
  <c r="AF289" i="15"/>
  <c r="AF290" i="15"/>
  <c r="AF291" i="15"/>
  <c r="AF292" i="15"/>
  <c r="AF293" i="15"/>
  <c r="AF294" i="15"/>
  <c r="AF295" i="15"/>
  <c r="AF296" i="15"/>
  <c r="AF297" i="15"/>
  <c r="AF298" i="15"/>
  <c r="AF299" i="15"/>
  <c r="AF300" i="15"/>
  <c r="AF301" i="15"/>
  <c r="AF302" i="15"/>
  <c r="AF303" i="15"/>
  <c r="AF304" i="15"/>
  <c r="AF305" i="15"/>
  <c r="AF306" i="15"/>
  <c r="AF307" i="15"/>
  <c r="AF308" i="15"/>
  <c r="AF309" i="15"/>
  <c r="AF310" i="15"/>
  <c r="AF311" i="15"/>
  <c r="AF312" i="15"/>
  <c r="AF313" i="15"/>
  <c r="AF314" i="15"/>
  <c r="AF315" i="15"/>
  <c r="AF316" i="15"/>
  <c r="AF317" i="15"/>
  <c r="AF318" i="15"/>
  <c r="AF319" i="15"/>
  <c r="AF320" i="15"/>
  <c r="AF321" i="15"/>
  <c r="AF322" i="15"/>
  <c r="AF323" i="15"/>
  <c r="AF324" i="15"/>
  <c r="AF325" i="15"/>
  <c r="AF326" i="15"/>
  <c r="AF327" i="15"/>
  <c r="AF328" i="15"/>
  <c r="AF329" i="15"/>
  <c r="AF330" i="15"/>
  <c r="AF331" i="15"/>
  <c r="AF332" i="15"/>
  <c r="AF333" i="15"/>
  <c r="AF334" i="15"/>
  <c r="AF335" i="15"/>
  <c r="AF336" i="15"/>
  <c r="AF337" i="15"/>
  <c r="AF338" i="15"/>
  <c r="AF339" i="15"/>
  <c r="AF340" i="15"/>
  <c r="AF341" i="15"/>
  <c r="AF342" i="15"/>
  <c r="AF343" i="15"/>
  <c r="AF344" i="15"/>
  <c r="AF345" i="15"/>
  <c r="AF346" i="15"/>
  <c r="AF347" i="15"/>
  <c r="AF348" i="15"/>
  <c r="AF349" i="15"/>
  <c r="AF350" i="15"/>
  <c r="AF351" i="15"/>
  <c r="AF352" i="15"/>
  <c r="AF353" i="15"/>
  <c r="AF354" i="15"/>
  <c r="AF355" i="15"/>
  <c r="AF356" i="15"/>
  <c r="AF357" i="15"/>
  <c r="AF358" i="15"/>
  <c r="AF359" i="15"/>
  <c r="AF360" i="15"/>
  <c r="AF361" i="15"/>
  <c r="AF362" i="15"/>
  <c r="AF363" i="15"/>
  <c r="AF364" i="15"/>
  <c r="AF365" i="15"/>
  <c r="AF366" i="15"/>
  <c r="AF367" i="15"/>
  <c r="AF368" i="15"/>
  <c r="AF369" i="15"/>
  <c r="AF370" i="15"/>
  <c r="AF371" i="15"/>
  <c r="AF372" i="15"/>
  <c r="AF373" i="15"/>
  <c r="AF374" i="15"/>
  <c r="AF375" i="15"/>
  <c r="AF376" i="15"/>
  <c r="AF377" i="15"/>
  <c r="AF378" i="15"/>
  <c r="AF379" i="15"/>
  <c r="AF380" i="15"/>
  <c r="AF381" i="15"/>
  <c r="AF382" i="15"/>
  <c r="AF383" i="15"/>
  <c r="AF384" i="15"/>
  <c r="AF385" i="15"/>
  <c r="AF386" i="15"/>
  <c r="AF387" i="15"/>
  <c r="AF388" i="15"/>
  <c r="AF389" i="15"/>
  <c r="AF390" i="15"/>
  <c r="AF391" i="15"/>
  <c r="AF392" i="15"/>
  <c r="AF393" i="15"/>
  <c r="AF394" i="15"/>
  <c r="AF395" i="15"/>
  <c r="AF396" i="15"/>
  <c r="AF397" i="15"/>
  <c r="AF398" i="15"/>
  <c r="AF399" i="15"/>
  <c r="AF400" i="15"/>
  <c r="AF401" i="15"/>
  <c r="AF402" i="15"/>
  <c r="AF403" i="15"/>
  <c r="AF404" i="15"/>
  <c r="AF405" i="15"/>
  <c r="AF406" i="15"/>
  <c r="AF407" i="15"/>
  <c r="AF408" i="15"/>
  <c r="AF409" i="15"/>
  <c r="AF410" i="15"/>
  <c r="AF411" i="15"/>
  <c r="AF412" i="15"/>
  <c r="AF413" i="15"/>
  <c r="AF414" i="15"/>
  <c r="AF415" i="15"/>
  <c r="AF416" i="15"/>
  <c r="AF417" i="15"/>
  <c r="AF418" i="15"/>
  <c r="AF419" i="15"/>
  <c r="AF420" i="15"/>
  <c r="AF421" i="15"/>
  <c r="AF422" i="15"/>
  <c r="AF423" i="15"/>
  <c r="AF424" i="15"/>
  <c r="AF425" i="15"/>
  <c r="AF426" i="15"/>
  <c r="AF427" i="15"/>
  <c r="AF428" i="15"/>
  <c r="AF429" i="15"/>
  <c r="AF430" i="15"/>
  <c r="AF431" i="15"/>
  <c r="AF432" i="15"/>
  <c r="AF433" i="15"/>
  <c r="X3" i="15" l="1"/>
  <c r="Y3" i="15"/>
  <c r="Z3" i="15"/>
  <c r="AA3" i="15"/>
  <c r="AB3" i="15"/>
  <c r="AC3" i="15"/>
  <c r="X4" i="15"/>
  <c r="Y4" i="15"/>
  <c r="Z4" i="15"/>
  <c r="AA4" i="15"/>
  <c r="AB4" i="15"/>
  <c r="AC4" i="15"/>
  <c r="X5" i="15"/>
  <c r="Y5" i="15"/>
  <c r="Z5" i="15"/>
  <c r="AA5" i="15"/>
  <c r="AB5" i="15"/>
  <c r="AC5" i="15"/>
  <c r="X6" i="15"/>
  <c r="Y6" i="15"/>
  <c r="Z6" i="15"/>
  <c r="AA6" i="15"/>
  <c r="AB6" i="15"/>
  <c r="AC6" i="15"/>
  <c r="X7" i="15"/>
  <c r="Y7" i="15"/>
  <c r="Z7" i="15"/>
  <c r="AA7" i="15"/>
  <c r="AB7" i="15"/>
  <c r="AC7" i="15"/>
  <c r="X8" i="15"/>
  <c r="Y8" i="15"/>
  <c r="Z8" i="15"/>
  <c r="AA8" i="15"/>
  <c r="AB8" i="15"/>
  <c r="AC8" i="15"/>
  <c r="X9" i="15"/>
  <c r="Y9" i="15"/>
  <c r="Z9" i="15"/>
  <c r="AA9" i="15"/>
  <c r="AB9" i="15"/>
  <c r="AC9" i="15"/>
  <c r="X10" i="15"/>
  <c r="Y10" i="15"/>
  <c r="Z10" i="15"/>
  <c r="AA10" i="15"/>
  <c r="AB10" i="15"/>
  <c r="AC10" i="15"/>
  <c r="X11" i="15"/>
  <c r="Y11" i="15"/>
  <c r="Z11" i="15"/>
  <c r="AA11" i="15"/>
  <c r="AB11" i="15"/>
  <c r="AC11" i="15"/>
  <c r="X12" i="15"/>
  <c r="Y12" i="15"/>
  <c r="Z12" i="15"/>
  <c r="AA12" i="15"/>
  <c r="AB12" i="15"/>
  <c r="AC12" i="15"/>
  <c r="X13" i="15"/>
  <c r="Y13" i="15"/>
  <c r="Z13" i="15"/>
  <c r="AA13" i="15"/>
  <c r="AB13" i="15"/>
  <c r="AC13" i="15"/>
  <c r="X14" i="15"/>
  <c r="Y14" i="15"/>
  <c r="Z14" i="15"/>
  <c r="AA14" i="15"/>
  <c r="AB14" i="15"/>
  <c r="AC14" i="15"/>
  <c r="X15" i="15"/>
  <c r="Y15" i="15"/>
  <c r="Z15" i="15"/>
  <c r="AA15" i="15"/>
  <c r="AB15" i="15"/>
  <c r="AC15" i="15"/>
  <c r="X16" i="15"/>
  <c r="Y16" i="15"/>
  <c r="Z16" i="15"/>
  <c r="AA16" i="15"/>
  <c r="AB16" i="15"/>
  <c r="AC16" i="15"/>
  <c r="X17" i="15"/>
  <c r="Y17" i="15"/>
  <c r="Z17" i="15"/>
  <c r="AA17" i="15"/>
  <c r="AB17" i="15"/>
  <c r="AC17" i="15"/>
  <c r="X18" i="15"/>
  <c r="Y18" i="15"/>
  <c r="Z18" i="15"/>
  <c r="AA18" i="15"/>
  <c r="AB18" i="15"/>
  <c r="AC18" i="15"/>
  <c r="X19" i="15"/>
  <c r="Y19" i="15"/>
  <c r="Z19" i="15"/>
  <c r="AA19" i="15"/>
  <c r="AB19" i="15"/>
  <c r="AC19" i="15"/>
  <c r="X20" i="15"/>
  <c r="Y20" i="15"/>
  <c r="Z20" i="15"/>
  <c r="AA20" i="15"/>
  <c r="AB20" i="15"/>
  <c r="AC20" i="15"/>
  <c r="X21" i="15"/>
  <c r="Y21" i="15"/>
  <c r="Z21" i="15"/>
  <c r="AA21" i="15"/>
  <c r="AB21" i="15"/>
  <c r="AC21" i="15"/>
  <c r="X22" i="15"/>
  <c r="Y22" i="15"/>
  <c r="Z22" i="15"/>
  <c r="AA22" i="15"/>
  <c r="AB22" i="15"/>
  <c r="AC22" i="15"/>
  <c r="X23" i="15"/>
  <c r="Y23" i="15"/>
  <c r="Z23" i="15"/>
  <c r="AA23" i="15"/>
  <c r="AB23" i="15"/>
  <c r="AC23" i="15"/>
  <c r="X24" i="15"/>
  <c r="Y24" i="15"/>
  <c r="Z24" i="15"/>
  <c r="AA24" i="15"/>
  <c r="AB24" i="15"/>
  <c r="AC24" i="15"/>
  <c r="X25" i="15"/>
  <c r="Y25" i="15"/>
  <c r="Z25" i="15"/>
  <c r="AA25" i="15"/>
  <c r="AB25" i="15"/>
  <c r="AC25" i="15"/>
  <c r="X26" i="15"/>
  <c r="Y26" i="15"/>
  <c r="Z26" i="15"/>
  <c r="AA26" i="15"/>
  <c r="AB26" i="15"/>
  <c r="AC26" i="15"/>
  <c r="X27" i="15"/>
  <c r="Y27" i="15"/>
  <c r="Z27" i="15"/>
  <c r="AA27" i="15"/>
  <c r="AB27" i="15"/>
  <c r="AC27" i="15"/>
  <c r="X28" i="15"/>
  <c r="Y28" i="15"/>
  <c r="Z28" i="15"/>
  <c r="AA28" i="15"/>
  <c r="AB28" i="15"/>
  <c r="AC28" i="15"/>
  <c r="X29" i="15"/>
  <c r="Y29" i="15"/>
  <c r="Z29" i="15"/>
  <c r="AA29" i="15"/>
  <c r="AB29" i="15"/>
  <c r="AC29" i="15"/>
  <c r="X30" i="15"/>
  <c r="Y30" i="15"/>
  <c r="Z30" i="15"/>
  <c r="AA30" i="15"/>
  <c r="AB30" i="15"/>
  <c r="AC30" i="15"/>
  <c r="X31" i="15"/>
  <c r="Y31" i="15"/>
  <c r="Z31" i="15"/>
  <c r="AA31" i="15"/>
  <c r="AB31" i="15"/>
  <c r="AC31" i="15"/>
  <c r="X32" i="15"/>
  <c r="Y32" i="15"/>
  <c r="Z32" i="15"/>
  <c r="AA32" i="15"/>
  <c r="AB32" i="15"/>
  <c r="AC32" i="15"/>
  <c r="X33" i="15"/>
  <c r="Y33" i="15"/>
  <c r="Z33" i="15"/>
  <c r="AA33" i="15"/>
  <c r="AB33" i="15"/>
  <c r="AC33" i="15"/>
  <c r="X34" i="15"/>
  <c r="Y34" i="15"/>
  <c r="Z34" i="15"/>
  <c r="AA34" i="15"/>
  <c r="AB34" i="15"/>
  <c r="AC34" i="15"/>
  <c r="X35" i="15"/>
  <c r="Y35" i="15"/>
  <c r="Z35" i="15"/>
  <c r="AA35" i="15"/>
  <c r="AB35" i="15"/>
  <c r="AC35" i="15"/>
  <c r="X36" i="15"/>
  <c r="Y36" i="15"/>
  <c r="Z36" i="15"/>
  <c r="AA36" i="15"/>
  <c r="AB36" i="15"/>
  <c r="AC36" i="15"/>
  <c r="X37" i="15"/>
  <c r="Y37" i="15"/>
  <c r="Z37" i="15"/>
  <c r="AA37" i="15"/>
  <c r="AB37" i="15"/>
  <c r="AC37" i="15"/>
  <c r="X38" i="15"/>
  <c r="Y38" i="15"/>
  <c r="Z38" i="15"/>
  <c r="AA38" i="15"/>
  <c r="AB38" i="15"/>
  <c r="AC38" i="15"/>
  <c r="X39" i="15"/>
  <c r="Y39" i="15"/>
  <c r="Z39" i="15"/>
  <c r="AA39" i="15"/>
  <c r="AB39" i="15"/>
  <c r="AC39" i="15"/>
  <c r="X40" i="15"/>
  <c r="Y40" i="15"/>
  <c r="Z40" i="15"/>
  <c r="AA40" i="15"/>
  <c r="AB40" i="15"/>
  <c r="AC40" i="15"/>
  <c r="X41" i="15"/>
  <c r="Y41" i="15"/>
  <c r="Z41" i="15"/>
  <c r="AA41" i="15"/>
  <c r="AB41" i="15"/>
  <c r="AC41" i="15"/>
  <c r="X42" i="15"/>
  <c r="Y42" i="15"/>
  <c r="Z42" i="15"/>
  <c r="AA42" i="15"/>
  <c r="AB42" i="15"/>
  <c r="AC42" i="15"/>
  <c r="X43" i="15"/>
  <c r="Y43" i="15"/>
  <c r="Z43" i="15"/>
  <c r="AA43" i="15"/>
  <c r="AB43" i="15"/>
  <c r="AC43" i="15"/>
  <c r="X44" i="15"/>
  <c r="Y44" i="15"/>
  <c r="Z44" i="15"/>
  <c r="AA44" i="15"/>
  <c r="AB44" i="15"/>
  <c r="AC44" i="15"/>
  <c r="X45" i="15"/>
  <c r="Y45" i="15"/>
  <c r="Z45" i="15"/>
  <c r="AA45" i="15"/>
  <c r="AB45" i="15"/>
  <c r="AC45" i="15"/>
  <c r="X46" i="15"/>
  <c r="Y46" i="15"/>
  <c r="Z46" i="15"/>
  <c r="AA46" i="15"/>
  <c r="AB46" i="15"/>
  <c r="AC46" i="15"/>
  <c r="X47" i="15"/>
  <c r="Y47" i="15"/>
  <c r="Z47" i="15"/>
  <c r="AA47" i="15"/>
  <c r="AB47" i="15"/>
  <c r="AC47" i="15"/>
  <c r="X48" i="15"/>
  <c r="Y48" i="15"/>
  <c r="Z48" i="15"/>
  <c r="AA48" i="15"/>
  <c r="AB48" i="15"/>
  <c r="AC48" i="15"/>
  <c r="X49" i="15"/>
  <c r="Y49" i="15"/>
  <c r="Z49" i="15"/>
  <c r="AA49" i="15"/>
  <c r="AB49" i="15"/>
  <c r="AC49" i="15"/>
  <c r="X50" i="15"/>
  <c r="Y50" i="15"/>
  <c r="Z50" i="15"/>
  <c r="AA50" i="15"/>
  <c r="AB50" i="15"/>
  <c r="AC50" i="15"/>
  <c r="X51" i="15"/>
  <c r="Y51" i="15"/>
  <c r="Z51" i="15"/>
  <c r="AA51" i="15"/>
  <c r="AB51" i="15"/>
  <c r="AC51" i="15"/>
  <c r="X52" i="15"/>
  <c r="Y52" i="15"/>
  <c r="Z52" i="15"/>
  <c r="AA52" i="15"/>
  <c r="AB52" i="15"/>
  <c r="AC52" i="15"/>
  <c r="X53" i="15"/>
  <c r="Y53" i="15"/>
  <c r="Z53" i="15"/>
  <c r="AA53" i="15"/>
  <c r="AB53" i="15"/>
  <c r="AC53" i="15"/>
  <c r="X54" i="15"/>
  <c r="Y54" i="15"/>
  <c r="Z54" i="15"/>
  <c r="AA54" i="15"/>
  <c r="AB54" i="15"/>
  <c r="AC54" i="15"/>
  <c r="X55" i="15"/>
  <c r="Y55" i="15"/>
  <c r="Z55" i="15"/>
  <c r="AA55" i="15"/>
  <c r="AB55" i="15"/>
  <c r="AC55" i="15"/>
  <c r="X56" i="15"/>
  <c r="Y56" i="15"/>
  <c r="Z56" i="15"/>
  <c r="AA56" i="15"/>
  <c r="AB56" i="15"/>
  <c r="AC56" i="15"/>
  <c r="X57" i="15"/>
  <c r="Y57" i="15"/>
  <c r="Z57" i="15"/>
  <c r="AA57" i="15"/>
  <c r="AB57" i="15"/>
  <c r="AC57" i="15"/>
  <c r="X58" i="15"/>
  <c r="Y58" i="15"/>
  <c r="Z58" i="15"/>
  <c r="AA58" i="15"/>
  <c r="AB58" i="15"/>
  <c r="AC58" i="15"/>
  <c r="X59" i="15"/>
  <c r="Y59" i="15"/>
  <c r="Z59" i="15"/>
  <c r="AA59" i="15"/>
  <c r="AB59" i="15"/>
  <c r="AC59" i="15"/>
  <c r="X60" i="15"/>
  <c r="Y60" i="15"/>
  <c r="Z60" i="15"/>
  <c r="AA60" i="15"/>
  <c r="AB60" i="15"/>
  <c r="AC60" i="15"/>
  <c r="X61" i="15"/>
  <c r="Y61" i="15"/>
  <c r="Z61" i="15"/>
  <c r="AA61" i="15"/>
  <c r="AB61" i="15"/>
  <c r="AC61" i="15"/>
  <c r="X62" i="15"/>
  <c r="Y62" i="15"/>
  <c r="Z62" i="15"/>
  <c r="AA62" i="15"/>
  <c r="AB62" i="15"/>
  <c r="AC62" i="15"/>
  <c r="X63" i="15"/>
  <c r="Y63" i="15"/>
  <c r="Z63" i="15"/>
  <c r="AA63" i="15"/>
  <c r="AB63" i="15"/>
  <c r="AC63" i="15"/>
  <c r="X64" i="15"/>
  <c r="Y64" i="15"/>
  <c r="Z64" i="15"/>
  <c r="AA64" i="15"/>
  <c r="AB64" i="15"/>
  <c r="AC64" i="15"/>
  <c r="X65" i="15"/>
  <c r="Y65" i="15"/>
  <c r="Z65" i="15"/>
  <c r="AA65" i="15"/>
  <c r="AB65" i="15"/>
  <c r="AC65" i="15"/>
  <c r="X66" i="15"/>
  <c r="Y66" i="15"/>
  <c r="Z66" i="15"/>
  <c r="AA66" i="15"/>
  <c r="AB66" i="15"/>
  <c r="AC66" i="15"/>
  <c r="X67" i="15"/>
  <c r="Y67" i="15"/>
  <c r="Z67" i="15"/>
  <c r="AA67" i="15"/>
  <c r="AB67" i="15"/>
  <c r="AC67" i="15"/>
  <c r="X68" i="15"/>
  <c r="Y68" i="15"/>
  <c r="Z68" i="15"/>
  <c r="AA68" i="15"/>
  <c r="AB68" i="15"/>
  <c r="AC68" i="15"/>
  <c r="X69" i="15"/>
  <c r="Y69" i="15"/>
  <c r="Z69" i="15"/>
  <c r="AA69" i="15"/>
  <c r="AB69" i="15"/>
  <c r="AC69" i="15"/>
  <c r="X70" i="15"/>
  <c r="Y70" i="15"/>
  <c r="Z70" i="15"/>
  <c r="AA70" i="15"/>
  <c r="AB70" i="15"/>
  <c r="AC70" i="15"/>
  <c r="X71" i="15"/>
  <c r="Y71" i="15"/>
  <c r="Z71" i="15"/>
  <c r="AA71" i="15"/>
  <c r="AB71" i="15"/>
  <c r="AC71" i="15"/>
  <c r="X72" i="15"/>
  <c r="Y72" i="15"/>
  <c r="Z72" i="15"/>
  <c r="AA72" i="15"/>
  <c r="AB72" i="15"/>
  <c r="AC72" i="15"/>
  <c r="X73" i="15"/>
  <c r="Y73" i="15"/>
  <c r="Z73" i="15"/>
  <c r="AA73" i="15"/>
  <c r="AB73" i="15"/>
  <c r="AC73" i="15"/>
  <c r="X74" i="15"/>
  <c r="Y74" i="15"/>
  <c r="Z74" i="15"/>
  <c r="AA74" i="15"/>
  <c r="AB74" i="15"/>
  <c r="AC74" i="15"/>
  <c r="X75" i="15"/>
  <c r="Y75" i="15"/>
  <c r="Z75" i="15"/>
  <c r="AA75" i="15"/>
  <c r="AB75" i="15"/>
  <c r="AC75" i="15"/>
  <c r="X76" i="15"/>
  <c r="Y76" i="15"/>
  <c r="Z76" i="15"/>
  <c r="AA76" i="15"/>
  <c r="AB76" i="15"/>
  <c r="AC76" i="15"/>
  <c r="X77" i="15"/>
  <c r="Y77" i="15"/>
  <c r="Z77" i="15"/>
  <c r="AA77" i="15"/>
  <c r="AB77" i="15"/>
  <c r="AC77" i="15"/>
  <c r="X78" i="15"/>
  <c r="Y78" i="15"/>
  <c r="Z78" i="15"/>
  <c r="AA78" i="15"/>
  <c r="AB78" i="15"/>
  <c r="AC78" i="15"/>
  <c r="X79" i="15"/>
  <c r="Y79" i="15"/>
  <c r="Z79" i="15"/>
  <c r="AA79" i="15"/>
  <c r="AB79" i="15"/>
  <c r="AC79" i="15"/>
  <c r="X80" i="15"/>
  <c r="Y80" i="15"/>
  <c r="Z80" i="15"/>
  <c r="AA80" i="15"/>
  <c r="AB80" i="15"/>
  <c r="AC80" i="15"/>
  <c r="X81" i="15"/>
  <c r="Y81" i="15"/>
  <c r="Z81" i="15"/>
  <c r="AA81" i="15"/>
  <c r="AB81" i="15"/>
  <c r="AC81" i="15"/>
  <c r="X82" i="15"/>
  <c r="Y82" i="15"/>
  <c r="Z82" i="15"/>
  <c r="AA82" i="15"/>
  <c r="AB82" i="15"/>
  <c r="AC82" i="15"/>
  <c r="X83" i="15"/>
  <c r="Y83" i="15"/>
  <c r="Z83" i="15"/>
  <c r="AA83" i="15"/>
  <c r="AB83" i="15"/>
  <c r="AC83" i="15"/>
  <c r="X84" i="15"/>
  <c r="Y84" i="15"/>
  <c r="Z84" i="15"/>
  <c r="AA84" i="15"/>
  <c r="AB84" i="15"/>
  <c r="AC84" i="15"/>
  <c r="X85" i="15"/>
  <c r="Y85" i="15"/>
  <c r="Z85" i="15"/>
  <c r="AA85" i="15"/>
  <c r="AB85" i="15"/>
  <c r="AC85" i="15"/>
  <c r="X86" i="15"/>
  <c r="Y86" i="15"/>
  <c r="Z86" i="15"/>
  <c r="AA86" i="15"/>
  <c r="AB86" i="15"/>
  <c r="AC86" i="15"/>
  <c r="X87" i="15"/>
  <c r="Y87" i="15"/>
  <c r="Z87" i="15"/>
  <c r="AA87" i="15"/>
  <c r="AB87" i="15"/>
  <c r="AC87" i="15"/>
  <c r="X88" i="15"/>
  <c r="Y88" i="15"/>
  <c r="Z88" i="15"/>
  <c r="AA88" i="15"/>
  <c r="AB88" i="15"/>
  <c r="AC88" i="15"/>
  <c r="X89" i="15"/>
  <c r="Y89" i="15"/>
  <c r="Z89" i="15"/>
  <c r="AA89" i="15"/>
  <c r="AB89" i="15"/>
  <c r="AC89" i="15"/>
  <c r="X90" i="15"/>
  <c r="Y90" i="15"/>
  <c r="Z90" i="15"/>
  <c r="AA90" i="15"/>
  <c r="AB90" i="15"/>
  <c r="AC90" i="15"/>
  <c r="X91" i="15"/>
  <c r="Y91" i="15"/>
  <c r="Z91" i="15"/>
  <c r="AA91" i="15"/>
  <c r="AB91" i="15"/>
  <c r="AC91" i="15"/>
  <c r="X92" i="15"/>
  <c r="Y92" i="15"/>
  <c r="Z92" i="15"/>
  <c r="AA92" i="15"/>
  <c r="AB92" i="15"/>
  <c r="AC92" i="15"/>
  <c r="X93" i="15"/>
  <c r="Y93" i="15"/>
  <c r="Z93" i="15"/>
  <c r="AA93" i="15"/>
  <c r="AB93" i="15"/>
  <c r="AC93" i="15"/>
  <c r="X94" i="15"/>
  <c r="Y94" i="15"/>
  <c r="Z94" i="15"/>
  <c r="AA94" i="15"/>
  <c r="AB94" i="15"/>
  <c r="AC94" i="15"/>
  <c r="X95" i="15"/>
  <c r="Y95" i="15"/>
  <c r="Z95" i="15"/>
  <c r="AA95" i="15"/>
  <c r="AB95" i="15"/>
  <c r="AC95" i="15"/>
  <c r="X96" i="15"/>
  <c r="Y96" i="15"/>
  <c r="Z96" i="15"/>
  <c r="AA96" i="15"/>
  <c r="AB96" i="15"/>
  <c r="AC96" i="15"/>
  <c r="X97" i="15"/>
  <c r="Y97" i="15"/>
  <c r="Z97" i="15"/>
  <c r="AA97" i="15"/>
  <c r="AB97" i="15"/>
  <c r="AC97" i="15"/>
  <c r="X98" i="15"/>
  <c r="Y98" i="15"/>
  <c r="Z98" i="15"/>
  <c r="AA98" i="15"/>
  <c r="AB98" i="15"/>
  <c r="AC98" i="15"/>
  <c r="X99" i="15"/>
  <c r="Y99" i="15"/>
  <c r="Z99" i="15"/>
  <c r="AA99" i="15"/>
  <c r="AB99" i="15"/>
  <c r="AC99" i="15"/>
  <c r="X100" i="15"/>
  <c r="Y100" i="15"/>
  <c r="Z100" i="15"/>
  <c r="AA100" i="15"/>
  <c r="AB100" i="15"/>
  <c r="AC100" i="15"/>
  <c r="X101" i="15"/>
  <c r="Y101" i="15"/>
  <c r="Z101" i="15"/>
  <c r="AA101" i="15"/>
  <c r="AB101" i="15"/>
  <c r="AC101" i="15"/>
  <c r="X102" i="15"/>
  <c r="Y102" i="15"/>
  <c r="Z102" i="15"/>
  <c r="AA102" i="15"/>
  <c r="AB102" i="15"/>
  <c r="AC102" i="15"/>
  <c r="X103" i="15"/>
  <c r="Y103" i="15"/>
  <c r="Z103" i="15"/>
  <c r="AA103" i="15"/>
  <c r="AB103" i="15"/>
  <c r="AC103" i="15"/>
  <c r="X104" i="15"/>
  <c r="Y104" i="15"/>
  <c r="Z104" i="15"/>
  <c r="AA104" i="15"/>
  <c r="AB104" i="15"/>
  <c r="AC104" i="15"/>
  <c r="X105" i="15"/>
  <c r="Y105" i="15"/>
  <c r="Z105" i="15"/>
  <c r="AA105" i="15"/>
  <c r="AB105" i="15"/>
  <c r="AC105" i="15"/>
  <c r="X106" i="15"/>
  <c r="Y106" i="15"/>
  <c r="Z106" i="15"/>
  <c r="AA106" i="15"/>
  <c r="AB106" i="15"/>
  <c r="AC106" i="15"/>
  <c r="X107" i="15"/>
  <c r="Y107" i="15"/>
  <c r="Z107" i="15"/>
  <c r="AA107" i="15"/>
  <c r="AB107" i="15"/>
  <c r="AC107" i="15"/>
  <c r="X108" i="15"/>
  <c r="Y108" i="15"/>
  <c r="Z108" i="15"/>
  <c r="AA108" i="15"/>
  <c r="AB108" i="15"/>
  <c r="AC108" i="15"/>
  <c r="X109" i="15"/>
  <c r="Y109" i="15"/>
  <c r="Z109" i="15"/>
  <c r="AA109" i="15"/>
  <c r="AB109" i="15"/>
  <c r="AC109" i="15"/>
  <c r="X110" i="15"/>
  <c r="Y110" i="15"/>
  <c r="Z110" i="15"/>
  <c r="AA110" i="15"/>
  <c r="AB110" i="15"/>
  <c r="AC110" i="15"/>
  <c r="X111" i="15"/>
  <c r="Y111" i="15"/>
  <c r="Z111" i="15"/>
  <c r="AA111" i="15"/>
  <c r="AB111" i="15"/>
  <c r="AC111" i="15"/>
  <c r="X112" i="15"/>
  <c r="Y112" i="15"/>
  <c r="Z112" i="15"/>
  <c r="AA112" i="15"/>
  <c r="AB112" i="15"/>
  <c r="AC112" i="15"/>
  <c r="X113" i="15"/>
  <c r="Y113" i="15"/>
  <c r="Z113" i="15"/>
  <c r="AA113" i="15"/>
  <c r="AB113" i="15"/>
  <c r="AC113" i="15"/>
  <c r="X114" i="15"/>
  <c r="Y114" i="15"/>
  <c r="Z114" i="15"/>
  <c r="AA114" i="15"/>
  <c r="AB114" i="15"/>
  <c r="AC114" i="15"/>
  <c r="X115" i="15"/>
  <c r="Y115" i="15"/>
  <c r="Z115" i="15"/>
  <c r="AA115" i="15"/>
  <c r="AB115" i="15"/>
  <c r="AC115" i="15"/>
  <c r="X116" i="15"/>
  <c r="Y116" i="15"/>
  <c r="Z116" i="15"/>
  <c r="AA116" i="15"/>
  <c r="AB116" i="15"/>
  <c r="AC116" i="15"/>
  <c r="X117" i="15"/>
  <c r="Y117" i="15"/>
  <c r="Z117" i="15"/>
  <c r="AA117" i="15"/>
  <c r="AB117" i="15"/>
  <c r="AC117" i="15"/>
  <c r="X118" i="15"/>
  <c r="Y118" i="15"/>
  <c r="Z118" i="15"/>
  <c r="AA118" i="15"/>
  <c r="AB118" i="15"/>
  <c r="AC118" i="15"/>
  <c r="X119" i="15"/>
  <c r="Y119" i="15"/>
  <c r="Z119" i="15"/>
  <c r="AA119" i="15"/>
  <c r="AB119" i="15"/>
  <c r="AC119" i="15"/>
  <c r="X120" i="15"/>
  <c r="Y120" i="15"/>
  <c r="Z120" i="15"/>
  <c r="AA120" i="15"/>
  <c r="AB120" i="15"/>
  <c r="AC120" i="15"/>
  <c r="X121" i="15"/>
  <c r="Y121" i="15"/>
  <c r="Z121" i="15"/>
  <c r="AA121" i="15"/>
  <c r="AB121" i="15"/>
  <c r="AC121" i="15"/>
  <c r="X122" i="15"/>
  <c r="Y122" i="15"/>
  <c r="Z122" i="15"/>
  <c r="AA122" i="15"/>
  <c r="AB122" i="15"/>
  <c r="AC122" i="15"/>
  <c r="X123" i="15"/>
  <c r="Y123" i="15"/>
  <c r="Z123" i="15"/>
  <c r="AA123" i="15"/>
  <c r="AB123" i="15"/>
  <c r="AC123" i="15"/>
  <c r="X124" i="15"/>
  <c r="Y124" i="15"/>
  <c r="Z124" i="15"/>
  <c r="AA124" i="15"/>
  <c r="AB124" i="15"/>
  <c r="AC124" i="15"/>
  <c r="X125" i="15"/>
  <c r="Y125" i="15"/>
  <c r="Z125" i="15"/>
  <c r="AA125" i="15"/>
  <c r="AB125" i="15"/>
  <c r="AC125" i="15"/>
  <c r="X126" i="15"/>
  <c r="Y126" i="15"/>
  <c r="Z126" i="15"/>
  <c r="AA126" i="15"/>
  <c r="AB126" i="15"/>
  <c r="AC126" i="15"/>
  <c r="X127" i="15"/>
  <c r="Y127" i="15"/>
  <c r="Z127" i="15"/>
  <c r="AA127" i="15"/>
  <c r="AB127" i="15"/>
  <c r="AC127" i="15"/>
  <c r="X128" i="15"/>
  <c r="Y128" i="15"/>
  <c r="Z128" i="15"/>
  <c r="AA128" i="15"/>
  <c r="AB128" i="15"/>
  <c r="AC128" i="15"/>
  <c r="X129" i="15"/>
  <c r="Y129" i="15"/>
  <c r="Z129" i="15"/>
  <c r="AA129" i="15"/>
  <c r="AB129" i="15"/>
  <c r="AC129" i="15"/>
  <c r="X130" i="15"/>
  <c r="Y130" i="15"/>
  <c r="Z130" i="15"/>
  <c r="AA130" i="15"/>
  <c r="AB130" i="15"/>
  <c r="AC130" i="15"/>
  <c r="X131" i="15"/>
  <c r="Y131" i="15"/>
  <c r="Z131" i="15"/>
  <c r="AA131" i="15"/>
  <c r="AB131" i="15"/>
  <c r="AC131" i="15"/>
  <c r="X132" i="15"/>
  <c r="Y132" i="15"/>
  <c r="Z132" i="15"/>
  <c r="AA132" i="15"/>
  <c r="AB132" i="15"/>
  <c r="AC132" i="15"/>
  <c r="X133" i="15"/>
  <c r="Y133" i="15"/>
  <c r="Z133" i="15"/>
  <c r="AA133" i="15"/>
  <c r="AB133" i="15"/>
  <c r="AC133" i="15"/>
  <c r="X134" i="15"/>
  <c r="Y134" i="15"/>
  <c r="Z134" i="15"/>
  <c r="AA134" i="15"/>
  <c r="AB134" i="15"/>
  <c r="AC134" i="15"/>
  <c r="X135" i="15"/>
  <c r="Y135" i="15"/>
  <c r="Z135" i="15"/>
  <c r="AA135" i="15"/>
  <c r="AB135" i="15"/>
  <c r="AC135" i="15"/>
  <c r="X136" i="15"/>
  <c r="Y136" i="15"/>
  <c r="Z136" i="15"/>
  <c r="AA136" i="15"/>
  <c r="AB136" i="15"/>
  <c r="AC136" i="15"/>
  <c r="X137" i="15"/>
  <c r="Y137" i="15"/>
  <c r="Z137" i="15"/>
  <c r="AA137" i="15"/>
  <c r="AB137" i="15"/>
  <c r="AC137" i="15"/>
  <c r="X138" i="15"/>
  <c r="Y138" i="15"/>
  <c r="Z138" i="15"/>
  <c r="AA138" i="15"/>
  <c r="AB138" i="15"/>
  <c r="AC138" i="15"/>
  <c r="X139" i="15"/>
  <c r="Y139" i="15"/>
  <c r="Z139" i="15"/>
  <c r="AA139" i="15"/>
  <c r="AB139" i="15"/>
  <c r="AC139" i="15"/>
  <c r="X140" i="15"/>
  <c r="Y140" i="15"/>
  <c r="Z140" i="15"/>
  <c r="AA140" i="15"/>
  <c r="AB140" i="15"/>
  <c r="AC140" i="15"/>
  <c r="X141" i="15"/>
  <c r="Y141" i="15"/>
  <c r="Z141" i="15"/>
  <c r="AA141" i="15"/>
  <c r="AB141" i="15"/>
  <c r="AC141" i="15"/>
  <c r="X142" i="15"/>
  <c r="Y142" i="15"/>
  <c r="Z142" i="15"/>
  <c r="AA142" i="15"/>
  <c r="AB142" i="15"/>
  <c r="AC142" i="15"/>
  <c r="X143" i="15"/>
  <c r="Y143" i="15"/>
  <c r="Z143" i="15"/>
  <c r="AA143" i="15"/>
  <c r="AB143" i="15"/>
  <c r="AC143" i="15"/>
  <c r="X144" i="15"/>
  <c r="Y144" i="15"/>
  <c r="Z144" i="15"/>
  <c r="AA144" i="15"/>
  <c r="AB144" i="15"/>
  <c r="AC144" i="15"/>
  <c r="X145" i="15"/>
  <c r="Y145" i="15"/>
  <c r="Z145" i="15"/>
  <c r="AA145" i="15"/>
  <c r="AB145" i="15"/>
  <c r="AC145" i="15"/>
  <c r="X146" i="15"/>
  <c r="Y146" i="15"/>
  <c r="Z146" i="15"/>
  <c r="AA146" i="15"/>
  <c r="AB146" i="15"/>
  <c r="AC146" i="15"/>
  <c r="X147" i="15"/>
  <c r="Y147" i="15"/>
  <c r="Z147" i="15"/>
  <c r="AA147" i="15"/>
  <c r="AB147" i="15"/>
  <c r="AC147" i="15"/>
  <c r="X148" i="15"/>
  <c r="Y148" i="15"/>
  <c r="Z148" i="15"/>
  <c r="AA148" i="15"/>
  <c r="AB148" i="15"/>
  <c r="AC148" i="15"/>
  <c r="X149" i="15"/>
  <c r="Y149" i="15"/>
  <c r="Z149" i="15"/>
  <c r="AA149" i="15"/>
  <c r="AB149" i="15"/>
  <c r="AC149" i="15"/>
  <c r="X150" i="15"/>
  <c r="Y150" i="15"/>
  <c r="Z150" i="15"/>
  <c r="AA150" i="15"/>
  <c r="AB150" i="15"/>
  <c r="AC150" i="15"/>
  <c r="X151" i="15"/>
  <c r="Y151" i="15"/>
  <c r="Z151" i="15"/>
  <c r="AA151" i="15"/>
  <c r="AB151" i="15"/>
  <c r="AC151" i="15"/>
  <c r="X152" i="15"/>
  <c r="Y152" i="15"/>
  <c r="Z152" i="15"/>
  <c r="AA152" i="15"/>
  <c r="AB152" i="15"/>
  <c r="AC152" i="15"/>
  <c r="X153" i="15"/>
  <c r="Y153" i="15"/>
  <c r="Z153" i="15"/>
  <c r="AA153" i="15"/>
  <c r="AB153" i="15"/>
  <c r="AC153" i="15"/>
  <c r="X154" i="15"/>
  <c r="Y154" i="15"/>
  <c r="Z154" i="15"/>
  <c r="AA154" i="15"/>
  <c r="AB154" i="15"/>
  <c r="AC154" i="15"/>
  <c r="X155" i="15"/>
  <c r="Y155" i="15"/>
  <c r="Z155" i="15"/>
  <c r="AA155" i="15"/>
  <c r="AB155" i="15"/>
  <c r="AC155" i="15"/>
  <c r="X156" i="15"/>
  <c r="Y156" i="15"/>
  <c r="Z156" i="15"/>
  <c r="AA156" i="15"/>
  <c r="AB156" i="15"/>
  <c r="AC156" i="15"/>
  <c r="X157" i="15"/>
  <c r="Y157" i="15"/>
  <c r="Z157" i="15"/>
  <c r="AA157" i="15"/>
  <c r="AB157" i="15"/>
  <c r="AC157" i="15"/>
  <c r="X158" i="15"/>
  <c r="Y158" i="15"/>
  <c r="Z158" i="15"/>
  <c r="AA158" i="15"/>
  <c r="AB158" i="15"/>
  <c r="AC158" i="15"/>
  <c r="X159" i="15"/>
  <c r="Y159" i="15"/>
  <c r="Z159" i="15"/>
  <c r="AA159" i="15"/>
  <c r="AB159" i="15"/>
  <c r="AC159" i="15"/>
  <c r="X160" i="15"/>
  <c r="Y160" i="15"/>
  <c r="Z160" i="15"/>
  <c r="AA160" i="15"/>
  <c r="AB160" i="15"/>
  <c r="AC160" i="15"/>
  <c r="X161" i="15"/>
  <c r="Y161" i="15"/>
  <c r="Z161" i="15"/>
  <c r="AA161" i="15"/>
  <c r="AB161" i="15"/>
  <c r="AC161" i="15"/>
  <c r="X162" i="15"/>
  <c r="Y162" i="15"/>
  <c r="Z162" i="15"/>
  <c r="AA162" i="15"/>
  <c r="AB162" i="15"/>
  <c r="AC162" i="15"/>
  <c r="X163" i="15"/>
  <c r="Y163" i="15"/>
  <c r="Z163" i="15"/>
  <c r="AA163" i="15"/>
  <c r="AB163" i="15"/>
  <c r="AC163" i="15"/>
  <c r="X164" i="15"/>
  <c r="Y164" i="15"/>
  <c r="Z164" i="15"/>
  <c r="AA164" i="15"/>
  <c r="AB164" i="15"/>
  <c r="AC164" i="15"/>
  <c r="X165" i="15"/>
  <c r="Y165" i="15"/>
  <c r="Z165" i="15"/>
  <c r="AA165" i="15"/>
  <c r="AB165" i="15"/>
  <c r="AC165" i="15"/>
  <c r="X166" i="15"/>
  <c r="Y166" i="15"/>
  <c r="Z166" i="15"/>
  <c r="AA166" i="15"/>
  <c r="AB166" i="15"/>
  <c r="AC166" i="15"/>
  <c r="X167" i="15"/>
  <c r="Y167" i="15"/>
  <c r="Z167" i="15"/>
  <c r="AA167" i="15"/>
  <c r="AB167" i="15"/>
  <c r="AC167" i="15"/>
  <c r="X168" i="15"/>
  <c r="Y168" i="15"/>
  <c r="Z168" i="15"/>
  <c r="AA168" i="15"/>
  <c r="AB168" i="15"/>
  <c r="AC168" i="15"/>
  <c r="X169" i="15"/>
  <c r="Y169" i="15"/>
  <c r="Z169" i="15"/>
  <c r="AA169" i="15"/>
  <c r="AB169" i="15"/>
  <c r="AC169" i="15"/>
  <c r="X170" i="15"/>
  <c r="Y170" i="15"/>
  <c r="Z170" i="15"/>
  <c r="AA170" i="15"/>
  <c r="AB170" i="15"/>
  <c r="AC170" i="15"/>
  <c r="X171" i="15"/>
  <c r="Y171" i="15"/>
  <c r="Z171" i="15"/>
  <c r="AA171" i="15"/>
  <c r="AB171" i="15"/>
  <c r="AC171" i="15"/>
  <c r="X172" i="15"/>
  <c r="Y172" i="15"/>
  <c r="Z172" i="15"/>
  <c r="AA172" i="15"/>
  <c r="AB172" i="15"/>
  <c r="AC172" i="15"/>
  <c r="X173" i="15"/>
  <c r="Y173" i="15"/>
  <c r="Z173" i="15"/>
  <c r="AA173" i="15"/>
  <c r="AB173" i="15"/>
  <c r="AC173" i="15"/>
  <c r="X174" i="15"/>
  <c r="Y174" i="15"/>
  <c r="Z174" i="15"/>
  <c r="AA174" i="15"/>
  <c r="AB174" i="15"/>
  <c r="AC174" i="15"/>
  <c r="X175" i="15"/>
  <c r="Y175" i="15"/>
  <c r="Z175" i="15"/>
  <c r="AA175" i="15"/>
  <c r="AB175" i="15"/>
  <c r="AC175" i="15"/>
  <c r="X176" i="15"/>
  <c r="Y176" i="15"/>
  <c r="Z176" i="15"/>
  <c r="AA176" i="15"/>
  <c r="AB176" i="15"/>
  <c r="AC176" i="15"/>
  <c r="X177" i="15"/>
  <c r="Y177" i="15"/>
  <c r="Z177" i="15"/>
  <c r="AA177" i="15"/>
  <c r="AB177" i="15"/>
  <c r="AC177" i="15"/>
  <c r="X178" i="15"/>
  <c r="Y178" i="15"/>
  <c r="Z178" i="15"/>
  <c r="AA178" i="15"/>
  <c r="AB178" i="15"/>
  <c r="AC178" i="15"/>
  <c r="X179" i="15"/>
  <c r="Y179" i="15"/>
  <c r="Z179" i="15"/>
  <c r="AA179" i="15"/>
  <c r="AB179" i="15"/>
  <c r="AC179" i="15"/>
  <c r="X180" i="15"/>
  <c r="Y180" i="15"/>
  <c r="Z180" i="15"/>
  <c r="AA180" i="15"/>
  <c r="AB180" i="15"/>
  <c r="AC180" i="15"/>
  <c r="X181" i="15"/>
  <c r="Y181" i="15"/>
  <c r="Z181" i="15"/>
  <c r="AA181" i="15"/>
  <c r="AB181" i="15"/>
  <c r="AC181" i="15"/>
  <c r="X182" i="15"/>
  <c r="Y182" i="15"/>
  <c r="Z182" i="15"/>
  <c r="AA182" i="15"/>
  <c r="AB182" i="15"/>
  <c r="AC182" i="15"/>
  <c r="X183" i="15"/>
  <c r="Y183" i="15"/>
  <c r="Z183" i="15"/>
  <c r="AA183" i="15"/>
  <c r="AB183" i="15"/>
  <c r="AC183" i="15"/>
  <c r="X184" i="15"/>
  <c r="Y184" i="15"/>
  <c r="Z184" i="15"/>
  <c r="AA184" i="15"/>
  <c r="AB184" i="15"/>
  <c r="AC184" i="15"/>
  <c r="X185" i="15"/>
  <c r="Y185" i="15"/>
  <c r="Z185" i="15"/>
  <c r="AA185" i="15"/>
  <c r="AB185" i="15"/>
  <c r="AC185" i="15"/>
  <c r="X186" i="15"/>
  <c r="Y186" i="15"/>
  <c r="Z186" i="15"/>
  <c r="AA186" i="15"/>
  <c r="AB186" i="15"/>
  <c r="AC186" i="15"/>
  <c r="X187" i="15"/>
  <c r="Y187" i="15"/>
  <c r="Z187" i="15"/>
  <c r="AA187" i="15"/>
  <c r="AB187" i="15"/>
  <c r="AC187" i="15"/>
  <c r="X188" i="15"/>
  <c r="Y188" i="15"/>
  <c r="Z188" i="15"/>
  <c r="AA188" i="15"/>
  <c r="AB188" i="15"/>
  <c r="AC188" i="15"/>
  <c r="X189" i="15"/>
  <c r="Y189" i="15"/>
  <c r="Z189" i="15"/>
  <c r="AA189" i="15"/>
  <c r="AB189" i="15"/>
  <c r="AC189" i="15"/>
  <c r="X190" i="15"/>
  <c r="Y190" i="15"/>
  <c r="Z190" i="15"/>
  <c r="AA190" i="15"/>
  <c r="AB190" i="15"/>
  <c r="AC190" i="15"/>
  <c r="X191" i="15"/>
  <c r="Y191" i="15"/>
  <c r="Z191" i="15"/>
  <c r="AA191" i="15"/>
  <c r="AB191" i="15"/>
  <c r="AC191" i="15"/>
  <c r="X192" i="15"/>
  <c r="Y192" i="15"/>
  <c r="Z192" i="15"/>
  <c r="AA192" i="15"/>
  <c r="AB192" i="15"/>
  <c r="AC192" i="15"/>
  <c r="X193" i="15"/>
  <c r="Y193" i="15"/>
  <c r="Z193" i="15"/>
  <c r="AA193" i="15"/>
  <c r="AB193" i="15"/>
  <c r="AC193" i="15"/>
  <c r="X194" i="15"/>
  <c r="Y194" i="15"/>
  <c r="Z194" i="15"/>
  <c r="AA194" i="15"/>
  <c r="AB194" i="15"/>
  <c r="AC194" i="15"/>
  <c r="X195" i="15"/>
  <c r="Y195" i="15"/>
  <c r="Z195" i="15"/>
  <c r="AA195" i="15"/>
  <c r="AB195" i="15"/>
  <c r="AC195" i="15"/>
  <c r="X196" i="15"/>
  <c r="Y196" i="15"/>
  <c r="Z196" i="15"/>
  <c r="AA196" i="15"/>
  <c r="AB196" i="15"/>
  <c r="AC196" i="15"/>
  <c r="X197" i="15"/>
  <c r="Y197" i="15"/>
  <c r="Z197" i="15"/>
  <c r="AA197" i="15"/>
  <c r="AB197" i="15"/>
  <c r="AC197" i="15"/>
  <c r="X198" i="15"/>
  <c r="Y198" i="15"/>
  <c r="Z198" i="15"/>
  <c r="AA198" i="15"/>
  <c r="AB198" i="15"/>
  <c r="AC198" i="15"/>
  <c r="X199" i="15"/>
  <c r="Y199" i="15"/>
  <c r="Z199" i="15"/>
  <c r="AA199" i="15"/>
  <c r="AB199" i="15"/>
  <c r="AC199" i="15"/>
  <c r="X200" i="15"/>
  <c r="Y200" i="15"/>
  <c r="Z200" i="15"/>
  <c r="AA200" i="15"/>
  <c r="AB200" i="15"/>
  <c r="AC200" i="15"/>
  <c r="X201" i="15"/>
  <c r="Y201" i="15"/>
  <c r="Z201" i="15"/>
  <c r="AA201" i="15"/>
  <c r="AB201" i="15"/>
  <c r="AC201" i="15"/>
  <c r="X202" i="15"/>
  <c r="Y202" i="15"/>
  <c r="Z202" i="15"/>
  <c r="AA202" i="15"/>
  <c r="AB202" i="15"/>
  <c r="AC202" i="15"/>
  <c r="X203" i="15"/>
  <c r="Y203" i="15"/>
  <c r="Z203" i="15"/>
  <c r="AA203" i="15"/>
  <c r="AB203" i="15"/>
  <c r="AC203" i="15"/>
  <c r="X204" i="15"/>
  <c r="Y204" i="15"/>
  <c r="Z204" i="15"/>
  <c r="AA204" i="15"/>
  <c r="AB204" i="15"/>
  <c r="AC204" i="15"/>
  <c r="X205" i="15"/>
  <c r="Y205" i="15"/>
  <c r="Z205" i="15"/>
  <c r="AA205" i="15"/>
  <c r="AB205" i="15"/>
  <c r="AC205" i="15"/>
  <c r="X206" i="15"/>
  <c r="Y206" i="15"/>
  <c r="Z206" i="15"/>
  <c r="AA206" i="15"/>
  <c r="AB206" i="15"/>
  <c r="AC206" i="15"/>
  <c r="X207" i="15"/>
  <c r="Y207" i="15"/>
  <c r="Z207" i="15"/>
  <c r="AA207" i="15"/>
  <c r="AB207" i="15"/>
  <c r="AC207" i="15"/>
  <c r="X208" i="15"/>
  <c r="Y208" i="15"/>
  <c r="Z208" i="15"/>
  <c r="AA208" i="15"/>
  <c r="AB208" i="15"/>
  <c r="AC208" i="15"/>
  <c r="X209" i="15"/>
  <c r="Y209" i="15"/>
  <c r="Z209" i="15"/>
  <c r="AA209" i="15"/>
  <c r="AB209" i="15"/>
  <c r="AC209" i="15"/>
  <c r="X210" i="15"/>
  <c r="Y210" i="15"/>
  <c r="Z210" i="15"/>
  <c r="AA210" i="15"/>
  <c r="AB210" i="15"/>
  <c r="AC210" i="15"/>
  <c r="X211" i="15"/>
  <c r="Y211" i="15"/>
  <c r="Z211" i="15"/>
  <c r="AA211" i="15"/>
  <c r="AB211" i="15"/>
  <c r="AC211" i="15"/>
  <c r="X212" i="15"/>
  <c r="Y212" i="15"/>
  <c r="Z212" i="15"/>
  <c r="AA212" i="15"/>
  <c r="AB212" i="15"/>
  <c r="AC212" i="15"/>
  <c r="X213" i="15"/>
  <c r="Y213" i="15"/>
  <c r="Z213" i="15"/>
  <c r="AA213" i="15"/>
  <c r="AB213" i="15"/>
  <c r="AC213" i="15"/>
  <c r="X214" i="15"/>
  <c r="Y214" i="15"/>
  <c r="Z214" i="15"/>
  <c r="AA214" i="15"/>
  <c r="AB214" i="15"/>
  <c r="AC214" i="15"/>
  <c r="X215" i="15"/>
  <c r="Y215" i="15"/>
  <c r="Z215" i="15"/>
  <c r="AA215" i="15"/>
  <c r="AB215" i="15"/>
  <c r="AC215" i="15"/>
  <c r="X216" i="15"/>
  <c r="Y216" i="15"/>
  <c r="Z216" i="15"/>
  <c r="AA216" i="15"/>
  <c r="AB216" i="15"/>
  <c r="AC216" i="15"/>
  <c r="X217" i="15"/>
  <c r="Y217" i="15"/>
  <c r="Z217" i="15"/>
  <c r="AA217" i="15"/>
  <c r="AB217" i="15"/>
  <c r="AC217" i="15"/>
  <c r="X218" i="15"/>
  <c r="Y218" i="15"/>
  <c r="Z218" i="15"/>
  <c r="AA218" i="15"/>
  <c r="AB218" i="15"/>
  <c r="AC218" i="15"/>
  <c r="X219" i="15"/>
  <c r="Y219" i="15"/>
  <c r="Z219" i="15"/>
  <c r="AA219" i="15"/>
  <c r="AB219" i="15"/>
  <c r="AC219" i="15"/>
  <c r="X220" i="15"/>
  <c r="Y220" i="15"/>
  <c r="Z220" i="15"/>
  <c r="AA220" i="15"/>
  <c r="AB220" i="15"/>
  <c r="AC220" i="15"/>
  <c r="X221" i="15"/>
  <c r="Y221" i="15"/>
  <c r="Z221" i="15"/>
  <c r="AA221" i="15"/>
  <c r="AB221" i="15"/>
  <c r="AC221" i="15"/>
  <c r="X222" i="15"/>
  <c r="Y222" i="15"/>
  <c r="Z222" i="15"/>
  <c r="AA222" i="15"/>
  <c r="AB222" i="15"/>
  <c r="AC222" i="15"/>
  <c r="X223" i="15"/>
  <c r="Y223" i="15"/>
  <c r="Z223" i="15"/>
  <c r="AA223" i="15"/>
  <c r="AB223" i="15"/>
  <c r="AC223" i="15"/>
  <c r="X224" i="15"/>
  <c r="Y224" i="15"/>
  <c r="Z224" i="15"/>
  <c r="AA224" i="15"/>
  <c r="AB224" i="15"/>
  <c r="AC224" i="15"/>
  <c r="X225" i="15"/>
  <c r="Y225" i="15"/>
  <c r="Z225" i="15"/>
  <c r="AA225" i="15"/>
  <c r="AB225" i="15"/>
  <c r="AC225" i="15"/>
  <c r="X226" i="15"/>
  <c r="Y226" i="15"/>
  <c r="Z226" i="15"/>
  <c r="AA226" i="15"/>
  <c r="AB226" i="15"/>
  <c r="AC226" i="15"/>
  <c r="X227" i="15"/>
  <c r="Y227" i="15"/>
  <c r="Z227" i="15"/>
  <c r="AA227" i="15"/>
  <c r="AB227" i="15"/>
  <c r="AC227" i="15"/>
  <c r="X228" i="15"/>
  <c r="Y228" i="15"/>
  <c r="Z228" i="15"/>
  <c r="AA228" i="15"/>
  <c r="AB228" i="15"/>
  <c r="AC228" i="15"/>
  <c r="X229" i="15"/>
  <c r="Y229" i="15"/>
  <c r="Z229" i="15"/>
  <c r="AA229" i="15"/>
  <c r="AB229" i="15"/>
  <c r="AC229" i="15"/>
  <c r="X230" i="15"/>
  <c r="Y230" i="15"/>
  <c r="Z230" i="15"/>
  <c r="AA230" i="15"/>
  <c r="AB230" i="15"/>
  <c r="AC230" i="15"/>
  <c r="X231" i="15"/>
  <c r="Y231" i="15"/>
  <c r="Z231" i="15"/>
  <c r="AA231" i="15"/>
  <c r="AB231" i="15"/>
  <c r="AC231" i="15"/>
  <c r="X232" i="15"/>
  <c r="Y232" i="15"/>
  <c r="Z232" i="15"/>
  <c r="AA232" i="15"/>
  <c r="AB232" i="15"/>
  <c r="AC232" i="15"/>
  <c r="X233" i="15"/>
  <c r="Y233" i="15"/>
  <c r="Z233" i="15"/>
  <c r="AA233" i="15"/>
  <c r="AB233" i="15"/>
  <c r="AC233" i="15"/>
  <c r="X234" i="15"/>
  <c r="Y234" i="15"/>
  <c r="Z234" i="15"/>
  <c r="AA234" i="15"/>
  <c r="AB234" i="15"/>
  <c r="AC234" i="15"/>
  <c r="X235" i="15"/>
  <c r="Y235" i="15"/>
  <c r="Z235" i="15"/>
  <c r="AA235" i="15"/>
  <c r="AB235" i="15"/>
  <c r="AC235" i="15"/>
  <c r="X236" i="15"/>
  <c r="Y236" i="15"/>
  <c r="Z236" i="15"/>
  <c r="AA236" i="15"/>
  <c r="AB236" i="15"/>
  <c r="AC236" i="15"/>
  <c r="X237" i="15"/>
  <c r="Y237" i="15"/>
  <c r="Z237" i="15"/>
  <c r="AA237" i="15"/>
  <c r="AB237" i="15"/>
  <c r="AC237" i="15"/>
  <c r="X238" i="15"/>
  <c r="Y238" i="15"/>
  <c r="Z238" i="15"/>
  <c r="AA238" i="15"/>
  <c r="AB238" i="15"/>
  <c r="AC238" i="15"/>
  <c r="X239" i="15"/>
  <c r="Y239" i="15"/>
  <c r="Z239" i="15"/>
  <c r="AA239" i="15"/>
  <c r="AB239" i="15"/>
  <c r="AC239" i="15"/>
  <c r="X240" i="15"/>
  <c r="Y240" i="15"/>
  <c r="Z240" i="15"/>
  <c r="AA240" i="15"/>
  <c r="AB240" i="15"/>
  <c r="AC240" i="15"/>
  <c r="X241" i="15"/>
  <c r="Y241" i="15"/>
  <c r="Z241" i="15"/>
  <c r="AA241" i="15"/>
  <c r="AB241" i="15"/>
  <c r="AC241" i="15"/>
  <c r="X242" i="15"/>
  <c r="Y242" i="15"/>
  <c r="Z242" i="15"/>
  <c r="AA242" i="15"/>
  <c r="AB242" i="15"/>
  <c r="AC242" i="15"/>
  <c r="X243" i="15"/>
  <c r="Y243" i="15"/>
  <c r="Z243" i="15"/>
  <c r="AA243" i="15"/>
  <c r="AB243" i="15"/>
  <c r="AC243" i="15"/>
  <c r="X244" i="15"/>
  <c r="Y244" i="15"/>
  <c r="Z244" i="15"/>
  <c r="AA244" i="15"/>
  <c r="AB244" i="15"/>
  <c r="AC244" i="15"/>
  <c r="X245" i="15"/>
  <c r="Y245" i="15"/>
  <c r="Z245" i="15"/>
  <c r="AA245" i="15"/>
  <c r="AB245" i="15"/>
  <c r="AC245" i="15"/>
  <c r="X246" i="15"/>
  <c r="Y246" i="15"/>
  <c r="Z246" i="15"/>
  <c r="AA246" i="15"/>
  <c r="AB246" i="15"/>
  <c r="AC246" i="15"/>
  <c r="X247" i="15"/>
  <c r="Y247" i="15"/>
  <c r="Z247" i="15"/>
  <c r="AA247" i="15"/>
  <c r="AB247" i="15"/>
  <c r="AC247" i="15"/>
  <c r="X248" i="15"/>
  <c r="Y248" i="15"/>
  <c r="Z248" i="15"/>
  <c r="AA248" i="15"/>
  <c r="AB248" i="15"/>
  <c r="AC248" i="15"/>
  <c r="X249" i="15"/>
  <c r="Y249" i="15"/>
  <c r="Z249" i="15"/>
  <c r="AA249" i="15"/>
  <c r="AB249" i="15"/>
  <c r="AC249" i="15"/>
  <c r="X250" i="15"/>
  <c r="Y250" i="15"/>
  <c r="Z250" i="15"/>
  <c r="AA250" i="15"/>
  <c r="AB250" i="15"/>
  <c r="AC250" i="15"/>
  <c r="X251" i="15"/>
  <c r="Y251" i="15"/>
  <c r="Z251" i="15"/>
  <c r="AA251" i="15"/>
  <c r="AB251" i="15"/>
  <c r="AC251" i="15"/>
  <c r="X252" i="15"/>
  <c r="Y252" i="15"/>
  <c r="Z252" i="15"/>
  <c r="AA252" i="15"/>
  <c r="AB252" i="15"/>
  <c r="AC252" i="15"/>
  <c r="X253" i="15"/>
  <c r="Y253" i="15"/>
  <c r="Z253" i="15"/>
  <c r="AA253" i="15"/>
  <c r="AB253" i="15"/>
  <c r="AC253" i="15"/>
  <c r="X254" i="15"/>
  <c r="Y254" i="15"/>
  <c r="Z254" i="15"/>
  <c r="AA254" i="15"/>
  <c r="AB254" i="15"/>
  <c r="AC254" i="15"/>
  <c r="X255" i="15"/>
  <c r="Y255" i="15"/>
  <c r="Z255" i="15"/>
  <c r="AA255" i="15"/>
  <c r="AB255" i="15"/>
  <c r="AC255" i="15"/>
  <c r="X256" i="15"/>
  <c r="Y256" i="15"/>
  <c r="Z256" i="15"/>
  <c r="AA256" i="15"/>
  <c r="AB256" i="15"/>
  <c r="AC256" i="15"/>
  <c r="X257" i="15"/>
  <c r="Y257" i="15"/>
  <c r="Z257" i="15"/>
  <c r="AA257" i="15"/>
  <c r="AB257" i="15"/>
  <c r="AC257" i="15"/>
  <c r="X258" i="15"/>
  <c r="Y258" i="15"/>
  <c r="Z258" i="15"/>
  <c r="AA258" i="15"/>
  <c r="AB258" i="15"/>
  <c r="AC258" i="15"/>
  <c r="X259" i="15"/>
  <c r="Y259" i="15"/>
  <c r="Z259" i="15"/>
  <c r="AA259" i="15"/>
  <c r="AB259" i="15"/>
  <c r="AC259" i="15"/>
  <c r="X260" i="15"/>
  <c r="Y260" i="15"/>
  <c r="Z260" i="15"/>
  <c r="AA260" i="15"/>
  <c r="AB260" i="15"/>
  <c r="AC260" i="15"/>
  <c r="X261" i="15"/>
  <c r="Y261" i="15"/>
  <c r="Z261" i="15"/>
  <c r="AA261" i="15"/>
  <c r="AB261" i="15"/>
  <c r="AC261" i="15"/>
  <c r="X262" i="15"/>
  <c r="Y262" i="15"/>
  <c r="Z262" i="15"/>
  <c r="AA262" i="15"/>
  <c r="AB262" i="15"/>
  <c r="AC262" i="15"/>
  <c r="X263" i="15"/>
  <c r="Y263" i="15"/>
  <c r="Z263" i="15"/>
  <c r="AA263" i="15"/>
  <c r="AB263" i="15"/>
  <c r="AC263" i="15"/>
  <c r="X264" i="15"/>
  <c r="Y264" i="15"/>
  <c r="Z264" i="15"/>
  <c r="AA264" i="15"/>
  <c r="AB264" i="15"/>
  <c r="AC264" i="15"/>
  <c r="X265" i="15"/>
  <c r="Y265" i="15"/>
  <c r="Z265" i="15"/>
  <c r="AA265" i="15"/>
  <c r="AB265" i="15"/>
  <c r="AC265" i="15"/>
  <c r="X266" i="15"/>
  <c r="Y266" i="15"/>
  <c r="Z266" i="15"/>
  <c r="AA266" i="15"/>
  <c r="AB266" i="15"/>
  <c r="AC266" i="15"/>
  <c r="X267" i="15"/>
  <c r="Y267" i="15"/>
  <c r="Z267" i="15"/>
  <c r="AA267" i="15"/>
  <c r="AB267" i="15"/>
  <c r="AC267" i="15"/>
  <c r="X268" i="15"/>
  <c r="Y268" i="15"/>
  <c r="Z268" i="15"/>
  <c r="AA268" i="15"/>
  <c r="AB268" i="15"/>
  <c r="AC268" i="15"/>
  <c r="X269" i="15"/>
  <c r="Y269" i="15"/>
  <c r="Z269" i="15"/>
  <c r="AA269" i="15"/>
  <c r="AB269" i="15"/>
  <c r="AC269" i="15"/>
  <c r="X270" i="15"/>
  <c r="Y270" i="15"/>
  <c r="Z270" i="15"/>
  <c r="AA270" i="15"/>
  <c r="AB270" i="15"/>
  <c r="AC270" i="15"/>
  <c r="X271" i="15"/>
  <c r="Y271" i="15"/>
  <c r="Z271" i="15"/>
  <c r="AA271" i="15"/>
  <c r="AB271" i="15"/>
  <c r="AC271" i="15"/>
  <c r="X272" i="15"/>
  <c r="Y272" i="15"/>
  <c r="Z272" i="15"/>
  <c r="AA272" i="15"/>
  <c r="AB272" i="15"/>
  <c r="AC272" i="15"/>
  <c r="X273" i="15"/>
  <c r="Y273" i="15"/>
  <c r="Z273" i="15"/>
  <c r="AA273" i="15"/>
  <c r="AB273" i="15"/>
  <c r="AC273" i="15"/>
  <c r="X274" i="15"/>
  <c r="Y274" i="15"/>
  <c r="Z274" i="15"/>
  <c r="AA274" i="15"/>
  <c r="AB274" i="15"/>
  <c r="AC274" i="15"/>
  <c r="X275" i="15"/>
  <c r="Y275" i="15"/>
  <c r="Z275" i="15"/>
  <c r="AA275" i="15"/>
  <c r="AB275" i="15"/>
  <c r="AC275" i="15"/>
  <c r="X276" i="15"/>
  <c r="Y276" i="15"/>
  <c r="Z276" i="15"/>
  <c r="AA276" i="15"/>
  <c r="AB276" i="15"/>
  <c r="AC276" i="15"/>
  <c r="X277" i="15"/>
  <c r="Y277" i="15"/>
  <c r="Z277" i="15"/>
  <c r="AA277" i="15"/>
  <c r="AB277" i="15"/>
  <c r="AC277" i="15"/>
  <c r="X278" i="15"/>
  <c r="Y278" i="15"/>
  <c r="Z278" i="15"/>
  <c r="AA278" i="15"/>
  <c r="AB278" i="15"/>
  <c r="AC278" i="15"/>
  <c r="X279" i="15"/>
  <c r="Y279" i="15"/>
  <c r="Z279" i="15"/>
  <c r="AA279" i="15"/>
  <c r="AB279" i="15"/>
  <c r="AC279" i="15"/>
  <c r="X280" i="15"/>
  <c r="Y280" i="15"/>
  <c r="Z280" i="15"/>
  <c r="AA280" i="15"/>
  <c r="AB280" i="15"/>
  <c r="AC280" i="15"/>
  <c r="X281" i="15"/>
  <c r="Y281" i="15"/>
  <c r="Z281" i="15"/>
  <c r="AA281" i="15"/>
  <c r="AB281" i="15"/>
  <c r="AC281" i="15"/>
  <c r="X282" i="15"/>
  <c r="Y282" i="15"/>
  <c r="Z282" i="15"/>
  <c r="AA282" i="15"/>
  <c r="AB282" i="15"/>
  <c r="AC282" i="15"/>
  <c r="X283" i="15"/>
  <c r="Y283" i="15"/>
  <c r="Z283" i="15"/>
  <c r="AA283" i="15"/>
  <c r="AB283" i="15"/>
  <c r="AC283" i="15"/>
  <c r="X284" i="15"/>
  <c r="Y284" i="15"/>
  <c r="Z284" i="15"/>
  <c r="AA284" i="15"/>
  <c r="AB284" i="15"/>
  <c r="AC284" i="15"/>
  <c r="X285" i="15"/>
  <c r="Y285" i="15"/>
  <c r="Z285" i="15"/>
  <c r="AA285" i="15"/>
  <c r="AB285" i="15"/>
  <c r="AC285" i="15"/>
  <c r="X286" i="15"/>
  <c r="Y286" i="15"/>
  <c r="Z286" i="15"/>
  <c r="AA286" i="15"/>
  <c r="AB286" i="15"/>
  <c r="AC286" i="15"/>
  <c r="X287" i="15"/>
  <c r="Y287" i="15"/>
  <c r="Z287" i="15"/>
  <c r="AA287" i="15"/>
  <c r="AB287" i="15"/>
  <c r="AC287" i="15"/>
  <c r="X288" i="15"/>
  <c r="Y288" i="15"/>
  <c r="Z288" i="15"/>
  <c r="AA288" i="15"/>
  <c r="AB288" i="15"/>
  <c r="AC288" i="15"/>
  <c r="X289" i="15"/>
  <c r="Y289" i="15"/>
  <c r="Z289" i="15"/>
  <c r="AA289" i="15"/>
  <c r="AB289" i="15"/>
  <c r="AC289" i="15"/>
  <c r="X290" i="15"/>
  <c r="Y290" i="15"/>
  <c r="Z290" i="15"/>
  <c r="AA290" i="15"/>
  <c r="AB290" i="15"/>
  <c r="AC290" i="15"/>
  <c r="X291" i="15"/>
  <c r="Y291" i="15"/>
  <c r="Z291" i="15"/>
  <c r="AA291" i="15"/>
  <c r="AB291" i="15"/>
  <c r="AC291" i="15"/>
  <c r="X292" i="15"/>
  <c r="Y292" i="15"/>
  <c r="Z292" i="15"/>
  <c r="AA292" i="15"/>
  <c r="AB292" i="15"/>
  <c r="AC292" i="15"/>
  <c r="X293" i="15"/>
  <c r="Y293" i="15"/>
  <c r="Z293" i="15"/>
  <c r="AA293" i="15"/>
  <c r="AB293" i="15"/>
  <c r="AC293" i="15"/>
  <c r="X294" i="15"/>
  <c r="Y294" i="15"/>
  <c r="Z294" i="15"/>
  <c r="AA294" i="15"/>
  <c r="AB294" i="15"/>
  <c r="AC294" i="15"/>
  <c r="X295" i="15"/>
  <c r="Y295" i="15"/>
  <c r="Z295" i="15"/>
  <c r="AA295" i="15"/>
  <c r="AB295" i="15"/>
  <c r="AC295" i="15"/>
  <c r="X296" i="15"/>
  <c r="Y296" i="15"/>
  <c r="Z296" i="15"/>
  <c r="AA296" i="15"/>
  <c r="AB296" i="15"/>
  <c r="AC296" i="15"/>
  <c r="X297" i="15"/>
  <c r="Y297" i="15"/>
  <c r="Z297" i="15"/>
  <c r="AA297" i="15"/>
  <c r="AB297" i="15"/>
  <c r="AC297" i="15"/>
  <c r="X298" i="15"/>
  <c r="Y298" i="15"/>
  <c r="Z298" i="15"/>
  <c r="AA298" i="15"/>
  <c r="AB298" i="15"/>
  <c r="AC298" i="15"/>
  <c r="X299" i="15"/>
  <c r="Y299" i="15"/>
  <c r="Z299" i="15"/>
  <c r="AA299" i="15"/>
  <c r="AB299" i="15"/>
  <c r="AC299" i="15"/>
  <c r="X300" i="15"/>
  <c r="Y300" i="15"/>
  <c r="Z300" i="15"/>
  <c r="AA300" i="15"/>
  <c r="AB300" i="15"/>
  <c r="AC300" i="15"/>
  <c r="X301" i="15"/>
  <c r="Y301" i="15"/>
  <c r="Z301" i="15"/>
  <c r="AA301" i="15"/>
  <c r="AB301" i="15"/>
  <c r="AC301" i="15"/>
  <c r="X302" i="15"/>
  <c r="Y302" i="15"/>
  <c r="Z302" i="15"/>
  <c r="AA302" i="15"/>
  <c r="AB302" i="15"/>
  <c r="AC302" i="15"/>
  <c r="X303" i="15"/>
  <c r="Y303" i="15"/>
  <c r="Z303" i="15"/>
  <c r="AA303" i="15"/>
  <c r="AB303" i="15"/>
  <c r="AC303" i="15"/>
  <c r="X304" i="15"/>
  <c r="Y304" i="15"/>
  <c r="Z304" i="15"/>
  <c r="AA304" i="15"/>
  <c r="AB304" i="15"/>
  <c r="AC304" i="15"/>
  <c r="X305" i="15"/>
  <c r="Y305" i="15"/>
  <c r="Z305" i="15"/>
  <c r="AA305" i="15"/>
  <c r="AB305" i="15"/>
  <c r="AC305" i="15"/>
  <c r="X306" i="15"/>
  <c r="Y306" i="15"/>
  <c r="Z306" i="15"/>
  <c r="AA306" i="15"/>
  <c r="AB306" i="15"/>
  <c r="AC306" i="15"/>
  <c r="X307" i="15"/>
  <c r="Y307" i="15"/>
  <c r="Z307" i="15"/>
  <c r="AA307" i="15"/>
  <c r="AB307" i="15"/>
  <c r="AC307" i="15"/>
  <c r="X308" i="15"/>
  <c r="Y308" i="15"/>
  <c r="Z308" i="15"/>
  <c r="AA308" i="15"/>
  <c r="AB308" i="15"/>
  <c r="AC308" i="15"/>
  <c r="X309" i="15"/>
  <c r="Y309" i="15"/>
  <c r="Z309" i="15"/>
  <c r="AA309" i="15"/>
  <c r="AB309" i="15"/>
  <c r="AC309" i="15"/>
  <c r="X310" i="15"/>
  <c r="Y310" i="15"/>
  <c r="Z310" i="15"/>
  <c r="AA310" i="15"/>
  <c r="AB310" i="15"/>
  <c r="AC310" i="15"/>
  <c r="X311" i="15"/>
  <c r="Y311" i="15"/>
  <c r="Z311" i="15"/>
  <c r="AA311" i="15"/>
  <c r="AB311" i="15"/>
  <c r="AC311" i="15"/>
  <c r="X312" i="15"/>
  <c r="Y312" i="15"/>
  <c r="Z312" i="15"/>
  <c r="AA312" i="15"/>
  <c r="AB312" i="15"/>
  <c r="AC312" i="15"/>
  <c r="X313" i="15"/>
  <c r="Y313" i="15"/>
  <c r="Z313" i="15"/>
  <c r="AA313" i="15"/>
  <c r="AB313" i="15"/>
  <c r="AC313" i="15"/>
  <c r="X314" i="15"/>
  <c r="Y314" i="15"/>
  <c r="Z314" i="15"/>
  <c r="AA314" i="15"/>
  <c r="AB314" i="15"/>
  <c r="AC314" i="15"/>
  <c r="X315" i="15"/>
  <c r="Y315" i="15"/>
  <c r="Z315" i="15"/>
  <c r="AA315" i="15"/>
  <c r="AB315" i="15"/>
  <c r="AC315" i="15"/>
  <c r="X316" i="15"/>
  <c r="Y316" i="15"/>
  <c r="Z316" i="15"/>
  <c r="AA316" i="15"/>
  <c r="AB316" i="15"/>
  <c r="AC316" i="15"/>
  <c r="X317" i="15"/>
  <c r="Y317" i="15"/>
  <c r="Z317" i="15"/>
  <c r="AA317" i="15"/>
  <c r="AB317" i="15"/>
  <c r="AC317" i="15"/>
  <c r="X318" i="15"/>
  <c r="Y318" i="15"/>
  <c r="Z318" i="15"/>
  <c r="AA318" i="15"/>
  <c r="AB318" i="15"/>
  <c r="AC318" i="15"/>
  <c r="X319" i="15"/>
  <c r="Y319" i="15"/>
  <c r="Z319" i="15"/>
  <c r="AA319" i="15"/>
  <c r="AB319" i="15"/>
  <c r="AC319" i="15"/>
  <c r="X320" i="15"/>
  <c r="Y320" i="15"/>
  <c r="Z320" i="15"/>
  <c r="AA320" i="15"/>
  <c r="AB320" i="15"/>
  <c r="AC320" i="15"/>
  <c r="X321" i="15"/>
  <c r="Y321" i="15"/>
  <c r="Z321" i="15"/>
  <c r="AA321" i="15"/>
  <c r="AB321" i="15"/>
  <c r="AC321" i="15"/>
  <c r="X322" i="15"/>
  <c r="Y322" i="15"/>
  <c r="Z322" i="15"/>
  <c r="AA322" i="15"/>
  <c r="AB322" i="15"/>
  <c r="AC322" i="15"/>
  <c r="X323" i="15"/>
  <c r="Y323" i="15"/>
  <c r="Z323" i="15"/>
  <c r="AA323" i="15"/>
  <c r="AB323" i="15"/>
  <c r="AC323" i="15"/>
  <c r="X324" i="15"/>
  <c r="Y324" i="15"/>
  <c r="Z324" i="15"/>
  <c r="AA324" i="15"/>
  <c r="AB324" i="15"/>
  <c r="AC324" i="15"/>
  <c r="X325" i="15"/>
  <c r="Y325" i="15"/>
  <c r="Z325" i="15"/>
  <c r="AA325" i="15"/>
  <c r="AB325" i="15"/>
  <c r="AC325" i="15"/>
  <c r="X326" i="15"/>
  <c r="Y326" i="15"/>
  <c r="Z326" i="15"/>
  <c r="AA326" i="15"/>
  <c r="AB326" i="15"/>
  <c r="AC326" i="15"/>
  <c r="X327" i="15"/>
  <c r="Y327" i="15"/>
  <c r="Z327" i="15"/>
  <c r="AA327" i="15"/>
  <c r="AB327" i="15"/>
  <c r="AC327" i="15"/>
  <c r="X328" i="15"/>
  <c r="Y328" i="15"/>
  <c r="Z328" i="15"/>
  <c r="AA328" i="15"/>
  <c r="AB328" i="15"/>
  <c r="AC328" i="15"/>
  <c r="X329" i="15"/>
  <c r="Y329" i="15"/>
  <c r="Z329" i="15"/>
  <c r="AA329" i="15"/>
  <c r="AB329" i="15"/>
  <c r="AC329" i="15"/>
  <c r="X330" i="15"/>
  <c r="Y330" i="15"/>
  <c r="Z330" i="15"/>
  <c r="AA330" i="15"/>
  <c r="AB330" i="15"/>
  <c r="AC330" i="15"/>
  <c r="X331" i="15"/>
  <c r="Y331" i="15"/>
  <c r="Z331" i="15"/>
  <c r="AA331" i="15"/>
  <c r="AB331" i="15"/>
  <c r="AC331" i="15"/>
  <c r="X332" i="15"/>
  <c r="Y332" i="15"/>
  <c r="Z332" i="15"/>
  <c r="AA332" i="15"/>
  <c r="AB332" i="15"/>
  <c r="AC332" i="15"/>
  <c r="X333" i="15"/>
  <c r="Y333" i="15"/>
  <c r="Z333" i="15"/>
  <c r="AA333" i="15"/>
  <c r="AB333" i="15"/>
  <c r="AC333" i="15"/>
  <c r="X334" i="15"/>
  <c r="Y334" i="15"/>
  <c r="Z334" i="15"/>
  <c r="AA334" i="15"/>
  <c r="AB334" i="15"/>
  <c r="AC334" i="15"/>
  <c r="X335" i="15"/>
  <c r="Y335" i="15"/>
  <c r="Z335" i="15"/>
  <c r="AA335" i="15"/>
  <c r="AB335" i="15"/>
  <c r="AC335" i="15"/>
  <c r="X336" i="15"/>
  <c r="Y336" i="15"/>
  <c r="Z336" i="15"/>
  <c r="AA336" i="15"/>
  <c r="AB336" i="15"/>
  <c r="AC336" i="15"/>
  <c r="X337" i="15"/>
  <c r="Y337" i="15"/>
  <c r="Z337" i="15"/>
  <c r="AA337" i="15"/>
  <c r="AB337" i="15"/>
  <c r="AC337" i="15"/>
  <c r="X338" i="15"/>
  <c r="Y338" i="15"/>
  <c r="Z338" i="15"/>
  <c r="AA338" i="15"/>
  <c r="AB338" i="15"/>
  <c r="AC338" i="15"/>
  <c r="X339" i="15"/>
  <c r="Y339" i="15"/>
  <c r="Z339" i="15"/>
  <c r="AA339" i="15"/>
  <c r="AB339" i="15"/>
  <c r="AC339" i="15"/>
  <c r="X340" i="15"/>
  <c r="Y340" i="15"/>
  <c r="Z340" i="15"/>
  <c r="AA340" i="15"/>
  <c r="AB340" i="15"/>
  <c r="AC340" i="15"/>
  <c r="X341" i="15"/>
  <c r="Y341" i="15"/>
  <c r="Z341" i="15"/>
  <c r="AA341" i="15"/>
  <c r="AB341" i="15"/>
  <c r="AC341" i="15"/>
  <c r="X342" i="15"/>
  <c r="Y342" i="15"/>
  <c r="Z342" i="15"/>
  <c r="AA342" i="15"/>
  <c r="AB342" i="15"/>
  <c r="AC342" i="15"/>
  <c r="X343" i="15"/>
  <c r="Y343" i="15"/>
  <c r="Z343" i="15"/>
  <c r="AA343" i="15"/>
  <c r="AB343" i="15"/>
  <c r="AC343" i="15"/>
  <c r="X344" i="15"/>
  <c r="Y344" i="15"/>
  <c r="Z344" i="15"/>
  <c r="AA344" i="15"/>
  <c r="AB344" i="15"/>
  <c r="AC344" i="15"/>
  <c r="X345" i="15"/>
  <c r="Y345" i="15"/>
  <c r="Z345" i="15"/>
  <c r="AA345" i="15"/>
  <c r="AB345" i="15"/>
  <c r="AC345" i="15"/>
  <c r="X346" i="15"/>
  <c r="Y346" i="15"/>
  <c r="Z346" i="15"/>
  <c r="AA346" i="15"/>
  <c r="AB346" i="15"/>
  <c r="AC346" i="15"/>
  <c r="X347" i="15"/>
  <c r="Y347" i="15"/>
  <c r="Z347" i="15"/>
  <c r="AA347" i="15"/>
  <c r="AB347" i="15"/>
  <c r="AC347" i="15"/>
  <c r="X348" i="15"/>
  <c r="Y348" i="15"/>
  <c r="Z348" i="15"/>
  <c r="AA348" i="15"/>
  <c r="AB348" i="15"/>
  <c r="AC348" i="15"/>
  <c r="X349" i="15"/>
  <c r="Y349" i="15"/>
  <c r="Z349" i="15"/>
  <c r="AA349" i="15"/>
  <c r="AB349" i="15"/>
  <c r="AC349" i="15"/>
  <c r="X350" i="15"/>
  <c r="Y350" i="15"/>
  <c r="Z350" i="15"/>
  <c r="AA350" i="15"/>
  <c r="AB350" i="15"/>
  <c r="AC350" i="15"/>
  <c r="X351" i="15"/>
  <c r="Y351" i="15"/>
  <c r="Z351" i="15"/>
  <c r="AA351" i="15"/>
  <c r="AB351" i="15"/>
  <c r="AC351" i="15"/>
  <c r="X352" i="15"/>
  <c r="Y352" i="15"/>
  <c r="Z352" i="15"/>
  <c r="AA352" i="15"/>
  <c r="AB352" i="15"/>
  <c r="AC352" i="15"/>
  <c r="X353" i="15"/>
  <c r="Y353" i="15"/>
  <c r="Z353" i="15"/>
  <c r="AA353" i="15"/>
  <c r="AB353" i="15"/>
  <c r="AC353" i="15"/>
  <c r="X354" i="15"/>
  <c r="Y354" i="15"/>
  <c r="Z354" i="15"/>
  <c r="AA354" i="15"/>
  <c r="AB354" i="15"/>
  <c r="AC354" i="15"/>
  <c r="X355" i="15"/>
  <c r="Y355" i="15"/>
  <c r="Z355" i="15"/>
  <c r="AA355" i="15"/>
  <c r="AB355" i="15"/>
  <c r="AC355" i="15"/>
  <c r="X356" i="15"/>
  <c r="Y356" i="15"/>
  <c r="Z356" i="15"/>
  <c r="AA356" i="15"/>
  <c r="AB356" i="15"/>
  <c r="AC356" i="15"/>
  <c r="X357" i="15"/>
  <c r="Y357" i="15"/>
  <c r="Z357" i="15"/>
  <c r="AA357" i="15"/>
  <c r="AB357" i="15"/>
  <c r="AC357" i="15"/>
  <c r="X358" i="15"/>
  <c r="Y358" i="15"/>
  <c r="Z358" i="15"/>
  <c r="AA358" i="15"/>
  <c r="AB358" i="15"/>
  <c r="AC358" i="15"/>
  <c r="X359" i="15"/>
  <c r="Y359" i="15"/>
  <c r="Z359" i="15"/>
  <c r="AA359" i="15"/>
  <c r="AB359" i="15"/>
  <c r="AC359" i="15"/>
  <c r="X360" i="15"/>
  <c r="Y360" i="15"/>
  <c r="Z360" i="15"/>
  <c r="AA360" i="15"/>
  <c r="AB360" i="15"/>
  <c r="AC360" i="15"/>
  <c r="X361" i="15"/>
  <c r="Y361" i="15"/>
  <c r="Z361" i="15"/>
  <c r="AA361" i="15"/>
  <c r="AB361" i="15"/>
  <c r="AC361" i="15"/>
  <c r="X362" i="15"/>
  <c r="Y362" i="15"/>
  <c r="Z362" i="15"/>
  <c r="AA362" i="15"/>
  <c r="AB362" i="15"/>
  <c r="AC362" i="15"/>
  <c r="X363" i="15"/>
  <c r="Y363" i="15"/>
  <c r="Z363" i="15"/>
  <c r="AA363" i="15"/>
  <c r="AB363" i="15"/>
  <c r="AC363" i="15"/>
  <c r="X364" i="15"/>
  <c r="Y364" i="15"/>
  <c r="Z364" i="15"/>
  <c r="AA364" i="15"/>
  <c r="AB364" i="15"/>
  <c r="AC364" i="15"/>
  <c r="X365" i="15"/>
  <c r="Y365" i="15"/>
  <c r="Z365" i="15"/>
  <c r="AA365" i="15"/>
  <c r="AB365" i="15"/>
  <c r="AC365" i="15"/>
  <c r="X366" i="15"/>
  <c r="Y366" i="15"/>
  <c r="Z366" i="15"/>
  <c r="AA366" i="15"/>
  <c r="AB366" i="15"/>
  <c r="AC366" i="15"/>
  <c r="X367" i="15"/>
  <c r="Y367" i="15"/>
  <c r="Z367" i="15"/>
  <c r="AA367" i="15"/>
  <c r="AB367" i="15"/>
  <c r="AC367" i="15"/>
  <c r="X368" i="15"/>
  <c r="Y368" i="15"/>
  <c r="Z368" i="15"/>
  <c r="AA368" i="15"/>
  <c r="AB368" i="15"/>
  <c r="AC368" i="15"/>
  <c r="X369" i="15"/>
  <c r="Y369" i="15"/>
  <c r="Z369" i="15"/>
  <c r="AA369" i="15"/>
  <c r="AB369" i="15"/>
  <c r="AC369" i="15"/>
  <c r="X370" i="15"/>
  <c r="Y370" i="15"/>
  <c r="Z370" i="15"/>
  <c r="AA370" i="15"/>
  <c r="AB370" i="15"/>
  <c r="AC370" i="15"/>
  <c r="X371" i="15"/>
  <c r="Y371" i="15"/>
  <c r="Z371" i="15"/>
  <c r="AA371" i="15"/>
  <c r="AB371" i="15"/>
  <c r="AC371" i="15"/>
  <c r="X372" i="15"/>
  <c r="Y372" i="15"/>
  <c r="Z372" i="15"/>
  <c r="AA372" i="15"/>
  <c r="AB372" i="15"/>
  <c r="AC372" i="15"/>
  <c r="X373" i="15"/>
  <c r="Y373" i="15"/>
  <c r="Z373" i="15"/>
  <c r="AA373" i="15"/>
  <c r="AB373" i="15"/>
  <c r="AC373" i="15"/>
  <c r="X374" i="15"/>
  <c r="Y374" i="15"/>
  <c r="Z374" i="15"/>
  <c r="AA374" i="15"/>
  <c r="AB374" i="15"/>
  <c r="AC374" i="15"/>
  <c r="X375" i="15"/>
  <c r="Y375" i="15"/>
  <c r="Z375" i="15"/>
  <c r="AA375" i="15"/>
  <c r="AB375" i="15"/>
  <c r="AC375" i="15"/>
  <c r="X376" i="15"/>
  <c r="Y376" i="15"/>
  <c r="Z376" i="15"/>
  <c r="AA376" i="15"/>
  <c r="AB376" i="15"/>
  <c r="AC376" i="15"/>
  <c r="X377" i="15"/>
  <c r="Y377" i="15"/>
  <c r="Z377" i="15"/>
  <c r="AA377" i="15"/>
  <c r="AB377" i="15"/>
  <c r="AC377" i="15"/>
  <c r="X378" i="15"/>
  <c r="Y378" i="15"/>
  <c r="Z378" i="15"/>
  <c r="AA378" i="15"/>
  <c r="AB378" i="15"/>
  <c r="AC378" i="15"/>
  <c r="X379" i="15"/>
  <c r="Y379" i="15"/>
  <c r="Z379" i="15"/>
  <c r="AA379" i="15"/>
  <c r="AB379" i="15"/>
  <c r="AC379" i="15"/>
  <c r="X380" i="15"/>
  <c r="Y380" i="15"/>
  <c r="Z380" i="15"/>
  <c r="AA380" i="15"/>
  <c r="AB380" i="15"/>
  <c r="AC380" i="15"/>
  <c r="X381" i="15"/>
  <c r="Y381" i="15"/>
  <c r="Z381" i="15"/>
  <c r="AA381" i="15"/>
  <c r="AB381" i="15"/>
  <c r="AC381" i="15"/>
  <c r="X382" i="15"/>
  <c r="Y382" i="15"/>
  <c r="Z382" i="15"/>
  <c r="AA382" i="15"/>
  <c r="AB382" i="15"/>
  <c r="AC382" i="15"/>
  <c r="X383" i="15"/>
  <c r="Y383" i="15"/>
  <c r="Z383" i="15"/>
  <c r="AA383" i="15"/>
  <c r="AB383" i="15"/>
  <c r="AC383" i="15"/>
  <c r="X384" i="15"/>
  <c r="Y384" i="15"/>
  <c r="Z384" i="15"/>
  <c r="AA384" i="15"/>
  <c r="AB384" i="15"/>
  <c r="AC384" i="15"/>
  <c r="X385" i="15"/>
  <c r="Y385" i="15"/>
  <c r="Z385" i="15"/>
  <c r="AA385" i="15"/>
  <c r="AB385" i="15"/>
  <c r="AC385" i="15"/>
  <c r="X386" i="15"/>
  <c r="Y386" i="15"/>
  <c r="Z386" i="15"/>
  <c r="AA386" i="15"/>
  <c r="AB386" i="15"/>
  <c r="AC386" i="15"/>
  <c r="X387" i="15"/>
  <c r="Y387" i="15"/>
  <c r="Z387" i="15"/>
  <c r="AA387" i="15"/>
  <c r="AB387" i="15"/>
  <c r="AC387" i="15"/>
  <c r="X388" i="15"/>
  <c r="Y388" i="15"/>
  <c r="Z388" i="15"/>
  <c r="AA388" i="15"/>
  <c r="AB388" i="15"/>
  <c r="AC388" i="15"/>
  <c r="X389" i="15"/>
  <c r="Y389" i="15"/>
  <c r="Z389" i="15"/>
  <c r="AA389" i="15"/>
  <c r="AB389" i="15"/>
  <c r="AC389" i="15"/>
  <c r="X390" i="15"/>
  <c r="Y390" i="15"/>
  <c r="Z390" i="15"/>
  <c r="AA390" i="15"/>
  <c r="AB390" i="15"/>
  <c r="AC390" i="15"/>
  <c r="X391" i="15"/>
  <c r="Y391" i="15"/>
  <c r="Z391" i="15"/>
  <c r="AA391" i="15"/>
  <c r="AB391" i="15"/>
  <c r="AC391" i="15"/>
  <c r="X392" i="15"/>
  <c r="Y392" i="15"/>
  <c r="Z392" i="15"/>
  <c r="AA392" i="15"/>
  <c r="AB392" i="15"/>
  <c r="AC392" i="15"/>
  <c r="X393" i="15"/>
  <c r="Y393" i="15"/>
  <c r="Z393" i="15"/>
  <c r="AA393" i="15"/>
  <c r="AB393" i="15"/>
  <c r="AC393" i="15"/>
  <c r="X394" i="15"/>
  <c r="Y394" i="15"/>
  <c r="Z394" i="15"/>
  <c r="AA394" i="15"/>
  <c r="AB394" i="15"/>
  <c r="AC394" i="15"/>
  <c r="X395" i="15"/>
  <c r="Y395" i="15"/>
  <c r="Z395" i="15"/>
  <c r="AA395" i="15"/>
  <c r="AB395" i="15"/>
  <c r="AC395" i="15"/>
  <c r="X396" i="15"/>
  <c r="Y396" i="15"/>
  <c r="Z396" i="15"/>
  <c r="AA396" i="15"/>
  <c r="AB396" i="15"/>
  <c r="AC396" i="15"/>
  <c r="X397" i="15"/>
  <c r="Y397" i="15"/>
  <c r="Z397" i="15"/>
  <c r="AA397" i="15"/>
  <c r="AB397" i="15"/>
  <c r="AC397" i="15"/>
  <c r="X398" i="15"/>
  <c r="Y398" i="15"/>
  <c r="Z398" i="15"/>
  <c r="AA398" i="15"/>
  <c r="AB398" i="15"/>
  <c r="AC398" i="15"/>
  <c r="X399" i="15"/>
  <c r="Y399" i="15"/>
  <c r="Z399" i="15"/>
  <c r="AA399" i="15"/>
  <c r="AB399" i="15"/>
  <c r="AC399" i="15"/>
  <c r="X400" i="15"/>
  <c r="Y400" i="15"/>
  <c r="Z400" i="15"/>
  <c r="AA400" i="15"/>
  <c r="AB400" i="15"/>
  <c r="AC400" i="15"/>
  <c r="X401" i="15"/>
  <c r="Y401" i="15"/>
  <c r="Z401" i="15"/>
  <c r="AA401" i="15"/>
  <c r="AB401" i="15"/>
  <c r="AC401" i="15"/>
  <c r="X402" i="15"/>
  <c r="Y402" i="15"/>
  <c r="Z402" i="15"/>
  <c r="AA402" i="15"/>
  <c r="AB402" i="15"/>
  <c r="AC402" i="15"/>
  <c r="X403" i="15"/>
  <c r="Y403" i="15"/>
  <c r="Z403" i="15"/>
  <c r="AA403" i="15"/>
  <c r="AB403" i="15"/>
  <c r="AC403" i="15"/>
  <c r="X404" i="15"/>
  <c r="Y404" i="15"/>
  <c r="Z404" i="15"/>
  <c r="AA404" i="15"/>
  <c r="AB404" i="15"/>
  <c r="AC404" i="15"/>
  <c r="X405" i="15"/>
  <c r="Y405" i="15"/>
  <c r="Z405" i="15"/>
  <c r="AA405" i="15"/>
  <c r="AB405" i="15"/>
  <c r="AC405" i="15"/>
  <c r="X406" i="15"/>
  <c r="Y406" i="15"/>
  <c r="Z406" i="15"/>
  <c r="AA406" i="15"/>
  <c r="AB406" i="15"/>
  <c r="AC406" i="15"/>
  <c r="X407" i="15"/>
  <c r="Y407" i="15"/>
  <c r="Z407" i="15"/>
  <c r="AA407" i="15"/>
  <c r="AB407" i="15"/>
  <c r="AC407" i="15"/>
  <c r="X408" i="15"/>
  <c r="Y408" i="15"/>
  <c r="Z408" i="15"/>
  <c r="AA408" i="15"/>
  <c r="AB408" i="15"/>
  <c r="AC408" i="15"/>
  <c r="X409" i="15"/>
  <c r="Y409" i="15"/>
  <c r="Z409" i="15"/>
  <c r="AA409" i="15"/>
  <c r="AB409" i="15"/>
  <c r="AC409" i="15"/>
  <c r="X410" i="15"/>
  <c r="Y410" i="15"/>
  <c r="Z410" i="15"/>
  <c r="AA410" i="15"/>
  <c r="AB410" i="15"/>
  <c r="AC410" i="15"/>
  <c r="X411" i="15"/>
  <c r="Y411" i="15"/>
  <c r="Z411" i="15"/>
  <c r="AA411" i="15"/>
  <c r="AB411" i="15"/>
  <c r="AC411" i="15"/>
  <c r="X412" i="15"/>
  <c r="Y412" i="15"/>
  <c r="Z412" i="15"/>
  <c r="AA412" i="15"/>
  <c r="AB412" i="15"/>
  <c r="AC412" i="15"/>
  <c r="X413" i="15"/>
  <c r="Y413" i="15"/>
  <c r="Z413" i="15"/>
  <c r="AA413" i="15"/>
  <c r="AB413" i="15"/>
  <c r="AC413" i="15"/>
  <c r="X414" i="15"/>
  <c r="Y414" i="15"/>
  <c r="Z414" i="15"/>
  <c r="AA414" i="15"/>
  <c r="AB414" i="15"/>
  <c r="AC414" i="15"/>
  <c r="X415" i="15"/>
  <c r="Y415" i="15"/>
  <c r="Z415" i="15"/>
  <c r="AA415" i="15"/>
  <c r="AB415" i="15"/>
  <c r="AC415" i="15"/>
  <c r="X416" i="15"/>
  <c r="Y416" i="15"/>
  <c r="Z416" i="15"/>
  <c r="AA416" i="15"/>
  <c r="AB416" i="15"/>
  <c r="AC416" i="15"/>
  <c r="X417" i="15"/>
  <c r="Y417" i="15"/>
  <c r="Z417" i="15"/>
  <c r="AA417" i="15"/>
  <c r="AB417" i="15"/>
  <c r="AC417" i="15"/>
  <c r="X418" i="15"/>
  <c r="Y418" i="15"/>
  <c r="Z418" i="15"/>
  <c r="AA418" i="15"/>
  <c r="AB418" i="15"/>
  <c r="AC418" i="15"/>
  <c r="X419" i="15"/>
  <c r="Y419" i="15"/>
  <c r="Z419" i="15"/>
  <c r="AA419" i="15"/>
  <c r="AB419" i="15"/>
  <c r="AC419" i="15"/>
  <c r="X420" i="15"/>
  <c r="Y420" i="15"/>
  <c r="Z420" i="15"/>
  <c r="AA420" i="15"/>
  <c r="AB420" i="15"/>
  <c r="AC420" i="15"/>
  <c r="X421" i="15"/>
  <c r="Y421" i="15"/>
  <c r="Z421" i="15"/>
  <c r="AA421" i="15"/>
  <c r="AB421" i="15"/>
  <c r="AC421" i="15"/>
  <c r="X422" i="15"/>
  <c r="Y422" i="15"/>
  <c r="Z422" i="15"/>
  <c r="AA422" i="15"/>
  <c r="AB422" i="15"/>
  <c r="AC422" i="15"/>
  <c r="X423" i="15"/>
  <c r="Y423" i="15"/>
  <c r="Z423" i="15"/>
  <c r="AA423" i="15"/>
  <c r="AB423" i="15"/>
  <c r="AC423" i="15"/>
  <c r="X424" i="15"/>
  <c r="Y424" i="15"/>
  <c r="Z424" i="15"/>
  <c r="AA424" i="15"/>
  <c r="AB424" i="15"/>
  <c r="AC424" i="15"/>
  <c r="X425" i="15"/>
  <c r="Y425" i="15"/>
  <c r="Z425" i="15"/>
  <c r="AA425" i="15"/>
  <c r="AB425" i="15"/>
  <c r="AC425" i="15"/>
  <c r="X426" i="15"/>
  <c r="Y426" i="15"/>
  <c r="Z426" i="15"/>
  <c r="AA426" i="15"/>
  <c r="AB426" i="15"/>
  <c r="AC426" i="15"/>
  <c r="X427" i="15"/>
  <c r="Y427" i="15"/>
  <c r="Z427" i="15"/>
  <c r="AA427" i="15"/>
  <c r="AB427" i="15"/>
  <c r="AC427" i="15"/>
  <c r="X428" i="15"/>
  <c r="Y428" i="15"/>
  <c r="Z428" i="15"/>
  <c r="AA428" i="15"/>
  <c r="AB428" i="15"/>
  <c r="AC428" i="15"/>
  <c r="X429" i="15"/>
  <c r="Y429" i="15"/>
  <c r="Z429" i="15"/>
  <c r="AA429" i="15"/>
  <c r="AB429" i="15"/>
  <c r="AC429" i="15"/>
  <c r="X430" i="15"/>
  <c r="Y430" i="15"/>
  <c r="Z430" i="15"/>
  <c r="AA430" i="15"/>
  <c r="AB430" i="15"/>
  <c r="AC430" i="15"/>
  <c r="X431" i="15"/>
  <c r="Y431" i="15"/>
  <c r="Z431" i="15"/>
  <c r="AA431" i="15"/>
  <c r="AB431" i="15"/>
  <c r="AC431" i="15"/>
  <c r="X432" i="15"/>
  <c r="Y432" i="15"/>
  <c r="Z432" i="15"/>
  <c r="AA432" i="15"/>
  <c r="AB432" i="15"/>
  <c r="AC432" i="15"/>
  <c r="X433" i="15"/>
  <c r="Y433" i="15"/>
  <c r="Z433" i="15"/>
  <c r="AA433" i="15"/>
  <c r="AB433" i="15"/>
  <c r="AC433" i="15"/>
  <c r="I20" i="12" l="1"/>
  <c r="I21" i="12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I54" i="12" s="1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I81" i="12" s="1"/>
  <c r="I82" i="12" s="1"/>
  <c r="I83" i="12" s="1"/>
  <c r="I84" i="12" s="1"/>
  <c r="I85" i="12" s="1"/>
  <c r="I86" i="12" s="1"/>
  <c r="I87" i="12" s="1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4" i="12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3" i="12"/>
  <c r="Q3" i="15" l="1" a="1"/>
  <c r="Q3" i="15" s="1"/>
  <c r="Q4" i="15" a="1"/>
  <c r="Q4" i="15" s="1"/>
  <c r="Q5" i="15" a="1"/>
  <c r="Q5" i="15" s="1"/>
  <c r="Q6" i="15" a="1"/>
  <c r="Q6" i="15" s="1"/>
  <c r="Q7" i="15" a="1"/>
  <c r="Q7" i="15" s="1"/>
  <c r="Q8" i="15" a="1"/>
  <c r="Q8" i="15" s="1"/>
  <c r="Q9" i="15" a="1"/>
  <c r="Q9" i="15" s="1"/>
  <c r="Q10" i="15" a="1"/>
  <c r="Q10" i="15" s="1"/>
  <c r="Q11" i="15" a="1"/>
  <c r="Q11" i="15" s="1"/>
  <c r="Q12" i="15" a="1"/>
  <c r="Q12" i="15" s="1"/>
  <c r="Q13" i="15" a="1"/>
  <c r="Q13" i="15" s="1"/>
  <c r="Q14" i="15" a="1"/>
  <c r="Q14" i="15" s="1"/>
  <c r="Q15" i="15" a="1"/>
  <c r="Q15" i="15" s="1"/>
  <c r="Q16" i="15" a="1"/>
  <c r="Q16" i="15" s="1"/>
  <c r="Q17" i="15" a="1"/>
  <c r="Q17" i="15" s="1"/>
  <c r="Q18" i="15" a="1"/>
  <c r="Q18" i="15" s="1"/>
  <c r="Q19" i="15" a="1"/>
  <c r="Q19" i="15" s="1"/>
  <c r="Q20" i="15" a="1"/>
  <c r="Q20" i="15" s="1"/>
  <c r="Q21" i="15" a="1"/>
  <c r="Q21" i="15" s="1"/>
  <c r="Q22" i="15" a="1"/>
  <c r="Q22" i="15" s="1"/>
  <c r="Q23" i="15" a="1"/>
  <c r="Q23" i="15" s="1"/>
  <c r="Q24" i="15" a="1"/>
  <c r="Q24" i="15" s="1"/>
  <c r="Q25" i="15" a="1"/>
  <c r="Q25" i="15" s="1"/>
  <c r="Q26" i="15" a="1"/>
  <c r="Q26" i="15" s="1"/>
  <c r="Q27" i="15" a="1"/>
  <c r="Q27" i="15" s="1"/>
  <c r="Q28" i="15" a="1"/>
  <c r="Q28" i="15" s="1"/>
  <c r="Q29" i="15" a="1"/>
  <c r="Q29" i="15" s="1"/>
  <c r="Q30" i="15" a="1"/>
  <c r="Q30" i="15" s="1"/>
  <c r="Q31" i="15" a="1"/>
  <c r="Q31" i="15" s="1"/>
  <c r="Q32" i="15" a="1"/>
  <c r="Q32" i="15" s="1"/>
  <c r="Q33" i="15" a="1"/>
  <c r="Q33" i="15" s="1"/>
  <c r="Q34" i="15" a="1"/>
  <c r="Q34" i="15" s="1"/>
  <c r="Q35" i="15" a="1"/>
  <c r="Q35" i="15" s="1"/>
  <c r="Q36" i="15" a="1"/>
  <c r="Q36" i="15" s="1"/>
  <c r="Q37" i="15" a="1"/>
  <c r="Q37" i="15" s="1"/>
  <c r="Q38" i="15" a="1"/>
  <c r="Q38" i="15" s="1"/>
  <c r="Q39" i="15" a="1"/>
  <c r="Q39" i="15" s="1"/>
  <c r="Q40" i="15" a="1"/>
  <c r="Q40" i="15" s="1"/>
  <c r="Q41" i="15" a="1"/>
  <c r="Q41" i="15" s="1"/>
  <c r="Q42" i="15" a="1"/>
  <c r="Q42" i="15" s="1"/>
  <c r="Q43" i="15" a="1"/>
  <c r="Q43" i="15" s="1"/>
  <c r="Q44" i="15" a="1"/>
  <c r="Q44" i="15" s="1"/>
  <c r="Q45" i="15" a="1"/>
  <c r="Q45" i="15" s="1"/>
  <c r="Q46" i="15" a="1"/>
  <c r="Q46" i="15" s="1"/>
  <c r="Q47" i="15" a="1"/>
  <c r="Q47" i="15" s="1"/>
  <c r="Q48" i="15" a="1"/>
  <c r="Q48" i="15" s="1"/>
  <c r="Q49" i="15" a="1"/>
  <c r="Q49" i="15" s="1"/>
  <c r="Q50" i="15" a="1"/>
  <c r="Q50" i="15" s="1"/>
  <c r="Q51" i="15" a="1"/>
  <c r="Q51" i="15" s="1"/>
  <c r="Q52" i="15" a="1"/>
  <c r="Q52" i="15" s="1"/>
  <c r="Q53" i="15" a="1"/>
  <c r="Q53" i="15" s="1"/>
  <c r="Q54" i="15" a="1"/>
  <c r="Q54" i="15" s="1"/>
  <c r="Q55" i="15" a="1"/>
  <c r="Q55" i="15" s="1"/>
  <c r="Q56" i="15" a="1"/>
  <c r="Q56" i="15" s="1"/>
  <c r="Q57" i="15" a="1"/>
  <c r="Q57" i="15" s="1"/>
  <c r="Q58" i="15" a="1"/>
  <c r="Q58" i="15" s="1"/>
  <c r="Q59" i="15" a="1"/>
  <c r="Q59" i="15" s="1"/>
  <c r="Q60" i="15" a="1"/>
  <c r="Q60" i="15" s="1"/>
  <c r="Q61" i="15" a="1"/>
  <c r="Q61" i="15" s="1"/>
  <c r="Q62" i="15" a="1"/>
  <c r="Q62" i="15" s="1"/>
  <c r="Q63" i="15" a="1"/>
  <c r="Q63" i="15" s="1"/>
  <c r="Q64" i="15" a="1"/>
  <c r="Q64" i="15" s="1"/>
  <c r="Q65" i="15" a="1"/>
  <c r="Q65" i="15" s="1"/>
  <c r="Q66" i="15" a="1"/>
  <c r="Q66" i="15" s="1"/>
  <c r="Q67" i="15" a="1"/>
  <c r="Q67" i="15" s="1"/>
  <c r="Q68" i="15" a="1"/>
  <c r="Q68" i="15" s="1"/>
  <c r="Q69" i="15" a="1"/>
  <c r="Q69" i="15" s="1"/>
  <c r="Q70" i="15" a="1"/>
  <c r="Q70" i="15" s="1"/>
  <c r="Q71" i="15" a="1"/>
  <c r="Q71" i="15" s="1"/>
  <c r="Q72" i="15" a="1"/>
  <c r="Q72" i="15" s="1"/>
  <c r="Q73" i="15" a="1"/>
  <c r="Q73" i="15" s="1"/>
  <c r="Q74" i="15" a="1"/>
  <c r="Q74" i="15" s="1"/>
  <c r="Q75" i="15" a="1"/>
  <c r="Q75" i="15" s="1"/>
  <c r="Q76" i="15" a="1"/>
  <c r="Q76" i="15" s="1"/>
  <c r="Q77" i="15" a="1"/>
  <c r="Q77" i="15" s="1"/>
  <c r="Q78" i="15" a="1"/>
  <c r="Q78" i="15" s="1"/>
  <c r="Q79" i="15" a="1"/>
  <c r="Q79" i="15" s="1"/>
  <c r="Q80" i="15" a="1"/>
  <c r="Q80" i="15" s="1"/>
  <c r="Q81" i="15" a="1"/>
  <c r="Q81" i="15" s="1"/>
  <c r="Q82" i="15" a="1"/>
  <c r="Q82" i="15" s="1"/>
  <c r="Q83" i="15" a="1"/>
  <c r="Q83" i="15" s="1"/>
  <c r="Q84" i="15" a="1"/>
  <c r="Q84" i="15" s="1"/>
  <c r="Q85" i="15" a="1"/>
  <c r="Q85" i="15" s="1"/>
  <c r="Q86" i="15" a="1"/>
  <c r="Q86" i="15" s="1"/>
  <c r="Q87" i="15" a="1"/>
  <c r="Q87" i="15" s="1"/>
  <c r="Q88" i="15" a="1"/>
  <c r="Q88" i="15" s="1"/>
  <c r="Q89" i="15" a="1"/>
  <c r="Q89" i="15" s="1"/>
  <c r="Q90" i="15" a="1"/>
  <c r="Q90" i="15" s="1"/>
  <c r="Q91" i="15" a="1"/>
  <c r="Q91" i="15" s="1"/>
  <c r="Q92" i="15" a="1"/>
  <c r="Q92" i="15" s="1"/>
  <c r="Q93" i="15" a="1"/>
  <c r="Q93" i="15" s="1"/>
  <c r="Q94" i="15" a="1"/>
  <c r="Q94" i="15" s="1"/>
  <c r="Q95" i="15" a="1"/>
  <c r="Q95" i="15" s="1"/>
  <c r="Q96" i="15" a="1"/>
  <c r="Q96" i="15" s="1"/>
  <c r="Q97" i="15" a="1"/>
  <c r="Q97" i="15" s="1"/>
  <c r="Q98" i="15" a="1"/>
  <c r="Q98" i="15" s="1"/>
  <c r="Q99" i="15" a="1"/>
  <c r="Q99" i="15" s="1"/>
  <c r="Q100" i="15" a="1"/>
  <c r="Q100" i="15" s="1"/>
  <c r="Q101" i="15" a="1"/>
  <c r="Q101" i="15" s="1"/>
  <c r="Q102" i="15" a="1"/>
  <c r="Q102" i="15" s="1"/>
  <c r="Q103" i="15" a="1"/>
  <c r="Q103" i="15" s="1"/>
  <c r="Q104" i="15" a="1"/>
  <c r="Q104" i="15" s="1"/>
  <c r="Q105" i="15" a="1"/>
  <c r="Q105" i="15" s="1"/>
  <c r="Q106" i="15" a="1"/>
  <c r="Q106" i="15" s="1"/>
  <c r="Q107" i="15" a="1"/>
  <c r="Q107" i="15" s="1"/>
  <c r="Q108" i="15" a="1"/>
  <c r="Q108" i="15" s="1"/>
  <c r="Q109" i="15" a="1"/>
  <c r="Q109" i="15" s="1"/>
  <c r="Q110" i="15" a="1"/>
  <c r="Q110" i="15" s="1"/>
  <c r="Q111" i="15" a="1"/>
  <c r="Q111" i="15" s="1"/>
  <c r="Q112" i="15" a="1"/>
  <c r="Q112" i="15" s="1"/>
  <c r="Q113" i="15" a="1"/>
  <c r="Q113" i="15" s="1"/>
  <c r="Q114" i="15" a="1"/>
  <c r="Q114" i="15" s="1"/>
  <c r="Q115" i="15" a="1"/>
  <c r="Q115" i="15" s="1"/>
  <c r="Q116" i="15" a="1"/>
  <c r="Q116" i="15" s="1"/>
  <c r="Q117" i="15" a="1"/>
  <c r="Q117" i="15" s="1"/>
  <c r="Q118" i="15" a="1"/>
  <c r="Q118" i="15" s="1"/>
  <c r="Q119" i="15" a="1"/>
  <c r="Q119" i="15" s="1"/>
  <c r="Q120" i="15" a="1"/>
  <c r="Q120" i="15" s="1"/>
  <c r="Q121" i="15" a="1"/>
  <c r="Q121" i="15" s="1"/>
  <c r="Q122" i="15" a="1"/>
  <c r="Q122" i="15" s="1"/>
  <c r="Q123" i="15" a="1"/>
  <c r="Q123" i="15" s="1"/>
  <c r="Q124" i="15" a="1"/>
  <c r="Q124" i="15" s="1"/>
  <c r="Q125" i="15" a="1"/>
  <c r="Q125" i="15" s="1"/>
  <c r="Q126" i="15" a="1"/>
  <c r="Q126" i="15" s="1"/>
  <c r="Q127" i="15" a="1"/>
  <c r="Q127" i="15" s="1"/>
  <c r="Q128" i="15" a="1"/>
  <c r="Q128" i="15" s="1"/>
  <c r="Q129" i="15" a="1"/>
  <c r="Q129" i="15" s="1"/>
  <c r="Q130" i="15" a="1"/>
  <c r="Q130" i="15" s="1"/>
  <c r="Q131" i="15" a="1"/>
  <c r="Q131" i="15" s="1"/>
  <c r="Q132" i="15" a="1"/>
  <c r="Q132" i="15" s="1"/>
  <c r="Q133" i="15" a="1"/>
  <c r="Q133" i="15" s="1"/>
  <c r="Q134" i="15" a="1"/>
  <c r="Q134" i="15" s="1"/>
  <c r="Q135" i="15" a="1"/>
  <c r="Q135" i="15" s="1"/>
  <c r="Q136" i="15" a="1"/>
  <c r="Q136" i="15" s="1"/>
  <c r="Q137" i="15" a="1"/>
  <c r="Q137" i="15" s="1"/>
  <c r="Q138" i="15" a="1"/>
  <c r="Q138" i="15" s="1"/>
  <c r="Q139" i="15" a="1"/>
  <c r="Q139" i="15" s="1"/>
  <c r="Q140" i="15" a="1"/>
  <c r="Q140" i="15" s="1"/>
  <c r="Q141" i="15" a="1"/>
  <c r="Q141" i="15" s="1"/>
  <c r="Q142" i="15" a="1"/>
  <c r="Q142" i="15" s="1"/>
  <c r="Q143" i="15" a="1"/>
  <c r="Q143" i="15" s="1"/>
  <c r="Q144" i="15" a="1"/>
  <c r="Q144" i="15" s="1"/>
  <c r="Q145" i="15" a="1"/>
  <c r="Q145" i="15" s="1"/>
  <c r="Q146" i="15" a="1"/>
  <c r="Q146" i="15" s="1"/>
  <c r="Q147" i="15" a="1"/>
  <c r="Q147" i="15" s="1"/>
  <c r="Q148" i="15" a="1"/>
  <c r="Q148" i="15" s="1"/>
  <c r="Q149" i="15" a="1"/>
  <c r="Q149" i="15" s="1"/>
  <c r="Q150" i="15" a="1"/>
  <c r="Q150" i="15" s="1"/>
  <c r="Q151" i="15" a="1"/>
  <c r="Q151" i="15" s="1"/>
  <c r="Q152" i="15" a="1"/>
  <c r="Q152" i="15" s="1"/>
  <c r="Q153" i="15" a="1"/>
  <c r="Q153" i="15" s="1"/>
  <c r="Q154" i="15" a="1"/>
  <c r="Q154" i="15" s="1"/>
  <c r="Q155" i="15" a="1"/>
  <c r="Q155" i="15" s="1"/>
  <c r="Q156" i="15" a="1"/>
  <c r="Q156" i="15" s="1"/>
  <c r="Q157" i="15" a="1"/>
  <c r="Q157" i="15" s="1"/>
  <c r="Q158" i="15" a="1"/>
  <c r="Q158" i="15" s="1"/>
  <c r="Q159" i="15" a="1"/>
  <c r="Q159" i="15" s="1"/>
  <c r="Q160" i="15" a="1"/>
  <c r="Q160" i="15" s="1"/>
  <c r="Q161" i="15" a="1"/>
  <c r="Q161" i="15" s="1"/>
  <c r="Q162" i="15" a="1"/>
  <c r="Q162" i="15" s="1"/>
  <c r="Q163" i="15" a="1"/>
  <c r="Q163" i="15" s="1"/>
  <c r="Q164" i="15" a="1"/>
  <c r="Q164" i="15" s="1"/>
  <c r="Q165" i="15" a="1"/>
  <c r="Q165" i="15" s="1"/>
  <c r="Q166" i="15" a="1"/>
  <c r="Q166" i="15" s="1"/>
  <c r="Q167" i="15" a="1"/>
  <c r="Q167" i="15" s="1"/>
  <c r="Q168" i="15" a="1"/>
  <c r="Q168" i="15" s="1"/>
  <c r="Q169" i="15" a="1"/>
  <c r="Q169" i="15" s="1"/>
  <c r="Q170" i="15" a="1"/>
  <c r="Q170" i="15" s="1"/>
  <c r="Q171" i="15" a="1"/>
  <c r="Q171" i="15" s="1"/>
  <c r="Q172" i="15" a="1"/>
  <c r="Q172" i="15" s="1"/>
  <c r="Q173" i="15" a="1"/>
  <c r="Q173" i="15" s="1"/>
  <c r="Q174" i="15" a="1"/>
  <c r="Q174" i="15" s="1"/>
  <c r="Q175" i="15" a="1"/>
  <c r="Q175" i="15" s="1"/>
  <c r="Q176" i="15" a="1"/>
  <c r="Q176" i="15" s="1"/>
  <c r="Q177" i="15" a="1"/>
  <c r="Q177" i="15" s="1"/>
  <c r="Q178" i="15" a="1"/>
  <c r="Q178" i="15" s="1"/>
  <c r="Q179" i="15" a="1"/>
  <c r="Q179" i="15" s="1"/>
  <c r="Q180" i="15" a="1"/>
  <c r="Q180" i="15" s="1"/>
  <c r="Q181" i="15" a="1"/>
  <c r="Q181" i="15" s="1"/>
  <c r="Q182" i="15" a="1"/>
  <c r="Q182" i="15" s="1"/>
  <c r="Q183" i="15" a="1"/>
  <c r="Q183" i="15" s="1"/>
  <c r="Q184" i="15" a="1"/>
  <c r="Q184" i="15" s="1"/>
  <c r="Q185" i="15" a="1"/>
  <c r="Q185" i="15" s="1"/>
  <c r="Q186" i="15" a="1"/>
  <c r="Q186" i="15" s="1"/>
  <c r="Q187" i="15" a="1"/>
  <c r="Q187" i="15" s="1"/>
  <c r="Q188" i="15" a="1"/>
  <c r="Q188" i="15" s="1"/>
  <c r="Q189" i="15" a="1"/>
  <c r="Q189" i="15" s="1"/>
  <c r="Q190" i="15" a="1"/>
  <c r="Q190" i="15" s="1"/>
  <c r="Q191" i="15" a="1"/>
  <c r="Q191" i="15" s="1"/>
  <c r="Q192" i="15" a="1"/>
  <c r="Q192" i="15" s="1"/>
  <c r="Q193" i="15" a="1"/>
  <c r="Q193" i="15" s="1"/>
  <c r="Q194" i="15" a="1"/>
  <c r="Q194" i="15" s="1"/>
  <c r="Q195" i="15" a="1"/>
  <c r="Q195" i="15" s="1"/>
  <c r="Q196" i="15" a="1"/>
  <c r="Q196" i="15" s="1"/>
  <c r="Q197" i="15" a="1"/>
  <c r="Q197" i="15" s="1"/>
  <c r="Q198" i="15" a="1"/>
  <c r="Q198" i="15" s="1"/>
  <c r="Q199" i="15" a="1"/>
  <c r="Q199" i="15" s="1"/>
  <c r="Q200" i="15" a="1"/>
  <c r="Q200" i="15" s="1"/>
  <c r="Q201" i="15" a="1"/>
  <c r="Q201" i="15" s="1"/>
  <c r="Q202" i="15" a="1"/>
  <c r="Q202" i="15" s="1"/>
  <c r="Q203" i="15" a="1"/>
  <c r="Q203" i="15" s="1"/>
  <c r="Q204" i="15" a="1"/>
  <c r="Q204" i="15" s="1"/>
  <c r="Q205" i="15" a="1"/>
  <c r="Q205" i="15" s="1"/>
  <c r="Q206" i="15" a="1"/>
  <c r="Q206" i="15" s="1"/>
  <c r="Q207" i="15" a="1"/>
  <c r="Q207" i="15" s="1"/>
  <c r="Q208" i="15" a="1"/>
  <c r="Q208" i="15" s="1"/>
  <c r="Q209" i="15" a="1"/>
  <c r="Q209" i="15" s="1"/>
  <c r="Q210" i="15" a="1"/>
  <c r="Q210" i="15" s="1"/>
  <c r="Q211" i="15" a="1"/>
  <c r="Q211" i="15" s="1"/>
  <c r="Q212" i="15" a="1"/>
  <c r="Q212" i="15" s="1"/>
  <c r="Q213" i="15" a="1"/>
  <c r="Q213" i="15" s="1"/>
  <c r="Q214" i="15" a="1"/>
  <c r="Q214" i="15" s="1"/>
  <c r="Q215" i="15" a="1"/>
  <c r="Q215" i="15" s="1"/>
  <c r="Q216" i="15" a="1"/>
  <c r="Q216" i="15" s="1"/>
  <c r="Q217" i="15" a="1"/>
  <c r="Q217" i="15" s="1"/>
  <c r="Q218" i="15" a="1"/>
  <c r="Q218" i="15" s="1"/>
  <c r="Q219" i="15" a="1"/>
  <c r="Q219" i="15" s="1"/>
  <c r="Q220" i="15" a="1"/>
  <c r="Q220" i="15" s="1"/>
  <c r="Q221" i="15" a="1"/>
  <c r="Q221" i="15" s="1"/>
  <c r="Q222" i="15" a="1"/>
  <c r="Q222" i="15" s="1"/>
  <c r="Q223" i="15" a="1"/>
  <c r="Q223" i="15" s="1"/>
  <c r="Q224" i="15" a="1"/>
  <c r="Q224" i="15" s="1"/>
  <c r="Q225" i="15" a="1"/>
  <c r="Q225" i="15" s="1"/>
  <c r="Q226" i="15" a="1"/>
  <c r="Q226" i="15" s="1"/>
  <c r="Q227" i="15" a="1"/>
  <c r="Q227" i="15" s="1"/>
  <c r="Q228" i="15" a="1"/>
  <c r="Q228" i="15" s="1"/>
  <c r="Q229" i="15" a="1"/>
  <c r="Q229" i="15" s="1"/>
  <c r="Q230" i="15" a="1"/>
  <c r="Q230" i="15" s="1"/>
  <c r="Q231" i="15" a="1"/>
  <c r="Q231" i="15" s="1"/>
  <c r="Q232" i="15" a="1"/>
  <c r="Q232" i="15" s="1"/>
  <c r="Q233" i="15" a="1"/>
  <c r="Q233" i="15" s="1"/>
  <c r="Q234" i="15" a="1"/>
  <c r="Q234" i="15" s="1"/>
  <c r="Q235" i="15" a="1"/>
  <c r="Q235" i="15" s="1"/>
  <c r="Q236" i="15" a="1"/>
  <c r="Q236" i="15" s="1"/>
  <c r="Q237" i="15" a="1"/>
  <c r="Q237" i="15" s="1"/>
  <c r="Q238" i="15" a="1"/>
  <c r="Q238" i="15" s="1"/>
  <c r="Q239" i="15" a="1"/>
  <c r="Q239" i="15" s="1"/>
  <c r="Q240" i="15" a="1"/>
  <c r="Q240" i="15" s="1"/>
  <c r="Q241" i="15" a="1"/>
  <c r="Q241" i="15" s="1"/>
  <c r="Q242" i="15" a="1"/>
  <c r="Q242" i="15" s="1"/>
  <c r="Q243" i="15" a="1"/>
  <c r="Q243" i="15" s="1"/>
  <c r="Q244" i="15" a="1"/>
  <c r="Q244" i="15" s="1"/>
  <c r="Q245" i="15" a="1"/>
  <c r="Q245" i="15" s="1"/>
  <c r="Q246" i="15" a="1"/>
  <c r="Q246" i="15" s="1"/>
  <c r="Q247" i="15" a="1"/>
  <c r="Q247" i="15" s="1"/>
  <c r="Q248" i="15" a="1"/>
  <c r="Q248" i="15" s="1"/>
  <c r="Q249" i="15" a="1"/>
  <c r="Q249" i="15" s="1"/>
  <c r="Q250" i="15" a="1"/>
  <c r="Q250" i="15" s="1"/>
  <c r="Q251" i="15" a="1"/>
  <c r="Q251" i="15" s="1"/>
  <c r="Q252" i="15" a="1"/>
  <c r="Q252" i="15" s="1"/>
  <c r="Q253" i="15" a="1"/>
  <c r="Q253" i="15" s="1"/>
  <c r="Q254" i="15" a="1"/>
  <c r="Q254" i="15" s="1"/>
  <c r="Q255" i="15" a="1"/>
  <c r="Q255" i="15" s="1"/>
  <c r="Q256" i="15" a="1"/>
  <c r="Q256" i="15" s="1"/>
  <c r="Q257" i="15" a="1"/>
  <c r="Q257" i="15" s="1"/>
  <c r="Q258" i="15" a="1"/>
  <c r="Q258" i="15" s="1"/>
  <c r="Q259" i="15" a="1"/>
  <c r="Q259" i="15" s="1"/>
  <c r="Q260" i="15" a="1"/>
  <c r="Q260" i="15" s="1"/>
  <c r="Q261" i="15" a="1"/>
  <c r="Q261" i="15" s="1"/>
  <c r="Q262" i="15" a="1"/>
  <c r="Q262" i="15" s="1"/>
  <c r="Q263" i="15" a="1"/>
  <c r="Q263" i="15" s="1"/>
  <c r="Q264" i="15" a="1"/>
  <c r="Q264" i="15" s="1"/>
  <c r="Q265" i="15" a="1"/>
  <c r="Q265" i="15" s="1"/>
  <c r="Q266" i="15" a="1"/>
  <c r="Q266" i="15" s="1"/>
  <c r="Q267" i="15" a="1"/>
  <c r="Q267" i="15" s="1"/>
  <c r="Q268" i="15" a="1"/>
  <c r="Q268" i="15" s="1"/>
  <c r="Q269" i="15" a="1"/>
  <c r="Q269" i="15" s="1"/>
  <c r="Q270" i="15" a="1"/>
  <c r="Q270" i="15" s="1"/>
  <c r="Q271" i="15" a="1"/>
  <c r="Q271" i="15" s="1"/>
  <c r="Q272" i="15" a="1"/>
  <c r="Q272" i="15" s="1"/>
  <c r="Q273" i="15" a="1"/>
  <c r="Q273" i="15" s="1"/>
  <c r="Q274" i="15" a="1"/>
  <c r="Q274" i="15" s="1"/>
  <c r="Q275" i="15" a="1"/>
  <c r="Q275" i="15" s="1"/>
  <c r="Q276" i="15" a="1"/>
  <c r="Q276" i="15" s="1"/>
  <c r="Q277" i="15" a="1"/>
  <c r="Q277" i="15" s="1"/>
  <c r="Q278" i="15" a="1"/>
  <c r="Q278" i="15" s="1"/>
  <c r="Q279" i="15" a="1"/>
  <c r="Q279" i="15" s="1"/>
  <c r="Q280" i="15" a="1"/>
  <c r="Q280" i="15" s="1"/>
  <c r="Q281" i="15" a="1"/>
  <c r="Q281" i="15" s="1"/>
  <c r="Q282" i="15" a="1"/>
  <c r="Q282" i="15" s="1"/>
  <c r="Q283" i="15" a="1"/>
  <c r="Q283" i="15" s="1"/>
  <c r="Q284" i="15" a="1"/>
  <c r="Q284" i="15" s="1"/>
  <c r="Q285" i="15" a="1"/>
  <c r="Q285" i="15" s="1"/>
  <c r="Q286" i="15" a="1"/>
  <c r="Q286" i="15" s="1"/>
  <c r="Q287" i="15" a="1"/>
  <c r="Q287" i="15" s="1"/>
  <c r="Q288" i="15" a="1"/>
  <c r="Q288" i="15" s="1"/>
  <c r="Q289" i="15" a="1"/>
  <c r="Q289" i="15" s="1"/>
  <c r="Q290" i="15" a="1"/>
  <c r="Q290" i="15" s="1"/>
  <c r="Q291" i="15" a="1"/>
  <c r="Q291" i="15" s="1"/>
  <c r="Q292" i="15" a="1"/>
  <c r="Q292" i="15" s="1"/>
  <c r="Q293" i="15" a="1"/>
  <c r="Q293" i="15" s="1"/>
  <c r="Q294" i="15" a="1"/>
  <c r="Q294" i="15" s="1"/>
  <c r="Q295" i="15" a="1"/>
  <c r="Q295" i="15" s="1"/>
  <c r="Q296" i="15" a="1"/>
  <c r="Q296" i="15" s="1"/>
  <c r="Q297" i="15" a="1"/>
  <c r="Q297" i="15" s="1"/>
  <c r="Q298" i="15" a="1"/>
  <c r="Q298" i="15" s="1"/>
  <c r="Q299" i="15" a="1"/>
  <c r="Q299" i="15" s="1"/>
  <c r="Q300" i="15" a="1"/>
  <c r="Q300" i="15" s="1"/>
  <c r="Q301" i="15" a="1"/>
  <c r="Q301" i="15" s="1"/>
  <c r="Q302" i="15" a="1"/>
  <c r="Q302" i="15" s="1"/>
  <c r="Q303" i="15" a="1"/>
  <c r="Q303" i="15" s="1"/>
  <c r="Q304" i="15" a="1"/>
  <c r="Q304" i="15" s="1"/>
  <c r="Q305" i="15" a="1"/>
  <c r="Q305" i="15" s="1"/>
  <c r="Q306" i="15" a="1"/>
  <c r="Q306" i="15" s="1"/>
  <c r="Q307" i="15" a="1"/>
  <c r="Q307" i="15" s="1"/>
  <c r="Q308" i="15" a="1"/>
  <c r="Q308" i="15" s="1"/>
  <c r="Q309" i="15" a="1"/>
  <c r="Q309" i="15" s="1"/>
  <c r="Q310" i="15" a="1"/>
  <c r="Q310" i="15" s="1"/>
  <c r="Q311" i="15" a="1"/>
  <c r="Q311" i="15" s="1"/>
  <c r="Q312" i="15" a="1"/>
  <c r="Q312" i="15" s="1"/>
  <c r="Q313" i="15" a="1"/>
  <c r="Q313" i="15" s="1"/>
  <c r="Q314" i="15" a="1"/>
  <c r="Q314" i="15" s="1"/>
  <c r="Q315" i="15" a="1"/>
  <c r="Q315" i="15" s="1"/>
  <c r="Q316" i="15" a="1"/>
  <c r="Q316" i="15" s="1"/>
  <c r="Q317" i="15" a="1"/>
  <c r="Q317" i="15" s="1"/>
  <c r="Q318" i="15" a="1"/>
  <c r="Q318" i="15" s="1"/>
  <c r="Q319" i="15" a="1"/>
  <c r="Q319" i="15" s="1"/>
  <c r="Q320" i="15" a="1"/>
  <c r="Q320" i="15" s="1"/>
  <c r="Q321" i="15" a="1"/>
  <c r="Q321" i="15" s="1"/>
  <c r="Q322" i="15" a="1"/>
  <c r="Q322" i="15" s="1"/>
  <c r="Q323" i="15" a="1"/>
  <c r="Q323" i="15" s="1"/>
  <c r="Q324" i="15" a="1"/>
  <c r="Q324" i="15" s="1"/>
  <c r="Q325" i="15" a="1"/>
  <c r="Q325" i="15" s="1"/>
  <c r="Q326" i="15" a="1"/>
  <c r="Q326" i="15" s="1"/>
  <c r="Q327" i="15" a="1"/>
  <c r="Q327" i="15" s="1"/>
  <c r="Q328" i="15" a="1"/>
  <c r="Q328" i="15" s="1"/>
  <c r="Q329" i="15" a="1"/>
  <c r="Q329" i="15" s="1"/>
  <c r="Q330" i="15" a="1"/>
  <c r="Q330" i="15" s="1"/>
  <c r="Q331" i="15" a="1"/>
  <c r="Q331" i="15" s="1"/>
  <c r="Q332" i="15" a="1"/>
  <c r="Q332" i="15" s="1"/>
  <c r="Q333" i="15" a="1"/>
  <c r="Q333" i="15" s="1"/>
  <c r="Q334" i="15" a="1"/>
  <c r="Q334" i="15" s="1"/>
  <c r="Q335" i="15" a="1"/>
  <c r="Q335" i="15" s="1"/>
  <c r="Q336" i="15" a="1"/>
  <c r="Q336" i="15" s="1"/>
  <c r="Q337" i="15" a="1"/>
  <c r="Q337" i="15" s="1"/>
  <c r="Q338" i="15" a="1"/>
  <c r="Q338" i="15" s="1"/>
  <c r="Q339" i="15" a="1"/>
  <c r="Q339" i="15" s="1"/>
  <c r="Q340" i="15" a="1"/>
  <c r="Q340" i="15" s="1"/>
  <c r="Q341" i="15" a="1"/>
  <c r="Q341" i="15" s="1"/>
  <c r="Q342" i="15" a="1"/>
  <c r="Q342" i="15" s="1"/>
  <c r="Q343" i="15" a="1"/>
  <c r="Q343" i="15" s="1"/>
  <c r="Q344" i="15" a="1"/>
  <c r="Q344" i="15" s="1"/>
  <c r="Q345" i="15" a="1"/>
  <c r="Q345" i="15" s="1"/>
  <c r="Q346" i="15" a="1"/>
  <c r="Q346" i="15" s="1"/>
  <c r="Q347" i="15" a="1"/>
  <c r="Q347" i="15" s="1"/>
  <c r="Q348" i="15" a="1"/>
  <c r="Q348" i="15" s="1"/>
  <c r="Q349" i="15" a="1"/>
  <c r="Q349" i="15" s="1"/>
  <c r="Q350" i="15" a="1"/>
  <c r="Q350" i="15" s="1"/>
  <c r="Q351" i="15" a="1"/>
  <c r="Q351" i="15" s="1"/>
  <c r="Q352" i="15" a="1"/>
  <c r="Q352" i="15" s="1"/>
  <c r="Q353" i="15" a="1"/>
  <c r="Q353" i="15" s="1"/>
  <c r="Q354" i="15" a="1"/>
  <c r="Q354" i="15" s="1"/>
  <c r="Q355" i="15" a="1"/>
  <c r="Q355" i="15" s="1"/>
  <c r="Q356" i="15" a="1"/>
  <c r="Q356" i="15" s="1"/>
  <c r="Q357" i="15" a="1"/>
  <c r="Q357" i="15" s="1"/>
  <c r="Q358" i="15" a="1"/>
  <c r="Q358" i="15" s="1"/>
  <c r="Q359" i="15" a="1"/>
  <c r="Q359" i="15" s="1"/>
  <c r="Q360" i="15" a="1"/>
  <c r="Q360" i="15" s="1"/>
  <c r="Q361" i="15" a="1"/>
  <c r="Q361" i="15" s="1"/>
  <c r="Q362" i="15" a="1"/>
  <c r="Q362" i="15" s="1"/>
  <c r="Q363" i="15" a="1"/>
  <c r="Q363" i="15" s="1"/>
  <c r="Q364" i="15" a="1"/>
  <c r="Q364" i="15" s="1"/>
  <c r="Q365" i="15" a="1"/>
  <c r="Q365" i="15" s="1"/>
  <c r="Q366" i="15" a="1"/>
  <c r="Q366" i="15" s="1"/>
  <c r="Q367" i="15" a="1"/>
  <c r="Q367" i="15" s="1"/>
  <c r="Q368" i="15" a="1"/>
  <c r="Q368" i="15" s="1"/>
  <c r="Q369" i="15" a="1"/>
  <c r="Q369" i="15" s="1"/>
  <c r="Q370" i="15" a="1"/>
  <c r="Q370" i="15" s="1"/>
  <c r="Q371" i="15" a="1"/>
  <c r="Q371" i="15" s="1"/>
  <c r="Q372" i="15" a="1"/>
  <c r="Q372" i="15" s="1"/>
  <c r="Q373" i="15" a="1"/>
  <c r="Q373" i="15" s="1"/>
  <c r="Q374" i="15" a="1"/>
  <c r="Q374" i="15" s="1"/>
  <c r="Q375" i="15" a="1"/>
  <c r="Q375" i="15" s="1"/>
  <c r="Q376" i="15" a="1"/>
  <c r="Q376" i="15" s="1"/>
  <c r="Q377" i="15" a="1"/>
  <c r="Q377" i="15" s="1"/>
  <c r="Q378" i="15" a="1"/>
  <c r="Q378" i="15" s="1"/>
  <c r="Q379" i="15" a="1"/>
  <c r="Q379" i="15" s="1"/>
  <c r="Q380" i="15" a="1"/>
  <c r="Q380" i="15" s="1"/>
  <c r="Q381" i="15" a="1"/>
  <c r="Q381" i="15" s="1"/>
  <c r="Q382" i="15" a="1"/>
  <c r="Q382" i="15" s="1"/>
  <c r="Q383" i="15" a="1"/>
  <c r="Q383" i="15" s="1"/>
  <c r="Q384" i="15" a="1"/>
  <c r="Q384" i="15" s="1"/>
  <c r="Q385" i="15" a="1"/>
  <c r="Q385" i="15" s="1"/>
  <c r="Q386" i="15" a="1"/>
  <c r="Q386" i="15" s="1"/>
  <c r="Q387" i="15" a="1"/>
  <c r="Q387" i="15" s="1"/>
  <c r="Q388" i="15" a="1"/>
  <c r="Q388" i="15" s="1"/>
  <c r="Q389" i="15" a="1"/>
  <c r="Q389" i="15" s="1"/>
  <c r="Q390" i="15" a="1"/>
  <c r="Q390" i="15" s="1"/>
  <c r="Q391" i="15" a="1"/>
  <c r="Q391" i="15" s="1"/>
  <c r="Q392" i="15" a="1"/>
  <c r="Q392" i="15" s="1"/>
  <c r="Q393" i="15" a="1"/>
  <c r="Q393" i="15" s="1"/>
  <c r="Q394" i="15" a="1"/>
  <c r="Q394" i="15" s="1"/>
  <c r="Q395" i="15" a="1"/>
  <c r="Q395" i="15" s="1"/>
  <c r="Q396" i="15" a="1"/>
  <c r="Q396" i="15" s="1"/>
  <c r="Q397" i="15" a="1"/>
  <c r="Q397" i="15" s="1"/>
  <c r="Q398" i="15" a="1"/>
  <c r="Q398" i="15" s="1"/>
  <c r="Q399" i="15" a="1"/>
  <c r="Q399" i="15" s="1"/>
  <c r="Q400" i="15" a="1"/>
  <c r="Q400" i="15" s="1"/>
  <c r="Q401" i="15" a="1"/>
  <c r="Q401" i="15" s="1"/>
  <c r="Q402" i="15" a="1"/>
  <c r="Q402" i="15" s="1"/>
  <c r="Q403" i="15" a="1"/>
  <c r="Q403" i="15" s="1"/>
  <c r="Q404" i="15" a="1"/>
  <c r="Q404" i="15" s="1"/>
  <c r="Q405" i="15" a="1"/>
  <c r="Q405" i="15" s="1"/>
  <c r="Q406" i="15" a="1"/>
  <c r="Q406" i="15" s="1"/>
  <c r="Q407" i="15" a="1"/>
  <c r="Q407" i="15" s="1"/>
  <c r="Q408" i="15" a="1"/>
  <c r="Q408" i="15" s="1"/>
  <c r="Q409" i="15" a="1"/>
  <c r="Q409" i="15" s="1"/>
  <c r="Q410" i="15" a="1"/>
  <c r="Q410" i="15" s="1"/>
  <c r="Q411" i="15" a="1"/>
  <c r="Q411" i="15" s="1"/>
  <c r="Q412" i="15" a="1"/>
  <c r="Q412" i="15" s="1"/>
  <c r="Q413" i="15" a="1"/>
  <c r="Q413" i="15" s="1"/>
  <c r="Q414" i="15" a="1"/>
  <c r="Q414" i="15" s="1"/>
  <c r="Q415" i="15" a="1"/>
  <c r="Q415" i="15" s="1"/>
  <c r="Q416" i="15" a="1"/>
  <c r="Q416" i="15" s="1"/>
  <c r="Q417" i="15" a="1"/>
  <c r="Q417" i="15" s="1"/>
  <c r="Q418" i="15" a="1"/>
  <c r="Q418" i="15" s="1"/>
  <c r="Q419" i="15" a="1"/>
  <c r="Q419" i="15" s="1"/>
  <c r="Q420" i="15" a="1"/>
  <c r="Q420" i="15" s="1"/>
  <c r="Q421" i="15" a="1"/>
  <c r="Q421" i="15" s="1"/>
  <c r="Q422" i="15" a="1"/>
  <c r="Q422" i="15" s="1"/>
  <c r="Q423" i="15" a="1"/>
  <c r="Q423" i="15" s="1"/>
  <c r="Q424" i="15" a="1"/>
  <c r="Q424" i="15" s="1"/>
  <c r="Q425" i="15" a="1"/>
  <c r="Q425" i="15" s="1"/>
  <c r="Q426" i="15" a="1"/>
  <c r="Q426" i="15" s="1"/>
  <c r="Q427" i="15" a="1"/>
  <c r="Q427" i="15" s="1"/>
  <c r="Q428" i="15" a="1"/>
  <c r="Q428" i="15" s="1"/>
  <c r="Q429" i="15" a="1"/>
  <c r="Q429" i="15" s="1"/>
  <c r="Q430" i="15" a="1"/>
  <c r="Q430" i="15" s="1"/>
  <c r="Q431" i="15" a="1"/>
  <c r="Q431" i="15" s="1"/>
  <c r="Q432" i="15" a="1"/>
  <c r="Q432" i="15" s="1"/>
  <c r="Q433" i="15" a="1"/>
  <c r="Q433" i="15" s="1"/>
  <c r="P3" i="15"/>
  <c r="R3" i="15" s="1"/>
  <c r="P4" i="15"/>
  <c r="R4" i="15" s="1"/>
  <c r="W4" i="15" s="1"/>
  <c r="P5" i="15"/>
  <c r="R5" i="15" s="1"/>
  <c r="W5" i="15" s="1"/>
  <c r="P6" i="15"/>
  <c r="R6" i="15" s="1"/>
  <c r="W6" i="15" s="1"/>
  <c r="P7" i="15"/>
  <c r="R7" i="15" s="1"/>
  <c r="W7" i="15" s="1"/>
  <c r="P8" i="15"/>
  <c r="R8" i="15" s="1"/>
  <c r="W8" i="15" s="1"/>
  <c r="P9" i="15"/>
  <c r="R9" i="15" s="1"/>
  <c r="W9" i="15" s="1"/>
  <c r="P10" i="15"/>
  <c r="R10" i="15" s="1"/>
  <c r="W10" i="15" s="1"/>
  <c r="P11" i="15"/>
  <c r="R11" i="15" s="1"/>
  <c r="W11" i="15" s="1"/>
  <c r="P12" i="15"/>
  <c r="R12" i="15" s="1"/>
  <c r="W12" i="15" s="1"/>
  <c r="P13" i="15"/>
  <c r="R13" i="15" s="1"/>
  <c r="W13" i="15" s="1"/>
  <c r="P14" i="15"/>
  <c r="R14" i="15" s="1"/>
  <c r="W14" i="15" s="1"/>
  <c r="P15" i="15"/>
  <c r="R15" i="15" s="1"/>
  <c r="W15" i="15" s="1"/>
  <c r="P16" i="15"/>
  <c r="R16" i="15" s="1"/>
  <c r="W16" i="15" s="1"/>
  <c r="P17" i="15"/>
  <c r="R17" i="15" s="1"/>
  <c r="W17" i="15" s="1"/>
  <c r="P18" i="15"/>
  <c r="R18" i="15" s="1"/>
  <c r="W18" i="15" s="1"/>
  <c r="P19" i="15"/>
  <c r="R19" i="15" s="1"/>
  <c r="W19" i="15" s="1"/>
  <c r="P20" i="15"/>
  <c r="R20" i="15" s="1"/>
  <c r="W20" i="15" s="1"/>
  <c r="P21" i="15"/>
  <c r="R21" i="15" s="1"/>
  <c r="W21" i="15" s="1"/>
  <c r="P22" i="15"/>
  <c r="R22" i="15" s="1"/>
  <c r="W22" i="15" s="1"/>
  <c r="P23" i="15"/>
  <c r="R23" i="15" s="1"/>
  <c r="W23" i="15" s="1"/>
  <c r="P24" i="15"/>
  <c r="R24" i="15" s="1"/>
  <c r="W24" i="15" s="1"/>
  <c r="P25" i="15"/>
  <c r="R25" i="15" s="1"/>
  <c r="W25" i="15" s="1"/>
  <c r="P26" i="15"/>
  <c r="R26" i="15" s="1"/>
  <c r="W26" i="15" s="1"/>
  <c r="P27" i="15"/>
  <c r="R27" i="15" s="1"/>
  <c r="W27" i="15" s="1"/>
  <c r="P28" i="15"/>
  <c r="R28" i="15" s="1"/>
  <c r="W28" i="15" s="1"/>
  <c r="P29" i="15"/>
  <c r="R29" i="15" s="1"/>
  <c r="W29" i="15" s="1"/>
  <c r="P30" i="15"/>
  <c r="R30" i="15" s="1"/>
  <c r="W30" i="15" s="1"/>
  <c r="P31" i="15"/>
  <c r="R31" i="15" s="1"/>
  <c r="W31" i="15" s="1"/>
  <c r="P32" i="15"/>
  <c r="R32" i="15" s="1"/>
  <c r="W32" i="15" s="1"/>
  <c r="P33" i="15"/>
  <c r="R33" i="15" s="1"/>
  <c r="W33" i="15" s="1"/>
  <c r="P34" i="15"/>
  <c r="R34" i="15" s="1"/>
  <c r="W34" i="15" s="1"/>
  <c r="P35" i="15"/>
  <c r="R35" i="15" s="1"/>
  <c r="W35" i="15" s="1"/>
  <c r="P36" i="15"/>
  <c r="R36" i="15" s="1"/>
  <c r="W36" i="15" s="1"/>
  <c r="P37" i="15"/>
  <c r="R37" i="15" s="1"/>
  <c r="W37" i="15" s="1"/>
  <c r="P38" i="15"/>
  <c r="R38" i="15" s="1"/>
  <c r="W38" i="15" s="1"/>
  <c r="P39" i="15"/>
  <c r="R39" i="15" s="1"/>
  <c r="W39" i="15" s="1"/>
  <c r="P40" i="15"/>
  <c r="R40" i="15" s="1"/>
  <c r="W40" i="15" s="1"/>
  <c r="P41" i="15"/>
  <c r="R41" i="15" s="1"/>
  <c r="W41" i="15" s="1"/>
  <c r="P42" i="15"/>
  <c r="R42" i="15" s="1"/>
  <c r="W42" i="15" s="1"/>
  <c r="P43" i="15"/>
  <c r="R43" i="15" s="1"/>
  <c r="W43" i="15" s="1"/>
  <c r="P44" i="15"/>
  <c r="R44" i="15" s="1"/>
  <c r="W44" i="15" s="1"/>
  <c r="P45" i="15"/>
  <c r="R45" i="15" s="1"/>
  <c r="W45" i="15" s="1"/>
  <c r="P46" i="15"/>
  <c r="R46" i="15" s="1"/>
  <c r="W46" i="15" s="1"/>
  <c r="P47" i="15"/>
  <c r="R47" i="15" s="1"/>
  <c r="W47" i="15" s="1"/>
  <c r="P48" i="15"/>
  <c r="R48" i="15" s="1"/>
  <c r="W48" i="15" s="1"/>
  <c r="P49" i="15"/>
  <c r="R49" i="15" s="1"/>
  <c r="W49" i="15" s="1"/>
  <c r="P50" i="15"/>
  <c r="R50" i="15" s="1"/>
  <c r="W50" i="15" s="1"/>
  <c r="P51" i="15"/>
  <c r="R51" i="15" s="1"/>
  <c r="W51" i="15" s="1"/>
  <c r="P52" i="15"/>
  <c r="R52" i="15" s="1"/>
  <c r="W52" i="15" s="1"/>
  <c r="P53" i="15"/>
  <c r="R53" i="15" s="1"/>
  <c r="W53" i="15" s="1"/>
  <c r="P54" i="15"/>
  <c r="R54" i="15" s="1"/>
  <c r="W54" i="15" s="1"/>
  <c r="P55" i="15"/>
  <c r="R55" i="15" s="1"/>
  <c r="W55" i="15" s="1"/>
  <c r="P56" i="15"/>
  <c r="R56" i="15" s="1"/>
  <c r="W56" i="15" s="1"/>
  <c r="P57" i="15"/>
  <c r="R57" i="15" s="1"/>
  <c r="W57" i="15" s="1"/>
  <c r="P58" i="15"/>
  <c r="R58" i="15" s="1"/>
  <c r="W58" i="15" s="1"/>
  <c r="P59" i="15"/>
  <c r="R59" i="15" s="1"/>
  <c r="W59" i="15" s="1"/>
  <c r="P60" i="15"/>
  <c r="R60" i="15" s="1"/>
  <c r="W60" i="15" s="1"/>
  <c r="P61" i="15"/>
  <c r="R61" i="15" s="1"/>
  <c r="W61" i="15" s="1"/>
  <c r="P62" i="15"/>
  <c r="R62" i="15" s="1"/>
  <c r="W62" i="15" s="1"/>
  <c r="P63" i="15"/>
  <c r="R63" i="15" s="1"/>
  <c r="W63" i="15" s="1"/>
  <c r="P64" i="15"/>
  <c r="R64" i="15" s="1"/>
  <c r="W64" i="15" s="1"/>
  <c r="P65" i="15"/>
  <c r="R65" i="15" s="1"/>
  <c r="W65" i="15" s="1"/>
  <c r="P66" i="15"/>
  <c r="R66" i="15" s="1"/>
  <c r="W66" i="15" s="1"/>
  <c r="P67" i="15"/>
  <c r="R67" i="15" s="1"/>
  <c r="W67" i="15" s="1"/>
  <c r="P68" i="15"/>
  <c r="R68" i="15" s="1"/>
  <c r="W68" i="15" s="1"/>
  <c r="P69" i="15"/>
  <c r="R69" i="15" s="1"/>
  <c r="W69" i="15" s="1"/>
  <c r="P70" i="15"/>
  <c r="R70" i="15" s="1"/>
  <c r="W70" i="15" s="1"/>
  <c r="P71" i="15"/>
  <c r="R71" i="15" s="1"/>
  <c r="W71" i="15" s="1"/>
  <c r="P72" i="15"/>
  <c r="R72" i="15" s="1"/>
  <c r="W72" i="15" s="1"/>
  <c r="P73" i="15"/>
  <c r="R73" i="15" s="1"/>
  <c r="W73" i="15" s="1"/>
  <c r="P74" i="15"/>
  <c r="R74" i="15" s="1"/>
  <c r="W74" i="15" s="1"/>
  <c r="P75" i="15"/>
  <c r="R75" i="15" s="1"/>
  <c r="W75" i="15" s="1"/>
  <c r="P76" i="15"/>
  <c r="R76" i="15" s="1"/>
  <c r="W76" i="15" s="1"/>
  <c r="P77" i="15"/>
  <c r="R77" i="15" s="1"/>
  <c r="W77" i="15" s="1"/>
  <c r="P78" i="15"/>
  <c r="R78" i="15" s="1"/>
  <c r="W78" i="15" s="1"/>
  <c r="P79" i="15"/>
  <c r="R79" i="15" s="1"/>
  <c r="W79" i="15" s="1"/>
  <c r="P80" i="15"/>
  <c r="R80" i="15" s="1"/>
  <c r="W80" i="15" s="1"/>
  <c r="P81" i="15"/>
  <c r="R81" i="15" s="1"/>
  <c r="W81" i="15" s="1"/>
  <c r="P82" i="15"/>
  <c r="R82" i="15" s="1"/>
  <c r="W82" i="15" s="1"/>
  <c r="P83" i="15"/>
  <c r="R83" i="15" s="1"/>
  <c r="W83" i="15" s="1"/>
  <c r="P84" i="15"/>
  <c r="R84" i="15" s="1"/>
  <c r="W84" i="15" s="1"/>
  <c r="P85" i="15"/>
  <c r="R85" i="15" s="1"/>
  <c r="W85" i="15" s="1"/>
  <c r="P86" i="15"/>
  <c r="R86" i="15" s="1"/>
  <c r="W86" i="15" s="1"/>
  <c r="P87" i="15"/>
  <c r="R87" i="15" s="1"/>
  <c r="W87" i="15" s="1"/>
  <c r="P88" i="15"/>
  <c r="R88" i="15" s="1"/>
  <c r="W88" i="15" s="1"/>
  <c r="P89" i="15"/>
  <c r="R89" i="15" s="1"/>
  <c r="W89" i="15" s="1"/>
  <c r="P90" i="15"/>
  <c r="R90" i="15" s="1"/>
  <c r="W90" i="15" s="1"/>
  <c r="P91" i="15"/>
  <c r="R91" i="15" s="1"/>
  <c r="W91" i="15" s="1"/>
  <c r="P92" i="15"/>
  <c r="R92" i="15" s="1"/>
  <c r="W92" i="15" s="1"/>
  <c r="P93" i="15"/>
  <c r="R93" i="15" s="1"/>
  <c r="W93" i="15" s="1"/>
  <c r="P94" i="15"/>
  <c r="R94" i="15" s="1"/>
  <c r="W94" i="15" s="1"/>
  <c r="P95" i="15"/>
  <c r="R95" i="15" s="1"/>
  <c r="W95" i="15" s="1"/>
  <c r="P96" i="15"/>
  <c r="R96" i="15" s="1"/>
  <c r="W96" i="15" s="1"/>
  <c r="P97" i="15"/>
  <c r="R97" i="15" s="1"/>
  <c r="W97" i="15" s="1"/>
  <c r="P98" i="15"/>
  <c r="R98" i="15" s="1"/>
  <c r="W98" i="15" s="1"/>
  <c r="P99" i="15"/>
  <c r="R99" i="15" s="1"/>
  <c r="W99" i="15" s="1"/>
  <c r="P100" i="15"/>
  <c r="R100" i="15" s="1"/>
  <c r="W100" i="15" s="1"/>
  <c r="P101" i="15"/>
  <c r="R101" i="15" s="1"/>
  <c r="W101" i="15" s="1"/>
  <c r="P102" i="15"/>
  <c r="R102" i="15" s="1"/>
  <c r="W102" i="15" s="1"/>
  <c r="P103" i="15"/>
  <c r="R103" i="15" s="1"/>
  <c r="W103" i="15" s="1"/>
  <c r="P104" i="15"/>
  <c r="R104" i="15" s="1"/>
  <c r="W104" i="15" s="1"/>
  <c r="P105" i="15"/>
  <c r="R105" i="15" s="1"/>
  <c r="W105" i="15" s="1"/>
  <c r="P106" i="15"/>
  <c r="R106" i="15" s="1"/>
  <c r="W106" i="15" s="1"/>
  <c r="P107" i="15"/>
  <c r="R107" i="15" s="1"/>
  <c r="W107" i="15" s="1"/>
  <c r="P108" i="15"/>
  <c r="R108" i="15" s="1"/>
  <c r="W108" i="15" s="1"/>
  <c r="P109" i="15"/>
  <c r="R109" i="15" s="1"/>
  <c r="W109" i="15" s="1"/>
  <c r="P110" i="15"/>
  <c r="R110" i="15" s="1"/>
  <c r="W110" i="15" s="1"/>
  <c r="P111" i="15"/>
  <c r="R111" i="15" s="1"/>
  <c r="W111" i="15" s="1"/>
  <c r="P112" i="15"/>
  <c r="R112" i="15" s="1"/>
  <c r="W112" i="15" s="1"/>
  <c r="P113" i="15"/>
  <c r="R113" i="15" s="1"/>
  <c r="W113" i="15" s="1"/>
  <c r="P114" i="15"/>
  <c r="R114" i="15" s="1"/>
  <c r="W114" i="15" s="1"/>
  <c r="P115" i="15"/>
  <c r="R115" i="15" s="1"/>
  <c r="W115" i="15" s="1"/>
  <c r="P116" i="15"/>
  <c r="R116" i="15" s="1"/>
  <c r="W116" i="15" s="1"/>
  <c r="P117" i="15"/>
  <c r="R117" i="15" s="1"/>
  <c r="W117" i="15" s="1"/>
  <c r="P118" i="15"/>
  <c r="R118" i="15" s="1"/>
  <c r="W118" i="15" s="1"/>
  <c r="P119" i="15"/>
  <c r="R119" i="15" s="1"/>
  <c r="W119" i="15" s="1"/>
  <c r="P120" i="15"/>
  <c r="R120" i="15" s="1"/>
  <c r="W120" i="15" s="1"/>
  <c r="P121" i="15"/>
  <c r="R121" i="15" s="1"/>
  <c r="W121" i="15" s="1"/>
  <c r="P122" i="15"/>
  <c r="R122" i="15" s="1"/>
  <c r="W122" i="15" s="1"/>
  <c r="P123" i="15"/>
  <c r="R123" i="15" s="1"/>
  <c r="W123" i="15" s="1"/>
  <c r="P124" i="15"/>
  <c r="R124" i="15" s="1"/>
  <c r="W124" i="15" s="1"/>
  <c r="P125" i="15"/>
  <c r="R125" i="15" s="1"/>
  <c r="W125" i="15" s="1"/>
  <c r="P126" i="15"/>
  <c r="R126" i="15" s="1"/>
  <c r="W126" i="15" s="1"/>
  <c r="P127" i="15"/>
  <c r="R127" i="15" s="1"/>
  <c r="W127" i="15" s="1"/>
  <c r="P128" i="15"/>
  <c r="R128" i="15" s="1"/>
  <c r="W128" i="15" s="1"/>
  <c r="P129" i="15"/>
  <c r="R129" i="15" s="1"/>
  <c r="W129" i="15" s="1"/>
  <c r="P130" i="15"/>
  <c r="R130" i="15" s="1"/>
  <c r="W130" i="15" s="1"/>
  <c r="P131" i="15"/>
  <c r="R131" i="15" s="1"/>
  <c r="W131" i="15" s="1"/>
  <c r="P132" i="15"/>
  <c r="R132" i="15" s="1"/>
  <c r="W132" i="15" s="1"/>
  <c r="P133" i="15"/>
  <c r="R133" i="15" s="1"/>
  <c r="W133" i="15" s="1"/>
  <c r="P134" i="15"/>
  <c r="R134" i="15" s="1"/>
  <c r="W134" i="15" s="1"/>
  <c r="P135" i="15"/>
  <c r="R135" i="15" s="1"/>
  <c r="W135" i="15" s="1"/>
  <c r="P136" i="15"/>
  <c r="R136" i="15" s="1"/>
  <c r="W136" i="15" s="1"/>
  <c r="P137" i="15"/>
  <c r="R137" i="15" s="1"/>
  <c r="W137" i="15" s="1"/>
  <c r="P138" i="15"/>
  <c r="R138" i="15" s="1"/>
  <c r="W138" i="15" s="1"/>
  <c r="P139" i="15"/>
  <c r="R139" i="15" s="1"/>
  <c r="W139" i="15" s="1"/>
  <c r="P140" i="15"/>
  <c r="R140" i="15" s="1"/>
  <c r="W140" i="15" s="1"/>
  <c r="P141" i="15"/>
  <c r="R141" i="15" s="1"/>
  <c r="W141" i="15" s="1"/>
  <c r="P142" i="15"/>
  <c r="R142" i="15" s="1"/>
  <c r="W142" i="15" s="1"/>
  <c r="P143" i="15"/>
  <c r="R143" i="15" s="1"/>
  <c r="W143" i="15" s="1"/>
  <c r="P144" i="15"/>
  <c r="R144" i="15" s="1"/>
  <c r="W144" i="15" s="1"/>
  <c r="P145" i="15"/>
  <c r="R145" i="15" s="1"/>
  <c r="W145" i="15" s="1"/>
  <c r="P146" i="15"/>
  <c r="R146" i="15" s="1"/>
  <c r="W146" i="15" s="1"/>
  <c r="P147" i="15"/>
  <c r="R147" i="15" s="1"/>
  <c r="W147" i="15" s="1"/>
  <c r="P148" i="15"/>
  <c r="R148" i="15" s="1"/>
  <c r="W148" i="15" s="1"/>
  <c r="P149" i="15"/>
  <c r="R149" i="15" s="1"/>
  <c r="W149" i="15" s="1"/>
  <c r="P150" i="15"/>
  <c r="R150" i="15" s="1"/>
  <c r="W150" i="15" s="1"/>
  <c r="P151" i="15"/>
  <c r="R151" i="15" s="1"/>
  <c r="W151" i="15" s="1"/>
  <c r="P152" i="15"/>
  <c r="R152" i="15" s="1"/>
  <c r="W152" i="15" s="1"/>
  <c r="P153" i="15"/>
  <c r="R153" i="15" s="1"/>
  <c r="W153" i="15" s="1"/>
  <c r="P154" i="15"/>
  <c r="R154" i="15" s="1"/>
  <c r="W154" i="15" s="1"/>
  <c r="P155" i="15"/>
  <c r="R155" i="15" s="1"/>
  <c r="W155" i="15" s="1"/>
  <c r="P156" i="15"/>
  <c r="R156" i="15" s="1"/>
  <c r="W156" i="15" s="1"/>
  <c r="P157" i="15"/>
  <c r="R157" i="15" s="1"/>
  <c r="W157" i="15" s="1"/>
  <c r="P158" i="15"/>
  <c r="R158" i="15" s="1"/>
  <c r="W158" i="15" s="1"/>
  <c r="P159" i="15"/>
  <c r="R159" i="15" s="1"/>
  <c r="W159" i="15" s="1"/>
  <c r="P160" i="15"/>
  <c r="R160" i="15" s="1"/>
  <c r="W160" i="15" s="1"/>
  <c r="P161" i="15"/>
  <c r="R161" i="15" s="1"/>
  <c r="W161" i="15" s="1"/>
  <c r="P162" i="15"/>
  <c r="R162" i="15" s="1"/>
  <c r="W162" i="15" s="1"/>
  <c r="P163" i="15"/>
  <c r="R163" i="15" s="1"/>
  <c r="W163" i="15" s="1"/>
  <c r="P164" i="15"/>
  <c r="R164" i="15" s="1"/>
  <c r="W164" i="15" s="1"/>
  <c r="P165" i="15"/>
  <c r="R165" i="15" s="1"/>
  <c r="W165" i="15" s="1"/>
  <c r="P166" i="15"/>
  <c r="R166" i="15" s="1"/>
  <c r="W166" i="15" s="1"/>
  <c r="P167" i="15"/>
  <c r="R167" i="15" s="1"/>
  <c r="W167" i="15" s="1"/>
  <c r="P168" i="15"/>
  <c r="R168" i="15" s="1"/>
  <c r="W168" i="15" s="1"/>
  <c r="P169" i="15"/>
  <c r="R169" i="15" s="1"/>
  <c r="W169" i="15" s="1"/>
  <c r="P170" i="15"/>
  <c r="R170" i="15" s="1"/>
  <c r="W170" i="15" s="1"/>
  <c r="P171" i="15"/>
  <c r="R171" i="15" s="1"/>
  <c r="W171" i="15" s="1"/>
  <c r="P172" i="15"/>
  <c r="R172" i="15" s="1"/>
  <c r="W172" i="15" s="1"/>
  <c r="P173" i="15"/>
  <c r="R173" i="15" s="1"/>
  <c r="W173" i="15" s="1"/>
  <c r="P174" i="15"/>
  <c r="R174" i="15" s="1"/>
  <c r="W174" i="15" s="1"/>
  <c r="P175" i="15"/>
  <c r="R175" i="15" s="1"/>
  <c r="W175" i="15" s="1"/>
  <c r="P176" i="15"/>
  <c r="R176" i="15" s="1"/>
  <c r="W176" i="15" s="1"/>
  <c r="P177" i="15"/>
  <c r="R177" i="15" s="1"/>
  <c r="W177" i="15" s="1"/>
  <c r="P178" i="15"/>
  <c r="R178" i="15" s="1"/>
  <c r="W178" i="15" s="1"/>
  <c r="P179" i="15"/>
  <c r="R179" i="15" s="1"/>
  <c r="W179" i="15" s="1"/>
  <c r="P180" i="15"/>
  <c r="R180" i="15" s="1"/>
  <c r="W180" i="15" s="1"/>
  <c r="P181" i="15"/>
  <c r="R181" i="15" s="1"/>
  <c r="W181" i="15" s="1"/>
  <c r="P182" i="15"/>
  <c r="R182" i="15" s="1"/>
  <c r="W182" i="15" s="1"/>
  <c r="P183" i="15"/>
  <c r="R183" i="15" s="1"/>
  <c r="W183" i="15" s="1"/>
  <c r="P184" i="15"/>
  <c r="R184" i="15" s="1"/>
  <c r="W184" i="15" s="1"/>
  <c r="P185" i="15"/>
  <c r="R185" i="15" s="1"/>
  <c r="W185" i="15" s="1"/>
  <c r="P186" i="15"/>
  <c r="R186" i="15" s="1"/>
  <c r="W186" i="15" s="1"/>
  <c r="P187" i="15"/>
  <c r="R187" i="15" s="1"/>
  <c r="W187" i="15" s="1"/>
  <c r="P188" i="15"/>
  <c r="R188" i="15" s="1"/>
  <c r="W188" i="15" s="1"/>
  <c r="P189" i="15"/>
  <c r="R189" i="15" s="1"/>
  <c r="W189" i="15" s="1"/>
  <c r="P190" i="15"/>
  <c r="R190" i="15" s="1"/>
  <c r="W190" i="15" s="1"/>
  <c r="P191" i="15"/>
  <c r="R191" i="15" s="1"/>
  <c r="W191" i="15" s="1"/>
  <c r="P192" i="15"/>
  <c r="R192" i="15" s="1"/>
  <c r="W192" i="15" s="1"/>
  <c r="P193" i="15"/>
  <c r="R193" i="15" s="1"/>
  <c r="W193" i="15" s="1"/>
  <c r="P194" i="15"/>
  <c r="R194" i="15" s="1"/>
  <c r="W194" i="15" s="1"/>
  <c r="P195" i="15"/>
  <c r="R195" i="15" s="1"/>
  <c r="W195" i="15" s="1"/>
  <c r="P196" i="15"/>
  <c r="R196" i="15" s="1"/>
  <c r="W196" i="15" s="1"/>
  <c r="P197" i="15"/>
  <c r="R197" i="15" s="1"/>
  <c r="W197" i="15" s="1"/>
  <c r="P198" i="15"/>
  <c r="R198" i="15" s="1"/>
  <c r="W198" i="15" s="1"/>
  <c r="P199" i="15"/>
  <c r="R199" i="15" s="1"/>
  <c r="W199" i="15" s="1"/>
  <c r="P200" i="15"/>
  <c r="R200" i="15" s="1"/>
  <c r="W200" i="15" s="1"/>
  <c r="P201" i="15"/>
  <c r="R201" i="15" s="1"/>
  <c r="W201" i="15" s="1"/>
  <c r="P202" i="15"/>
  <c r="R202" i="15" s="1"/>
  <c r="W202" i="15" s="1"/>
  <c r="P203" i="15"/>
  <c r="R203" i="15" s="1"/>
  <c r="W203" i="15" s="1"/>
  <c r="P204" i="15"/>
  <c r="R204" i="15" s="1"/>
  <c r="W204" i="15" s="1"/>
  <c r="P205" i="15"/>
  <c r="R205" i="15" s="1"/>
  <c r="W205" i="15" s="1"/>
  <c r="P206" i="15"/>
  <c r="R206" i="15" s="1"/>
  <c r="W206" i="15" s="1"/>
  <c r="P207" i="15"/>
  <c r="R207" i="15" s="1"/>
  <c r="W207" i="15" s="1"/>
  <c r="P208" i="15"/>
  <c r="R208" i="15" s="1"/>
  <c r="W208" i="15" s="1"/>
  <c r="P209" i="15"/>
  <c r="R209" i="15" s="1"/>
  <c r="W209" i="15" s="1"/>
  <c r="P210" i="15"/>
  <c r="R210" i="15" s="1"/>
  <c r="W210" i="15" s="1"/>
  <c r="P211" i="15"/>
  <c r="R211" i="15" s="1"/>
  <c r="W211" i="15" s="1"/>
  <c r="P212" i="15"/>
  <c r="R212" i="15" s="1"/>
  <c r="W212" i="15" s="1"/>
  <c r="P213" i="15"/>
  <c r="R213" i="15" s="1"/>
  <c r="W213" i="15" s="1"/>
  <c r="P214" i="15"/>
  <c r="R214" i="15" s="1"/>
  <c r="W214" i="15" s="1"/>
  <c r="P215" i="15"/>
  <c r="R215" i="15" s="1"/>
  <c r="W215" i="15" s="1"/>
  <c r="P216" i="15"/>
  <c r="R216" i="15" s="1"/>
  <c r="W216" i="15" s="1"/>
  <c r="P217" i="15"/>
  <c r="R217" i="15" s="1"/>
  <c r="W217" i="15" s="1"/>
  <c r="P218" i="15"/>
  <c r="R218" i="15" s="1"/>
  <c r="W218" i="15" s="1"/>
  <c r="P219" i="15"/>
  <c r="R219" i="15" s="1"/>
  <c r="W219" i="15" s="1"/>
  <c r="P220" i="15"/>
  <c r="R220" i="15" s="1"/>
  <c r="W220" i="15" s="1"/>
  <c r="P221" i="15"/>
  <c r="R221" i="15" s="1"/>
  <c r="W221" i="15" s="1"/>
  <c r="P222" i="15"/>
  <c r="R222" i="15" s="1"/>
  <c r="W222" i="15" s="1"/>
  <c r="P223" i="15"/>
  <c r="R223" i="15" s="1"/>
  <c r="W223" i="15" s="1"/>
  <c r="P224" i="15"/>
  <c r="R224" i="15" s="1"/>
  <c r="W224" i="15" s="1"/>
  <c r="P225" i="15"/>
  <c r="R225" i="15" s="1"/>
  <c r="W225" i="15" s="1"/>
  <c r="P226" i="15"/>
  <c r="R226" i="15" s="1"/>
  <c r="W226" i="15" s="1"/>
  <c r="P227" i="15"/>
  <c r="R227" i="15" s="1"/>
  <c r="W227" i="15" s="1"/>
  <c r="P228" i="15"/>
  <c r="R228" i="15" s="1"/>
  <c r="W228" i="15" s="1"/>
  <c r="P229" i="15"/>
  <c r="R229" i="15" s="1"/>
  <c r="W229" i="15" s="1"/>
  <c r="P230" i="15"/>
  <c r="R230" i="15" s="1"/>
  <c r="W230" i="15" s="1"/>
  <c r="P231" i="15"/>
  <c r="R231" i="15" s="1"/>
  <c r="W231" i="15" s="1"/>
  <c r="P232" i="15"/>
  <c r="R232" i="15" s="1"/>
  <c r="W232" i="15" s="1"/>
  <c r="P233" i="15"/>
  <c r="R233" i="15" s="1"/>
  <c r="W233" i="15" s="1"/>
  <c r="P234" i="15"/>
  <c r="R234" i="15" s="1"/>
  <c r="W234" i="15" s="1"/>
  <c r="P235" i="15"/>
  <c r="R235" i="15" s="1"/>
  <c r="W235" i="15" s="1"/>
  <c r="P236" i="15"/>
  <c r="R236" i="15" s="1"/>
  <c r="W236" i="15" s="1"/>
  <c r="P237" i="15"/>
  <c r="R237" i="15" s="1"/>
  <c r="W237" i="15" s="1"/>
  <c r="P238" i="15"/>
  <c r="R238" i="15" s="1"/>
  <c r="W238" i="15" s="1"/>
  <c r="P239" i="15"/>
  <c r="R239" i="15" s="1"/>
  <c r="W239" i="15" s="1"/>
  <c r="P240" i="15"/>
  <c r="R240" i="15" s="1"/>
  <c r="W240" i="15" s="1"/>
  <c r="P241" i="15"/>
  <c r="R241" i="15" s="1"/>
  <c r="W241" i="15" s="1"/>
  <c r="P242" i="15"/>
  <c r="R242" i="15" s="1"/>
  <c r="W242" i="15" s="1"/>
  <c r="P243" i="15"/>
  <c r="R243" i="15" s="1"/>
  <c r="W243" i="15" s="1"/>
  <c r="P244" i="15"/>
  <c r="R244" i="15" s="1"/>
  <c r="W244" i="15" s="1"/>
  <c r="P245" i="15"/>
  <c r="R245" i="15" s="1"/>
  <c r="W245" i="15" s="1"/>
  <c r="P246" i="15"/>
  <c r="R246" i="15" s="1"/>
  <c r="W246" i="15" s="1"/>
  <c r="P247" i="15"/>
  <c r="R247" i="15" s="1"/>
  <c r="W247" i="15" s="1"/>
  <c r="P248" i="15"/>
  <c r="R248" i="15" s="1"/>
  <c r="W248" i="15" s="1"/>
  <c r="P249" i="15"/>
  <c r="R249" i="15" s="1"/>
  <c r="W249" i="15" s="1"/>
  <c r="P250" i="15"/>
  <c r="R250" i="15" s="1"/>
  <c r="W250" i="15" s="1"/>
  <c r="P251" i="15"/>
  <c r="R251" i="15" s="1"/>
  <c r="W251" i="15" s="1"/>
  <c r="P252" i="15"/>
  <c r="R252" i="15" s="1"/>
  <c r="W252" i="15" s="1"/>
  <c r="P253" i="15"/>
  <c r="R253" i="15" s="1"/>
  <c r="W253" i="15" s="1"/>
  <c r="P254" i="15"/>
  <c r="R254" i="15" s="1"/>
  <c r="W254" i="15" s="1"/>
  <c r="P255" i="15"/>
  <c r="R255" i="15" s="1"/>
  <c r="W255" i="15" s="1"/>
  <c r="P256" i="15"/>
  <c r="R256" i="15" s="1"/>
  <c r="W256" i="15" s="1"/>
  <c r="P257" i="15"/>
  <c r="R257" i="15" s="1"/>
  <c r="W257" i="15" s="1"/>
  <c r="P258" i="15"/>
  <c r="R258" i="15" s="1"/>
  <c r="W258" i="15" s="1"/>
  <c r="P259" i="15"/>
  <c r="R259" i="15" s="1"/>
  <c r="W259" i="15" s="1"/>
  <c r="P260" i="15"/>
  <c r="R260" i="15" s="1"/>
  <c r="W260" i="15" s="1"/>
  <c r="P261" i="15"/>
  <c r="R261" i="15" s="1"/>
  <c r="W261" i="15" s="1"/>
  <c r="P262" i="15"/>
  <c r="R262" i="15" s="1"/>
  <c r="W262" i="15" s="1"/>
  <c r="P263" i="15"/>
  <c r="R263" i="15" s="1"/>
  <c r="W263" i="15" s="1"/>
  <c r="P264" i="15"/>
  <c r="R264" i="15" s="1"/>
  <c r="W264" i="15" s="1"/>
  <c r="P265" i="15"/>
  <c r="R265" i="15" s="1"/>
  <c r="W265" i="15" s="1"/>
  <c r="P266" i="15"/>
  <c r="R266" i="15" s="1"/>
  <c r="W266" i="15" s="1"/>
  <c r="P267" i="15"/>
  <c r="R267" i="15" s="1"/>
  <c r="W267" i="15" s="1"/>
  <c r="P268" i="15"/>
  <c r="R268" i="15" s="1"/>
  <c r="W268" i="15" s="1"/>
  <c r="P269" i="15"/>
  <c r="R269" i="15" s="1"/>
  <c r="W269" i="15" s="1"/>
  <c r="P270" i="15"/>
  <c r="R270" i="15" s="1"/>
  <c r="W270" i="15" s="1"/>
  <c r="P271" i="15"/>
  <c r="R271" i="15" s="1"/>
  <c r="W271" i="15" s="1"/>
  <c r="P272" i="15"/>
  <c r="R272" i="15" s="1"/>
  <c r="W272" i="15" s="1"/>
  <c r="P273" i="15"/>
  <c r="R273" i="15" s="1"/>
  <c r="W273" i="15" s="1"/>
  <c r="P274" i="15"/>
  <c r="R274" i="15" s="1"/>
  <c r="W274" i="15" s="1"/>
  <c r="P275" i="15"/>
  <c r="R275" i="15" s="1"/>
  <c r="W275" i="15" s="1"/>
  <c r="P276" i="15"/>
  <c r="R276" i="15" s="1"/>
  <c r="W276" i="15" s="1"/>
  <c r="P277" i="15"/>
  <c r="R277" i="15" s="1"/>
  <c r="W277" i="15" s="1"/>
  <c r="P278" i="15"/>
  <c r="R278" i="15" s="1"/>
  <c r="W278" i="15" s="1"/>
  <c r="P279" i="15"/>
  <c r="R279" i="15" s="1"/>
  <c r="W279" i="15" s="1"/>
  <c r="P280" i="15"/>
  <c r="R280" i="15" s="1"/>
  <c r="W280" i="15" s="1"/>
  <c r="P281" i="15"/>
  <c r="R281" i="15" s="1"/>
  <c r="W281" i="15" s="1"/>
  <c r="P282" i="15"/>
  <c r="R282" i="15" s="1"/>
  <c r="W282" i="15" s="1"/>
  <c r="P283" i="15"/>
  <c r="R283" i="15" s="1"/>
  <c r="W283" i="15" s="1"/>
  <c r="P284" i="15"/>
  <c r="R284" i="15" s="1"/>
  <c r="W284" i="15" s="1"/>
  <c r="P285" i="15"/>
  <c r="R285" i="15" s="1"/>
  <c r="W285" i="15" s="1"/>
  <c r="P286" i="15"/>
  <c r="R286" i="15" s="1"/>
  <c r="W286" i="15" s="1"/>
  <c r="P287" i="15"/>
  <c r="R287" i="15" s="1"/>
  <c r="W287" i="15" s="1"/>
  <c r="P288" i="15"/>
  <c r="R288" i="15" s="1"/>
  <c r="W288" i="15" s="1"/>
  <c r="P289" i="15"/>
  <c r="R289" i="15" s="1"/>
  <c r="W289" i="15" s="1"/>
  <c r="P290" i="15"/>
  <c r="R290" i="15" s="1"/>
  <c r="W290" i="15" s="1"/>
  <c r="P291" i="15"/>
  <c r="R291" i="15" s="1"/>
  <c r="W291" i="15" s="1"/>
  <c r="P292" i="15"/>
  <c r="R292" i="15" s="1"/>
  <c r="W292" i="15" s="1"/>
  <c r="P293" i="15"/>
  <c r="R293" i="15" s="1"/>
  <c r="W293" i="15" s="1"/>
  <c r="P294" i="15"/>
  <c r="R294" i="15" s="1"/>
  <c r="W294" i="15" s="1"/>
  <c r="P295" i="15"/>
  <c r="R295" i="15" s="1"/>
  <c r="W295" i="15" s="1"/>
  <c r="P296" i="15"/>
  <c r="R296" i="15" s="1"/>
  <c r="W296" i="15" s="1"/>
  <c r="P297" i="15"/>
  <c r="R297" i="15" s="1"/>
  <c r="W297" i="15" s="1"/>
  <c r="P298" i="15"/>
  <c r="R298" i="15" s="1"/>
  <c r="W298" i="15" s="1"/>
  <c r="P299" i="15"/>
  <c r="R299" i="15" s="1"/>
  <c r="W299" i="15" s="1"/>
  <c r="P300" i="15"/>
  <c r="R300" i="15" s="1"/>
  <c r="W300" i="15" s="1"/>
  <c r="P301" i="15"/>
  <c r="R301" i="15" s="1"/>
  <c r="W301" i="15" s="1"/>
  <c r="P302" i="15"/>
  <c r="R302" i="15" s="1"/>
  <c r="W302" i="15" s="1"/>
  <c r="P303" i="15"/>
  <c r="R303" i="15" s="1"/>
  <c r="W303" i="15" s="1"/>
  <c r="P304" i="15"/>
  <c r="R304" i="15" s="1"/>
  <c r="W304" i="15" s="1"/>
  <c r="P305" i="15"/>
  <c r="R305" i="15" s="1"/>
  <c r="W305" i="15" s="1"/>
  <c r="P306" i="15"/>
  <c r="R306" i="15" s="1"/>
  <c r="W306" i="15" s="1"/>
  <c r="P307" i="15"/>
  <c r="R307" i="15" s="1"/>
  <c r="W307" i="15" s="1"/>
  <c r="P308" i="15"/>
  <c r="R308" i="15" s="1"/>
  <c r="W308" i="15" s="1"/>
  <c r="P309" i="15"/>
  <c r="R309" i="15" s="1"/>
  <c r="W309" i="15" s="1"/>
  <c r="P310" i="15"/>
  <c r="R310" i="15" s="1"/>
  <c r="W310" i="15" s="1"/>
  <c r="P311" i="15"/>
  <c r="R311" i="15" s="1"/>
  <c r="W311" i="15" s="1"/>
  <c r="P312" i="15"/>
  <c r="R312" i="15" s="1"/>
  <c r="W312" i="15" s="1"/>
  <c r="P313" i="15"/>
  <c r="R313" i="15" s="1"/>
  <c r="W313" i="15" s="1"/>
  <c r="P314" i="15"/>
  <c r="R314" i="15" s="1"/>
  <c r="W314" i="15" s="1"/>
  <c r="P315" i="15"/>
  <c r="R315" i="15" s="1"/>
  <c r="W315" i="15" s="1"/>
  <c r="P316" i="15"/>
  <c r="R316" i="15" s="1"/>
  <c r="W316" i="15" s="1"/>
  <c r="P317" i="15"/>
  <c r="R317" i="15" s="1"/>
  <c r="W317" i="15" s="1"/>
  <c r="P318" i="15"/>
  <c r="R318" i="15" s="1"/>
  <c r="W318" i="15" s="1"/>
  <c r="P319" i="15"/>
  <c r="R319" i="15" s="1"/>
  <c r="W319" i="15" s="1"/>
  <c r="P320" i="15"/>
  <c r="R320" i="15" s="1"/>
  <c r="W320" i="15" s="1"/>
  <c r="P321" i="15"/>
  <c r="R321" i="15" s="1"/>
  <c r="W321" i="15" s="1"/>
  <c r="P322" i="15"/>
  <c r="R322" i="15" s="1"/>
  <c r="W322" i="15" s="1"/>
  <c r="P323" i="15"/>
  <c r="R323" i="15" s="1"/>
  <c r="W323" i="15" s="1"/>
  <c r="P324" i="15"/>
  <c r="R324" i="15" s="1"/>
  <c r="W324" i="15" s="1"/>
  <c r="P325" i="15"/>
  <c r="R325" i="15" s="1"/>
  <c r="V325" i="15" s="1"/>
  <c r="W325" i="15" s="1"/>
  <c r="P326" i="15"/>
  <c r="R326" i="15" s="1"/>
  <c r="V326" i="15" s="1"/>
  <c r="W326" i="15" s="1"/>
  <c r="P327" i="15"/>
  <c r="R327" i="15" s="1"/>
  <c r="V327" i="15" s="1"/>
  <c r="W327" i="15" s="1"/>
  <c r="P328" i="15"/>
  <c r="R328" i="15" s="1"/>
  <c r="V328" i="15" s="1"/>
  <c r="W328" i="15" s="1"/>
  <c r="P329" i="15"/>
  <c r="R329" i="15" s="1"/>
  <c r="V329" i="15" s="1"/>
  <c r="W329" i="15" s="1"/>
  <c r="P330" i="15"/>
  <c r="R330" i="15" s="1"/>
  <c r="V330" i="15" s="1"/>
  <c r="W330" i="15" s="1"/>
  <c r="P331" i="15"/>
  <c r="R331" i="15" s="1"/>
  <c r="V331" i="15" s="1"/>
  <c r="W331" i="15" s="1"/>
  <c r="P332" i="15"/>
  <c r="R332" i="15" s="1"/>
  <c r="V332" i="15" s="1"/>
  <c r="W332" i="15" s="1"/>
  <c r="P333" i="15"/>
  <c r="R333" i="15" s="1"/>
  <c r="V333" i="15" s="1"/>
  <c r="W333" i="15" s="1"/>
  <c r="P334" i="15"/>
  <c r="R334" i="15" s="1"/>
  <c r="V334" i="15" s="1"/>
  <c r="W334" i="15" s="1"/>
  <c r="P335" i="15"/>
  <c r="R335" i="15" s="1"/>
  <c r="V335" i="15" s="1"/>
  <c r="W335" i="15" s="1"/>
  <c r="P336" i="15"/>
  <c r="R336" i="15" s="1"/>
  <c r="V336" i="15" s="1"/>
  <c r="W336" i="15" s="1"/>
  <c r="P337" i="15"/>
  <c r="R337" i="15" s="1"/>
  <c r="V337" i="15" s="1"/>
  <c r="W337" i="15" s="1"/>
  <c r="P338" i="15"/>
  <c r="R338" i="15" s="1"/>
  <c r="V338" i="15" s="1"/>
  <c r="W338" i="15" s="1"/>
  <c r="P339" i="15"/>
  <c r="R339" i="15" s="1"/>
  <c r="V339" i="15" s="1"/>
  <c r="W339" i="15" s="1"/>
  <c r="P340" i="15"/>
  <c r="R340" i="15" s="1"/>
  <c r="V340" i="15" s="1"/>
  <c r="W340" i="15" s="1"/>
  <c r="P341" i="15"/>
  <c r="R341" i="15" s="1"/>
  <c r="V341" i="15" s="1"/>
  <c r="W341" i="15" s="1"/>
  <c r="P342" i="15"/>
  <c r="R342" i="15" s="1"/>
  <c r="V342" i="15" s="1"/>
  <c r="W342" i="15" s="1"/>
  <c r="P343" i="15"/>
  <c r="R343" i="15" s="1"/>
  <c r="V343" i="15" s="1"/>
  <c r="W343" i="15" s="1"/>
  <c r="P344" i="15"/>
  <c r="R344" i="15" s="1"/>
  <c r="V344" i="15" s="1"/>
  <c r="W344" i="15" s="1"/>
  <c r="P345" i="15"/>
  <c r="R345" i="15" s="1"/>
  <c r="V345" i="15" s="1"/>
  <c r="W345" i="15" s="1"/>
  <c r="P346" i="15"/>
  <c r="R346" i="15" s="1"/>
  <c r="V346" i="15" s="1"/>
  <c r="W346" i="15" s="1"/>
  <c r="P347" i="15"/>
  <c r="R347" i="15" s="1"/>
  <c r="V347" i="15" s="1"/>
  <c r="W347" i="15" s="1"/>
  <c r="P348" i="15"/>
  <c r="R348" i="15" s="1"/>
  <c r="V348" i="15" s="1"/>
  <c r="W348" i="15" s="1"/>
  <c r="P349" i="15"/>
  <c r="R349" i="15" s="1"/>
  <c r="V349" i="15" s="1"/>
  <c r="W349" i="15" s="1"/>
  <c r="P350" i="15"/>
  <c r="R350" i="15" s="1"/>
  <c r="V350" i="15" s="1"/>
  <c r="W350" i="15" s="1"/>
  <c r="P351" i="15"/>
  <c r="R351" i="15" s="1"/>
  <c r="V351" i="15" s="1"/>
  <c r="W351" i="15" s="1"/>
  <c r="P352" i="15"/>
  <c r="R352" i="15" s="1"/>
  <c r="V352" i="15" s="1"/>
  <c r="W352" i="15" s="1"/>
  <c r="P353" i="15"/>
  <c r="R353" i="15" s="1"/>
  <c r="V353" i="15" s="1"/>
  <c r="W353" i="15" s="1"/>
  <c r="P354" i="15"/>
  <c r="R354" i="15" s="1"/>
  <c r="V354" i="15" s="1"/>
  <c r="W354" i="15" s="1"/>
  <c r="P355" i="15"/>
  <c r="R355" i="15" s="1"/>
  <c r="V355" i="15" s="1"/>
  <c r="W355" i="15" s="1"/>
  <c r="P356" i="15"/>
  <c r="R356" i="15" s="1"/>
  <c r="V356" i="15" s="1"/>
  <c r="W356" i="15" s="1"/>
  <c r="P357" i="15"/>
  <c r="R357" i="15" s="1"/>
  <c r="V357" i="15" s="1"/>
  <c r="W357" i="15" s="1"/>
  <c r="P358" i="15"/>
  <c r="R358" i="15" s="1"/>
  <c r="V358" i="15" s="1"/>
  <c r="W358" i="15" s="1"/>
  <c r="P359" i="15"/>
  <c r="R359" i="15" s="1"/>
  <c r="V359" i="15" s="1"/>
  <c r="W359" i="15" s="1"/>
  <c r="P360" i="15"/>
  <c r="R360" i="15" s="1"/>
  <c r="V360" i="15" s="1"/>
  <c r="W360" i="15" s="1"/>
  <c r="P361" i="15"/>
  <c r="R361" i="15" s="1"/>
  <c r="V361" i="15" s="1"/>
  <c r="W361" i="15" s="1"/>
  <c r="P362" i="15"/>
  <c r="R362" i="15" s="1"/>
  <c r="V362" i="15" s="1"/>
  <c r="W362" i="15" s="1"/>
  <c r="P363" i="15"/>
  <c r="R363" i="15" s="1"/>
  <c r="V363" i="15" s="1"/>
  <c r="W363" i="15" s="1"/>
  <c r="P364" i="15"/>
  <c r="R364" i="15" s="1"/>
  <c r="V364" i="15" s="1"/>
  <c r="W364" i="15" s="1"/>
  <c r="P365" i="15"/>
  <c r="R365" i="15" s="1"/>
  <c r="V365" i="15" s="1"/>
  <c r="W365" i="15" s="1"/>
  <c r="P366" i="15"/>
  <c r="R366" i="15" s="1"/>
  <c r="V366" i="15" s="1"/>
  <c r="W366" i="15" s="1"/>
  <c r="P367" i="15"/>
  <c r="R367" i="15" s="1"/>
  <c r="V367" i="15" s="1"/>
  <c r="W367" i="15" s="1"/>
  <c r="P368" i="15"/>
  <c r="R368" i="15" s="1"/>
  <c r="V368" i="15" s="1"/>
  <c r="W368" i="15" s="1"/>
  <c r="P369" i="15"/>
  <c r="R369" i="15" s="1"/>
  <c r="V369" i="15" s="1"/>
  <c r="W369" i="15" s="1"/>
  <c r="P370" i="15"/>
  <c r="R370" i="15" s="1"/>
  <c r="V370" i="15" s="1"/>
  <c r="W370" i="15" s="1"/>
  <c r="P371" i="15"/>
  <c r="R371" i="15" s="1"/>
  <c r="V371" i="15" s="1"/>
  <c r="W371" i="15" s="1"/>
  <c r="P372" i="15"/>
  <c r="R372" i="15" s="1"/>
  <c r="V372" i="15" s="1"/>
  <c r="W372" i="15" s="1"/>
  <c r="P373" i="15"/>
  <c r="R373" i="15" s="1"/>
  <c r="V373" i="15" s="1"/>
  <c r="W373" i="15" s="1"/>
  <c r="P374" i="15"/>
  <c r="R374" i="15" s="1"/>
  <c r="V374" i="15" s="1"/>
  <c r="W374" i="15" s="1"/>
  <c r="P375" i="15"/>
  <c r="R375" i="15" s="1"/>
  <c r="V375" i="15" s="1"/>
  <c r="W375" i="15" s="1"/>
  <c r="P376" i="15"/>
  <c r="R376" i="15" s="1"/>
  <c r="V376" i="15" s="1"/>
  <c r="W376" i="15" s="1"/>
  <c r="P377" i="15"/>
  <c r="R377" i="15" s="1"/>
  <c r="V377" i="15" s="1"/>
  <c r="W377" i="15" s="1"/>
  <c r="P378" i="15"/>
  <c r="R378" i="15" s="1"/>
  <c r="V378" i="15" s="1"/>
  <c r="W378" i="15" s="1"/>
  <c r="P379" i="15"/>
  <c r="R379" i="15" s="1"/>
  <c r="V379" i="15" s="1"/>
  <c r="W379" i="15" s="1"/>
  <c r="P380" i="15"/>
  <c r="R380" i="15" s="1"/>
  <c r="V380" i="15" s="1"/>
  <c r="W380" i="15" s="1"/>
  <c r="P381" i="15"/>
  <c r="R381" i="15" s="1"/>
  <c r="V381" i="15" s="1"/>
  <c r="W381" i="15" s="1"/>
  <c r="P382" i="15"/>
  <c r="R382" i="15" s="1"/>
  <c r="V382" i="15" s="1"/>
  <c r="W382" i="15" s="1"/>
  <c r="P383" i="15"/>
  <c r="R383" i="15" s="1"/>
  <c r="V383" i="15" s="1"/>
  <c r="W383" i="15" s="1"/>
  <c r="P384" i="15"/>
  <c r="R384" i="15" s="1"/>
  <c r="V384" i="15" s="1"/>
  <c r="W384" i="15" s="1"/>
  <c r="P385" i="15"/>
  <c r="R385" i="15" s="1"/>
  <c r="V385" i="15" s="1"/>
  <c r="W385" i="15" s="1"/>
  <c r="P386" i="15"/>
  <c r="R386" i="15" s="1"/>
  <c r="V386" i="15" s="1"/>
  <c r="W386" i="15" s="1"/>
  <c r="P387" i="15"/>
  <c r="R387" i="15" s="1"/>
  <c r="V387" i="15" s="1"/>
  <c r="W387" i="15" s="1"/>
  <c r="P388" i="15"/>
  <c r="R388" i="15" s="1"/>
  <c r="V388" i="15" s="1"/>
  <c r="W388" i="15" s="1"/>
  <c r="P389" i="15"/>
  <c r="R389" i="15" s="1"/>
  <c r="V389" i="15" s="1"/>
  <c r="W389" i="15" s="1"/>
  <c r="P390" i="15"/>
  <c r="R390" i="15" s="1"/>
  <c r="V390" i="15" s="1"/>
  <c r="W390" i="15" s="1"/>
  <c r="P391" i="15"/>
  <c r="R391" i="15" s="1"/>
  <c r="V391" i="15" s="1"/>
  <c r="W391" i="15" s="1"/>
  <c r="P392" i="15"/>
  <c r="R392" i="15" s="1"/>
  <c r="V392" i="15" s="1"/>
  <c r="W392" i="15" s="1"/>
  <c r="P393" i="15"/>
  <c r="R393" i="15" s="1"/>
  <c r="V393" i="15" s="1"/>
  <c r="W393" i="15" s="1"/>
  <c r="P394" i="15"/>
  <c r="R394" i="15" s="1"/>
  <c r="V394" i="15" s="1"/>
  <c r="W394" i="15" s="1"/>
  <c r="P395" i="15"/>
  <c r="R395" i="15" s="1"/>
  <c r="V395" i="15" s="1"/>
  <c r="W395" i="15" s="1"/>
  <c r="P396" i="15"/>
  <c r="R396" i="15" s="1"/>
  <c r="V396" i="15" s="1"/>
  <c r="W396" i="15" s="1"/>
  <c r="P397" i="15"/>
  <c r="R397" i="15" s="1"/>
  <c r="V397" i="15" s="1"/>
  <c r="W397" i="15" s="1"/>
  <c r="P398" i="15"/>
  <c r="R398" i="15" s="1"/>
  <c r="V398" i="15" s="1"/>
  <c r="W398" i="15" s="1"/>
  <c r="P399" i="15"/>
  <c r="R399" i="15" s="1"/>
  <c r="V399" i="15" s="1"/>
  <c r="W399" i="15" s="1"/>
  <c r="P400" i="15"/>
  <c r="R400" i="15" s="1"/>
  <c r="V400" i="15" s="1"/>
  <c r="W400" i="15" s="1"/>
  <c r="P401" i="15"/>
  <c r="R401" i="15" s="1"/>
  <c r="V401" i="15" s="1"/>
  <c r="W401" i="15" s="1"/>
  <c r="P402" i="15"/>
  <c r="R402" i="15" s="1"/>
  <c r="V402" i="15" s="1"/>
  <c r="W402" i="15" s="1"/>
  <c r="P403" i="15"/>
  <c r="R403" i="15" s="1"/>
  <c r="V403" i="15" s="1"/>
  <c r="W403" i="15" s="1"/>
  <c r="P404" i="15"/>
  <c r="R404" i="15" s="1"/>
  <c r="V404" i="15" s="1"/>
  <c r="W404" i="15" s="1"/>
  <c r="P405" i="15"/>
  <c r="R405" i="15" s="1"/>
  <c r="V405" i="15" s="1"/>
  <c r="W405" i="15" s="1"/>
  <c r="P406" i="15"/>
  <c r="R406" i="15" s="1"/>
  <c r="V406" i="15" s="1"/>
  <c r="W406" i="15" s="1"/>
  <c r="P407" i="15"/>
  <c r="R407" i="15" s="1"/>
  <c r="V407" i="15" s="1"/>
  <c r="W407" i="15" s="1"/>
  <c r="P408" i="15"/>
  <c r="R408" i="15" s="1"/>
  <c r="V408" i="15" s="1"/>
  <c r="W408" i="15" s="1"/>
  <c r="P409" i="15"/>
  <c r="R409" i="15" s="1"/>
  <c r="V409" i="15" s="1"/>
  <c r="W409" i="15" s="1"/>
  <c r="P410" i="15"/>
  <c r="R410" i="15" s="1"/>
  <c r="V410" i="15" s="1"/>
  <c r="W410" i="15" s="1"/>
  <c r="P411" i="15"/>
  <c r="R411" i="15" s="1"/>
  <c r="V411" i="15" s="1"/>
  <c r="W411" i="15" s="1"/>
  <c r="P412" i="15"/>
  <c r="R412" i="15" s="1"/>
  <c r="V412" i="15" s="1"/>
  <c r="W412" i="15" s="1"/>
  <c r="P413" i="15"/>
  <c r="R413" i="15" s="1"/>
  <c r="V413" i="15" s="1"/>
  <c r="W413" i="15" s="1"/>
  <c r="P414" i="15"/>
  <c r="R414" i="15" s="1"/>
  <c r="V414" i="15" s="1"/>
  <c r="W414" i="15" s="1"/>
  <c r="P415" i="15"/>
  <c r="R415" i="15" s="1"/>
  <c r="V415" i="15" s="1"/>
  <c r="W415" i="15" s="1"/>
  <c r="P416" i="15"/>
  <c r="R416" i="15" s="1"/>
  <c r="V416" i="15" s="1"/>
  <c r="W416" i="15" s="1"/>
  <c r="P417" i="15"/>
  <c r="R417" i="15" s="1"/>
  <c r="V417" i="15" s="1"/>
  <c r="W417" i="15" s="1"/>
  <c r="P418" i="15"/>
  <c r="R418" i="15" s="1"/>
  <c r="V418" i="15" s="1"/>
  <c r="W418" i="15" s="1"/>
  <c r="P419" i="15"/>
  <c r="R419" i="15" s="1"/>
  <c r="V419" i="15" s="1"/>
  <c r="W419" i="15" s="1"/>
  <c r="P420" i="15"/>
  <c r="R420" i="15" s="1"/>
  <c r="V420" i="15" s="1"/>
  <c r="W420" i="15" s="1"/>
  <c r="P421" i="15"/>
  <c r="R421" i="15" s="1"/>
  <c r="V421" i="15" s="1"/>
  <c r="W421" i="15" s="1"/>
  <c r="P422" i="15"/>
  <c r="R422" i="15" s="1"/>
  <c r="V422" i="15" s="1"/>
  <c r="W422" i="15" s="1"/>
  <c r="P423" i="15"/>
  <c r="R423" i="15" s="1"/>
  <c r="V423" i="15" s="1"/>
  <c r="W423" i="15" s="1"/>
  <c r="P424" i="15"/>
  <c r="R424" i="15" s="1"/>
  <c r="V424" i="15" s="1"/>
  <c r="W424" i="15" s="1"/>
  <c r="P425" i="15"/>
  <c r="R425" i="15" s="1"/>
  <c r="V425" i="15" s="1"/>
  <c r="W425" i="15" s="1"/>
  <c r="P426" i="15"/>
  <c r="R426" i="15" s="1"/>
  <c r="V426" i="15" s="1"/>
  <c r="W426" i="15" s="1"/>
  <c r="P427" i="15"/>
  <c r="R427" i="15" s="1"/>
  <c r="V427" i="15" s="1"/>
  <c r="W427" i="15" s="1"/>
  <c r="P428" i="15"/>
  <c r="R428" i="15" s="1"/>
  <c r="V428" i="15" s="1"/>
  <c r="W428" i="15" s="1"/>
  <c r="P429" i="15"/>
  <c r="R429" i="15" s="1"/>
  <c r="V429" i="15" s="1"/>
  <c r="W429" i="15" s="1"/>
  <c r="P430" i="15"/>
  <c r="R430" i="15" s="1"/>
  <c r="V430" i="15" s="1"/>
  <c r="W430" i="15" s="1"/>
  <c r="P431" i="15"/>
  <c r="R431" i="15" s="1"/>
  <c r="V431" i="15" s="1"/>
  <c r="W431" i="15" s="1"/>
  <c r="P432" i="15"/>
  <c r="R432" i="15" s="1"/>
  <c r="V432" i="15" s="1"/>
  <c r="W432" i="15" s="1"/>
  <c r="P433" i="15"/>
  <c r="R433" i="15" s="1"/>
  <c r="V433" i="15" s="1"/>
  <c r="W433" i="15" s="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Q432" i="15" l="1"/>
  <c r="AR432" i="15"/>
  <c r="AQ377" i="15"/>
  <c r="AR377" i="15"/>
  <c r="AQ278" i="15"/>
  <c r="AR278" i="15"/>
  <c r="AQ190" i="15"/>
  <c r="AR190" i="15"/>
  <c r="AQ102" i="15"/>
  <c r="AR102" i="15"/>
  <c r="AQ387" i="15"/>
  <c r="AR387" i="15"/>
  <c r="AQ277" i="15"/>
  <c r="AR277" i="15"/>
  <c r="AQ178" i="15"/>
  <c r="AR178" i="15"/>
  <c r="AQ386" i="15"/>
  <c r="AR386" i="15"/>
  <c r="AQ287" i="15"/>
  <c r="AR287" i="15"/>
  <c r="AQ210" i="15"/>
  <c r="AR210" i="15"/>
  <c r="AQ199" i="15"/>
  <c r="AR199" i="15"/>
  <c r="AQ133" i="15"/>
  <c r="AR133" i="15"/>
  <c r="AQ89" i="15"/>
  <c r="AR89" i="15"/>
  <c r="AQ429" i="15"/>
  <c r="AR429" i="15"/>
  <c r="AQ352" i="15"/>
  <c r="AR352" i="15"/>
  <c r="AQ275" i="15"/>
  <c r="AR275" i="15"/>
  <c r="AQ165" i="15"/>
  <c r="AR165" i="15"/>
  <c r="AQ362" i="15"/>
  <c r="AR362" i="15"/>
  <c r="AQ307" i="15"/>
  <c r="AR307" i="15"/>
  <c r="AQ252" i="15"/>
  <c r="AR252" i="15"/>
  <c r="AQ197" i="15"/>
  <c r="AR197" i="15"/>
  <c r="AQ153" i="15"/>
  <c r="AR153" i="15"/>
  <c r="AQ76" i="15"/>
  <c r="AR76" i="15"/>
  <c r="AQ433" i="15"/>
  <c r="AR433" i="15"/>
  <c r="AQ422" i="15"/>
  <c r="AR422" i="15"/>
  <c r="AQ411" i="15"/>
  <c r="AR411" i="15"/>
  <c r="AQ400" i="15"/>
  <c r="AR400" i="15"/>
  <c r="AQ389" i="15"/>
  <c r="AR389" i="15"/>
  <c r="AQ378" i="15"/>
  <c r="AR378" i="15"/>
  <c r="AQ367" i="15"/>
  <c r="AR367" i="15"/>
  <c r="AQ356" i="15"/>
  <c r="AR356" i="15"/>
  <c r="AQ345" i="15"/>
  <c r="AR345" i="15"/>
  <c r="AQ334" i="15"/>
  <c r="AR334" i="15"/>
  <c r="AQ323" i="15"/>
  <c r="AR323" i="15"/>
  <c r="AQ312" i="15"/>
  <c r="AR312" i="15"/>
  <c r="AQ301" i="15"/>
  <c r="AR301" i="15"/>
  <c r="AQ290" i="15"/>
  <c r="AR290" i="15"/>
  <c r="AQ279" i="15"/>
  <c r="AR279" i="15"/>
  <c r="AQ268" i="15"/>
  <c r="AR268" i="15"/>
  <c r="AQ257" i="15"/>
  <c r="AR257" i="15"/>
  <c r="AQ246" i="15"/>
  <c r="AR246" i="15"/>
  <c r="AQ235" i="15"/>
  <c r="AR235" i="15"/>
  <c r="AQ224" i="15"/>
  <c r="AR224" i="15"/>
  <c r="AQ213" i="15"/>
  <c r="AR213" i="15"/>
  <c r="AQ202" i="15"/>
  <c r="AR202" i="15"/>
  <c r="AQ191" i="15"/>
  <c r="AR191" i="15"/>
  <c r="AQ180" i="15"/>
  <c r="AR180" i="15"/>
  <c r="AQ169" i="15"/>
  <c r="AR169" i="15"/>
  <c r="AQ158" i="15"/>
  <c r="AR158" i="15"/>
  <c r="AQ147" i="15"/>
  <c r="AR147" i="15"/>
  <c r="AQ136" i="15"/>
  <c r="AR136" i="15"/>
  <c r="AQ125" i="15"/>
  <c r="AR125" i="15"/>
  <c r="AQ114" i="15"/>
  <c r="AR114" i="15"/>
  <c r="AQ103" i="15"/>
  <c r="AR103" i="15"/>
  <c r="AQ92" i="15"/>
  <c r="AR92" i="15"/>
  <c r="AQ81" i="15"/>
  <c r="AR81" i="15"/>
  <c r="AQ70" i="15"/>
  <c r="AR70" i="15"/>
  <c r="AQ59" i="15"/>
  <c r="AR59" i="15"/>
  <c r="AQ48" i="15"/>
  <c r="AR48" i="15"/>
  <c r="AQ37" i="15"/>
  <c r="AR37" i="15"/>
  <c r="AQ26" i="15"/>
  <c r="AR26" i="15"/>
  <c r="AQ15" i="15"/>
  <c r="AR15" i="15"/>
  <c r="AQ4" i="15"/>
  <c r="AR4" i="15"/>
  <c r="AQ212" i="15"/>
  <c r="AR212" i="15"/>
  <c r="AQ322" i="15"/>
  <c r="AR322" i="15"/>
  <c r="AQ365" i="15"/>
  <c r="AR365" i="15"/>
  <c r="AQ255" i="15"/>
  <c r="AR255" i="15"/>
  <c r="AQ167" i="15"/>
  <c r="AR167" i="15"/>
  <c r="AQ156" i="15"/>
  <c r="AR156" i="15"/>
  <c r="AQ145" i="15"/>
  <c r="AR145" i="15"/>
  <c r="AQ134" i="15"/>
  <c r="AR134" i="15"/>
  <c r="AQ123" i="15"/>
  <c r="AR123" i="15"/>
  <c r="AQ112" i="15"/>
  <c r="AR112" i="15"/>
  <c r="AQ101" i="15"/>
  <c r="AR101" i="15"/>
  <c r="AQ90" i="15"/>
  <c r="AR90" i="15"/>
  <c r="AQ79" i="15"/>
  <c r="AR79" i="15"/>
  <c r="AQ68" i="15"/>
  <c r="AR68" i="15"/>
  <c r="AQ57" i="15"/>
  <c r="AR57" i="15"/>
  <c r="AQ46" i="15"/>
  <c r="AR46" i="15"/>
  <c r="AQ35" i="15"/>
  <c r="AR35" i="15"/>
  <c r="AQ24" i="15"/>
  <c r="AR24" i="15"/>
  <c r="AQ13" i="15"/>
  <c r="AR13" i="15"/>
  <c r="AQ420" i="15"/>
  <c r="AR420" i="15"/>
  <c r="AQ321" i="15"/>
  <c r="AR321" i="15"/>
  <c r="AQ266" i="15"/>
  <c r="AR266" i="15"/>
  <c r="AQ276" i="15"/>
  <c r="AR276" i="15"/>
  <c r="AQ155" i="15"/>
  <c r="AR155" i="15"/>
  <c r="AQ111" i="15"/>
  <c r="AR111" i="15"/>
  <c r="AQ100" i="15"/>
  <c r="AR100" i="15"/>
  <c r="AQ34" i="15"/>
  <c r="AR34" i="15"/>
  <c r="AQ23" i="15"/>
  <c r="AR23" i="15"/>
  <c r="AQ12" i="15"/>
  <c r="AR12" i="15"/>
  <c r="AQ344" i="15"/>
  <c r="AR344" i="15"/>
  <c r="AQ354" i="15"/>
  <c r="AR354" i="15"/>
  <c r="AQ244" i="15"/>
  <c r="AR244" i="15"/>
  <c r="AQ419" i="15"/>
  <c r="AR419" i="15"/>
  <c r="AQ342" i="15"/>
  <c r="AR342" i="15"/>
  <c r="AQ418" i="15"/>
  <c r="AR418" i="15"/>
  <c r="AQ198" i="15"/>
  <c r="AR198" i="15"/>
  <c r="AQ44" i="15"/>
  <c r="AR44" i="15"/>
  <c r="AQ256" i="15"/>
  <c r="AR256" i="15"/>
  <c r="AQ343" i="15"/>
  <c r="AR343" i="15"/>
  <c r="AQ222" i="15"/>
  <c r="AR222" i="15"/>
  <c r="AQ353" i="15"/>
  <c r="AR353" i="15"/>
  <c r="AQ265" i="15"/>
  <c r="AR265" i="15"/>
  <c r="AQ187" i="15"/>
  <c r="AR187" i="15"/>
  <c r="AQ33" i="15"/>
  <c r="AR33" i="15"/>
  <c r="AQ229" i="15"/>
  <c r="AR229" i="15"/>
  <c r="AQ410" i="15"/>
  <c r="AR410" i="15"/>
  <c r="AQ366" i="15"/>
  <c r="AR366" i="15"/>
  <c r="AQ300" i="15"/>
  <c r="AR300" i="15"/>
  <c r="AQ245" i="15"/>
  <c r="AR245" i="15"/>
  <c r="AQ201" i="15"/>
  <c r="AR201" i="15"/>
  <c r="AQ124" i="15"/>
  <c r="AR124" i="15"/>
  <c r="AQ376" i="15"/>
  <c r="AR376" i="15"/>
  <c r="AQ288" i="15"/>
  <c r="AR288" i="15"/>
  <c r="AQ189" i="15"/>
  <c r="AR189" i="15"/>
  <c r="AQ408" i="15"/>
  <c r="AR408" i="15"/>
  <c r="AQ331" i="15"/>
  <c r="AR331" i="15"/>
  <c r="AQ254" i="15"/>
  <c r="AR254" i="15"/>
  <c r="AQ166" i="15"/>
  <c r="AR166" i="15"/>
  <c r="AQ45" i="15"/>
  <c r="AR45" i="15"/>
  <c r="AQ407" i="15"/>
  <c r="AR407" i="15"/>
  <c r="AQ363" i="15"/>
  <c r="AR363" i="15"/>
  <c r="AQ319" i="15"/>
  <c r="AR319" i="15"/>
  <c r="AQ264" i="15"/>
  <c r="AR264" i="15"/>
  <c r="AQ209" i="15"/>
  <c r="AR209" i="15"/>
  <c r="AQ121" i="15"/>
  <c r="AR121" i="15"/>
  <c r="AQ66" i="15"/>
  <c r="AR66" i="15"/>
  <c r="AQ417" i="15"/>
  <c r="AR417" i="15"/>
  <c r="AQ373" i="15"/>
  <c r="AR373" i="15"/>
  <c r="AQ318" i="15"/>
  <c r="AR318" i="15"/>
  <c r="AQ263" i="15"/>
  <c r="AR263" i="15"/>
  <c r="AQ230" i="15"/>
  <c r="AR230" i="15"/>
  <c r="AQ186" i="15"/>
  <c r="AR186" i="15"/>
  <c r="AQ142" i="15"/>
  <c r="AR142" i="15"/>
  <c r="AQ120" i="15"/>
  <c r="AR120" i="15"/>
  <c r="AQ65" i="15"/>
  <c r="AR65" i="15"/>
  <c r="AQ21" i="15"/>
  <c r="AR21" i="15"/>
  <c r="AQ394" i="15"/>
  <c r="AR394" i="15"/>
  <c r="AQ328" i="15"/>
  <c r="AR328" i="15"/>
  <c r="AQ284" i="15"/>
  <c r="AR284" i="15"/>
  <c r="AQ240" i="15"/>
  <c r="AR240" i="15"/>
  <c r="AQ185" i="15"/>
  <c r="AR185" i="15"/>
  <c r="AQ152" i="15"/>
  <c r="AR152" i="15"/>
  <c r="AQ108" i="15"/>
  <c r="AR108" i="15"/>
  <c r="AQ64" i="15"/>
  <c r="AR64" i="15"/>
  <c r="AQ426" i="15"/>
  <c r="AR426" i="15"/>
  <c r="AQ415" i="15"/>
  <c r="AR415" i="15"/>
  <c r="AQ404" i="15"/>
  <c r="AR404" i="15"/>
  <c r="AQ393" i="15"/>
  <c r="AR393" i="15"/>
  <c r="AQ382" i="15"/>
  <c r="AR382" i="15"/>
  <c r="AQ371" i="15"/>
  <c r="AR371" i="15"/>
  <c r="AQ360" i="15"/>
  <c r="AR360" i="15"/>
  <c r="AQ349" i="15"/>
  <c r="AR349" i="15"/>
  <c r="AQ338" i="15"/>
  <c r="AR338" i="15"/>
  <c r="AQ327" i="15"/>
  <c r="AR327" i="15"/>
  <c r="AQ316" i="15"/>
  <c r="AR316" i="15"/>
  <c r="AQ305" i="15"/>
  <c r="AR305" i="15"/>
  <c r="AQ294" i="15"/>
  <c r="AR294" i="15"/>
  <c r="AQ283" i="15"/>
  <c r="AR283" i="15"/>
  <c r="AQ272" i="15"/>
  <c r="AR272" i="15"/>
  <c r="AQ261" i="15"/>
  <c r="AR261" i="15"/>
  <c r="AQ250" i="15"/>
  <c r="AR250" i="15"/>
  <c r="AQ239" i="15"/>
  <c r="AR239" i="15"/>
  <c r="AQ228" i="15"/>
  <c r="AR228" i="15"/>
  <c r="AQ217" i="15"/>
  <c r="AR217" i="15"/>
  <c r="AQ206" i="15"/>
  <c r="AR206" i="15"/>
  <c r="AQ195" i="15"/>
  <c r="AR195" i="15"/>
  <c r="AQ184" i="15"/>
  <c r="AR184" i="15"/>
  <c r="AQ173" i="15"/>
  <c r="AR173" i="15"/>
  <c r="AQ162" i="15"/>
  <c r="AR162" i="15"/>
  <c r="AQ151" i="15"/>
  <c r="AR151" i="15"/>
  <c r="AQ140" i="15"/>
  <c r="AR140" i="15"/>
  <c r="AQ129" i="15"/>
  <c r="AR129" i="15"/>
  <c r="AQ118" i="15"/>
  <c r="AR118" i="15"/>
  <c r="AQ107" i="15"/>
  <c r="AR107" i="15"/>
  <c r="AQ96" i="15"/>
  <c r="AR96" i="15"/>
  <c r="AQ85" i="15"/>
  <c r="AR85" i="15"/>
  <c r="AQ74" i="15"/>
  <c r="AR74" i="15"/>
  <c r="AQ63" i="15"/>
  <c r="AR63" i="15"/>
  <c r="AQ52" i="15"/>
  <c r="AR52" i="15"/>
  <c r="AQ41" i="15"/>
  <c r="AR41" i="15"/>
  <c r="AQ30" i="15"/>
  <c r="AR30" i="15"/>
  <c r="AQ19" i="15"/>
  <c r="AR19" i="15"/>
  <c r="AQ8" i="15"/>
  <c r="AR8" i="15"/>
  <c r="AQ399" i="15"/>
  <c r="AR399" i="15"/>
  <c r="AQ311" i="15"/>
  <c r="AR311" i="15"/>
  <c r="AQ223" i="15"/>
  <c r="AR223" i="15"/>
  <c r="AQ157" i="15"/>
  <c r="AR157" i="15"/>
  <c r="AQ135" i="15"/>
  <c r="AR135" i="15"/>
  <c r="AQ91" i="15"/>
  <c r="AR91" i="15"/>
  <c r="AQ58" i="15"/>
  <c r="AR58" i="15"/>
  <c r="AQ36" i="15"/>
  <c r="AR36" i="15"/>
  <c r="AQ14" i="15"/>
  <c r="AR14" i="15"/>
  <c r="AQ409" i="15"/>
  <c r="AR409" i="15"/>
  <c r="AQ310" i="15"/>
  <c r="AR310" i="15"/>
  <c r="AQ211" i="15"/>
  <c r="AR211" i="15"/>
  <c r="AQ397" i="15"/>
  <c r="AR397" i="15"/>
  <c r="AQ320" i="15"/>
  <c r="AR320" i="15"/>
  <c r="AQ232" i="15"/>
  <c r="AR232" i="15"/>
  <c r="AQ188" i="15"/>
  <c r="AR188" i="15"/>
  <c r="AQ122" i="15"/>
  <c r="AR122" i="15"/>
  <c r="AQ78" i="15"/>
  <c r="AR78" i="15"/>
  <c r="AQ374" i="15"/>
  <c r="AR374" i="15"/>
  <c r="AQ297" i="15"/>
  <c r="AR297" i="15"/>
  <c r="AQ231" i="15"/>
  <c r="AR231" i="15"/>
  <c r="AQ132" i="15"/>
  <c r="AR132" i="15"/>
  <c r="AQ395" i="15"/>
  <c r="AR395" i="15"/>
  <c r="AQ340" i="15"/>
  <c r="AR340" i="15"/>
  <c r="AQ285" i="15"/>
  <c r="AR285" i="15"/>
  <c r="AQ219" i="15"/>
  <c r="AR219" i="15"/>
  <c r="AQ164" i="15"/>
  <c r="AR164" i="15"/>
  <c r="AQ109" i="15"/>
  <c r="AR109" i="15"/>
  <c r="AQ54" i="15"/>
  <c r="AR54" i="15"/>
  <c r="AQ10" i="15"/>
  <c r="AR10" i="15"/>
  <c r="AQ416" i="15"/>
  <c r="AR416" i="15"/>
  <c r="AQ383" i="15"/>
  <c r="AR383" i="15"/>
  <c r="AQ350" i="15"/>
  <c r="AR350" i="15"/>
  <c r="AQ317" i="15"/>
  <c r="AR317" i="15"/>
  <c r="AQ273" i="15"/>
  <c r="AR273" i="15"/>
  <c r="AQ218" i="15"/>
  <c r="AR218" i="15"/>
  <c r="AQ174" i="15"/>
  <c r="AR174" i="15"/>
  <c r="AQ130" i="15"/>
  <c r="AR130" i="15"/>
  <c r="AQ86" i="15"/>
  <c r="AR86" i="15"/>
  <c r="AQ425" i="15"/>
  <c r="AR425" i="15"/>
  <c r="AQ414" i="15"/>
  <c r="AR414" i="15"/>
  <c r="AQ403" i="15"/>
  <c r="AR403" i="15"/>
  <c r="AQ392" i="15"/>
  <c r="AR392" i="15"/>
  <c r="AQ381" i="15"/>
  <c r="AR381" i="15"/>
  <c r="AQ370" i="15"/>
  <c r="AR370" i="15"/>
  <c r="AQ359" i="15"/>
  <c r="AR359" i="15"/>
  <c r="AQ348" i="15"/>
  <c r="AR348" i="15"/>
  <c r="AQ337" i="15"/>
  <c r="AR337" i="15"/>
  <c r="AQ326" i="15"/>
  <c r="AR326" i="15"/>
  <c r="AQ315" i="15"/>
  <c r="AR315" i="15"/>
  <c r="AQ304" i="15"/>
  <c r="AR304" i="15"/>
  <c r="AQ293" i="15"/>
  <c r="AR293" i="15"/>
  <c r="AQ282" i="15"/>
  <c r="AR282" i="15"/>
  <c r="AQ271" i="15"/>
  <c r="AR271" i="15"/>
  <c r="AQ260" i="15"/>
  <c r="AR260" i="15"/>
  <c r="AQ249" i="15"/>
  <c r="AR249" i="15"/>
  <c r="AQ238" i="15"/>
  <c r="AR238" i="15"/>
  <c r="AQ227" i="15"/>
  <c r="AR227" i="15"/>
  <c r="AQ216" i="15"/>
  <c r="AR216" i="15"/>
  <c r="AQ205" i="15"/>
  <c r="AR205" i="15"/>
  <c r="AQ194" i="15"/>
  <c r="AR194" i="15"/>
  <c r="AQ183" i="15"/>
  <c r="AR183" i="15"/>
  <c r="AQ172" i="15"/>
  <c r="AR172" i="15"/>
  <c r="AQ161" i="15"/>
  <c r="AR161" i="15"/>
  <c r="AQ150" i="15"/>
  <c r="AR150" i="15"/>
  <c r="AQ139" i="15"/>
  <c r="AR139" i="15"/>
  <c r="AQ128" i="15"/>
  <c r="AR128" i="15"/>
  <c r="AQ117" i="15"/>
  <c r="AR117" i="15"/>
  <c r="AQ106" i="15"/>
  <c r="AR106" i="15"/>
  <c r="AQ95" i="15"/>
  <c r="AR95" i="15"/>
  <c r="AQ84" i="15"/>
  <c r="AR84" i="15"/>
  <c r="AQ73" i="15"/>
  <c r="AR73" i="15"/>
  <c r="AQ62" i="15"/>
  <c r="AR62" i="15"/>
  <c r="AQ51" i="15"/>
  <c r="AR51" i="15"/>
  <c r="AQ40" i="15"/>
  <c r="AR40" i="15"/>
  <c r="AQ29" i="15"/>
  <c r="AR29" i="15"/>
  <c r="AQ18" i="15"/>
  <c r="AR18" i="15"/>
  <c r="AQ7" i="15"/>
  <c r="AR7" i="15"/>
  <c r="AQ388" i="15"/>
  <c r="AR388" i="15"/>
  <c r="AQ333" i="15"/>
  <c r="AR333" i="15"/>
  <c r="AQ267" i="15"/>
  <c r="AR267" i="15"/>
  <c r="AQ168" i="15"/>
  <c r="AR168" i="15"/>
  <c r="AQ80" i="15"/>
  <c r="AR80" i="15"/>
  <c r="AQ431" i="15"/>
  <c r="AR431" i="15"/>
  <c r="AQ332" i="15"/>
  <c r="AR332" i="15"/>
  <c r="AQ233" i="15"/>
  <c r="AR233" i="15"/>
  <c r="AQ364" i="15"/>
  <c r="AR364" i="15"/>
  <c r="AQ298" i="15"/>
  <c r="AR298" i="15"/>
  <c r="AQ243" i="15"/>
  <c r="AR243" i="15"/>
  <c r="AQ177" i="15"/>
  <c r="AR177" i="15"/>
  <c r="AQ56" i="15"/>
  <c r="AR56" i="15"/>
  <c r="AQ396" i="15"/>
  <c r="AR396" i="15"/>
  <c r="AQ341" i="15"/>
  <c r="AR341" i="15"/>
  <c r="AQ286" i="15"/>
  <c r="AR286" i="15"/>
  <c r="AQ242" i="15"/>
  <c r="AR242" i="15"/>
  <c r="AQ176" i="15"/>
  <c r="AR176" i="15"/>
  <c r="AQ143" i="15"/>
  <c r="AR143" i="15"/>
  <c r="AQ88" i="15"/>
  <c r="AR88" i="15"/>
  <c r="AQ406" i="15"/>
  <c r="AR406" i="15"/>
  <c r="AQ351" i="15"/>
  <c r="AR351" i="15"/>
  <c r="AQ296" i="15"/>
  <c r="AR296" i="15"/>
  <c r="AQ241" i="15"/>
  <c r="AR241" i="15"/>
  <c r="AQ175" i="15"/>
  <c r="AR175" i="15"/>
  <c r="AQ98" i="15"/>
  <c r="AR98" i="15"/>
  <c r="AQ32" i="15"/>
  <c r="AR32" i="15"/>
  <c r="AQ427" i="15"/>
  <c r="AR427" i="15"/>
  <c r="AQ372" i="15"/>
  <c r="AR372" i="15"/>
  <c r="AQ339" i="15"/>
  <c r="AR339" i="15"/>
  <c r="AQ295" i="15"/>
  <c r="AR295" i="15"/>
  <c r="AQ251" i="15"/>
  <c r="AR251" i="15"/>
  <c r="AQ196" i="15"/>
  <c r="AR196" i="15"/>
  <c r="AQ163" i="15"/>
  <c r="AR163" i="15"/>
  <c r="AQ119" i="15"/>
  <c r="AR119" i="15"/>
  <c r="AQ97" i="15"/>
  <c r="AR97" i="15"/>
  <c r="AQ75" i="15"/>
  <c r="AR75" i="15"/>
  <c r="AQ53" i="15"/>
  <c r="AR53" i="15"/>
  <c r="AQ42" i="15"/>
  <c r="AR42" i="15"/>
  <c r="AQ31" i="15"/>
  <c r="AR31" i="15"/>
  <c r="AQ20" i="15"/>
  <c r="AR20" i="15"/>
  <c r="AQ9" i="15"/>
  <c r="AR9" i="15"/>
  <c r="AQ424" i="15"/>
  <c r="AR424" i="15"/>
  <c r="AQ413" i="15"/>
  <c r="AR413" i="15"/>
  <c r="AQ402" i="15"/>
  <c r="AR402" i="15"/>
  <c r="AQ391" i="15"/>
  <c r="AR391" i="15"/>
  <c r="AQ380" i="15"/>
  <c r="AR380" i="15"/>
  <c r="AQ369" i="15"/>
  <c r="AR369" i="15"/>
  <c r="AQ358" i="15"/>
  <c r="AR358" i="15"/>
  <c r="AQ347" i="15"/>
  <c r="AR347" i="15"/>
  <c r="AQ336" i="15"/>
  <c r="AR336" i="15"/>
  <c r="AQ325" i="15"/>
  <c r="AR325" i="15"/>
  <c r="AQ314" i="15"/>
  <c r="AR314" i="15"/>
  <c r="AQ303" i="15"/>
  <c r="AR303" i="15"/>
  <c r="AQ292" i="15"/>
  <c r="AR292" i="15"/>
  <c r="AQ281" i="15"/>
  <c r="AR281" i="15"/>
  <c r="AQ270" i="15"/>
  <c r="AR270" i="15"/>
  <c r="AQ259" i="15"/>
  <c r="AR259" i="15"/>
  <c r="AQ248" i="15"/>
  <c r="AR248" i="15"/>
  <c r="AQ237" i="15"/>
  <c r="AR237" i="15"/>
  <c r="AQ226" i="15"/>
  <c r="AR226" i="15"/>
  <c r="AQ215" i="15"/>
  <c r="AR215" i="15"/>
  <c r="AQ204" i="15"/>
  <c r="AR204" i="15"/>
  <c r="AQ193" i="15"/>
  <c r="AR193" i="15"/>
  <c r="AQ182" i="15"/>
  <c r="AR182" i="15"/>
  <c r="AQ171" i="15"/>
  <c r="AR171" i="15"/>
  <c r="AQ160" i="15"/>
  <c r="AR160" i="15"/>
  <c r="AQ149" i="15"/>
  <c r="AR149" i="15"/>
  <c r="AQ138" i="15"/>
  <c r="AR138" i="15"/>
  <c r="AQ127" i="15"/>
  <c r="AR127" i="15"/>
  <c r="AQ116" i="15"/>
  <c r="AR116" i="15"/>
  <c r="AQ105" i="15"/>
  <c r="AR105" i="15"/>
  <c r="AQ94" i="15"/>
  <c r="AR94" i="15"/>
  <c r="AQ83" i="15"/>
  <c r="AR83" i="15"/>
  <c r="AQ72" i="15"/>
  <c r="AR72" i="15"/>
  <c r="AQ61" i="15"/>
  <c r="AR61" i="15"/>
  <c r="AQ50" i="15"/>
  <c r="AR50" i="15"/>
  <c r="AQ39" i="15"/>
  <c r="AR39" i="15"/>
  <c r="AQ28" i="15"/>
  <c r="AR28" i="15"/>
  <c r="AQ17" i="15"/>
  <c r="AR17" i="15"/>
  <c r="AQ6" i="15"/>
  <c r="AR6" i="15"/>
  <c r="AQ421" i="15"/>
  <c r="AR421" i="15"/>
  <c r="AQ355" i="15"/>
  <c r="AR355" i="15"/>
  <c r="AQ289" i="15"/>
  <c r="AR289" i="15"/>
  <c r="AQ234" i="15"/>
  <c r="AR234" i="15"/>
  <c r="AQ179" i="15"/>
  <c r="AR179" i="15"/>
  <c r="AQ146" i="15"/>
  <c r="AR146" i="15"/>
  <c r="AQ113" i="15"/>
  <c r="AR113" i="15"/>
  <c r="AQ69" i="15"/>
  <c r="AR69" i="15"/>
  <c r="AQ47" i="15"/>
  <c r="AR47" i="15"/>
  <c r="AQ25" i="15"/>
  <c r="AR25" i="15"/>
  <c r="AQ398" i="15"/>
  <c r="AR398" i="15"/>
  <c r="AQ299" i="15"/>
  <c r="AR299" i="15"/>
  <c r="AQ200" i="15"/>
  <c r="AR200" i="15"/>
  <c r="AQ430" i="15"/>
  <c r="AR430" i="15"/>
  <c r="AQ375" i="15"/>
  <c r="AR375" i="15"/>
  <c r="AQ309" i="15"/>
  <c r="AR309" i="15"/>
  <c r="AQ221" i="15"/>
  <c r="AR221" i="15"/>
  <c r="AQ144" i="15"/>
  <c r="AR144" i="15"/>
  <c r="AQ67" i="15"/>
  <c r="AR67" i="15"/>
  <c r="AQ385" i="15"/>
  <c r="AR385" i="15"/>
  <c r="AQ330" i="15"/>
  <c r="AR330" i="15"/>
  <c r="AQ308" i="15"/>
  <c r="AR308" i="15"/>
  <c r="AQ253" i="15"/>
  <c r="AR253" i="15"/>
  <c r="AQ220" i="15"/>
  <c r="AR220" i="15"/>
  <c r="AQ154" i="15"/>
  <c r="AR154" i="15"/>
  <c r="AQ110" i="15"/>
  <c r="AR110" i="15"/>
  <c r="AQ99" i="15"/>
  <c r="AR99" i="15"/>
  <c r="AQ77" i="15"/>
  <c r="AR77" i="15"/>
  <c r="AQ55" i="15"/>
  <c r="AR55" i="15"/>
  <c r="AQ22" i="15"/>
  <c r="AR22" i="15"/>
  <c r="AQ11" i="15"/>
  <c r="AR11" i="15"/>
  <c r="AQ428" i="15"/>
  <c r="AR428" i="15"/>
  <c r="AQ384" i="15"/>
  <c r="AR384" i="15"/>
  <c r="AQ329" i="15"/>
  <c r="AR329" i="15"/>
  <c r="AQ274" i="15"/>
  <c r="AR274" i="15"/>
  <c r="AQ208" i="15"/>
  <c r="AR208" i="15"/>
  <c r="AQ131" i="15"/>
  <c r="AR131" i="15"/>
  <c r="AQ87" i="15"/>
  <c r="AR87" i="15"/>
  <c r="AQ43" i="15"/>
  <c r="AR43" i="15"/>
  <c r="AQ405" i="15"/>
  <c r="AR405" i="15"/>
  <c r="AQ361" i="15"/>
  <c r="AR361" i="15"/>
  <c r="AQ306" i="15"/>
  <c r="AR306" i="15"/>
  <c r="AQ262" i="15"/>
  <c r="AR262" i="15"/>
  <c r="AQ207" i="15"/>
  <c r="AR207" i="15"/>
  <c r="AQ141" i="15"/>
  <c r="AR141" i="15"/>
  <c r="AR423" i="15"/>
  <c r="AQ423" i="15"/>
  <c r="AR412" i="15"/>
  <c r="AQ412" i="15"/>
  <c r="AR401" i="15"/>
  <c r="AQ401" i="15"/>
  <c r="AR390" i="15"/>
  <c r="AQ390" i="15"/>
  <c r="AR379" i="15"/>
  <c r="AQ379" i="15"/>
  <c r="AR368" i="15"/>
  <c r="AQ368" i="15"/>
  <c r="AR357" i="15"/>
  <c r="AQ357" i="15"/>
  <c r="AR346" i="15"/>
  <c r="AQ346" i="15"/>
  <c r="AR335" i="15"/>
  <c r="AQ335" i="15"/>
  <c r="AR324" i="15"/>
  <c r="AQ324" i="15"/>
  <c r="AR313" i="15"/>
  <c r="AQ313" i="15"/>
  <c r="AR302" i="15"/>
  <c r="AQ302" i="15"/>
  <c r="AR291" i="15"/>
  <c r="AQ291" i="15"/>
  <c r="AR280" i="15"/>
  <c r="AQ280" i="15"/>
  <c r="AR269" i="15"/>
  <c r="AQ269" i="15"/>
  <c r="AR258" i="15"/>
  <c r="AQ258" i="15"/>
  <c r="AR247" i="15"/>
  <c r="AQ247" i="15"/>
  <c r="AR236" i="15"/>
  <c r="AQ236" i="15"/>
  <c r="AR225" i="15"/>
  <c r="AQ225" i="15"/>
  <c r="AR214" i="15"/>
  <c r="AQ214" i="15"/>
  <c r="AR203" i="15"/>
  <c r="AQ203" i="15"/>
  <c r="AR192" i="15"/>
  <c r="AQ192" i="15"/>
  <c r="AR181" i="15"/>
  <c r="AQ181" i="15"/>
  <c r="AR170" i="15"/>
  <c r="AQ170" i="15"/>
  <c r="AR159" i="15"/>
  <c r="AQ159" i="15"/>
  <c r="AR148" i="15"/>
  <c r="AQ148" i="15"/>
  <c r="AR137" i="15"/>
  <c r="AQ137" i="15"/>
  <c r="AR126" i="15"/>
  <c r="AQ126" i="15"/>
  <c r="AR115" i="15"/>
  <c r="AQ115" i="15"/>
  <c r="AR104" i="15"/>
  <c r="AQ104" i="15"/>
  <c r="AR93" i="15"/>
  <c r="AQ93" i="15"/>
  <c r="AR82" i="15"/>
  <c r="AQ82" i="15"/>
  <c r="AR71" i="15"/>
  <c r="AQ71" i="15"/>
  <c r="AR60" i="15"/>
  <c r="AQ60" i="15"/>
  <c r="AR49" i="15"/>
  <c r="AQ49" i="15"/>
  <c r="AR38" i="15"/>
  <c r="AQ38" i="15"/>
  <c r="AR27" i="15"/>
  <c r="AQ27" i="15"/>
  <c r="AR16" i="15"/>
  <c r="AQ16" i="15"/>
  <c r="AR5" i="15"/>
  <c r="AQ5" i="15"/>
  <c r="AF3" i="15"/>
  <c r="AN3" i="15"/>
  <c r="D8" i="14"/>
  <c r="J12" i="17"/>
  <c r="J11" i="17"/>
  <c r="J10" i="17"/>
  <c r="J9" i="17"/>
  <c r="J8" i="17"/>
  <c r="E8" i="17" a="1"/>
  <c r="E8" i="17" s="1"/>
  <c r="D49" i="11"/>
  <c r="D50" i="11"/>
  <c r="D51" i="11"/>
  <c r="D52" i="11"/>
  <c r="D53" i="11"/>
  <c r="D54" i="11"/>
  <c r="D55" i="11"/>
  <c r="D56" i="11"/>
  <c r="D57" i="11"/>
  <c r="D58" i="11"/>
  <c r="D59" i="11"/>
  <c r="D48" i="11"/>
  <c r="D47" i="11"/>
  <c r="D46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" i="11"/>
  <c r="B8" i="11"/>
  <c r="B11" i="11" s="1"/>
  <c r="B14" i="11" s="1"/>
  <c r="B17" i="11" s="1"/>
  <c r="B20" i="11" s="1"/>
  <c r="B23" i="11" s="1"/>
  <c r="B26" i="11" s="1"/>
  <c r="B29" i="11" s="1"/>
  <c r="B32" i="11" s="1"/>
  <c r="B35" i="11" s="1"/>
  <c r="B38" i="11" s="1"/>
  <c r="B41" i="11" s="1"/>
  <c r="B44" i="11" s="1"/>
  <c r="B9" i="11"/>
  <c r="B12" i="11" s="1"/>
  <c r="B15" i="11" s="1"/>
  <c r="B18" i="11" s="1"/>
  <c r="B21" i="11" s="1"/>
  <c r="B24" i="11" s="1"/>
  <c r="B27" i="11" s="1"/>
  <c r="B30" i="11" s="1"/>
  <c r="B33" i="11" s="1"/>
  <c r="B36" i="11" s="1"/>
  <c r="B39" i="11" s="1"/>
  <c r="B42" i="11" s="1"/>
  <c r="B45" i="11" s="1"/>
  <c r="B7" i="11"/>
  <c r="B10" i="11" s="1"/>
  <c r="B13" i="11" s="1"/>
  <c r="B16" i="11" s="1"/>
  <c r="B19" i="11" s="1"/>
  <c r="B22" i="11" s="1"/>
  <c r="B25" i="11" s="1"/>
  <c r="B28" i="11" s="1"/>
  <c r="B31" i="11" s="1"/>
  <c r="B34" i="11" s="1"/>
  <c r="B37" i="11" s="1"/>
  <c r="B40" i="11" s="1"/>
  <c r="B43" i="11" s="1"/>
  <c r="K16" i="1"/>
  <c r="E36" i="1"/>
  <c r="N29" i="1"/>
  <c r="N28" i="1"/>
  <c r="N27" i="1"/>
  <c r="N26" i="1"/>
  <c r="F37" i="1"/>
  <c r="F38" i="1" s="1"/>
  <c r="F39" i="1" s="1"/>
  <c r="F40" i="1" s="1"/>
  <c r="C32" i="1"/>
  <c r="D37" i="1"/>
  <c r="D38" i="1"/>
  <c r="D39" i="1"/>
  <c r="D40" i="1"/>
  <c r="D36" i="1"/>
  <c r="D49" i="1"/>
  <c r="D50" i="1"/>
  <c r="D51" i="1"/>
  <c r="D52" i="1"/>
  <c r="D53" i="1"/>
  <c r="D54" i="1"/>
  <c r="A37" i="1"/>
  <c r="A38" i="1" s="1"/>
  <c r="A39" i="1" s="1"/>
  <c r="A40" i="1" s="1"/>
  <c r="F41" i="1"/>
  <c r="F21" i="1"/>
  <c r="E21" i="1"/>
  <c r="E20" i="1"/>
  <c r="E19" i="1"/>
  <c r="E18" i="1"/>
  <c r="H18" i="1" s="1"/>
  <c r="I17" i="1"/>
  <c r="I18" i="1" s="1"/>
  <c r="I19" i="1" s="1"/>
  <c r="I20" i="1" s="1"/>
  <c r="E17" i="1"/>
  <c r="E16" i="1"/>
  <c r="H16" i="1" s="1"/>
  <c r="D16" i="1"/>
  <c r="D17" i="1" s="1"/>
  <c r="D18" i="1" s="1"/>
  <c r="C12" i="1"/>
  <c r="I10" i="1"/>
  <c r="C10" i="1"/>
  <c r="F52" i="1"/>
  <c r="F51" i="1"/>
  <c r="F50" i="1"/>
  <c r="F49" i="1"/>
  <c r="C16" i="5"/>
  <c r="C17" i="5" s="1"/>
  <c r="P13" i="5"/>
  <c r="E16" i="5" s="1"/>
  <c r="D13" i="5"/>
  <c r="D7" i="5"/>
  <c r="D6" i="5" s="1"/>
  <c r="C7" i="5"/>
  <c r="C6" i="5" s="1"/>
  <c r="E4" i="5"/>
  <c r="F7" i="5" s="1"/>
  <c r="D4" i="5"/>
  <c r="D41" i="1" l="1"/>
  <c r="S26" i="1"/>
  <c r="R26" i="1"/>
  <c r="H21" i="1"/>
  <c r="F22" i="1" s="1"/>
  <c r="K49" i="1" s="1"/>
  <c r="D19" i="1"/>
  <c r="D20" i="1" s="1"/>
  <c r="D21" i="1"/>
  <c r="I21" i="1"/>
  <c r="F8" i="5"/>
  <c r="F6" i="5"/>
  <c r="E17" i="5"/>
  <c r="E15" i="5"/>
  <c r="C8" i="5"/>
  <c r="E13" i="5"/>
  <c r="D8" i="5"/>
  <c r="F4" i="5"/>
  <c r="D16" i="5"/>
  <c r="E7" i="5"/>
  <c r="C15" i="5"/>
  <c r="D22" i="1" l="1"/>
  <c r="E22" i="1"/>
  <c r="J49" i="1"/>
  <c r="F16" i="5"/>
  <c r="F13" i="5"/>
  <c r="E8" i="5"/>
  <c r="E6" i="5"/>
  <c r="G4" i="5"/>
  <c r="G7" i="5"/>
  <c r="D15" i="5"/>
  <c r="D17" i="5"/>
  <c r="H4" i="5" l="1"/>
  <c r="H7" i="5"/>
  <c r="G13" i="5"/>
  <c r="G16" i="5"/>
  <c r="G6" i="5"/>
  <c r="G8" i="5"/>
  <c r="F15" i="5"/>
  <c r="F17" i="5"/>
  <c r="G17" i="5" l="1"/>
  <c r="G15" i="5"/>
  <c r="H13" i="5"/>
  <c r="H16" i="5"/>
  <c r="H8" i="5"/>
  <c r="H6" i="5"/>
  <c r="I4" i="5"/>
  <c r="I7" i="5"/>
  <c r="J4" i="5" l="1"/>
  <c r="J7" i="5"/>
  <c r="I8" i="5"/>
  <c r="I6" i="5"/>
  <c r="H15" i="5"/>
  <c r="H17" i="5"/>
  <c r="I13" i="5"/>
  <c r="I16" i="5"/>
  <c r="I17" i="5" l="1"/>
  <c r="I15" i="5"/>
  <c r="J13" i="5"/>
  <c r="J16" i="5"/>
  <c r="J8" i="5"/>
  <c r="J6" i="5"/>
  <c r="K4" i="5"/>
  <c r="K7" i="5"/>
  <c r="L4" i="5" l="1"/>
  <c r="L7" i="5"/>
  <c r="K13" i="5"/>
  <c r="K16" i="5"/>
  <c r="K8" i="5"/>
  <c r="K6" i="5"/>
  <c r="J15" i="5"/>
  <c r="J17" i="5"/>
  <c r="L13" i="5" l="1"/>
  <c r="L16" i="5"/>
  <c r="K15" i="5"/>
  <c r="K17" i="5"/>
  <c r="L6" i="5"/>
  <c r="L8" i="5"/>
  <c r="M4" i="5"/>
  <c r="M7" i="5"/>
  <c r="M6" i="5" l="1"/>
  <c r="M8" i="5"/>
  <c r="L15" i="5"/>
  <c r="L17" i="5"/>
  <c r="N4" i="5"/>
  <c r="N7" i="5"/>
  <c r="M13" i="5"/>
  <c r="M16" i="5"/>
  <c r="N13" i="5" l="1"/>
  <c r="N16" i="5"/>
  <c r="N6" i="5"/>
  <c r="N8" i="5"/>
  <c r="M17" i="5"/>
  <c r="M15" i="5"/>
  <c r="O4" i="5"/>
  <c r="P7" i="5" s="1"/>
  <c r="O7" i="5"/>
  <c r="P8" i="5" l="1"/>
  <c r="P6" i="5"/>
  <c r="O6" i="5"/>
  <c r="O8" i="5"/>
  <c r="N17" i="5"/>
  <c r="N15" i="5"/>
  <c r="O13" i="5"/>
  <c r="P16" i="5" s="1"/>
  <c r="O16" i="5"/>
  <c r="P17" i="5" l="1"/>
  <c r="P15" i="5"/>
  <c r="O15" i="5"/>
  <c r="O17" i="5"/>
  <c r="G19" i="19"/>
  <c r="G18" i="19"/>
  <c r="G17" i="19"/>
  <c r="C7" i="19"/>
  <c r="C10" i="19" a="1"/>
  <c r="C10" i="19" s="1"/>
  <c r="B10" i="19" a="1"/>
  <c r="C6" i="19"/>
  <c r="N13" i="19" l="1" a="1"/>
  <c r="N13" i="19" s="1"/>
  <c r="D14" i="19" a="1"/>
  <c r="D14" i="19" s="1"/>
  <c r="G14" i="19" s="1"/>
  <c r="N14" i="19" a="1"/>
  <c r="N14" i="19" s="1"/>
  <c r="D13" i="19" a="1"/>
  <c r="D13" i="19" s="1"/>
  <c r="G13" i="19" s="1"/>
  <c r="D12" i="19" a="1"/>
  <c r="D12" i="19" s="1"/>
  <c r="D11" i="19" a="1"/>
  <c r="D11" i="19" s="1"/>
  <c r="G11" i="19" s="1"/>
  <c r="N11" i="19" a="1"/>
  <c r="N11" i="19" s="1"/>
  <c r="D16" i="19" a="1"/>
  <c r="D16" i="19" s="1"/>
  <c r="G16" i="19" s="1"/>
  <c r="N12" i="19" a="1"/>
  <c r="N12" i="19" s="1"/>
  <c r="D15" i="19" a="1"/>
  <c r="D15" i="19" s="1"/>
  <c r="G15" i="19" s="1"/>
  <c r="N15" i="19" a="1"/>
  <c r="N15" i="19" s="1"/>
  <c r="N16" i="19" a="1"/>
  <c r="N16" i="19" s="1"/>
  <c r="B10" i="19"/>
  <c r="G12" i="19" l="1"/>
  <c r="N4" i="19" a="1"/>
  <c r="N4" i="19" s="1"/>
  <c r="M4" i="19" a="1"/>
  <c r="M4" i="19" s="1"/>
  <c r="D10" i="19" a="1"/>
  <c r="D10" i="19" s="1"/>
  <c r="N10" i="19" a="1"/>
  <c r="N10" i="19" s="1"/>
  <c r="N7" i="19" l="1"/>
  <c r="N6" i="19"/>
  <c r="N20" i="19" a="1"/>
  <c r="N20" i="19" s="1"/>
  <c r="G10" i="19"/>
  <c r="G20" i="19" s="1"/>
  <c r="F7" i="19" s="1"/>
  <c r="D20" i="19"/>
  <c r="F6" i="19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<sst xmlns="http://schemas.openxmlformats.org/spreadsheetml/2006/main" count="1695" uniqueCount="435">
  <si>
    <t>RESERVA</t>
  </si>
  <si>
    <t>- mail</t>
  </si>
  <si>
    <t>- telefono</t>
  </si>
  <si>
    <t>- nombre contacto</t>
  </si>
  <si>
    <t>- check in</t>
  </si>
  <si>
    <t>- check out</t>
  </si>
  <si>
    <t>ENVIO</t>
  </si>
  <si>
    <t>MONTO</t>
  </si>
  <si>
    <t>ADEUDADO</t>
  </si>
  <si>
    <t>- valor bruto programa</t>
  </si>
  <si>
    <t>GRUPO</t>
  </si>
  <si>
    <t>ABONO</t>
  </si>
  <si>
    <t>PAGO</t>
  </si>
  <si>
    <t>RESPUESTA</t>
  </si>
  <si>
    <t>Mail / Celular</t>
  </si>
  <si>
    <t>Noches</t>
  </si>
  <si>
    <t>FECHA</t>
  </si>
  <si>
    <t>BRUTO</t>
  </si>
  <si>
    <t>PASAJEROS</t>
  </si>
  <si>
    <t>- fecha reserva</t>
  </si>
  <si>
    <t>OBSERVACIONES</t>
  </si>
  <si>
    <t>reserva - 30</t>
  </si>
  <si>
    <t>reserva - 45</t>
  </si>
  <si>
    <t>reserva - 60</t>
  </si>
  <si>
    <t>reserva - 75</t>
  </si>
  <si>
    <t>reserva - 90</t>
  </si>
  <si>
    <t>reserva - 105</t>
  </si>
  <si>
    <t>llamar</t>
  </si>
  <si>
    <t>PLAZO</t>
  </si>
  <si>
    <t>check in - 45</t>
  </si>
  <si>
    <t>check in - 30</t>
  </si>
  <si>
    <t>check in - 15</t>
  </si>
  <si>
    <t>check in - 7</t>
  </si>
  <si>
    <t>MEDIO</t>
  </si>
  <si>
    <t>PAGO RESERVA (50%)</t>
  </si>
  <si>
    <t>PAGO SALDO (50%)</t>
  </si>
  <si>
    <t>TRANSACCIONES</t>
  </si>
  <si>
    <t>GREEN BAKER LODGE</t>
  </si>
  <si>
    <t>AREA PESCA</t>
  </si>
  <si>
    <t>V°B°</t>
  </si>
  <si>
    <t>Jorge Icaza Perez</t>
  </si>
  <si>
    <t>jicaza@vecta.cl</t>
  </si>
  <si>
    <t>9 9318 3704</t>
  </si>
  <si>
    <t>Alejandra Icaza Gana</t>
  </si>
  <si>
    <t>Javier Icaza Gana</t>
  </si>
  <si>
    <t>Anibal Icaza Gana</t>
  </si>
  <si>
    <t>FSN</t>
  </si>
  <si>
    <t>- numero de dias</t>
  </si>
  <si>
    <t>transbank</t>
  </si>
  <si>
    <t>TOTAL</t>
  </si>
  <si>
    <t>sin pago Alejandra Icaza. Es HOSTED</t>
  </si>
  <si>
    <t>TARIFA x PERSONA</t>
  </si>
  <si>
    <t>$</t>
  </si>
  <si>
    <t>Dia 1 traslado</t>
  </si>
  <si>
    <t>Dia 1 mediodia</t>
  </si>
  <si>
    <t>Día 2 full</t>
  </si>
  <si>
    <t>Día 3 full</t>
  </si>
  <si>
    <t>Día 4 full</t>
  </si>
  <si>
    <t>Día 5 full</t>
  </si>
  <si>
    <t>Día 6 full</t>
  </si>
  <si>
    <t>Día 7 full</t>
  </si>
  <si>
    <t>Día 8 full</t>
  </si>
  <si>
    <t>Día 9 full</t>
  </si>
  <si>
    <t>Día 10 full</t>
  </si>
  <si>
    <t>Día 11 full</t>
  </si>
  <si>
    <t>Día 12 full</t>
  </si>
  <si>
    <t>Día 13 full</t>
  </si>
  <si>
    <t>Día 14 full</t>
  </si>
  <si>
    <t>Día 15 traslado</t>
  </si>
  <si>
    <t>1 noche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</si>
  <si>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</si>
  <si>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</si>
  <si>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</si>
  <si>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</si>
  <si>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</si>
  <si>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</si>
  <si>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</si>
  <si>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</si>
  <si>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</si>
  <si>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</si>
  <si>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</si>
  <si>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</si>
  <si>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</si>
  <si>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Base single</t>
  </si>
  <si>
    <t>Base doble</t>
  </si>
  <si>
    <t>Non angler nacional</t>
  </si>
  <si>
    <t>USD</t>
  </si>
  <si>
    <t>Día 1 traslado</t>
  </si>
  <si>
    <t xml:space="preserve">Día 1; 1/2  dia </t>
  </si>
  <si>
    <t>Non angler</t>
  </si>
  <si>
    <t>TARIFAS DÍA DE PESCA (BASE DOBLE)</t>
  </si>
  <si>
    <t>1/2 DÍA</t>
  </si>
  <si>
    <t>* 4 HORAS DE PESCA. INCLUYE AGUA Y BEBIDAS NO ALCOHÓLICAS.</t>
  </si>
  <si>
    <t>DIA COMPLETO</t>
  </si>
  <si>
    <t>* 8 HORAS DE PESCA. INCLUYE BOX LUNCH.</t>
  </si>
  <si>
    <t>20% Comisión Venta Nacional</t>
  </si>
  <si>
    <t>20% Comisión Venta Internacional</t>
  </si>
  <si>
    <t>Hosted Trips</t>
  </si>
  <si>
    <t>Sobre 5 Clientes</t>
  </si>
  <si>
    <t>precio</t>
  </si>
  <si>
    <t>dcto</t>
  </si>
  <si>
    <t>a pagar</t>
  </si>
  <si>
    <t>Madi Vega</t>
  </si>
  <si>
    <t>Coni Osorio</t>
  </si>
  <si>
    <t>Madi Vega es non angler</t>
  </si>
  <si>
    <t>Total Cañas</t>
  </si>
  <si>
    <t>Non Angler</t>
  </si>
  <si>
    <t>NN</t>
  </si>
  <si>
    <t>NA</t>
  </si>
  <si>
    <t>VALOR DEL PROGRAMA NACIONAL</t>
  </si>
  <si>
    <t>CELDAS</t>
  </si>
  <si>
    <t>DEBEN SER LLENADAS MANUALMENTE</t>
  </si>
  <si>
    <t>Grupo</t>
  </si>
  <si>
    <t>Jose luis Rodriguez casanueva</t>
  </si>
  <si>
    <t>rafael.loyoladominguez@gmail.com</t>
  </si>
  <si>
    <t>Borja Rodriguez Rios</t>
  </si>
  <si>
    <t>Ignacio Rodiguez Rios</t>
  </si>
  <si>
    <t>Cristian Fabres Ruiz</t>
  </si>
  <si>
    <t>Rafael Loyola Dominguez</t>
  </si>
  <si>
    <t>Martin Icaza Gana</t>
  </si>
  <si>
    <t>nombre</t>
  </si>
  <si>
    <t>identificar NON ANGLER al final de lista de pasajeros</t>
  </si>
  <si>
    <t>Total</t>
  </si>
  <si>
    <t>dcto %</t>
  </si>
  <si>
    <t>VALOR DEL PROGRAMA NACIONAL (CON IVA)</t>
  </si>
  <si>
    <t>reserva + 30</t>
  </si>
  <si>
    <t>reserva + 45</t>
  </si>
  <si>
    <t>reserva + 60</t>
  </si>
  <si>
    <t>reserva + 75</t>
  </si>
  <si>
    <t>reserva + 90</t>
  </si>
  <si>
    <t>reserva + 105</t>
  </si>
  <si>
    <t>comision %</t>
  </si>
  <si>
    <t>precio lista</t>
  </si>
  <si>
    <r>
      <t xml:space="preserve">CODIGO                   </t>
    </r>
    <r>
      <rPr>
        <b/>
        <sz val="11"/>
        <color theme="1"/>
        <rFont val="Aptos Narrow"/>
        <family val="2"/>
        <scheme val="minor"/>
      </rPr>
      <t xml:space="preserve"> AA</t>
    </r>
  </si>
  <si>
    <t>Código interno</t>
  </si>
  <si>
    <t>Contacto</t>
  </si>
  <si>
    <t>Mail</t>
  </si>
  <si>
    <t>Tipo</t>
  </si>
  <si>
    <t>Base</t>
  </si>
  <si>
    <t>Pasajero</t>
  </si>
  <si>
    <t>Si</t>
  </si>
  <si>
    <t>No</t>
  </si>
  <si>
    <t>Pescador</t>
  </si>
  <si>
    <t>Single</t>
  </si>
  <si>
    <t>Doble</t>
  </si>
  <si>
    <t>N° Cliente</t>
  </si>
  <si>
    <t>Texto</t>
  </si>
  <si>
    <t>Información Pasajero</t>
  </si>
  <si>
    <t>Información Reserva</t>
  </si>
  <si>
    <t>Host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</si>
  <si>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</si>
  <si>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</si>
  <si>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</si>
  <si>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</si>
  <si>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</si>
  <si>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</si>
  <si>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</si>
  <si>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</si>
  <si>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</si>
  <si>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</si>
  <si>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</si>
  <si>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</si>
  <si>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</si>
  <si>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Nombre completo</t>
  </si>
  <si>
    <t>Número de contacto</t>
  </si>
  <si>
    <t>Información de Grupo</t>
  </si>
  <si>
    <t>Pasajero N˚1</t>
  </si>
  <si>
    <t>Pasajero N˚2</t>
  </si>
  <si>
    <t>Pasajero N˚3</t>
  </si>
  <si>
    <t>Pasajero N˚4</t>
  </si>
  <si>
    <t>Pasajero N˚5</t>
  </si>
  <si>
    <t>Pasajero N˚6</t>
  </si>
  <si>
    <t>Pasajero N˚7</t>
  </si>
  <si>
    <t>Pasajero N˚8</t>
  </si>
  <si>
    <t>Pasajero N˚9</t>
  </si>
  <si>
    <t>Pasajero N˚10</t>
  </si>
  <si>
    <t>N° Días / Pasajero</t>
  </si>
  <si>
    <t>N˚ Noches</t>
  </si>
  <si>
    <t>Pescador/Non Angles</t>
  </si>
  <si>
    <t>Extranjero</t>
  </si>
  <si>
    <t>N˚ Pasajero</t>
  </si>
  <si>
    <t>Francisco frias</t>
  </si>
  <si>
    <t>Check-In</t>
  </si>
  <si>
    <t>Check-Out</t>
  </si>
  <si>
    <t>Género</t>
  </si>
  <si>
    <t>Información del Programa</t>
  </si>
  <si>
    <t>Información Personal</t>
  </si>
  <si>
    <t>Grupo Extranjero/Nacional</t>
  </si>
  <si>
    <t>N˚ Grupo</t>
  </si>
  <si>
    <t>N° Noches</t>
  </si>
  <si>
    <t>Encargado</t>
  </si>
  <si>
    <t>GESTION DE  COBRANZA</t>
  </si>
  <si>
    <t>GESTION DE RESERVA</t>
  </si>
  <si>
    <t>Descuento</t>
  </si>
  <si>
    <t>Reserva - Llamar</t>
  </si>
  <si>
    <t>Saldo - Llamar</t>
  </si>
  <si>
    <t>Información Pricing</t>
  </si>
  <si>
    <t>Reserva - Monto Bruto</t>
  </si>
  <si>
    <t>Reserva - Medio de Pago</t>
  </si>
  <si>
    <t>Reserva - Fecha de Pago</t>
  </si>
  <si>
    <t>Nombre Completo</t>
  </si>
  <si>
    <t>Fecha de Reserva</t>
  </si>
  <si>
    <t>Valor Bruto Programa</t>
  </si>
  <si>
    <t>Reserva - 105 Días</t>
  </si>
  <si>
    <t>Reserva - 90 Días</t>
  </si>
  <si>
    <t>Reserva - 75 Días</t>
  </si>
  <si>
    <t>Reserva - 60 Días</t>
  </si>
  <si>
    <t>Reserva - 45 Días</t>
  </si>
  <si>
    <t>Reserva - 30 Días</t>
  </si>
  <si>
    <t>Saldo - 45 Días</t>
  </si>
  <si>
    <t>Saldo - 30 Días</t>
  </si>
  <si>
    <t>Saldo - 15 Días</t>
  </si>
  <si>
    <t>Saldo - 7 Días</t>
  </si>
  <si>
    <t>Seguimiento Cobranza Reserva</t>
  </si>
  <si>
    <t>Seguimiento Cobranza Saldo</t>
  </si>
  <si>
    <t>Saldo - Fecha de Pago</t>
  </si>
  <si>
    <t>Saldo - Monto Bruto</t>
  </si>
  <si>
    <t>Saldo - Medio de Pago</t>
  </si>
  <si>
    <t>Observaciones</t>
  </si>
  <si>
    <t>¿Viene por primera vez?</t>
  </si>
  <si>
    <t>N˚ Contacto</t>
  </si>
  <si>
    <t>FECHA DE RESERVA</t>
  </si>
  <si>
    <t>CHECK-IN</t>
  </si>
  <si>
    <t>N˚ NOCHES</t>
  </si>
  <si>
    <t>CHECK-OUT</t>
  </si>
  <si>
    <t>NACIONAL/EXTRANJERO</t>
  </si>
  <si>
    <t>INFORMACIÓN PERSONAL</t>
  </si>
  <si>
    <t>INFORMACIÓN DE GRUPO</t>
  </si>
  <si>
    <t>INFORMACIÓN DE ESTADÍA</t>
  </si>
  <si>
    <t>INFORMACIÓN DE PROGRAMA (X PASAJERO)</t>
  </si>
  <si>
    <t>PASAJERO</t>
  </si>
  <si>
    <t>¿VIENE POR PRIMERA VEZ?</t>
  </si>
  <si>
    <t>NOMBRE COMPLETO</t>
  </si>
  <si>
    <t>MAIL</t>
  </si>
  <si>
    <t>N˚ CONTACTO</t>
  </si>
  <si>
    <t>GÉNERO</t>
  </si>
  <si>
    <t>BASE</t>
  </si>
  <si>
    <t>TIPO</t>
  </si>
  <si>
    <t>SÍ</t>
  </si>
  <si>
    <t>NO</t>
  </si>
  <si>
    <t>PESCADOR</t>
  </si>
  <si>
    <t>NON ANGLER</t>
  </si>
  <si>
    <t>SINGLE</t>
  </si>
  <si>
    <t>DOBLE</t>
  </si>
  <si>
    <t>HOST</t>
  </si>
  <si>
    <t>NACIONAL</t>
  </si>
  <si>
    <t>EXTRANJERO</t>
  </si>
  <si>
    <t>MASCULINO</t>
  </si>
  <si>
    <t>FEMENINO</t>
  </si>
  <si>
    <t>N˚ DÍAS</t>
  </si>
  <si>
    <t>TEXTO</t>
  </si>
  <si>
    <t>VALOR BRUTO (CLP)</t>
  </si>
  <si>
    <t>VALOR BRUTO (USD)</t>
  </si>
  <si>
    <t>Base single 1 noche</t>
  </si>
  <si>
    <t>Base doble 1 noche</t>
  </si>
  <si>
    <t>Non angler nacional 1 noche</t>
  </si>
  <si>
    <t>Base single 2 noches</t>
  </si>
  <si>
    <t>Base doble 2 noches</t>
  </si>
  <si>
    <t>Non angler nacional 2 noches</t>
  </si>
  <si>
    <t>Base single 3 noches</t>
  </si>
  <si>
    <t>Base doble 3 noches</t>
  </si>
  <si>
    <t>Non angler nacional 3 noches</t>
  </si>
  <si>
    <t>Base single 4 noches</t>
  </si>
  <si>
    <t>Base doble 4 noches</t>
  </si>
  <si>
    <t>Non angler nacional 4 noches</t>
  </si>
  <si>
    <t>Base single 5 noches</t>
  </si>
  <si>
    <t>Base doble 5 noches</t>
  </si>
  <si>
    <t>Non angler nacional 5 noches</t>
  </si>
  <si>
    <t>Base single 6 noches</t>
  </si>
  <si>
    <t>Base doble 6 noches</t>
  </si>
  <si>
    <t>Non angler nacional 6 noches</t>
  </si>
  <si>
    <t>Base single 7 noches</t>
  </si>
  <si>
    <t>Base doble 7 noches</t>
  </si>
  <si>
    <t>Non angler nacional 7 noches</t>
  </si>
  <si>
    <t>Base single 8 noches</t>
  </si>
  <si>
    <t>Base doble 8 noches</t>
  </si>
  <si>
    <t>Non angler nacional 8 noches</t>
  </si>
  <si>
    <t>Base single 9 noches</t>
  </si>
  <si>
    <t>Base doble 9 noches</t>
  </si>
  <si>
    <t>Non angler nacional 9 noches</t>
  </si>
  <si>
    <t>Base single 10 noches</t>
  </si>
  <si>
    <t>Base doble 10 noches</t>
  </si>
  <si>
    <t>Non angler nacional 10 noches</t>
  </si>
  <si>
    <t>Base single 11 noches</t>
  </si>
  <si>
    <t>Base doble 11 noches</t>
  </si>
  <si>
    <t>Non angler nacional 11 noches</t>
  </si>
  <si>
    <t>Base single 12 noches</t>
  </si>
  <si>
    <t>Base doble 12 noches</t>
  </si>
  <si>
    <t>Non angler nacional 12 noches</t>
  </si>
  <si>
    <t>Base single 13 noches</t>
  </si>
  <si>
    <t>Base doble 13 noches</t>
  </si>
  <si>
    <t>Non angler nacional 13 noches</t>
  </si>
  <si>
    <t>Base single 14 noches</t>
  </si>
  <si>
    <t>Base doble 14 noches</t>
  </si>
  <si>
    <t>Non angler nacional 14 noches</t>
  </si>
  <si>
    <t>Host 1 noche</t>
  </si>
  <si>
    <t>Host 2 Noches</t>
  </si>
  <si>
    <t>Host 3 Noches</t>
  </si>
  <si>
    <t>Host 4 Noches</t>
  </si>
  <si>
    <t>Host 5 Noches</t>
  </si>
  <si>
    <t>Host 6 Noches</t>
  </si>
  <si>
    <t>Host 7 Noches</t>
  </si>
  <si>
    <t>Host 8 Noches</t>
  </si>
  <si>
    <t>Host 9 Noches</t>
  </si>
  <si>
    <t>Host 10 Noches</t>
  </si>
  <si>
    <t>Host 11 Noches</t>
  </si>
  <si>
    <t>Host 12 Noches</t>
  </si>
  <si>
    <t>Host 13 Noches</t>
  </si>
  <si>
    <t>Host 14 Noches</t>
  </si>
  <si>
    <t>PRICING PESCA: NACIONAL</t>
  </si>
  <si>
    <t>PRICING PESCA: EXTRANJERO</t>
  </si>
  <si>
    <t>Moneda</t>
  </si>
  <si>
    <t>Valor Bruto Final</t>
  </si>
  <si>
    <t>VALOR BRUTO PROGRAMA</t>
  </si>
  <si>
    <t>VALOR BRUTO FINAL</t>
  </si>
  <si>
    <t>N˚4</t>
  </si>
  <si>
    <t>LLAMAR</t>
  </si>
  <si>
    <t>Aprobado por</t>
  </si>
  <si>
    <t>Aprobador por</t>
  </si>
  <si>
    <t>René</t>
  </si>
  <si>
    <t>Jorge</t>
  </si>
  <si>
    <t>Estado de pago</t>
  </si>
  <si>
    <t>Sin pagar</t>
  </si>
  <si>
    <t>Reserva pagada</t>
  </si>
  <si>
    <t>Saldo pagado</t>
  </si>
  <si>
    <t>Grupos</t>
  </si>
  <si>
    <t>Transbank</t>
  </si>
  <si>
    <t>Llamar</t>
  </si>
  <si>
    <t>Gonzalo gonzalez</t>
  </si>
  <si>
    <t>gonzo@gmail.com</t>
  </si>
  <si>
    <t>Grupo 3</t>
  </si>
  <si>
    <t>Etiquetas de fila</t>
  </si>
  <si>
    <t>Total general</t>
  </si>
  <si>
    <t>Reserva (HOY)</t>
  </si>
  <si>
    <t>SALDO (HOY)</t>
  </si>
  <si>
    <t>N˚ GRUPO</t>
  </si>
  <si>
    <t>DESCUENTO (%)</t>
  </si>
  <si>
    <t>APROBADO POR</t>
  </si>
  <si>
    <t>INFORMACIÓN DE PAGO</t>
  </si>
  <si>
    <t>SALDO</t>
  </si>
  <si>
    <t>MONTO TOTAL A PAGAR</t>
  </si>
  <si>
    <t>FECHA DE PAGO</t>
  </si>
  <si>
    <t>MEDIO DE PAGO</t>
  </si>
  <si>
    <t>Rene</t>
  </si>
  <si>
    <t>jorge</t>
  </si>
  <si>
    <t>N˚2</t>
  </si>
  <si>
    <t>martin@gmail.com</t>
  </si>
  <si>
    <t>N˚3</t>
  </si>
  <si>
    <t>ale@gmail.com</t>
  </si>
  <si>
    <t>javier@gmail.com</t>
  </si>
  <si>
    <t>N˚5</t>
  </si>
  <si>
    <t>madi@gmail.com</t>
  </si>
  <si>
    <t>N˚6</t>
  </si>
  <si>
    <t>Constanza osorio</t>
  </si>
  <si>
    <t>coni@gmail.com</t>
  </si>
  <si>
    <t>N˚7</t>
  </si>
  <si>
    <t>anibal icaza gana</t>
  </si>
  <si>
    <t>anibal@gmail.con</t>
  </si>
  <si>
    <t>Grupo 4</t>
  </si>
  <si>
    <t>pedro perez</t>
  </si>
  <si>
    <t>pedro@gmail.conm</t>
  </si>
  <si>
    <t>Grupo 5</t>
  </si>
  <si>
    <t>gonzalo goroo</t>
  </si>
  <si>
    <t>pedro@gmail,con</t>
  </si>
  <si>
    <t>Grupo 6</t>
  </si>
  <si>
    <t>Grupo 7</t>
  </si>
  <si>
    <t>Grupo 8</t>
  </si>
  <si>
    <t>jose</t>
  </si>
  <si>
    <t>j@googo.cl</t>
  </si>
  <si>
    <t>Grupo 9</t>
  </si>
  <si>
    <t>juju</t>
  </si>
  <si>
    <t>Grupo N˚10</t>
  </si>
  <si>
    <t>fuj</t>
  </si>
  <si>
    <t>tuty</t>
  </si>
  <si>
    <t>fr</t>
  </si>
  <si>
    <t>sese</t>
  </si>
  <si>
    <t>sesss</t>
  </si>
  <si>
    <t>Grupo N10</t>
  </si>
  <si>
    <t>rere</t>
  </si>
  <si>
    <t>Grupo 10</t>
  </si>
  <si>
    <t>jojo</t>
  </si>
  <si>
    <t>Grupo 11</t>
  </si>
  <si>
    <t>12-12-12-</t>
  </si>
  <si>
    <t>hjjh</t>
  </si>
  <si>
    <t>Grupo 12</t>
  </si>
  <si>
    <t>jujuju</t>
  </si>
  <si>
    <t>Grupo 13</t>
  </si>
  <si>
    <t>Suma de Valor Bruto Programa/</t>
  </si>
  <si>
    <t>Suma de Descuento</t>
  </si>
  <si>
    <t>Suma de Valor Bruto Final</t>
  </si>
  <si>
    <t>peter peter</t>
  </si>
  <si>
    <t>peter@dd</t>
  </si>
  <si>
    <t>poter poter</t>
  </si>
  <si>
    <t>poter@dd</t>
  </si>
  <si>
    <t>jules jules</t>
  </si>
  <si>
    <t>jules@dd</t>
  </si>
  <si>
    <t>Grupo 14</t>
  </si>
  <si>
    <t>E</t>
  </si>
  <si>
    <t>F</t>
  </si>
  <si>
    <t>Ignacia</t>
  </si>
  <si>
    <t>Transferencia</t>
  </si>
  <si>
    <t>(Todas)</t>
  </si>
  <si>
    <t>Suma de Reserva - Fecha de Pago</t>
  </si>
  <si>
    <t>Suma de Reserva - Monto Bruto</t>
  </si>
  <si>
    <t>Cuenta de Reserva - 90 Días</t>
  </si>
  <si>
    <t>saber:</t>
  </si>
  <si>
    <t>que gente lleva más de 5 días de la reserva y no me han pagado</t>
  </si>
  <si>
    <t>a los 90 días, codigo rojo</t>
  </si>
  <si>
    <t>primer llamado de no pago a 10 días de la reserva</t>
  </si>
  <si>
    <t>segundo llamado, si no ha respondido a 30 dias de la reserva</t>
  </si>
  <si>
    <t>tercer llamdo a los 45 días de la reserva</t>
  </si>
  <si>
    <t>cuarto llamado a 60 días de la reserva</t>
  </si>
  <si>
    <t>reserva</t>
  </si>
  <si>
    <t>Saldo</t>
  </si>
  <si>
    <t>recordatorio a 30 días del check in</t>
  </si>
  <si>
    <t>recordatorio a 45 días del check in</t>
  </si>
  <si>
    <t>llamar a los 25 días del check in</t>
  </si>
  <si>
    <t>llamar a los 15 días del check in</t>
  </si>
  <si>
    <t>a los 10 días del check in - codigo rojo</t>
  </si>
  <si>
    <t>STATUS DE PAGO DE RESERVA Y SALDO</t>
  </si>
  <si>
    <t>valor bruto</t>
  </si>
  <si>
    <t>dscto</t>
  </si>
  <si>
    <t>valor final</t>
  </si>
  <si>
    <t>pagado a la fecha reserva</t>
  </si>
  <si>
    <t>pagado a la fecha saldo</t>
  </si>
  <si>
    <t>Relacionado al negocio</t>
  </si>
  <si>
    <t>Vendido a la fecha</t>
  </si>
  <si>
    <t>recaudado a la fecha</t>
  </si>
  <si>
    <t>flujo de cada de cuando debería llegar los pagos</t>
  </si>
  <si>
    <t>Resumen</t>
  </si>
  <si>
    <t>filtrar por pagado y adeudado</t>
  </si>
  <si>
    <t>Grupo 15</t>
  </si>
  <si>
    <t>javier</t>
  </si>
  <si>
    <t>javo</t>
  </si>
  <si>
    <t>Grupo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</si>
</sst>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164" formatCode="_-&quot;$&quot;* #,##0_-;\-&quot;$&quot;* #,##0_-;_-&quot;$&quot;* &quot;-&quot;??_-;_-@_-"/>
    <numFmt numFmtId="165" formatCode="0.0%"/>
    <numFmt numFmtId="166" formatCode="[$USD]\ #,##0"/>
    <numFmt numFmtId="167" formatCode="_ [$USD]\ * #,##0_ ;_ [$USD]\ * \-#,##0_ ;_ [$USD]\ * &quot;-&quot;_ ;_ @_ "/>
    <numFmt numFmtId="168" formatCode="_-&quot;CLP&quot;\ * #,##0_-;\-&quot;CLP&quot;\ * #,##0\-;_-&quot;CLP&quot;\ * &quot;-&quot;??_-;_-@_-\ "/>
    <numFmt numFmtId="169" formatCode="_-&quot;USD&quot;\ * #,##0_-;\ \-&quot;USD&quot;\ * #,##0\-;\ _-&quot;USD&quot;\ * &quot;-&quot;??_-;_-@_-"/>
  </numFmts>
  <fonts count="3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1"/>
      <color theme="3"/>
      <name val="Aptos Narrow"/>
      <family val="2"/>
      <scheme val="minor"/>
    </font>
    <font>
      <b/>
      <sz val="12"/>
      <color theme="1"/>
      <name val="Aptos Narrow"/>
      <scheme val="minor"/>
    </font>
    <font>
      <b/>
      <sz val="36"/>
      <color theme="1"/>
      <name val="MS Reference Sans Serif"/>
      <family val="2"/>
    </font>
    <font>
      <b/>
      <sz val="16"/>
      <color theme="1"/>
      <name val="Aptos Narrow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venir Book"/>
      <family val="2"/>
    </font>
    <font>
      <sz val="11"/>
      <color theme="1"/>
      <name val="Avenir Book"/>
      <family val="2"/>
    </font>
    <font>
      <b/>
      <sz val="36"/>
      <color theme="1"/>
      <name val="Avenir Book"/>
      <family val="2"/>
    </font>
    <font>
      <b/>
      <sz val="20"/>
      <color theme="1"/>
      <name val="Avenir Book"/>
      <family val="2"/>
    </font>
    <font>
      <b/>
      <sz val="12"/>
      <color theme="1"/>
      <name val="Avenir Book"/>
      <family val="2"/>
    </font>
    <font>
      <b/>
      <sz val="16"/>
      <color theme="1"/>
      <name val="Avenir Book"/>
      <family val="2"/>
    </font>
    <font>
      <u/>
      <sz val="11"/>
      <color theme="10"/>
      <name val="Avenir Book"/>
      <family val="2"/>
    </font>
    <font>
      <sz val="12"/>
      <color rgb="FF2454A9"/>
      <name val="Avenir Heavy"/>
      <family val="2"/>
    </font>
    <font>
      <b/>
      <sz val="16"/>
      <color rgb="FF2454A9"/>
      <name val="Avenir Book"/>
      <family val="2"/>
    </font>
    <font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b/>
      <sz val="24"/>
      <color theme="1"/>
      <name val="Avenir Book"/>
      <family val="2"/>
    </font>
    <font>
      <b/>
      <sz val="11"/>
      <color theme="1"/>
      <name val="Avenir Book"/>
      <family val="2"/>
    </font>
    <font>
      <sz val="16"/>
      <color theme="1"/>
      <name val="Avenir Book"/>
      <family val="2"/>
    </font>
    <font>
      <b/>
      <sz val="16"/>
      <color theme="5"/>
      <name val="Avenir Book"/>
      <family val="2"/>
    </font>
    <font>
      <b/>
      <sz val="12"/>
      <color theme="5"/>
      <name val="Avenir Heavy"/>
      <family val="2"/>
    </font>
    <font>
      <sz val="11"/>
      <color theme="5"/>
      <name val="Avenir Heavy"/>
      <family val="2"/>
    </font>
    <font>
      <b/>
      <sz val="11"/>
      <color theme="5"/>
      <name val="Avenir Heavy"/>
      <family val="2"/>
    </font>
    <font>
      <sz val="11"/>
      <color theme="1"/>
      <name val="Avenir Heavy"/>
      <family val="2"/>
    </font>
    <font>
      <b/>
      <sz val="12"/>
      <color theme="1"/>
      <name val="Avenir Heavy"/>
      <family val="2"/>
    </font>
    <font>
      <sz val="12"/>
      <color theme="10"/>
      <name val="Avenir Book"/>
      <family val="2"/>
    </font>
    <font>
      <sz val="12"/>
      <color theme="1"/>
      <name val="Avenir Heavy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0C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BCB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07346"/>
        <bgColor indexed="64"/>
      </patternFill>
    </fill>
    <fill>
      <patternFill patternType="solid">
        <fgColor rgb="FF2454A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medium">
        <color rgb="FF2454A9"/>
      </left>
      <right/>
      <top style="medium">
        <color rgb="FF2454A9"/>
      </top>
      <bottom/>
      <diagonal/>
    </border>
    <border>
      <left/>
      <right style="medium">
        <color rgb="FF2454A9"/>
      </right>
      <top style="medium">
        <color rgb="FF2454A9"/>
      </top>
      <bottom/>
      <diagonal/>
    </border>
    <border>
      <left style="medium">
        <color rgb="FF2454A9"/>
      </left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rgb="FF2454A9"/>
      </left>
      <right/>
      <top/>
      <bottom style="medium">
        <color rgb="FF2454A9"/>
      </bottom>
      <diagonal/>
    </border>
    <border>
      <left/>
      <right style="medium">
        <color rgb="FF2454A9"/>
      </right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 style="medium">
        <color rgb="FF2454A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/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/>
      <bottom style="medium">
        <color rgb="FF2454A9"/>
      </bottom>
      <diagonal/>
    </border>
    <border>
      <left/>
      <right style="medium">
        <color rgb="FF2454A9"/>
      </right>
      <top/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/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thin">
        <color theme="0" tint="-0.14999847407452621"/>
      </bottom>
      <diagonal/>
    </border>
    <border>
      <left/>
      <right/>
      <top style="medium">
        <color rgb="FF2454A9"/>
      </top>
      <bottom/>
      <diagonal/>
    </border>
    <border>
      <left style="medium">
        <color rgb="FF2454A9"/>
      </left>
      <right/>
      <top/>
      <bottom/>
      <diagonal/>
    </border>
    <border>
      <left/>
      <right style="medium">
        <color rgb="FF2454A9"/>
      </right>
      <top/>
      <bottom/>
      <diagonal/>
    </border>
    <border>
      <left/>
      <right/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/>
      <bottom style="medium">
        <color rgb="FF2454A9"/>
      </bottom>
      <diagonal/>
    </border>
    <border>
      <left style="medium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theme="1"/>
      </bottom>
      <diagonal/>
    </border>
    <border>
      <left/>
      <right/>
      <top style="thin">
        <color theme="4" tint="0.39997558519241921"/>
      </top>
      <bottom style="medium">
        <color theme="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theme="5"/>
      </top>
      <bottom style="thin">
        <color theme="0" tint="-0.14999847407452621"/>
      </bottom>
      <diagonal/>
    </border>
    <border>
      <left/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thin">
        <color theme="0" tint="-0.14999847407452621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/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medium">
        <color theme="5"/>
      </top>
      <bottom style="medium">
        <color theme="5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41" fontId="5" fillId="0" borderId="0" applyFont="0" applyFill="0" applyBorder="0" applyAlignment="0" applyProtection="0"/>
  </cellStyleXfs>
  <cellXfs count="421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5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quotePrefix="1" applyBorder="1"/>
    <xf numFmtId="0" fontId="0" fillId="0" borderId="1" xfId="0" applyBorder="1"/>
    <xf numFmtId="0" fontId="0" fillId="0" borderId="22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/>
    <xf numFmtId="0" fontId="0" fillId="0" borderId="12" xfId="0" applyBorder="1"/>
    <xf numFmtId="0" fontId="0" fillId="0" borderId="28" xfId="0" applyBorder="1"/>
    <xf numFmtId="0" fontId="0" fillId="0" borderId="30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1" xfId="0" applyBorder="1"/>
    <xf numFmtId="0" fontId="0" fillId="0" borderId="37" xfId="0" applyBorder="1" applyAlignment="1">
      <alignment horizontal="center"/>
    </xf>
    <xf numFmtId="0" fontId="1" fillId="0" borderId="0" xfId="0" applyFont="1"/>
    <xf numFmtId="0" fontId="0" fillId="0" borderId="28" xfId="0" applyBorder="1" applyAlignment="1">
      <alignment horizontal="center"/>
    </xf>
    <xf numFmtId="0" fontId="0" fillId="0" borderId="25" xfId="0" quotePrefix="1" applyBorder="1"/>
    <xf numFmtId="0" fontId="0" fillId="0" borderId="1" xfId="0" applyBorder="1" applyAlignment="1">
      <alignment horizontal="center"/>
    </xf>
    <xf numFmtId="0" fontId="0" fillId="0" borderId="2" xfId="0" quotePrefix="1" applyBorder="1"/>
    <xf numFmtId="0" fontId="1" fillId="0" borderId="1" xfId="0" applyFont="1" applyBorder="1" applyAlignment="1">
      <alignment horizontal="center"/>
    </xf>
    <xf numFmtId="3" fontId="0" fillId="0" borderId="5" xfId="0" quotePrefix="1" applyNumberFormat="1" applyBorder="1"/>
    <xf numFmtId="3" fontId="0" fillId="0" borderId="5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1" xfId="0" quotePrefix="1" applyBorder="1"/>
    <xf numFmtId="0" fontId="0" fillId="0" borderId="40" xfId="0" applyBorder="1"/>
    <xf numFmtId="14" fontId="0" fillId="0" borderId="5" xfId="0" quotePrefix="1" applyNumberFormat="1" applyBorder="1"/>
    <xf numFmtId="0" fontId="0" fillId="2" borderId="5" xfId="0" quotePrefix="1" applyFill="1" applyBorder="1"/>
    <xf numFmtId="0" fontId="4" fillId="2" borderId="5" xfId="1" quotePrefix="1" applyFill="1" applyBorder="1"/>
    <xf numFmtId="14" fontId="0" fillId="2" borderId="16" xfId="0" quotePrefix="1" applyNumberFormat="1" applyFill="1" applyBorder="1"/>
    <xf numFmtId="0" fontId="0" fillId="2" borderId="11" xfId="0" applyFill="1" applyBorder="1"/>
    <xf numFmtId="3" fontId="0" fillId="2" borderId="5" xfId="0" quotePrefix="1" applyNumberFormat="1" applyFill="1" applyBorder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29" xfId="0" applyFill="1" applyBorder="1"/>
    <xf numFmtId="0" fontId="0" fillId="2" borderId="14" xfId="0" applyFill="1" applyBorder="1"/>
    <xf numFmtId="0" fontId="0" fillId="2" borderId="10" xfId="0" applyFill="1" applyBorder="1"/>
    <xf numFmtId="14" fontId="0" fillId="2" borderId="39" xfId="0" quotePrefix="1" applyNumberFormat="1" applyFill="1" applyBorder="1"/>
    <xf numFmtId="0" fontId="0" fillId="0" borderId="8" xfId="0" quotePrefix="1" applyBorder="1"/>
    <xf numFmtId="0" fontId="0" fillId="0" borderId="9" xfId="0" quotePrefix="1" applyBorder="1"/>
    <xf numFmtId="9" fontId="0" fillId="0" borderId="11" xfId="0" applyNumberFormat="1" applyBorder="1" applyAlignment="1">
      <alignment horizontal="center"/>
    </xf>
    <xf numFmtId="0" fontId="0" fillId="2" borderId="22" xfId="0" quotePrefix="1" applyFill="1" applyBorder="1"/>
    <xf numFmtId="14" fontId="0" fillId="2" borderId="31" xfId="0" applyNumberFormat="1" applyFill="1" applyBorder="1"/>
    <xf numFmtId="3" fontId="0" fillId="0" borderId="32" xfId="0" applyNumberFormat="1" applyBorder="1"/>
    <xf numFmtId="3" fontId="0" fillId="2" borderId="15" xfId="0" applyNumberFormat="1" applyFill="1" applyBorder="1"/>
    <xf numFmtId="3" fontId="0" fillId="2" borderId="5" xfId="0" applyNumberFormat="1" applyFill="1" applyBorder="1"/>
    <xf numFmtId="3" fontId="0" fillId="2" borderId="14" xfId="0" applyNumberFormat="1" applyFill="1" applyBorder="1"/>
    <xf numFmtId="3" fontId="0" fillId="2" borderId="11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38" xfId="0" applyFill="1" applyBorder="1"/>
    <xf numFmtId="3" fontId="0" fillId="3" borderId="18" xfId="0" applyNumberFormat="1" applyFill="1" applyBorder="1"/>
    <xf numFmtId="3" fontId="0" fillId="3" borderId="17" xfId="0" applyNumberFormat="1" applyFill="1" applyBorder="1"/>
    <xf numFmtId="3" fontId="0" fillId="0" borderId="23" xfId="0" applyNumberFormat="1" applyBorder="1"/>
    <xf numFmtId="3" fontId="0" fillId="3" borderId="19" xfId="0" applyNumberFormat="1" applyFill="1" applyBorder="1"/>
    <xf numFmtId="3" fontId="0" fillId="0" borderId="30" xfId="0" applyNumberFormat="1" applyBorder="1"/>
    <xf numFmtId="3" fontId="0" fillId="3" borderId="28" xfId="0" applyNumberFormat="1" applyFill="1" applyBorder="1"/>
    <xf numFmtId="3" fontId="0" fillId="0" borderId="12" xfId="0" applyNumberFormat="1" applyBorder="1"/>
    <xf numFmtId="0" fontId="0" fillId="0" borderId="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8" xfId="0" applyBorder="1" applyAlignment="1">
      <alignment horizontal="center"/>
    </xf>
    <xf numFmtId="14" fontId="0" fillId="0" borderId="4" xfId="0" quotePrefix="1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0" fillId="4" borderId="32" xfId="0" applyNumberForma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5" xfId="2" applyNumberFormat="1" applyFont="1" applyBorder="1"/>
    <xf numFmtId="164" fontId="5" fillId="0" borderId="5" xfId="2" applyNumberFormat="1" applyFont="1" applyBorder="1"/>
    <xf numFmtId="164" fontId="0" fillId="0" borderId="5" xfId="2" applyNumberFormat="1" applyFont="1" applyFill="1" applyBorder="1"/>
    <xf numFmtId="164" fontId="1" fillId="0" borderId="5" xfId="2" applyNumberFormat="1" applyFont="1" applyFill="1" applyBorder="1"/>
    <xf numFmtId="164" fontId="5" fillId="0" borderId="5" xfId="2" applyNumberFormat="1" applyFont="1" applyFill="1" applyBorder="1"/>
    <xf numFmtId="164" fontId="0" fillId="0" borderId="0" xfId="2" applyNumberFormat="1" applyFont="1"/>
    <xf numFmtId="165" fontId="1" fillId="0" borderId="0" xfId="3" applyNumberFormat="1" applyFont="1" applyFill="1"/>
    <xf numFmtId="164" fontId="1" fillId="0" borderId="0" xfId="2" applyNumberFormat="1" applyFont="1"/>
    <xf numFmtId="164" fontId="0" fillId="0" borderId="5" xfId="2" applyNumberFormat="1" applyFont="1" applyFill="1" applyBorder="1" applyAlignment="1">
      <alignment horizontal="center"/>
    </xf>
    <xf numFmtId="166" fontId="0" fillId="0" borderId="5" xfId="2" applyNumberFormat="1" applyFont="1" applyFill="1" applyBorder="1"/>
    <xf numFmtId="166" fontId="5" fillId="0" borderId="5" xfId="2" applyNumberFormat="1" applyFont="1" applyFill="1" applyBorder="1"/>
    <xf numFmtId="166" fontId="1" fillId="0" borderId="5" xfId="2" applyNumberFormat="1" applyFont="1" applyFill="1" applyBorder="1"/>
    <xf numFmtId="164" fontId="1" fillId="0" borderId="0" xfId="2" applyNumberFormat="1" applyFont="1" applyAlignment="1">
      <alignment horizontal="center"/>
    </xf>
    <xf numFmtId="166" fontId="0" fillId="0" borderId="0" xfId="2" applyNumberFormat="1" applyFont="1" applyFill="1"/>
    <xf numFmtId="164" fontId="1" fillId="0" borderId="0" xfId="2" applyNumberFormat="1" applyFont="1" applyFill="1"/>
    <xf numFmtId="166" fontId="1" fillId="0" borderId="0" xfId="2" applyNumberFormat="1" applyFont="1" applyFill="1"/>
    <xf numFmtId="166" fontId="0" fillId="0" borderId="0" xfId="2" applyNumberFormat="1" applyFont="1"/>
    <xf numFmtId="166" fontId="1" fillId="0" borderId="0" xfId="2" applyNumberFormat="1" applyFont="1"/>
    <xf numFmtId="0" fontId="0" fillId="5" borderId="22" xfId="0" quotePrefix="1" applyFill="1" applyBorder="1"/>
    <xf numFmtId="0" fontId="0" fillId="5" borderId="5" xfId="0" quotePrefix="1" applyFill="1" applyBorder="1"/>
    <xf numFmtId="3" fontId="0" fillId="5" borderId="5" xfId="0" applyNumberFormat="1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4" xfId="0" applyFill="1" applyBorder="1"/>
    <xf numFmtId="0" fontId="0" fillId="6" borderId="22" xfId="0" quotePrefix="1" applyFill="1" applyBorder="1"/>
    <xf numFmtId="0" fontId="0" fillId="6" borderId="5" xfId="0" quotePrefix="1" applyFill="1" applyBorder="1"/>
    <xf numFmtId="3" fontId="0" fillId="6" borderId="5" xfId="0" applyNumberFormat="1" applyFill="1" applyBorder="1" applyAlignment="1">
      <alignment horizontal="center"/>
    </xf>
    <xf numFmtId="9" fontId="0" fillId="6" borderId="5" xfId="0" applyNumberFormat="1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17" xfId="0" quotePrefix="1" applyFill="1" applyBorder="1"/>
    <xf numFmtId="0" fontId="0" fillId="5" borderId="41" xfId="0" quotePrefix="1" applyFill="1" applyBorder="1"/>
    <xf numFmtId="0" fontId="0" fillId="5" borderId="42" xfId="0" applyFill="1" applyBorder="1"/>
    <xf numFmtId="14" fontId="1" fillId="7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  <xf numFmtId="0" fontId="8" fillId="0" borderId="43" xfId="0" applyFont="1" applyBorder="1" applyAlignment="1">
      <alignment wrapText="1"/>
    </xf>
    <xf numFmtId="0" fontId="7" fillId="8" borderId="43" xfId="0" applyFont="1" applyFill="1" applyBorder="1" applyAlignment="1">
      <alignment wrapText="1"/>
    </xf>
    <xf numFmtId="0" fontId="6" fillId="0" borderId="43" xfId="0" applyFont="1" applyBorder="1" applyAlignment="1">
      <alignment horizontal="center" wrapText="1"/>
    </xf>
    <xf numFmtId="14" fontId="6" fillId="8" borderId="43" xfId="0" applyNumberFormat="1" applyFont="1" applyFill="1" applyBorder="1" applyAlignment="1">
      <alignment horizontal="center" wrapText="1"/>
    </xf>
    <xf numFmtId="0" fontId="0" fillId="5" borderId="41" xfId="0" quotePrefix="1" applyFill="1" applyBorder="1" applyAlignment="1">
      <alignment horizontal="center"/>
    </xf>
    <xf numFmtId="0" fontId="0" fillId="5" borderId="0" xfId="0" quotePrefix="1" applyFill="1"/>
    <xf numFmtId="0" fontId="0" fillId="5" borderId="2" xfId="0" quotePrefix="1" applyFill="1" applyBorder="1"/>
    <xf numFmtId="0" fontId="0" fillId="5" borderId="5" xfId="0" applyFill="1" applyBorder="1" applyAlignment="1">
      <alignment horizontal="right" indent="1"/>
    </xf>
    <xf numFmtId="14" fontId="0" fillId="0" borderId="3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0" borderId="29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4" fontId="0" fillId="0" borderId="5" xfId="0" quotePrefix="1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5" borderId="48" xfId="0" quotePrefix="1" applyFont="1" applyFill="1" applyBorder="1" applyAlignment="1">
      <alignment horizontal="center"/>
    </xf>
    <xf numFmtId="0" fontId="0" fillId="5" borderId="23" xfId="0" applyFill="1" applyBorder="1"/>
    <xf numFmtId="0" fontId="8" fillId="0" borderId="49" xfId="0" applyFont="1" applyBorder="1" applyAlignment="1">
      <alignment wrapText="1"/>
    </xf>
    <xf numFmtId="0" fontId="8" fillId="0" borderId="50" xfId="0" applyFont="1" applyBorder="1" applyAlignment="1">
      <alignment wrapText="1"/>
    </xf>
    <xf numFmtId="0" fontId="0" fillId="3" borderId="36" xfId="0" applyFill="1" applyBorder="1" applyAlignment="1">
      <alignment horizontal="left"/>
    </xf>
    <xf numFmtId="14" fontId="0" fillId="2" borderId="4" xfId="0" quotePrefix="1" applyNumberFormat="1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42" fontId="0" fillId="0" borderId="0" xfId="4" applyFont="1"/>
    <xf numFmtId="0" fontId="0" fillId="11" borderId="13" xfId="0" applyFill="1" applyBorder="1"/>
    <xf numFmtId="0" fontId="0" fillId="11" borderId="24" xfId="0" applyFill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Font="1"/>
    <xf numFmtId="0" fontId="0" fillId="11" borderId="1" xfId="0" applyFill="1" applyBorder="1"/>
    <xf numFmtId="0" fontId="0" fillId="11" borderId="0" xfId="0" applyFill="1"/>
    <xf numFmtId="0" fontId="0" fillId="10" borderId="0" xfId="0" applyFill="1"/>
    <xf numFmtId="0" fontId="0" fillId="10" borderId="2" xfId="0" applyFill="1" applyBorder="1"/>
    <xf numFmtId="0" fontId="0" fillId="10" borderId="13" xfId="0" applyFill="1" applyBorder="1"/>
    <xf numFmtId="0" fontId="0" fillId="10" borderId="38" xfId="0" applyFill="1" applyBorder="1"/>
    <xf numFmtId="0" fontId="0" fillId="10" borderId="1" xfId="0" applyFill="1" applyBorder="1"/>
    <xf numFmtId="0" fontId="0" fillId="10" borderId="24" xfId="0" applyFill="1" applyBorder="1"/>
    <xf numFmtId="0" fontId="13" fillId="11" borderId="1" xfId="0" applyFont="1" applyFill="1" applyBorder="1"/>
    <xf numFmtId="0" fontId="10" fillId="11" borderId="0" xfId="0" applyFont="1" applyFill="1"/>
    <xf numFmtId="0" fontId="0" fillId="11" borderId="7" xfId="0" applyFill="1" applyBorder="1"/>
    <xf numFmtId="0" fontId="0" fillId="11" borderId="8" xfId="0" applyFill="1" applyBorder="1"/>
    <xf numFmtId="0" fontId="10" fillId="10" borderId="1" xfId="0" applyFont="1" applyFill="1" applyBorder="1"/>
    <xf numFmtId="0" fontId="10" fillId="10" borderId="0" xfId="0" applyFont="1" applyFill="1"/>
    <xf numFmtId="0" fontId="10" fillId="10" borderId="2" xfId="0" applyFont="1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0" fillId="3" borderId="10" xfId="0" applyFill="1" applyBorder="1" applyAlignment="1">
      <alignment horizontal="left"/>
    </xf>
    <xf numFmtId="14" fontId="0" fillId="0" borderId="0" xfId="0" applyNumberFormat="1"/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vertical="center"/>
    </xf>
    <xf numFmtId="0" fontId="20" fillId="17" borderId="0" xfId="0" applyFont="1" applyFill="1"/>
    <xf numFmtId="0" fontId="17" fillId="17" borderId="0" xfId="0" applyFont="1" applyFill="1"/>
    <xf numFmtId="14" fontId="21" fillId="17" borderId="0" xfId="0" applyNumberFormat="1" applyFont="1" applyFill="1"/>
    <xf numFmtId="0" fontId="21" fillId="17" borderId="0" xfId="0" applyFont="1" applyFill="1"/>
    <xf numFmtId="0" fontId="22" fillId="17" borderId="0" xfId="0" applyFont="1" applyFill="1" applyAlignment="1">
      <alignment vertical="center"/>
    </xf>
    <xf numFmtId="0" fontId="18" fillId="17" borderId="0" xfId="0" applyFont="1" applyFill="1" applyAlignment="1">
      <alignment vertical="center"/>
    </xf>
    <xf numFmtId="0" fontId="18" fillId="3" borderId="0" xfId="0" applyFont="1" applyFill="1"/>
    <xf numFmtId="0" fontId="20" fillId="3" borderId="55" xfId="0" applyFont="1" applyFill="1" applyBorder="1"/>
    <xf numFmtId="0" fontId="22" fillId="3" borderId="55" xfId="0" applyFont="1" applyFill="1" applyBorder="1" applyAlignment="1">
      <alignment vertical="center"/>
    </xf>
    <xf numFmtId="0" fontId="18" fillId="17" borderId="0" xfId="0" applyFont="1" applyFill="1"/>
    <xf numFmtId="0" fontId="17" fillId="13" borderId="58" xfId="0" applyFont="1" applyFill="1" applyBorder="1"/>
    <xf numFmtId="0" fontId="17" fillId="9" borderId="58" xfId="0" applyFont="1" applyFill="1" applyBorder="1"/>
    <xf numFmtId="14" fontId="17" fillId="9" borderId="58" xfId="0" applyNumberFormat="1" applyFont="1" applyFill="1" applyBorder="1"/>
    <xf numFmtId="0" fontId="23" fillId="13" borderId="58" xfId="1" applyFont="1" applyFill="1" applyBorder="1"/>
    <xf numFmtId="0" fontId="17" fillId="9" borderId="59" xfId="0" applyFont="1" applyFill="1" applyBorder="1"/>
    <xf numFmtId="0" fontId="17" fillId="9" borderId="60" xfId="0" applyFont="1" applyFill="1" applyBorder="1"/>
    <xf numFmtId="0" fontId="17" fillId="9" borderId="61" xfId="0" applyFont="1" applyFill="1" applyBorder="1"/>
    <xf numFmtId="14" fontId="17" fillId="9" borderId="62" xfId="0" applyNumberFormat="1" applyFont="1" applyFill="1" applyBorder="1"/>
    <xf numFmtId="0" fontId="17" fillId="9" borderId="62" xfId="0" applyFont="1" applyFill="1" applyBorder="1"/>
    <xf numFmtId="0" fontId="17" fillId="9" borderId="63" xfId="0" applyFont="1" applyFill="1" applyBorder="1"/>
    <xf numFmtId="0" fontId="17" fillId="13" borderId="60" xfId="0" applyFont="1" applyFill="1" applyBorder="1"/>
    <xf numFmtId="0" fontId="17" fillId="13" borderId="59" xfId="0" applyFont="1" applyFill="1" applyBorder="1"/>
    <xf numFmtId="0" fontId="17" fillId="13" borderId="61" xfId="0" applyFont="1" applyFill="1" applyBorder="1"/>
    <xf numFmtId="0" fontId="17" fillId="13" borderId="62" xfId="0" applyFont="1" applyFill="1" applyBorder="1"/>
    <xf numFmtId="0" fontId="17" fillId="13" borderId="63" xfId="0" applyFont="1" applyFill="1" applyBorder="1"/>
    <xf numFmtId="0" fontId="21" fillId="13" borderId="64" xfId="0" applyFont="1" applyFill="1" applyBorder="1"/>
    <xf numFmtId="0" fontId="17" fillId="13" borderId="65" xfId="0" applyFont="1" applyFill="1" applyBorder="1"/>
    <xf numFmtId="0" fontId="4" fillId="13" borderId="65" xfId="1" applyFill="1" applyBorder="1"/>
    <xf numFmtId="0" fontId="17" fillId="13" borderId="66" xfId="0" applyFont="1" applyFill="1" applyBorder="1"/>
    <xf numFmtId="0" fontId="17" fillId="9" borderId="64" xfId="0" applyFont="1" applyFill="1" applyBorder="1"/>
    <xf numFmtId="14" fontId="17" fillId="9" borderId="65" xfId="0" applyNumberFormat="1" applyFont="1" applyFill="1" applyBorder="1"/>
    <xf numFmtId="0" fontId="17" fillId="9" borderId="65" xfId="0" applyFont="1" applyFill="1" applyBorder="1"/>
    <xf numFmtId="0" fontId="17" fillId="9" borderId="66" xfId="0" applyFont="1" applyFill="1" applyBorder="1"/>
    <xf numFmtId="14" fontId="17" fillId="3" borderId="68" xfId="0" applyNumberFormat="1" applyFont="1" applyFill="1" applyBorder="1"/>
    <xf numFmtId="14" fontId="17" fillId="3" borderId="69" xfId="0" applyNumberFormat="1" applyFont="1" applyFill="1" applyBorder="1"/>
    <xf numFmtId="0" fontId="17" fillId="3" borderId="69" xfId="0" applyFont="1" applyFill="1" applyBorder="1"/>
    <xf numFmtId="14" fontId="17" fillId="3" borderId="70" xfId="0" applyNumberFormat="1" applyFont="1" applyFill="1" applyBorder="1"/>
    <xf numFmtId="0" fontId="17" fillId="3" borderId="72" xfId="0" applyFont="1" applyFill="1" applyBorder="1"/>
    <xf numFmtId="0" fontId="17" fillId="3" borderId="70" xfId="0" applyFont="1" applyFill="1" applyBorder="1"/>
    <xf numFmtId="0" fontId="18" fillId="3" borderId="52" xfId="0" applyFont="1" applyFill="1" applyBorder="1"/>
    <xf numFmtId="0" fontId="18" fillId="3" borderId="73" xfId="0" applyFont="1" applyFill="1" applyBorder="1"/>
    <xf numFmtId="0" fontId="19" fillId="3" borderId="73" xfId="0" applyFont="1" applyFill="1" applyBorder="1" applyAlignment="1">
      <alignment horizontal="center" vertical="center"/>
    </xf>
    <xf numFmtId="0" fontId="19" fillId="3" borderId="73" xfId="0" applyFont="1" applyFill="1" applyBorder="1" applyAlignment="1">
      <alignment vertical="center"/>
    </xf>
    <xf numFmtId="0" fontId="18" fillId="3" borderId="53" xfId="0" applyFont="1" applyFill="1" applyBorder="1"/>
    <xf numFmtId="0" fontId="18" fillId="17" borderId="74" xfId="0" applyFont="1" applyFill="1" applyBorder="1"/>
    <xf numFmtId="0" fontId="18" fillId="17" borderId="75" xfId="0" applyFont="1" applyFill="1" applyBorder="1"/>
    <xf numFmtId="0" fontId="17" fillId="17" borderId="74" xfId="0" applyFont="1" applyFill="1" applyBorder="1"/>
    <xf numFmtId="0" fontId="17" fillId="17" borderId="75" xfId="0" applyFont="1" applyFill="1" applyBorder="1"/>
    <xf numFmtId="0" fontId="18" fillId="17" borderId="74" xfId="0" applyFont="1" applyFill="1" applyBorder="1" applyAlignment="1">
      <alignment vertical="center"/>
    </xf>
    <xf numFmtId="0" fontId="18" fillId="17" borderId="75" xfId="0" applyFont="1" applyFill="1" applyBorder="1" applyAlignment="1">
      <alignment vertical="center"/>
    </xf>
    <xf numFmtId="0" fontId="18" fillId="17" borderId="56" xfId="0" applyFont="1" applyFill="1" applyBorder="1"/>
    <xf numFmtId="0" fontId="18" fillId="17" borderId="76" xfId="0" applyFont="1" applyFill="1" applyBorder="1"/>
    <xf numFmtId="0" fontId="18" fillId="17" borderId="57" xfId="0" applyFont="1" applyFill="1" applyBorder="1"/>
    <xf numFmtId="0" fontId="18" fillId="18" borderId="56" xfId="0" applyFont="1" applyFill="1" applyBorder="1"/>
    <xf numFmtId="0" fontId="18" fillId="18" borderId="76" xfId="0" applyFont="1" applyFill="1" applyBorder="1"/>
    <xf numFmtId="0" fontId="18" fillId="18" borderId="57" xfId="0" applyFont="1" applyFill="1" applyBorder="1"/>
    <xf numFmtId="0" fontId="18" fillId="18" borderId="0" xfId="0" applyFont="1" applyFill="1"/>
    <xf numFmtId="0" fontId="17" fillId="18" borderId="0" xfId="0" applyFont="1" applyFill="1"/>
    <xf numFmtId="0" fontId="25" fillId="3" borderId="71" xfId="0" applyFont="1" applyFill="1" applyBorder="1"/>
    <xf numFmtId="0" fontId="25" fillId="3" borderId="54" xfId="0" applyFont="1" applyFill="1" applyBorder="1" applyAlignment="1">
      <alignment vertical="center"/>
    </xf>
    <xf numFmtId="0" fontId="17" fillId="3" borderId="57" xfId="0" applyFont="1" applyFill="1" applyBorder="1" applyAlignment="1">
      <alignment horizontal="center" vertical="center"/>
    </xf>
    <xf numFmtId="0" fontId="24" fillId="13" borderId="67" xfId="0" applyFont="1" applyFill="1" applyBorder="1"/>
    <xf numFmtId="0" fontId="24" fillId="13" borderId="77" xfId="0" applyFont="1" applyFill="1" applyBorder="1"/>
    <xf numFmtId="0" fontId="24" fillId="13" borderId="78" xfId="0" applyFont="1" applyFill="1" applyBorder="1"/>
    <xf numFmtId="0" fontId="24" fillId="9" borderId="67" xfId="0" applyFont="1" applyFill="1" applyBorder="1"/>
    <xf numFmtId="0" fontId="24" fillId="9" borderId="77" xfId="0" applyFont="1" applyFill="1" applyBorder="1"/>
    <xf numFmtId="0" fontId="24" fillId="9" borderId="78" xfId="0" applyFont="1" applyFill="1" applyBorder="1"/>
    <xf numFmtId="0" fontId="0" fillId="0" borderId="74" xfId="0" applyBorder="1"/>
    <xf numFmtId="42" fontId="0" fillId="0" borderId="0" xfId="4" applyFont="1" applyBorder="1"/>
    <xf numFmtId="42" fontId="0" fillId="0" borderId="75" xfId="4" applyFont="1" applyBorder="1"/>
    <xf numFmtId="0" fontId="0" fillId="0" borderId="56" xfId="0" applyBorder="1"/>
    <xf numFmtId="0" fontId="0" fillId="0" borderId="76" xfId="0" applyBorder="1" applyAlignment="1">
      <alignment horizontal="center"/>
    </xf>
    <xf numFmtId="42" fontId="0" fillId="0" borderId="76" xfId="4" applyFont="1" applyBorder="1"/>
    <xf numFmtId="42" fontId="0" fillId="0" borderId="57" xfId="4" applyFont="1" applyBorder="1"/>
    <xf numFmtId="167" fontId="26" fillId="0" borderId="75" xfId="2" applyNumberFormat="1" applyFont="1" applyFill="1" applyBorder="1"/>
    <xf numFmtId="0" fontId="0" fillId="0" borderId="76" xfId="0" applyBorder="1"/>
    <xf numFmtId="167" fontId="26" fillId="0" borderId="57" xfId="2" applyNumberFormat="1" applyFont="1" applyFill="1" applyBorder="1"/>
    <xf numFmtId="0" fontId="1" fillId="0" borderId="57" xfId="0" applyFont="1" applyBorder="1"/>
    <xf numFmtId="0" fontId="1" fillId="0" borderId="56" xfId="0" applyFont="1" applyBorder="1"/>
    <xf numFmtId="0" fontId="1" fillId="0" borderId="76" xfId="0" applyFont="1" applyBorder="1"/>
    <xf numFmtId="41" fontId="0" fillId="0" borderId="0" xfId="5" applyFont="1"/>
    <xf numFmtId="0" fontId="0" fillId="14" borderId="13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16" fillId="11" borderId="84" xfId="0" applyFont="1" applyFill="1" applyBorder="1" applyAlignment="1">
      <alignment horizontal="center" vertical="center"/>
    </xf>
    <xf numFmtId="0" fontId="9" fillId="11" borderId="85" xfId="0" applyFont="1" applyFill="1" applyBorder="1" applyAlignment="1">
      <alignment horizontal="center" vertical="center"/>
    </xf>
    <xf numFmtId="0" fontId="9" fillId="11" borderId="86" xfId="0" applyFont="1" applyFill="1" applyBorder="1" applyAlignment="1">
      <alignment horizontal="center" vertical="center"/>
    </xf>
    <xf numFmtId="0" fontId="9" fillId="11" borderId="86" xfId="0" applyFont="1" applyFill="1" applyBorder="1" applyAlignment="1">
      <alignment horizontal="center" vertical="center" wrapText="1"/>
    </xf>
    <xf numFmtId="0" fontId="9" fillId="9" borderId="90" xfId="0" applyFont="1" applyFill="1" applyBorder="1" applyAlignment="1">
      <alignment horizontal="center" vertical="center"/>
    </xf>
    <xf numFmtId="0" fontId="9" fillId="9" borderId="91" xfId="0" applyFont="1" applyFill="1" applyBorder="1" applyAlignment="1">
      <alignment horizontal="center" vertical="center"/>
    </xf>
    <xf numFmtId="0" fontId="9" fillId="9" borderId="91" xfId="0" applyFont="1" applyFill="1" applyBorder="1" applyAlignment="1">
      <alignment horizontal="center" vertical="center" wrapText="1"/>
    </xf>
    <xf numFmtId="0" fontId="9" fillId="10" borderId="90" xfId="0" applyFont="1" applyFill="1" applyBorder="1" applyAlignment="1">
      <alignment horizontal="center" vertical="center"/>
    </xf>
    <xf numFmtId="0" fontId="9" fillId="10" borderId="91" xfId="0" applyFont="1" applyFill="1" applyBorder="1" applyAlignment="1">
      <alignment horizontal="center" vertical="center"/>
    </xf>
    <xf numFmtId="9" fontId="0" fillId="0" borderId="0" xfId="3" applyFont="1"/>
    <xf numFmtId="0" fontId="16" fillId="11" borderId="83" xfId="0" applyFont="1" applyFill="1" applyBorder="1" applyAlignment="1">
      <alignment horizontal="center" vertical="center"/>
    </xf>
    <xf numFmtId="168" fontId="0" fillId="0" borderId="0" xfId="5" applyNumberFormat="1" applyFont="1"/>
    <xf numFmtId="168" fontId="0" fillId="0" borderId="0" xfId="0" applyNumberFormat="1"/>
    <xf numFmtId="0" fontId="9" fillId="11" borderId="87" xfId="0" applyFont="1" applyFill="1" applyBorder="1" applyAlignment="1">
      <alignment horizontal="center" vertical="center" wrapText="1"/>
    </xf>
    <xf numFmtId="0" fontId="4" fillId="13" borderId="58" xfId="1" applyFill="1" applyBorder="1"/>
    <xf numFmtId="0" fontId="9" fillId="12" borderId="88" xfId="0" applyFont="1" applyFill="1" applyBorder="1" applyAlignment="1">
      <alignment vertical="center" wrapText="1"/>
    </xf>
    <xf numFmtId="0" fontId="16" fillId="11" borderId="82" xfId="0" applyFont="1" applyFill="1" applyBorder="1" applyAlignment="1">
      <alignment vertical="center"/>
    </xf>
    <xf numFmtId="0" fontId="16" fillId="11" borderId="83" xfId="0" applyFont="1" applyFill="1" applyBorder="1" applyAlignment="1">
      <alignment vertical="center"/>
    </xf>
    <xf numFmtId="0" fontId="16" fillId="14" borderId="8" xfId="0" applyFont="1" applyFill="1" applyBorder="1" applyAlignment="1">
      <alignment vertical="center"/>
    </xf>
    <xf numFmtId="0" fontId="16" fillId="15" borderId="7" xfId="0" applyFont="1" applyFill="1" applyBorder="1" applyAlignment="1">
      <alignment vertical="center"/>
    </xf>
    <xf numFmtId="0" fontId="16" fillId="15" borderId="8" xfId="0" applyFont="1" applyFill="1" applyBorder="1" applyAlignment="1">
      <alignment vertical="center"/>
    </xf>
    <xf numFmtId="0" fontId="15" fillId="16" borderId="20" xfId="0" applyFont="1" applyFill="1" applyBorder="1" applyAlignment="1">
      <alignment vertical="center"/>
    </xf>
    <xf numFmtId="0" fontId="15" fillId="16" borderId="21" xfId="0" applyFont="1" applyFill="1" applyBorder="1" applyAlignment="1">
      <alignment vertical="center"/>
    </xf>
    <xf numFmtId="0" fontId="16" fillId="9" borderId="89" xfId="0" applyFont="1" applyFill="1" applyBorder="1" applyAlignment="1">
      <alignment vertical="center"/>
    </xf>
    <xf numFmtId="0" fontId="16" fillId="9" borderId="83" xfId="0" applyFont="1" applyFill="1" applyBorder="1" applyAlignment="1">
      <alignment vertical="center"/>
    </xf>
    <xf numFmtId="0" fontId="16" fillId="10" borderId="89" xfId="0" applyFont="1" applyFill="1" applyBorder="1" applyAlignment="1">
      <alignment vertical="center"/>
    </xf>
    <xf numFmtId="0" fontId="16" fillId="10" borderId="83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9" fontId="0" fillId="0" borderId="0" xfId="0" applyNumberFormat="1"/>
    <xf numFmtId="0" fontId="19" fillId="3" borderId="0" xfId="0" applyFont="1" applyFill="1" applyAlignment="1">
      <alignment horizontal="center" vertical="center"/>
    </xf>
    <xf numFmtId="0" fontId="19" fillId="19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8" fillId="19" borderId="0" xfId="0" applyFont="1" applyFill="1"/>
    <xf numFmtId="0" fontId="29" fillId="17" borderId="0" xfId="0" applyFont="1" applyFill="1" applyAlignment="1">
      <alignment horizontal="left" vertical="center"/>
    </xf>
    <xf numFmtId="0" fontId="20" fillId="0" borderId="0" xfId="0" applyFont="1"/>
    <xf numFmtId="0" fontId="29" fillId="0" borderId="0" xfId="0" applyFont="1"/>
    <xf numFmtId="14" fontId="18" fillId="0" borderId="0" xfId="0" applyNumberFormat="1" applyFont="1"/>
    <xf numFmtId="0" fontId="22" fillId="0" borderId="0" xfId="0" applyFont="1"/>
    <xf numFmtId="0" fontId="30" fillId="0" borderId="0" xfId="0" applyFont="1"/>
    <xf numFmtId="14" fontId="18" fillId="0" borderId="0" xfId="0" applyNumberFormat="1" applyFont="1" applyAlignment="1">
      <alignment horizontal="right"/>
    </xf>
    <xf numFmtId="0" fontId="17" fillId="3" borderId="67" xfId="0" applyFont="1" applyFill="1" applyBorder="1" applyAlignment="1">
      <alignment vertical="center"/>
    </xf>
    <xf numFmtId="0" fontId="18" fillId="3" borderId="111" xfId="0" applyFont="1" applyFill="1" applyBorder="1"/>
    <xf numFmtId="0" fontId="0" fillId="2" borderId="0" xfId="0" applyFill="1" applyAlignment="1">
      <alignment horizontal="center" vertical="center"/>
    </xf>
    <xf numFmtId="41" fontId="0" fillId="2" borderId="0" xfId="5" applyFont="1" applyFill="1"/>
    <xf numFmtId="168" fontId="0" fillId="2" borderId="0" xfId="5" applyNumberFormat="1" applyFont="1" applyFill="1"/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42" fontId="0" fillId="2" borderId="0" xfId="4" applyFont="1" applyFill="1"/>
    <xf numFmtId="0" fontId="36" fillId="3" borderId="113" xfId="0" applyFont="1" applyFill="1" applyBorder="1" applyAlignment="1">
      <alignment vertical="center"/>
    </xf>
    <xf numFmtId="0" fontId="37" fillId="3" borderId="116" xfId="1" applyFont="1" applyFill="1" applyBorder="1" applyAlignment="1">
      <alignment vertical="center"/>
    </xf>
    <xf numFmtId="0" fontId="28" fillId="17" borderId="0" xfId="0" applyFont="1" applyFill="1" applyAlignment="1">
      <alignment vertical="center"/>
    </xf>
    <xf numFmtId="0" fontId="36" fillId="3" borderId="95" xfId="0" applyFont="1" applyFill="1" applyBorder="1" applyAlignment="1">
      <alignment vertical="center"/>
    </xf>
    <xf numFmtId="0" fontId="36" fillId="3" borderId="104" xfId="0" applyFont="1" applyFill="1" applyBorder="1" applyAlignment="1">
      <alignment vertical="center"/>
    </xf>
    <xf numFmtId="0" fontId="36" fillId="3" borderId="114" xfId="0" applyFont="1" applyFill="1" applyBorder="1" applyAlignment="1">
      <alignment vertical="center"/>
    </xf>
    <xf numFmtId="14" fontId="37" fillId="3" borderId="117" xfId="1" applyNumberFormat="1" applyFont="1" applyFill="1" applyBorder="1" applyAlignment="1">
      <alignment vertical="center"/>
    </xf>
    <xf numFmtId="0" fontId="36" fillId="3" borderId="124" xfId="0" applyFont="1" applyFill="1" applyBorder="1" applyAlignment="1">
      <alignment vertical="center"/>
    </xf>
    <xf numFmtId="42" fontId="17" fillId="3" borderId="122" xfId="4" applyFont="1" applyFill="1" applyBorder="1" applyAlignment="1">
      <alignment vertical="center"/>
    </xf>
    <xf numFmtId="14" fontId="17" fillId="3" borderId="65" xfId="0" applyNumberFormat="1" applyFont="1" applyFill="1" applyBorder="1" applyAlignment="1">
      <alignment vertical="center"/>
    </xf>
    <xf numFmtId="0" fontId="17" fillId="3" borderId="120" xfId="1" applyFont="1" applyFill="1" applyBorder="1" applyAlignment="1">
      <alignment vertical="center"/>
    </xf>
    <xf numFmtId="0" fontId="36" fillId="3" borderId="115" xfId="0" applyFont="1" applyFill="1" applyBorder="1" applyAlignment="1">
      <alignment vertical="center"/>
    </xf>
    <xf numFmtId="14" fontId="37" fillId="3" borderId="118" xfId="1" applyNumberFormat="1" applyFont="1" applyFill="1" applyBorder="1" applyAlignment="1">
      <alignment vertical="center"/>
    </xf>
    <xf numFmtId="0" fontId="36" fillId="3" borderId="118" xfId="0" applyFont="1" applyFill="1" applyBorder="1" applyAlignment="1">
      <alignment vertical="center"/>
    </xf>
    <xf numFmtId="42" fontId="17" fillId="3" borderId="123" xfId="4" applyFont="1" applyFill="1" applyBorder="1" applyAlignment="1">
      <alignment vertical="center"/>
    </xf>
    <xf numFmtId="14" fontId="17" fillId="3" borderId="102" xfId="0" applyNumberFormat="1" applyFont="1" applyFill="1" applyBorder="1" applyAlignment="1">
      <alignment vertical="center"/>
    </xf>
    <xf numFmtId="0" fontId="17" fillId="3" borderId="112" xfId="1" applyFont="1" applyFill="1" applyBorder="1" applyAlignment="1">
      <alignment vertical="center"/>
    </xf>
    <xf numFmtId="0" fontId="36" fillId="3" borderId="121" xfId="1" applyFont="1" applyFill="1" applyBorder="1" applyAlignment="1">
      <alignment vertical="center"/>
    </xf>
    <xf numFmtId="0" fontId="36" fillId="3" borderId="108" xfId="1" applyFont="1" applyFill="1" applyBorder="1" applyAlignment="1">
      <alignment vertical="center"/>
    </xf>
    <xf numFmtId="0" fontId="32" fillId="20" borderId="103" xfId="0" applyFont="1" applyFill="1" applyBorder="1"/>
    <xf numFmtId="0" fontId="33" fillId="20" borderId="104" xfId="1" applyFont="1" applyFill="1" applyBorder="1"/>
    <xf numFmtId="0" fontId="32" fillId="20" borderId="104" xfId="0" applyFont="1" applyFill="1" applyBorder="1"/>
    <xf numFmtId="0" fontId="34" fillId="20" borderId="104" xfId="1" applyFont="1" applyFill="1" applyBorder="1"/>
    <xf numFmtId="0" fontId="32" fillId="20" borderId="105" xfId="0" applyFont="1" applyFill="1" applyBorder="1"/>
    <xf numFmtId="0" fontId="34" fillId="20" borderId="105" xfId="1" applyFont="1" applyFill="1" applyBorder="1"/>
    <xf numFmtId="0" fontId="35" fillId="20" borderId="106" xfId="0" applyFont="1" applyFill="1" applyBorder="1"/>
    <xf numFmtId="0" fontId="17" fillId="20" borderId="96" xfId="0" applyFont="1" applyFill="1" applyBorder="1"/>
    <xf numFmtId="0" fontId="17" fillId="20" borderId="97" xfId="1" applyFont="1" applyFill="1" applyBorder="1"/>
    <xf numFmtId="9" fontId="17" fillId="20" borderId="97" xfId="3" applyFont="1" applyFill="1" applyBorder="1" applyAlignment="1">
      <alignment horizontal="center"/>
    </xf>
    <xf numFmtId="0" fontId="17" fillId="20" borderId="98" xfId="0" applyFont="1" applyFill="1" applyBorder="1"/>
    <xf numFmtId="42" fontId="17" fillId="20" borderId="98" xfId="4" applyFont="1" applyFill="1" applyBorder="1"/>
    <xf numFmtId="42" fontId="17" fillId="20" borderId="99" xfId="4" applyFont="1" applyFill="1" applyBorder="1"/>
    <xf numFmtId="0" fontId="17" fillId="20" borderId="100" xfId="0" applyFont="1" applyFill="1" applyBorder="1"/>
    <xf numFmtId="0" fontId="17" fillId="20" borderId="58" xfId="1" applyFont="1" applyFill="1" applyBorder="1"/>
    <xf numFmtId="9" fontId="17" fillId="20" borderId="58" xfId="3" applyFont="1" applyFill="1" applyBorder="1" applyAlignment="1">
      <alignment horizontal="center"/>
    </xf>
    <xf numFmtId="0" fontId="17" fillId="20" borderId="92" xfId="0" applyFont="1" applyFill="1" applyBorder="1"/>
    <xf numFmtId="42" fontId="17" fillId="20" borderId="92" xfId="4" applyFont="1" applyFill="1" applyBorder="1"/>
    <xf numFmtId="42" fontId="17" fillId="20" borderId="101" xfId="4" applyFont="1" applyFill="1" applyBorder="1"/>
    <xf numFmtId="0" fontId="17" fillId="20" borderId="125" xfId="0" applyFont="1" applyFill="1" applyBorder="1"/>
    <xf numFmtId="0" fontId="17" fillId="20" borderId="93" xfId="1" applyFont="1" applyFill="1" applyBorder="1"/>
    <xf numFmtId="9" fontId="17" fillId="20" borderId="93" xfId="3" applyFont="1" applyFill="1" applyBorder="1" applyAlignment="1">
      <alignment horizontal="center"/>
    </xf>
    <xf numFmtId="0" fontId="17" fillId="20" borderId="94" xfId="0" applyFont="1" applyFill="1" applyBorder="1"/>
    <xf numFmtId="42" fontId="17" fillId="20" borderId="94" xfId="4" applyFont="1" applyFill="1" applyBorder="1"/>
    <xf numFmtId="42" fontId="17" fillId="20" borderId="109" xfId="4" applyFont="1" applyFill="1" applyBorder="1"/>
    <xf numFmtId="0" fontId="38" fillId="20" borderId="107" xfId="0" applyFont="1" applyFill="1" applyBorder="1"/>
    <xf numFmtId="0" fontId="36" fillId="20" borderId="126" xfId="0" applyFont="1" applyFill="1" applyBorder="1"/>
    <xf numFmtId="42" fontId="36" fillId="20" borderId="126" xfId="0" applyNumberFormat="1" applyFont="1" applyFill="1" applyBorder="1"/>
    <xf numFmtId="0" fontId="38" fillId="20" borderId="126" xfId="0" applyFont="1" applyFill="1" applyBorder="1"/>
    <xf numFmtId="0" fontId="36" fillId="20" borderId="126" xfId="0" applyFont="1" applyFill="1" applyBorder="1" applyAlignment="1">
      <alignment horizontal="right"/>
    </xf>
    <xf numFmtId="0" fontId="38" fillId="20" borderId="106" xfId="0" applyFont="1" applyFill="1" applyBorder="1"/>
    <xf numFmtId="19" fontId="0" fillId="0" borderId="0" xfId="0" applyNumberFormat="1" applyAlignment="1">
      <alignment horizontal="center" vertical="center"/>
    </xf>
    <xf numFmtId="9" fontId="0" fillId="0" borderId="0" xfId="0" applyNumberFormat="1"/>
    <xf numFmtId="167" fontId="0" fillId="0" borderId="0" xfId="0" applyNumberFormat="1"/>
    <xf numFmtId="41" fontId="17" fillId="20" borderId="97" xfId="5" applyFont="1" applyFill="1" applyBorder="1"/>
    <xf numFmtId="41" fontId="17" fillId="20" borderId="58" xfId="5" applyFont="1" applyFill="1" applyBorder="1"/>
    <xf numFmtId="41" fontId="17" fillId="20" borderId="93" xfId="5" applyFont="1" applyFill="1" applyBorder="1"/>
    <xf numFmtId="41" fontId="36" fillId="20" borderId="126" xfId="5" applyFont="1" applyFill="1" applyBorder="1"/>
    <xf numFmtId="3" fontId="0" fillId="0" borderId="0" xfId="0" applyNumberFormat="1"/>
    <xf numFmtId="0" fontId="0" fillId="0" borderId="7" xfId="0" applyBorder="1"/>
    <xf numFmtId="0" fontId="0" fillId="0" borderId="9" xfId="0" applyBorder="1"/>
    <xf numFmtId="0" fontId="0" fillId="0" borderId="2" xfId="0" applyBorder="1"/>
    <xf numFmtId="0" fontId="0" fillId="0" borderId="24" xfId="0" applyBorder="1"/>
    <xf numFmtId="0" fontId="0" fillId="0" borderId="8" xfId="0" applyBorder="1"/>
    <xf numFmtId="0" fontId="0" fillId="0" borderId="13" xfId="0" applyBorder="1"/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25" fillId="13" borderId="79" xfId="0" applyFont="1" applyFill="1" applyBorder="1" applyAlignment="1">
      <alignment horizontal="center"/>
    </xf>
    <xf numFmtId="0" fontId="25" fillId="13" borderId="80" xfId="0" applyFont="1" applyFill="1" applyBorder="1" applyAlignment="1">
      <alignment horizontal="center"/>
    </xf>
    <xf numFmtId="0" fontId="25" fillId="13" borderId="81" xfId="0" applyFont="1" applyFill="1" applyBorder="1" applyAlignment="1">
      <alignment horizontal="center"/>
    </xf>
    <xf numFmtId="0" fontId="25" fillId="9" borderId="79" xfId="0" applyFont="1" applyFill="1" applyBorder="1" applyAlignment="1">
      <alignment horizontal="center"/>
    </xf>
    <xf numFmtId="0" fontId="25" fillId="9" borderId="80" xfId="0" applyFont="1" applyFill="1" applyBorder="1" applyAlignment="1">
      <alignment horizontal="center"/>
    </xf>
    <xf numFmtId="0" fontId="25" fillId="9" borderId="81" xfId="0" applyFont="1" applyFill="1" applyBorder="1" applyAlignment="1">
      <alignment horizontal="center"/>
    </xf>
    <xf numFmtId="0" fontId="19" fillId="3" borderId="73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31" fillId="3" borderId="110" xfId="0" applyFont="1" applyFill="1" applyBorder="1" applyAlignment="1">
      <alignment horizontal="left"/>
    </xf>
    <xf numFmtId="0" fontId="31" fillId="3" borderId="111" xfId="0" applyFont="1" applyFill="1" applyBorder="1" applyAlignment="1">
      <alignment horizontal="left"/>
    </xf>
    <xf numFmtId="0" fontId="31" fillId="3" borderId="119" xfId="0" applyFont="1" applyFill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9" xfId="0" applyFont="1" applyBorder="1" applyAlignment="1">
      <alignment horizontal="left"/>
    </xf>
    <xf numFmtId="0" fontId="12" fillId="11" borderId="1" xfId="0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2" fillId="10" borderId="8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73" xfId="0" applyFont="1" applyBorder="1" applyAlignment="1">
      <alignment horizontal="center"/>
    </xf>
    <xf numFmtId="0" fontId="27" fillId="0" borderId="53" xfId="0" applyFont="1" applyBorder="1" applyAlignment="1">
      <alignment horizontal="center"/>
    </xf>
  </cellXfs>
  <cellStyles count="6">
    <cellStyle name="Hipervínculo" xfId="1" builtinId="8"/>
    <cellStyle name="Millares [0]" xfId="5" builtinId="6"/>
    <cellStyle name="Moneda" xfId="2" builtinId="4"/>
    <cellStyle name="Moneda [0]" xfId="4" builtinId="7"/>
    <cellStyle name="Normal" xfId="0" builtinId="0"/>
    <cellStyle name="Porcentaje" xfId="3" builtinId="5"/>
  </cellStyles>
  <dxfs count="2">
    <dxf>
      <numFmt numFmtId="170" formatCode="_-&quot;CLP&quot;\ * #,##0_-;\ \-&quot;CLP&quot;\ * #,##0\-;\ _-&quot;CLP&quot;\ * &quot;-&quot;??_-;_-@_-\ "/>
    </dxf>
    <dxf>
      <numFmt numFmtId="171" formatCode="_-&quot;USD&quot;\ * #,##0_-;\ \-&quot;USD&quot;\ * #,##0\-;\ _-&quot;USD&quot;\ * &quot;-&quot;??_-;_-@_-\ "/>
    </dxf>
  </dxfs>
  <tableStyles count="2" defaultTableStyle="TableStyleMedium2" defaultPivotStyle="PivotStyleLight16">
    <tableStyle name="tblExt" pivot="0" count="0" xr9:uid="{61AC4EEC-B621-FA46-BFFB-C3F3F7E809F7}"/>
    <tableStyle name="tblNac" pivot="0" count="0" xr9:uid="{A54CB06A-B124-2C40-96A3-DEBA128854C5}"/>
  </tableStyles>
  <colors>
    <mruColors>
      <color rgb="FF207346"/>
      <color rgb="FFEFF0C1"/>
      <color rgb="FFEFBCBA"/>
      <color rgb="FF2454A9"/>
      <color rgb="FFEBE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image" Target="../media/image3.jpeg"/><Relationship Id="rId5" Type="http://schemas.openxmlformats.org/officeDocument/2006/relationships/image" Target="../media/image6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305579</xdr:colOff>
      <xdr:row>0</xdr:row>
      <xdr:rowOff>982526</xdr:rowOff>
    </xdr:from>
    <xdr:to>
      <xdr:col>4</xdr:col>
      <xdr:colOff>339231</xdr:colOff>
      <xdr:row>0</xdr:row>
      <xdr:rowOff>1435630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5F9910-0939-2161-7E5E-70CCC50F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70058" y="982526"/>
          <a:ext cx="2296367" cy="459454"/>
        </a:xfrm>
        <a:prstGeom prst="rect">
          <a:avLst/>
        </a:prstGeom>
      </xdr:spPr>
    </xdr:pic>
    <xdr:clientData/>
  </xdr:twoCellAnchor>
  <xdr:twoCellAnchor editAs="oneCell">
    <xdr:from>
      <xdr:col>2</xdr:col>
      <xdr:colOff>705380</xdr:colOff>
      <xdr:row>0</xdr:row>
      <xdr:rowOff>56621</xdr:rowOff>
    </xdr:from>
    <xdr:to>
      <xdr:col>4</xdr:col>
      <xdr:colOff>1442396</xdr:colOff>
      <xdr:row>0</xdr:row>
      <xdr:rowOff>917724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B4330D2-5472-51A5-C541-139AFA25A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3010" y="56621"/>
          <a:ext cx="5230522" cy="861103"/>
        </a:xfrm>
        <a:prstGeom prst="rect">
          <a:avLst/>
        </a:prstGeom>
      </xdr:spPr>
    </xdr:pic>
    <xdr:clientData/>
  </xdr:twoCellAnchor>
  <xdr:twoCellAnchor editAs="oneCell">
    <xdr:from>
      <xdr:col>1</xdr:col>
      <xdr:colOff>113478</xdr:colOff>
      <xdr:row>0</xdr:row>
      <xdr:rowOff>220837</xdr:rowOff>
    </xdr:from>
    <xdr:to>
      <xdr:col>1</xdr:col>
      <xdr:colOff>1568290</xdr:colOff>
      <xdr:row>0</xdr:row>
      <xdr:rowOff>787097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0C36AB0-9831-6340-9F85-02124603F4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58803" y="220837"/>
          <a:ext cx="1454812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242585</xdr:colOff>
      <xdr:row>25</xdr:row>
      <xdr:rowOff>0</xdr:rowOff>
    </xdr:from>
    <xdr:to>
      <xdr:col>12</xdr:col>
      <xdr:colOff>1111251</xdr:colOff>
      <xdr:row>28</xdr:row>
      <xdr:rowOff>119063</xdr:rowOff>
    </xdr:to>
    <xdr:sp macro="[0]!GuardarReserva" textlink="">
      <xdr:nvSpPr>
        <xdr:cNvPr id="2" name="Bisel 1">
          <a:extLst>
            <a:ext uri="{FF2B5EF4-FFF2-40B4-BE49-F238E27FC236}">
              <a16:creationId xmlns:a16="http://schemas.microsoft.com/office/drawing/2014/main" id="{4415EF38-5415-266A-6C24-F87B0CB91F06}"/>
            </a:ext>
          </a:extLst>
        </xdr:cNvPr>
        <xdr:cNvSpPr/>
      </xdr:nvSpPr>
      <xdr:spPr>
        <a:xfrm>
          <a:off x="14355282" y="7691348"/>
          <a:ext cx="2966306" cy="718389"/>
        </a:xfrm>
        <a:prstGeom prst="bevel">
          <a:avLst>
            <a:gd name="adj" fmla="val 994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GUARDAD</a:t>
          </a:r>
          <a:r>
            <a:rPr lang="es-ES_tradnl" sz="2000" b="1" i="1" baseline="0">
              <a:latin typeface="Avenir Heavy Oblique" panose="02000503020000020003" pitchFamily="2" charset="0"/>
            </a:rPr>
            <a:t> RESERVA</a:t>
          </a:r>
          <a:endParaRPr lang="es-ES_tradnl" sz="2000" b="1" i="1">
            <a:latin typeface="Avenir Heavy Oblique" panose="02000503020000020003" pitchFamily="2" charset="0"/>
          </a:endParaRPr>
        </a:p>
      </xdr:txBody>
    </xdr:sp>
    <xdr:clientData/>
  </xdr:twoCellAnchor>
  <xdr:twoCellAnchor>
    <xdr:from>
      <xdr:col>6</xdr:col>
      <xdr:colOff>774700</xdr:colOff>
      <xdr:row>3</xdr:row>
      <xdr:rowOff>88900</xdr:rowOff>
    </xdr:from>
    <xdr:to>
      <xdr:col>10</xdr:col>
      <xdr:colOff>114300</xdr:colOff>
      <xdr:row>5</xdr:row>
      <xdr:rowOff>190500</xdr:rowOff>
    </xdr:to>
    <xdr:sp macro="[0]!IniciarGuiaReserva" textlink="">
      <xdr:nvSpPr>
        <xdr:cNvPr id="4" name="Bisel 3">
          <a:extLst>
            <a:ext uri="{FF2B5EF4-FFF2-40B4-BE49-F238E27FC236}">
              <a16:creationId xmlns:a16="http://schemas.microsoft.com/office/drawing/2014/main" id="{C5388F33-BFB6-93E9-8335-868AB18DCBD0}"/>
            </a:ext>
          </a:extLst>
        </xdr:cNvPr>
        <xdr:cNvSpPr/>
      </xdr:nvSpPr>
      <xdr:spPr>
        <a:xfrm>
          <a:off x="11226800" y="2032000"/>
          <a:ext cx="2857500" cy="68580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GUÍA DE RESERVAS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475265</xdr:colOff>
      <xdr:row>0</xdr:row>
      <xdr:rowOff>976622</xdr:rowOff>
    </xdr:from>
    <xdr:to>
      <xdr:col>5</xdr:col>
      <xdr:colOff>1514511</xdr:colOff>
      <xdr:row>0</xdr:row>
      <xdr:rowOff>1430223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C3A5BD6-A899-CA4B-AD4A-1BB8E21C3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96465" y="976622"/>
          <a:ext cx="2261585" cy="453601"/>
        </a:xfrm>
        <a:prstGeom prst="rect">
          <a:avLst/>
        </a:prstGeom>
      </xdr:spPr>
    </xdr:pic>
    <xdr:clientData/>
  </xdr:twoCellAnchor>
  <xdr:twoCellAnchor editAs="oneCell">
    <xdr:from>
      <xdr:col>1</xdr:col>
      <xdr:colOff>247886</xdr:colOff>
      <xdr:row>0</xdr:row>
      <xdr:rowOff>225072</xdr:rowOff>
    </xdr:from>
    <xdr:to>
      <xdr:col>2</xdr:col>
      <xdr:colOff>98387</xdr:colOff>
      <xdr:row>0</xdr:row>
      <xdr:rowOff>791332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543A605-A0E6-2C49-8079-9DD67605BE3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52686" y="225072"/>
          <a:ext cx="1450248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253002</xdr:colOff>
      <xdr:row>0</xdr:row>
      <xdr:rowOff>139700</xdr:rowOff>
    </xdr:from>
    <xdr:to>
      <xdr:col>5</xdr:col>
      <xdr:colOff>1618390</xdr:colOff>
      <xdr:row>0</xdr:row>
      <xdr:rowOff>915731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95BFD53-8A7A-C006-9080-82BA42E15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8002" y="139700"/>
          <a:ext cx="4772127" cy="776031"/>
        </a:xfrm>
        <a:prstGeom prst="rect">
          <a:avLst/>
        </a:prstGeom>
      </xdr:spPr>
    </xdr:pic>
    <xdr:clientData/>
  </xdr:twoCellAnchor>
  <xdr:twoCellAnchor>
    <xdr:from>
      <xdr:col>5</xdr:col>
      <xdr:colOff>1526854</xdr:colOff>
      <xdr:row>20</xdr:row>
      <xdr:rowOff>432393</xdr:rowOff>
    </xdr:from>
    <xdr:to>
      <xdr:col>8</xdr:col>
      <xdr:colOff>1410</xdr:colOff>
      <xdr:row>20</xdr:row>
      <xdr:rowOff>1383365</xdr:rowOff>
    </xdr:to>
    <xdr:sp macro="[0]!GuardarDescuentosCobranza" textlink="">
      <xdr:nvSpPr>
        <xdr:cNvPr id="3" name="Bisel 2">
          <a:extLst>
            <a:ext uri="{FF2B5EF4-FFF2-40B4-BE49-F238E27FC236}">
              <a16:creationId xmlns:a16="http://schemas.microsoft.com/office/drawing/2014/main" id="{86361735-1B0F-0DAB-70D7-1B552EA1BDD7}"/>
            </a:ext>
          </a:extLst>
        </xdr:cNvPr>
        <xdr:cNvSpPr/>
      </xdr:nvSpPr>
      <xdr:spPr>
        <a:xfrm>
          <a:off x="8690225" y="6525539"/>
          <a:ext cx="3183545" cy="9509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0" baseline="0">
              <a:latin typeface="Avenir Heavy" panose="02000503020000020003" pitchFamily="2" charset="0"/>
            </a:rPr>
            <a:t>GUARDAR OPERACIÓN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61685</xdr:colOff>
      <xdr:row>0</xdr:row>
      <xdr:rowOff>87085</xdr:rowOff>
    </xdr:from>
    <xdr:to>
      <xdr:col>1</xdr:col>
      <xdr:colOff>1499704</xdr:colOff>
      <xdr:row>0</xdr:row>
      <xdr:rowOff>660400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371FF2-99B3-6F48-8EE6-FB17B7300B4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6485" y="87085"/>
          <a:ext cx="1438019" cy="573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172835</xdr:colOff>
      <xdr:row>0</xdr:row>
      <xdr:rowOff>139031</xdr:rowOff>
    </xdr:from>
    <xdr:to>
      <xdr:col>4</xdr:col>
      <xdr:colOff>215614</xdr:colOff>
      <xdr:row>0</xdr:row>
      <xdr:rowOff>674318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C28A7-8B92-7943-8BF5-59D3BEC0D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3949" y="139031"/>
          <a:ext cx="2673494" cy="535287"/>
        </a:xfrm>
        <a:prstGeom prst="rect">
          <a:avLst/>
        </a:prstGeom>
      </xdr:spPr>
    </xdr:pic>
    <xdr:clientData/>
  </xdr:twoCellAnchor>
  <xdr:twoCellAnchor editAs="oneCell">
    <xdr:from>
      <xdr:col>10</xdr:col>
      <xdr:colOff>16062</xdr:colOff>
      <xdr:row>19</xdr:row>
      <xdr:rowOff>9845</xdr:rowOff>
    </xdr:from>
    <xdr:to>
      <xdr:col>11</xdr:col>
      <xdr:colOff>6944</xdr:colOff>
      <xdr:row>20</xdr:row>
      <xdr:rowOff>180111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903A8C7-1733-A24C-AB61-A445E157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430" b="89693" l="752" r="95865">
                      <a14:foregroundMark x1="13695" y1="11404" x2="13695" y2="11404"/>
                      <a14:foregroundMark x1="16971" y1="21711" x2="26101" y2="21711"/>
                      <a14:foregroundMark x1="26101" y1="21711" x2="35338" y2="20175"/>
                      <a14:foregroundMark x1="9613" y1="27412" x2="9076" y2="55482"/>
                      <a14:foregroundMark x1="9076" y1="55482" x2="13050" y2="76974"/>
                      <a14:foregroundMark x1="13050" y1="76974" x2="20193" y2="81140"/>
                      <a14:foregroundMark x1="20193" y1="81140" x2="27820" y2="80702"/>
                      <a14:foregroundMark x1="27820" y1="80702" x2="47422" y2="82237"/>
                      <a14:foregroundMark x1="47422" y1="82237" x2="62137" y2="80702"/>
                      <a14:foregroundMark x1="62137" y1="80702" x2="68636" y2="80702"/>
                      <a14:foregroundMark x1="68636" y1="80702" x2="87701" y2="76754"/>
                      <a14:foregroundMark x1="87701" y1="76754" x2="91998" y2="57895"/>
                      <a14:foregroundMark x1="91998" y1="57895" x2="89581" y2="34211"/>
                      <a14:foregroundMark x1="89581" y1="34211" x2="75188" y2="26974"/>
                      <a14:foregroundMark x1="75188" y1="26974" x2="34586" y2="23684"/>
                      <a14:foregroundMark x1="39903" y1="31579" x2="44307" y2="52412"/>
                      <a14:foregroundMark x1="44307" y1="52412" x2="46992" y2="57456"/>
                      <a14:foregroundMark x1="7197" y1="44518" x2="4565" y2="43421"/>
                      <a14:foregroundMark x1="1128" y1="46491" x2="1128" y2="46491"/>
                      <a14:foregroundMark x1="752" y1="47588" x2="752" y2="47588"/>
                      <a14:foregroundMark x1="46509" y1="41447" x2="19871" y2="57018"/>
                      <a14:foregroundMark x1="19871" y1="57018" x2="13212" y2="54825"/>
                      <a14:foregroundMark x1="13212" y1="54825" x2="19012" y2="43421"/>
                      <a14:foregroundMark x1="19012" y1="43421" x2="64930" y2="47149"/>
                      <a14:foregroundMark x1="64930" y1="47149" x2="74436" y2="46711"/>
                      <a14:foregroundMark x1="74436" y1="46711" x2="88614" y2="47149"/>
                      <a14:foregroundMark x1="88614" y1="47149" x2="90816" y2="46491"/>
                      <a14:foregroundMark x1="88561" y1="20614" x2="88561" y2="20614"/>
                      <a14:foregroundMark x1="94092" y1="32018" x2="94092" y2="32018"/>
                      <a14:foregroundMark x1="95865" y1="48684" x2="92427" y2="27193"/>
                      <a14:foregroundMark x1="92427" y1="27193" x2="91461" y2="23684"/>
                      <a14:foregroundMark x1="86627" y1="55263" x2="86896" y2="58553"/>
                      <a14:foregroundMark x1="70569" y1="57895" x2="70569" y2="57895"/>
                      <a14:foregroundMark x1="74490" y1="54386" x2="74490" y2="54386"/>
                      <a14:foregroundMark x1="59291" y1="58991" x2="59291" y2="58991"/>
                      <a14:foregroundMark x1="62567" y1="56798" x2="62567" y2="56798"/>
                      <a14:foregroundMark x1="65091" y1="57895" x2="65091" y2="57895"/>
                      <a14:foregroundMark x1="42965" y1="62500" x2="42965" y2="62500"/>
                      <a14:foregroundMark x1="43824" y1="56798" x2="43824" y2="56798"/>
                      <a14:foregroundMark x1="25940" y1="62500" x2="25940" y2="62500"/>
                      <a14:foregroundMark x1="12299" y1="48684" x2="12299" y2="48684"/>
                      <a14:foregroundMark x1="13426" y1="38816" x2="13426" y2="3881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655862" y="8887145"/>
          <a:ext cx="1451382" cy="360766"/>
        </a:xfrm>
        <a:prstGeom prst="rect">
          <a:avLst/>
        </a:prstGeom>
      </xdr:spPr>
    </xdr:pic>
    <xdr:clientData/>
  </xdr:twoCellAnchor>
  <xdr:twoCellAnchor editAs="oneCell">
    <xdr:from>
      <xdr:col>1</xdr:col>
      <xdr:colOff>65113</xdr:colOff>
      <xdr:row>0</xdr:row>
      <xdr:rowOff>1101142</xdr:rowOff>
    </xdr:from>
    <xdr:to>
      <xdr:col>2</xdr:col>
      <xdr:colOff>763885</xdr:colOff>
      <xdr:row>1</xdr:row>
      <xdr:rowOff>765581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E9FC06-6FD3-1822-4550-E0A59A80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9913" y="1101142"/>
          <a:ext cx="2415086" cy="77115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r Icaza" refreshedDate="45938.658348379628" createdVersion="8" refreshedVersion="8" minRefreshableVersion="3" recordCount="432" xr:uid="{3CA9BFC5-9CFE-5144-93CE-8F68CCA1624D}">
  <cacheSource type="worksheet">
    <worksheetSource ref="A2:AO1048576" sheet="BBDD"/>
  </cacheSource>
  <cacheFields count="41">
    <cacheField name="Código interno" numFmtId="0">
      <sharedItems containsBlank="1"/>
    </cacheField>
    <cacheField name="Grupo" numFmtId="0">
      <sharedItems containsBlank="1" count="16">
        <s v="Grupo 3"/>
        <s v="Grupo 4"/>
        <s v="Grupo 5"/>
        <s v="Grupo 6"/>
        <s v="Grupo 7"/>
        <s v="Grupo 8"/>
        <s v="Grupo 9"/>
        <s v="Grupo N˚10"/>
        <s v="Grupo N10"/>
        <s v="Grupo 10"/>
        <s v="Grupo 11"/>
        <s v="Grupo 12"/>
        <s v="Grupo 13"/>
        <m/>
        <s v="Grupo 1" u="1"/>
        <s v="Grupo 2" u="1"/>
      </sharedItems>
    </cacheField>
    <cacheField name="Pasajero" numFmtId="0">
      <sharedItems containsBlank="1"/>
    </cacheField>
    <cacheField name="¿Viene por primera vez?" numFmtId="0">
      <sharedItems containsBlank="1"/>
    </cacheField>
    <cacheField name="Nombre Completo" numFmtId="0">
      <sharedItems containsBlank="1" count="26">
        <s v="Gonzalo gonzalez"/>
        <s v="Jorge Icaza Perez"/>
        <s v="Martin Icaza Gana"/>
        <s v="Alejandra Icaza Gana"/>
        <s v="Javier Icaza Gana"/>
        <s v="Madi Vega"/>
        <s v="Constanza osorio"/>
        <s v="anibal icaza gana"/>
        <s v="pedro perez"/>
        <s v="gonzalo goroo"/>
        <m/>
        <s v="jose"/>
        <s v="juju"/>
        <s v="fuj"/>
        <s v="tuty"/>
        <s v="sese"/>
        <s v="sesss"/>
        <s v="rere"/>
        <s v="jojo"/>
        <s v="hjjh"/>
        <s v="jujuju"/>
        <s v="Javier Icaza" u="1"/>
        <s v="Jorge Icaza Pérez" u="1"/>
        <s v="alejandra icaza" u="1"/>
        <s v="anibal icaza" u="1"/>
        <s v="Coni osorio" u="1"/>
      </sharedItems>
    </cacheField>
    <cacheField name="Mail" numFmtId="0">
      <sharedItems containsBlank="1" containsMixedTypes="1" containsNumber="1" containsInteger="1" minValue="12" maxValue="12"/>
    </cacheField>
    <cacheField name="N˚ Contacto" numFmtId="0">
      <sharedItems containsString="0" containsBlank="1" containsNumber="1" containsInteger="1" minValue="1" maxValue="987654321"/>
    </cacheField>
    <cacheField name="Género" numFmtId="0">
      <sharedItems containsBlank="1"/>
    </cacheField>
    <cacheField name="Tipo" numFmtId="0">
      <sharedItems containsBlank="1"/>
    </cacheField>
    <cacheField name="Fecha de Reserva" numFmtId="0">
      <sharedItems containsDate="1" containsBlank="1" containsMixedTypes="1" minDate="2012-12-12T00:00:00" maxDate="2026-01-02T00:00:00" count="13">
        <d v="2025-12-12T00:00:00"/>
        <d v="2025-07-15T00:00:00"/>
        <d v="2021-12-12T00:00:00"/>
        <m/>
        <d v="2026-01-01T00:00:00"/>
        <d v="2025-11-13T00:00:00"/>
        <d v="2021-01-01T00:00:00"/>
        <d v="2025-03-03T00:00:00"/>
        <d v="2022-12-12T00:00:00"/>
        <d v="2012-12-12T00:00:00"/>
        <s v="12-12-12-"/>
        <d v="2025-11-12T00:00:00"/>
        <d v="2025-10-02T00:00:00" u="1"/>
      </sharedItems>
    </cacheField>
    <cacheField name="Check-In" numFmtId="0">
      <sharedItems containsNonDate="0" containsDate="1" containsString="0" containsBlank="1" minDate="2013-12-12T00:00:00" maxDate="2026-02-02T00:00:00"/>
    </cacheField>
    <cacheField name="N° Noches" numFmtId="0">
      <sharedItems containsString="0" containsBlank="1" containsNumber="1" containsInteger="1" minValue="1" maxValue="12"/>
    </cacheField>
    <cacheField name="Check-Out" numFmtId="0">
      <sharedItems containsNonDate="0" containsDate="1" containsString="0" containsBlank="1" minDate="1899-12-30T00:00:00" maxDate="2026-02-04T00:00:00"/>
    </cacheField>
    <cacheField name="Base" numFmtId="0">
      <sharedItems containsBlank="1"/>
    </cacheField>
    <cacheField name="Grupo Extranjero/Nacional" numFmtId="0">
      <sharedItems containsBlank="1" count="3">
        <s v="EXTRANJERO"/>
        <s v="NACIONAL"/>
        <m/>
      </sharedItems>
    </cacheField>
    <cacheField name="Texto" numFmtId="0">
      <sharedItems containsBlank="1"/>
    </cacheField>
    <cacheField name="Moneda" numFmtId="0">
      <sharedItems containsBlank="1"/>
    </cacheField>
    <cacheField name="Valor Bruto Programa/" numFmtId="0">
      <sharedItems containsBlank="1" containsMixedTypes="1" containsNumber="1" minValue="2250" maxValue="6930000"/>
    </cacheField>
    <cacheField name="VALOR BRUTO PROGRAMA" numFmtId="0">
      <sharedItems containsBlank="1"/>
    </cacheField>
    <cacheField name="Descuento" numFmtId="9">
      <sharedItems containsString="0" containsBlank="1" containsNumber="1" minValue="0.12" maxValue="0.14000000000000001"/>
    </cacheField>
    <cacheField name="Aprobado por" numFmtId="9">
      <sharedItems containsBlank="1"/>
    </cacheField>
    <cacheField name="Valor Bruto Final" numFmtId="0">
      <sharedItems containsBlank="1" containsMixedTypes="1" containsNumber="1" minValue="2250" maxValue="6930000"/>
    </cacheField>
    <cacheField name="VALOR BRUTO FINAL/" numFmtId="0">
      <sharedItems containsBlank="1" containsMixedTypes="1" containsNumber="1" minValue="2250" maxValue="6930000"/>
    </cacheField>
    <cacheField name="Reserva - 105 Días" numFmtId="0">
      <sharedItems containsDate="1" containsBlank="1" containsMixedTypes="1" minDate="2012-08-29T00:00:00" maxDate="2025-09-19T00:00:00" count="13">
        <d v="2025-08-29T00:00:00"/>
        <d v="2025-04-01T00:00:00"/>
        <d v="2021-08-29T00:00:00"/>
        <s v=""/>
        <d v="2025-09-18T00:00:00"/>
        <d v="2025-07-31T00:00:00"/>
        <d v="2020-09-18T00:00:00"/>
        <d v="2024-11-18T00:00:00"/>
        <d v="2022-08-29T00:00:00"/>
        <d v="2012-08-29T00:00:00"/>
        <e v="#VALUE!"/>
        <d v="2025-07-30T00:00:00"/>
        <m/>
      </sharedItems>
    </cacheField>
    <cacheField name="Reserva - 90 Días" numFmtId="0">
      <sharedItems containsDate="1" containsBlank="1" containsMixedTypes="1" minDate="2012-09-13T00:00:00" maxDate="2025-10-04T00:00:00" count="13">
        <d v="2025-09-13T00:00:00"/>
        <d v="2025-04-16T00:00:00"/>
        <d v="2021-09-13T00:00:00"/>
        <s v=""/>
        <d v="2025-10-03T00:00:00"/>
        <d v="2025-08-15T00:00:00"/>
        <d v="2020-10-03T00:00:00"/>
        <d v="2024-12-03T00:00:00"/>
        <d v="2022-09-13T00:00:00"/>
        <d v="2012-09-13T00:00:00"/>
        <e v="#VALUE!"/>
        <d v="2025-08-14T00:00:00"/>
        <m/>
      </sharedItems>
    </cacheField>
    <cacheField name="Reserva - 75 Días" numFmtId="0">
      <sharedItems containsDate="1" containsBlank="1" containsMixedTypes="1" minDate="2012-09-28T00:00:00" maxDate="2025-10-19T00:00:00" count="13">
        <d v="2025-09-28T00:00:00"/>
        <d v="2025-05-01T00:00:00"/>
        <d v="2021-09-28T00:00:00"/>
        <s v=""/>
        <d v="2025-10-18T00:00:00"/>
        <d v="2025-08-30T00:00:00"/>
        <d v="2020-10-18T00:00:00"/>
        <d v="2024-12-18T00:00:00"/>
        <d v="2022-09-28T00:00:00"/>
        <d v="2012-09-28T00:00:00"/>
        <e v="#VALUE!"/>
        <d v="2025-08-29T00:00:00"/>
        <m/>
      </sharedItems>
    </cacheField>
    <cacheField name="Reserva - 60 Días" numFmtId="0">
      <sharedItems containsDate="1" containsBlank="1" containsMixedTypes="1" minDate="2012-10-13T00:00:00" maxDate="2025-11-03T00:00:00" count="13">
        <d v="2025-10-13T00:00:00"/>
        <d v="2025-05-16T00:00:00"/>
        <d v="2021-10-13T00:00:00"/>
        <s v=""/>
        <d v="2025-11-02T00:00:00"/>
        <d v="2025-09-14T00:00:00"/>
        <d v="2020-11-02T00:00:00"/>
        <d v="2025-01-02T00:00:00"/>
        <d v="2022-10-13T00:00:00"/>
        <d v="2012-10-13T00:00:00"/>
        <e v="#VALUE!"/>
        <d v="2025-09-13T00:00:00"/>
        <m/>
      </sharedItems>
    </cacheField>
    <cacheField name="Reserva - 45 Días" numFmtId="0">
      <sharedItems containsDate="1" containsBlank="1" containsMixedTypes="1" minDate="2012-10-28T00:00:00" maxDate="2025-11-18T00:00:00" count="13">
        <d v="2025-10-28T00:00:00"/>
        <d v="2025-05-31T00:00:00"/>
        <d v="2021-10-28T00:00:00"/>
        <s v=""/>
        <d v="2025-11-17T00:00:00"/>
        <d v="2025-09-29T00:00:00"/>
        <d v="2020-11-17T00:00:00"/>
        <d v="2025-01-17T00:00:00"/>
        <d v="2022-10-28T00:00:00"/>
        <d v="2012-10-28T00:00:00"/>
        <e v="#VALUE!"/>
        <d v="2025-09-28T00:00:00"/>
        <m/>
      </sharedItems>
    </cacheField>
    <cacheField name="Reserva - 30 Días" numFmtId="0">
      <sharedItems containsDate="1" containsBlank="1" containsMixedTypes="1" minDate="2012-11-12T00:00:00" maxDate="2025-12-03T00:00:00" count="13">
        <d v="2025-11-12T00:00:00"/>
        <d v="2025-06-15T00:00:00"/>
        <d v="2021-11-12T00:00:00"/>
        <s v=""/>
        <d v="2025-12-02T00:00:00"/>
        <d v="2025-10-14T00:00:00"/>
        <d v="2020-12-02T00:00:00"/>
        <d v="2025-02-01T00:00:00"/>
        <d v="2022-11-12T00:00:00"/>
        <d v="2012-11-12T00:00:00"/>
        <e v="#VALUE!"/>
        <d v="2025-10-13T00:00:00"/>
        <m/>
      </sharedItems>
    </cacheField>
    <cacheField name="Reserva - Llamar" numFmtId="0">
      <sharedItems containsBlank="1"/>
    </cacheField>
    <cacheField name="Reserva - Fecha de Pago" numFmtId="0">
      <sharedItems containsNonDate="0" containsDate="1" containsString="0" containsBlank="1" minDate="2025-10-10T00:00:00" maxDate="2025-10-11T00:00:00" count="2">
        <d v="2025-10-10T00:00:00"/>
        <m/>
      </sharedItems>
    </cacheField>
    <cacheField name="Reserva - Monto Bruto" numFmtId="0">
      <sharedItems containsBlank="1" containsMixedTypes="1" containsNumber="1" minValue="3494.61" maxValue="3494.61"/>
    </cacheField>
    <cacheField name="Reserva - Medio de Pago" numFmtId="0">
      <sharedItems containsBlank="1"/>
    </cacheField>
    <cacheField name="Saldo - 45 Días" numFmtId="0">
      <sharedItems containsDate="1" containsBlank="1" containsMixedTypes="1" minDate="1900-01-05T09:13:12" maxDate="2025-12-21T00:00:00"/>
    </cacheField>
    <cacheField name="Saldo - 30 Días" numFmtId="0">
      <sharedItems containsDate="1" containsBlank="1" containsMixedTypes="1" minDate="1899-12-31T01:05:12" maxDate="2026-01-05T00:00:00"/>
    </cacheField>
    <cacheField name="Saldo - 15 Días" numFmtId="0">
      <sharedItems containsDate="1" containsBlank="1" containsMixedTypes="1" minDate="2025-12-24T00:00:00" maxDate="2025-12-25T00:00:00"/>
    </cacheField>
    <cacheField name="Saldo - 7 Días" numFmtId="0">
      <sharedItems containsDate="1" containsBlank="1" containsMixedTypes="1" minDate="1899-12-31T00:31:12" maxDate="2026-01-28T00:00:00"/>
    </cacheField>
    <cacheField name="Saldo - Llamar" numFmtId="0">
      <sharedItems containsBlank="1"/>
    </cacheField>
    <cacheField name="Saldo - Fecha de Pago" numFmtId="0">
      <sharedItems containsNonDate="0" containsDate="1" containsString="0" containsBlank="1" minDate="2025-11-12T00:00:00" maxDate="2025-11-13T00:00:00"/>
    </cacheField>
    <cacheField name="Saldo - Monto Bruto" numFmtId="42">
      <sharedItems containsBlank="1" containsMixedTypes="1" containsNumber="1" minValue="3494.61" maxValue="3494.61"/>
    </cacheField>
    <cacheField name="Saldo - Medio de Pag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s v="GBLGrupo 3 - 12"/>
    <x v="0"/>
    <s v="N˚4"/>
    <s v="SÍ"/>
    <x v="0"/>
    <s v="gonzo@gmail.com"/>
    <n v="234"/>
    <s v="MASCULINO"/>
    <s v="PESCADOR"/>
    <x v="0"/>
    <d v="2026-01-01T00:00:00"/>
    <n v="7"/>
    <d v="2026-01-08T00:00:00"/>
    <s v="SINGLE"/>
    <x v="0"/>
    <s v="Base SINGLE 7 noches"/>
    <s v="USD"/>
    <n v="9450"/>
    <s v="USD 9.450"/>
    <n v="0.14000000000000001"/>
    <s v="René"/>
    <n v="8127"/>
    <n v="6989.22"/>
    <x v="0"/>
    <x v="0"/>
    <x v="0"/>
    <x v="0"/>
    <x v="0"/>
    <x v="0"/>
    <s v="LLAMAR"/>
    <x v="0"/>
    <n v="3494.61"/>
    <s v="Transbank"/>
    <d v="2025-11-24T00:00:00"/>
    <d v="2025-12-09T00:00:00"/>
    <d v="2025-12-24T00:00:00"/>
    <d v="2026-01-01T00:00:00"/>
    <s v="Llamar"/>
    <d v="2025-11-12T00:00:00"/>
    <n v="3494.61"/>
    <s v="Transbank"/>
  </r>
  <r>
    <s v="GBLGrupo 4 - 14"/>
    <x v="1"/>
    <s v="Encargado"/>
    <s v="SÍ"/>
    <x v="1"/>
    <s v="jicaza@vecta.cl"/>
    <n v="987654321"/>
    <s v="MASCULINO"/>
    <s v="PESCADOR"/>
    <x v="1"/>
    <d v="2025-12-15T00:00:00"/>
    <n v="6"/>
    <d v="2025-12-21T00:00:00"/>
    <s v="SINGLE"/>
    <x v="1"/>
    <s v="Base SINGLE 6 noches"/>
    <s v="CLP"/>
    <n v="3570000"/>
    <s v="CLP 3.570.000"/>
    <m/>
    <m/>
    <n v="3570000"/>
    <n v="357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4 - 15"/>
    <x v="1"/>
    <s v="N˚2"/>
    <s v="SÍ"/>
    <x v="2"/>
    <s v="martin@gmail.com"/>
    <n v="1234"/>
    <s v="MASCULINO"/>
    <s v="PESCADOR"/>
    <x v="1"/>
    <d v="2025-12-15T00:00:00"/>
    <n v="6"/>
    <d v="2025-12-21T00:00:00"/>
    <s v="DOBLE"/>
    <x v="1"/>
    <s v="Base DOBLE 6 noches"/>
    <s v="CLP"/>
    <n v="2550000"/>
    <s v="CLP 2.550.000"/>
    <m/>
    <m/>
    <n v="2550000"/>
    <n v="255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4 - 16"/>
    <x v="1"/>
    <s v="N˚3"/>
    <s v="SÍ"/>
    <x v="3"/>
    <s v="ale@gmail.com"/>
    <n v="1234"/>
    <s v="FEMENINO"/>
    <s v="PESCADOR"/>
    <x v="1"/>
    <d v="2025-12-15T00:00:00"/>
    <n v="6"/>
    <d v="2025-12-21T00:00:00"/>
    <s v="SINGLE"/>
    <x v="1"/>
    <s v="Base SINGLE 6 noches"/>
    <s v="CLP"/>
    <n v="3570000"/>
    <s v="CLP 3.570.000"/>
    <m/>
    <m/>
    <n v="3570000"/>
    <n v="357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4 - 17"/>
    <x v="1"/>
    <s v="N˚4"/>
    <s v="SÍ"/>
    <x v="4"/>
    <s v="javier@gmail.com"/>
    <n v="123455"/>
    <s v="MASCULINO"/>
    <s v="PESCADOR"/>
    <x v="1"/>
    <d v="2025-12-15T00:00:00"/>
    <n v="6"/>
    <d v="2025-12-21T00:00:00"/>
    <s v="DOBLE"/>
    <x v="1"/>
    <s v="Base DOBLE 6 noches"/>
    <s v="CLP"/>
    <n v="2550000"/>
    <s v="CLP 2.550.000"/>
    <m/>
    <m/>
    <n v="2550000"/>
    <n v="255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4 - 18"/>
    <x v="1"/>
    <s v="N˚5"/>
    <s v="SÍ"/>
    <x v="5"/>
    <s v="madi@gmail.com"/>
    <n v="321"/>
    <s v="FEMENINO"/>
    <s v="PESCADOR"/>
    <x v="1"/>
    <d v="2025-12-15T00:00:00"/>
    <n v="6"/>
    <d v="2025-12-21T00:00:00"/>
    <s v="DOBLE"/>
    <x v="1"/>
    <s v="Base DOBLE 6 noches"/>
    <s v="CLP"/>
    <n v="2550000"/>
    <s v="CLP 2.550.000"/>
    <m/>
    <m/>
    <n v="2550000"/>
    <n v="255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4 - 19"/>
    <x v="1"/>
    <s v="N˚6"/>
    <s v="SÍ"/>
    <x v="6"/>
    <s v="coni@gmail.com"/>
    <n v="432"/>
    <s v="FEMENINO"/>
    <s v="PESCADOR"/>
    <x v="1"/>
    <d v="2025-12-15T00:00:00"/>
    <n v="6"/>
    <d v="2025-12-21T00:00:00"/>
    <s v="DOBLE"/>
    <x v="1"/>
    <s v="Base DOBLE 6 noches"/>
    <s v="CLP"/>
    <n v="2550000"/>
    <s v="CLP 2.550.000"/>
    <m/>
    <m/>
    <n v="2550000"/>
    <n v="255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4 - 20"/>
    <x v="1"/>
    <s v="N˚7"/>
    <s v="SÍ"/>
    <x v="7"/>
    <s v="anibal@gmail.con"/>
    <n v="443"/>
    <s v="MASCULINO"/>
    <s v="PESCADOR"/>
    <x v="1"/>
    <d v="2025-12-15T00:00:00"/>
    <n v="6"/>
    <d v="2025-12-21T00:00:00"/>
    <s v="SINGLE"/>
    <x v="1"/>
    <s v="Base SINGLE 6 noches"/>
    <s v="CLP"/>
    <n v="3570000"/>
    <s v="CLP 3.570.000"/>
    <m/>
    <m/>
    <n v="3570000"/>
    <n v="3570000"/>
    <x v="1"/>
    <x v="1"/>
    <x v="1"/>
    <x v="1"/>
    <x v="1"/>
    <x v="1"/>
    <s v="LLAMAR"/>
    <x v="1"/>
    <s v=""/>
    <m/>
    <d v="2025-11-06T00:00:00"/>
    <d v="2025-11-21T00:00:00"/>
    <m/>
    <d v="2025-12-14T00:00:00"/>
    <s v="Llamar"/>
    <m/>
    <s v=""/>
    <m/>
  </r>
  <r>
    <s v="GBLGrupo 5 - 21"/>
    <x v="2"/>
    <s v="Encargado"/>
    <s v="SÍ"/>
    <x v="8"/>
    <s v="pedro@gmail.conm"/>
    <n v="1"/>
    <s v="MASCULINO"/>
    <s v="PESCADOR"/>
    <x v="0"/>
    <d v="2026-01-12T00:00:00"/>
    <n v="7"/>
    <d v="2026-01-19T00:00:00"/>
    <s v="SINGLE"/>
    <x v="1"/>
    <s v="Base SINGLE 7 noches"/>
    <s v="CLP"/>
    <n v="4129999.9999999995"/>
    <s v="CLP 4.130.000"/>
    <m/>
    <m/>
    <n v="4129999.9999999995"/>
    <n v="4129999.9999999995"/>
    <x v="0"/>
    <x v="0"/>
    <x v="0"/>
    <x v="0"/>
    <x v="0"/>
    <x v="0"/>
    <s v="LLAMAR"/>
    <x v="1"/>
    <s v=""/>
    <m/>
    <d v="2025-12-05T00:00:00"/>
    <d v="2025-12-20T00:00:00"/>
    <m/>
    <d v="2026-01-12T00:00:00"/>
    <s v="Llamar"/>
    <m/>
    <s v=""/>
    <m/>
  </r>
  <r>
    <s v="GBLGrupo 6 - 22"/>
    <x v="3"/>
    <s v="Encargado"/>
    <s v="SÍ"/>
    <x v="9"/>
    <s v="pedro@gmail,con"/>
    <n v="12"/>
    <s v="MASCULINO"/>
    <s v="PESCADOR"/>
    <x v="2"/>
    <d v="2025-10-10T00:00:00"/>
    <n v="1"/>
    <d v="2025-10-11T00:00:00"/>
    <s v="SINGLE"/>
    <x v="1"/>
    <s v="Base SINGLE 1 noche"/>
    <s v="CLP"/>
    <n v="770000"/>
    <s v="CLP 770.000"/>
    <m/>
    <m/>
    <n v="770000"/>
    <n v="770000"/>
    <x v="2"/>
    <x v="2"/>
    <x v="2"/>
    <x v="2"/>
    <x v="2"/>
    <x v="2"/>
    <s v="LLAMAR"/>
    <x v="1"/>
    <s v=""/>
    <m/>
    <d v="2025-08-27T00:00:00"/>
    <d v="2025-09-11T00:00:00"/>
    <m/>
    <d v="2025-10-04T00:00:00"/>
    <s v="Llamar"/>
    <m/>
    <s v=""/>
    <m/>
  </r>
  <r>
    <s v="GBLGrupo 7 - 23"/>
    <x v="4"/>
    <s v="Encargado"/>
    <m/>
    <x v="10"/>
    <m/>
    <m/>
    <m/>
    <m/>
    <x v="3"/>
    <m/>
    <m/>
    <d v="1899-12-30T00:00:00"/>
    <m/>
    <x v="2"/>
    <s v=""/>
    <s v=""/>
    <s v=""/>
    <s v=""/>
    <n v="0.12"/>
    <s v="jorge"/>
    <s v=""/>
    <s v=""/>
    <x v="3"/>
    <x v="3"/>
    <x v="3"/>
    <x v="3"/>
    <x v="3"/>
    <x v="3"/>
    <s v="LLAMAR"/>
    <x v="1"/>
    <s v=""/>
    <m/>
    <n v="-45"/>
    <n v="-30"/>
    <m/>
    <n v="-7"/>
    <s v="Llamar"/>
    <m/>
    <s v=""/>
    <m/>
  </r>
  <r>
    <s v="GBLGrupo 8 - 24"/>
    <x v="5"/>
    <s v="Encargado"/>
    <m/>
    <x v="10"/>
    <m/>
    <m/>
    <m/>
    <m/>
    <x v="3"/>
    <m/>
    <m/>
    <d v="1899-12-30T00:00:00"/>
    <m/>
    <x v="2"/>
    <s v=""/>
    <s v=""/>
    <s v=""/>
    <s v=""/>
    <m/>
    <m/>
    <s v=""/>
    <s v=""/>
    <x v="3"/>
    <x v="3"/>
    <x v="3"/>
    <x v="3"/>
    <x v="3"/>
    <x v="3"/>
    <s v="LLAMAR"/>
    <x v="1"/>
    <s v=""/>
    <m/>
    <n v="-45"/>
    <n v="-30"/>
    <m/>
    <n v="-7"/>
    <s v="Llamar"/>
    <m/>
    <s v=""/>
    <m/>
  </r>
  <r>
    <s v="GBLGrupo 9 - 25"/>
    <x v="6"/>
    <s v="Encargado"/>
    <s v="SÍ"/>
    <x v="11"/>
    <s v="j@googo.cl"/>
    <n v="1"/>
    <s v="FEMENINO"/>
    <s v="PESCADOR"/>
    <x v="4"/>
    <d v="2026-02-01T00:00:00"/>
    <n v="2"/>
    <d v="2026-02-03T00:00:00"/>
    <s v="DOBLE"/>
    <x v="1"/>
    <s v="Base DOBLE 2 noches"/>
    <s v="CLP"/>
    <n v="950000"/>
    <s v="CLP 950.000"/>
    <m/>
    <m/>
    <n v="950000"/>
    <n v="950000"/>
    <x v="4"/>
    <x v="4"/>
    <x v="4"/>
    <x v="4"/>
    <x v="4"/>
    <x v="4"/>
    <s v="LLAMAR"/>
    <x v="1"/>
    <s v=""/>
    <m/>
    <d v="2025-12-20T00:00:00"/>
    <d v="2026-01-04T00:00:00"/>
    <m/>
    <d v="2026-01-27T00:00:00"/>
    <s v="Llamar"/>
    <m/>
    <s v=""/>
    <m/>
  </r>
  <r>
    <s v="GBLGrupo N˚10 - 26"/>
    <x v="7"/>
    <s v="Encargado"/>
    <s v="SÍ"/>
    <x v="12"/>
    <s v="juju"/>
    <n v="1"/>
    <s v="MASCULINO"/>
    <s v="PESCADOR"/>
    <x v="5"/>
    <d v="2024-11-11T00:00:00"/>
    <n v="4"/>
    <d v="2024-11-15T00:00:00"/>
    <s v="SINGLE"/>
    <x v="1"/>
    <s v="Base SINGLE 4 noches"/>
    <s v="CLP"/>
    <n v="2450000"/>
    <s v="CLP 2.450.000"/>
    <m/>
    <m/>
    <n v="2450000"/>
    <n v="2450000"/>
    <x v="5"/>
    <x v="5"/>
    <x v="5"/>
    <x v="5"/>
    <x v="5"/>
    <x v="5"/>
    <s v="LLAMAR"/>
    <x v="1"/>
    <s v=""/>
    <m/>
    <d v="2024-10-01T00:00:00"/>
    <d v="2024-10-16T00:00:00"/>
    <m/>
    <d v="2024-11-08T00:00:00"/>
    <s v="Llamar"/>
    <m/>
    <s v=""/>
    <m/>
  </r>
  <r>
    <s v="GBLGrupo N˚10 - 27"/>
    <x v="7"/>
    <s v="Encargado"/>
    <s v="SÍ"/>
    <x v="13"/>
    <n v="12"/>
    <n v="2"/>
    <s v="FEMENINO"/>
    <s v="PESCADOR"/>
    <x v="6"/>
    <d v="2022-02-02T00:00:00"/>
    <n v="1"/>
    <d v="2022-02-03T00:00:00"/>
    <s v="SINGLE"/>
    <x v="1"/>
    <s v="Base SINGLE 1 noche"/>
    <s v="CLP"/>
    <n v="770000"/>
    <s v="CLP 770.000"/>
    <m/>
    <m/>
    <n v="770000"/>
    <n v="770000"/>
    <x v="6"/>
    <x v="6"/>
    <x v="6"/>
    <x v="6"/>
    <x v="6"/>
    <x v="6"/>
    <s v="LLAMAR"/>
    <x v="1"/>
    <s v=""/>
    <m/>
    <d v="2021-12-20T00:00:00"/>
    <d v="2022-01-04T00:00:00"/>
    <m/>
    <d v="2022-01-27T00:00:00"/>
    <s v="Llamar"/>
    <m/>
    <s v=""/>
    <m/>
  </r>
  <r>
    <s v="GBLGrupo N˚10 - 28"/>
    <x v="7"/>
    <s v="Encargado"/>
    <s v="SÍ"/>
    <x v="14"/>
    <s v="fr"/>
    <n v="23"/>
    <s v="FEMENINO"/>
    <s v="PESCADOR"/>
    <x v="7"/>
    <d v="2025-04-03T00:00:00"/>
    <n v="4"/>
    <d v="2025-04-07T00:00:00"/>
    <s v="SINGLE"/>
    <x v="0"/>
    <s v="Base SINGLE 4 noches"/>
    <s v="USD"/>
    <n v="5670"/>
    <s v="USD 5.670"/>
    <m/>
    <m/>
    <n v="5670"/>
    <n v="5670"/>
    <x v="7"/>
    <x v="7"/>
    <x v="7"/>
    <x v="7"/>
    <x v="7"/>
    <x v="7"/>
    <s v="LLAMAR"/>
    <x v="1"/>
    <s v=""/>
    <m/>
    <d v="2025-02-21T00:00:00"/>
    <d v="2025-03-08T00:00:00"/>
    <m/>
    <d v="2025-03-31T00:00:00"/>
    <s v="Llamar"/>
    <m/>
    <s v=""/>
    <m/>
  </r>
  <r>
    <s v="GBLGrupo N˚10 - 29"/>
    <x v="7"/>
    <s v="Encargado"/>
    <s v="SÍ"/>
    <x v="15"/>
    <m/>
    <n v="12"/>
    <s v="FEMENINO"/>
    <s v="PESCADOR"/>
    <x v="8"/>
    <d v="2023-12-22T00:00:00"/>
    <n v="3"/>
    <d v="2023-12-25T00:00:00"/>
    <s v="SINGLE"/>
    <x v="0"/>
    <s v="Base SINGLE 3 noches"/>
    <s v="USD"/>
    <n v="4410"/>
    <s v="USD 4.410"/>
    <m/>
    <m/>
    <n v="4410"/>
    <n v="4410"/>
    <x v="8"/>
    <x v="8"/>
    <x v="8"/>
    <x v="8"/>
    <x v="8"/>
    <x v="8"/>
    <s v="LLAMAR"/>
    <x v="1"/>
    <s v=""/>
    <m/>
    <d v="2023-11-10T00:00:00"/>
    <d v="2023-11-25T00:00:00"/>
    <m/>
    <d v="2023-12-18T00:00:00"/>
    <s v="Llamar"/>
    <m/>
    <s v=""/>
    <m/>
  </r>
  <r>
    <s v="GBLGrupo N10 - 30"/>
    <x v="8"/>
    <s v="Encargado"/>
    <s v="SÍ"/>
    <x v="16"/>
    <n v="12"/>
    <n v="12"/>
    <s v="FEMENINO"/>
    <s v="PESCADOR"/>
    <x v="9"/>
    <d v="2013-12-12T00:00:00"/>
    <n v="1"/>
    <d v="2013-12-13T00:00:00"/>
    <s v="SINGLE"/>
    <x v="1"/>
    <s v="Base SINGLE 1 noche"/>
    <s v="CLP"/>
    <n v="770000"/>
    <s v="CLP 770.000"/>
    <m/>
    <m/>
    <n v="770000"/>
    <n v="770000"/>
    <x v="9"/>
    <x v="9"/>
    <x v="9"/>
    <x v="9"/>
    <x v="9"/>
    <x v="9"/>
    <s v="LLAMAR"/>
    <x v="1"/>
    <s v=""/>
    <m/>
    <d v="2013-10-29T00:00:00"/>
    <d v="2013-11-13T00:00:00"/>
    <m/>
    <d v="2013-12-06T00:00:00"/>
    <s v="Llamar"/>
    <m/>
    <s v=""/>
    <m/>
  </r>
  <r>
    <s v="GBLGrupo 10 - 31"/>
    <x v="9"/>
    <s v="Encargado"/>
    <s v="SÍ"/>
    <x v="17"/>
    <m/>
    <n v="12121"/>
    <s v="FEMENINO"/>
    <s v="PESCADOR"/>
    <x v="9"/>
    <d v="2013-12-12T00:00:00"/>
    <n v="3"/>
    <d v="2013-12-15T00:00:00"/>
    <s v="SINGLE"/>
    <x v="1"/>
    <s v="Base SINGLE 3 noches"/>
    <s v="CLP"/>
    <n v="1889999.9999999998"/>
    <s v="CLP 1.890.000"/>
    <m/>
    <m/>
    <n v="1889999.9999999998"/>
    <n v="1889999.9999999998"/>
    <x v="9"/>
    <x v="9"/>
    <x v="9"/>
    <x v="9"/>
    <x v="9"/>
    <x v="9"/>
    <s v="LLAMAR"/>
    <x v="1"/>
    <s v=""/>
    <m/>
    <d v="2013-10-31T00:00:00"/>
    <d v="2013-11-15T00:00:00"/>
    <m/>
    <d v="2013-12-08T00:00:00"/>
    <s v="Llamar"/>
    <m/>
    <s v=""/>
    <m/>
  </r>
  <r>
    <s v="GBLGrupo 11 - 32"/>
    <x v="10"/>
    <s v="Encargado"/>
    <s v="SÍ"/>
    <x v="18"/>
    <m/>
    <n v="12"/>
    <s v="FEMENINO"/>
    <s v="PESCADOR"/>
    <x v="9"/>
    <d v="2013-12-12T00:00:00"/>
    <n v="12"/>
    <d v="2013-12-24T00:00:00"/>
    <s v="SINGLE"/>
    <x v="0"/>
    <s v="Base SINGLE 12 noches"/>
    <s v="USD"/>
    <n v="15749.999999999998"/>
    <s v="USD 15.750"/>
    <m/>
    <m/>
    <n v="15749.999999999998"/>
    <n v="15749.999999999998"/>
    <x v="9"/>
    <x v="9"/>
    <x v="9"/>
    <x v="9"/>
    <x v="9"/>
    <x v="9"/>
    <s v="LLAMAR"/>
    <x v="1"/>
    <s v=""/>
    <m/>
    <d v="2013-11-09T00:00:00"/>
    <d v="2013-11-24T00:00:00"/>
    <m/>
    <d v="2013-12-17T00:00:00"/>
    <s v="Llamar"/>
    <m/>
    <s v=""/>
    <m/>
  </r>
  <r>
    <s v="GBLGrupo 12 - 33"/>
    <x v="11"/>
    <s v="Encargado"/>
    <s v="SÍ"/>
    <x v="19"/>
    <m/>
    <n v="12"/>
    <s v="MASCULINO"/>
    <s v="PESCADOR"/>
    <x v="10"/>
    <d v="2013-12-12T00:00:00"/>
    <n v="12"/>
    <d v="2013-12-24T00:00:00"/>
    <s v="SINGLE"/>
    <x v="1"/>
    <s v="Base SINGLE 12 noches"/>
    <s v="CLP"/>
    <n v="6930000"/>
    <s v="CLP 6.930.000"/>
    <m/>
    <m/>
    <n v="6930000"/>
    <n v="6930000"/>
    <x v="10"/>
    <x v="10"/>
    <x v="10"/>
    <x v="10"/>
    <x v="10"/>
    <x v="10"/>
    <s v="LLAMAR"/>
    <x v="1"/>
    <s v=""/>
    <m/>
    <d v="2013-11-09T00:00:00"/>
    <d v="2013-11-24T00:00:00"/>
    <m/>
    <d v="2013-12-17T00:00:00"/>
    <s v="Llamar"/>
    <m/>
    <s v=""/>
    <m/>
  </r>
  <r>
    <s v="GBLGrupo 13 - 34"/>
    <x v="12"/>
    <s v="Encargado"/>
    <s v="SÍ"/>
    <x v="20"/>
    <s v="juju"/>
    <n v="11"/>
    <s v="MASCULINO"/>
    <s v="PESCADOR"/>
    <x v="11"/>
    <d v="2025-11-12T00:00:00"/>
    <n v="2"/>
    <d v="2025-11-14T00:00:00"/>
    <s v="DOBLE"/>
    <x v="0"/>
    <s v="Base DOBLE 2 noches"/>
    <s v="USD"/>
    <n v="2250"/>
    <s v="USD 2.250"/>
    <m/>
    <m/>
    <n v="2250"/>
    <n v="2250"/>
    <x v="11"/>
    <x v="11"/>
    <x v="11"/>
    <x v="11"/>
    <x v="11"/>
    <x v="11"/>
    <s v="LLAMAR"/>
    <x v="1"/>
    <s v=""/>
    <m/>
    <d v="2025-09-30T00:00:00"/>
    <d v="2025-10-15T00:00:00"/>
    <m/>
    <d v="2025-11-07T00:00:00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s v="Llamar"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s v=""/>
    <x v="13"/>
    <m/>
    <m/>
    <x v="10"/>
    <m/>
    <m/>
    <m/>
    <m/>
    <x v="3"/>
    <m/>
    <m/>
    <m/>
    <m/>
    <x v="2"/>
    <s v=""/>
    <s v=""/>
    <s v=""/>
    <m/>
    <m/>
    <m/>
    <s v=""/>
    <s v=""/>
    <x v="3"/>
    <x v="3"/>
    <x v="3"/>
    <x v="3"/>
    <x v="3"/>
    <x v="3"/>
    <s v="LLAMAR"/>
    <x v="1"/>
    <s v=""/>
    <m/>
    <s v=""/>
    <s v=""/>
    <s v=""/>
    <s v=""/>
    <m/>
    <m/>
    <s v=""/>
    <m/>
  </r>
  <r>
    <m/>
    <x v="13"/>
    <m/>
    <m/>
    <x v="10"/>
    <m/>
    <m/>
    <m/>
    <m/>
    <x v="3"/>
    <m/>
    <m/>
    <m/>
    <m/>
    <x v="2"/>
    <m/>
    <m/>
    <m/>
    <m/>
    <m/>
    <m/>
    <m/>
    <m/>
    <x v="12"/>
    <x v="12"/>
    <x v="12"/>
    <x v="12"/>
    <x v="12"/>
    <x v="12"/>
    <m/>
    <x v="1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468A9-F1BE-F546-A374-FA7C1DE12381}" name="TablaDinámica2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K8" firstHeaderRow="0" firstDataRow="1" firstDataCol="1" rowPageCount="1" colPageCount="1"/>
  <pivotFields count="41">
    <pivotField showAll="0"/>
    <pivotField axis="axisRow" showAll="0">
      <items count="17">
        <item m="1" x="14"/>
        <item x="9"/>
        <item x="10"/>
        <item x="11"/>
        <item x="12"/>
        <item m="1" x="15"/>
        <item x="0"/>
        <item x="1"/>
        <item x="2"/>
        <item x="3"/>
        <item x="4"/>
        <item x="5"/>
        <item x="6"/>
        <item x="7"/>
        <item x="8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2"/>
    </i>
    <i>
      <x v="4"/>
    </i>
    <i>
      <x v="6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-1"/>
  </pageFields>
  <dataFields count="3">
    <dataField name="Suma de Valor Bruto Programa/" fld="17" baseField="0" baseItem="0" numFmtId="167"/>
    <dataField name="Suma de Descuento" fld="19" baseField="0" baseItem="0" numFmtId="9"/>
    <dataField name="Suma de Valor Bruto Final" fld="21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42895F-0DFA-834B-8224-5D7C3B5C9059}" name="TablaDinámica1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D18" firstHeaderRow="0" firstDataRow="1" firstDataCol="1" rowPageCount="2" colPageCount="1"/>
  <pivotFields count="41">
    <pivotField showAll="0"/>
    <pivotField axis="axisRow" showAll="0">
      <items count="17">
        <item m="1" x="14"/>
        <item m="1" x="15"/>
        <item h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>
      <items count="27">
        <item m="1" x="23"/>
        <item m="1" x="24"/>
        <item m="1" x="25"/>
        <item m="1" x="21"/>
        <item m="1" x="22"/>
        <item x="5"/>
        <item x="2"/>
        <item x="10"/>
        <item x="0"/>
        <item x="1"/>
        <item x="3"/>
        <item x="4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axis="axisPage" showAll="0">
      <items count="14">
        <item x="1"/>
        <item m="1" x="12"/>
        <item x="3"/>
        <item x="0"/>
        <item x="2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4">
        <item x="3"/>
        <item x="10"/>
        <item x="9"/>
        <item x="6"/>
        <item x="2"/>
        <item x="8"/>
        <item x="7"/>
        <item x="1"/>
        <item x="11"/>
        <item x="5"/>
        <item x="0"/>
        <item x="4"/>
        <item x="12"/>
        <item t="default"/>
      </items>
    </pivotField>
    <pivotField dataField="1" showAll="0">
      <items count="14">
        <item x="3"/>
        <item x="10"/>
        <item x="9"/>
        <item x="6"/>
        <item x="2"/>
        <item x="8"/>
        <item x="7"/>
        <item x="1"/>
        <item x="11"/>
        <item x="5"/>
        <item x="0"/>
        <item x="4"/>
        <item x="12"/>
        <item t="default"/>
      </items>
    </pivotField>
    <pivotField showAll="0">
      <items count="14">
        <item x="3"/>
        <item x="10"/>
        <item x="9"/>
        <item x="6"/>
        <item x="2"/>
        <item x="8"/>
        <item x="7"/>
        <item x="1"/>
        <item x="11"/>
        <item x="5"/>
        <item x="0"/>
        <item x="4"/>
        <item x="12"/>
        <item t="default"/>
      </items>
    </pivotField>
    <pivotField showAll="0">
      <items count="14">
        <item x="3"/>
        <item x="10"/>
        <item x="9"/>
        <item x="6"/>
        <item x="2"/>
        <item x="8"/>
        <item x="7"/>
        <item x="1"/>
        <item x="11"/>
        <item x="5"/>
        <item x="0"/>
        <item x="4"/>
        <item x="12"/>
        <item t="default"/>
      </items>
    </pivotField>
    <pivotField showAll="0">
      <items count="14">
        <item x="3"/>
        <item x="10"/>
        <item x="9"/>
        <item x="6"/>
        <item x="2"/>
        <item x="8"/>
        <item x="7"/>
        <item x="1"/>
        <item x="11"/>
        <item x="5"/>
        <item x="0"/>
        <item x="4"/>
        <item x="12"/>
        <item t="default"/>
      </items>
    </pivotField>
    <pivotField showAll="0">
      <items count="14">
        <item x="3"/>
        <item x="10"/>
        <item x="9"/>
        <item x="6"/>
        <item x="2"/>
        <item x="8"/>
        <item x="7"/>
        <item x="1"/>
        <item x="11"/>
        <item x="5"/>
        <item x="0"/>
        <item x="4"/>
        <item x="12"/>
        <item t="default"/>
      </items>
    </pivotField>
    <pivotField showAll="0"/>
    <pivotField dataField="1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4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4" hier="-1"/>
    <pageField fld="9" hier="-1"/>
  </pageFields>
  <dataFields count="3">
    <dataField name="Suma de Reserva - Fecha de Pago" fld="30" baseField="0" baseItem="0" numFmtId="14"/>
    <dataField name="Suma de Reserva - Monto Bruto" fld="31" baseField="0" baseItem="0" numFmtId="3"/>
    <dataField name="Cuenta de Reserva - 90 Días" fld="2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jicaza@vecta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1F65F-9ED4-0643-AEA0-4BD9C607D2DF}">
  <sheetPr codeName="Hoja1"/>
  <dimension ref="A1:K38"/>
  <sheetViews>
    <sheetView workbookViewId="0">
      <selection activeCell="G16" sqref="G16"/>
    </sheetView>
  </sheetViews>
  <sheetFormatPr baseColWidth="10" defaultRowHeight="15" x14ac:dyDescent="0.2"/>
  <cols>
    <col min="1" max="1" width="20.5" bestFit="1" customWidth="1"/>
    <col min="2" max="2" width="26.83203125" bestFit="1" customWidth="1"/>
    <col min="3" max="3" width="25.5" bestFit="1" customWidth="1"/>
    <col min="4" max="5" width="22.5" bestFit="1" customWidth="1"/>
    <col min="6" max="6" width="14" bestFit="1" customWidth="1"/>
    <col min="7" max="7" width="8.83203125" bestFit="1" customWidth="1"/>
    <col min="8" max="8" width="20.5" bestFit="1" customWidth="1"/>
    <col min="9" max="9" width="25.5" bestFit="1" customWidth="1"/>
    <col min="10" max="10" width="16.83203125" bestFit="1" customWidth="1"/>
    <col min="11" max="11" width="21" bestFit="1" customWidth="1"/>
  </cols>
  <sheetData>
    <row r="1" spans="1:11" x14ac:dyDescent="0.2">
      <c r="A1" s="296" t="s">
        <v>187</v>
      </c>
      <c r="B1" t="s">
        <v>401</v>
      </c>
      <c r="H1" s="296" t="s">
        <v>187</v>
      </c>
      <c r="I1" t="s">
        <v>246</v>
      </c>
    </row>
    <row r="2" spans="1:11" x14ac:dyDescent="0.2">
      <c r="A2" s="296" t="s">
        <v>201</v>
      </c>
      <c r="B2" t="s">
        <v>401</v>
      </c>
    </row>
    <row r="3" spans="1:11" x14ac:dyDescent="0.2">
      <c r="H3" s="296" t="s">
        <v>331</v>
      </c>
      <c r="I3" t="s">
        <v>387</v>
      </c>
      <c r="J3" t="s">
        <v>388</v>
      </c>
      <c r="K3" t="s">
        <v>389</v>
      </c>
    </row>
    <row r="4" spans="1:11" x14ac:dyDescent="0.2">
      <c r="A4" s="296" t="s">
        <v>331</v>
      </c>
      <c r="B4" t="s">
        <v>402</v>
      </c>
      <c r="C4" t="s">
        <v>403</v>
      </c>
      <c r="D4" t="s">
        <v>404</v>
      </c>
      <c r="H4" s="297" t="s">
        <v>381</v>
      </c>
      <c r="I4" s="373">
        <v>15749.999999999998</v>
      </c>
      <c r="J4" s="372"/>
      <c r="K4" s="373">
        <v>15749.999999999998</v>
      </c>
    </row>
    <row r="5" spans="1:11" x14ac:dyDescent="0.2">
      <c r="A5" s="297" t="s">
        <v>330</v>
      </c>
      <c r="B5" s="178">
        <v>45940</v>
      </c>
      <c r="C5" s="378">
        <v>3494.61</v>
      </c>
      <c r="D5">
        <v>1</v>
      </c>
      <c r="H5" s="297" t="s">
        <v>386</v>
      </c>
      <c r="I5" s="373">
        <v>2250</v>
      </c>
      <c r="J5" s="372"/>
      <c r="K5" s="373">
        <v>2250</v>
      </c>
    </row>
    <row r="6" spans="1:11" x14ac:dyDescent="0.2">
      <c r="A6" s="297" t="s">
        <v>358</v>
      </c>
      <c r="B6" s="178"/>
      <c r="C6" s="378">
        <v>0</v>
      </c>
      <c r="D6">
        <v>7</v>
      </c>
      <c r="H6" s="297" t="s">
        <v>330</v>
      </c>
      <c r="I6" s="373">
        <v>9450</v>
      </c>
      <c r="J6" s="372">
        <v>0.14000000000000001</v>
      </c>
      <c r="K6" s="373">
        <v>8127</v>
      </c>
    </row>
    <row r="7" spans="1:11" x14ac:dyDescent="0.2">
      <c r="A7" s="297" t="s">
        <v>361</v>
      </c>
      <c r="B7" s="178"/>
      <c r="C7" s="378">
        <v>0</v>
      </c>
      <c r="D7">
        <v>1</v>
      </c>
      <c r="H7" s="297" t="s">
        <v>371</v>
      </c>
      <c r="I7" s="373">
        <v>10080</v>
      </c>
      <c r="J7" s="372"/>
      <c r="K7" s="373">
        <v>10080</v>
      </c>
    </row>
    <row r="8" spans="1:11" x14ac:dyDescent="0.2">
      <c r="A8" s="297" t="s">
        <v>364</v>
      </c>
      <c r="B8" s="178"/>
      <c r="C8" s="378">
        <v>0</v>
      </c>
      <c r="D8">
        <v>1</v>
      </c>
      <c r="H8" s="297" t="s">
        <v>332</v>
      </c>
      <c r="I8" s="373">
        <v>37530</v>
      </c>
      <c r="J8" s="372">
        <v>0.14000000000000001</v>
      </c>
      <c r="K8" s="373">
        <v>36207</v>
      </c>
    </row>
    <row r="9" spans="1:11" x14ac:dyDescent="0.2">
      <c r="A9" s="297" t="s">
        <v>365</v>
      </c>
      <c r="B9" s="178"/>
      <c r="C9" s="378">
        <v>0</v>
      </c>
      <c r="D9">
        <v>1</v>
      </c>
    </row>
    <row r="10" spans="1:11" x14ac:dyDescent="0.2">
      <c r="A10" s="297" t="s">
        <v>366</v>
      </c>
      <c r="B10" s="178"/>
      <c r="C10" s="378">
        <v>0</v>
      </c>
      <c r="D10">
        <v>1</v>
      </c>
    </row>
    <row r="11" spans="1:11" x14ac:dyDescent="0.2">
      <c r="A11" s="297" t="s">
        <v>369</v>
      </c>
      <c r="B11" s="178"/>
      <c r="C11" s="378">
        <v>0</v>
      </c>
      <c r="D11">
        <v>1</v>
      </c>
    </row>
    <row r="12" spans="1:11" x14ac:dyDescent="0.2">
      <c r="A12" s="297" t="s">
        <v>371</v>
      </c>
      <c r="B12" s="178"/>
      <c r="C12" s="378">
        <v>0</v>
      </c>
      <c r="D12">
        <v>4</v>
      </c>
    </row>
    <row r="13" spans="1:11" x14ac:dyDescent="0.2">
      <c r="A13" s="297" t="s">
        <v>377</v>
      </c>
      <c r="B13" s="178"/>
      <c r="C13" s="378">
        <v>0</v>
      </c>
      <c r="D13">
        <v>1</v>
      </c>
    </row>
    <row r="14" spans="1:11" x14ac:dyDescent="0.2">
      <c r="A14" s="297" t="s">
        <v>379</v>
      </c>
      <c r="B14" s="178"/>
      <c r="C14" s="378">
        <v>0</v>
      </c>
      <c r="D14">
        <v>1</v>
      </c>
    </row>
    <row r="15" spans="1:11" x14ac:dyDescent="0.2">
      <c r="A15" s="297" t="s">
        <v>381</v>
      </c>
      <c r="B15" s="178"/>
      <c r="C15" s="378">
        <v>0</v>
      </c>
      <c r="D15">
        <v>1</v>
      </c>
    </row>
    <row r="16" spans="1:11" x14ac:dyDescent="0.2">
      <c r="A16" s="297" t="s">
        <v>384</v>
      </c>
      <c r="B16" s="178"/>
      <c r="C16" s="378">
        <v>0</v>
      </c>
      <c r="D16">
        <v>1</v>
      </c>
    </row>
    <row r="17" spans="1:10" x14ac:dyDescent="0.2">
      <c r="A17" s="297" t="s">
        <v>386</v>
      </c>
      <c r="B17" s="178"/>
      <c r="C17" s="378">
        <v>0</v>
      </c>
      <c r="D17">
        <v>1</v>
      </c>
    </row>
    <row r="18" spans="1:10" x14ac:dyDescent="0.2">
      <c r="A18" s="297" t="s">
        <v>332</v>
      </c>
      <c r="B18" s="178">
        <v>45940</v>
      </c>
      <c r="C18" s="378">
        <v>3494.61</v>
      </c>
      <c r="D18" t="e">
        <v>#VALUE!</v>
      </c>
    </row>
    <row r="25" spans="1:10" ht="16" thickBot="1" x14ac:dyDescent="0.25"/>
    <row r="26" spans="1:10" x14ac:dyDescent="0.2">
      <c r="A26" s="379" t="s">
        <v>419</v>
      </c>
      <c r="B26" s="383"/>
      <c r="C26" s="383"/>
      <c r="D26" s="383"/>
      <c r="E26" s="383"/>
      <c r="F26" s="383"/>
      <c r="G26" s="380"/>
      <c r="I26" t="s">
        <v>425</v>
      </c>
    </row>
    <row r="27" spans="1:10" ht="48" x14ac:dyDescent="0.2">
      <c r="A27" s="15"/>
      <c r="B27" t="s">
        <v>405</v>
      </c>
      <c r="C27" t="s">
        <v>420</v>
      </c>
      <c r="D27" t="s">
        <v>421</v>
      </c>
      <c r="E27" t="s">
        <v>422</v>
      </c>
      <c r="F27" s="385" t="s">
        <v>423</v>
      </c>
      <c r="G27" s="386" t="s">
        <v>424</v>
      </c>
      <c r="I27" t="s">
        <v>429</v>
      </c>
    </row>
    <row r="28" spans="1:10" x14ac:dyDescent="0.2">
      <c r="A28" s="15" t="s">
        <v>412</v>
      </c>
      <c r="B28" t="s">
        <v>406</v>
      </c>
      <c r="G28" s="381"/>
      <c r="I28" t="s">
        <v>426</v>
      </c>
    </row>
    <row r="29" spans="1:10" x14ac:dyDescent="0.2">
      <c r="A29" s="15" t="s">
        <v>412</v>
      </c>
      <c r="B29" t="s">
        <v>408</v>
      </c>
      <c r="G29" s="381"/>
      <c r="I29" t="s">
        <v>427</v>
      </c>
    </row>
    <row r="30" spans="1:10" x14ac:dyDescent="0.2">
      <c r="A30" s="15" t="s">
        <v>412</v>
      </c>
      <c r="B30" t="s">
        <v>409</v>
      </c>
      <c r="G30" s="381"/>
      <c r="I30" t="s">
        <v>428</v>
      </c>
      <c r="J30" t="s">
        <v>430</v>
      </c>
    </row>
    <row r="31" spans="1:10" x14ac:dyDescent="0.2">
      <c r="A31" s="15" t="s">
        <v>412</v>
      </c>
      <c r="B31" t="s">
        <v>410</v>
      </c>
      <c r="G31" s="381"/>
    </row>
    <row r="32" spans="1:10" x14ac:dyDescent="0.2">
      <c r="A32" s="15" t="s">
        <v>412</v>
      </c>
      <c r="B32" t="s">
        <v>411</v>
      </c>
      <c r="G32" s="381"/>
    </row>
    <row r="33" spans="1:7" x14ac:dyDescent="0.2">
      <c r="A33" s="15" t="s">
        <v>412</v>
      </c>
      <c r="B33" t="s">
        <v>407</v>
      </c>
      <c r="G33" s="381"/>
    </row>
    <row r="34" spans="1:7" x14ac:dyDescent="0.2">
      <c r="A34" s="15" t="s">
        <v>413</v>
      </c>
      <c r="B34" t="s">
        <v>415</v>
      </c>
      <c r="G34" s="381"/>
    </row>
    <row r="35" spans="1:7" x14ac:dyDescent="0.2">
      <c r="A35" s="15" t="s">
        <v>413</v>
      </c>
      <c r="B35" t="s">
        <v>414</v>
      </c>
      <c r="G35" s="381"/>
    </row>
    <row r="36" spans="1:7" x14ac:dyDescent="0.2">
      <c r="A36" s="15" t="s">
        <v>413</v>
      </c>
      <c r="B36" t="s">
        <v>416</v>
      </c>
      <c r="G36" s="381"/>
    </row>
    <row r="37" spans="1:7" x14ac:dyDescent="0.2">
      <c r="A37" s="15" t="s">
        <v>413</v>
      </c>
      <c r="B37" t="s">
        <v>417</v>
      </c>
      <c r="G37" s="381"/>
    </row>
    <row r="38" spans="1:7" ht="16" thickBot="1" x14ac:dyDescent="0.25">
      <c r="A38" s="382" t="s">
        <v>413</v>
      </c>
      <c r="B38" s="384" t="s">
        <v>418</v>
      </c>
      <c r="C38" s="384"/>
      <c r="D38" s="384"/>
      <c r="E38" s="384"/>
      <c r="F38" s="384"/>
      <c r="G38" s="1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61A98-70BF-8F40-88CE-9EA2511650D7}">
  <sheetPr codeName="ReservasGBL">
    <tabColor theme="4" tint="0.79998168889431442"/>
  </sheetPr>
  <dimension ref="A1:AA30"/>
  <sheetViews>
    <sheetView zoomScale="93" zoomScaleNormal="93" workbookViewId="0">
      <selection activeCell="J14" sqref="J14"/>
    </sheetView>
  </sheetViews>
  <sheetFormatPr baseColWidth="10" defaultRowHeight="16" x14ac:dyDescent="0.25"/>
  <cols>
    <col min="1" max="1" width="5.83203125" style="188" customWidth="1"/>
    <col min="2" max="2" width="27.33203125" style="179" bestFit="1" customWidth="1"/>
    <col min="3" max="3" width="29.1640625" style="179" bestFit="1" customWidth="1"/>
    <col min="4" max="4" width="29.6640625" style="179" customWidth="1"/>
    <col min="5" max="5" width="26.33203125" style="179" customWidth="1"/>
    <col min="6" max="6" width="19.83203125" style="179" customWidth="1"/>
    <col min="7" max="7" width="12.83203125" style="179" bestFit="1" customWidth="1"/>
    <col min="8" max="8" width="9.33203125" style="179" customWidth="1"/>
    <col min="9" max="11" width="13" style="179" customWidth="1"/>
    <col min="12" max="12" width="14.6640625" style="179" customWidth="1"/>
    <col min="13" max="13" width="18.33203125" style="179" bestFit="1" customWidth="1"/>
    <col min="14" max="14" width="5.83203125" style="179" customWidth="1"/>
    <col min="15" max="15" width="1.1640625" style="179" customWidth="1"/>
    <col min="16" max="16" width="26.83203125" style="179" bestFit="1" customWidth="1"/>
    <col min="17" max="17" width="21.6640625" style="179" bestFit="1" customWidth="1"/>
    <col min="18" max="18" width="5.83203125" style="179" bestFit="1" customWidth="1"/>
    <col min="19" max="19" width="15.1640625" style="179" bestFit="1" customWidth="1"/>
    <col min="20" max="20" width="9.5" style="179" bestFit="1" customWidth="1"/>
    <col min="21" max="21" width="48.83203125" style="179" bestFit="1" customWidth="1"/>
    <col min="22" max="22" width="10.5" style="179" bestFit="1" customWidth="1"/>
    <col min="23" max="23" width="12.1640625" style="179" bestFit="1" customWidth="1"/>
    <col min="24" max="24" width="12.6640625" style="179" bestFit="1" customWidth="1"/>
    <col min="25" max="25" width="5.6640625" style="179" bestFit="1" customWidth="1"/>
    <col min="26" max="26" width="17.6640625" style="179" bestFit="1" customWidth="1"/>
    <col min="27" max="16384" width="10.83203125" style="179"/>
  </cols>
  <sheetData>
    <row r="1" spans="1:27" s="188" customFormat="1" ht="114" customHeight="1" x14ac:dyDescent="0.25">
      <c r="A1" s="221"/>
      <c r="B1" s="222"/>
      <c r="C1" s="222"/>
      <c r="D1" s="222"/>
      <c r="E1" s="393"/>
      <c r="F1" s="393"/>
      <c r="G1" s="223"/>
      <c r="H1" s="223"/>
      <c r="I1" s="223"/>
      <c r="J1" s="223"/>
      <c r="K1" s="223"/>
      <c r="L1" s="224"/>
      <c r="M1" s="224"/>
      <c r="N1" s="225"/>
      <c r="O1" s="238"/>
    </row>
    <row r="2" spans="1:27" s="188" customFormat="1" ht="9" customHeight="1" thickBot="1" x14ac:dyDescent="0.3">
      <c r="A2" s="235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7"/>
      <c r="O2" s="238"/>
    </row>
    <row r="3" spans="1:27" ht="30" customHeight="1" thickBot="1" x14ac:dyDescent="0.3">
      <c r="A3" s="226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227"/>
      <c r="O3" s="238"/>
    </row>
    <row r="4" spans="1:27" ht="29" thickBot="1" x14ac:dyDescent="0.45">
      <c r="A4" s="226"/>
      <c r="B4" s="240" t="s">
        <v>228</v>
      </c>
      <c r="C4" s="189"/>
      <c r="D4" s="182"/>
      <c r="E4" s="182"/>
      <c r="F4" s="182"/>
      <c r="G4" s="182"/>
      <c r="H4" s="182"/>
      <c r="I4" s="182"/>
      <c r="J4" s="182"/>
      <c r="K4" s="182"/>
      <c r="L4" s="182"/>
      <c r="M4" s="191"/>
      <c r="N4" s="227"/>
      <c r="O4" s="239"/>
    </row>
    <row r="5" spans="1:27" s="180" customFormat="1" ht="17" x14ac:dyDescent="0.25">
      <c r="A5" s="228"/>
      <c r="B5" s="219" t="s">
        <v>221</v>
      </c>
      <c r="C5" s="215"/>
      <c r="D5" s="184"/>
      <c r="E5" s="185"/>
      <c r="F5" s="185"/>
      <c r="G5" s="185"/>
      <c r="H5" s="185"/>
      <c r="I5" s="185"/>
      <c r="J5" s="185"/>
      <c r="K5" s="185"/>
      <c r="L5" s="185"/>
      <c r="M5" s="183"/>
      <c r="N5" s="229"/>
      <c r="O5" s="239"/>
    </row>
    <row r="6" spans="1:27" s="180" customFormat="1" ht="17" x14ac:dyDescent="0.25">
      <c r="A6" s="228"/>
      <c r="B6" s="217" t="s">
        <v>222</v>
      </c>
      <c r="C6" s="216"/>
      <c r="D6" s="184"/>
      <c r="E6" s="185"/>
      <c r="F6" s="185"/>
      <c r="G6" s="185"/>
      <c r="H6" s="185"/>
      <c r="I6" s="185"/>
      <c r="J6" s="185"/>
      <c r="K6" s="185"/>
      <c r="L6" s="185"/>
      <c r="M6" s="183"/>
      <c r="N6" s="229"/>
      <c r="O6" s="239"/>
    </row>
    <row r="7" spans="1:27" s="180" customFormat="1" ht="17" x14ac:dyDescent="0.25">
      <c r="A7" s="228"/>
      <c r="B7" s="217" t="s">
        <v>223</v>
      </c>
      <c r="C7" s="217"/>
      <c r="D7" s="185"/>
      <c r="E7" s="185"/>
      <c r="F7" s="185"/>
      <c r="G7" s="185"/>
      <c r="H7" s="185"/>
      <c r="I7" s="185"/>
      <c r="J7" s="185"/>
      <c r="K7" s="185"/>
      <c r="L7" s="185"/>
      <c r="M7" s="183"/>
      <c r="N7" s="229"/>
      <c r="O7" s="239"/>
    </row>
    <row r="8" spans="1:27" s="180" customFormat="1" ht="18" thickBot="1" x14ac:dyDescent="0.3">
      <c r="A8" s="228"/>
      <c r="B8" s="220" t="s">
        <v>224</v>
      </c>
      <c r="C8" s="218" t="str">
        <f>IF(C7="","",C6+C7)</f>
        <v/>
      </c>
      <c r="D8" s="184" t="str">
        <f>IF(D7="","",(D6+D7))</f>
        <v/>
      </c>
      <c r="E8" s="185"/>
      <c r="F8" s="185"/>
      <c r="G8" s="185"/>
      <c r="H8" s="185"/>
      <c r="I8" s="185"/>
      <c r="J8" s="185"/>
      <c r="K8" s="185"/>
      <c r="L8" s="185"/>
      <c r="M8" s="183"/>
      <c r="N8" s="229"/>
      <c r="O8" s="239"/>
    </row>
    <row r="9" spans="1:27" ht="17" thickBot="1" x14ac:dyDescent="0.3">
      <c r="A9" s="226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227"/>
      <c r="O9" s="238"/>
    </row>
    <row r="10" spans="1:27" s="181" customFormat="1" ht="45" customHeight="1" thickBot="1" x14ac:dyDescent="0.3">
      <c r="A10" s="230"/>
      <c r="B10" s="241" t="s">
        <v>227</v>
      </c>
      <c r="C10" s="190"/>
      <c r="D10" s="186"/>
      <c r="E10" s="186"/>
      <c r="F10" s="186"/>
      <c r="G10" s="186"/>
      <c r="H10" s="187"/>
      <c r="I10" s="187"/>
      <c r="J10" s="186"/>
      <c r="K10" s="186"/>
      <c r="L10" s="186"/>
      <c r="M10" s="187"/>
      <c r="N10" s="231"/>
      <c r="O10" s="239"/>
    </row>
    <row r="11" spans="1:27" s="181" customFormat="1" ht="50" customHeight="1" thickBot="1" x14ac:dyDescent="0.3">
      <c r="A11" s="230"/>
      <c r="B11" s="313" t="s">
        <v>225</v>
      </c>
      <c r="C11" s="242"/>
      <c r="D11" s="186"/>
      <c r="E11" s="186"/>
      <c r="F11" s="186"/>
      <c r="G11" s="186"/>
      <c r="H11" s="186"/>
      <c r="I11" s="186"/>
      <c r="J11" s="186"/>
      <c r="K11" s="186"/>
      <c r="L11" s="186"/>
      <c r="M11" s="187"/>
      <c r="N11" s="231"/>
      <c r="O11" s="239"/>
    </row>
    <row r="12" spans="1:27" ht="24" thickBot="1" x14ac:dyDescent="0.4">
      <c r="A12" s="226"/>
      <c r="B12" s="387" t="s">
        <v>226</v>
      </c>
      <c r="C12" s="388"/>
      <c r="D12" s="388"/>
      <c r="E12" s="388"/>
      <c r="F12" s="388"/>
      <c r="G12" s="389"/>
      <c r="H12" s="390" t="s">
        <v>229</v>
      </c>
      <c r="I12" s="391"/>
      <c r="J12" s="391"/>
      <c r="K12" s="391"/>
      <c r="L12" s="391"/>
      <c r="M12" s="392"/>
      <c r="N12" s="227"/>
      <c r="O12" s="239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</row>
    <row r="13" spans="1:27" s="180" customFormat="1" ht="18" thickBot="1" x14ac:dyDescent="0.3">
      <c r="A13" s="228"/>
      <c r="B13" s="243" t="s">
        <v>230</v>
      </c>
      <c r="C13" s="244" t="s">
        <v>231</v>
      </c>
      <c r="D13" s="244" t="s">
        <v>232</v>
      </c>
      <c r="E13" s="244" t="s">
        <v>233</v>
      </c>
      <c r="F13" s="244" t="s">
        <v>234</v>
      </c>
      <c r="G13" s="245" t="s">
        <v>235</v>
      </c>
      <c r="H13" s="246" t="s">
        <v>236</v>
      </c>
      <c r="I13" s="247" t="s">
        <v>222</v>
      </c>
      <c r="J13" s="247" t="s">
        <v>223</v>
      </c>
      <c r="K13" s="247" t="s">
        <v>224</v>
      </c>
      <c r="L13" s="247" t="s">
        <v>237</v>
      </c>
      <c r="M13" s="248" t="s">
        <v>20</v>
      </c>
      <c r="N13" s="229"/>
      <c r="O13" s="239"/>
    </row>
    <row r="14" spans="1:27" s="180" customFormat="1" ht="17" x14ac:dyDescent="0.25">
      <c r="A14" s="228"/>
      <c r="B14" s="207" t="s">
        <v>190</v>
      </c>
      <c r="C14" s="208"/>
      <c r="D14" s="208"/>
      <c r="E14" s="209"/>
      <c r="F14" s="208"/>
      <c r="G14" s="210"/>
      <c r="H14" s="211"/>
      <c r="I14" s="212"/>
      <c r="J14" s="213"/>
      <c r="K14" s="212"/>
      <c r="L14" s="213"/>
      <c r="M14" s="214"/>
      <c r="N14" s="229"/>
      <c r="O14" s="239"/>
    </row>
    <row r="15" spans="1:27" s="180" customFormat="1" ht="17" x14ac:dyDescent="0.25">
      <c r="A15" s="228"/>
      <c r="B15" s="203"/>
      <c r="C15" s="192"/>
      <c r="D15" s="192"/>
      <c r="E15" s="283"/>
      <c r="F15" s="192"/>
      <c r="G15" s="202"/>
      <c r="H15" s="196"/>
      <c r="I15" s="194"/>
      <c r="J15" s="193"/>
      <c r="K15" s="194"/>
      <c r="L15" s="193"/>
      <c r="M15" s="197"/>
      <c r="N15" s="229"/>
      <c r="O15" s="239"/>
    </row>
    <row r="16" spans="1:27" s="180" customFormat="1" ht="17" x14ac:dyDescent="0.25">
      <c r="A16" s="228"/>
      <c r="B16" s="203"/>
      <c r="C16" s="192"/>
      <c r="D16" s="192"/>
      <c r="E16" s="283"/>
      <c r="F16" s="192"/>
      <c r="G16" s="202"/>
      <c r="H16" s="196"/>
      <c r="I16" s="194"/>
      <c r="J16" s="193"/>
      <c r="K16" s="194"/>
      <c r="L16" s="193"/>
      <c r="M16" s="197"/>
      <c r="N16" s="229"/>
      <c r="O16" s="239"/>
    </row>
    <row r="17" spans="1:15" s="180" customFormat="1" ht="17" x14ac:dyDescent="0.25">
      <c r="A17" s="228"/>
      <c r="B17" s="203"/>
      <c r="C17" s="192"/>
      <c r="D17" s="192"/>
      <c r="E17" s="283"/>
      <c r="F17" s="192"/>
      <c r="G17" s="202"/>
      <c r="H17" s="196"/>
      <c r="I17" s="194"/>
      <c r="J17" s="193"/>
      <c r="K17" s="194"/>
      <c r="L17" s="193"/>
      <c r="M17" s="197"/>
      <c r="N17" s="229"/>
      <c r="O17" s="239"/>
    </row>
    <row r="18" spans="1:15" s="180" customFormat="1" ht="17" x14ac:dyDescent="0.25">
      <c r="A18" s="228"/>
      <c r="B18" s="203"/>
      <c r="C18" s="192"/>
      <c r="D18" s="192"/>
      <c r="E18" s="283"/>
      <c r="F18" s="192"/>
      <c r="G18" s="202"/>
      <c r="H18" s="196"/>
      <c r="I18" s="194"/>
      <c r="J18" s="193"/>
      <c r="K18" s="194"/>
      <c r="L18" s="193"/>
      <c r="M18" s="197"/>
      <c r="N18" s="229"/>
      <c r="O18" s="239"/>
    </row>
    <row r="19" spans="1:15" s="180" customFormat="1" ht="17" x14ac:dyDescent="0.25">
      <c r="A19" s="228"/>
      <c r="B19" s="203"/>
      <c r="C19" s="192"/>
      <c r="D19" s="192"/>
      <c r="E19" s="283"/>
      <c r="F19" s="192"/>
      <c r="G19" s="202"/>
      <c r="H19" s="196"/>
      <c r="I19" s="194"/>
      <c r="J19" s="193"/>
      <c r="K19" s="194"/>
      <c r="L19" s="193"/>
      <c r="M19" s="197"/>
      <c r="N19" s="229"/>
      <c r="O19" s="239"/>
    </row>
    <row r="20" spans="1:15" s="180" customFormat="1" ht="17" x14ac:dyDescent="0.25">
      <c r="A20" s="228"/>
      <c r="B20" s="203"/>
      <c r="C20" s="192"/>
      <c r="D20" s="192"/>
      <c r="E20" s="283"/>
      <c r="F20" s="192"/>
      <c r="G20" s="202"/>
      <c r="H20" s="196"/>
      <c r="I20" s="194"/>
      <c r="J20" s="193"/>
      <c r="K20" s="194"/>
      <c r="L20" s="193"/>
      <c r="M20" s="197"/>
      <c r="N20" s="229"/>
      <c r="O20" s="239"/>
    </row>
    <row r="21" spans="1:15" s="180" customFormat="1" ht="17" x14ac:dyDescent="0.25">
      <c r="A21" s="228"/>
      <c r="B21" s="203"/>
      <c r="C21" s="192"/>
      <c r="D21" s="192"/>
      <c r="E21" s="195"/>
      <c r="F21" s="192"/>
      <c r="G21" s="202"/>
      <c r="H21" s="196"/>
      <c r="I21" s="194"/>
      <c r="J21" s="193"/>
      <c r="K21" s="194"/>
      <c r="L21" s="193"/>
      <c r="M21" s="197"/>
      <c r="N21" s="229"/>
      <c r="O21" s="239"/>
    </row>
    <row r="22" spans="1:15" s="180" customFormat="1" ht="17" x14ac:dyDescent="0.25">
      <c r="A22" s="228"/>
      <c r="B22" s="203"/>
      <c r="C22" s="192"/>
      <c r="D22" s="192"/>
      <c r="E22" s="192"/>
      <c r="F22" s="192"/>
      <c r="G22" s="202"/>
      <c r="H22" s="196"/>
      <c r="I22" s="194"/>
      <c r="J22" s="193"/>
      <c r="K22" s="193"/>
      <c r="L22" s="193"/>
      <c r="M22" s="197"/>
      <c r="N22" s="229"/>
      <c r="O22" s="239"/>
    </row>
    <row r="23" spans="1:15" s="180" customFormat="1" ht="18" thickBot="1" x14ac:dyDescent="0.3">
      <c r="A23" s="228"/>
      <c r="B23" s="204"/>
      <c r="C23" s="205"/>
      <c r="D23" s="205"/>
      <c r="E23" s="205"/>
      <c r="F23" s="205"/>
      <c r="G23" s="206"/>
      <c r="H23" s="198"/>
      <c r="I23" s="199"/>
      <c r="J23" s="200"/>
      <c r="K23" s="200"/>
      <c r="L23" s="200"/>
      <c r="M23" s="201"/>
      <c r="N23" s="229"/>
      <c r="O23" s="239"/>
    </row>
    <row r="24" spans="1:15" x14ac:dyDescent="0.25">
      <c r="A24" s="226"/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27"/>
      <c r="O24" s="238"/>
    </row>
    <row r="25" spans="1:15" x14ac:dyDescent="0.25">
      <c r="A25" s="226"/>
      <c r="B25" s="191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27"/>
      <c r="O25" s="238"/>
    </row>
    <row r="26" spans="1:15" x14ac:dyDescent="0.25">
      <c r="A26" s="226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27"/>
      <c r="O26" s="238"/>
    </row>
    <row r="27" spans="1:15" x14ac:dyDescent="0.25">
      <c r="A27" s="226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27"/>
      <c r="O27" s="238"/>
    </row>
    <row r="28" spans="1:15" x14ac:dyDescent="0.25">
      <c r="A28" s="226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27"/>
      <c r="O28" s="238"/>
    </row>
    <row r="29" spans="1:15" ht="17" thickBot="1" x14ac:dyDescent="0.3">
      <c r="A29" s="232"/>
      <c r="B29" s="233"/>
      <c r="C29" s="233"/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4"/>
      <c r="O29" s="238"/>
    </row>
    <row r="30" spans="1:15" ht="7" customHeight="1" x14ac:dyDescent="0.25">
      <c r="A30" s="238"/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</row>
  </sheetData>
  <mergeCells count="3">
    <mergeCell ref="B12:G12"/>
    <mergeCell ref="H12:M12"/>
    <mergeCell ref="E1:F1"/>
  </mergeCells>
  <phoneticPr fontId="3" type="noConversion"/>
  <dataValidations count="1">
    <dataValidation type="list" showInputMessage="1" showErrorMessage="1" sqref="L14" xr:uid="{30A1462C-C689-164F-B5A7-C1192F7B44F3}">
      <formula1>"PESCADOR,NON ANGLER"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130B6CF-4023-5C4C-8FF4-5AEC9B4EC2C0}">
          <x14:formula1>
            <xm:f>Mantenedor!$D$2:$D$4</xm:f>
          </x14:formula1>
          <xm:sqref>H14:H23</xm:sqref>
        </x14:dataValidation>
        <x14:dataValidation type="list" allowBlank="1" showInputMessage="1" showErrorMessage="1" xr:uid="{7F661CEC-C46C-9745-B835-A5E6EA0B05A5}">
          <x14:formula1>
            <xm:f>Mantenedor!$A$2:$A$3</xm:f>
          </x14:formula1>
          <xm:sqref>C14:C23</xm:sqref>
        </x14:dataValidation>
        <x14:dataValidation type="list" allowBlank="1" showInputMessage="1" showErrorMessage="1" xr:uid="{6FDCDABA-D8A0-F044-B7AF-1824B9DBBB10}">
          <x14:formula1>
            <xm:f>Mantenedor!$F$2:$F$3</xm:f>
          </x14:formula1>
          <xm:sqref>I11 C11:D11</xm:sqref>
        </x14:dataValidation>
        <x14:dataValidation type="list" allowBlank="1" showInputMessage="1" showErrorMessage="1" xr:uid="{55B0A008-B618-714C-A6A0-DE030867F605}">
          <x14:formula1>
            <xm:f>Mantenedor!$G$2:$G$3</xm:f>
          </x14:formula1>
          <xm:sqref>G21 G14:G18</xm:sqref>
        </x14:dataValidation>
        <x14:dataValidation type="list" showInputMessage="1" showErrorMessage="1" xr:uid="{C9FE01C2-5E69-FF4D-8DA6-EEB1A59D91B5}">
          <x14:formula1>
            <xm:f>BBDD!$E$3:$E$27</xm:f>
          </x14:formula1>
          <xm:sqref>D15:D16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15BC4-2BF4-F545-9EE0-C1BEE5F29847}">
  <sheetPr codeName="Hoja4">
    <tabColor theme="5" tint="0.79998168889431442"/>
  </sheetPr>
  <dimension ref="A1:N31"/>
  <sheetViews>
    <sheetView zoomScale="98" zoomScaleNormal="98" workbookViewId="0">
      <selection activeCell="F11" sqref="F11"/>
    </sheetView>
  </sheetViews>
  <sheetFormatPr baseColWidth="10" defaultRowHeight="16" x14ac:dyDescent="0.25"/>
  <cols>
    <col min="1" max="1" width="5.83203125" style="179" customWidth="1"/>
    <col min="2" max="2" width="21" style="179" bestFit="1" customWidth="1"/>
    <col min="3" max="3" width="22.83203125" style="179" customWidth="1"/>
    <col min="4" max="4" width="28.6640625" style="179" bestFit="1" customWidth="1"/>
    <col min="5" max="5" width="16.1640625" style="179" customWidth="1"/>
    <col min="6" max="6" width="27.33203125" style="179" customWidth="1"/>
    <col min="7" max="7" width="21.83203125" style="179" customWidth="1"/>
    <col min="8" max="8" width="19.33203125" style="179" customWidth="1"/>
    <col min="9" max="9" width="5.1640625" style="179" customWidth="1"/>
    <col min="10" max="10" width="0.83203125" style="179" customWidth="1"/>
    <col min="11" max="11" width="19.6640625" style="179" customWidth="1"/>
    <col min="12" max="12" width="13.83203125" style="179" bestFit="1" customWidth="1"/>
    <col min="13" max="13" width="14.83203125" style="179" customWidth="1"/>
    <col min="14" max="25" width="10.83203125" style="179"/>
    <col min="26" max="26" width="0" style="179" hidden="1" customWidth="1"/>
    <col min="27" max="16384" width="10.83203125" style="179"/>
  </cols>
  <sheetData>
    <row r="1" spans="1:14" ht="114" customHeight="1" x14ac:dyDescent="0.25">
      <c r="A1" s="188"/>
      <c r="B1" s="188"/>
      <c r="C1" s="188"/>
      <c r="D1" s="394"/>
      <c r="E1" s="394"/>
      <c r="F1" s="394"/>
      <c r="G1" s="394"/>
      <c r="H1" s="394"/>
      <c r="I1" s="301"/>
      <c r="J1" s="302"/>
      <c r="K1" s="303"/>
      <c r="L1" s="304"/>
      <c r="M1" s="304"/>
    </row>
    <row r="2" spans="1:14" ht="9" customHeight="1" x14ac:dyDescent="0.25">
      <c r="A2" s="305"/>
      <c r="B2" s="305"/>
      <c r="C2" s="305"/>
      <c r="D2" s="305"/>
      <c r="E2" s="305"/>
      <c r="F2" s="305"/>
      <c r="G2" s="305"/>
      <c r="H2" s="305"/>
      <c r="I2" s="305"/>
      <c r="J2" s="305"/>
    </row>
    <row r="3" spans="1:14" ht="31" customHeight="1" thickBot="1" x14ac:dyDescent="0.3">
      <c r="A3" s="191"/>
      <c r="B3" s="191"/>
      <c r="C3" s="191"/>
      <c r="D3" s="191"/>
      <c r="E3" s="191"/>
      <c r="F3" s="191"/>
      <c r="G3" s="191"/>
      <c r="H3" s="191"/>
      <c r="I3" s="191"/>
      <c r="J3" s="305"/>
      <c r="M3" s="179" t="s">
        <v>397</v>
      </c>
      <c r="N3" s="179" t="s">
        <v>398</v>
      </c>
    </row>
    <row r="4" spans="1:14" ht="29" customHeight="1" thickBot="1" x14ac:dyDescent="0.4">
      <c r="A4" s="191"/>
      <c r="B4" s="395" t="s">
        <v>227</v>
      </c>
      <c r="C4" s="396"/>
      <c r="D4" s="191"/>
      <c r="E4" s="395" t="s">
        <v>338</v>
      </c>
      <c r="F4" s="397"/>
      <c r="G4" s="397"/>
      <c r="H4" s="314"/>
      <c r="I4" s="191"/>
      <c r="J4" s="305"/>
      <c r="M4" s="179" t="str" cm="1">
        <f t="array" ref="M4">IF($C$5="","",IFERROR(_xlfn.XLOOKUP($C$5&amp;"|"&amp;$B10,BBDD!$B$3:$B$2000&amp;"|"&amp;BBDD!$C$3:$C$2000,BBDD!$T$3:$T$2000),$Z10))</f>
        <v/>
      </c>
      <c r="N4" s="179" t="str" cm="1">
        <f t="array" ref="N4">IF($C$5="","",IFERROR(_xlfn.XLOOKUP($C$5&amp;"|"&amp;$B10,BBDD!$B$3:$B$2000&amp;"|"&amp;BBDD!$C$3:$C$2000,BBDD!$U$3:$U$2000),$AA10))</f>
        <v/>
      </c>
    </row>
    <row r="5" spans="1:14" ht="23" customHeight="1" thickBot="1" x14ac:dyDescent="0.3">
      <c r="A5" s="191"/>
      <c r="B5" s="321" t="s">
        <v>335</v>
      </c>
      <c r="C5" s="322"/>
      <c r="D5" s="323"/>
      <c r="E5" s="324"/>
      <c r="F5" s="338" t="s">
        <v>340</v>
      </c>
      <c r="G5" s="325" t="s">
        <v>341</v>
      </c>
      <c r="H5" s="339" t="s">
        <v>342</v>
      </c>
      <c r="I5" s="306"/>
      <c r="J5" s="305"/>
    </row>
    <row r="6" spans="1:14" ht="17" x14ac:dyDescent="0.25">
      <c r="A6" s="191"/>
      <c r="B6" s="326" t="s">
        <v>221</v>
      </c>
      <c r="C6" s="327" t="str">
        <f>IFERROR(VLOOKUP($C$5,BBDD!$B$2:$AP$433,9,FALSE),"")</f>
        <v/>
      </c>
      <c r="D6" s="187"/>
      <c r="E6" s="328" t="s">
        <v>0</v>
      </c>
      <c r="F6" s="329">
        <f>+$G$20*0.5</f>
        <v>0</v>
      </c>
      <c r="G6" s="330" t="str" cm="1">
        <f t="array" ref="G6">IF($C$5="","",_xlfn.LET(_xlpm.col,_xlfn._xlws.FILTER(BBDD!$AE$3:$AE$2000,(BBDD!$B$3:$B$2000=$C$5)*(BBDD!$AE$3:$AE$2000&lt;&gt;"")),IFERROR(INDEX(_xlpm.col,ROWS(_xlpm.col)),"")))</f>
        <v/>
      </c>
      <c r="H6" s="331" t="str" cm="1">
        <f t="array" ref="H6">IF($C$5="","",_xlfn.LET(_xlpm.col,_xlfn._xlws.FILTER(BBDD!$AG$3:$AG$2000,(BBDD!$B$3:$B$2000=$C$5)*(BBDD!$AG$3:$AG$2000&lt;&gt;"")),IFERROR(INDEX(_xlpm.col,ROWS(_xlpm.col)),"")))</f>
        <v/>
      </c>
      <c r="I6" s="191"/>
      <c r="J6" s="305"/>
      <c r="N6" s="179" t="str">
        <f>+N10</f>
        <v/>
      </c>
    </row>
    <row r="7" spans="1:14" ht="18" thickBot="1" x14ac:dyDescent="0.3">
      <c r="A7" s="191"/>
      <c r="B7" s="332" t="s">
        <v>222</v>
      </c>
      <c r="C7" s="333" t="str">
        <f>IFERROR(VLOOKUP($C$5,BBDD!$B$2:$AP$433,10,FALSE),"")</f>
        <v/>
      </c>
      <c r="D7" s="187"/>
      <c r="E7" s="334" t="s">
        <v>339</v>
      </c>
      <c r="F7" s="335">
        <f>+$G$20*0.5</f>
        <v>0</v>
      </c>
      <c r="G7" s="336" t="str" cm="1">
        <f t="array" ref="G7">IF($C$5="","",_xlfn.LET(_xlpm.col,_xlfn._xlws.FILTER(BBDD!$AM$3:$AM$2000,(BBDD!$B$3:$B$2000=$C$5)*(BBDD!$AM$3:$AM$2000&lt;&gt;"")),IFERROR(INDEX(_xlpm.col,ROWS(_xlpm.col)),"")))</f>
        <v/>
      </c>
      <c r="H7" s="337" t="str" cm="1">
        <f t="array" ref="H7">IF($C$5="","",_xlfn.LET(_xlpm.col,_xlfn._xlws.FILTER(BBDD!$AO$3:$AO$2000,(BBDD!$B$3:$B$2000=$C$5)*(BBDD!$AO$3:$AO$2000&lt;&gt;"")),IFERROR(INDEX(_xlpm.col,ROWS(_xlpm.col)),"")))</f>
        <v/>
      </c>
      <c r="I7" s="191"/>
      <c r="J7" s="305"/>
      <c r="N7" s="179" t="str">
        <f>+N10</f>
        <v/>
      </c>
    </row>
    <row r="8" spans="1:14" ht="17" thickBot="1" x14ac:dyDescent="0.3">
      <c r="A8" s="191"/>
      <c r="B8" s="191"/>
      <c r="C8" s="191"/>
      <c r="D8" s="191"/>
      <c r="E8" s="191"/>
      <c r="F8" s="191"/>
      <c r="G8" s="191"/>
      <c r="H8" s="191"/>
      <c r="I8" s="191"/>
      <c r="J8" s="305"/>
    </row>
    <row r="9" spans="1:14" ht="18" thickBot="1" x14ac:dyDescent="0.3">
      <c r="A9" s="191"/>
      <c r="B9" s="340" t="s">
        <v>18</v>
      </c>
      <c r="C9" s="341" t="s">
        <v>232</v>
      </c>
      <c r="D9" s="342" t="s">
        <v>313</v>
      </c>
      <c r="E9" s="343" t="s">
        <v>336</v>
      </c>
      <c r="F9" s="344" t="s">
        <v>337</v>
      </c>
      <c r="G9" s="345" t="s">
        <v>314</v>
      </c>
      <c r="H9" s="346"/>
      <c r="I9" s="191"/>
      <c r="J9" s="305"/>
    </row>
    <row r="10" spans="1:14" ht="17" x14ac:dyDescent="0.25">
      <c r="A10" s="191"/>
      <c r="B10" s="347" t="str" cm="1">
        <f t="array" ref="B10">IF($C$5="","",_xlfn.TAKE(_xlfn._xlws.FILTER(BBDD!$C$3:$C$1988, BBDD!$B$3:$B$1988=$C$5, ""), 10))</f>
        <v/>
      </c>
      <c r="C10" s="348" t="str" cm="1">
        <f t="array" ref="C10">IF($C$5="","",_xlfn.TAKE(_xlfn._xlws.FILTER(BBDD!$E$3:$E$1988, BBDD!$B$3:$B$1988=$C$5, ""), 10))</f>
        <v/>
      </c>
      <c r="D10" s="374" t="str" cm="1">
        <f t="array" ref="D10">IF($C$5="","",_xlfn.XLOOKUP($C$5&amp;"|"&amp;$B10, BBDD!$B$3:$B$1988&amp;"|"&amp;BBDD!$C$3:$C$1988, BBDD!$R$3:$R$1988, ""))</f>
        <v/>
      </c>
      <c r="E10" s="349" t="str" cm="1">
        <f t="array" ref="E10">IF($C$5="","",IFERROR(_xlfn.XLOOKUP($C$5&amp;"|"&amp;$B10,BBDD!$B$3:$B$2000&amp;"|"&amp;BBDD!$C$3:$C$2000,BBDD!$T$3:$T$2000),$Z10))</f>
        <v/>
      </c>
      <c r="F10" s="350" t="str" cm="1">
        <f t="array" ref="F10">IF($C$5="","",IFERROR(_xlfn.XLOOKUP($C$5&amp;"|"&amp;$B10,BBDD!$B$3:$B$2000&amp;"|"&amp;BBDD!$C$3:$C$2000,BBDD!$U$3:$U$2000),$AA10))</f>
        <v/>
      </c>
      <c r="G10" s="351" t="str">
        <f>IF(D10="","",D10*(1-E10))</f>
        <v/>
      </c>
      <c r="H10" s="352"/>
      <c r="I10" s="191"/>
      <c r="J10" s="305"/>
      <c r="N10" s="179" t="str" cm="1">
        <f t="array" ref="N10">IF($C$5="","",_xlfn.XLOOKUP($C$5&amp;"|"&amp;$B10,BBDD!$B$3:$B$2000&amp;"|"&amp;BBDD!$C$3:$C$2000,BBDD!$Q$3:$Q$2000,""))</f>
        <v/>
      </c>
    </row>
    <row r="11" spans="1:14" ht="17" x14ac:dyDescent="0.25">
      <c r="A11" s="191"/>
      <c r="B11" s="353"/>
      <c r="C11" s="354"/>
      <c r="D11" s="375" t="str" cm="1">
        <f t="array" ref="D11">IF($C$5="","",_xlfn.XLOOKUP($C$5&amp;"|"&amp;$B11, BBDD!$B$3:$B$1988&amp;"|"&amp;BBDD!$C$3:$C$1988, BBDD!$R$3:$R$1988, ""))</f>
        <v/>
      </c>
      <c r="E11" s="355" t="str" cm="1">
        <f t="array" ref="E11">IF($C$5="","",IFERROR(_xlfn.XLOOKUP($C$5&amp;"|"&amp;$B11,BBDD!$B$3:$B$2000&amp;"|"&amp;BBDD!$C$3:$C$2000,BBDD!$T$3:$T$2000),$Z11))</f>
        <v/>
      </c>
      <c r="F11" s="356" t="str" cm="1">
        <f t="array" ref="F11">IF($C$5="","",IFERROR(_xlfn.XLOOKUP($C$5&amp;"|"&amp;$B11,BBDD!$B$3:$B$2000&amp;"|"&amp;BBDD!$C$3:$C$2000,BBDD!$U$3:$U$2000),$AA11))</f>
        <v/>
      </c>
      <c r="G11" s="357" t="str">
        <f>IF(D11="","",D11*(1-E11))</f>
        <v/>
      </c>
      <c r="H11" s="358"/>
      <c r="I11" s="191"/>
      <c r="J11" s="305"/>
      <c r="N11" s="179" t="str" cm="1">
        <f t="array" ref="N11">IF($C$5="","",_xlfn.XLOOKUP($C$5&amp;"|"&amp;$B11,BBDD!$B$3:$B$2000&amp;"|"&amp;BBDD!$C$3:$C$2000,BBDD!$Q$3:$Q$2000,""))</f>
        <v/>
      </c>
    </row>
    <row r="12" spans="1:14" ht="17" x14ac:dyDescent="0.25">
      <c r="A12" s="191"/>
      <c r="B12" s="353"/>
      <c r="C12" s="354"/>
      <c r="D12" s="375" t="str" cm="1">
        <f t="array" ref="D12">IF($C$5="","",_xlfn.XLOOKUP($C$5&amp;"|"&amp;$B12, BBDD!$B$3:$B$1988&amp;"|"&amp;BBDD!$C$3:$C$1988, BBDD!$R$3:$R$1988, ""))</f>
        <v/>
      </c>
      <c r="E12" s="355" t="str" cm="1">
        <f t="array" ref="E12">IF($C$5="","",IFERROR(_xlfn.XLOOKUP($C$5&amp;"|"&amp;$B12,BBDD!$B$3:$B$2000&amp;"|"&amp;BBDD!$C$3:$C$2000,BBDD!$T$3:$T$2000),$Z12))</f>
        <v/>
      </c>
      <c r="F12" s="356" t="str" cm="1">
        <f t="array" ref="F12">IF($C$5="","",IFERROR(_xlfn.XLOOKUP($C$5&amp;"|"&amp;$B12,BBDD!$B$3:$B$2000&amp;"|"&amp;BBDD!$C$3:$C$2000,BBDD!$U$3:$U$2000),$AA12))</f>
        <v/>
      </c>
      <c r="G12" s="357" t="str">
        <f t="shared" ref="G12:G19" si="0">IF(D12="","",D12*(1-E12))</f>
        <v/>
      </c>
      <c r="H12" s="358"/>
      <c r="I12" s="191"/>
      <c r="J12" s="305"/>
      <c r="N12" s="179" t="str" cm="1">
        <f t="array" ref="N12">IF($C$5="","",_xlfn.XLOOKUP($C$5&amp;"|"&amp;$B12,BBDD!$B$3:$B$2000&amp;"|"&amp;BBDD!$C$3:$C$2000,BBDD!$Q$3:$Q$2000,""))</f>
        <v/>
      </c>
    </row>
    <row r="13" spans="1:14" ht="17" x14ac:dyDescent="0.25">
      <c r="A13" s="191"/>
      <c r="B13" s="353"/>
      <c r="C13" s="354"/>
      <c r="D13" s="375" t="str" cm="1">
        <f t="array" ref="D13">IF($C$5="","",_xlfn.XLOOKUP($C$5&amp;"|"&amp;$B13, BBDD!$B$3:$B$1988&amp;"|"&amp;BBDD!$C$3:$C$1988, BBDD!$R$3:$R$1988, ""))</f>
        <v/>
      </c>
      <c r="E13" s="355" t="str" cm="1">
        <f t="array" ref="E13">IF($C$5="","",IFERROR(_xlfn.XLOOKUP($C$5&amp;"|"&amp;$B13,BBDD!$B$3:$B$2000&amp;"|"&amp;BBDD!$C$3:$C$2000,BBDD!$T$3:$T$2000),$Z13))</f>
        <v/>
      </c>
      <c r="F13" s="356" t="str" cm="1">
        <f t="array" ref="F13">IF($C$5="","",IFERROR(_xlfn.XLOOKUP($C$5&amp;"|"&amp;$B13,BBDD!$B$3:$B$2000&amp;"|"&amp;BBDD!$C$3:$C$2000,BBDD!$U$3:$U$2000),$AA13))</f>
        <v/>
      </c>
      <c r="G13" s="357" t="str">
        <f t="shared" si="0"/>
        <v/>
      </c>
      <c r="H13" s="358"/>
      <c r="I13" s="191"/>
      <c r="J13" s="305"/>
      <c r="N13" s="179" t="str" cm="1">
        <f t="array" ref="N13">IF($C$5="","",_xlfn.XLOOKUP($C$5&amp;"|"&amp;$B13,BBDD!$B$3:$B$2000&amp;"|"&amp;BBDD!$C$3:$C$2000,BBDD!$Q$3:$Q$2000,""))</f>
        <v/>
      </c>
    </row>
    <row r="14" spans="1:14" ht="17" x14ac:dyDescent="0.25">
      <c r="A14" s="191"/>
      <c r="B14" s="353"/>
      <c r="C14" s="354"/>
      <c r="D14" s="375" t="str" cm="1">
        <f t="array" ref="D14">IF($C$5="","",_xlfn.XLOOKUP($C$5&amp;"|"&amp;$B14, BBDD!$B$3:$B$1988&amp;"|"&amp;BBDD!$C$3:$C$1988, BBDD!$R$3:$R$1988, ""))</f>
        <v/>
      </c>
      <c r="E14" s="355" t="str" cm="1">
        <f t="array" ref="E14">IF($C$5="","",IFERROR(_xlfn.XLOOKUP($C$5&amp;"|"&amp;$B14,BBDD!$B$3:$B$2000&amp;"|"&amp;BBDD!$C$3:$C$2000,BBDD!$T$3:$T$2000),$Z14))</f>
        <v/>
      </c>
      <c r="F14" s="356" t="str" cm="1">
        <f t="array" ref="F14">IF($C$5="","",IFERROR(_xlfn.XLOOKUP($C$5&amp;"|"&amp;$B14,BBDD!$B$3:$B$2000&amp;"|"&amp;BBDD!$C$3:$C$2000,BBDD!$U$3:$U$2000),$AA14))</f>
        <v/>
      </c>
      <c r="G14" s="357" t="str">
        <f t="shared" si="0"/>
        <v/>
      </c>
      <c r="H14" s="358"/>
      <c r="I14" s="191"/>
      <c r="J14" s="305"/>
      <c r="N14" s="179" t="str" cm="1">
        <f t="array" ref="N14">IF($C$5="","",_xlfn.XLOOKUP($C$5&amp;"|"&amp;$B14,BBDD!$B$3:$B$2000&amp;"|"&amp;BBDD!$C$3:$C$2000,BBDD!$Q$3:$Q$2000,""))</f>
        <v/>
      </c>
    </row>
    <row r="15" spans="1:14" ht="17" x14ac:dyDescent="0.25">
      <c r="A15" s="191"/>
      <c r="B15" s="353"/>
      <c r="C15" s="354"/>
      <c r="D15" s="375" t="str" cm="1">
        <f t="array" ref="D15">IF($C$5="","",_xlfn.XLOOKUP($C$5&amp;"|"&amp;$B15, BBDD!$B$3:$B$1988&amp;"|"&amp;BBDD!$C$3:$C$1988, BBDD!$R$3:$R$1988, ""))</f>
        <v/>
      </c>
      <c r="E15" s="355" t="str" cm="1">
        <f t="array" ref="E15">IF($C$5="","",IFERROR(_xlfn.XLOOKUP($C$5&amp;"|"&amp;$B15,BBDD!$B$3:$B$2000&amp;"|"&amp;BBDD!$C$3:$C$2000,BBDD!$T$3:$T$2000),$Z15))</f>
        <v/>
      </c>
      <c r="F15" s="356" t="str" cm="1">
        <f t="array" ref="F15">IF($C$5="","",IFERROR(_xlfn.XLOOKUP($C$5&amp;"|"&amp;$B15,BBDD!$B$3:$B$2000&amp;"|"&amp;BBDD!$C$3:$C$2000,BBDD!$U$3:$U$2000),$AA15))</f>
        <v/>
      </c>
      <c r="G15" s="357" t="str">
        <f t="shared" si="0"/>
        <v/>
      </c>
      <c r="H15" s="358"/>
      <c r="I15" s="191"/>
      <c r="J15" s="305"/>
      <c r="N15" s="179" t="str" cm="1">
        <f t="array" ref="N15">IF($C$5="","",_xlfn.XLOOKUP($C$5&amp;"|"&amp;$B15,BBDD!$B$3:$B$2000&amp;"|"&amp;BBDD!$C$3:$C$2000,BBDD!$Q$3:$Q$2000,""))</f>
        <v/>
      </c>
    </row>
    <row r="16" spans="1:14" ht="17" x14ac:dyDescent="0.25">
      <c r="A16" s="191"/>
      <c r="B16" s="353"/>
      <c r="C16" s="354"/>
      <c r="D16" s="375" t="str" cm="1">
        <f t="array" ref="D16">IF($C$5="","",_xlfn.XLOOKUP($C$5&amp;"|"&amp;$B16, BBDD!$B$3:$B$1988&amp;"|"&amp;BBDD!$C$3:$C$1988, BBDD!$R$3:$R$1988, ""))</f>
        <v/>
      </c>
      <c r="E16" s="355" t="str" cm="1">
        <f t="array" ref="E16">IF($C$5="","",IFERROR(_xlfn.XLOOKUP($C$5&amp;"|"&amp;$B16,BBDD!$B$3:$B$2000&amp;"|"&amp;BBDD!$C$3:$C$2000,BBDD!$T$3:$T$2000),$Z16))</f>
        <v/>
      </c>
      <c r="F16" s="356" t="str" cm="1">
        <f t="array" ref="F16">IF($C$5="","",IFERROR(_xlfn.XLOOKUP($C$5&amp;"|"&amp;$B16,BBDD!$B$3:$B$2000&amp;"|"&amp;BBDD!$C$3:$C$2000,BBDD!$U$3:$U$2000),$AA16))</f>
        <v/>
      </c>
      <c r="G16" s="357" t="str">
        <f t="shared" si="0"/>
        <v/>
      </c>
      <c r="H16" s="358"/>
      <c r="I16" s="191"/>
      <c r="J16" s="305"/>
      <c r="N16" s="179" t="str" cm="1">
        <f t="array" ref="N16">IF($C$5="","",_xlfn.XLOOKUP($C$5&amp;"|"&amp;$B16,BBDD!$B$3:$B$2000&amp;"|"&amp;BBDD!$C$3:$C$2000,BBDD!$Q$3:$Q$2000,""))</f>
        <v/>
      </c>
    </row>
    <row r="17" spans="1:14" ht="17" x14ac:dyDescent="0.25">
      <c r="A17" s="191"/>
      <c r="B17" s="353"/>
      <c r="C17" s="354"/>
      <c r="D17" s="375" t="str" cm="1">
        <f t="array" ref="D17">IF($C$5="","",_xlfn.XLOOKUP($C$5&amp;"|"&amp;$B17, BBDD!$B$3:$B$1988&amp;"|"&amp;BBDD!$C$3:$C$1988, BBDD!$R$3:$R$1988, ""))</f>
        <v/>
      </c>
      <c r="E17" s="355" t="str" cm="1">
        <f t="array" ref="E17">IF($C$5="","",IFERROR(_xlfn.XLOOKUP($C$5&amp;"|"&amp;$B17,BBDD!$B$3:$B$2000&amp;"|"&amp;BBDD!$C$3:$C$2000,BBDD!$T$3:$T$2000),$Z17))</f>
        <v/>
      </c>
      <c r="F17" s="356" t="str" cm="1">
        <f t="array" ref="F17">IF($C$5="","",IFERROR(_xlfn.XLOOKUP($C$5&amp;"|"&amp;$B17,BBDD!$B$3:$B$2000&amp;"|"&amp;BBDD!$C$3:$C$2000,BBDD!$U$3:$U$2000),$AA17))</f>
        <v/>
      </c>
      <c r="G17" s="357" t="str">
        <f t="shared" si="0"/>
        <v/>
      </c>
      <c r="H17" s="358"/>
      <c r="I17" s="191"/>
      <c r="J17" s="305"/>
      <c r="N17" s="179" t="str" cm="1">
        <f t="array" ref="N17">IF($C$5="","",_xlfn.XLOOKUP($C$5&amp;"|"&amp;$B17,BBDD!$B$3:$B$2000&amp;"|"&amp;BBDD!$C$3:$C$2000,BBDD!$Q$3:$Q$2000,""))</f>
        <v/>
      </c>
    </row>
    <row r="18" spans="1:14" ht="17" x14ac:dyDescent="0.25">
      <c r="A18" s="191"/>
      <c r="B18" s="353"/>
      <c r="C18" s="354"/>
      <c r="D18" s="375" t="str" cm="1">
        <f t="array" ref="D18">IF($C$5="","",_xlfn.XLOOKUP($C$5&amp;"|"&amp;$B18, BBDD!$B$3:$B$1988&amp;"|"&amp;BBDD!$C$3:$C$1988, BBDD!$R$3:$R$1988, ""))</f>
        <v/>
      </c>
      <c r="E18" s="355" t="str" cm="1">
        <f t="array" ref="E18">IF($C$5="","",IFERROR(_xlfn.XLOOKUP($C$5&amp;"|"&amp;$B18,BBDD!$B$3:$B$2000&amp;"|"&amp;BBDD!$C$3:$C$2000,BBDD!$T$3:$T$2000),$Z18))</f>
        <v/>
      </c>
      <c r="F18" s="356" t="str" cm="1">
        <f t="array" ref="F18">IF($C$5="","",IFERROR(_xlfn.XLOOKUP($C$5&amp;"|"&amp;$B18,BBDD!$B$3:$B$2000&amp;"|"&amp;BBDD!$C$3:$C$2000,BBDD!$U$3:$U$2000),$AA18))</f>
        <v/>
      </c>
      <c r="G18" s="357" t="str">
        <f t="shared" si="0"/>
        <v/>
      </c>
      <c r="H18" s="358"/>
      <c r="I18" s="191"/>
      <c r="J18" s="305"/>
      <c r="N18" s="179" t="str" cm="1">
        <f t="array" ref="N18">IF($C$5="","",_xlfn.XLOOKUP($C$5&amp;"|"&amp;$B18,BBDD!$B$3:$B$2000&amp;"|"&amp;BBDD!$C$3:$C$2000,BBDD!$Q$3:$Q$2000,""))</f>
        <v/>
      </c>
    </row>
    <row r="19" spans="1:14" ht="18" thickBot="1" x14ac:dyDescent="0.3">
      <c r="A19" s="191"/>
      <c r="B19" s="359"/>
      <c r="C19" s="360"/>
      <c r="D19" s="376" t="str" cm="1">
        <f t="array" ref="D19">IF($C$5="","",_xlfn.XLOOKUP($C$5&amp;"|"&amp;$B19, BBDD!$B$3:$B$1988&amp;"|"&amp;BBDD!$C$3:$C$1988, BBDD!$R$3:$R$1988, ""))</f>
        <v/>
      </c>
      <c r="E19" s="361" t="str" cm="1">
        <f t="array" ref="E19">IF($C$5="","",IFERROR(_xlfn.XLOOKUP($C$5&amp;"|"&amp;$B19,BBDD!$B$3:$B$2000&amp;"|"&amp;BBDD!$C$3:$C$2000,BBDD!$T$3:$T$2000),$Z19))</f>
        <v/>
      </c>
      <c r="F19" s="362" t="str" cm="1">
        <f t="array" ref="F19">IF($C$5="","",IFERROR(_xlfn.XLOOKUP($C$5&amp;"|"&amp;$B19,BBDD!$B$3:$B$2000&amp;"|"&amp;BBDD!$C$3:$C$2000,BBDD!$U$3:$U$2000),$AA19))</f>
        <v/>
      </c>
      <c r="G19" s="363" t="str">
        <f t="shared" si="0"/>
        <v/>
      </c>
      <c r="H19" s="364"/>
      <c r="I19" s="191"/>
      <c r="J19" s="305"/>
      <c r="N19" s="179" t="str" cm="1">
        <f t="array" ref="N19">IF($C$5="","",_xlfn.XLOOKUP($C$5&amp;"|"&amp;$B19,BBDD!$B$3:$B$2000&amp;"|"&amp;BBDD!$C$3:$C$2000,BBDD!$Q$3:$Q$2000,""))</f>
        <v/>
      </c>
    </row>
    <row r="20" spans="1:14" ht="18" thickBot="1" x14ac:dyDescent="0.3">
      <c r="A20" s="191"/>
      <c r="B20" s="365"/>
      <c r="C20" s="366"/>
      <c r="D20" s="377">
        <f>+SUM(D10:D19)</f>
        <v>0</v>
      </c>
      <c r="E20" s="368"/>
      <c r="F20" s="369" t="s">
        <v>49</v>
      </c>
      <c r="G20" s="367">
        <f>+SUM(G10:G19)</f>
        <v>0</v>
      </c>
      <c r="H20" s="370"/>
      <c r="I20" s="191"/>
      <c r="J20" s="305"/>
      <c r="N20" s="179" t="str" cm="1">
        <f t="array" ref="N20">IF($C$5="","",_xlfn.XLOOKUP($C$5&amp;"|"&amp;$B20,BBDD!$B$3:$B$2000&amp;"|"&amp;BBDD!$C$3:$C$2000,BBDD!$Q$3:$Q$2000,N10))</f>
        <v/>
      </c>
    </row>
    <row r="21" spans="1:14" ht="134" customHeight="1" x14ac:dyDescent="0.25">
      <c r="A21" s="191"/>
      <c r="B21" s="191"/>
      <c r="C21" s="191"/>
      <c r="D21" s="191"/>
      <c r="E21" s="191"/>
      <c r="F21" s="191"/>
      <c r="G21" s="191"/>
      <c r="H21" s="191"/>
      <c r="I21" s="191"/>
      <c r="J21" s="305"/>
    </row>
    <row r="22" spans="1:14" ht="5" customHeight="1" x14ac:dyDescent="0.25">
      <c r="A22" s="305"/>
      <c r="B22" s="305"/>
      <c r="C22" s="305"/>
      <c r="D22" s="305"/>
      <c r="E22" s="305"/>
      <c r="F22" s="305"/>
      <c r="G22" s="305"/>
      <c r="H22" s="305"/>
      <c r="I22" s="305"/>
      <c r="J22" s="305"/>
    </row>
    <row r="24" spans="1:14" ht="28" x14ac:dyDescent="0.4">
      <c r="B24" s="307"/>
      <c r="C24" s="307"/>
      <c r="E24" s="307"/>
      <c r="F24" s="307"/>
    </row>
    <row r="25" spans="1:14" ht="23" x14ac:dyDescent="0.35">
      <c r="B25" s="308"/>
      <c r="C25" s="309"/>
      <c r="E25" s="310"/>
      <c r="F25" s="311"/>
    </row>
    <row r="26" spans="1:14" x14ac:dyDescent="0.25">
      <c r="B26" s="308"/>
      <c r="C26" s="309"/>
      <c r="E26" s="308"/>
      <c r="F26" s="309"/>
    </row>
    <row r="27" spans="1:14" x14ac:dyDescent="0.25">
      <c r="B27" s="308"/>
      <c r="C27" s="309"/>
      <c r="E27" s="308"/>
      <c r="F27" s="309"/>
    </row>
    <row r="28" spans="1:14" x14ac:dyDescent="0.25">
      <c r="B28" s="308"/>
      <c r="C28" s="309"/>
      <c r="E28" s="308"/>
      <c r="F28" s="309"/>
    </row>
    <row r="29" spans="1:14" x14ac:dyDescent="0.25">
      <c r="B29" s="308"/>
      <c r="C29" s="309"/>
      <c r="E29" s="308"/>
      <c r="F29" s="309"/>
    </row>
    <row r="30" spans="1:14" x14ac:dyDescent="0.25">
      <c r="B30" s="308"/>
      <c r="C30" s="309"/>
      <c r="E30" s="308"/>
      <c r="F30" s="312"/>
    </row>
    <row r="31" spans="1:14" x14ac:dyDescent="0.25">
      <c r="B31" s="308"/>
      <c r="C31" s="312"/>
    </row>
  </sheetData>
  <mergeCells count="3">
    <mergeCell ref="D1:H1"/>
    <mergeCell ref="B4:C4"/>
    <mergeCell ref="E4:G4"/>
  </mergeCells>
  <conditionalFormatting sqref="D10:D20 G10:G20 F6:F7">
    <cfRule type="expression" dxfId="1" priority="1">
      <formula>$N6="USD"</formula>
    </cfRule>
    <cfRule type="expression" dxfId="0" priority="2">
      <formula>$N6="CLP"</formula>
    </cfRule>
  </conditionalFormatting>
  <dataValidations count="2">
    <dataValidation type="list" allowBlank="1" showInputMessage="1" showErrorMessage="1" sqref="C5" xr:uid="{258D1D20-50BA-5F4F-820F-BAD3D3CFC7CB}">
      <formula1>ListaGrupos</formula1>
    </dataValidation>
    <dataValidation type="list" allowBlank="1" showInputMessage="1" showErrorMessage="1" sqref="AA10:AA19" xr:uid="{41A34C98-B623-0C45-AE08-88C623F7A5CC}">
      <formula1>"Jorge,René,Ignacia"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92A984-B16A-304F-9803-1CA92DC1AC3C}">
          <x14:formula1>
            <xm:f>Mantenedor!$I$2:$I$101</xm:f>
          </x14:formula1>
          <xm:sqref>Z10:Z19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44466-5D82-944A-B77C-B183DE27830E}">
  <sheetPr codeName="Hoja2">
    <tabColor rgb="FFFFFF00"/>
  </sheetPr>
  <dimension ref="A1:AR433"/>
  <sheetViews>
    <sheetView tabSelected="1" topLeftCell="F1" zoomScale="110" zoomScaleNormal="180" workbookViewId="0">
      <selection activeCell="S4" sqref="S4"/>
    </sheetView>
  </sheetViews>
  <sheetFormatPr baseColWidth="10" defaultRowHeight="15" x14ac:dyDescent="0.2"/>
  <cols>
    <col min="1" max="1" width="12.5" bestFit="1" customWidth="1"/>
    <col min="2" max="2" width="22.1640625" bestFit="1" customWidth="1"/>
    <col min="3" max="3" width="9" bestFit="1" customWidth="1"/>
    <col min="4" max="4" width="13.5" customWidth="1"/>
    <col min="5" max="5" width="15.6640625" bestFit="1" customWidth="1"/>
    <col min="6" max="6" width="18.6640625" bestFit="1" customWidth="1"/>
    <col min="7" max="7" width="16.6640625" bestFit="1" customWidth="1"/>
    <col min="8" max="8" width="10.5" bestFit="1" customWidth="1"/>
    <col min="9" max="9" width="9.6640625" bestFit="1" customWidth="1"/>
    <col min="10" max="10" width="14.6640625" style="3" bestFit="1" customWidth="1"/>
    <col min="11" max="11" width="8.1640625" bestFit="1" customWidth="1"/>
    <col min="12" max="12" width="9.5" style="3" bestFit="1" customWidth="1"/>
    <col min="13" max="13" width="11.83203125" style="266" bestFit="1" customWidth="1"/>
    <col min="14" max="14" width="8" customWidth="1"/>
    <col min="15" max="15" width="22.1640625" bestFit="1" customWidth="1"/>
    <col min="16" max="16" width="22.1640625" customWidth="1"/>
    <col min="17" max="17" width="7.33203125" style="266" customWidth="1"/>
    <col min="18" max="18" width="11.5" customWidth="1"/>
    <col min="19" max="19" width="20.83203125" style="281" bestFit="1" customWidth="1"/>
    <col min="20" max="20" width="10" style="278" bestFit="1" customWidth="1"/>
    <col min="21" max="21" width="12" style="278" bestFit="1" customWidth="1"/>
    <col min="22" max="23" width="13.83203125" customWidth="1"/>
    <col min="24" max="24" width="14.83203125" bestFit="1" customWidth="1"/>
    <col min="25" max="29" width="13.83203125" bestFit="1" customWidth="1"/>
    <col min="30" max="30" width="13.6640625" bestFit="1" customWidth="1"/>
    <col min="31" max="31" width="19.5" bestFit="1" customWidth="1"/>
    <col min="32" max="32" width="17.83203125" bestFit="1" customWidth="1"/>
    <col min="33" max="33" width="19.1640625" bestFit="1" customWidth="1"/>
    <col min="34" max="36" width="12.1640625" bestFit="1" customWidth="1"/>
    <col min="37" max="37" width="11.33203125" bestFit="1" customWidth="1"/>
    <col min="38" max="38" width="11.83203125" bestFit="1" customWidth="1"/>
    <col min="39" max="39" width="17.5" bestFit="1" customWidth="1"/>
    <col min="40" max="40" width="15.83203125" style="149" bestFit="1" customWidth="1"/>
    <col min="41" max="41" width="17.5" bestFit="1" customWidth="1"/>
    <col min="42" max="42" width="15.83203125" bestFit="1" customWidth="1"/>
  </cols>
  <sheetData>
    <row r="1" spans="1:44" s="176" customFormat="1" ht="25" customHeight="1" thickBot="1" x14ac:dyDescent="0.25">
      <c r="A1" s="284" t="s">
        <v>134</v>
      </c>
      <c r="B1" s="292" t="s">
        <v>147</v>
      </c>
      <c r="C1" s="293"/>
      <c r="D1" s="293"/>
      <c r="E1" s="293"/>
      <c r="F1" s="293"/>
      <c r="G1" s="293"/>
      <c r="H1" s="293"/>
      <c r="I1" s="293"/>
      <c r="J1" s="294" t="s">
        <v>148</v>
      </c>
      <c r="K1" s="295"/>
      <c r="L1" s="295"/>
      <c r="M1" s="295"/>
      <c r="N1" s="285" t="s">
        <v>196</v>
      </c>
      <c r="O1" s="286"/>
      <c r="P1" s="286"/>
      <c r="Q1" s="286"/>
      <c r="R1" s="286"/>
      <c r="S1" s="286"/>
      <c r="T1" s="286"/>
      <c r="U1" s="286"/>
      <c r="V1" s="279"/>
      <c r="W1" s="269"/>
      <c r="X1" s="287" t="s">
        <v>213</v>
      </c>
      <c r="Y1" s="287"/>
      <c r="Z1" s="287"/>
      <c r="AA1" s="287"/>
      <c r="AB1" s="287"/>
      <c r="AC1" s="287"/>
      <c r="AD1" s="287"/>
      <c r="AE1" s="287"/>
      <c r="AF1" s="287"/>
      <c r="AG1" s="287"/>
      <c r="AH1" s="288" t="s">
        <v>214</v>
      </c>
      <c r="AI1" s="289"/>
      <c r="AJ1" s="289"/>
      <c r="AK1" s="289"/>
      <c r="AL1" s="289"/>
      <c r="AM1" s="289"/>
      <c r="AN1" s="289"/>
      <c r="AO1" s="289"/>
      <c r="AP1" s="290" t="s">
        <v>218</v>
      </c>
    </row>
    <row r="2" spans="1:44" s="266" customFormat="1" ht="39" customHeight="1" thickBot="1" x14ac:dyDescent="0.25">
      <c r="A2" s="284" t="s">
        <v>134</v>
      </c>
      <c r="B2" s="273" t="s">
        <v>112</v>
      </c>
      <c r="C2" s="274" t="s">
        <v>139</v>
      </c>
      <c r="D2" s="275" t="s">
        <v>219</v>
      </c>
      <c r="E2" s="274" t="s">
        <v>200</v>
      </c>
      <c r="F2" s="274" t="s">
        <v>136</v>
      </c>
      <c r="G2" s="274" t="s">
        <v>220</v>
      </c>
      <c r="H2" s="274" t="s">
        <v>184</v>
      </c>
      <c r="I2" s="274" t="s">
        <v>137</v>
      </c>
      <c r="J2" s="276" t="s">
        <v>201</v>
      </c>
      <c r="K2" s="277" t="s">
        <v>182</v>
      </c>
      <c r="L2" s="277" t="s">
        <v>189</v>
      </c>
      <c r="M2" s="277" t="s">
        <v>183</v>
      </c>
      <c r="N2" s="270" t="s">
        <v>138</v>
      </c>
      <c r="O2" s="271" t="s">
        <v>187</v>
      </c>
      <c r="P2" s="271" t="s">
        <v>146</v>
      </c>
      <c r="Q2" s="271" t="s">
        <v>311</v>
      </c>
      <c r="R2" s="272" t="s">
        <v>202</v>
      </c>
      <c r="S2" s="272" t="s">
        <v>313</v>
      </c>
      <c r="T2" s="271" t="s">
        <v>193</v>
      </c>
      <c r="U2" s="271" t="s">
        <v>317</v>
      </c>
      <c r="V2" s="271" t="s">
        <v>312</v>
      </c>
      <c r="W2" s="282" t="s">
        <v>314</v>
      </c>
      <c r="X2" s="263" t="s">
        <v>203</v>
      </c>
      <c r="Y2" s="263" t="s">
        <v>204</v>
      </c>
      <c r="Z2" s="263" t="s">
        <v>205</v>
      </c>
      <c r="AA2" s="263" t="s">
        <v>206</v>
      </c>
      <c r="AB2" s="263" t="s">
        <v>207</v>
      </c>
      <c r="AC2" s="263" t="s">
        <v>208</v>
      </c>
      <c r="AD2" s="263" t="s">
        <v>194</v>
      </c>
      <c r="AE2" s="263" t="s">
        <v>199</v>
      </c>
      <c r="AF2" s="263" t="s">
        <v>197</v>
      </c>
      <c r="AG2" s="263" t="s">
        <v>198</v>
      </c>
      <c r="AH2" s="264" t="s">
        <v>209</v>
      </c>
      <c r="AI2" s="265" t="s">
        <v>210</v>
      </c>
      <c r="AJ2" s="265" t="s">
        <v>211</v>
      </c>
      <c r="AK2" s="265" t="s">
        <v>212</v>
      </c>
      <c r="AL2" s="265" t="s">
        <v>195</v>
      </c>
      <c r="AM2" s="265" t="s">
        <v>215</v>
      </c>
      <c r="AN2" s="265" t="s">
        <v>216</v>
      </c>
      <c r="AO2" s="265" t="s">
        <v>217</v>
      </c>
      <c r="AP2" s="291"/>
      <c r="AQ2" s="266" t="s">
        <v>333</v>
      </c>
      <c r="AR2" s="266" t="s">
        <v>334</v>
      </c>
    </row>
    <row r="3" spans="1:44" x14ac:dyDescent="0.2">
      <c r="A3" s="121" t="str">
        <f>IF(B3="","",CONCATENATE("GBL",B3," - ",Mantenedor!E13))</f>
        <v>GBLGrupo 3 - 12</v>
      </c>
      <c r="B3" t="s">
        <v>330</v>
      </c>
      <c r="C3" t="s">
        <v>315</v>
      </c>
      <c r="D3" t="s">
        <v>238</v>
      </c>
      <c r="E3" t="s">
        <v>328</v>
      </c>
      <c r="F3" t="s">
        <v>329</v>
      </c>
      <c r="G3">
        <v>234</v>
      </c>
      <c r="H3" t="s">
        <v>247</v>
      </c>
      <c r="I3" t="s">
        <v>240</v>
      </c>
      <c r="J3" s="267">
        <v>46003</v>
      </c>
      <c r="K3" s="178">
        <v>46023</v>
      </c>
      <c r="L3" s="3">
        <v>7</v>
      </c>
      <c r="M3" s="268">
        <v>46030</v>
      </c>
      <c r="N3" t="s">
        <v>242</v>
      </c>
      <c r="O3" t="s">
        <v>246</v>
      </c>
      <c r="P3" s="121" t="str">
        <f t="shared" ref="P3:P55" si="0">IF(N3="","",(IF(L3=1,(CONCATENATE("Base ",N3," ",L3," noche")),(CONCATENATE("Base ",N3," ",L3," noches")))))</f>
        <v>Base SINGLE 7 noches</v>
      </c>
      <c r="Q3" s="315" t="str" cm="1">
        <f t="array" ref="Q3">+_xlfn.IFS(O3="Nacional","CLP",O3="Extranjero","USD",O3="","")</f>
        <v>USD</v>
      </c>
      <c r="R3" s="316">
        <f>IFERROR(IF(O3="Nacional",VLOOKUP(P3,PRICING!$D$4:$E$59,2,FALSE),VLOOKUP(P3,PRICING!$J$4:$K$59,2,FALSE)),"")</f>
        <v>9450</v>
      </c>
      <c r="S3" s="300" t="str">
        <f>IF(AND($Q3&lt;&gt;"",$R3&lt;&gt;""), $Q3 &amp; " " &amp; TEXT($R3,"#.##0"), "")</f>
        <v>USD 9.450</v>
      </c>
      <c r="T3" s="278">
        <v>0.14000000000000001</v>
      </c>
      <c r="U3" s="278" t="s">
        <v>319</v>
      </c>
      <c r="V3" s="316"/>
      <c r="W3" s="317">
        <f>+R3*(1-T3)</f>
        <v>8127</v>
      </c>
      <c r="X3" s="318">
        <f t="shared" ref="X3:X63" si="1">IF($J3="","",$J3-105)</f>
        <v>45898</v>
      </c>
      <c r="Y3" s="318">
        <f t="shared" ref="Y3:Y63" si="2">IF($J3="","",$J3-90)</f>
        <v>45913</v>
      </c>
      <c r="Z3" s="318">
        <f t="shared" ref="Z3:Z63" si="3">IF($J3="","",$J3-75)</f>
        <v>45928</v>
      </c>
      <c r="AA3" s="318">
        <f t="shared" ref="AA3:AA63" si="4">IF($J3="","",$J3-60)</f>
        <v>45943</v>
      </c>
      <c r="AB3" s="318">
        <f t="shared" ref="AB3:AB63" si="5">IF($J3="","",$J3-45)</f>
        <v>45958</v>
      </c>
      <c r="AC3" s="318">
        <f t="shared" ref="AC3:AC63" si="6">IF($J3="","",$J3-30)</f>
        <v>45973</v>
      </c>
      <c r="AD3" s="319" t="s">
        <v>316</v>
      </c>
      <c r="AE3" s="178">
        <v>45940</v>
      </c>
      <c r="AF3" s="320">
        <f t="shared" ref="AF3:AF56" si="7">+IF(AE3="","",W3*0.5)</f>
        <v>4063.5</v>
      </c>
      <c r="AG3" t="s">
        <v>326</v>
      </c>
      <c r="AH3" s="318">
        <f t="shared" ref="AH3:AH55" si="8">+IF($M3="","",$M3-45)</f>
        <v>45985</v>
      </c>
      <c r="AI3" s="318">
        <f t="shared" ref="AI3:AI55" si="9">+IF($M3="","",$M3-30)</f>
        <v>46000</v>
      </c>
      <c r="AJ3" s="318">
        <f t="shared" ref="AJ3:AJ55" si="10">+IF($M3="","",$M3-15)</f>
        <v>46015</v>
      </c>
      <c r="AK3" s="318">
        <f t="shared" ref="AK3:AK55" si="11">+IF($M3="","",$M3-7)</f>
        <v>46023</v>
      </c>
      <c r="AL3" t="s">
        <v>327</v>
      </c>
      <c r="AM3" s="178">
        <v>45973</v>
      </c>
      <c r="AN3" s="320">
        <f t="shared" ref="AN3:AN55" si="12">+IF(AM3="","",W3*0.5)</f>
        <v>4063.5</v>
      </c>
      <c r="AO3" t="s">
        <v>326</v>
      </c>
      <c r="AQ3" s="318" t="e">
        <f ca="1">IF(#REF!="","",+TODAY())</f>
        <v>#REF!</v>
      </c>
      <c r="AR3" s="318" t="e">
        <f ca="1">IF(#REF!="","",+TODAY())</f>
        <v>#REF!</v>
      </c>
    </row>
    <row r="4" spans="1:44" x14ac:dyDescent="0.2">
      <c r="A4" t="str">
        <f>IF(B4="","",CONCATENATE("GBL",B4," - ",Mantenedor!E15))</f>
        <v>GBLGrupo 4 - 14</v>
      </c>
      <c r="B4" t="s">
        <v>358</v>
      </c>
      <c r="C4" t="s">
        <v>190</v>
      </c>
      <c r="D4" t="s">
        <v>238</v>
      </c>
      <c r="E4" t="s">
        <v>40</v>
      </c>
      <c r="F4" t="s">
        <v>41</v>
      </c>
      <c r="G4">
        <v>987654321</v>
      </c>
      <c r="H4" t="s">
        <v>247</v>
      </c>
      <c r="I4" t="s">
        <v>240</v>
      </c>
      <c r="J4" s="267">
        <v>45853</v>
      </c>
      <c r="K4" s="178">
        <v>46006</v>
      </c>
      <c r="L4" s="3">
        <v>6</v>
      </c>
      <c r="M4" s="268">
        <v>46012</v>
      </c>
      <c r="N4" t="s">
        <v>242</v>
      </c>
      <c r="O4" t="s">
        <v>245</v>
      </c>
      <c r="P4" t="str">
        <f t="shared" si="0"/>
        <v>Base SINGLE 6 noches</v>
      </c>
      <c r="Q4" s="266" t="str" cm="1">
        <f t="array" ref="Q4">+_xlfn.IFS(O4="Nacional","CLP",O4="Extranjero","USD",O4="","")</f>
        <v>CLP</v>
      </c>
      <c r="R4" s="262">
        <f>IFERROR(IF(O4="Nacional",VLOOKUP(P4,PRICING!$D$4:$E$59,2,FALSE),VLOOKUP(P4,PRICING!$J$4:$K$59,2,FALSE)),"")</f>
        <v>3570000</v>
      </c>
      <c r="S4" s="300" t="str">
        <f>IF(AND($Q4&lt;&gt;"",$R4&lt;&gt;""), $Q4 &amp; " " &amp; TEXT($R4,"#.##0"), "")</f>
        <v>CLP 3.570.000</v>
      </c>
      <c r="V4" s="316" t="e">
        <f t="shared" ref="V4" si="13">+S4*(1-T4)</f>
        <v>#VALUE!</v>
      </c>
      <c r="W4" s="280" t="str">
        <f t="shared" ref="W4:W35" si="14">IFERROR(+V4*(1-T4),"")</f>
        <v/>
      </c>
      <c r="X4" s="178">
        <f t="shared" si="1"/>
        <v>45748</v>
      </c>
      <c r="Y4" s="178">
        <f t="shared" si="2"/>
        <v>45763</v>
      </c>
      <c r="Z4" s="178">
        <f t="shared" si="3"/>
        <v>45778</v>
      </c>
      <c r="AA4" s="178">
        <f t="shared" si="4"/>
        <v>45793</v>
      </c>
      <c r="AB4" s="178">
        <f t="shared" si="5"/>
        <v>45808</v>
      </c>
      <c r="AC4" s="178">
        <f t="shared" si="6"/>
        <v>45823</v>
      </c>
      <c r="AD4" s="267" t="s">
        <v>316</v>
      </c>
      <c r="AF4" s="149" t="str">
        <f t="shared" si="7"/>
        <v/>
      </c>
      <c r="AH4" s="178">
        <f t="shared" si="8"/>
        <v>45967</v>
      </c>
      <c r="AI4" s="178">
        <f t="shared" si="9"/>
        <v>45982</v>
      </c>
      <c r="AJ4" s="178"/>
      <c r="AK4" s="178">
        <f t="shared" si="11"/>
        <v>46005</v>
      </c>
      <c r="AL4" t="s">
        <v>327</v>
      </c>
      <c r="AN4" s="149" t="str">
        <f t="shared" si="12"/>
        <v/>
      </c>
      <c r="AQ4" s="178" t="e">
        <f ca="1">IF(#REF!="","",+TODAY())</f>
        <v>#REF!</v>
      </c>
      <c r="AR4" s="178" t="e">
        <f ca="1">IF(#REF!="","",+TODAY())</f>
        <v>#REF!</v>
      </c>
    </row>
    <row r="5" spans="1:44" x14ac:dyDescent="0.2">
      <c r="A5" t="str">
        <f>IF(B5="","",CONCATENATE("GBL",B5," - ",Mantenedor!E16))</f>
        <v>GBLGrupo 4 - 15</v>
      </c>
      <c r="B5" t="s">
        <v>358</v>
      </c>
      <c r="C5" t="s">
        <v>345</v>
      </c>
      <c r="D5" t="s">
        <v>238</v>
      </c>
      <c r="E5" t="s">
        <v>119</v>
      </c>
      <c r="F5" t="s">
        <v>346</v>
      </c>
      <c r="G5">
        <v>1234</v>
      </c>
      <c r="H5" t="s">
        <v>247</v>
      </c>
      <c r="I5" t="s">
        <v>240</v>
      </c>
      <c r="J5" s="267">
        <v>45853</v>
      </c>
      <c r="K5" s="178">
        <v>46006</v>
      </c>
      <c r="L5" s="3">
        <v>6</v>
      </c>
      <c r="M5" s="268">
        <v>46012</v>
      </c>
      <c r="N5" t="s">
        <v>243</v>
      </c>
      <c r="O5" t="s">
        <v>245</v>
      </c>
      <c r="P5" t="str">
        <f t="shared" si="0"/>
        <v>Base DOBLE 6 noches</v>
      </c>
      <c r="Q5" s="266" t="str" cm="1">
        <f t="array" ref="Q5">+_xlfn.IFS(O5="Nacional","CLP",O5="Extranjero","USD",O5="","")</f>
        <v>CLP</v>
      </c>
      <c r="R5" s="262">
        <f>IFERROR(IF(O5="Nacional",VLOOKUP(P5,PRICING!$D$4:$E$59,2,FALSE),VLOOKUP(P5,PRICING!$J$4:$K$59,2,FALSE)),"")</f>
        <v>2550000</v>
      </c>
      <c r="S5" s="300" t="str">
        <f>IF(AND($Q5&lt;&gt;"",$R5&lt;&gt;""), $Q5 &amp; " " &amp; TEXT($R5,"#.##0"), "")</f>
        <v>CLP 2.550.000</v>
      </c>
      <c r="V5" s="262"/>
      <c r="W5" s="280">
        <f t="shared" si="14"/>
        <v>0</v>
      </c>
      <c r="X5" s="178">
        <f t="shared" si="1"/>
        <v>45748</v>
      </c>
      <c r="Y5" s="178">
        <f t="shared" si="2"/>
        <v>45763</v>
      </c>
      <c r="Z5" s="178">
        <f t="shared" si="3"/>
        <v>45778</v>
      </c>
      <c r="AA5" s="178">
        <f t="shared" si="4"/>
        <v>45793</v>
      </c>
      <c r="AB5" s="178">
        <f t="shared" si="5"/>
        <v>45808</v>
      </c>
      <c r="AC5" s="178">
        <f t="shared" si="6"/>
        <v>45823</v>
      </c>
      <c r="AD5" s="267" t="s">
        <v>316</v>
      </c>
      <c r="AF5" s="149" t="str">
        <f t="shared" si="7"/>
        <v/>
      </c>
      <c r="AH5" s="178">
        <f t="shared" si="8"/>
        <v>45967</v>
      </c>
      <c r="AI5" s="178">
        <f t="shared" si="9"/>
        <v>45982</v>
      </c>
      <c r="AJ5" s="178"/>
      <c r="AK5" s="178">
        <f t="shared" si="11"/>
        <v>46005</v>
      </c>
      <c r="AL5" t="s">
        <v>327</v>
      </c>
      <c r="AN5" s="149" t="str">
        <f t="shared" si="12"/>
        <v/>
      </c>
      <c r="AQ5" s="178">
        <f t="shared" ref="AQ5:AQ55" ca="1" si="15">IF(A4="","",+TODAY())</f>
        <v>45940</v>
      </c>
      <c r="AR5" s="178">
        <f t="shared" ref="AR5:AR55" ca="1" si="16">IF(A4="","",+TODAY())</f>
        <v>45940</v>
      </c>
    </row>
    <row r="6" spans="1:44" x14ac:dyDescent="0.2">
      <c r="A6" t="str">
        <f>IF(B6="","",CONCATENATE("GBL",B6," - ",Mantenedor!E17))</f>
        <v>GBLGrupo 4 - 16</v>
      </c>
      <c r="B6" t="s">
        <v>358</v>
      </c>
      <c r="C6" t="s">
        <v>347</v>
      </c>
      <c r="D6" t="s">
        <v>238</v>
      </c>
      <c r="E6" t="s">
        <v>43</v>
      </c>
      <c r="F6" t="s">
        <v>348</v>
      </c>
      <c r="G6">
        <v>1234</v>
      </c>
      <c r="H6" t="s">
        <v>248</v>
      </c>
      <c r="I6" t="s">
        <v>240</v>
      </c>
      <c r="J6" s="267">
        <v>45853</v>
      </c>
      <c r="K6" s="178">
        <v>46006</v>
      </c>
      <c r="L6" s="3">
        <v>6</v>
      </c>
      <c r="M6" s="268">
        <v>46012</v>
      </c>
      <c r="N6" t="s">
        <v>242</v>
      </c>
      <c r="O6" t="s">
        <v>245</v>
      </c>
      <c r="P6" t="str">
        <f t="shared" si="0"/>
        <v>Base SINGLE 6 noches</v>
      </c>
      <c r="Q6" s="266" t="str" cm="1">
        <f t="array" ref="Q6">+_xlfn.IFS(O6="Nacional","CLP",O6="Extranjero","USD",O6="","")</f>
        <v>CLP</v>
      </c>
      <c r="R6" s="262">
        <f>IFERROR(IF(O6="Nacional",VLOOKUP(P6,PRICING!$D$4:$E$59,2,FALSE),VLOOKUP(P6,PRICING!$J$4:$K$59,2,FALSE)),"")</f>
        <v>3570000</v>
      </c>
      <c r="S6" s="300" t="str">
        <f>IF(AND($Q6&lt;&gt;"",$R6&lt;&gt;""), $Q6 &amp; " " &amp; TEXT($R6,"#.##0"), "")</f>
        <v>CLP 3.570.000</v>
      </c>
      <c r="V6" s="262"/>
      <c r="W6" s="280">
        <f t="shared" si="14"/>
        <v>0</v>
      </c>
      <c r="X6" s="178">
        <f t="shared" si="1"/>
        <v>45748</v>
      </c>
      <c r="Y6" s="178">
        <f t="shared" si="2"/>
        <v>45763</v>
      </c>
      <c r="Z6" s="178">
        <f t="shared" si="3"/>
        <v>45778</v>
      </c>
      <c r="AA6" s="178">
        <f t="shared" si="4"/>
        <v>45793</v>
      </c>
      <c r="AB6" s="178">
        <f t="shared" si="5"/>
        <v>45808</v>
      </c>
      <c r="AC6" s="178">
        <f t="shared" si="6"/>
        <v>45823</v>
      </c>
      <c r="AD6" s="267" t="s">
        <v>316</v>
      </c>
      <c r="AF6" s="149" t="str">
        <f t="shared" si="7"/>
        <v/>
      </c>
      <c r="AH6" s="178">
        <f t="shared" si="8"/>
        <v>45967</v>
      </c>
      <c r="AI6" s="178">
        <f t="shared" si="9"/>
        <v>45982</v>
      </c>
      <c r="AJ6" s="178"/>
      <c r="AK6" s="178">
        <f t="shared" si="11"/>
        <v>46005</v>
      </c>
      <c r="AL6" t="s">
        <v>327</v>
      </c>
      <c r="AN6" s="149" t="str">
        <f t="shared" si="12"/>
        <v/>
      </c>
      <c r="AQ6" s="178">
        <f t="shared" ca="1" si="15"/>
        <v>45940</v>
      </c>
      <c r="AR6" s="178">
        <f t="shared" ca="1" si="16"/>
        <v>45940</v>
      </c>
    </row>
    <row r="7" spans="1:44" x14ac:dyDescent="0.2">
      <c r="A7" t="str">
        <f>IF(B7="","",CONCATENATE("GBL",B7," - ",Mantenedor!E18))</f>
        <v>GBLGrupo 4 - 17</v>
      </c>
      <c r="B7" t="s">
        <v>358</v>
      </c>
      <c r="C7" t="s">
        <v>315</v>
      </c>
      <c r="D7" t="s">
        <v>238</v>
      </c>
      <c r="E7" t="s">
        <v>44</v>
      </c>
      <c r="F7" t="s">
        <v>349</v>
      </c>
      <c r="G7">
        <v>123455</v>
      </c>
      <c r="H7" t="s">
        <v>247</v>
      </c>
      <c r="I7" t="s">
        <v>240</v>
      </c>
      <c r="J7" s="267">
        <v>45853</v>
      </c>
      <c r="K7" s="178">
        <v>46006</v>
      </c>
      <c r="L7" s="3">
        <v>6</v>
      </c>
      <c r="M7" s="268">
        <v>46012</v>
      </c>
      <c r="N7" t="s">
        <v>243</v>
      </c>
      <c r="O7" t="s">
        <v>245</v>
      </c>
      <c r="P7" t="str">
        <f t="shared" si="0"/>
        <v>Base DOBLE 6 noches</v>
      </c>
      <c r="Q7" s="266" t="str" cm="1">
        <f t="array" ref="Q7">+_xlfn.IFS(O7="Nacional","CLP",O7="Extranjero","USD",O7="","")</f>
        <v>CLP</v>
      </c>
      <c r="R7" s="262">
        <f>IFERROR(IF(O7="Nacional",VLOOKUP(P7,PRICING!$D$4:$E$59,2,FALSE),VLOOKUP(P7,PRICING!$J$4:$K$59,2,FALSE)),"")</f>
        <v>2550000</v>
      </c>
      <c r="S7" s="300" t="str">
        <f t="shared" ref="S7:S24" si="17">IF(AND($Q7&lt;&gt;"",$R7&lt;&gt;""), $Q7 &amp; " " &amp; TEXT($R7,"#.##0"), "")</f>
        <v>CLP 2.550.000</v>
      </c>
      <c r="V7" s="262"/>
      <c r="W7" s="280">
        <f t="shared" si="14"/>
        <v>0</v>
      </c>
      <c r="X7" s="178">
        <f t="shared" si="1"/>
        <v>45748</v>
      </c>
      <c r="Y7" s="178">
        <f t="shared" si="2"/>
        <v>45763</v>
      </c>
      <c r="Z7" s="178">
        <f t="shared" si="3"/>
        <v>45778</v>
      </c>
      <c r="AA7" s="178">
        <f t="shared" si="4"/>
        <v>45793</v>
      </c>
      <c r="AB7" s="178">
        <f t="shared" si="5"/>
        <v>45808</v>
      </c>
      <c r="AC7" s="178">
        <f t="shared" si="6"/>
        <v>45823</v>
      </c>
      <c r="AD7" s="267" t="s">
        <v>316</v>
      </c>
      <c r="AF7" s="149" t="str">
        <f t="shared" si="7"/>
        <v/>
      </c>
      <c r="AH7" s="178">
        <f t="shared" si="8"/>
        <v>45967</v>
      </c>
      <c r="AI7" s="178">
        <f t="shared" si="9"/>
        <v>45982</v>
      </c>
      <c r="AJ7" s="178"/>
      <c r="AK7" s="178">
        <f t="shared" si="11"/>
        <v>46005</v>
      </c>
      <c r="AL7" t="s">
        <v>327</v>
      </c>
      <c r="AN7" s="149" t="str">
        <f t="shared" si="12"/>
        <v/>
      </c>
      <c r="AQ7" s="178">
        <f t="shared" ca="1" si="15"/>
        <v>45940</v>
      </c>
      <c r="AR7" s="178">
        <f t="shared" ca="1" si="16"/>
        <v>45940</v>
      </c>
    </row>
    <row r="8" spans="1:44" x14ac:dyDescent="0.2">
      <c r="A8" t="str">
        <f>IF(B8="","",CONCATENATE("GBL",B8," - ",Mantenedor!E19))</f>
        <v>GBLGrupo 4 - 18</v>
      </c>
      <c r="B8" t="s">
        <v>358</v>
      </c>
      <c r="C8" t="s">
        <v>350</v>
      </c>
      <c r="D8" t="s">
        <v>238</v>
      </c>
      <c r="E8" t="s">
        <v>102</v>
      </c>
      <c r="F8" t="s">
        <v>351</v>
      </c>
      <c r="G8">
        <v>321</v>
      </c>
      <c r="H8" t="s">
        <v>248</v>
      </c>
      <c r="I8" t="s">
        <v>240</v>
      </c>
      <c r="J8" s="267">
        <v>45853</v>
      </c>
      <c r="K8" s="178">
        <v>46006</v>
      </c>
      <c r="L8" s="3">
        <v>6</v>
      </c>
      <c r="M8" s="268">
        <v>46012</v>
      </c>
      <c r="N8" t="s">
        <v>243</v>
      </c>
      <c r="O8" t="s">
        <v>245</v>
      </c>
      <c r="P8" t="str">
        <f t="shared" si="0"/>
        <v>Base DOBLE 6 noches</v>
      </c>
      <c r="Q8" s="266" t="str" cm="1">
        <f t="array" ref="Q8">+_xlfn.IFS(O8="Nacional","CLP",O8="Extranjero","USD",O8="","")</f>
        <v>CLP</v>
      </c>
      <c r="R8" s="262">
        <f>IFERROR(IF(O8="Nacional",VLOOKUP(P8,PRICING!$D$4:$E$59,2,FALSE),VLOOKUP(P8,PRICING!$J$4:$K$59,2,FALSE)),"")</f>
        <v>2550000</v>
      </c>
      <c r="S8" s="300" t="str">
        <f t="shared" si="17"/>
        <v>CLP 2.550.000</v>
      </c>
      <c r="V8" s="262"/>
      <c r="W8" s="280">
        <f t="shared" si="14"/>
        <v>0</v>
      </c>
      <c r="X8" s="178">
        <f t="shared" si="1"/>
        <v>45748</v>
      </c>
      <c r="Y8" s="178">
        <f t="shared" si="2"/>
        <v>45763</v>
      </c>
      <c r="Z8" s="178">
        <f t="shared" si="3"/>
        <v>45778</v>
      </c>
      <c r="AA8" s="178">
        <f t="shared" si="4"/>
        <v>45793</v>
      </c>
      <c r="AB8" s="178">
        <f t="shared" si="5"/>
        <v>45808</v>
      </c>
      <c r="AC8" s="178">
        <f t="shared" si="6"/>
        <v>45823</v>
      </c>
      <c r="AD8" s="267" t="s">
        <v>316</v>
      </c>
      <c r="AF8" s="149" t="str">
        <f t="shared" si="7"/>
        <v/>
      </c>
      <c r="AH8" s="178">
        <f t="shared" si="8"/>
        <v>45967</v>
      </c>
      <c r="AI8" s="178">
        <f t="shared" si="9"/>
        <v>45982</v>
      </c>
      <c r="AJ8" s="178"/>
      <c r="AK8" s="178">
        <f t="shared" si="11"/>
        <v>46005</v>
      </c>
      <c r="AL8" t="s">
        <v>327</v>
      </c>
      <c r="AN8" s="149" t="str">
        <f t="shared" si="12"/>
        <v/>
      </c>
      <c r="AQ8" s="178">
        <f t="shared" ca="1" si="15"/>
        <v>45940</v>
      </c>
      <c r="AR8" s="178">
        <f t="shared" ca="1" si="16"/>
        <v>45940</v>
      </c>
    </row>
    <row r="9" spans="1:44" x14ac:dyDescent="0.2">
      <c r="A9" t="str">
        <f>IF(B9="","",CONCATENATE("GBL",B9," - ",Mantenedor!E20))</f>
        <v>GBLGrupo 4 - 19</v>
      </c>
      <c r="B9" t="s">
        <v>358</v>
      </c>
      <c r="C9" t="s">
        <v>352</v>
      </c>
      <c r="D9" t="s">
        <v>238</v>
      </c>
      <c r="E9" t="s">
        <v>353</v>
      </c>
      <c r="F9" t="s">
        <v>354</v>
      </c>
      <c r="G9">
        <v>432</v>
      </c>
      <c r="H9" t="s">
        <v>248</v>
      </c>
      <c r="I9" t="s">
        <v>240</v>
      </c>
      <c r="J9" s="267">
        <v>45853</v>
      </c>
      <c r="K9" s="178">
        <v>46006</v>
      </c>
      <c r="L9" s="3">
        <v>6</v>
      </c>
      <c r="M9" s="268">
        <v>46012</v>
      </c>
      <c r="N9" t="s">
        <v>243</v>
      </c>
      <c r="O9" t="s">
        <v>245</v>
      </c>
      <c r="P9" t="str">
        <f t="shared" si="0"/>
        <v>Base DOBLE 6 noches</v>
      </c>
      <c r="Q9" s="266" t="str" cm="1">
        <f t="array" ref="Q9">+_xlfn.IFS(O9="Nacional","CLP",O9="Extranjero","USD",O9="","")</f>
        <v>CLP</v>
      </c>
      <c r="R9" s="262">
        <f>IFERROR(IF(O9="Nacional",VLOOKUP(P9,PRICING!$D$4:$E$59,2,FALSE),VLOOKUP(P9,PRICING!$J$4:$K$59,2,FALSE)),"")</f>
        <v>2550000</v>
      </c>
      <c r="S9" s="300" t="str">
        <f t="shared" si="17"/>
        <v>CLP 2.550.000</v>
      </c>
      <c r="V9" s="262"/>
      <c r="W9" s="280">
        <f t="shared" si="14"/>
        <v>0</v>
      </c>
      <c r="X9" s="178">
        <f t="shared" si="1"/>
        <v>45748</v>
      </c>
      <c r="Y9" s="178">
        <f t="shared" si="2"/>
        <v>45763</v>
      </c>
      <c r="Z9" s="178">
        <f t="shared" si="3"/>
        <v>45778</v>
      </c>
      <c r="AA9" s="178">
        <f t="shared" si="4"/>
        <v>45793</v>
      </c>
      <c r="AB9" s="178">
        <f t="shared" si="5"/>
        <v>45808</v>
      </c>
      <c r="AC9" s="178">
        <f t="shared" si="6"/>
        <v>45823</v>
      </c>
      <c r="AD9" s="267" t="s">
        <v>316</v>
      </c>
      <c r="AF9" s="149" t="str">
        <f t="shared" si="7"/>
        <v/>
      </c>
      <c r="AH9" s="178">
        <f t="shared" si="8"/>
        <v>45967</v>
      </c>
      <c r="AI9" s="178">
        <f t="shared" si="9"/>
        <v>45982</v>
      </c>
      <c r="AJ9" s="178"/>
      <c r="AK9" s="178">
        <f t="shared" si="11"/>
        <v>46005</v>
      </c>
      <c r="AL9" t="s">
        <v>327</v>
      </c>
      <c r="AN9" s="149" t="str">
        <f t="shared" si="12"/>
        <v/>
      </c>
      <c r="AQ9" s="178">
        <f t="shared" ca="1" si="15"/>
        <v>45940</v>
      </c>
      <c r="AR9" s="178">
        <f t="shared" ca="1" si="16"/>
        <v>45940</v>
      </c>
    </row>
    <row r="10" spans="1:44" x14ac:dyDescent="0.2">
      <c r="A10" t="str">
        <f>IF(B10="","",CONCATENATE("GBL",B10," - ",Mantenedor!E21))</f>
        <v>GBLGrupo 4 - 20</v>
      </c>
      <c r="B10" t="s">
        <v>358</v>
      </c>
      <c r="C10" t="s">
        <v>355</v>
      </c>
      <c r="D10" t="s">
        <v>238</v>
      </c>
      <c r="E10" t="s">
        <v>356</v>
      </c>
      <c r="F10" t="s">
        <v>357</v>
      </c>
      <c r="G10">
        <v>443</v>
      </c>
      <c r="H10" t="s">
        <v>247</v>
      </c>
      <c r="I10" t="s">
        <v>240</v>
      </c>
      <c r="J10" s="267">
        <v>45853</v>
      </c>
      <c r="K10" s="178">
        <v>46006</v>
      </c>
      <c r="L10" s="3">
        <v>6</v>
      </c>
      <c r="M10" s="268">
        <v>46012</v>
      </c>
      <c r="N10" t="s">
        <v>242</v>
      </c>
      <c r="O10" t="s">
        <v>245</v>
      </c>
      <c r="P10" t="str">
        <f t="shared" si="0"/>
        <v>Base SINGLE 6 noches</v>
      </c>
      <c r="Q10" s="266" t="str" cm="1">
        <f t="array" ref="Q10">+_xlfn.IFS(O10="Nacional","CLP",O10="Extranjero","USD",O10="","")</f>
        <v>CLP</v>
      </c>
      <c r="R10" s="262">
        <f>IFERROR(IF(O10="Nacional",VLOOKUP(P10,PRICING!$D$4:$E$59,2,FALSE),VLOOKUP(P10,PRICING!$J$4:$K$59,2,FALSE)),"")</f>
        <v>3570000</v>
      </c>
      <c r="S10" s="300" t="str">
        <f t="shared" si="17"/>
        <v>CLP 3.570.000</v>
      </c>
      <c r="V10" s="262"/>
      <c r="W10" s="280">
        <f t="shared" si="14"/>
        <v>0</v>
      </c>
      <c r="X10" s="178">
        <f t="shared" si="1"/>
        <v>45748</v>
      </c>
      <c r="Y10" s="178">
        <f t="shared" si="2"/>
        <v>45763</v>
      </c>
      <c r="Z10" s="178">
        <f t="shared" si="3"/>
        <v>45778</v>
      </c>
      <c r="AA10" s="178">
        <f t="shared" si="4"/>
        <v>45793</v>
      </c>
      <c r="AB10" s="178">
        <f t="shared" si="5"/>
        <v>45808</v>
      </c>
      <c r="AC10" s="178">
        <f t="shared" si="6"/>
        <v>45823</v>
      </c>
      <c r="AD10" s="267" t="s">
        <v>316</v>
      </c>
      <c r="AF10" s="149" t="str">
        <f t="shared" si="7"/>
        <v/>
      </c>
      <c r="AH10" s="178">
        <f t="shared" si="8"/>
        <v>45967</v>
      </c>
      <c r="AI10" s="178">
        <f t="shared" si="9"/>
        <v>45982</v>
      </c>
      <c r="AJ10" s="178"/>
      <c r="AK10" s="178">
        <f t="shared" si="11"/>
        <v>46005</v>
      </c>
      <c r="AL10" t="s">
        <v>327</v>
      </c>
      <c r="AN10" s="149" t="str">
        <f t="shared" si="12"/>
        <v/>
      </c>
      <c r="AQ10" s="178">
        <f t="shared" ca="1" si="15"/>
        <v>45940</v>
      </c>
      <c r="AR10" s="178">
        <f t="shared" ca="1" si="16"/>
        <v>45940</v>
      </c>
    </row>
    <row r="11" spans="1:44" x14ac:dyDescent="0.2">
      <c r="A11" t="str">
        <f>IF(B11="","",CONCATENATE("GBL",B11," - ",Mantenedor!E22))</f>
        <v>GBLGrupo 5 - 21</v>
      </c>
      <c r="B11" t="s">
        <v>361</v>
      </c>
      <c r="C11" t="s">
        <v>190</v>
      </c>
      <c r="D11" t="s">
        <v>238</v>
      </c>
      <c r="E11" t="s">
        <v>359</v>
      </c>
      <c r="F11" t="s">
        <v>360</v>
      </c>
      <c r="G11">
        <v>1</v>
      </c>
      <c r="H11" t="s">
        <v>247</v>
      </c>
      <c r="I11" t="s">
        <v>240</v>
      </c>
      <c r="J11" s="267">
        <v>46003</v>
      </c>
      <c r="K11" s="178">
        <v>46034</v>
      </c>
      <c r="L11" s="3">
        <v>7</v>
      </c>
      <c r="M11" s="268">
        <v>46041</v>
      </c>
      <c r="N11" t="s">
        <v>242</v>
      </c>
      <c r="O11" t="s">
        <v>245</v>
      </c>
      <c r="P11" t="str">
        <f t="shared" si="0"/>
        <v>Base SINGLE 7 noches</v>
      </c>
      <c r="Q11" s="266" t="str" cm="1">
        <f t="array" ref="Q11">+_xlfn.IFS(O11="Nacional","CLP",O11="Extranjero","USD",O11="","")</f>
        <v>CLP</v>
      </c>
      <c r="R11" s="262">
        <f>IFERROR(IF(O11="Nacional",VLOOKUP(P11,PRICING!$D$4:$E$59,2,FALSE),VLOOKUP(P11,PRICING!$J$4:$K$59,2,FALSE)),"")</f>
        <v>4129999.9999999995</v>
      </c>
      <c r="S11" s="300" t="str">
        <f t="shared" si="17"/>
        <v>CLP 4.130.000</v>
      </c>
      <c r="V11" s="262"/>
      <c r="W11" s="280">
        <f t="shared" si="14"/>
        <v>0</v>
      </c>
      <c r="X11" s="178">
        <f t="shared" si="1"/>
        <v>45898</v>
      </c>
      <c r="Y11" s="178">
        <f t="shared" si="2"/>
        <v>45913</v>
      </c>
      <c r="Z11" s="178">
        <f t="shared" si="3"/>
        <v>45928</v>
      </c>
      <c r="AA11" s="178">
        <f t="shared" si="4"/>
        <v>45943</v>
      </c>
      <c r="AB11" s="178">
        <f t="shared" si="5"/>
        <v>45958</v>
      </c>
      <c r="AC11" s="178">
        <f t="shared" si="6"/>
        <v>45973</v>
      </c>
      <c r="AD11" s="267" t="s">
        <v>316</v>
      </c>
      <c r="AF11" s="149" t="str">
        <f t="shared" si="7"/>
        <v/>
      </c>
      <c r="AH11" s="178">
        <f t="shared" si="8"/>
        <v>45996</v>
      </c>
      <c r="AI11" s="178">
        <f t="shared" si="9"/>
        <v>46011</v>
      </c>
      <c r="AJ11" s="178"/>
      <c r="AK11" s="178">
        <f t="shared" si="11"/>
        <v>46034</v>
      </c>
      <c r="AL11" t="s">
        <v>327</v>
      </c>
      <c r="AN11" s="149" t="str">
        <f t="shared" si="12"/>
        <v/>
      </c>
      <c r="AQ11" s="178">
        <f t="shared" ca="1" si="15"/>
        <v>45940</v>
      </c>
      <c r="AR11" s="178">
        <f t="shared" ca="1" si="16"/>
        <v>45940</v>
      </c>
    </row>
    <row r="12" spans="1:44" x14ac:dyDescent="0.2">
      <c r="A12" t="str">
        <f>IF(B12="","",CONCATENATE("GBL",B12," - ",Mantenedor!E23))</f>
        <v>GBLGrupo 6 - 22</v>
      </c>
      <c r="B12" t="s">
        <v>364</v>
      </c>
      <c r="C12" t="s">
        <v>190</v>
      </c>
      <c r="D12" t="s">
        <v>238</v>
      </c>
      <c r="E12" t="s">
        <v>362</v>
      </c>
      <c r="F12" t="s">
        <v>363</v>
      </c>
      <c r="G12">
        <v>12</v>
      </c>
      <c r="H12" t="s">
        <v>247</v>
      </c>
      <c r="I12" t="s">
        <v>240</v>
      </c>
      <c r="J12" s="267">
        <v>44542</v>
      </c>
      <c r="K12" s="178">
        <v>45940</v>
      </c>
      <c r="L12" s="3">
        <v>1</v>
      </c>
      <c r="M12" s="268">
        <v>45941</v>
      </c>
      <c r="N12" t="s">
        <v>242</v>
      </c>
      <c r="O12" t="s">
        <v>245</v>
      </c>
      <c r="P12" t="str">
        <f t="shared" si="0"/>
        <v>Base SINGLE 1 noche</v>
      </c>
      <c r="Q12" s="266" t="str" cm="1">
        <f t="array" ref="Q12">+_xlfn.IFS(O12="Nacional","CLP",O12="Extranjero","USD",O12="","")</f>
        <v>CLP</v>
      </c>
      <c r="R12" s="262">
        <f>IFERROR(IF(O12="Nacional",VLOOKUP(P12,PRICING!$D$4:$E$59,2,FALSE),VLOOKUP(P12,PRICING!$J$4:$K$59,2,FALSE)),"")</f>
        <v>770000</v>
      </c>
      <c r="S12" s="300" t="str">
        <f t="shared" si="17"/>
        <v>CLP 770.000</v>
      </c>
      <c r="V12" s="262"/>
      <c r="W12" s="280">
        <f t="shared" si="14"/>
        <v>0</v>
      </c>
      <c r="X12" s="178">
        <f t="shared" si="1"/>
        <v>44437</v>
      </c>
      <c r="Y12" s="178">
        <f t="shared" si="2"/>
        <v>44452</v>
      </c>
      <c r="Z12" s="178">
        <f t="shared" si="3"/>
        <v>44467</v>
      </c>
      <c r="AA12" s="178">
        <f t="shared" si="4"/>
        <v>44482</v>
      </c>
      <c r="AB12" s="178">
        <f t="shared" si="5"/>
        <v>44497</v>
      </c>
      <c r="AC12" s="178">
        <f t="shared" si="6"/>
        <v>44512</v>
      </c>
      <c r="AD12" s="267" t="s">
        <v>316</v>
      </c>
      <c r="AF12" s="149" t="str">
        <f t="shared" si="7"/>
        <v/>
      </c>
      <c r="AH12" s="178">
        <f t="shared" si="8"/>
        <v>45896</v>
      </c>
      <c r="AI12" s="178">
        <f t="shared" si="9"/>
        <v>45911</v>
      </c>
      <c r="AJ12" s="178"/>
      <c r="AK12" s="178">
        <f t="shared" si="11"/>
        <v>45934</v>
      </c>
      <c r="AL12" t="s">
        <v>327</v>
      </c>
      <c r="AN12" s="149" t="str">
        <f t="shared" si="12"/>
        <v/>
      </c>
      <c r="AQ12" s="178">
        <f t="shared" ca="1" si="15"/>
        <v>45940</v>
      </c>
      <c r="AR12" s="178">
        <f t="shared" ca="1" si="16"/>
        <v>45940</v>
      </c>
    </row>
    <row r="13" spans="1:44" x14ac:dyDescent="0.2">
      <c r="A13" t="str">
        <f>IF(B13="","",CONCATENATE("GBL",B13," - ",Mantenedor!E24))</f>
        <v>GBLGrupo 7 - 23</v>
      </c>
      <c r="B13" t="s">
        <v>365</v>
      </c>
      <c r="C13" t="s">
        <v>190</v>
      </c>
      <c r="M13" s="371">
        <v>0</v>
      </c>
      <c r="P13" t="str">
        <f t="shared" si="0"/>
        <v/>
      </c>
      <c r="Q13" s="266" t="str" cm="1">
        <f t="array" ref="Q13">+_xlfn.IFS(O13="Nacional","CLP",O13="Extranjero","USD",O13="","")</f>
        <v/>
      </c>
      <c r="R13" s="262" t="str">
        <f>IFERROR(IF(O13="Nacional",VLOOKUP(P13,PRICING!$D$4:$E$59,2,FALSE),VLOOKUP(P13,PRICING!$J$4:$K$59,2,FALSE)),"")</f>
        <v/>
      </c>
      <c r="S13" s="300" t="str">
        <f t="shared" si="17"/>
        <v/>
      </c>
      <c r="T13" s="278">
        <v>0.12</v>
      </c>
      <c r="U13" s="278" t="s">
        <v>344</v>
      </c>
      <c r="V13" s="262"/>
      <c r="W13" s="280">
        <f t="shared" si="14"/>
        <v>0</v>
      </c>
      <c r="X13" s="178" t="str">
        <f t="shared" si="1"/>
        <v/>
      </c>
      <c r="Y13" s="178" t="str">
        <f t="shared" si="2"/>
        <v/>
      </c>
      <c r="Z13" s="178" t="str">
        <f t="shared" si="3"/>
        <v/>
      </c>
      <c r="AA13" s="178" t="str">
        <f t="shared" si="4"/>
        <v/>
      </c>
      <c r="AB13" s="178" t="str">
        <f t="shared" si="5"/>
        <v/>
      </c>
      <c r="AC13" s="178" t="str">
        <f t="shared" si="6"/>
        <v/>
      </c>
      <c r="AD13" s="267" t="s">
        <v>316</v>
      </c>
      <c r="AF13" s="149" t="str">
        <f t="shared" si="7"/>
        <v/>
      </c>
      <c r="AH13" s="178">
        <f t="shared" si="8"/>
        <v>-45</v>
      </c>
      <c r="AI13" s="178">
        <f t="shared" si="9"/>
        <v>-30</v>
      </c>
      <c r="AJ13" s="178"/>
      <c r="AK13" s="178">
        <f t="shared" si="11"/>
        <v>-7</v>
      </c>
      <c r="AL13" t="s">
        <v>327</v>
      </c>
      <c r="AN13" s="149" t="str">
        <f t="shared" si="12"/>
        <v/>
      </c>
      <c r="AQ13" s="178">
        <f t="shared" ca="1" si="15"/>
        <v>45940</v>
      </c>
      <c r="AR13" s="178">
        <f t="shared" ca="1" si="16"/>
        <v>45940</v>
      </c>
    </row>
    <row r="14" spans="1:44" x14ac:dyDescent="0.2">
      <c r="A14" t="str">
        <f>IF(B14="","",CONCATENATE("GBL",B14," - ",Mantenedor!E25))</f>
        <v>GBLGrupo 8 - 24</v>
      </c>
      <c r="B14" t="s">
        <v>366</v>
      </c>
      <c r="C14" t="s">
        <v>190</v>
      </c>
      <c r="M14" s="371">
        <v>0</v>
      </c>
      <c r="P14" t="str">
        <f t="shared" si="0"/>
        <v/>
      </c>
      <c r="Q14" s="266" t="str" cm="1">
        <f t="array" ref="Q14">+_xlfn.IFS(O14="Nacional","CLP",O14="Extranjero","USD",O14="","")</f>
        <v/>
      </c>
      <c r="R14" s="262" t="str">
        <f>IFERROR(IF(O14="Nacional",VLOOKUP(P14,PRICING!$D$4:$E$59,2,FALSE),VLOOKUP(P14,PRICING!$J$4:$K$59,2,FALSE)),"")</f>
        <v/>
      </c>
      <c r="S14" s="300" t="str">
        <f t="shared" si="17"/>
        <v/>
      </c>
      <c r="V14" s="262"/>
      <c r="W14" s="280">
        <f t="shared" si="14"/>
        <v>0</v>
      </c>
      <c r="X14" s="178" t="str">
        <f t="shared" si="1"/>
        <v/>
      </c>
      <c r="Y14" s="178" t="str">
        <f t="shared" si="2"/>
        <v/>
      </c>
      <c r="Z14" s="178" t="str">
        <f t="shared" si="3"/>
        <v/>
      </c>
      <c r="AA14" s="178" t="str">
        <f t="shared" si="4"/>
        <v/>
      </c>
      <c r="AB14" s="178" t="str">
        <f t="shared" si="5"/>
        <v/>
      </c>
      <c r="AC14" s="178" t="str">
        <f t="shared" si="6"/>
        <v/>
      </c>
      <c r="AD14" s="267" t="s">
        <v>316</v>
      </c>
      <c r="AF14" s="149" t="str">
        <f t="shared" si="7"/>
        <v/>
      </c>
      <c r="AH14" s="178">
        <f t="shared" si="8"/>
        <v>-45</v>
      </c>
      <c r="AI14" s="178">
        <f t="shared" si="9"/>
        <v>-30</v>
      </c>
      <c r="AJ14" s="178"/>
      <c r="AK14" s="178">
        <f t="shared" si="11"/>
        <v>-7</v>
      </c>
      <c r="AL14" t="s">
        <v>327</v>
      </c>
      <c r="AN14" s="149" t="str">
        <f t="shared" si="12"/>
        <v/>
      </c>
      <c r="AQ14" s="178">
        <f t="shared" ca="1" si="15"/>
        <v>45940</v>
      </c>
      <c r="AR14" s="178">
        <f t="shared" ca="1" si="16"/>
        <v>45940</v>
      </c>
    </row>
    <row r="15" spans="1:44" x14ac:dyDescent="0.2">
      <c r="A15" t="str">
        <f>IF(B15="","",CONCATENATE("GBL",B15," - ",Mantenedor!E26))</f>
        <v>GBLGrupo 9 - 25</v>
      </c>
      <c r="B15" t="s">
        <v>369</v>
      </c>
      <c r="C15" t="s">
        <v>190</v>
      </c>
      <c r="D15" t="s">
        <v>238</v>
      </c>
      <c r="E15" t="s">
        <v>367</v>
      </c>
      <c r="F15" t="s">
        <v>368</v>
      </c>
      <c r="G15">
        <v>1</v>
      </c>
      <c r="H15" t="s">
        <v>248</v>
      </c>
      <c r="I15" t="s">
        <v>240</v>
      </c>
      <c r="J15" s="267">
        <v>46023</v>
      </c>
      <c r="K15" s="178">
        <v>46054</v>
      </c>
      <c r="L15" s="3">
        <v>2</v>
      </c>
      <c r="M15" s="268">
        <v>46056</v>
      </c>
      <c r="N15" t="s">
        <v>243</v>
      </c>
      <c r="O15" t="s">
        <v>245</v>
      </c>
      <c r="P15" t="str">
        <f t="shared" si="0"/>
        <v>Base DOBLE 2 noches</v>
      </c>
      <c r="Q15" s="266" t="str" cm="1">
        <f t="array" ref="Q15">+_xlfn.IFS(O15="Nacional","CLP",O15="Extranjero","USD",O15="","")</f>
        <v>CLP</v>
      </c>
      <c r="R15" s="262">
        <f>IFERROR(IF(O15="Nacional",VLOOKUP(P15,PRICING!$D$4:$E$59,2,FALSE),VLOOKUP(P15,PRICING!$J$4:$K$59,2,FALSE)),"")</f>
        <v>950000</v>
      </c>
      <c r="S15" s="300" t="str">
        <f t="shared" si="17"/>
        <v>CLP 950.000</v>
      </c>
      <c r="V15" s="262"/>
      <c r="W15" s="280">
        <f t="shared" si="14"/>
        <v>0</v>
      </c>
      <c r="X15" s="178">
        <f t="shared" si="1"/>
        <v>45918</v>
      </c>
      <c r="Y15" s="178">
        <f t="shared" si="2"/>
        <v>45933</v>
      </c>
      <c r="Z15" s="178">
        <f t="shared" si="3"/>
        <v>45948</v>
      </c>
      <c r="AA15" s="178">
        <f t="shared" si="4"/>
        <v>45963</v>
      </c>
      <c r="AB15" s="178">
        <f t="shared" si="5"/>
        <v>45978</v>
      </c>
      <c r="AC15" s="178">
        <f t="shared" si="6"/>
        <v>45993</v>
      </c>
      <c r="AD15" s="267" t="s">
        <v>316</v>
      </c>
      <c r="AF15" s="149" t="str">
        <f t="shared" si="7"/>
        <v/>
      </c>
      <c r="AH15" s="178">
        <f t="shared" si="8"/>
        <v>46011</v>
      </c>
      <c r="AI15" s="178">
        <f t="shared" si="9"/>
        <v>46026</v>
      </c>
      <c r="AJ15" s="178"/>
      <c r="AK15" s="178">
        <f t="shared" si="11"/>
        <v>46049</v>
      </c>
      <c r="AL15" t="s">
        <v>327</v>
      </c>
      <c r="AN15" s="149" t="str">
        <f t="shared" si="12"/>
        <v/>
      </c>
      <c r="AQ15" s="178">
        <f t="shared" ca="1" si="15"/>
        <v>45940</v>
      </c>
      <c r="AR15" s="178">
        <f t="shared" ca="1" si="16"/>
        <v>45940</v>
      </c>
    </row>
    <row r="16" spans="1:44" x14ac:dyDescent="0.2">
      <c r="A16" t="str">
        <f>IF(B16="","",CONCATENATE("GBL",B16," - ",Mantenedor!E27))</f>
        <v>GBLGrupo N˚10 - 26</v>
      </c>
      <c r="B16" t="s">
        <v>371</v>
      </c>
      <c r="C16" t="s">
        <v>190</v>
      </c>
      <c r="D16" t="s">
        <v>238</v>
      </c>
      <c r="E16" t="s">
        <v>370</v>
      </c>
      <c r="F16" t="s">
        <v>370</v>
      </c>
      <c r="G16">
        <v>1</v>
      </c>
      <c r="H16" t="s">
        <v>247</v>
      </c>
      <c r="I16" t="s">
        <v>240</v>
      </c>
      <c r="J16" s="267">
        <v>45974</v>
      </c>
      <c r="K16" s="178">
        <v>45607</v>
      </c>
      <c r="L16" s="3">
        <v>4</v>
      </c>
      <c r="M16" s="268">
        <v>45611</v>
      </c>
      <c r="N16" t="s">
        <v>242</v>
      </c>
      <c r="O16" t="s">
        <v>245</v>
      </c>
      <c r="P16" t="str">
        <f t="shared" si="0"/>
        <v>Base SINGLE 4 noches</v>
      </c>
      <c r="Q16" s="266" t="str" cm="1">
        <f t="array" ref="Q16">+_xlfn.IFS(O16="Nacional","CLP",O16="Extranjero","USD",O16="","")</f>
        <v>CLP</v>
      </c>
      <c r="R16" s="262">
        <f>IFERROR(IF(O16="Nacional",VLOOKUP(P16,PRICING!$D$4:$E$59,2,FALSE),VLOOKUP(P16,PRICING!$J$4:$K$59,2,FALSE)),"")</f>
        <v>2450000</v>
      </c>
      <c r="S16" s="300" t="str">
        <f t="shared" si="17"/>
        <v>CLP 2.450.000</v>
      </c>
      <c r="V16" s="262"/>
      <c r="W16" s="280">
        <f t="shared" si="14"/>
        <v>0</v>
      </c>
      <c r="X16" s="178">
        <f t="shared" si="1"/>
        <v>45869</v>
      </c>
      <c r="Y16" s="178">
        <f t="shared" si="2"/>
        <v>45884</v>
      </c>
      <c r="Z16" s="178">
        <f t="shared" si="3"/>
        <v>45899</v>
      </c>
      <c r="AA16" s="178">
        <f t="shared" si="4"/>
        <v>45914</v>
      </c>
      <c r="AB16" s="178">
        <f t="shared" si="5"/>
        <v>45929</v>
      </c>
      <c r="AC16" s="178">
        <f t="shared" si="6"/>
        <v>45944</v>
      </c>
      <c r="AD16" s="267" t="s">
        <v>316</v>
      </c>
      <c r="AF16" s="149" t="str">
        <f t="shared" si="7"/>
        <v/>
      </c>
      <c r="AH16" s="178">
        <f t="shared" si="8"/>
        <v>45566</v>
      </c>
      <c r="AI16" s="178">
        <f t="shared" si="9"/>
        <v>45581</v>
      </c>
      <c r="AJ16" s="178"/>
      <c r="AK16" s="178">
        <f t="shared" si="11"/>
        <v>45604</v>
      </c>
      <c r="AL16" t="s">
        <v>327</v>
      </c>
      <c r="AN16" s="149" t="str">
        <f t="shared" si="12"/>
        <v/>
      </c>
      <c r="AQ16" s="178">
        <f t="shared" ca="1" si="15"/>
        <v>45940</v>
      </c>
      <c r="AR16" s="178">
        <f t="shared" ca="1" si="16"/>
        <v>45940</v>
      </c>
    </row>
    <row r="17" spans="1:44" x14ac:dyDescent="0.2">
      <c r="A17" t="str">
        <f>IF(B17="","",CONCATENATE("GBL",B17," - ",Mantenedor!E28))</f>
        <v>GBLGrupo N˚10 - 27</v>
      </c>
      <c r="B17" t="s">
        <v>371</v>
      </c>
      <c r="C17" t="s">
        <v>190</v>
      </c>
      <c r="D17" t="s">
        <v>238</v>
      </c>
      <c r="E17" t="s">
        <v>372</v>
      </c>
      <c r="F17">
        <v>12</v>
      </c>
      <c r="G17">
        <v>2</v>
      </c>
      <c r="H17" t="s">
        <v>248</v>
      </c>
      <c r="I17" t="s">
        <v>240</v>
      </c>
      <c r="J17" s="267">
        <v>44197</v>
      </c>
      <c r="K17" s="178">
        <v>44594</v>
      </c>
      <c r="L17" s="3">
        <v>1</v>
      </c>
      <c r="M17" s="268">
        <v>44595</v>
      </c>
      <c r="N17" t="s">
        <v>242</v>
      </c>
      <c r="O17" t="s">
        <v>245</v>
      </c>
      <c r="P17" t="str">
        <f t="shared" si="0"/>
        <v>Base SINGLE 1 noche</v>
      </c>
      <c r="Q17" s="266" t="str" cm="1">
        <f t="array" ref="Q17">+_xlfn.IFS(O17="Nacional","CLP",O17="Extranjero","USD",O17="","")</f>
        <v>CLP</v>
      </c>
      <c r="R17" s="262">
        <f>IFERROR(IF(O17="Nacional",VLOOKUP(P17,PRICING!$D$4:$E$59,2,FALSE),VLOOKUP(P17,PRICING!$J$4:$K$59,2,FALSE)),"")</f>
        <v>770000</v>
      </c>
      <c r="S17" s="300" t="str">
        <f t="shared" si="17"/>
        <v>CLP 770.000</v>
      </c>
      <c r="V17" s="262"/>
      <c r="W17" s="280">
        <f t="shared" si="14"/>
        <v>0</v>
      </c>
      <c r="X17" s="178">
        <f t="shared" si="1"/>
        <v>44092</v>
      </c>
      <c r="Y17" s="178">
        <f t="shared" si="2"/>
        <v>44107</v>
      </c>
      <c r="Z17" s="178">
        <f t="shared" si="3"/>
        <v>44122</v>
      </c>
      <c r="AA17" s="178">
        <f t="shared" si="4"/>
        <v>44137</v>
      </c>
      <c r="AB17" s="178">
        <f t="shared" si="5"/>
        <v>44152</v>
      </c>
      <c r="AC17" s="178">
        <f t="shared" si="6"/>
        <v>44167</v>
      </c>
      <c r="AD17" s="267" t="s">
        <v>316</v>
      </c>
      <c r="AF17" s="149" t="str">
        <f t="shared" si="7"/>
        <v/>
      </c>
      <c r="AH17" s="178">
        <f t="shared" si="8"/>
        <v>44550</v>
      </c>
      <c r="AI17" s="178">
        <f t="shared" si="9"/>
        <v>44565</v>
      </c>
      <c r="AJ17" s="178"/>
      <c r="AK17" s="178">
        <f t="shared" si="11"/>
        <v>44588</v>
      </c>
      <c r="AL17" t="s">
        <v>327</v>
      </c>
      <c r="AN17" s="149" t="str">
        <f t="shared" si="12"/>
        <v/>
      </c>
      <c r="AQ17" s="178">
        <f t="shared" ca="1" si="15"/>
        <v>45940</v>
      </c>
      <c r="AR17" s="178">
        <f t="shared" ca="1" si="16"/>
        <v>45940</v>
      </c>
    </row>
    <row r="18" spans="1:44" x14ac:dyDescent="0.2">
      <c r="A18" t="str">
        <f>IF(B18="","",CONCATENATE("GBL",B18," - ",Mantenedor!E29))</f>
        <v>GBLGrupo N˚10 - 28</v>
      </c>
      <c r="B18" t="s">
        <v>371</v>
      </c>
      <c r="C18" t="s">
        <v>190</v>
      </c>
      <c r="D18" t="s">
        <v>238</v>
      </c>
      <c r="E18" t="s">
        <v>373</v>
      </c>
      <c r="F18" t="s">
        <v>374</v>
      </c>
      <c r="G18">
        <v>23</v>
      </c>
      <c r="H18" t="s">
        <v>248</v>
      </c>
      <c r="I18" t="s">
        <v>240</v>
      </c>
      <c r="J18" s="267">
        <v>45719</v>
      </c>
      <c r="K18" s="178">
        <v>45750</v>
      </c>
      <c r="L18" s="3">
        <v>4</v>
      </c>
      <c r="M18" s="268">
        <v>45754</v>
      </c>
      <c r="N18" t="s">
        <v>242</v>
      </c>
      <c r="O18" t="s">
        <v>246</v>
      </c>
      <c r="P18" t="str">
        <f t="shared" si="0"/>
        <v>Base SINGLE 4 noches</v>
      </c>
      <c r="Q18" s="266" t="str" cm="1">
        <f t="array" ref="Q18">+_xlfn.IFS(O18="Nacional","CLP",O18="Extranjero","USD",O18="","")</f>
        <v>USD</v>
      </c>
      <c r="R18" s="262">
        <f>IFERROR(IF(O18="Nacional",VLOOKUP(P18,PRICING!$D$4:$E$59,2,FALSE),VLOOKUP(P18,PRICING!$J$4:$K$59,2,FALSE)),"")</f>
        <v>5670</v>
      </c>
      <c r="S18" s="300" t="str">
        <f t="shared" si="17"/>
        <v>USD 5.670</v>
      </c>
      <c r="V18" s="262"/>
      <c r="W18" s="280">
        <f t="shared" si="14"/>
        <v>0</v>
      </c>
      <c r="X18" s="178">
        <f t="shared" si="1"/>
        <v>45614</v>
      </c>
      <c r="Y18" s="178">
        <f t="shared" si="2"/>
        <v>45629</v>
      </c>
      <c r="Z18" s="178">
        <f t="shared" si="3"/>
        <v>45644</v>
      </c>
      <c r="AA18" s="178">
        <f t="shared" si="4"/>
        <v>45659</v>
      </c>
      <c r="AB18" s="178">
        <f t="shared" si="5"/>
        <v>45674</v>
      </c>
      <c r="AC18" s="178">
        <f t="shared" si="6"/>
        <v>45689</v>
      </c>
      <c r="AD18" s="267" t="s">
        <v>316</v>
      </c>
      <c r="AF18" s="149" t="str">
        <f t="shared" si="7"/>
        <v/>
      </c>
      <c r="AH18" s="178">
        <f t="shared" si="8"/>
        <v>45709</v>
      </c>
      <c r="AI18" s="178">
        <f t="shared" si="9"/>
        <v>45724</v>
      </c>
      <c r="AJ18" s="178"/>
      <c r="AK18" s="178">
        <f t="shared" si="11"/>
        <v>45747</v>
      </c>
      <c r="AL18" t="s">
        <v>327</v>
      </c>
      <c r="AN18" s="149" t="str">
        <f t="shared" si="12"/>
        <v/>
      </c>
      <c r="AQ18" s="178">
        <f t="shared" ca="1" si="15"/>
        <v>45940</v>
      </c>
      <c r="AR18" s="178">
        <f t="shared" ca="1" si="16"/>
        <v>45940</v>
      </c>
    </row>
    <row r="19" spans="1:44" x14ac:dyDescent="0.2">
      <c r="A19" t="str">
        <f>IF(B19="","",CONCATENATE("GBL",B19," - ",Mantenedor!E30))</f>
        <v>GBLGrupo N˚10 - 29</v>
      </c>
      <c r="B19" t="s">
        <v>371</v>
      </c>
      <c r="C19" t="s">
        <v>190</v>
      </c>
      <c r="D19" t="s">
        <v>238</v>
      </c>
      <c r="E19" t="s">
        <v>375</v>
      </c>
      <c r="G19">
        <v>12</v>
      </c>
      <c r="H19" t="s">
        <v>248</v>
      </c>
      <c r="I19" t="s">
        <v>240</v>
      </c>
      <c r="J19" s="267">
        <v>44907</v>
      </c>
      <c r="K19" s="178">
        <v>45282</v>
      </c>
      <c r="L19" s="3">
        <v>3</v>
      </c>
      <c r="M19" s="268">
        <v>45285</v>
      </c>
      <c r="N19" t="s">
        <v>242</v>
      </c>
      <c r="O19" t="s">
        <v>246</v>
      </c>
      <c r="P19" t="str">
        <f t="shared" si="0"/>
        <v>Base SINGLE 3 noches</v>
      </c>
      <c r="Q19" s="266" t="str" cm="1">
        <f t="array" ref="Q19">+_xlfn.IFS(O19="Nacional","CLP",O19="Extranjero","USD",O19="","")</f>
        <v>USD</v>
      </c>
      <c r="R19" s="262">
        <f>IFERROR(IF(O19="Nacional",VLOOKUP(P19,PRICING!$D$4:$E$59,2,FALSE),VLOOKUP(P19,PRICING!$J$4:$K$59,2,FALSE)),"")</f>
        <v>4410</v>
      </c>
      <c r="S19" s="300" t="str">
        <f t="shared" si="17"/>
        <v>USD 4.410</v>
      </c>
      <c r="V19" s="262"/>
      <c r="W19" s="280">
        <f t="shared" si="14"/>
        <v>0</v>
      </c>
      <c r="X19" s="178">
        <f t="shared" si="1"/>
        <v>44802</v>
      </c>
      <c r="Y19" s="178">
        <f t="shared" si="2"/>
        <v>44817</v>
      </c>
      <c r="Z19" s="178">
        <f t="shared" si="3"/>
        <v>44832</v>
      </c>
      <c r="AA19" s="178">
        <f t="shared" si="4"/>
        <v>44847</v>
      </c>
      <c r="AB19" s="178">
        <f t="shared" si="5"/>
        <v>44862</v>
      </c>
      <c r="AC19" s="178">
        <f t="shared" si="6"/>
        <v>44877</v>
      </c>
      <c r="AD19" s="267" t="s">
        <v>316</v>
      </c>
      <c r="AF19" s="149" t="str">
        <f t="shared" si="7"/>
        <v/>
      </c>
      <c r="AH19" s="178">
        <f t="shared" si="8"/>
        <v>45240</v>
      </c>
      <c r="AI19" s="178">
        <f t="shared" si="9"/>
        <v>45255</v>
      </c>
      <c r="AJ19" s="178"/>
      <c r="AK19" s="178">
        <f t="shared" si="11"/>
        <v>45278</v>
      </c>
      <c r="AL19" t="s">
        <v>327</v>
      </c>
      <c r="AN19" s="149" t="str">
        <f t="shared" si="12"/>
        <v/>
      </c>
      <c r="AQ19" s="178">
        <f t="shared" ca="1" si="15"/>
        <v>45940</v>
      </c>
      <c r="AR19" s="178">
        <f t="shared" ca="1" si="16"/>
        <v>45940</v>
      </c>
    </row>
    <row r="20" spans="1:44" x14ac:dyDescent="0.2">
      <c r="A20" t="str">
        <f>IF(B20="","",CONCATENATE("GBL",B20," - ",Mantenedor!E31))</f>
        <v>GBLGrupo N10 - 30</v>
      </c>
      <c r="B20" t="s">
        <v>377</v>
      </c>
      <c r="C20" t="s">
        <v>190</v>
      </c>
      <c r="D20" t="s">
        <v>238</v>
      </c>
      <c r="E20" t="s">
        <v>376</v>
      </c>
      <c r="F20">
        <v>12</v>
      </c>
      <c r="G20">
        <v>12</v>
      </c>
      <c r="H20" t="s">
        <v>248</v>
      </c>
      <c r="I20" t="s">
        <v>240</v>
      </c>
      <c r="J20" s="267">
        <v>41255</v>
      </c>
      <c r="K20" s="178">
        <v>41620</v>
      </c>
      <c r="L20" s="3">
        <v>1</v>
      </c>
      <c r="M20" s="268">
        <v>41621</v>
      </c>
      <c r="N20" t="s">
        <v>242</v>
      </c>
      <c r="O20" t="s">
        <v>245</v>
      </c>
      <c r="P20" t="str">
        <f t="shared" si="0"/>
        <v>Base SINGLE 1 noche</v>
      </c>
      <c r="Q20" s="266" t="str" cm="1">
        <f t="array" ref="Q20">+_xlfn.IFS(O20="Nacional","CLP",O20="Extranjero","USD",O20="","")</f>
        <v>CLP</v>
      </c>
      <c r="R20" s="262">
        <f>IFERROR(IF(O20="Nacional",VLOOKUP(P20,PRICING!$D$4:$E$59,2,FALSE),VLOOKUP(P20,PRICING!$J$4:$K$59,2,FALSE)),"")</f>
        <v>770000</v>
      </c>
      <c r="S20" s="300" t="str">
        <f t="shared" si="17"/>
        <v>CLP 770.000</v>
      </c>
      <c r="V20" s="262"/>
      <c r="W20" s="280">
        <f t="shared" si="14"/>
        <v>0</v>
      </c>
      <c r="X20" s="178">
        <f t="shared" si="1"/>
        <v>41150</v>
      </c>
      <c r="Y20" s="178">
        <f t="shared" si="2"/>
        <v>41165</v>
      </c>
      <c r="Z20" s="178">
        <f t="shared" si="3"/>
        <v>41180</v>
      </c>
      <c r="AA20" s="178">
        <f t="shared" si="4"/>
        <v>41195</v>
      </c>
      <c r="AB20" s="178">
        <f t="shared" si="5"/>
        <v>41210</v>
      </c>
      <c r="AC20" s="178">
        <f t="shared" si="6"/>
        <v>41225</v>
      </c>
      <c r="AD20" s="267" t="s">
        <v>316</v>
      </c>
      <c r="AF20" s="149" t="str">
        <f t="shared" si="7"/>
        <v/>
      </c>
      <c r="AH20" s="178">
        <f t="shared" si="8"/>
        <v>41576</v>
      </c>
      <c r="AI20" s="178">
        <f t="shared" si="9"/>
        <v>41591</v>
      </c>
      <c r="AJ20" s="178"/>
      <c r="AK20" s="178">
        <f t="shared" si="11"/>
        <v>41614</v>
      </c>
      <c r="AL20" t="s">
        <v>327</v>
      </c>
      <c r="AN20" s="149" t="str">
        <f t="shared" si="12"/>
        <v/>
      </c>
      <c r="AQ20" s="178">
        <f t="shared" ca="1" si="15"/>
        <v>45940</v>
      </c>
      <c r="AR20" s="178">
        <f t="shared" ca="1" si="16"/>
        <v>45940</v>
      </c>
    </row>
    <row r="21" spans="1:44" x14ac:dyDescent="0.2">
      <c r="A21" t="str">
        <f>IF(B21="","",CONCATENATE("GBL",B21," - ",Mantenedor!E32))</f>
        <v>GBLGrupo 10 - 31</v>
      </c>
      <c r="B21" t="s">
        <v>379</v>
      </c>
      <c r="C21" t="s">
        <v>190</v>
      </c>
      <c r="D21" t="s">
        <v>238</v>
      </c>
      <c r="E21" t="s">
        <v>378</v>
      </c>
      <c r="G21">
        <v>12121</v>
      </c>
      <c r="H21" t="s">
        <v>248</v>
      </c>
      <c r="I21" t="s">
        <v>240</v>
      </c>
      <c r="J21" s="267">
        <v>41255</v>
      </c>
      <c r="K21" s="178">
        <v>41620</v>
      </c>
      <c r="L21" s="3">
        <v>3</v>
      </c>
      <c r="M21" s="268">
        <v>41623</v>
      </c>
      <c r="N21" t="s">
        <v>242</v>
      </c>
      <c r="O21" t="s">
        <v>245</v>
      </c>
      <c r="P21" t="str">
        <f t="shared" si="0"/>
        <v>Base SINGLE 3 noches</v>
      </c>
      <c r="Q21" s="266" t="str" cm="1">
        <f t="array" ref="Q21">+_xlfn.IFS(O21="Nacional","CLP",O21="Extranjero","USD",O21="","")</f>
        <v>CLP</v>
      </c>
      <c r="R21" s="262">
        <f>IFERROR(IF(O21="Nacional",VLOOKUP(P21,PRICING!$D$4:$E$59,2,FALSE),VLOOKUP(P21,PRICING!$J$4:$K$59,2,FALSE)),"")</f>
        <v>1889999.9999999998</v>
      </c>
      <c r="S21" s="300" t="str">
        <f t="shared" si="17"/>
        <v>CLP 1.890.000</v>
      </c>
      <c r="V21" s="262"/>
      <c r="W21" s="280">
        <f t="shared" si="14"/>
        <v>0</v>
      </c>
      <c r="X21" s="178">
        <f t="shared" si="1"/>
        <v>41150</v>
      </c>
      <c r="Y21" s="178">
        <f t="shared" si="2"/>
        <v>41165</v>
      </c>
      <c r="Z21" s="178">
        <f t="shared" si="3"/>
        <v>41180</v>
      </c>
      <c r="AA21" s="178">
        <f t="shared" si="4"/>
        <v>41195</v>
      </c>
      <c r="AB21" s="178">
        <f t="shared" si="5"/>
        <v>41210</v>
      </c>
      <c r="AC21" s="178">
        <f t="shared" si="6"/>
        <v>41225</v>
      </c>
      <c r="AD21" s="267" t="s">
        <v>316</v>
      </c>
      <c r="AF21" s="149" t="str">
        <f t="shared" si="7"/>
        <v/>
      </c>
      <c r="AH21" s="178">
        <f t="shared" si="8"/>
        <v>41578</v>
      </c>
      <c r="AI21" s="178">
        <f t="shared" si="9"/>
        <v>41593</v>
      </c>
      <c r="AJ21" s="178"/>
      <c r="AK21" s="178">
        <f t="shared" si="11"/>
        <v>41616</v>
      </c>
      <c r="AL21" t="s">
        <v>327</v>
      </c>
      <c r="AN21" s="149" t="str">
        <f t="shared" si="12"/>
        <v/>
      </c>
      <c r="AQ21" s="178">
        <f t="shared" ca="1" si="15"/>
        <v>45940</v>
      </c>
      <c r="AR21" s="178">
        <f t="shared" ca="1" si="16"/>
        <v>45940</v>
      </c>
    </row>
    <row r="22" spans="1:44" x14ac:dyDescent="0.2">
      <c r="A22" t="str">
        <f>IF(B22="","",CONCATENATE("GBL",B22," - ",Mantenedor!E33))</f>
        <v>GBLGrupo 11 - 32</v>
      </c>
      <c r="B22" t="s">
        <v>381</v>
      </c>
      <c r="C22" t="s">
        <v>190</v>
      </c>
      <c r="D22" t="s">
        <v>238</v>
      </c>
      <c r="E22" t="s">
        <v>380</v>
      </c>
      <c r="G22">
        <v>12</v>
      </c>
      <c r="H22" t="s">
        <v>248</v>
      </c>
      <c r="I22" t="s">
        <v>240</v>
      </c>
      <c r="J22" s="267">
        <v>41255</v>
      </c>
      <c r="K22" s="178">
        <v>41620</v>
      </c>
      <c r="L22" s="3">
        <v>12</v>
      </c>
      <c r="M22" s="268">
        <v>41632</v>
      </c>
      <c r="N22" t="s">
        <v>242</v>
      </c>
      <c r="O22" t="s">
        <v>246</v>
      </c>
      <c r="P22" t="str">
        <f t="shared" si="0"/>
        <v>Base SINGLE 12 noches</v>
      </c>
      <c r="Q22" s="266" t="str" cm="1">
        <f t="array" ref="Q22">+_xlfn.IFS(O22="Nacional","CLP",O22="Extranjero","USD",O22="","")</f>
        <v>USD</v>
      </c>
      <c r="R22" s="262">
        <f>IFERROR(IF(O22="Nacional",VLOOKUP(P22,PRICING!$D$4:$E$59,2,FALSE),VLOOKUP(P22,PRICING!$J$4:$K$59,2,FALSE)),"")</f>
        <v>15749.999999999998</v>
      </c>
      <c r="S22" s="300" t="str">
        <f t="shared" si="17"/>
        <v>USD 15.750</v>
      </c>
      <c r="V22" s="262"/>
      <c r="W22" s="280">
        <f t="shared" si="14"/>
        <v>0</v>
      </c>
      <c r="X22" s="178">
        <f t="shared" si="1"/>
        <v>41150</v>
      </c>
      <c r="Y22" s="178">
        <f t="shared" si="2"/>
        <v>41165</v>
      </c>
      <c r="Z22" s="178">
        <f t="shared" si="3"/>
        <v>41180</v>
      </c>
      <c r="AA22" s="178">
        <f t="shared" si="4"/>
        <v>41195</v>
      </c>
      <c r="AB22" s="178">
        <f t="shared" si="5"/>
        <v>41210</v>
      </c>
      <c r="AC22" s="178">
        <f t="shared" si="6"/>
        <v>41225</v>
      </c>
      <c r="AD22" s="267" t="s">
        <v>316</v>
      </c>
      <c r="AF22" s="149" t="str">
        <f t="shared" si="7"/>
        <v/>
      </c>
      <c r="AH22" s="178">
        <f t="shared" si="8"/>
        <v>41587</v>
      </c>
      <c r="AI22" s="178">
        <f t="shared" si="9"/>
        <v>41602</v>
      </c>
      <c r="AJ22" s="178"/>
      <c r="AK22" s="178">
        <f t="shared" si="11"/>
        <v>41625</v>
      </c>
      <c r="AL22" t="s">
        <v>327</v>
      </c>
      <c r="AN22" s="149" t="str">
        <f t="shared" si="12"/>
        <v/>
      </c>
      <c r="AQ22" s="178">
        <f t="shared" ca="1" si="15"/>
        <v>45940</v>
      </c>
      <c r="AR22" s="178">
        <f t="shared" ca="1" si="16"/>
        <v>45940</v>
      </c>
    </row>
    <row r="23" spans="1:44" x14ac:dyDescent="0.2">
      <c r="A23" t="str">
        <f>IF(B23="","",CONCATENATE("GBL",B23," - ",Mantenedor!E34))</f>
        <v>GBLGrupo 12 - 33</v>
      </c>
      <c r="B23" t="s">
        <v>384</v>
      </c>
      <c r="C23" t="s">
        <v>190</v>
      </c>
      <c r="D23" t="s">
        <v>238</v>
      </c>
      <c r="E23" t="s">
        <v>383</v>
      </c>
      <c r="G23">
        <v>12</v>
      </c>
      <c r="H23" t="s">
        <v>247</v>
      </c>
      <c r="I23" t="s">
        <v>240</v>
      </c>
      <c r="J23" s="3" t="s">
        <v>382</v>
      </c>
      <c r="K23" s="178">
        <v>41620</v>
      </c>
      <c r="L23" s="3">
        <v>12</v>
      </c>
      <c r="M23" s="268">
        <v>41632</v>
      </c>
      <c r="N23" t="s">
        <v>242</v>
      </c>
      <c r="O23" t="s">
        <v>245</v>
      </c>
      <c r="P23" t="str">
        <f t="shared" si="0"/>
        <v>Base SINGLE 12 noches</v>
      </c>
      <c r="Q23" s="266" t="str" cm="1">
        <f t="array" ref="Q23">+_xlfn.IFS(O23="Nacional","CLP",O23="Extranjero","USD",O23="","")</f>
        <v>CLP</v>
      </c>
      <c r="R23" s="262">
        <f>IFERROR(IF(O23="Nacional",VLOOKUP(P23,PRICING!$D$4:$E$59,2,FALSE),VLOOKUP(P23,PRICING!$J$4:$K$59,2,FALSE)),"")</f>
        <v>6930000</v>
      </c>
      <c r="S23" s="300" t="str">
        <f t="shared" si="17"/>
        <v>CLP 6.930.000</v>
      </c>
      <c r="V23" s="262"/>
      <c r="W23" s="280">
        <f t="shared" si="14"/>
        <v>0</v>
      </c>
      <c r="X23" s="178" t="e">
        <f t="shared" si="1"/>
        <v>#VALUE!</v>
      </c>
      <c r="Y23" s="178" t="e">
        <f t="shared" si="2"/>
        <v>#VALUE!</v>
      </c>
      <c r="Z23" s="178" t="e">
        <f t="shared" si="3"/>
        <v>#VALUE!</v>
      </c>
      <c r="AA23" s="178" t="e">
        <f t="shared" si="4"/>
        <v>#VALUE!</v>
      </c>
      <c r="AB23" s="178" t="e">
        <f t="shared" si="5"/>
        <v>#VALUE!</v>
      </c>
      <c r="AC23" s="178" t="e">
        <f t="shared" si="6"/>
        <v>#VALUE!</v>
      </c>
      <c r="AD23" s="267" t="s">
        <v>316</v>
      </c>
      <c r="AF23" s="149" t="str">
        <f t="shared" si="7"/>
        <v/>
      </c>
      <c r="AH23" s="178">
        <f t="shared" si="8"/>
        <v>41587</v>
      </c>
      <c r="AI23" s="178">
        <f t="shared" si="9"/>
        <v>41602</v>
      </c>
      <c r="AJ23" s="178"/>
      <c r="AK23" s="178">
        <f t="shared" si="11"/>
        <v>41625</v>
      </c>
      <c r="AL23" t="s">
        <v>327</v>
      </c>
      <c r="AN23" s="149" t="str">
        <f t="shared" si="12"/>
        <v/>
      </c>
      <c r="AQ23" s="178">
        <f t="shared" ca="1" si="15"/>
        <v>45940</v>
      </c>
      <c r="AR23" s="178">
        <f t="shared" ca="1" si="16"/>
        <v>45940</v>
      </c>
    </row>
    <row r="24" spans="1:44" x14ac:dyDescent="0.2">
      <c r="A24" t="str">
        <f>IF(B24="","",CONCATENATE("GBL",B24," - ",Mantenedor!E35))</f>
        <v>GBLGrupo 13 - 34</v>
      </c>
      <c r="B24" t="s">
        <v>386</v>
      </c>
      <c r="C24" t="s">
        <v>190</v>
      </c>
      <c r="D24" t="s">
        <v>238</v>
      </c>
      <c r="E24" t="s">
        <v>385</v>
      </c>
      <c r="F24" t="s">
        <v>370</v>
      </c>
      <c r="G24">
        <v>11</v>
      </c>
      <c r="H24" t="s">
        <v>247</v>
      </c>
      <c r="I24" t="s">
        <v>240</v>
      </c>
      <c r="J24" s="267">
        <v>45973</v>
      </c>
      <c r="K24" s="178">
        <v>45973</v>
      </c>
      <c r="L24" s="3">
        <v>2</v>
      </c>
      <c r="M24" s="268">
        <v>45975</v>
      </c>
      <c r="N24" t="s">
        <v>243</v>
      </c>
      <c r="O24" t="s">
        <v>246</v>
      </c>
      <c r="P24" t="str">
        <f t="shared" si="0"/>
        <v>Base DOBLE 2 noches</v>
      </c>
      <c r="Q24" s="266" t="str" cm="1">
        <f t="array" ref="Q24">+_xlfn.IFS(O24="Nacional","CLP",O24="Extranjero","USD",O24="","")</f>
        <v>USD</v>
      </c>
      <c r="R24" s="262">
        <f>IFERROR(IF(O24="Nacional",VLOOKUP(P24,PRICING!$D$4:$E$59,2,FALSE),VLOOKUP(P24,PRICING!$J$4:$K$59,2,FALSE)),"")</f>
        <v>2250</v>
      </c>
      <c r="S24" s="300" t="str">
        <f t="shared" si="17"/>
        <v>USD 2.250</v>
      </c>
      <c r="V24" s="262"/>
      <c r="W24" s="280">
        <f t="shared" si="14"/>
        <v>0</v>
      </c>
      <c r="X24" s="178">
        <f t="shared" si="1"/>
        <v>45868</v>
      </c>
      <c r="Y24" s="178">
        <f t="shared" si="2"/>
        <v>45883</v>
      </c>
      <c r="Z24" s="178">
        <f t="shared" si="3"/>
        <v>45898</v>
      </c>
      <c r="AA24" s="178">
        <f t="shared" si="4"/>
        <v>45913</v>
      </c>
      <c r="AB24" s="178">
        <f t="shared" si="5"/>
        <v>45928</v>
      </c>
      <c r="AC24" s="178">
        <f t="shared" si="6"/>
        <v>45943</v>
      </c>
      <c r="AD24" s="267" t="s">
        <v>316</v>
      </c>
      <c r="AF24" s="149" t="str">
        <f t="shared" si="7"/>
        <v/>
      </c>
      <c r="AH24" s="178">
        <f t="shared" si="8"/>
        <v>45930</v>
      </c>
      <c r="AI24" s="178">
        <f t="shared" si="9"/>
        <v>45945</v>
      </c>
      <c r="AJ24" s="178"/>
      <c r="AK24" s="178">
        <f t="shared" si="11"/>
        <v>45968</v>
      </c>
      <c r="AL24" t="s">
        <v>327</v>
      </c>
      <c r="AN24" s="149" t="str">
        <f t="shared" si="12"/>
        <v/>
      </c>
      <c r="AQ24" s="178">
        <f t="shared" ca="1" si="15"/>
        <v>45940</v>
      </c>
      <c r="AR24" s="178">
        <f t="shared" ca="1" si="16"/>
        <v>45940</v>
      </c>
    </row>
    <row r="25" spans="1:44" x14ac:dyDescent="0.2">
      <c r="A25" t="str">
        <f>IF(B25="","",CONCATENATE("GBL",B25," - ",Mantenedor!E36))</f>
        <v>GBLGrupo 14 - 35</v>
      </c>
      <c r="B25" t="s">
        <v>396</v>
      </c>
      <c r="C25" t="s">
        <v>190</v>
      </c>
      <c r="D25" t="s">
        <v>238</v>
      </c>
      <c r="E25" t="s">
        <v>390</v>
      </c>
      <c r="F25" t="s">
        <v>391</v>
      </c>
      <c r="G25">
        <v>1221</v>
      </c>
      <c r="H25" t="s">
        <v>247</v>
      </c>
      <c r="I25" t="s">
        <v>240</v>
      </c>
      <c r="J25" s="267">
        <v>45658</v>
      </c>
      <c r="K25" s="178">
        <v>45667</v>
      </c>
      <c r="L25" s="3">
        <v>10</v>
      </c>
      <c r="M25" s="268">
        <v>45677</v>
      </c>
      <c r="N25" t="s">
        <v>242</v>
      </c>
      <c r="O25" t="s">
        <v>246</v>
      </c>
      <c r="P25" t="str">
        <f t="shared" si="0"/>
        <v>Base SINGLE 10 noches</v>
      </c>
      <c r="Q25" s="266" t="str" cm="1">
        <f t="array" ref="Q25">+_xlfn.IFS(O25="Nacional","CLP",O25="Extranjero","USD",O25="","")</f>
        <v>USD</v>
      </c>
      <c r="R25" s="262">
        <f>IFERROR(IF(O25="Nacional",VLOOKUP(P25,PRICING!$D$4:$E$59,2,FALSE),VLOOKUP(P25,PRICING!$J$4:$K$59,2,FALSE)),"")</f>
        <v>13230</v>
      </c>
      <c r="S25"/>
      <c r="T25" s="278">
        <v>0.1</v>
      </c>
      <c r="U25" s="278" t="s">
        <v>320</v>
      </c>
      <c r="V25" s="262"/>
      <c r="W25" s="280">
        <f t="shared" si="14"/>
        <v>0</v>
      </c>
      <c r="X25" s="178">
        <f t="shared" si="1"/>
        <v>45553</v>
      </c>
      <c r="Y25" s="178">
        <f t="shared" si="2"/>
        <v>45568</v>
      </c>
      <c r="Z25" s="178">
        <f t="shared" si="3"/>
        <v>45583</v>
      </c>
      <c r="AA25" s="178">
        <f t="shared" si="4"/>
        <v>45598</v>
      </c>
      <c r="AB25" s="178">
        <f t="shared" si="5"/>
        <v>45613</v>
      </c>
      <c r="AC25" s="178">
        <f t="shared" si="6"/>
        <v>45628</v>
      </c>
      <c r="AD25" s="267" t="s">
        <v>316</v>
      </c>
      <c r="AE25" s="178">
        <v>45938</v>
      </c>
      <c r="AF25" s="149">
        <f t="shared" si="7"/>
        <v>0</v>
      </c>
      <c r="AG25" t="s">
        <v>400</v>
      </c>
      <c r="AH25" s="178">
        <f t="shared" si="8"/>
        <v>45632</v>
      </c>
      <c r="AI25" s="178">
        <f t="shared" si="9"/>
        <v>45647</v>
      </c>
      <c r="AJ25" s="178"/>
      <c r="AK25" s="178">
        <f t="shared" si="11"/>
        <v>45670</v>
      </c>
      <c r="AL25" t="s">
        <v>327</v>
      </c>
      <c r="AN25" s="149" t="str">
        <f t="shared" si="12"/>
        <v/>
      </c>
      <c r="AQ25" s="178">
        <f t="shared" ca="1" si="15"/>
        <v>45940</v>
      </c>
      <c r="AR25" s="178">
        <f t="shared" ca="1" si="16"/>
        <v>45940</v>
      </c>
    </row>
    <row r="26" spans="1:44" x14ac:dyDescent="0.2">
      <c r="A26" t="str">
        <f>IF(B26="","",CONCATENATE("GBL",B26," - ",Mantenedor!E37))</f>
        <v>GBLGrupo 14 - 36</v>
      </c>
      <c r="B26" t="s">
        <v>396</v>
      </c>
      <c r="C26" t="s">
        <v>345</v>
      </c>
      <c r="D26" t="s">
        <v>238</v>
      </c>
      <c r="E26" t="s">
        <v>392</v>
      </c>
      <c r="F26" t="s">
        <v>393</v>
      </c>
      <c r="G26">
        <v>2112</v>
      </c>
      <c r="H26" t="s">
        <v>247</v>
      </c>
      <c r="I26" t="s">
        <v>240</v>
      </c>
      <c r="J26" s="267">
        <v>45658</v>
      </c>
      <c r="K26" s="178">
        <v>45667</v>
      </c>
      <c r="L26" s="3">
        <v>10</v>
      </c>
      <c r="M26" s="268">
        <v>45677</v>
      </c>
      <c r="N26" t="s">
        <v>243</v>
      </c>
      <c r="O26" t="s">
        <v>246</v>
      </c>
      <c r="P26" t="str">
        <f t="shared" si="0"/>
        <v>Base DOBLE 10 noches</v>
      </c>
      <c r="Q26" s="266" t="str" cm="1">
        <f t="array" ref="Q26">+_xlfn.IFS(O26="Nacional","CLP",O26="Extranjero","USD",O26="","")</f>
        <v>USD</v>
      </c>
      <c r="R26" s="262">
        <f>IFERROR(IF(O26="Nacional",VLOOKUP(P26,PRICING!$D$4:$E$59,2,FALSE),VLOOKUP(P26,PRICING!$J$4:$K$59,2,FALSE)),"")</f>
        <v>9450</v>
      </c>
      <c r="S26"/>
      <c r="T26" s="278">
        <v>0.1</v>
      </c>
      <c r="U26" s="278" t="s">
        <v>344</v>
      </c>
      <c r="V26" s="262"/>
      <c r="W26" s="280">
        <f t="shared" si="14"/>
        <v>0</v>
      </c>
      <c r="X26" s="178">
        <f t="shared" si="1"/>
        <v>45553</v>
      </c>
      <c r="Y26" s="178">
        <f t="shared" si="2"/>
        <v>45568</v>
      </c>
      <c r="Z26" s="178">
        <f t="shared" si="3"/>
        <v>45583</v>
      </c>
      <c r="AA26" s="178">
        <f t="shared" si="4"/>
        <v>45598</v>
      </c>
      <c r="AB26" s="178">
        <f t="shared" si="5"/>
        <v>45613</v>
      </c>
      <c r="AC26" s="178">
        <f t="shared" si="6"/>
        <v>45628</v>
      </c>
      <c r="AD26" s="267" t="s">
        <v>316</v>
      </c>
      <c r="AE26" s="178">
        <v>45938</v>
      </c>
      <c r="AF26" s="149">
        <f t="shared" si="7"/>
        <v>0</v>
      </c>
      <c r="AG26" t="s">
        <v>400</v>
      </c>
      <c r="AH26" s="178">
        <f t="shared" si="8"/>
        <v>45632</v>
      </c>
      <c r="AI26" s="178">
        <f t="shared" si="9"/>
        <v>45647</v>
      </c>
      <c r="AJ26" s="178"/>
      <c r="AK26" s="178">
        <f t="shared" si="11"/>
        <v>45670</v>
      </c>
      <c r="AL26" t="s">
        <v>327</v>
      </c>
      <c r="AN26" s="149" t="str">
        <f t="shared" si="12"/>
        <v/>
      </c>
      <c r="AQ26" s="178">
        <f t="shared" ca="1" si="15"/>
        <v>45940</v>
      </c>
      <c r="AR26" s="178">
        <f t="shared" ca="1" si="16"/>
        <v>45940</v>
      </c>
    </row>
    <row r="27" spans="1:44" x14ac:dyDescent="0.2">
      <c r="A27" t="str">
        <f>IF(B27="","",CONCATENATE("GBL",B27," - ",Mantenedor!E38))</f>
        <v>GBLGrupo 14 - 37</v>
      </c>
      <c r="B27" t="s">
        <v>396</v>
      </c>
      <c r="C27" t="s">
        <v>347</v>
      </c>
      <c r="D27" t="s">
        <v>238</v>
      </c>
      <c r="E27" t="s">
        <v>394</v>
      </c>
      <c r="F27" t="s">
        <v>395</v>
      </c>
      <c r="G27">
        <v>1331</v>
      </c>
      <c r="H27" t="s">
        <v>248</v>
      </c>
      <c r="I27" t="s">
        <v>240</v>
      </c>
      <c r="J27" s="267">
        <v>45658</v>
      </c>
      <c r="K27" s="178">
        <v>45667</v>
      </c>
      <c r="L27" s="3">
        <v>10</v>
      </c>
      <c r="M27" s="268">
        <v>45677</v>
      </c>
      <c r="N27" t="s">
        <v>243</v>
      </c>
      <c r="O27" t="s">
        <v>246</v>
      </c>
      <c r="P27" t="str">
        <f t="shared" si="0"/>
        <v>Base DOBLE 10 noches</v>
      </c>
      <c r="Q27" s="266" t="str" cm="1">
        <f t="array" ref="Q27">+_xlfn.IFS(O27="Nacional","CLP",O27="Extranjero","USD",O27="","")</f>
        <v>USD</v>
      </c>
      <c r="R27" s="262">
        <f>IFERROR(IF(O27="Nacional",VLOOKUP(P27,PRICING!$D$4:$E$59,2,FALSE),VLOOKUP(P27,PRICING!$J$4:$K$59,2,FALSE)),"")</f>
        <v>9450</v>
      </c>
      <c r="S27"/>
      <c r="T27" s="278">
        <v>0.1</v>
      </c>
      <c r="U27" s="278" t="s">
        <v>344</v>
      </c>
      <c r="V27" s="262"/>
      <c r="W27" s="280">
        <f t="shared" si="14"/>
        <v>0</v>
      </c>
      <c r="X27" s="178">
        <f t="shared" si="1"/>
        <v>45553</v>
      </c>
      <c r="Y27" s="178">
        <f t="shared" si="2"/>
        <v>45568</v>
      </c>
      <c r="Z27" s="178">
        <f t="shared" si="3"/>
        <v>45583</v>
      </c>
      <c r="AA27" s="178">
        <f t="shared" si="4"/>
        <v>45598</v>
      </c>
      <c r="AB27" s="178">
        <f t="shared" si="5"/>
        <v>45613</v>
      </c>
      <c r="AC27" s="178">
        <f t="shared" si="6"/>
        <v>45628</v>
      </c>
      <c r="AD27" s="267" t="s">
        <v>316</v>
      </c>
      <c r="AE27" s="178">
        <v>45938</v>
      </c>
      <c r="AF27" s="149">
        <f t="shared" si="7"/>
        <v>0</v>
      </c>
      <c r="AG27" t="s">
        <v>400</v>
      </c>
      <c r="AH27" s="178">
        <f t="shared" si="8"/>
        <v>45632</v>
      </c>
      <c r="AI27" s="178">
        <f t="shared" si="9"/>
        <v>45647</v>
      </c>
      <c r="AJ27" s="178"/>
      <c r="AK27" s="178">
        <f t="shared" si="11"/>
        <v>45670</v>
      </c>
      <c r="AL27" t="s">
        <v>327</v>
      </c>
      <c r="AN27" s="149" t="str">
        <f t="shared" si="12"/>
        <v/>
      </c>
      <c r="AQ27" s="178">
        <f t="shared" ca="1" si="15"/>
        <v>45940</v>
      </c>
      <c r="AR27" s="178">
        <f t="shared" ca="1" si="16"/>
        <v>45940</v>
      </c>
    </row>
    <row r="28" spans="1:44" x14ac:dyDescent="0.2">
      <c r="A28" t="str">
        <f>IF(B28="","",CONCATENATE("GBL",B28," - ",Mantenedor!E39))</f>
        <v>GBLGrupo 15 - 38</v>
      </c>
      <c r="B28" t="s">
        <v>431</v>
      </c>
      <c r="C28" t="s">
        <v>190</v>
      </c>
      <c r="D28" t="s">
        <v>239</v>
      </c>
      <c r="E28" t="s">
        <v>328</v>
      </c>
      <c r="F28" t="s">
        <v>329</v>
      </c>
      <c r="G28">
        <v>234</v>
      </c>
      <c r="H28" t="s">
        <v>247</v>
      </c>
      <c r="I28" t="s">
        <v>240</v>
      </c>
      <c r="J28" s="267">
        <v>41255</v>
      </c>
      <c r="K28" s="178">
        <v>45737</v>
      </c>
      <c r="L28" s="3">
        <v>6</v>
      </c>
      <c r="M28" s="268">
        <v>45743</v>
      </c>
      <c r="N28" t="s">
        <v>242</v>
      </c>
      <c r="O28" t="s">
        <v>245</v>
      </c>
      <c r="P28" t="str">
        <f t="shared" si="0"/>
        <v>Base SINGLE 6 noches</v>
      </c>
      <c r="Q28" s="266" t="str" cm="1">
        <f t="array" ref="Q28">+_xlfn.IFS(O28="Nacional","CLP",O28="Extranjero","USD",O28="","")</f>
        <v>CLP</v>
      </c>
      <c r="R28" s="262">
        <f>IFERROR(IF(O28="Nacional",VLOOKUP(P28,PRICING!$D$4:$E$59,2,FALSE),VLOOKUP(P28,PRICING!$J$4:$K$59,2,FALSE)),"")</f>
        <v>3570000</v>
      </c>
      <c r="S28"/>
      <c r="V28" s="262"/>
      <c r="W28" s="280">
        <f t="shared" si="14"/>
        <v>0</v>
      </c>
      <c r="X28" s="178">
        <f t="shared" si="1"/>
        <v>41150</v>
      </c>
      <c r="Y28" s="178">
        <f t="shared" si="2"/>
        <v>41165</v>
      </c>
      <c r="Z28" s="178">
        <f t="shared" si="3"/>
        <v>41180</v>
      </c>
      <c r="AA28" s="178">
        <f t="shared" si="4"/>
        <v>41195</v>
      </c>
      <c r="AB28" s="178">
        <f t="shared" si="5"/>
        <v>41210</v>
      </c>
      <c r="AC28" s="178">
        <f t="shared" si="6"/>
        <v>41225</v>
      </c>
      <c r="AD28" s="267" t="s">
        <v>316</v>
      </c>
      <c r="AF28" s="149" t="str">
        <f t="shared" si="7"/>
        <v/>
      </c>
      <c r="AH28" s="178">
        <f t="shared" si="8"/>
        <v>45698</v>
      </c>
      <c r="AI28" s="178">
        <f t="shared" si="9"/>
        <v>45713</v>
      </c>
      <c r="AJ28" s="178"/>
      <c r="AK28" s="178">
        <f t="shared" si="11"/>
        <v>45736</v>
      </c>
      <c r="AL28" t="s">
        <v>327</v>
      </c>
      <c r="AN28" s="149" t="str">
        <f t="shared" si="12"/>
        <v/>
      </c>
      <c r="AQ28" s="178">
        <f t="shared" ca="1" si="15"/>
        <v>45940</v>
      </c>
      <c r="AR28" s="178">
        <f t="shared" ca="1" si="16"/>
        <v>45940</v>
      </c>
    </row>
    <row r="29" spans="1:44" x14ac:dyDescent="0.2">
      <c r="A29" t="str">
        <f>IF(B29="","",CONCATENATE("GBL",B29," - ",Mantenedor!E40))</f>
        <v>GBLGrupo 15 - 39</v>
      </c>
      <c r="B29" t="s">
        <v>431</v>
      </c>
      <c r="C29" t="s">
        <v>345</v>
      </c>
      <c r="D29" t="s">
        <v>239</v>
      </c>
      <c r="E29" t="s">
        <v>40</v>
      </c>
      <c r="F29" t="s">
        <v>41</v>
      </c>
      <c r="G29">
        <v>987654321</v>
      </c>
      <c r="H29" t="s">
        <v>247</v>
      </c>
      <c r="I29" t="s">
        <v>240</v>
      </c>
      <c r="J29" s="267">
        <v>41255</v>
      </c>
      <c r="K29" s="178">
        <v>45737</v>
      </c>
      <c r="L29" s="3">
        <v>6</v>
      </c>
      <c r="M29" s="268">
        <v>45743</v>
      </c>
      <c r="N29" t="s">
        <v>242</v>
      </c>
      <c r="O29" t="s">
        <v>245</v>
      </c>
      <c r="P29" t="str">
        <f t="shared" si="0"/>
        <v>Base SINGLE 6 noches</v>
      </c>
      <c r="Q29" s="266" t="str" cm="1">
        <f t="array" ref="Q29">+_xlfn.IFS(O29="Nacional","CLP",O29="Extranjero","USD",O29="","")</f>
        <v>CLP</v>
      </c>
      <c r="R29" s="262">
        <f>IFERROR(IF(O29="Nacional",VLOOKUP(P29,PRICING!$D$4:$E$59,2,FALSE),VLOOKUP(P29,PRICING!$J$4:$K$59,2,FALSE)),"")</f>
        <v>3570000</v>
      </c>
      <c r="S29"/>
      <c r="V29" s="262"/>
      <c r="W29" s="280">
        <f t="shared" si="14"/>
        <v>0</v>
      </c>
      <c r="X29" s="178">
        <f t="shared" si="1"/>
        <v>41150</v>
      </c>
      <c r="Y29" s="178">
        <f t="shared" si="2"/>
        <v>41165</v>
      </c>
      <c r="Z29" s="178">
        <f t="shared" si="3"/>
        <v>41180</v>
      </c>
      <c r="AA29" s="178">
        <f t="shared" si="4"/>
        <v>41195</v>
      </c>
      <c r="AB29" s="178">
        <f t="shared" si="5"/>
        <v>41210</v>
      </c>
      <c r="AC29" s="178">
        <f t="shared" si="6"/>
        <v>41225</v>
      </c>
      <c r="AD29" s="267" t="s">
        <v>316</v>
      </c>
      <c r="AF29" s="149" t="str">
        <f t="shared" si="7"/>
        <v/>
      </c>
      <c r="AH29" s="178">
        <f t="shared" si="8"/>
        <v>45698</v>
      </c>
      <c r="AI29" s="178">
        <f t="shared" si="9"/>
        <v>45713</v>
      </c>
      <c r="AJ29" s="178"/>
      <c r="AK29" s="178">
        <f t="shared" si="11"/>
        <v>45736</v>
      </c>
      <c r="AL29" t="s">
        <v>327</v>
      </c>
      <c r="AN29" s="149" t="str">
        <f t="shared" si="12"/>
        <v/>
      </c>
      <c r="AQ29" s="178">
        <f t="shared" ca="1" si="15"/>
        <v>45940</v>
      </c>
      <c r="AR29" s="178">
        <f t="shared" ca="1" si="16"/>
        <v>45940</v>
      </c>
    </row>
    <row r="30" spans="1:44" x14ac:dyDescent="0.2">
      <c r="A30" t="str">
        <f>IF(B30="","",CONCATENATE("GBL",B30," - ",Mantenedor!E41))</f>
        <v>GBLGrupo 15 - 40</v>
      </c>
      <c r="B30" t="s">
        <v>431</v>
      </c>
      <c r="C30" t="s">
        <v>347</v>
      </c>
      <c r="D30" t="s">
        <v>239</v>
      </c>
      <c r="E30" t="s">
        <v>119</v>
      </c>
      <c r="F30" t="s">
        <v>346</v>
      </c>
      <c r="G30">
        <v>1234</v>
      </c>
      <c r="H30" t="s">
        <v>247</v>
      </c>
      <c r="I30" t="s">
        <v>240</v>
      </c>
      <c r="J30" s="267">
        <v>41255</v>
      </c>
      <c r="K30" s="178">
        <v>45737</v>
      </c>
      <c r="L30" s="3">
        <v>6</v>
      </c>
      <c r="M30" s="268">
        <v>45743</v>
      </c>
      <c r="N30" t="s">
        <v>242</v>
      </c>
      <c r="O30" t="s">
        <v>245</v>
      </c>
      <c r="P30" t="str">
        <f t="shared" si="0"/>
        <v>Base SINGLE 6 noches</v>
      </c>
      <c r="Q30" s="266" t="str" cm="1">
        <f t="array" ref="Q30">+_xlfn.IFS(O30="Nacional","CLP",O30="Extranjero","USD",O30="","")</f>
        <v>CLP</v>
      </c>
      <c r="R30" s="262">
        <f>IFERROR(IF(O30="Nacional",VLOOKUP(P30,PRICING!$D$4:$E$59,2,FALSE),VLOOKUP(P30,PRICING!$J$4:$K$59,2,FALSE)),"")</f>
        <v>3570000</v>
      </c>
      <c r="S30"/>
      <c r="V30" s="262"/>
      <c r="W30" s="280">
        <f t="shared" si="14"/>
        <v>0</v>
      </c>
      <c r="X30" s="178">
        <f t="shared" si="1"/>
        <v>41150</v>
      </c>
      <c r="Y30" s="178">
        <f t="shared" si="2"/>
        <v>41165</v>
      </c>
      <c r="Z30" s="178">
        <f t="shared" si="3"/>
        <v>41180</v>
      </c>
      <c r="AA30" s="178">
        <f t="shared" si="4"/>
        <v>41195</v>
      </c>
      <c r="AB30" s="178">
        <f t="shared" si="5"/>
        <v>41210</v>
      </c>
      <c r="AC30" s="178">
        <f t="shared" si="6"/>
        <v>41225</v>
      </c>
      <c r="AD30" s="267" t="s">
        <v>316</v>
      </c>
      <c r="AF30" s="149" t="str">
        <f t="shared" si="7"/>
        <v/>
      </c>
      <c r="AH30" s="178">
        <f t="shared" si="8"/>
        <v>45698</v>
      </c>
      <c r="AI30" s="178">
        <f t="shared" si="9"/>
        <v>45713</v>
      </c>
      <c r="AJ30" s="178"/>
      <c r="AK30" s="178">
        <f t="shared" si="11"/>
        <v>45736</v>
      </c>
      <c r="AL30" t="s">
        <v>327</v>
      </c>
      <c r="AN30" s="149" t="str">
        <f t="shared" si="12"/>
        <v/>
      </c>
      <c r="AQ30" s="178">
        <f t="shared" ca="1" si="15"/>
        <v>45940</v>
      </c>
      <c r="AR30" s="178">
        <f t="shared" ca="1" si="16"/>
        <v>45940</v>
      </c>
    </row>
    <row r="31" spans="1:44" x14ac:dyDescent="0.2">
      <c r="A31" t="str">
        <f>IF(B31="","",CONCATENATE("GBL",B31," - ",Mantenedor!E42))</f>
        <v>GBLGrupo 16 - 41</v>
      </c>
      <c r="B31" t="s">
        <v>434</v>
      </c>
      <c r="C31" t="s">
        <v>190</v>
      </c>
      <c r="D31" t="s">
        <v>238</v>
      </c>
      <c r="E31" t="s">
        <v>432</v>
      </c>
      <c r="F31" t="s">
        <v>433</v>
      </c>
      <c r="G31">
        <v>122</v>
      </c>
      <c r="H31" t="s">
        <v>247</v>
      </c>
      <c r="I31" t="s">
        <v>240</v>
      </c>
      <c r="J31" s="267">
        <v>41255</v>
      </c>
      <c r="K31" s="178">
        <v>46054</v>
      </c>
      <c r="L31" s="3">
        <v>5</v>
      </c>
      <c r="M31" s="268">
        <v>46059</v>
      </c>
      <c r="N31" t="s">
        <v>242</v>
      </c>
      <c r="O31" t="s">
        <v>245</v>
      </c>
      <c r="P31" t="str">
        <f t="shared" si="0"/>
        <v>Base SINGLE 5 noches</v>
      </c>
      <c r="Q31" s="266" t="str" cm="1">
        <f t="array" ref="Q31">+_xlfn.IFS(O31="Nacional","CLP",O31="Extranjero","USD",O31="","")</f>
        <v>CLP</v>
      </c>
      <c r="R31" s="262">
        <f>IFERROR(IF(O31="Nacional",VLOOKUP(P31,PRICING!$D$4:$E$59,2,FALSE),VLOOKUP(P31,PRICING!$J$4:$K$59,2,FALSE)),"")</f>
        <v>3010000</v>
      </c>
      <c r="S31"/>
      <c r="T31" s="278">
        <v>0</v>
      </c>
      <c r="U31" s="278" t="s">
        <v>320</v>
      </c>
      <c r="V31" s="262"/>
      <c r="W31" s="280">
        <f t="shared" si="14"/>
        <v>0</v>
      </c>
      <c r="X31" s="178">
        <f t="shared" si="1"/>
        <v>41150</v>
      </c>
      <c r="Y31" s="178">
        <f t="shared" si="2"/>
        <v>41165</v>
      </c>
      <c r="Z31" s="178">
        <f t="shared" si="3"/>
        <v>41180</v>
      </c>
      <c r="AA31" s="178">
        <f t="shared" si="4"/>
        <v>41195</v>
      </c>
      <c r="AB31" s="178">
        <f t="shared" si="5"/>
        <v>41210</v>
      </c>
      <c r="AC31" s="178">
        <f t="shared" si="6"/>
        <v>41225</v>
      </c>
      <c r="AD31" s="267" t="s">
        <v>316</v>
      </c>
      <c r="AE31" s="178">
        <v>45940</v>
      </c>
      <c r="AF31" s="149">
        <f t="shared" si="7"/>
        <v>0</v>
      </c>
      <c r="AG31" t="s">
        <v>326</v>
      </c>
      <c r="AH31" s="178">
        <f t="shared" si="8"/>
        <v>46014</v>
      </c>
      <c r="AI31" s="178">
        <f t="shared" si="9"/>
        <v>46029</v>
      </c>
      <c r="AJ31" s="178"/>
      <c r="AK31" s="178">
        <f t="shared" si="11"/>
        <v>46052</v>
      </c>
      <c r="AL31" t="s">
        <v>327</v>
      </c>
      <c r="AN31" s="149" t="str">
        <f t="shared" si="12"/>
        <v/>
      </c>
      <c r="AQ31" s="178">
        <f t="shared" ca="1" si="15"/>
        <v>45940</v>
      </c>
      <c r="AR31" s="178">
        <f t="shared" ca="1" si="16"/>
        <v>45940</v>
      </c>
    </row>
    <row r="32" spans="1:44" x14ac:dyDescent="0.2">
      <c r="A32" t="str">
        <f>IF(B32="","",CONCATENATE("GBL",B32," - ",Mantenedor!E43))</f>
        <v/>
      </c>
      <c r="P32" t="str">
        <f t="shared" si="0"/>
        <v/>
      </c>
      <c r="Q32" s="266" t="str" cm="1">
        <f t="array" ref="Q32">+_xlfn.IFS(O32="Nacional","CLP",O32="Extranjero","USD",O32="","")</f>
        <v/>
      </c>
      <c r="R32" s="262" t="str">
        <f>IFERROR(IF(O32="Nacional",VLOOKUP(P32,PRICING!$D$4:$E$59,2,FALSE),VLOOKUP(P32,PRICING!$J$4:$K$59,2,FALSE)),"")</f>
        <v/>
      </c>
      <c r="S32"/>
      <c r="V32" s="262"/>
      <c r="W32" s="280">
        <f t="shared" si="14"/>
        <v>0</v>
      </c>
      <c r="X32" s="178" t="str">
        <f t="shared" si="1"/>
        <v/>
      </c>
      <c r="Y32" s="178" t="str">
        <f t="shared" si="2"/>
        <v/>
      </c>
      <c r="Z32" s="178" t="str">
        <f t="shared" si="3"/>
        <v/>
      </c>
      <c r="AA32" s="178" t="str">
        <f t="shared" si="4"/>
        <v/>
      </c>
      <c r="AB32" s="178" t="str">
        <f t="shared" si="5"/>
        <v/>
      </c>
      <c r="AC32" s="178" t="str">
        <f t="shared" si="6"/>
        <v/>
      </c>
      <c r="AD32" s="267" t="s">
        <v>316</v>
      </c>
      <c r="AF32" s="149" t="str">
        <f t="shared" si="7"/>
        <v/>
      </c>
      <c r="AH32" s="178" t="str">
        <f t="shared" si="8"/>
        <v/>
      </c>
      <c r="AI32" s="178" t="str">
        <f t="shared" si="9"/>
        <v/>
      </c>
      <c r="AJ32" s="178" t="str">
        <f t="shared" si="10"/>
        <v/>
      </c>
      <c r="AK32" s="178" t="str">
        <f t="shared" si="11"/>
        <v/>
      </c>
      <c r="AL32" t="s">
        <v>327</v>
      </c>
      <c r="AN32" s="149" t="str">
        <f t="shared" si="12"/>
        <v/>
      </c>
      <c r="AQ32" s="178">
        <f t="shared" ca="1" si="15"/>
        <v>45940</v>
      </c>
      <c r="AR32" s="178">
        <f t="shared" ca="1" si="16"/>
        <v>45940</v>
      </c>
    </row>
    <row r="33" spans="1:44" x14ac:dyDescent="0.2">
      <c r="A33" t="str">
        <f>IF(B33="","",CONCATENATE("GBL",B33," - ",Mantenedor!E44))</f>
        <v/>
      </c>
      <c r="P33" t="str">
        <f t="shared" si="0"/>
        <v/>
      </c>
      <c r="Q33" s="266" t="str" cm="1">
        <f t="array" ref="Q33">+_xlfn.IFS(O33="Nacional","CLP",O33="Extranjero","USD",O33="","")</f>
        <v/>
      </c>
      <c r="R33" s="262" t="str">
        <f>IFERROR(IF(O33="Nacional",VLOOKUP(P33,PRICING!$D$4:$E$59,2,FALSE),VLOOKUP(P33,PRICING!$J$4:$K$59,2,FALSE)),"")</f>
        <v/>
      </c>
      <c r="S33"/>
      <c r="V33" s="262"/>
      <c r="W33" s="280">
        <f t="shared" si="14"/>
        <v>0</v>
      </c>
      <c r="X33" s="178" t="str">
        <f t="shared" si="1"/>
        <v/>
      </c>
      <c r="Y33" s="178" t="str">
        <f t="shared" si="2"/>
        <v/>
      </c>
      <c r="Z33" s="178" t="str">
        <f t="shared" si="3"/>
        <v/>
      </c>
      <c r="AA33" s="178" t="str">
        <f t="shared" si="4"/>
        <v/>
      </c>
      <c r="AB33" s="178" t="str">
        <f t="shared" si="5"/>
        <v/>
      </c>
      <c r="AC33" s="178" t="str">
        <f t="shared" si="6"/>
        <v/>
      </c>
      <c r="AD33" s="267" t="s">
        <v>316</v>
      </c>
      <c r="AF33" s="149" t="str">
        <f t="shared" si="7"/>
        <v/>
      </c>
      <c r="AH33" s="178" t="str">
        <f t="shared" si="8"/>
        <v/>
      </c>
      <c r="AI33" s="178" t="str">
        <f t="shared" si="9"/>
        <v/>
      </c>
      <c r="AJ33" s="178" t="str">
        <f t="shared" si="10"/>
        <v/>
      </c>
      <c r="AK33" s="178" t="str">
        <f t="shared" si="11"/>
        <v/>
      </c>
      <c r="AL33" t="s">
        <v>327</v>
      </c>
      <c r="AN33" s="149" t="str">
        <f t="shared" si="12"/>
        <v/>
      </c>
      <c r="AQ33" s="178" t="str">
        <f t="shared" ca="1" si="15"/>
        <v/>
      </c>
      <c r="AR33" s="178" t="str">
        <f t="shared" ca="1" si="16"/>
        <v/>
      </c>
    </row>
    <row r="34" spans="1:44" x14ac:dyDescent="0.2">
      <c r="A34" t="str">
        <f>IF(B34="","",CONCATENATE("GBL",B34," - ",Mantenedor!E45))</f>
        <v/>
      </c>
      <c r="P34" t="str">
        <f t="shared" si="0"/>
        <v/>
      </c>
      <c r="Q34" s="266" t="str" cm="1">
        <f t="array" ref="Q34">+_xlfn.IFS(O34="Nacional","CLP",O34="Extranjero","USD",O34="","")</f>
        <v/>
      </c>
      <c r="R34" s="262" t="str">
        <f>IFERROR(IF(O34="Nacional",VLOOKUP(P34,PRICING!$D$4:$E$59,2,FALSE),VLOOKUP(P34,PRICING!$J$4:$K$59,2,FALSE)),"")</f>
        <v/>
      </c>
      <c r="S34"/>
      <c r="V34" s="262"/>
      <c r="W34" s="280">
        <f t="shared" si="14"/>
        <v>0</v>
      </c>
      <c r="X34" s="178" t="str">
        <f t="shared" si="1"/>
        <v/>
      </c>
      <c r="Y34" s="178" t="str">
        <f t="shared" si="2"/>
        <v/>
      </c>
      <c r="Z34" s="178" t="str">
        <f t="shared" si="3"/>
        <v/>
      </c>
      <c r="AA34" s="178" t="str">
        <f t="shared" si="4"/>
        <v/>
      </c>
      <c r="AB34" s="178" t="str">
        <f t="shared" si="5"/>
        <v/>
      </c>
      <c r="AC34" s="178" t="str">
        <f t="shared" si="6"/>
        <v/>
      </c>
      <c r="AD34" s="267" t="s">
        <v>316</v>
      </c>
      <c r="AF34" s="149" t="str">
        <f t="shared" si="7"/>
        <v/>
      </c>
      <c r="AH34" s="178" t="str">
        <f t="shared" si="8"/>
        <v/>
      </c>
      <c r="AI34" s="178" t="str">
        <f t="shared" si="9"/>
        <v/>
      </c>
      <c r="AJ34" s="178" t="str">
        <f t="shared" si="10"/>
        <v/>
      </c>
      <c r="AK34" s="178" t="str">
        <f t="shared" si="11"/>
        <v/>
      </c>
      <c r="AL34" t="s">
        <v>327</v>
      </c>
      <c r="AN34" s="149" t="str">
        <f t="shared" si="12"/>
        <v/>
      </c>
      <c r="AQ34" s="178" t="str">
        <f t="shared" ca="1" si="15"/>
        <v/>
      </c>
      <c r="AR34" s="178" t="str">
        <f t="shared" ca="1" si="16"/>
        <v/>
      </c>
    </row>
    <row r="35" spans="1:44" x14ac:dyDescent="0.2">
      <c r="A35" t="str">
        <f>IF(B35="","",CONCATENATE("GBL",B35," - ",Mantenedor!E46))</f>
        <v/>
      </c>
      <c r="P35" t="str">
        <f t="shared" si="0"/>
        <v/>
      </c>
      <c r="Q35" s="266" t="str" cm="1">
        <f t="array" ref="Q35">+_xlfn.IFS(O35="Nacional","CLP",O35="Extranjero","USD",O35="","")</f>
        <v/>
      </c>
      <c r="R35" s="262" t="str">
        <f>IFERROR(IF(O35="Nacional",VLOOKUP(P35,PRICING!$D$4:$E$59,2,FALSE),VLOOKUP(P35,PRICING!$J$4:$K$59,2,FALSE)),"")</f>
        <v/>
      </c>
      <c r="S35"/>
      <c r="V35" s="262"/>
      <c r="W35" s="280">
        <f t="shared" si="14"/>
        <v>0</v>
      </c>
      <c r="X35" s="178" t="str">
        <f t="shared" si="1"/>
        <v/>
      </c>
      <c r="Y35" s="178" t="str">
        <f t="shared" si="2"/>
        <v/>
      </c>
      <c r="Z35" s="178" t="str">
        <f t="shared" si="3"/>
        <v/>
      </c>
      <c r="AA35" s="178" t="str">
        <f t="shared" si="4"/>
        <v/>
      </c>
      <c r="AB35" s="178" t="str">
        <f t="shared" si="5"/>
        <v/>
      </c>
      <c r="AC35" s="178" t="str">
        <f t="shared" si="6"/>
        <v/>
      </c>
      <c r="AD35" s="267" t="s">
        <v>316</v>
      </c>
      <c r="AF35" s="149" t="str">
        <f t="shared" si="7"/>
        <v/>
      </c>
      <c r="AH35" s="178" t="str">
        <f t="shared" si="8"/>
        <v/>
      </c>
      <c r="AI35" s="178" t="str">
        <f t="shared" si="9"/>
        <v/>
      </c>
      <c r="AJ35" s="178" t="str">
        <f t="shared" si="10"/>
        <v/>
      </c>
      <c r="AK35" s="178" t="str">
        <f t="shared" si="11"/>
        <v/>
      </c>
      <c r="AL35" t="s">
        <v>327</v>
      </c>
      <c r="AN35" s="149" t="str">
        <f t="shared" si="12"/>
        <v/>
      </c>
      <c r="AQ35" s="178" t="str">
        <f t="shared" ca="1" si="15"/>
        <v/>
      </c>
      <c r="AR35" s="178" t="str">
        <f t="shared" ca="1" si="16"/>
        <v/>
      </c>
    </row>
    <row r="36" spans="1:44" x14ac:dyDescent="0.2">
      <c r="A36" t="str">
        <f>IF(B36="","",CONCATENATE("GBL",B36," - ",Mantenedor!E47))</f>
        <v/>
      </c>
      <c r="P36" t="str">
        <f t="shared" si="0"/>
        <v/>
      </c>
      <c r="Q36" s="266" t="str" cm="1">
        <f t="array" ref="Q36">+_xlfn.IFS(O36="Nacional","CLP",O36="Extranjero","USD",O36="","")</f>
        <v/>
      </c>
      <c r="R36" s="262" t="str">
        <f>IFERROR(IF(O36="Nacional",VLOOKUP(P36,PRICING!$D$4:$E$59,2,FALSE),VLOOKUP(P36,PRICING!$J$4:$K$59,2,FALSE)),"")</f>
        <v/>
      </c>
      <c r="S36"/>
      <c r="V36" s="262"/>
      <c r="W36" s="280">
        <f t="shared" ref="W36:W55" si="18">IFERROR(+V36*(1-T36),"")</f>
        <v>0</v>
      </c>
      <c r="X36" s="178" t="str">
        <f t="shared" si="1"/>
        <v/>
      </c>
      <c r="Y36" s="178" t="str">
        <f t="shared" si="2"/>
        <v/>
      </c>
      <c r="Z36" s="178" t="str">
        <f t="shared" si="3"/>
        <v/>
      </c>
      <c r="AA36" s="178" t="str">
        <f t="shared" si="4"/>
        <v/>
      </c>
      <c r="AB36" s="178" t="str">
        <f t="shared" si="5"/>
        <v/>
      </c>
      <c r="AC36" s="178" t="str">
        <f t="shared" si="6"/>
        <v/>
      </c>
      <c r="AD36" s="267" t="s">
        <v>316</v>
      </c>
      <c r="AF36" s="149" t="str">
        <f t="shared" si="7"/>
        <v/>
      </c>
      <c r="AH36" s="178" t="str">
        <f t="shared" si="8"/>
        <v/>
      </c>
      <c r="AI36" s="178" t="str">
        <f t="shared" si="9"/>
        <v/>
      </c>
      <c r="AJ36" s="178" t="str">
        <f t="shared" si="10"/>
        <v/>
      </c>
      <c r="AK36" s="178" t="str">
        <f t="shared" si="11"/>
        <v/>
      </c>
      <c r="AL36" t="s">
        <v>327</v>
      </c>
      <c r="AN36" s="149" t="str">
        <f t="shared" si="12"/>
        <v/>
      </c>
      <c r="AQ36" s="178" t="str">
        <f t="shared" ca="1" si="15"/>
        <v/>
      </c>
      <c r="AR36" s="178" t="str">
        <f t="shared" ca="1" si="16"/>
        <v/>
      </c>
    </row>
    <row r="37" spans="1:44" x14ac:dyDescent="0.2">
      <c r="A37" t="str">
        <f>IF(B37="","",CONCATENATE("GBL",B37," - ",Mantenedor!E48))</f>
        <v/>
      </c>
      <c r="P37" t="str">
        <f t="shared" si="0"/>
        <v/>
      </c>
      <c r="Q37" s="266" t="str" cm="1">
        <f t="array" ref="Q37">+_xlfn.IFS(O37="Nacional","CLP",O37="Extranjero","USD",O37="","")</f>
        <v/>
      </c>
      <c r="R37" s="262" t="str">
        <f>IFERROR(IF(O37="Nacional",VLOOKUP(P37,PRICING!$D$4:$E$59,2,FALSE),VLOOKUP(P37,PRICING!$J$4:$K$59,2,FALSE)),"")</f>
        <v/>
      </c>
      <c r="S37"/>
      <c r="V37" s="262"/>
      <c r="W37" s="280">
        <f t="shared" si="18"/>
        <v>0</v>
      </c>
      <c r="X37" s="178" t="str">
        <f t="shared" si="1"/>
        <v/>
      </c>
      <c r="Y37" s="178" t="str">
        <f t="shared" si="2"/>
        <v/>
      </c>
      <c r="Z37" s="178" t="str">
        <f t="shared" si="3"/>
        <v/>
      </c>
      <c r="AA37" s="178" t="str">
        <f t="shared" si="4"/>
        <v/>
      </c>
      <c r="AB37" s="178" t="str">
        <f t="shared" si="5"/>
        <v/>
      </c>
      <c r="AC37" s="178" t="str">
        <f t="shared" si="6"/>
        <v/>
      </c>
      <c r="AD37" s="267" t="s">
        <v>316</v>
      </c>
      <c r="AF37" s="149" t="str">
        <f t="shared" si="7"/>
        <v/>
      </c>
      <c r="AH37" s="178" t="str">
        <f t="shared" si="8"/>
        <v/>
      </c>
      <c r="AI37" s="178" t="str">
        <f t="shared" si="9"/>
        <v/>
      </c>
      <c r="AJ37" s="178" t="str">
        <f t="shared" si="10"/>
        <v/>
      </c>
      <c r="AK37" s="178" t="str">
        <f t="shared" si="11"/>
        <v/>
      </c>
      <c r="AL37" t="s">
        <v>327</v>
      </c>
      <c r="AN37" s="149" t="str">
        <f t="shared" si="12"/>
        <v/>
      </c>
      <c r="AQ37" s="178" t="str">
        <f t="shared" ca="1" si="15"/>
        <v/>
      </c>
      <c r="AR37" s="178" t="str">
        <f t="shared" ca="1" si="16"/>
        <v/>
      </c>
    </row>
    <row r="38" spans="1:44" x14ac:dyDescent="0.2">
      <c r="A38" t="str">
        <f>IF(B38="","",CONCATENATE("GBL",B38," - ",Mantenedor!E49))</f>
        <v/>
      </c>
      <c r="P38" t="str">
        <f t="shared" si="0"/>
        <v/>
      </c>
      <c r="Q38" s="266" t="str" cm="1">
        <f t="array" ref="Q38">+_xlfn.IFS(O38="Nacional","CLP",O38="Extranjero","USD",O38="","")</f>
        <v/>
      </c>
      <c r="R38" s="262" t="str">
        <f>IFERROR(IF(O38="Nacional",VLOOKUP(P38,PRICING!$D$4:$E$59,2,FALSE),VLOOKUP(P38,PRICING!$J$4:$K$59,2,FALSE)),"")</f>
        <v/>
      </c>
      <c r="S38"/>
      <c r="V38" s="262"/>
      <c r="W38" s="280">
        <f t="shared" si="18"/>
        <v>0</v>
      </c>
      <c r="X38" s="178" t="str">
        <f t="shared" si="1"/>
        <v/>
      </c>
      <c r="Y38" s="178" t="str">
        <f t="shared" si="2"/>
        <v/>
      </c>
      <c r="Z38" s="178" t="str">
        <f t="shared" si="3"/>
        <v/>
      </c>
      <c r="AA38" s="178" t="str">
        <f t="shared" si="4"/>
        <v/>
      </c>
      <c r="AB38" s="178" t="str">
        <f t="shared" si="5"/>
        <v/>
      </c>
      <c r="AC38" s="178" t="str">
        <f t="shared" si="6"/>
        <v/>
      </c>
      <c r="AD38" s="267" t="s">
        <v>316</v>
      </c>
      <c r="AF38" s="149" t="str">
        <f t="shared" si="7"/>
        <v/>
      </c>
      <c r="AH38" s="178" t="str">
        <f t="shared" si="8"/>
        <v/>
      </c>
      <c r="AI38" s="178" t="str">
        <f t="shared" si="9"/>
        <v/>
      </c>
      <c r="AJ38" s="178" t="str">
        <f t="shared" si="10"/>
        <v/>
      </c>
      <c r="AK38" s="178" t="str">
        <f t="shared" si="11"/>
        <v/>
      </c>
      <c r="AL38" t="s">
        <v>327</v>
      </c>
      <c r="AN38" s="149" t="str">
        <f t="shared" si="12"/>
        <v/>
      </c>
      <c r="AQ38" s="178" t="str">
        <f t="shared" ca="1" si="15"/>
        <v/>
      </c>
      <c r="AR38" s="178" t="str">
        <f t="shared" ca="1" si="16"/>
        <v/>
      </c>
    </row>
    <row r="39" spans="1:44" x14ac:dyDescent="0.2">
      <c r="A39" t="str">
        <f>IF(B39="","",CONCATENATE("GBL",B39," - ",Mantenedor!E50))</f>
        <v/>
      </c>
      <c r="P39" t="str">
        <f t="shared" si="0"/>
        <v/>
      </c>
      <c r="Q39" s="266" t="str" cm="1">
        <f t="array" ref="Q39">+_xlfn.IFS(O39="Nacional","CLP",O39="Extranjero","USD",O39="","")</f>
        <v/>
      </c>
      <c r="R39" s="262" t="str">
        <f>IFERROR(IF(O39="Nacional",VLOOKUP(P39,PRICING!$D$4:$E$59,2,FALSE),VLOOKUP(P39,PRICING!$J$4:$K$59,2,FALSE)),"")</f>
        <v/>
      </c>
      <c r="S39"/>
      <c r="V39" s="262"/>
      <c r="W39" s="280">
        <f t="shared" si="18"/>
        <v>0</v>
      </c>
      <c r="X39" s="178" t="str">
        <f t="shared" si="1"/>
        <v/>
      </c>
      <c r="Y39" s="178" t="str">
        <f t="shared" si="2"/>
        <v/>
      </c>
      <c r="Z39" s="178" t="str">
        <f t="shared" si="3"/>
        <v/>
      </c>
      <c r="AA39" s="178" t="str">
        <f t="shared" si="4"/>
        <v/>
      </c>
      <c r="AB39" s="178" t="str">
        <f t="shared" si="5"/>
        <v/>
      </c>
      <c r="AC39" s="178" t="str">
        <f t="shared" si="6"/>
        <v/>
      </c>
      <c r="AD39" s="267" t="s">
        <v>316</v>
      </c>
      <c r="AF39" s="149" t="str">
        <f t="shared" si="7"/>
        <v/>
      </c>
      <c r="AH39" s="178" t="str">
        <f t="shared" si="8"/>
        <v/>
      </c>
      <c r="AI39" s="178" t="str">
        <f t="shared" si="9"/>
        <v/>
      </c>
      <c r="AJ39" s="178" t="str">
        <f t="shared" si="10"/>
        <v/>
      </c>
      <c r="AK39" s="178" t="str">
        <f t="shared" si="11"/>
        <v/>
      </c>
      <c r="AL39" t="s">
        <v>327</v>
      </c>
      <c r="AN39" s="149" t="str">
        <f t="shared" si="12"/>
        <v/>
      </c>
      <c r="AQ39" s="178" t="str">
        <f t="shared" ca="1" si="15"/>
        <v/>
      </c>
      <c r="AR39" s="178" t="str">
        <f t="shared" ca="1" si="16"/>
        <v/>
      </c>
    </row>
    <row r="40" spans="1:44" x14ac:dyDescent="0.2">
      <c r="A40" t="str">
        <f>IF(B40="","",CONCATENATE("GBL",B40," - ",Mantenedor!E51))</f>
        <v/>
      </c>
      <c r="P40" t="str">
        <f t="shared" si="0"/>
        <v/>
      </c>
      <c r="Q40" s="266" t="str" cm="1">
        <f t="array" ref="Q40">+_xlfn.IFS(O40="Nacional","CLP",O40="Extranjero","USD",O40="","")</f>
        <v/>
      </c>
      <c r="R40" s="262" t="str">
        <f>IFERROR(IF(O40="Nacional",VLOOKUP(P40,PRICING!$D$4:$E$59,2,FALSE),VLOOKUP(P40,PRICING!$J$4:$K$59,2,FALSE)),"")</f>
        <v/>
      </c>
      <c r="S40"/>
      <c r="V40" s="262"/>
      <c r="W40" s="280">
        <f t="shared" si="18"/>
        <v>0</v>
      </c>
      <c r="X40" s="178" t="str">
        <f t="shared" si="1"/>
        <v/>
      </c>
      <c r="Y40" s="178" t="str">
        <f t="shared" si="2"/>
        <v/>
      </c>
      <c r="Z40" s="178" t="str">
        <f t="shared" si="3"/>
        <v/>
      </c>
      <c r="AA40" s="178" t="str">
        <f t="shared" si="4"/>
        <v/>
      </c>
      <c r="AB40" s="178" t="str">
        <f t="shared" si="5"/>
        <v/>
      </c>
      <c r="AC40" s="178" t="str">
        <f t="shared" si="6"/>
        <v/>
      </c>
      <c r="AD40" s="267" t="s">
        <v>316</v>
      </c>
      <c r="AF40" s="149" t="str">
        <f t="shared" si="7"/>
        <v/>
      </c>
      <c r="AH40" s="178" t="str">
        <f t="shared" si="8"/>
        <v/>
      </c>
      <c r="AI40" s="178" t="str">
        <f t="shared" si="9"/>
        <v/>
      </c>
      <c r="AJ40" s="178" t="str">
        <f t="shared" si="10"/>
        <v/>
      </c>
      <c r="AK40" s="178" t="str">
        <f t="shared" si="11"/>
        <v/>
      </c>
      <c r="AL40" t="s">
        <v>327</v>
      </c>
      <c r="AN40" s="149" t="str">
        <f t="shared" si="12"/>
        <v/>
      </c>
      <c r="AQ40" s="178" t="str">
        <f t="shared" ca="1" si="15"/>
        <v/>
      </c>
      <c r="AR40" s="178" t="str">
        <f t="shared" ca="1" si="16"/>
        <v/>
      </c>
    </row>
    <row r="41" spans="1:44" x14ac:dyDescent="0.2">
      <c r="A41" t="str">
        <f>IF(B41="","",CONCATENATE("GBL",B41," - ",Mantenedor!E52))</f>
        <v/>
      </c>
      <c r="P41" t="str">
        <f t="shared" si="0"/>
        <v/>
      </c>
      <c r="Q41" s="266" t="str" cm="1">
        <f t="array" ref="Q41">+_xlfn.IFS(O41="Nacional","CLP",O41="Extranjero","USD",O41="","")</f>
        <v/>
      </c>
      <c r="R41" s="262" t="str">
        <f>IFERROR(IF(O41="Nacional",VLOOKUP(P41,PRICING!$D$4:$E$59,2,FALSE),VLOOKUP(P41,PRICING!$J$4:$K$59,2,FALSE)),"")</f>
        <v/>
      </c>
      <c r="S41"/>
      <c r="V41" s="262"/>
      <c r="W41" s="280">
        <f t="shared" si="18"/>
        <v>0</v>
      </c>
      <c r="X41" s="178" t="str">
        <f t="shared" si="1"/>
        <v/>
      </c>
      <c r="Y41" s="178" t="str">
        <f t="shared" si="2"/>
        <v/>
      </c>
      <c r="Z41" s="178" t="str">
        <f t="shared" si="3"/>
        <v/>
      </c>
      <c r="AA41" s="178" t="str">
        <f t="shared" si="4"/>
        <v/>
      </c>
      <c r="AB41" s="178" t="str">
        <f t="shared" si="5"/>
        <v/>
      </c>
      <c r="AC41" s="178" t="str">
        <f t="shared" si="6"/>
        <v/>
      </c>
      <c r="AD41" s="267" t="s">
        <v>316</v>
      </c>
      <c r="AF41" s="149" t="str">
        <f t="shared" si="7"/>
        <v/>
      </c>
      <c r="AH41" s="178" t="str">
        <f t="shared" si="8"/>
        <v/>
      </c>
      <c r="AI41" s="178" t="str">
        <f t="shared" si="9"/>
        <v/>
      </c>
      <c r="AJ41" s="178" t="str">
        <f t="shared" si="10"/>
        <v/>
      </c>
      <c r="AK41" s="178" t="str">
        <f t="shared" si="11"/>
        <v/>
      </c>
      <c r="AL41" t="s">
        <v>327</v>
      </c>
      <c r="AN41" s="149" t="str">
        <f t="shared" si="12"/>
        <v/>
      </c>
      <c r="AQ41" s="178" t="str">
        <f t="shared" ca="1" si="15"/>
        <v/>
      </c>
      <c r="AR41" s="178" t="str">
        <f t="shared" ca="1" si="16"/>
        <v/>
      </c>
    </row>
    <row r="42" spans="1:44" x14ac:dyDescent="0.2">
      <c r="A42" t="str">
        <f>IF(B42="","",CONCATENATE("GBL",B42," - ",Mantenedor!E53))</f>
        <v/>
      </c>
      <c r="P42" t="str">
        <f t="shared" si="0"/>
        <v/>
      </c>
      <c r="Q42" s="266" t="str" cm="1">
        <f t="array" ref="Q42">+_xlfn.IFS(O42="Nacional","CLP",O42="Extranjero","USD",O42="","")</f>
        <v/>
      </c>
      <c r="R42" s="262" t="str">
        <f>IFERROR(IF(O42="Nacional",VLOOKUP(P42,PRICING!$D$4:$E$59,2,FALSE),VLOOKUP(P42,PRICING!$J$4:$K$59,2,FALSE)),"")</f>
        <v/>
      </c>
      <c r="S42"/>
      <c r="V42" s="262"/>
      <c r="W42" s="280">
        <f t="shared" si="18"/>
        <v>0</v>
      </c>
      <c r="X42" s="178" t="str">
        <f t="shared" si="1"/>
        <v/>
      </c>
      <c r="Y42" s="178" t="str">
        <f t="shared" si="2"/>
        <v/>
      </c>
      <c r="Z42" s="178" t="str">
        <f t="shared" si="3"/>
        <v/>
      </c>
      <c r="AA42" s="178" t="str">
        <f t="shared" si="4"/>
        <v/>
      </c>
      <c r="AB42" s="178" t="str">
        <f t="shared" si="5"/>
        <v/>
      </c>
      <c r="AC42" s="178" t="str">
        <f t="shared" si="6"/>
        <v/>
      </c>
      <c r="AD42" s="267" t="s">
        <v>316</v>
      </c>
      <c r="AF42" s="149" t="str">
        <f t="shared" si="7"/>
        <v/>
      </c>
      <c r="AH42" s="178" t="str">
        <f t="shared" si="8"/>
        <v/>
      </c>
      <c r="AI42" s="178" t="str">
        <f t="shared" si="9"/>
        <v/>
      </c>
      <c r="AJ42" s="178" t="str">
        <f t="shared" si="10"/>
        <v/>
      </c>
      <c r="AK42" s="178" t="str">
        <f t="shared" si="11"/>
        <v/>
      </c>
      <c r="AL42" t="s">
        <v>327</v>
      </c>
      <c r="AN42" s="149" t="str">
        <f t="shared" si="12"/>
        <v/>
      </c>
      <c r="AQ42" s="178" t="str">
        <f t="shared" ca="1" si="15"/>
        <v/>
      </c>
      <c r="AR42" s="178" t="str">
        <f t="shared" ca="1" si="16"/>
        <v/>
      </c>
    </row>
    <row r="43" spans="1:44" x14ac:dyDescent="0.2">
      <c r="A43" t="str">
        <f>IF(B43="","",CONCATENATE("GBL",B43," - ",Mantenedor!E54))</f>
        <v/>
      </c>
      <c r="P43" t="str">
        <f t="shared" si="0"/>
        <v/>
      </c>
      <c r="Q43" s="266" t="str" cm="1">
        <f t="array" ref="Q43">+_xlfn.IFS(O43="Nacional","CLP",O43="Extranjero","USD",O43="","")</f>
        <v/>
      </c>
      <c r="R43" s="262" t="str">
        <f>IFERROR(IF(O43="Nacional",VLOOKUP(P43,PRICING!$D$4:$E$59,2,FALSE),VLOOKUP(P43,PRICING!$J$4:$K$59,2,FALSE)),"")</f>
        <v/>
      </c>
      <c r="S43"/>
      <c r="V43" s="262"/>
      <c r="W43" s="280">
        <f t="shared" si="18"/>
        <v>0</v>
      </c>
      <c r="X43" s="178" t="str">
        <f t="shared" si="1"/>
        <v/>
      </c>
      <c r="Y43" s="178" t="str">
        <f t="shared" si="2"/>
        <v/>
      </c>
      <c r="Z43" s="178" t="str">
        <f t="shared" si="3"/>
        <v/>
      </c>
      <c r="AA43" s="178" t="str">
        <f t="shared" si="4"/>
        <v/>
      </c>
      <c r="AB43" s="178" t="str">
        <f t="shared" si="5"/>
        <v/>
      </c>
      <c r="AC43" s="178" t="str">
        <f t="shared" si="6"/>
        <v/>
      </c>
      <c r="AD43" s="267" t="s">
        <v>316</v>
      </c>
      <c r="AF43" s="149" t="str">
        <f t="shared" si="7"/>
        <v/>
      </c>
      <c r="AH43" s="178" t="str">
        <f t="shared" si="8"/>
        <v/>
      </c>
      <c r="AI43" s="178" t="str">
        <f t="shared" si="9"/>
        <v/>
      </c>
      <c r="AJ43" s="178" t="str">
        <f t="shared" si="10"/>
        <v/>
      </c>
      <c r="AK43" s="178" t="str">
        <f t="shared" si="11"/>
        <v/>
      </c>
      <c r="AL43" t="s">
        <v>327</v>
      </c>
      <c r="AN43" s="149" t="str">
        <f t="shared" si="12"/>
        <v/>
      </c>
      <c r="AQ43" s="178" t="str">
        <f t="shared" ca="1" si="15"/>
        <v/>
      </c>
      <c r="AR43" s="178" t="str">
        <f t="shared" ca="1" si="16"/>
        <v/>
      </c>
    </row>
    <row r="44" spans="1:44" x14ac:dyDescent="0.2">
      <c r="A44" t="str">
        <f>IF(B44="","",CONCATENATE("GBL",B44," - ",Mantenedor!E55))</f>
        <v/>
      </c>
      <c r="P44" t="str">
        <f t="shared" si="0"/>
        <v/>
      </c>
      <c r="Q44" s="266" t="str" cm="1">
        <f t="array" ref="Q44">+_xlfn.IFS(O44="Nacional","CLP",O44="Extranjero","USD",O44="","")</f>
        <v/>
      </c>
      <c r="R44" s="262" t="str">
        <f>IFERROR(IF(O44="Nacional",VLOOKUP(P44,PRICING!$D$4:$E$59,2,FALSE),VLOOKUP(P44,PRICING!$J$4:$K$59,2,FALSE)),"")</f>
        <v/>
      </c>
      <c r="S44"/>
      <c r="V44" s="262"/>
      <c r="W44" s="280">
        <f t="shared" si="18"/>
        <v>0</v>
      </c>
      <c r="X44" s="178" t="str">
        <f t="shared" si="1"/>
        <v/>
      </c>
      <c r="Y44" s="178" t="str">
        <f t="shared" si="2"/>
        <v/>
      </c>
      <c r="Z44" s="178" t="str">
        <f t="shared" si="3"/>
        <v/>
      </c>
      <c r="AA44" s="178" t="str">
        <f t="shared" si="4"/>
        <v/>
      </c>
      <c r="AB44" s="178" t="str">
        <f t="shared" si="5"/>
        <v/>
      </c>
      <c r="AC44" s="178" t="str">
        <f t="shared" si="6"/>
        <v/>
      </c>
      <c r="AD44" s="267" t="s">
        <v>316</v>
      </c>
      <c r="AF44" s="149" t="str">
        <f t="shared" si="7"/>
        <v/>
      </c>
      <c r="AH44" s="178" t="str">
        <f t="shared" si="8"/>
        <v/>
      </c>
      <c r="AI44" s="178" t="str">
        <f t="shared" si="9"/>
        <v/>
      </c>
      <c r="AJ44" s="178" t="str">
        <f t="shared" si="10"/>
        <v/>
      </c>
      <c r="AK44" s="178" t="str">
        <f t="shared" si="11"/>
        <v/>
      </c>
      <c r="AL44" t="s">
        <v>327</v>
      </c>
      <c r="AN44" s="149" t="str">
        <f t="shared" si="12"/>
        <v/>
      </c>
      <c r="AQ44" s="178" t="str">
        <f t="shared" ca="1" si="15"/>
        <v/>
      </c>
      <c r="AR44" s="178" t="str">
        <f t="shared" ca="1" si="16"/>
        <v/>
      </c>
    </row>
    <row r="45" spans="1:44" x14ac:dyDescent="0.2">
      <c r="A45" t="str">
        <f>IF(B45="","",CONCATENATE("GBL",B45," - ",Mantenedor!E56))</f>
        <v/>
      </c>
      <c r="P45" t="str">
        <f t="shared" si="0"/>
        <v/>
      </c>
      <c r="Q45" s="266" t="str" cm="1">
        <f t="array" ref="Q45">+_xlfn.IFS(O45="Nacional","CLP",O45="Extranjero","USD",O45="","")</f>
        <v/>
      </c>
      <c r="R45" s="262" t="str">
        <f>IFERROR(IF(O45="Nacional",VLOOKUP(P45,PRICING!$D$4:$E$59,2,FALSE),VLOOKUP(P45,PRICING!$J$4:$K$59,2,FALSE)),"")</f>
        <v/>
      </c>
      <c r="S45"/>
      <c r="V45" s="262"/>
      <c r="W45" s="280">
        <f t="shared" si="18"/>
        <v>0</v>
      </c>
      <c r="X45" s="178" t="str">
        <f t="shared" si="1"/>
        <v/>
      </c>
      <c r="Y45" s="178" t="str">
        <f t="shared" si="2"/>
        <v/>
      </c>
      <c r="Z45" s="178" t="str">
        <f t="shared" si="3"/>
        <v/>
      </c>
      <c r="AA45" s="178" t="str">
        <f t="shared" si="4"/>
        <v/>
      </c>
      <c r="AB45" s="178" t="str">
        <f t="shared" si="5"/>
        <v/>
      </c>
      <c r="AC45" s="178" t="str">
        <f t="shared" si="6"/>
        <v/>
      </c>
      <c r="AD45" s="267" t="s">
        <v>316</v>
      </c>
      <c r="AF45" s="149" t="str">
        <f t="shared" si="7"/>
        <v/>
      </c>
      <c r="AH45" s="178" t="str">
        <f t="shared" si="8"/>
        <v/>
      </c>
      <c r="AI45" s="178" t="str">
        <f t="shared" si="9"/>
        <v/>
      </c>
      <c r="AJ45" s="178" t="str">
        <f t="shared" si="10"/>
        <v/>
      </c>
      <c r="AK45" s="178" t="str">
        <f t="shared" si="11"/>
        <v/>
      </c>
      <c r="AL45" t="s">
        <v>327</v>
      </c>
      <c r="AN45" s="149" t="str">
        <f t="shared" si="12"/>
        <v/>
      </c>
      <c r="AQ45" s="178" t="str">
        <f t="shared" ca="1" si="15"/>
        <v/>
      </c>
      <c r="AR45" s="178" t="str">
        <f t="shared" ca="1" si="16"/>
        <v/>
      </c>
    </row>
    <row r="46" spans="1:44" x14ac:dyDescent="0.2">
      <c r="A46" t="str">
        <f>IF(B46="","",CONCATENATE("GBL",B46," - ",Mantenedor!E57))</f>
        <v/>
      </c>
      <c r="P46" t="str">
        <f t="shared" si="0"/>
        <v/>
      </c>
      <c r="Q46" s="266" t="str" cm="1">
        <f t="array" ref="Q46">+_xlfn.IFS(O46="Nacional","CLP",O46="Extranjero","USD",O46="","")</f>
        <v/>
      </c>
      <c r="R46" s="262" t="str">
        <f>IFERROR(IF(O46="Nacional",VLOOKUP(P46,PRICING!$D$4:$E$59,2,FALSE),VLOOKUP(P46,PRICING!$J$4:$K$59,2,FALSE)),"")</f>
        <v/>
      </c>
      <c r="S46"/>
      <c r="V46" s="262"/>
      <c r="W46" s="280">
        <f t="shared" si="18"/>
        <v>0</v>
      </c>
      <c r="X46" s="178" t="str">
        <f t="shared" si="1"/>
        <v/>
      </c>
      <c r="Y46" s="178" t="str">
        <f t="shared" si="2"/>
        <v/>
      </c>
      <c r="Z46" s="178" t="str">
        <f t="shared" si="3"/>
        <v/>
      </c>
      <c r="AA46" s="178" t="str">
        <f t="shared" si="4"/>
        <v/>
      </c>
      <c r="AB46" s="178" t="str">
        <f t="shared" si="5"/>
        <v/>
      </c>
      <c r="AC46" s="178" t="str">
        <f t="shared" si="6"/>
        <v/>
      </c>
      <c r="AD46" s="267" t="s">
        <v>316</v>
      </c>
      <c r="AF46" s="149" t="str">
        <f t="shared" si="7"/>
        <v/>
      </c>
      <c r="AH46" s="178" t="str">
        <f t="shared" si="8"/>
        <v/>
      </c>
      <c r="AI46" s="178" t="str">
        <f t="shared" si="9"/>
        <v/>
      </c>
      <c r="AJ46" s="178" t="str">
        <f t="shared" si="10"/>
        <v/>
      </c>
      <c r="AK46" s="178" t="str">
        <f t="shared" si="11"/>
        <v/>
      </c>
      <c r="AL46" t="s">
        <v>327</v>
      </c>
      <c r="AN46" s="149" t="str">
        <f t="shared" si="12"/>
        <v/>
      </c>
      <c r="AQ46" s="178" t="str">
        <f t="shared" ca="1" si="15"/>
        <v/>
      </c>
      <c r="AR46" s="178" t="str">
        <f t="shared" ca="1" si="16"/>
        <v/>
      </c>
    </row>
    <row r="47" spans="1:44" x14ac:dyDescent="0.2">
      <c r="A47" t="str">
        <f>IF(B47="","",CONCATENATE("GBL",B47," - ",Mantenedor!E58))</f>
        <v/>
      </c>
      <c r="P47" t="str">
        <f t="shared" si="0"/>
        <v/>
      </c>
      <c r="Q47" s="266" t="str" cm="1">
        <f t="array" ref="Q47">+_xlfn.IFS(O47="Nacional","CLP",O47="Extranjero","USD",O47="","")</f>
        <v/>
      </c>
      <c r="R47" s="262" t="str">
        <f>IFERROR(IF(O47="Nacional",VLOOKUP(P47,PRICING!$D$4:$E$59,2,FALSE),VLOOKUP(P47,PRICING!$J$4:$K$59,2,FALSE)),"")</f>
        <v/>
      </c>
      <c r="S47"/>
      <c r="V47" s="262"/>
      <c r="W47" s="280">
        <f t="shared" si="18"/>
        <v>0</v>
      </c>
      <c r="X47" s="178" t="str">
        <f t="shared" si="1"/>
        <v/>
      </c>
      <c r="Y47" s="178" t="str">
        <f t="shared" si="2"/>
        <v/>
      </c>
      <c r="Z47" s="178" t="str">
        <f t="shared" si="3"/>
        <v/>
      </c>
      <c r="AA47" s="178" t="str">
        <f t="shared" si="4"/>
        <v/>
      </c>
      <c r="AB47" s="178" t="str">
        <f t="shared" si="5"/>
        <v/>
      </c>
      <c r="AC47" s="178" t="str">
        <f t="shared" si="6"/>
        <v/>
      </c>
      <c r="AD47" s="267" t="s">
        <v>316</v>
      </c>
      <c r="AF47" s="149" t="str">
        <f t="shared" si="7"/>
        <v/>
      </c>
      <c r="AH47" s="178" t="str">
        <f t="shared" si="8"/>
        <v/>
      </c>
      <c r="AI47" s="178" t="str">
        <f t="shared" si="9"/>
        <v/>
      </c>
      <c r="AJ47" s="178" t="str">
        <f t="shared" si="10"/>
        <v/>
      </c>
      <c r="AK47" s="178" t="str">
        <f t="shared" si="11"/>
        <v/>
      </c>
      <c r="AL47" t="s">
        <v>327</v>
      </c>
      <c r="AN47" s="149" t="str">
        <f t="shared" si="12"/>
        <v/>
      </c>
      <c r="AQ47" s="178" t="str">
        <f t="shared" ca="1" si="15"/>
        <v/>
      </c>
      <c r="AR47" s="178" t="str">
        <f t="shared" ca="1" si="16"/>
        <v/>
      </c>
    </row>
    <row r="48" spans="1:44" x14ac:dyDescent="0.2">
      <c r="A48" t="str">
        <f>IF(B48="","",CONCATENATE("GBL",B48," - ",Mantenedor!E59))</f>
        <v/>
      </c>
      <c r="P48" t="str">
        <f t="shared" si="0"/>
        <v/>
      </c>
      <c r="Q48" s="266" t="str" cm="1">
        <f t="array" ref="Q48">+_xlfn.IFS(O48="Nacional","CLP",O48="Extranjero","USD",O48="","")</f>
        <v/>
      </c>
      <c r="R48" s="262" t="str">
        <f>IFERROR(IF(O48="Nacional",VLOOKUP(P48,PRICING!$D$4:$E$59,2,FALSE),VLOOKUP(P48,PRICING!$J$4:$K$59,2,FALSE)),"")</f>
        <v/>
      </c>
      <c r="S48"/>
      <c r="V48" s="262"/>
      <c r="W48" s="280">
        <f t="shared" si="18"/>
        <v>0</v>
      </c>
      <c r="X48" s="178" t="str">
        <f t="shared" si="1"/>
        <v/>
      </c>
      <c r="Y48" s="178" t="str">
        <f t="shared" si="2"/>
        <v/>
      </c>
      <c r="Z48" s="178" t="str">
        <f t="shared" si="3"/>
        <v/>
      </c>
      <c r="AA48" s="178" t="str">
        <f t="shared" si="4"/>
        <v/>
      </c>
      <c r="AB48" s="178" t="str">
        <f t="shared" si="5"/>
        <v/>
      </c>
      <c r="AC48" s="178" t="str">
        <f t="shared" si="6"/>
        <v/>
      </c>
      <c r="AD48" s="267" t="s">
        <v>316</v>
      </c>
      <c r="AF48" s="149" t="str">
        <f t="shared" si="7"/>
        <v/>
      </c>
      <c r="AH48" s="178" t="str">
        <f t="shared" si="8"/>
        <v/>
      </c>
      <c r="AI48" s="178" t="str">
        <f t="shared" si="9"/>
        <v/>
      </c>
      <c r="AJ48" s="178" t="str">
        <f t="shared" si="10"/>
        <v/>
      </c>
      <c r="AK48" s="178" t="str">
        <f t="shared" si="11"/>
        <v/>
      </c>
      <c r="AL48" t="s">
        <v>327</v>
      </c>
      <c r="AN48" s="149" t="str">
        <f t="shared" si="12"/>
        <v/>
      </c>
      <c r="AQ48" s="178" t="str">
        <f t="shared" ca="1" si="15"/>
        <v/>
      </c>
      <c r="AR48" s="178" t="str">
        <f t="shared" ca="1" si="16"/>
        <v/>
      </c>
    </row>
    <row r="49" spans="1:44" x14ac:dyDescent="0.2">
      <c r="A49" t="str">
        <f>IF(B49="","",CONCATENATE("GBL",B49," - ",Mantenedor!E60))</f>
        <v/>
      </c>
      <c r="P49" t="str">
        <f t="shared" si="0"/>
        <v/>
      </c>
      <c r="Q49" s="266" t="str" cm="1">
        <f t="array" ref="Q49">+_xlfn.IFS(O49="Nacional","CLP",O49="Extranjero","USD",O49="","")</f>
        <v/>
      </c>
      <c r="R49" s="262" t="str">
        <f>IFERROR(IF(O49="Nacional",VLOOKUP(P49,PRICING!$D$4:$E$59,2,FALSE),VLOOKUP(P49,PRICING!$J$4:$K$59,2,FALSE)),"")</f>
        <v/>
      </c>
      <c r="S49"/>
      <c r="V49" s="262"/>
      <c r="W49" s="280">
        <f t="shared" si="18"/>
        <v>0</v>
      </c>
      <c r="X49" s="178" t="str">
        <f t="shared" si="1"/>
        <v/>
      </c>
      <c r="Y49" s="178" t="str">
        <f t="shared" si="2"/>
        <v/>
      </c>
      <c r="Z49" s="178" t="str">
        <f t="shared" si="3"/>
        <v/>
      </c>
      <c r="AA49" s="178" t="str">
        <f t="shared" si="4"/>
        <v/>
      </c>
      <c r="AB49" s="178" t="str">
        <f t="shared" si="5"/>
        <v/>
      </c>
      <c r="AC49" s="178" t="str">
        <f t="shared" si="6"/>
        <v/>
      </c>
      <c r="AD49" s="267" t="s">
        <v>316</v>
      </c>
      <c r="AF49" s="149" t="str">
        <f t="shared" si="7"/>
        <v/>
      </c>
      <c r="AH49" s="178" t="str">
        <f t="shared" si="8"/>
        <v/>
      </c>
      <c r="AI49" s="178" t="str">
        <f t="shared" si="9"/>
        <v/>
      </c>
      <c r="AJ49" s="178" t="str">
        <f t="shared" si="10"/>
        <v/>
      </c>
      <c r="AK49" s="178" t="str">
        <f t="shared" si="11"/>
        <v/>
      </c>
      <c r="AL49" t="s">
        <v>327</v>
      </c>
      <c r="AN49" s="149" t="str">
        <f t="shared" si="12"/>
        <v/>
      </c>
      <c r="AQ49" s="178" t="str">
        <f t="shared" ca="1" si="15"/>
        <v/>
      </c>
      <c r="AR49" s="178" t="str">
        <f t="shared" ca="1" si="16"/>
        <v/>
      </c>
    </row>
    <row r="50" spans="1:44" x14ac:dyDescent="0.2">
      <c r="A50" t="str">
        <f>IF(B50="","",CONCATENATE("GBL",B50," - ",Mantenedor!E61))</f>
        <v/>
      </c>
      <c r="P50" t="str">
        <f t="shared" si="0"/>
        <v/>
      </c>
      <c r="Q50" s="266" t="str" cm="1">
        <f t="array" ref="Q50">+_xlfn.IFS(O50="Nacional","CLP",O50="Extranjero","USD",O50="","")</f>
        <v/>
      </c>
      <c r="R50" s="262" t="str">
        <f>IFERROR(IF(O50="Nacional",VLOOKUP(P50,PRICING!$D$4:$E$59,2,FALSE),VLOOKUP(P50,PRICING!$J$4:$K$59,2,FALSE)),"")</f>
        <v/>
      </c>
      <c r="S50"/>
      <c r="V50" s="262"/>
      <c r="W50" s="280">
        <f t="shared" si="18"/>
        <v>0</v>
      </c>
      <c r="X50" s="178" t="str">
        <f t="shared" si="1"/>
        <v/>
      </c>
      <c r="Y50" s="178" t="str">
        <f t="shared" si="2"/>
        <v/>
      </c>
      <c r="Z50" s="178" t="str">
        <f t="shared" si="3"/>
        <v/>
      </c>
      <c r="AA50" s="178" t="str">
        <f t="shared" si="4"/>
        <v/>
      </c>
      <c r="AB50" s="178" t="str">
        <f t="shared" si="5"/>
        <v/>
      </c>
      <c r="AC50" s="178" t="str">
        <f t="shared" si="6"/>
        <v/>
      </c>
      <c r="AD50" s="267" t="s">
        <v>316</v>
      </c>
      <c r="AF50" s="149" t="str">
        <f t="shared" si="7"/>
        <v/>
      </c>
      <c r="AH50" s="178" t="str">
        <f t="shared" si="8"/>
        <v/>
      </c>
      <c r="AI50" s="178" t="str">
        <f t="shared" si="9"/>
        <v/>
      </c>
      <c r="AJ50" s="178" t="str">
        <f t="shared" si="10"/>
        <v/>
      </c>
      <c r="AK50" s="178" t="str">
        <f t="shared" si="11"/>
        <v/>
      </c>
      <c r="AL50" t="s">
        <v>327</v>
      </c>
      <c r="AN50" s="149" t="str">
        <f t="shared" si="12"/>
        <v/>
      </c>
      <c r="AQ50" s="178" t="str">
        <f t="shared" ca="1" si="15"/>
        <v/>
      </c>
      <c r="AR50" s="178" t="str">
        <f t="shared" ca="1" si="16"/>
        <v/>
      </c>
    </row>
    <row r="51" spans="1:44" x14ac:dyDescent="0.2">
      <c r="A51" t="str">
        <f>IF(B51="","",CONCATENATE("GBL",B51," - ",Mantenedor!E62))</f>
        <v/>
      </c>
      <c r="P51" t="str">
        <f t="shared" si="0"/>
        <v/>
      </c>
      <c r="Q51" s="266" t="str" cm="1">
        <f t="array" ref="Q51">+_xlfn.IFS(O51="Nacional","CLP",O51="Extranjero","USD",O51="","")</f>
        <v/>
      </c>
      <c r="R51" s="262" t="str">
        <f>IFERROR(IF(O51="Nacional",VLOOKUP(P51,PRICING!$D$4:$E$59,2,FALSE),VLOOKUP(P51,PRICING!$J$4:$K$59,2,FALSE)),"")</f>
        <v/>
      </c>
      <c r="S51"/>
      <c r="V51" s="262"/>
      <c r="W51" s="280">
        <f t="shared" si="18"/>
        <v>0</v>
      </c>
      <c r="X51" s="178" t="str">
        <f t="shared" si="1"/>
        <v/>
      </c>
      <c r="Y51" s="178" t="str">
        <f t="shared" si="2"/>
        <v/>
      </c>
      <c r="Z51" s="178" t="str">
        <f t="shared" si="3"/>
        <v/>
      </c>
      <c r="AA51" s="178" t="str">
        <f t="shared" si="4"/>
        <v/>
      </c>
      <c r="AB51" s="178" t="str">
        <f t="shared" si="5"/>
        <v/>
      </c>
      <c r="AC51" s="178" t="str">
        <f t="shared" si="6"/>
        <v/>
      </c>
      <c r="AD51" s="267" t="s">
        <v>316</v>
      </c>
      <c r="AF51" s="149" t="str">
        <f t="shared" si="7"/>
        <v/>
      </c>
      <c r="AH51" s="178" t="str">
        <f t="shared" si="8"/>
        <v/>
      </c>
      <c r="AI51" s="178" t="str">
        <f t="shared" si="9"/>
        <v/>
      </c>
      <c r="AJ51" s="178" t="str">
        <f t="shared" si="10"/>
        <v/>
      </c>
      <c r="AK51" s="178" t="str">
        <f t="shared" si="11"/>
        <v/>
      </c>
      <c r="AL51" t="s">
        <v>327</v>
      </c>
      <c r="AN51" s="149" t="str">
        <f t="shared" si="12"/>
        <v/>
      </c>
      <c r="AQ51" s="178" t="str">
        <f t="shared" ca="1" si="15"/>
        <v/>
      </c>
      <c r="AR51" s="178" t="str">
        <f t="shared" ca="1" si="16"/>
        <v/>
      </c>
    </row>
    <row r="52" spans="1:44" x14ac:dyDescent="0.2">
      <c r="A52" t="str">
        <f>IF(B52="","",CONCATENATE("GBL",B52," - ",Mantenedor!E63))</f>
        <v/>
      </c>
      <c r="P52" t="str">
        <f t="shared" si="0"/>
        <v/>
      </c>
      <c r="Q52" s="266" t="str" cm="1">
        <f t="array" ref="Q52">+_xlfn.IFS(O52="Nacional","CLP",O52="Extranjero","USD",O52="","")</f>
        <v/>
      </c>
      <c r="R52" s="262" t="str">
        <f>IFERROR(IF(O52="Nacional",VLOOKUP(P52,PRICING!$D$4:$E$59,2,FALSE),VLOOKUP(P52,PRICING!$J$4:$K$59,2,FALSE)),"")</f>
        <v/>
      </c>
      <c r="S52"/>
      <c r="V52" s="262"/>
      <c r="W52" s="280">
        <f t="shared" si="18"/>
        <v>0</v>
      </c>
      <c r="X52" s="178" t="str">
        <f t="shared" si="1"/>
        <v/>
      </c>
      <c r="Y52" s="178" t="str">
        <f t="shared" si="2"/>
        <v/>
      </c>
      <c r="Z52" s="178" t="str">
        <f t="shared" si="3"/>
        <v/>
      </c>
      <c r="AA52" s="178" t="str">
        <f t="shared" si="4"/>
        <v/>
      </c>
      <c r="AB52" s="178" t="str">
        <f t="shared" si="5"/>
        <v/>
      </c>
      <c r="AC52" s="178" t="str">
        <f t="shared" si="6"/>
        <v/>
      </c>
      <c r="AD52" s="267" t="s">
        <v>316</v>
      </c>
      <c r="AF52" s="149" t="str">
        <f t="shared" si="7"/>
        <v/>
      </c>
      <c r="AH52" s="178" t="str">
        <f t="shared" si="8"/>
        <v/>
      </c>
      <c r="AI52" s="178" t="str">
        <f t="shared" si="9"/>
        <v/>
      </c>
      <c r="AJ52" s="178" t="str">
        <f t="shared" si="10"/>
        <v/>
      </c>
      <c r="AK52" s="178" t="str">
        <f t="shared" si="11"/>
        <v/>
      </c>
      <c r="AL52" t="s">
        <v>327</v>
      </c>
      <c r="AN52" s="149" t="str">
        <f t="shared" si="12"/>
        <v/>
      </c>
      <c r="AQ52" s="178" t="str">
        <f t="shared" ca="1" si="15"/>
        <v/>
      </c>
      <c r="AR52" s="178" t="str">
        <f t="shared" ca="1" si="16"/>
        <v/>
      </c>
    </row>
    <row r="53" spans="1:44" x14ac:dyDescent="0.2">
      <c r="A53" t="str">
        <f>IF(B53="","",CONCATENATE("GBL",B53," - ",Mantenedor!E64))</f>
        <v/>
      </c>
      <c r="P53" t="str">
        <f t="shared" si="0"/>
        <v/>
      </c>
      <c r="Q53" s="266" t="str" cm="1">
        <f t="array" ref="Q53">+_xlfn.IFS(O53="Nacional","CLP",O53="Extranjero","USD",O53="","")</f>
        <v/>
      </c>
      <c r="R53" s="262" t="str">
        <f>IFERROR(IF(O53="Nacional",VLOOKUP(P53,PRICING!$D$4:$E$59,2,FALSE),VLOOKUP(P53,PRICING!$J$4:$K$59,2,FALSE)),"")</f>
        <v/>
      </c>
      <c r="S53"/>
      <c r="V53" s="262"/>
      <c r="W53" s="280">
        <f t="shared" si="18"/>
        <v>0</v>
      </c>
      <c r="X53" s="178" t="str">
        <f t="shared" si="1"/>
        <v/>
      </c>
      <c r="Y53" s="178" t="str">
        <f t="shared" si="2"/>
        <v/>
      </c>
      <c r="Z53" s="178" t="str">
        <f t="shared" si="3"/>
        <v/>
      </c>
      <c r="AA53" s="178" t="str">
        <f t="shared" si="4"/>
        <v/>
      </c>
      <c r="AB53" s="178" t="str">
        <f t="shared" si="5"/>
        <v/>
      </c>
      <c r="AC53" s="178" t="str">
        <f t="shared" si="6"/>
        <v/>
      </c>
      <c r="AD53" s="267" t="s">
        <v>316</v>
      </c>
      <c r="AF53" s="149" t="str">
        <f t="shared" si="7"/>
        <v/>
      </c>
      <c r="AH53" s="178" t="str">
        <f t="shared" si="8"/>
        <v/>
      </c>
      <c r="AI53" s="178" t="str">
        <f t="shared" si="9"/>
        <v/>
      </c>
      <c r="AJ53" s="178" t="str">
        <f t="shared" si="10"/>
        <v/>
      </c>
      <c r="AK53" s="178" t="str">
        <f t="shared" si="11"/>
        <v/>
      </c>
      <c r="AL53" t="s">
        <v>327</v>
      </c>
      <c r="AN53" s="149" t="str">
        <f t="shared" si="12"/>
        <v/>
      </c>
      <c r="AQ53" s="178" t="str">
        <f t="shared" ca="1" si="15"/>
        <v/>
      </c>
      <c r="AR53" s="178" t="str">
        <f t="shared" ca="1" si="16"/>
        <v/>
      </c>
    </row>
    <row r="54" spans="1:44" x14ac:dyDescent="0.2">
      <c r="A54" t="str">
        <f>IF(B54="","",CONCATENATE("GBL",B54," - ",Mantenedor!E65))</f>
        <v/>
      </c>
      <c r="P54" t="str">
        <f t="shared" si="0"/>
        <v/>
      </c>
      <c r="Q54" s="266" t="str" cm="1">
        <f t="array" ref="Q54">+_xlfn.IFS(O54="Nacional","CLP",O54="Extranjero","USD",O54="","")</f>
        <v/>
      </c>
      <c r="R54" s="262" t="str">
        <f>IFERROR(IF(O54="Nacional",VLOOKUP(P54,PRICING!$D$4:$E$59,2,FALSE),VLOOKUP(P54,PRICING!$J$4:$K$59,2,FALSE)),"")</f>
        <v/>
      </c>
      <c r="S54"/>
      <c r="V54" s="262"/>
      <c r="W54" s="280">
        <f t="shared" si="18"/>
        <v>0</v>
      </c>
      <c r="X54" s="178" t="str">
        <f t="shared" si="1"/>
        <v/>
      </c>
      <c r="Y54" s="178" t="str">
        <f t="shared" si="2"/>
        <v/>
      </c>
      <c r="Z54" s="178" t="str">
        <f t="shared" si="3"/>
        <v/>
      </c>
      <c r="AA54" s="178" t="str">
        <f t="shared" si="4"/>
        <v/>
      </c>
      <c r="AB54" s="178" t="str">
        <f t="shared" si="5"/>
        <v/>
      </c>
      <c r="AC54" s="178" t="str">
        <f t="shared" si="6"/>
        <v/>
      </c>
      <c r="AD54" s="267" t="s">
        <v>316</v>
      </c>
      <c r="AF54" s="149" t="str">
        <f t="shared" si="7"/>
        <v/>
      </c>
      <c r="AH54" s="178" t="str">
        <f t="shared" si="8"/>
        <v/>
      </c>
      <c r="AI54" s="178" t="str">
        <f t="shared" si="9"/>
        <v/>
      </c>
      <c r="AJ54" s="178" t="str">
        <f t="shared" si="10"/>
        <v/>
      </c>
      <c r="AK54" s="178" t="str">
        <f t="shared" si="11"/>
        <v/>
      </c>
      <c r="AL54" t="s">
        <v>327</v>
      </c>
      <c r="AN54" s="149" t="str">
        <f t="shared" si="12"/>
        <v/>
      </c>
      <c r="AQ54" s="178" t="str">
        <f t="shared" ca="1" si="15"/>
        <v/>
      </c>
      <c r="AR54" s="178" t="str">
        <f t="shared" ca="1" si="16"/>
        <v/>
      </c>
    </row>
    <row r="55" spans="1:44" x14ac:dyDescent="0.2">
      <c r="A55" t="str">
        <f>IF(B55="","",CONCATENATE("GBL",B55," - ",Mantenedor!E66))</f>
        <v/>
      </c>
      <c r="P55" t="str">
        <f t="shared" si="0"/>
        <v/>
      </c>
      <c r="Q55" s="266" t="str" cm="1">
        <f t="array" ref="Q55">+_xlfn.IFS(O55="Nacional","CLP",O55="Extranjero","USD",O55="","")</f>
        <v/>
      </c>
      <c r="R55" s="262" t="str">
        <f>IFERROR(IF(O55="Nacional",VLOOKUP(P55,PRICING!$D$4:$E$59,2,FALSE),VLOOKUP(P55,PRICING!$J$4:$K$59,2,FALSE)),"")</f>
        <v/>
      </c>
      <c r="S55"/>
      <c r="V55" s="262"/>
      <c r="W55" s="280">
        <f t="shared" si="18"/>
        <v>0</v>
      </c>
      <c r="X55" s="178" t="str">
        <f t="shared" si="1"/>
        <v/>
      </c>
      <c r="Y55" s="178" t="str">
        <f t="shared" si="2"/>
        <v/>
      </c>
      <c r="Z55" s="178" t="str">
        <f t="shared" si="3"/>
        <v/>
      </c>
      <c r="AA55" s="178" t="str">
        <f t="shared" si="4"/>
        <v/>
      </c>
      <c r="AB55" s="178" t="str">
        <f t="shared" si="5"/>
        <v/>
      </c>
      <c r="AC55" s="178" t="str">
        <f t="shared" si="6"/>
        <v/>
      </c>
      <c r="AD55" s="267" t="s">
        <v>316</v>
      </c>
      <c r="AF55" s="149" t="str">
        <f t="shared" si="7"/>
        <v/>
      </c>
      <c r="AH55" s="178" t="str">
        <f t="shared" si="8"/>
        <v/>
      </c>
      <c r="AI55" s="178" t="str">
        <f t="shared" si="9"/>
        <v/>
      </c>
      <c r="AJ55" s="178" t="str">
        <f t="shared" si="10"/>
        <v/>
      </c>
      <c r="AK55" s="178" t="str">
        <f t="shared" si="11"/>
        <v/>
      </c>
      <c r="AL55" t="s">
        <v>327</v>
      </c>
      <c r="AN55" s="149" t="str">
        <f t="shared" si="12"/>
        <v/>
      </c>
      <c r="AQ55" s="178" t="str">
        <f t="shared" ca="1" si="15"/>
        <v/>
      </c>
      <c r="AR55" s="178" t="str">
        <f t="shared" ca="1" si="16"/>
        <v/>
      </c>
    </row>
    <row r="56" spans="1:44" x14ac:dyDescent="0.2">
      <c r="A56" t="str">
        <f>IF(B56="","",CONCATENATE("GBL",B56," - ",Mantenedor!E67))</f>
        <v/>
      </c>
      <c r="P56" t="str">
        <f t="shared" ref="P56:P119" si="19">IF(N56="","",(IF(L56=1,(CONCATENATE("Base ",N56," ",L56," noche")),(CONCATENATE("Base ",N56," ",L56," noches")))))</f>
        <v/>
      </c>
      <c r="Q56" s="266" t="str" cm="1">
        <f t="array" ref="Q56">+_xlfn.IFS(O56="Nacional","CLP",O56="Extranjero","USD",O56="","")</f>
        <v/>
      </c>
      <c r="R56" s="262" t="str">
        <f>IFERROR(IF(O56="Nacional",VLOOKUP(P56,PRICING!$D$4:$E$59,2,FALSE),VLOOKUP(P56,PRICING!$J$4:$K$59,2,FALSE)),"")</f>
        <v/>
      </c>
      <c r="S56"/>
      <c r="V56" s="262"/>
      <c r="W56" s="280">
        <f t="shared" ref="W56:W119" si="20">IFERROR(+V56*(1-T56),"")</f>
        <v>0</v>
      </c>
      <c r="X56" s="178" t="str">
        <f t="shared" si="1"/>
        <v/>
      </c>
      <c r="Y56" s="178" t="str">
        <f t="shared" si="2"/>
        <v/>
      </c>
      <c r="Z56" s="178" t="str">
        <f t="shared" si="3"/>
        <v/>
      </c>
      <c r="AA56" s="178" t="str">
        <f t="shared" si="4"/>
        <v/>
      </c>
      <c r="AB56" s="178" t="str">
        <f t="shared" si="5"/>
        <v/>
      </c>
      <c r="AC56" s="178" t="str">
        <f t="shared" si="6"/>
        <v/>
      </c>
      <c r="AD56" s="267" t="s">
        <v>316</v>
      </c>
      <c r="AF56" s="149" t="str">
        <f t="shared" si="7"/>
        <v/>
      </c>
      <c r="AH56" s="178" t="str">
        <f t="shared" ref="AH56:AH119" si="21">+IF($M56="","",$M56-45)</f>
        <v/>
      </c>
      <c r="AI56" s="178" t="str">
        <f t="shared" ref="AI56:AI119" si="22">+IF($M56="","",$M56-30)</f>
        <v/>
      </c>
      <c r="AJ56" s="178" t="str">
        <f t="shared" ref="AJ56:AJ119" si="23">+IF($M56="","",$M56-15)</f>
        <v/>
      </c>
      <c r="AK56" s="178" t="str">
        <f t="shared" ref="AK56:AK119" si="24">+IF($M56="","",$M56-7)</f>
        <v/>
      </c>
      <c r="AL56" t="s">
        <v>327</v>
      </c>
      <c r="AN56" s="149" t="str">
        <f t="shared" ref="AN56:AN119" si="25">+IF(AM56="","",W56*0.5)</f>
        <v/>
      </c>
      <c r="AQ56" s="178" t="str">
        <f t="shared" ref="AQ56:AQ119" ca="1" si="26">IF(A55="","",+TODAY())</f>
        <v/>
      </c>
      <c r="AR56" s="178" t="str">
        <f t="shared" ref="AR56:AR119" ca="1" si="27">IF(A55="","",+TODAY())</f>
        <v/>
      </c>
    </row>
    <row r="57" spans="1:44" x14ac:dyDescent="0.2">
      <c r="A57" t="str">
        <f>IF(B57="","",CONCATENATE("GBL",B57," - ",Mantenedor!E68))</f>
        <v/>
      </c>
      <c r="P57" t="str">
        <f t="shared" si="19"/>
        <v/>
      </c>
      <c r="Q57" s="266" t="str" cm="1">
        <f t="array" ref="Q57">+_xlfn.IFS(O57="Nacional","CLP",O57="Extranjero","USD",O57="","")</f>
        <v/>
      </c>
      <c r="R57" s="262" t="str">
        <f>IFERROR(IF(O57="Nacional",VLOOKUP(P57,PRICING!$D$4:$E$59,2,FALSE),VLOOKUP(P57,PRICING!$J$4:$K$59,2,FALSE)),"")</f>
        <v/>
      </c>
      <c r="S57"/>
      <c r="V57" s="262"/>
      <c r="W57" s="280">
        <f t="shared" si="20"/>
        <v>0</v>
      </c>
      <c r="X57" s="178" t="str">
        <f t="shared" si="1"/>
        <v/>
      </c>
      <c r="Y57" s="178" t="str">
        <f t="shared" si="2"/>
        <v/>
      </c>
      <c r="Z57" s="178" t="str">
        <f t="shared" si="3"/>
        <v/>
      </c>
      <c r="AA57" s="178" t="str">
        <f t="shared" si="4"/>
        <v/>
      </c>
      <c r="AB57" s="178" t="str">
        <f t="shared" si="5"/>
        <v/>
      </c>
      <c r="AC57" s="178" t="str">
        <f t="shared" si="6"/>
        <v/>
      </c>
      <c r="AD57" s="267" t="s">
        <v>316</v>
      </c>
      <c r="AF57" s="149" t="str">
        <f t="shared" ref="AF57:AF120" si="28">+IF(AE57="","",W57*0.5)</f>
        <v/>
      </c>
      <c r="AH57" s="178" t="str">
        <f t="shared" si="21"/>
        <v/>
      </c>
      <c r="AI57" s="178" t="str">
        <f t="shared" si="22"/>
        <v/>
      </c>
      <c r="AJ57" s="178" t="str">
        <f t="shared" si="23"/>
        <v/>
      </c>
      <c r="AK57" s="178" t="str">
        <f t="shared" si="24"/>
        <v/>
      </c>
      <c r="AL57" t="s">
        <v>327</v>
      </c>
      <c r="AN57" s="149" t="str">
        <f t="shared" si="25"/>
        <v/>
      </c>
      <c r="AQ57" s="178" t="str">
        <f t="shared" ca="1" si="26"/>
        <v/>
      </c>
      <c r="AR57" s="178" t="str">
        <f t="shared" ca="1" si="27"/>
        <v/>
      </c>
    </row>
    <row r="58" spans="1:44" x14ac:dyDescent="0.2">
      <c r="A58" t="str">
        <f>IF(B58="","",CONCATENATE("GBL",B58," - ",Mantenedor!E69))</f>
        <v/>
      </c>
      <c r="P58" t="str">
        <f t="shared" si="19"/>
        <v/>
      </c>
      <c r="Q58" s="266" t="str" cm="1">
        <f t="array" ref="Q58">+_xlfn.IFS(O58="Nacional","CLP",O58="Extranjero","USD",O58="","")</f>
        <v/>
      </c>
      <c r="R58" s="262" t="str">
        <f>IFERROR(IF(O58="Nacional",VLOOKUP(P58,PRICING!$D$4:$E$59,2,FALSE),VLOOKUP(P58,PRICING!$J$4:$K$59,2,FALSE)),"")</f>
        <v/>
      </c>
      <c r="S58"/>
      <c r="V58" s="262"/>
      <c r="W58" s="280">
        <f t="shared" si="20"/>
        <v>0</v>
      </c>
      <c r="X58" s="178" t="str">
        <f t="shared" si="1"/>
        <v/>
      </c>
      <c r="Y58" s="178" t="str">
        <f t="shared" si="2"/>
        <v/>
      </c>
      <c r="Z58" s="178" t="str">
        <f t="shared" si="3"/>
        <v/>
      </c>
      <c r="AA58" s="178" t="str">
        <f t="shared" si="4"/>
        <v/>
      </c>
      <c r="AB58" s="178" t="str">
        <f t="shared" si="5"/>
        <v/>
      </c>
      <c r="AC58" s="178" t="str">
        <f t="shared" si="6"/>
        <v/>
      </c>
      <c r="AD58" s="267" t="s">
        <v>316</v>
      </c>
      <c r="AF58" s="149" t="str">
        <f t="shared" si="28"/>
        <v/>
      </c>
      <c r="AH58" s="178" t="str">
        <f t="shared" si="21"/>
        <v/>
      </c>
      <c r="AI58" s="178" t="str">
        <f t="shared" si="22"/>
        <v/>
      </c>
      <c r="AJ58" s="178" t="str">
        <f t="shared" si="23"/>
        <v/>
      </c>
      <c r="AK58" s="178" t="str">
        <f t="shared" si="24"/>
        <v/>
      </c>
      <c r="AL58" t="s">
        <v>327</v>
      </c>
      <c r="AN58" s="149" t="str">
        <f t="shared" si="25"/>
        <v/>
      </c>
      <c r="AQ58" s="178" t="str">
        <f t="shared" ca="1" si="26"/>
        <v/>
      </c>
      <c r="AR58" s="178" t="str">
        <f t="shared" ca="1" si="27"/>
        <v/>
      </c>
    </row>
    <row r="59" spans="1:44" x14ac:dyDescent="0.2">
      <c r="A59" t="str">
        <f>IF(B59="","",CONCATENATE("GBL",B59," - ",Mantenedor!E70))</f>
        <v/>
      </c>
      <c r="P59" t="str">
        <f t="shared" si="19"/>
        <v/>
      </c>
      <c r="Q59" s="266" t="str" cm="1">
        <f t="array" ref="Q59">+_xlfn.IFS(O59="Nacional","CLP",O59="Extranjero","USD",O59="","")</f>
        <v/>
      </c>
      <c r="R59" s="262" t="str">
        <f>IFERROR(IF(O59="Nacional",VLOOKUP(P59,PRICING!$D$4:$E$59,2,FALSE),VLOOKUP(P59,PRICING!$J$4:$K$59,2,FALSE)),"")</f>
        <v/>
      </c>
      <c r="S59"/>
      <c r="V59" s="262"/>
      <c r="W59" s="280">
        <f t="shared" si="20"/>
        <v>0</v>
      </c>
      <c r="X59" s="178" t="str">
        <f t="shared" si="1"/>
        <v/>
      </c>
      <c r="Y59" s="178" t="str">
        <f t="shared" si="2"/>
        <v/>
      </c>
      <c r="Z59" s="178" t="str">
        <f t="shared" si="3"/>
        <v/>
      </c>
      <c r="AA59" s="178" t="str">
        <f t="shared" si="4"/>
        <v/>
      </c>
      <c r="AB59" s="178" t="str">
        <f t="shared" si="5"/>
        <v/>
      </c>
      <c r="AC59" s="178" t="str">
        <f t="shared" si="6"/>
        <v/>
      </c>
      <c r="AD59" s="267" t="s">
        <v>316</v>
      </c>
      <c r="AF59" s="149" t="str">
        <f t="shared" si="28"/>
        <v/>
      </c>
      <c r="AH59" s="178" t="str">
        <f t="shared" si="21"/>
        <v/>
      </c>
      <c r="AI59" s="178" t="str">
        <f t="shared" si="22"/>
        <v/>
      </c>
      <c r="AJ59" s="178" t="str">
        <f t="shared" si="23"/>
        <v/>
      </c>
      <c r="AK59" s="178" t="str">
        <f t="shared" si="24"/>
        <v/>
      </c>
      <c r="AL59" t="s">
        <v>327</v>
      </c>
      <c r="AN59" s="149" t="str">
        <f t="shared" si="25"/>
        <v/>
      </c>
      <c r="AQ59" s="178" t="str">
        <f t="shared" ca="1" si="26"/>
        <v/>
      </c>
      <c r="AR59" s="178" t="str">
        <f t="shared" ca="1" si="27"/>
        <v/>
      </c>
    </row>
    <row r="60" spans="1:44" x14ac:dyDescent="0.2">
      <c r="A60" t="str">
        <f>IF(B60="","",CONCATENATE("GBL",B60," - ",Mantenedor!E71))</f>
        <v/>
      </c>
      <c r="P60" t="str">
        <f t="shared" si="19"/>
        <v/>
      </c>
      <c r="Q60" s="266" t="str" cm="1">
        <f t="array" ref="Q60">+_xlfn.IFS(O60="Nacional","CLP",O60="Extranjero","USD",O60="","")</f>
        <v/>
      </c>
      <c r="R60" s="262" t="str">
        <f>IFERROR(IF(O60="Nacional",VLOOKUP(P60,PRICING!$D$4:$E$59,2,FALSE),VLOOKUP(P60,PRICING!$J$4:$K$59,2,FALSE)),"")</f>
        <v/>
      </c>
      <c r="S60"/>
      <c r="V60" s="262"/>
      <c r="W60" s="280">
        <f t="shared" si="20"/>
        <v>0</v>
      </c>
      <c r="X60" s="178" t="str">
        <f t="shared" si="1"/>
        <v/>
      </c>
      <c r="Y60" s="178" t="str">
        <f t="shared" si="2"/>
        <v/>
      </c>
      <c r="Z60" s="178" t="str">
        <f t="shared" si="3"/>
        <v/>
      </c>
      <c r="AA60" s="178" t="str">
        <f t="shared" si="4"/>
        <v/>
      </c>
      <c r="AB60" s="178" t="str">
        <f t="shared" si="5"/>
        <v/>
      </c>
      <c r="AC60" s="178" t="str">
        <f t="shared" si="6"/>
        <v/>
      </c>
      <c r="AD60" s="267" t="s">
        <v>316</v>
      </c>
      <c r="AF60" s="149" t="str">
        <f t="shared" si="28"/>
        <v/>
      </c>
      <c r="AH60" s="178" t="str">
        <f t="shared" si="21"/>
        <v/>
      </c>
      <c r="AI60" s="178" t="str">
        <f t="shared" si="22"/>
        <v/>
      </c>
      <c r="AJ60" s="178" t="str">
        <f t="shared" si="23"/>
        <v/>
      </c>
      <c r="AK60" s="178" t="str">
        <f t="shared" si="24"/>
        <v/>
      </c>
      <c r="AL60" t="s">
        <v>327</v>
      </c>
      <c r="AN60" s="149" t="str">
        <f t="shared" si="25"/>
        <v/>
      </c>
      <c r="AQ60" s="178" t="str">
        <f t="shared" ca="1" si="26"/>
        <v/>
      </c>
      <c r="AR60" s="178" t="str">
        <f t="shared" ca="1" si="27"/>
        <v/>
      </c>
    </row>
    <row r="61" spans="1:44" x14ac:dyDescent="0.2">
      <c r="A61" t="str">
        <f>IF(B61="","",CONCATENATE("GBL",B61," - ",Mantenedor!E72))</f>
        <v/>
      </c>
      <c r="P61" t="str">
        <f t="shared" si="19"/>
        <v/>
      </c>
      <c r="Q61" s="266" t="str" cm="1">
        <f t="array" ref="Q61">+_xlfn.IFS(O61="Nacional","CLP",O61="Extranjero","USD",O61="","")</f>
        <v/>
      </c>
      <c r="R61" s="262" t="str">
        <f>IFERROR(IF(O61="Nacional",VLOOKUP(P61,PRICING!$D$4:$E$59,2,FALSE),VLOOKUP(P61,PRICING!$J$4:$K$59,2,FALSE)),"")</f>
        <v/>
      </c>
      <c r="S61"/>
      <c r="V61" s="262"/>
      <c r="W61" s="280">
        <f t="shared" si="20"/>
        <v>0</v>
      </c>
      <c r="X61" s="178" t="str">
        <f t="shared" si="1"/>
        <v/>
      </c>
      <c r="Y61" s="178" t="str">
        <f t="shared" si="2"/>
        <v/>
      </c>
      <c r="Z61" s="178" t="str">
        <f t="shared" si="3"/>
        <v/>
      </c>
      <c r="AA61" s="178" t="str">
        <f t="shared" si="4"/>
        <v/>
      </c>
      <c r="AB61" s="178" t="str">
        <f t="shared" si="5"/>
        <v/>
      </c>
      <c r="AC61" s="178" t="str">
        <f t="shared" si="6"/>
        <v/>
      </c>
      <c r="AD61" s="267" t="s">
        <v>316</v>
      </c>
      <c r="AF61" s="149" t="str">
        <f t="shared" si="28"/>
        <v/>
      </c>
      <c r="AH61" s="178" t="str">
        <f t="shared" si="21"/>
        <v/>
      </c>
      <c r="AI61" s="178" t="str">
        <f t="shared" si="22"/>
        <v/>
      </c>
      <c r="AJ61" s="178" t="str">
        <f t="shared" si="23"/>
        <v/>
      </c>
      <c r="AK61" s="178" t="str">
        <f t="shared" si="24"/>
        <v/>
      </c>
      <c r="AL61" t="s">
        <v>327</v>
      </c>
      <c r="AN61" s="149" t="str">
        <f t="shared" si="25"/>
        <v/>
      </c>
      <c r="AQ61" s="178" t="str">
        <f t="shared" ca="1" si="26"/>
        <v/>
      </c>
      <c r="AR61" s="178" t="str">
        <f t="shared" ca="1" si="27"/>
        <v/>
      </c>
    </row>
    <row r="62" spans="1:44" x14ac:dyDescent="0.2">
      <c r="A62" t="str">
        <f>IF(B62="","",CONCATENATE("GBL",B62," - ",Mantenedor!E73))</f>
        <v/>
      </c>
      <c r="P62" t="str">
        <f t="shared" si="19"/>
        <v/>
      </c>
      <c r="Q62" s="266" t="str" cm="1">
        <f t="array" ref="Q62">+_xlfn.IFS(O62="Nacional","CLP",O62="Extranjero","USD",O62="","")</f>
        <v/>
      </c>
      <c r="R62" s="262" t="str">
        <f>IFERROR(IF(O62="Nacional",VLOOKUP(P62,PRICING!$D$4:$E$59,2,FALSE),VLOOKUP(P62,PRICING!$J$4:$K$59,2,FALSE)),"")</f>
        <v/>
      </c>
      <c r="S62"/>
      <c r="V62" s="262"/>
      <c r="W62" s="280">
        <f t="shared" si="20"/>
        <v>0</v>
      </c>
      <c r="X62" s="178" t="str">
        <f t="shared" si="1"/>
        <v/>
      </c>
      <c r="Y62" s="178" t="str">
        <f t="shared" si="2"/>
        <v/>
      </c>
      <c r="Z62" s="178" t="str">
        <f t="shared" si="3"/>
        <v/>
      </c>
      <c r="AA62" s="178" t="str">
        <f t="shared" si="4"/>
        <v/>
      </c>
      <c r="AB62" s="178" t="str">
        <f t="shared" si="5"/>
        <v/>
      </c>
      <c r="AC62" s="178" t="str">
        <f t="shared" si="6"/>
        <v/>
      </c>
      <c r="AD62" s="267" t="s">
        <v>316</v>
      </c>
      <c r="AF62" s="149" t="str">
        <f t="shared" si="28"/>
        <v/>
      </c>
      <c r="AH62" s="178" t="str">
        <f t="shared" si="21"/>
        <v/>
      </c>
      <c r="AI62" s="178" t="str">
        <f t="shared" si="22"/>
        <v/>
      </c>
      <c r="AJ62" s="178" t="str">
        <f t="shared" si="23"/>
        <v/>
      </c>
      <c r="AK62" s="178" t="str">
        <f t="shared" si="24"/>
        <v/>
      </c>
      <c r="AL62" t="s">
        <v>327</v>
      </c>
      <c r="AN62" s="149" t="str">
        <f t="shared" si="25"/>
        <v/>
      </c>
      <c r="AQ62" s="178" t="str">
        <f t="shared" ca="1" si="26"/>
        <v/>
      </c>
      <c r="AR62" s="178" t="str">
        <f t="shared" ca="1" si="27"/>
        <v/>
      </c>
    </row>
    <row r="63" spans="1:44" x14ac:dyDescent="0.2">
      <c r="A63" t="str">
        <f>IF(B63="","",CONCATENATE("GBL",B63," - ",Mantenedor!E74))</f>
        <v/>
      </c>
      <c r="P63" t="str">
        <f t="shared" si="19"/>
        <v/>
      </c>
      <c r="Q63" s="266" t="str" cm="1">
        <f t="array" ref="Q63">+_xlfn.IFS(O63="Nacional","CLP",O63="Extranjero","USD",O63="","")</f>
        <v/>
      </c>
      <c r="R63" s="262" t="str">
        <f>IFERROR(IF(O63="Nacional",VLOOKUP(P63,PRICING!$D$4:$E$59,2,FALSE),VLOOKUP(P63,PRICING!$J$4:$K$59,2,FALSE)),"")</f>
        <v/>
      </c>
      <c r="S63"/>
      <c r="V63" s="262"/>
      <c r="W63" s="280">
        <f t="shared" si="20"/>
        <v>0</v>
      </c>
      <c r="X63" s="178" t="str">
        <f t="shared" si="1"/>
        <v/>
      </c>
      <c r="Y63" s="178" t="str">
        <f t="shared" si="2"/>
        <v/>
      </c>
      <c r="Z63" s="178" t="str">
        <f t="shared" si="3"/>
        <v/>
      </c>
      <c r="AA63" s="178" t="str">
        <f t="shared" si="4"/>
        <v/>
      </c>
      <c r="AB63" s="178" t="str">
        <f t="shared" si="5"/>
        <v/>
      </c>
      <c r="AC63" s="178" t="str">
        <f t="shared" si="6"/>
        <v/>
      </c>
      <c r="AD63" s="267" t="s">
        <v>316</v>
      </c>
      <c r="AF63" s="149" t="str">
        <f t="shared" si="28"/>
        <v/>
      </c>
      <c r="AH63" s="178" t="str">
        <f t="shared" si="21"/>
        <v/>
      </c>
      <c r="AI63" s="178" t="str">
        <f t="shared" si="22"/>
        <v/>
      </c>
      <c r="AJ63" s="178" t="str">
        <f t="shared" si="23"/>
        <v/>
      </c>
      <c r="AK63" s="178" t="str">
        <f t="shared" si="24"/>
        <v/>
      </c>
      <c r="AL63" t="s">
        <v>327</v>
      </c>
      <c r="AN63" s="149" t="str">
        <f t="shared" si="25"/>
        <v/>
      </c>
      <c r="AQ63" s="178" t="str">
        <f t="shared" ca="1" si="26"/>
        <v/>
      </c>
      <c r="AR63" s="178" t="str">
        <f t="shared" ca="1" si="27"/>
        <v/>
      </c>
    </row>
    <row r="64" spans="1:44" x14ac:dyDescent="0.2">
      <c r="A64" t="str">
        <f>IF(B64="","",CONCATENATE("GBL",B64," - ",Mantenedor!E75))</f>
        <v/>
      </c>
      <c r="P64" t="str">
        <f t="shared" si="19"/>
        <v/>
      </c>
      <c r="Q64" s="266" t="str" cm="1">
        <f t="array" ref="Q64">+_xlfn.IFS(O64="Nacional","CLP",O64="Extranjero","USD",O64="","")</f>
        <v/>
      </c>
      <c r="R64" s="262" t="str">
        <f>IFERROR(IF(O64="Nacional",VLOOKUP(P64,PRICING!$D$4:$E$59,2,FALSE),VLOOKUP(P64,PRICING!$J$4:$K$59,2,FALSE)),"")</f>
        <v/>
      </c>
      <c r="S64"/>
      <c r="V64" s="262"/>
      <c r="W64" s="280">
        <f t="shared" si="20"/>
        <v>0</v>
      </c>
      <c r="X64" s="178" t="str">
        <f t="shared" ref="X64:X127" si="29">IF($J64="","",$J64-105)</f>
        <v/>
      </c>
      <c r="Y64" s="178" t="str">
        <f t="shared" ref="Y64:Y127" si="30">IF($J64="","",$J64-90)</f>
        <v/>
      </c>
      <c r="Z64" s="178" t="str">
        <f t="shared" ref="Z64:Z127" si="31">IF($J64="","",$J64-75)</f>
        <v/>
      </c>
      <c r="AA64" s="178" t="str">
        <f t="shared" ref="AA64:AA127" si="32">IF($J64="","",$J64-60)</f>
        <v/>
      </c>
      <c r="AB64" s="178" t="str">
        <f t="shared" ref="AB64:AB127" si="33">IF($J64="","",$J64-45)</f>
        <v/>
      </c>
      <c r="AC64" s="178" t="str">
        <f t="shared" ref="AC64:AC127" si="34">IF($J64="","",$J64-30)</f>
        <v/>
      </c>
      <c r="AD64" s="267" t="s">
        <v>316</v>
      </c>
      <c r="AF64" s="149" t="str">
        <f t="shared" si="28"/>
        <v/>
      </c>
      <c r="AH64" s="178" t="str">
        <f t="shared" si="21"/>
        <v/>
      </c>
      <c r="AI64" s="178" t="str">
        <f t="shared" si="22"/>
        <v/>
      </c>
      <c r="AJ64" s="178" t="str">
        <f t="shared" si="23"/>
        <v/>
      </c>
      <c r="AK64" s="178" t="str">
        <f t="shared" si="24"/>
        <v/>
      </c>
      <c r="AL64" t="s">
        <v>327</v>
      </c>
      <c r="AN64" s="149" t="str">
        <f t="shared" si="25"/>
        <v/>
      </c>
      <c r="AQ64" s="178" t="str">
        <f t="shared" ca="1" si="26"/>
        <v/>
      </c>
      <c r="AR64" s="178" t="str">
        <f t="shared" ca="1" si="27"/>
        <v/>
      </c>
    </row>
    <row r="65" spans="1:44" x14ac:dyDescent="0.2">
      <c r="A65" t="str">
        <f>IF(B65="","",CONCATENATE("GBL",B65," - ",Mantenedor!E76))</f>
        <v/>
      </c>
      <c r="P65" t="str">
        <f t="shared" si="19"/>
        <v/>
      </c>
      <c r="Q65" s="266" t="str" cm="1">
        <f t="array" ref="Q65">+_xlfn.IFS(O65="Nacional","CLP",O65="Extranjero","USD",O65="","")</f>
        <v/>
      </c>
      <c r="R65" s="262" t="str">
        <f>IFERROR(IF(O65="Nacional",VLOOKUP(P65,PRICING!$D$4:$E$59,2,FALSE),VLOOKUP(P65,PRICING!$J$4:$K$59,2,FALSE)),"")</f>
        <v/>
      </c>
      <c r="S65"/>
      <c r="V65" s="262"/>
      <c r="W65" s="280">
        <f t="shared" si="20"/>
        <v>0</v>
      </c>
      <c r="X65" s="178" t="str">
        <f t="shared" si="29"/>
        <v/>
      </c>
      <c r="Y65" s="178" t="str">
        <f t="shared" si="30"/>
        <v/>
      </c>
      <c r="Z65" s="178" t="str">
        <f t="shared" si="31"/>
        <v/>
      </c>
      <c r="AA65" s="178" t="str">
        <f t="shared" si="32"/>
        <v/>
      </c>
      <c r="AB65" s="178" t="str">
        <f t="shared" si="33"/>
        <v/>
      </c>
      <c r="AC65" s="178" t="str">
        <f t="shared" si="34"/>
        <v/>
      </c>
      <c r="AD65" s="267" t="s">
        <v>316</v>
      </c>
      <c r="AF65" s="149" t="str">
        <f t="shared" si="28"/>
        <v/>
      </c>
      <c r="AH65" s="178" t="str">
        <f t="shared" si="21"/>
        <v/>
      </c>
      <c r="AI65" s="178" t="str">
        <f t="shared" si="22"/>
        <v/>
      </c>
      <c r="AJ65" s="178" t="str">
        <f t="shared" si="23"/>
        <v/>
      </c>
      <c r="AK65" s="178" t="str">
        <f t="shared" si="24"/>
        <v/>
      </c>
      <c r="AL65" t="s">
        <v>327</v>
      </c>
      <c r="AN65" s="149" t="str">
        <f t="shared" si="25"/>
        <v/>
      </c>
      <c r="AQ65" s="178" t="str">
        <f t="shared" ca="1" si="26"/>
        <v/>
      </c>
      <c r="AR65" s="178" t="str">
        <f t="shared" ca="1" si="27"/>
        <v/>
      </c>
    </row>
    <row r="66" spans="1:44" x14ac:dyDescent="0.2">
      <c r="A66" t="str">
        <f>IF(B66="","",CONCATENATE("GBL",B66," - ",Mantenedor!E77))</f>
        <v/>
      </c>
      <c r="P66" t="str">
        <f t="shared" si="19"/>
        <v/>
      </c>
      <c r="Q66" s="266" t="str" cm="1">
        <f t="array" ref="Q66">+_xlfn.IFS(O66="Nacional","CLP",O66="Extranjero","USD",O66="","")</f>
        <v/>
      </c>
      <c r="R66" s="262" t="str">
        <f>IFERROR(IF(O66="Nacional",VLOOKUP(P66,PRICING!$D$4:$E$59,2,FALSE),VLOOKUP(P66,PRICING!$J$4:$K$59,2,FALSE)),"")</f>
        <v/>
      </c>
      <c r="S66"/>
      <c r="V66" s="262"/>
      <c r="W66" s="280">
        <f t="shared" si="20"/>
        <v>0</v>
      </c>
      <c r="X66" s="178" t="str">
        <f t="shared" si="29"/>
        <v/>
      </c>
      <c r="Y66" s="178" t="str">
        <f t="shared" si="30"/>
        <v/>
      </c>
      <c r="Z66" s="178" t="str">
        <f t="shared" si="31"/>
        <v/>
      </c>
      <c r="AA66" s="178" t="str">
        <f t="shared" si="32"/>
        <v/>
      </c>
      <c r="AB66" s="178" t="str">
        <f t="shared" si="33"/>
        <v/>
      </c>
      <c r="AC66" s="178" t="str">
        <f t="shared" si="34"/>
        <v/>
      </c>
      <c r="AD66" s="267" t="s">
        <v>316</v>
      </c>
      <c r="AF66" s="149" t="str">
        <f t="shared" si="28"/>
        <v/>
      </c>
      <c r="AH66" s="178" t="str">
        <f t="shared" si="21"/>
        <v/>
      </c>
      <c r="AI66" s="178" t="str">
        <f t="shared" si="22"/>
        <v/>
      </c>
      <c r="AJ66" s="178" t="str">
        <f t="shared" si="23"/>
        <v/>
      </c>
      <c r="AK66" s="178" t="str">
        <f t="shared" si="24"/>
        <v/>
      </c>
      <c r="AL66" t="s">
        <v>327</v>
      </c>
      <c r="AN66" s="149" t="str">
        <f t="shared" si="25"/>
        <v/>
      </c>
      <c r="AQ66" s="178" t="str">
        <f t="shared" ca="1" si="26"/>
        <v/>
      </c>
      <c r="AR66" s="178" t="str">
        <f t="shared" ca="1" si="27"/>
        <v/>
      </c>
    </row>
    <row r="67" spans="1:44" x14ac:dyDescent="0.2">
      <c r="A67" t="str">
        <f>IF(B67="","",CONCATENATE("GBL",B67," - ",Mantenedor!E78))</f>
        <v/>
      </c>
      <c r="P67" t="str">
        <f t="shared" si="19"/>
        <v/>
      </c>
      <c r="Q67" s="266" t="str" cm="1">
        <f t="array" ref="Q67">+_xlfn.IFS(O67="Nacional","CLP",O67="Extranjero","USD",O67="","")</f>
        <v/>
      </c>
      <c r="R67" s="262" t="str">
        <f>IFERROR(IF(O67="Nacional",VLOOKUP(P67,PRICING!$D$4:$E$59,2,FALSE),VLOOKUP(P67,PRICING!$J$4:$K$59,2,FALSE)),"")</f>
        <v/>
      </c>
      <c r="S67"/>
      <c r="V67" s="262"/>
      <c r="W67" s="280">
        <f t="shared" si="20"/>
        <v>0</v>
      </c>
      <c r="X67" s="178" t="str">
        <f t="shared" si="29"/>
        <v/>
      </c>
      <c r="Y67" s="178" t="str">
        <f t="shared" si="30"/>
        <v/>
      </c>
      <c r="Z67" s="178" t="str">
        <f t="shared" si="31"/>
        <v/>
      </c>
      <c r="AA67" s="178" t="str">
        <f t="shared" si="32"/>
        <v/>
      </c>
      <c r="AB67" s="178" t="str">
        <f t="shared" si="33"/>
        <v/>
      </c>
      <c r="AC67" s="178" t="str">
        <f t="shared" si="34"/>
        <v/>
      </c>
      <c r="AD67" s="267" t="s">
        <v>316</v>
      </c>
      <c r="AF67" s="149" t="str">
        <f t="shared" si="28"/>
        <v/>
      </c>
      <c r="AH67" s="178" t="str">
        <f t="shared" si="21"/>
        <v/>
      </c>
      <c r="AI67" s="178" t="str">
        <f t="shared" si="22"/>
        <v/>
      </c>
      <c r="AJ67" s="178" t="str">
        <f t="shared" si="23"/>
        <v/>
      </c>
      <c r="AK67" s="178" t="str">
        <f t="shared" si="24"/>
        <v/>
      </c>
      <c r="AL67" t="s">
        <v>327</v>
      </c>
      <c r="AN67" s="149" t="str">
        <f t="shared" si="25"/>
        <v/>
      </c>
      <c r="AQ67" s="178" t="str">
        <f t="shared" ca="1" si="26"/>
        <v/>
      </c>
      <c r="AR67" s="178" t="str">
        <f t="shared" ca="1" si="27"/>
        <v/>
      </c>
    </row>
    <row r="68" spans="1:44" x14ac:dyDescent="0.2">
      <c r="A68" t="str">
        <f>IF(B68="","",CONCATENATE("GBL",B68," - ",Mantenedor!E79))</f>
        <v/>
      </c>
      <c r="P68" t="str">
        <f t="shared" si="19"/>
        <v/>
      </c>
      <c r="Q68" s="266" t="str" cm="1">
        <f t="array" ref="Q68">+_xlfn.IFS(O68="Nacional","CLP",O68="Extranjero","USD",O68="","")</f>
        <v/>
      </c>
      <c r="R68" s="262" t="str">
        <f>IFERROR(IF(O68="Nacional",VLOOKUP(P68,PRICING!$D$4:$E$59,2,FALSE),VLOOKUP(P68,PRICING!$J$4:$K$59,2,FALSE)),"")</f>
        <v/>
      </c>
      <c r="S68"/>
      <c r="V68" s="262"/>
      <c r="W68" s="280">
        <f t="shared" si="20"/>
        <v>0</v>
      </c>
      <c r="X68" s="178" t="str">
        <f t="shared" si="29"/>
        <v/>
      </c>
      <c r="Y68" s="178" t="str">
        <f t="shared" si="30"/>
        <v/>
      </c>
      <c r="Z68" s="178" t="str">
        <f t="shared" si="31"/>
        <v/>
      </c>
      <c r="AA68" s="178" t="str">
        <f t="shared" si="32"/>
        <v/>
      </c>
      <c r="AB68" s="178" t="str">
        <f t="shared" si="33"/>
        <v/>
      </c>
      <c r="AC68" s="178" t="str">
        <f t="shared" si="34"/>
        <v/>
      </c>
      <c r="AD68" s="267" t="s">
        <v>316</v>
      </c>
      <c r="AF68" s="149" t="str">
        <f t="shared" si="28"/>
        <v/>
      </c>
      <c r="AH68" s="178" t="str">
        <f t="shared" si="21"/>
        <v/>
      </c>
      <c r="AI68" s="178" t="str">
        <f t="shared" si="22"/>
        <v/>
      </c>
      <c r="AJ68" s="178" t="str">
        <f t="shared" si="23"/>
        <v/>
      </c>
      <c r="AK68" s="178" t="str">
        <f t="shared" si="24"/>
        <v/>
      </c>
      <c r="AL68" t="s">
        <v>327</v>
      </c>
      <c r="AN68" s="149" t="str">
        <f t="shared" si="25"/>
        <v/>
      </c>
      <c r="AQ68" s="178" t="str">
        <f t="shared" ca="1" si="26"/>
        <v/>
      </c>
      <c r="AR68" s="178" t="str">
        <f t="shared" ca="1" si="27"/>
        <v/>
      </c>
    </row>
    <row r="69" spans="1:44" x14ac:dyDescent="0.2">
      <c r="A69" t="str">
        <f>IF(B69="","",CONCATENATE("GBL",B69," - ",Mantenedor!E80))</f>
        <v/>
      </c>
      <c r="P69" t="str">
        <f t="shared" si="19"/>
        <v/>
      </c>
      <c r="Q69" s="266" t="str" cm="1">
        <f t="array" ref="Q69">+_xlfn.IFS(O69="Nacional","CLP",O69="Extranjero","USD",O69="","")</f>
        <v/>
      </c>
      <c r="R69" s="262" t="str">
        <f>IFERROR(IF(O69="Nacional",VLOOKUP(P69,PRICING!$D$4:$E$59,2,FALSE),VLOOKUP(P69,PRICING!$J$4:$K$59,2,FALSE)),"")</f>
        <v/>
      </c>
      <c r="S69"/>
      <c r="V69" s="262"/>
      <c r="W69" s="280">
        <f t="shared" si="20"/>
        <v>0</v>
      </c>
      <c r="X69" s="178" t="str">
        <f t="shared" si="29"/>
        <v/>
      </c>
      <c r="Y69" s="178" t="str">
        <f t="shared" si="30"/>
        <v/>
      </c>
      <c r="Z69" s="178" t="str">
        <f t="shared" si="31"/>
        <v/>
      </c>
      <c r="AA69" s="178" t="str">
        <f t="shared" si="32"/>
        <v/>
      </c>
      <c r="AB69" s="178" t="str">
        <f t="shared" si="33"/>
        <v/>
      </c>
      <c r="AC69" s="178" t="str">
        <f t="shared" si="34"/>
        <v/>
      </c>
      <c r="AD69" s="267" t="s">
        <v>316</v>
      </c>
      <c r="AF69" s="149" t="str">
        <f t="shared" si="28"/>
        <v/>
      </c>
      <c r="AH69" s="178" t="str">
        <f t="shared" si="21"/>
        <v/>
      </c>
      <c r="AI69" s="178" t="str">
        <f t="shared" si="22"/>
        <v/>
      </c>
      <c r="AJ69" s="178" t="str">
        <f t="shared" si="23"/>
        <v/>
      </c>
      <c r="AK69" s="178" t="str">
        <f t="shared" si="24"/>
        <v/>
      </c>
      <c r="AL69" t="s">
        <v>327</v>
      </c>
      <c r="AN69" s="149" t="str">
        <f t="shared" si="25"/>
        <v/>
      </c>
      <c r="AQ69" s="178" t="str">
        <f t="shared" ca="1" si="26"/>
        <v/>
      </c>
      <c r="AR69" s="178" t="str">
        <f t="shared" ca="1" si="27"/>
        <v/>
      </c>
    </row>
    <row r="70" spans="1:44" x14ac:dyDescent="0.2">
      <c r="A70" t="str">
        <f>IF(B70="","",CONCATENATE("GBL",B70," - ",Mantenedor!E81))</f>
        <v/>
      </c>
      <c r="P70" t="str">
        <f t="shared" si="19"/>
        <v/>
      </c>
      <c r="Q70" s="266" t="str" cm="1">
        <f t="array" ref="Q70">+_xlfn.IFS(O70="Nacional","CLP",O70="Extranjero","USD",O70="","")</f>
        <v/>
      </c>
      <c r="R70" s="262" t="str">
        <f>IFERROR(IF(O70="Nacional",VLOOKUP(P70,PRICING!$D$4:$E$59,2,FALSE),VLOOKUP(P70,PRICING!$J$4:$K$59,2,FALSE)),"")</f>
        <v/>
      </c>
      <c r="S70"/>
      <c r="V70" s="262"/>
      <c r="W70" s="280">
        <f t="shared" si="20"/>
        <v>0</v>
      </c>
      <c r="X70" s="178" t="str">
        <f t="shared" si="29"/>
        <v/>
      </c>
      <c r="Y70" s="178" t="str">
        <f t="shared" si="30"/>
        <v/>
      </c>
      <c r="Z70" s="178" t="str">
        <f t="shared" si="31"/>
        <v/>
      </c>
      <c r="AA70" s="178" t="str">
        <f t="shared" si="32"/>
        <v/>
      </c>
      <c r="AB70" s="178" t="str">
        <f t="shared" si="33"/>
        <v/>
      </c>
      <c r="AC70" s="178" t="str">
        <f t="shared" si="34"/>
        <v/>
      </c>
      <c r="AD70" s="267" t="s">
        <v>316</v>
      </c>
      <c r="AF70" s="149" t="str">
        <f t="shared" si="28"/>
        <v/>
      </c>
      <c r="AH70" s="178" t="str">
        <f t="shared" si="21"/>
        <v/>
      </c>
      <c r="AI70" s="178" t="str">
        <f t="shared" si="22"/>
        <v/>
      </c>
      <c r="AJ70" s="178" t="str">
        <f t="shared" si="23"/>
        <v/>
      </c>
      <c r="AK70" s="178" t="str">
        <f t="shared" si="24"/>
        <v/>
      </c>
      <c r="AL70" t="s">
        <v>327</v>
      </c>
      <c r="AN70" s="149" t="str">
        <f t="shared" si="25"/>
        <v/>
      </c>
      <c r="AQ70" s="178" t="str">
        <f t="shared" ca="1" si="26"/>
        <v/>
      </c>
      <c r="AR70" s="178" t="str">
        <f t="shared" ca="1" si="27"/>
        <v/>
      </c>
    </row>
    <row r="71" spans="1:44" x14ac:dyDescent="0.2">
      <c r="A71" t="str">
        <f>IF(B71="","",CONCATENATE("GBL",B71," - ",Mantenedor!E82))</f>
        <v/>
      </c>
      <c r="P71" t="str">
        <f t="shared" si="19"/>
        <v/>
      </c>
      <c r="Q71" s="266" t="str" cm="1">
        <f t="array" ref="Q71">+_xlfn.IFS(O71="Nacional","CLP",O71="Extranjero","USD",O71="","")</f>
        <v/>
      </c>
      <c r="R71" s="262" t="str">
        <f>IFERROR(IF(O71="Nacional",VLOOKUP(P71,PRICING!$D$4:$E$59,2,FALSE),VLOOKUP(P71,PRICING!$J$4:$K$59,2,FALSE)),"")</f>
        <v/>
      </c>
      <c r="S71"/>
      <c r="V71" s="262"/>
      <c r="W71" s="280">
        <f t="shared" si="20"/>
        <v>0</v>
      </c>
      <c r="X71" s="178" t="str">
        <f t="shared" si="29"/>
        <v/>
      </c>
      <c r="Y71" s="178" t="str">
        <f t="shared" si="30"/>
        <v/>
      </c>
      <c r="Z71" s="178" t="str">
        <f t="shared" si="31"/>
        <v/>
      </c>
      <c r="AA71" s="178" t="str">
        <f t="shared" si="32"/>
        <v/>
      </c>
      <c r="AB71" s="178" t="str">
        <f t="shared" si="33"/>
        <v/>
      </c>
      <c r="AC71" s="178" t="str">
        <f t="shared" si="34"/>
        <v/>
      </c>
      <c r="AD71" s="267" t="s">
        <v>316</v>
      </c>
      <c r="AF71" s="149" t="str">
        <f t="shared" si="28"/>
        <v/>
      </c>
      <c r="AH71" s="178" t="str">
        <f t="shared" si="21"/>
        <v/>
      </c>
      <c r="AI71" s="178" t="str">
        <f t="shared" si="22"/>
        <v/>
      </c>
      <c r="AJ71" s="178" t="str">
        <f t="shared" si="23"/>
        <v/>
      </c>
      <c r="AK71" s="178" t="str">
        <f t="shared" si="24"/>
        <v/>
      </c>
      <c r="AL71" t="s">
        <v>327</v>
      </c>
      <c r="AN71" s="149" t="str">
        <f t="shared" si="25"/>
        <v/>
      </c>
      <c r="AQ71" s="178" t="str">
        <f t="shared" ca="1" si="26"/>
        <v/>
      </c>
      <c r="AR71" s="178" t="str">
        <f t="shared" ca="1" si="27"/>
        <v/>
      </c>
    </row>
    <row r="72" spans="1:44" x14ac:dyDescent="0.2">
      <c r="A72" t="str">
        <f>IF(B72="","",CONCATENATE("GBL",B72," - ",Mantenedor!E83))</f>
        <v/>
      </c>
      <c r="P72" t="str">
        <f t="shared" si="19"/>
        <v/>
      </c>
      <c r="Q72" s="266" t="str" cm="1">
        <f t="array" ref="Q72">+_xlfn.IFS(O72="Nacional","CLP",O72="Extranjero","USD",O72="","")</f>
        <v/>
      </c>
      <c r="R72" s="262" t="str">
        <f>IFERROR(IF(O72="Nacional",VLOOKUP(P72,PRICING!$D$4:$E$59,2,FALSE),VLOOKUP(P72,PRICING!$J$4:$K$59,2,FALSE)),"")</f>
        <v/>
      </c>
      <c r="S72"/>
      <c r="V72" s="262"/>
      <c r="W72" s="280">
        <f t="shared" si="20"/>
        <v>0</v>
      </c>
      <c r="X72" s="178" t="str">
        <f t="shared" si="29"/>
        <v/>
      </c>
      <c r="Y72" s="178" t="str">
        <f t="shared" si="30"/>
        <v/>
      </c>
      <c r="Z72" s="178" t="str">
        <f t="shared" si="31"/>
        <v/>
      </c>
      <c r="AA72" s="178" t="str">
        <f t="shared" si="32"/>
        <v/>
      </c>
      <c r="AB72" s="178" t="str">
        <f t="shared" si="33"/>
        <v/>
      </c>
      <c r="AC72" s="178" t="str">
        <f t="shared" si="34"/>
        <v/>
      </c>
      <c r="AD72" s="267" t="s">
        <v>316</v>
      </c>
      <c r="AF72" s="149" t="str">
        <f t="shared" si="28"/>
        <v/>
      </c>
      <c r="AH72" s="178" t="str">
        <f t="shared" si="21"/>
        <v/>
      </c>
      <c r="AI72" s="178" t="str">
        <f t="shared" si="22"/>
        <v/>
      </c>
      <c r="AJ72" s="178" t="str">
        <f t="shared" si="23"/>
        <v/>
      </c>
      <c r="AK72" s="178" t="str">
        <f t="shared" si="24"/>
        <v/>
      </c>
      <c r="AL72" t="s">
        <v>327</v>
      </c>
      <c r="AN72" s="149" t="str">
        <f t="shared" si="25"/>
        <v/>
      </c>
      <c r="AQ72" s="178" t="str">
        <f t="shared" ca="1" si="26"/>
        <v/>
      </c>
      <c r="AR72" s="178" t="str">
        <f t="shared" ca="1" si="27"/>
        <v/>
      </c>
    </row>
    <row r="73" spans="1:44" x14ac:dyDescent="0.2">
      <c r="A73" t="str">
        <f>IF(B73="","",CONCATENATE("GBL",B73," - ",Mantenedor!E84))</f>
        <v/>
      </c>
      <c r="P73" t="str">
        <f t="shared" si="19"/>
        <v/>
      </c>
      <c r="Q73" s="266" t="str" cm="1">
        <f t="array" ref="Q73">+_xlfn.IFS(O73="Nacional","CLP",O73="Extranjero","USD",O73="","")</f>
        <v/>
      </c>
      <c r="R73" s="262" t="str">
        <f>IFERROR(IF(O73="Nacional",VLOOKUP(P73,PRICING!$D$4:$E$59,2,FALSE),VLOOKUP(P73,PRICING!$J$4:$K$59,2,FALSE)),"")</f>
        <v/>
      </c>
      <c r="S73"/>
      <c r="V73" s="262"/>
      <c r="W73" s="280">
        <f t="shared" si="20"/>
        <v>0</v>
      </c>
      <c r="X73" s="178" t="str">
        <f t="shared" si="29"/>
        <v/>
      </c>
      <c r="Y73" s="178" t="str">
        <f t="shared" si="30"/>
        <v/>
      </c>
      <c r="Z73" s="178" t="str">
        <f t="shared" si="31"/>
        <v/>
      </c>
      <c r="AA73" s="178" t="str">
        <f t="shared" si="32"/>
        <v/>
      </c>
      <c r="AB73" s="178" t="str">
        <f t="shared" si="33"/>
        <v/>
      </c>
      <c r="AC73" s="178" t="str">
        <f t="shared" si="34"/>
        <v/>
      </c>
      <c r="AD73" s="267" t="s">
        <v>316</v>
      </c>
      <c r="AF73" s="149" t="str">
        <f t="shared" si="28"/>
        <v/>
      </c>
      <c r="AH73" s="178" t="str">
        <f t="shared" si="21"/>
        <v/>
      </c>
      <c r="AI73" s="178" t="str">
        <f t="shared" si="22"/>
        <v/>
      </c>
      <c r="AJ73" s="178" t="str">
        <f t="shared" si="23"/>
        <v/>
      </c>
      <c r="AK73" s="178" t="str">
        <f t="shared" si="24"/>
        <v/>
      </c>
      <c r="AL73" t="s">
        <v>327</v>
      </c>
      <c r="AN73" s="149" t="str">
        <f t="shared" si="25"/>
        <v/>
      </c>
      <c r="AQ73" s="178" t="str">
        <f t="shared" ca="1" si="26"/>
        <v/>
      </c>
      <c r="AR73" s="178" t="str">
        <f t="shared" ca="1" si="27"/>
        <v/>
      </c>
    </row>
    <row r="74" spans="1:44" x14ac:dyDescent="0.2">
      <c r="A74" t="str">
        <f>IF(B74="","",CONCATENATE("GBL",B74," - ",Mantenedor!E85))</f>
        <v/>
      </c>
      <c r="P74" t="str">
        <f t="shared" si="19"/>
        <v/>
      </c>
      <c r="Q74" s="266" t="str" cm="1">
        <f t="array" ref="Q74">+_xlfn.IFS(O74="Nacional","CLP",O74="Extranjero","USD",O74="","")</f>
        <v/>
      </c>
      <c r="R74" s="262" t="str">
        <f>IFERROR(IF(O74="Nacional",VLOOKUP(P74,PRICING!$D$4:$E$59,2,FALSE),VLOOKUP(P74,PRICING!$J$4:$K$59,2,FALSE)),"")</f>
        <v/>
      </c>
      <c r="S74"/>
      <c r="V74" s="262"/>
      <c r="W74" s="280">
        <f t="shared" si="20"/>
        <v>0</v>
      </c>
      <c r="X74" s="178" t="str">
        <f t="shared" si="29"/>
        <v/>
      </c>
      <c r="Y74" s="178" t="str">
        <f t="shared" si="30"/>
        <v/>
      </c>
      <c r="Z74" s="178" t="str">
        <f t="shared" si="31"/>
        <v/>
      </c>
      <c r="AA74" s="178" t="str">
        <f t="shared" si="32"/>
        <v/>
      </c>
      <c r="AB74" s="178" t="str">
        <f t="shared" si="33"/>
        <v/>
      </c>
      <c r="AC74" s="178" t="str">
        <f t="shared" si="34"/>
        <v/>
      </c>
      <c r="AD74" s="267" t="s">
        <v>316</v>
      </c>
      <c r="AF74" s="149" t="str">
        <f t="shared" si="28"/>
        <v/>
      </c>
      <c r="AH74" s="178" t="str">
        <f t="shared" si="21"/>
        <v/>
      </c>
      <c r="AI74" s="178" t="str">
        <f t="shared" si="22"/>
        <v/>
      </c>
      <c r="AJ74" s="178" t="str">
        <f t="shared" si="23"/>
        <v/>
      </c>
      <c r="AK74" s="178" t="str">
        <f t="shared" si="24"/>
        <v/>
      </c>
      <c r="AL74" t="s">
        <v>327</v>
      </c>
      <c r="AN74" s="149" t="str">
        <f t="shared" si="25"/>
        <v/>
      </c>
      <c r="AQ74" s="178" t="str">
        <f t="shared" ca="1" si="26"/>
        <v/>
      </c>
      <c r="AR74" s="178" t="str">
        <f t="shared" ca="1" si="27"/>
        <v/>
      </c>
    </row>
    <row r="75" spans="1:44" x14ac:dyDescent="0.2">
      <c r="A75" t="str">
        <f>IF(B75="","",CONCATENATE("GBL",B75," - ",Mantenedor!E86))</f>
        <v/>
      </c>
      <c r="P75" t="str">
        <f t="shared" si="19"/>
        <v/>
      </c>
      <c r="Q75" s="266" t="str" cm="1">
        <f t="array" ref="Q75">+_xlfn.IFS(O75="Nacional","CLP",O75="Extranjero","USD",O75="","")</f>
        <v/>
      </c>
      <c r="R75" s="262" t="str">
        <f>IFERROR(IF(O75="Nacional",VLOOKUP(P75,PRICING!$D$4:$E$59,2,FALSE),VLOOKUP(P75,PRICING!$J$4:$K$59,2,FALSE)),"")</f>
        <v/>
      </c>
      <c r="S75"/>
      <c r="V75" s="262"/>
      <c r="W75" s="280">
        <f t="shared" si="20"/>
        <v>0</v>
      </c>
      <c r="X75" s="178" t="str">
        <f t="shared" si="29"/>
        <v/>
      </c>
      <c r="Y75" s="178" t="str">
        <f t="shared" si="30"/>
        <v/>
      </c>
      <c r="Z75" s="178" t="str">
        <f t="shared" si="31"/>
        <v/>
      </c>
      <c r="AA75" s="178" t="str">
        <f t="shared" si="32"/>
        <v/>
      </c>
      <c r="AB75" s="178" t="str">
        <f t="shared" si="33"/>
        <v/>
      </c>
      <c r="AC75" s="178" t="str">
        <f t="shared" si="34"/>
        <v/>
      </c>
      <c r="AD75" s="267" t="s">
        <v>316</v>
      </c>
      <c r="AF75" s="149" t="str">
        <f t="shared" si="28"/>
        <v/>
      </c>
      <c r="AH75" s="178" t="str">
        <f t="shared" si="21"/>
        <v/>
      </c>
      <c r="AI75" s="178" t="str">
        <f t="shared" si="22"/>
        <v/>
      </c>
      <c r="AJ75" s="178" t="str">
        <f t="shared" si="23"/>
        <v/>
      </c>
      <c r="AK75" s="178" t="str">
        <f t="shared" si="24"/>
        <v/>
      </c>
      <c r="AL75" t="s">
        <v>327</v>
      </c>
      <c r="AN75" s="149" t="str">
        <f t="shared" si="25"/>
        <v/>
      </c>
      <c r="AQ75" s="178" t="str">
        <f t="shared" ca="1" si="26"/>
        <v/>
      </c>
      <c r="AR75" s="178" t="str">
        <f t="shared" ca="1" si="27"/>
        <v/>
      </c>
    </row>
    <row r="76" spans="1:44" x14ac:dyDescent="0.2">
      <c r="A76" t="str">
        <f>IF(B76="","",CONCATENATE("GBL",B76," - ",Mantenedor!E87))</f>
        <v/>
      </c>
      <c r="P76" t="str">
        <f t="shared" si="19"/>
        <v/>
      </c>
      <c r="Q76" s="266" t="str" cm="1">
        <f t="array" ref="Q76">+_xlfn.IFS(O76="Nacional","CLP",O76="Extranjero","USD",O76="","")</f>
        <v/>
      </c>
      <c r="R76" s="262" t="str">
        <f>IFERROR(IF(O76="Nacional",VLOOKUP(P76,PRICING!$D$4:$E$59,2,FALSE),VLOOKUP(P76,PRICING!$J$4:$K$59,2,FALSE)),"")</f>
        <v/>
      </c>
      <c r="S76"/>
      <c r="V76" s="262"/>
      <c r="W76" s="280">
        <f t="shared" si="20"/>
        <v>0</v>
      </c>
      <c r="X76" s="178" t="str">
        <f t="shared" si="29"/>
        <v/>
      </c>
      <c r="Y76" s="178" t="str">
        <f t="shared" si="30"/>
        <v/>
      </c>
      <c r="Z76" s="178" t="str">
        <f t="shared" si="31"/>
        <v/>
      </c>
      <c r="AA76" s="178" t="str">
        <f t="shared" si="32"/>
        <v/>
      </c>
      <c r="AB76" s="178" t="str">
        <f t="shared" si="33"/>
        <v/>
      </c>
      <c r="AC76" s="178" t="str">
        <f t="shared" si="34"/>
        <v/>
      </c>
      <c r="AD76" s="267" t="s">
        <v>316</v>
      </c>
      <c r="AF76" s="149" t="str">
        <f t="shared" si="28"/>
        <v/>
      </c>
      <c r="AH76" s="178" t="str">
        <f t="shared" si="21"/>
        <v/>
      </c>
      <c r="AI76" s="178" t="str">
        <f t="shared" si="22"/>
        <v/>
      </c>
      <c r="AJ76" s="178" t="str">
        <f t="shared" si="23"/>
        <v/>
      </c>
      <c r="AK76" s="178" t="str">
        <f t="shared" si="24"/>
        <v/>
      </c>
      <c r="AL76" t="s">
        <v>327</v>
      </c>
      <c r="AN76" s="149" t="str">
        <f t="shared" si="25"/>
        <v/>
      </c>
      <c r="AQ76" s="178" t="str">
        <f t="shared" ca="1" si="26"/>
        <v/>
      </c>
      <c r="AR76" s="178" t="str">
        <f t="shared" ca="1" si="27"/>
        <v/>
      </c>
    </row>
    <row r="77" spans="1:44" x14ac:dyDescent="0.2">
      <c r="A77" t="str">
        <f>IF(B77="","",CONCATENATE("GBL",B77," - ",Mantenedor!E88))</f>
        <v/>
      </c>
      <c r="P77" t="str">
        <f t="shared" si="19"/>
        <v/>
      </c>
      <c r="Q77" s="266" t="str" cm="1">
        <f t="array" ref="Q77">+_xlfn.IFS(O77="Nacional","CLP",O77="Extranjero","USD",O77="","")</f>
        <v/>
      </c>
      <c r="R77" s="262" t="str">
        <f>IFERROR(IF(O77="Nacional",VLOOKUP(P77,PRICING!$D$4:$E$59,2,FALSE),VLOOKUP(P77,PRICING!$J$4:$K$59,2,FALSE)),"")</f>
        <v/>
      </c>
      <c r="S77"/>
      <c r="V77" s="262"/>
      <c r="W77" s="280">
        <f t="shared" si="20"/>
        <v>0</v>
      </c>
      <c r="X77" s="178" t="str">
        <f t="shared" si="29"/>
        <v/>
      </c>
      <c r="Y77" s="178" t="str">
        <f t="shared" si="30"/>
        <v/>
      </c>
      <c r="Z77" s="178" t="str">
        <f t="shared" si="31"/>
        <v/>
      </c>
      <c r="AA77" s="178" t="str">
        <f t="shared" si="32"/>
        <v/>
      </c>
      <c r="AB77" s="178" t="str">
        <f t="shared" si="33"/>
        <v/>
      </c>
      <c r="AC77" s="178" t="str">
        <f t="shared" si="34"/>
        <v/>
      </c>
      <c r="AD77" s="267" t="s">
        <v>316</v>
      </c>
      <c r="AF77" s="149" t="str">
        <f t="shared" si="28"/>
        <v/>
      </c>
      <c r="AH77" s="178" t="str">
        <f t="shared" si="21"/>
        <v/>
      </c>
      <c r="AI77" s="178" t="str">
        <f t="shared" si="22"/>
        <v/>
      </c>
      <c r="AJ77" s="178" t="str">
        <f t="shared" si="23"/>
        <v/>
      </c>
      <c r="AK77" s="178" t="str">
        <f t="shared" si="24"/>
        <v/>
      </c>
      <c r="AL77" t="s">
        <v>327</v>
      </c>
      <c r="AN77" s="149" t="str">
        <f t="shared" si="25"/>
        <v/>
      </c>
      <c r="AQ77" s="178" t="str">
        <f t="shared" ca="1" si="26"/>
        <v/>
      </c>
      <c r="AR77" s="178" t="str">
        <f t="shared" ca="1" si="27"/>
        <v/>
      </c>
    </row>
    <row r="78" spans="1:44" x14ac:dyDescent="0.2">
      <c r="A78" t="str">
        <f>IF(B78="","",CONCATENATE("GBL",B78," - ",Mantenedor!E89))</f>
        <v/>
      </c>
      <c r="P78" t="str">
        <f t="shared" si="19"/>
        <v/>
      </c>
      <c r="Q78" s="266" t="str" cm="1">
        <f t="array" ref="Q78">+_xlfn.IFS(O78="Nacional","CLP",O78="Extranjero","USD",O78="","")</f>
        <v/>
      </c>
      <c r="R78" s="262" t="str">
        <f>IFERROR(IF(O78="Nacional",VLOOKUP(P78,PRICING!$D$4:$E$59,2,FALSE),VLOOKUP(P78,PRICING!$J$4:$K$59,2,FALSE)),"")</f>
        <v/>
      </c>
      <c r="S78"/>
      <c r="V78" s="262"/>
      <c r="W78" s="280">
        <f t="shared" si="20"/>
        <v>0</v>
      </c>
      <c r="X78" s="178" t="str">
        <f t="shared" si="29"/>
        <v/>
      </c>
      <c r="Y78" s="178" t="str">
        <f t="shared" si="30"/>
        <v/>
      </c>
      <c r="Z78" s="178" t="str">
        <f t="shared" si="31"/>
        <v/>
      </c>
      <c r="AA78" s="178" t="str">
        <f t="shared" si="32"/>
        <v/>
      </c>
      <c r="AB78" s="178" t="str">
        <f t="shared" si="33"/>
        <v/>
      </c>
      <c r="AC78" s="178" t="str">
        <f t="shared" si="34"/>
        <v/>
      </c>
      <c r="AD78" s="267" t="s">
        <v>316</v>
      </c>
      <c r="AF78" s="149" t="str">
        <f t="shared" si="28"/>
        <v/>
      </c>
      <c r="AH78" s="178" t="str">
        <f t="shared" si="21"/>
        <v/>
      </c>
      <c r="AI78" s="178" t="str">
        <f t="shared" si="22"/>
        <v/>
      </c>
      <c r="AJ78" s="178" t="str">
        <f t="shared" si="23"/>
        <v/>
      </c>
      <c r="AK78" s="178" t="str">
        <f t="shared" si="24"/>
        <v/>
      </c>
      <c r="AL78" t="s">
        <v>327</v>
      </c>
      <c r="AN78" s="149" t="str">
        <f t="shared" si="25"/>
        <v/>
      </c>
      <c r="AQ78" s="178" t="str">
        <f t="shared" ca="1" si="26"/>
        <v/>
      </c>
      <c r="AR78" s="178" t="str">
        <f t="shared" ca="1" si="27"/>
        <v/>
      </c>
    </row>
    <row r="79" spans="1:44" x14ac:dyDescent="0.2">
      <c r="A79" t="str">
        <f>IF(B79="","",CONCATENATE("GBL",B79," - ",Mantenedor!E90))</f>
        <v/>
      </c>
      <c r="P79" t="str">
        <f t="shared" si="19"/>
        <v/>
      </c>
      <c r="Q79" s="266" t="str" cm="1">
        <f t="array" ref="Q79">+_xlfn.IFS(O79="Nacional","CLP",O79="Extranjero","USD",O79="","")</f>
        <v/>
      </c>
      <c r="R79" s="262" t="str">
        <f>IFERROR(IF(O79="Nacional",VLOOKUP(P79,PRICING!$D$4:$E$59,2,FALSE),VLOOKUP(P79,PRICING!$J$4:$K$59,2,FALSE)),"")</f>
        <v/>
      </c>
      <c r="S79"/>
      <c r="V79" s="262"/>
      <c r="W79" s="280">
        <f t="shared" si="20"/>
        <v>0</v>
      </c>
      <c r="X79" s="178" t="str">
        <f t="shared" si="29"/>
        <v/>
      </c>
      <c r="Y79" s="178" t="str">
        <f t="shared" si="30"/>
        <v/>
      </c>
      <c r="Z79" s="178" t="str">
        <f t="shared" si="31"/>
        <v/>
      </c>
      <c r="AA79" s="178" t="str">
        <f t="shared" si="32"/>
        <v/>
      </c>
      <c r="AB79" s="178" t="str">
        <f t="shared" si="33"/>
        <v/>
      </c>
      <c r="AC79" s="178" t="str">
        <f t="shared" si="34"/>
        <v/>
      </c>
      <c r="AD79" s="267" t="s">
        <v>316</v>
      </c>
      <c r="AF79" s="149" t="str">
        <f t="shared" si="28"/>
        <v/>
      </c>
      <c r="AH79" s="178" t="str">
        <f t="shared" si="21"/>
        <v/>
      </c>
      <c r="AI79" s="178" t="str">
        <f t="shared" si="22"/>
        <v/>
      </c>
      <c r="AJ79" s="178" t="str">
        <f t="shared" si="23"/>
        <v/>
      </c>
      <c r="AK79" s="178" t="str">
        <f t="shared" si="24"/>
        <v/>
      </c>
      <c r="AL79" t="s">
        <v>327</v>
      </c>
      <c r="AN79" s="149" t="str">
        <f t="shared" si="25"/>
        <v/>
      </c>
      <c r="AQ79" s="178" t="str">
        <f t="shared" ca="1" si="26"/>
        <v/>
      </c>
      <c r="AR79" s="178" t="str">
        <f t="shared" ca="1" si="27"/>
        <v/>
      </c>
    </row>
    <row r="80" spans="1:44" x14ac:dyDescent="0.2">
      <c r="A80" t="str">
        <f>IF(B80="","",CONCATENATE("GBL",B80," - ",Mantenedor!E91))</f>
        <v/>
      </c>
      <c r="P80" t="str">
        <f t="shared" si="19"/>
        <v/>
      </c>
      <c r="Q80" s="266" t="str" cm="1">
        <f t="array" ref="Q80">+_xlfn.IFS(O80="Nacional","CLP",O80="Extranjero","USD",O80="","")</f>
        <v/>
      </c>
      <c r="R80" s="262" t="str">
        <f>IFERROR(IF(O80="Nacional",VLOOKUP(P80,PRICING!$D$4:$E$59,2,FALSE),VLOOKUP(P80,PRICING!$J$4:$K$59,2,FALSE)),"")</f>
        <v/>
      </c>
      <c r="S80"/>
      <c r="V80" s="262"/>
      <c r="W80" s="280">
        <f t="shared" si="20"/>
        <v>0</v>
      </c>
      <c r="X80" s="178" t="str">
        <f t="shared" si="29"/>
        <v/>
      </c>
      <c r="Y80" s="178" t="str">
        <f t="shared" si="30"/>
        <v/>
      </c>
      <c r="Z80" s="178" t="str">
        <f t="shared" si="31"/>
        <v/>
      </c>
      <c r="AA80" s="178" t="str">
        <f t="shared" si="32"/>
        <v/>
      </c>
      <c r="AB80" s="178" t="str">
        <f t="shared" si="33"/>
        <v/>
      </c>
      <c r="AC80" s="178" t="str">
        <f t="shared" si="34"/>
        <v/>
      </c>
      <c r="AD80" s="267" t="s">
        <v>316</v>
      </c>
      <c r="AF80" s="149" t="str">
        <f t="shared" si="28"/>
        <v/>
      </c>
      <c r="AH80" s="178" t="str">
        <f t="shared" si="21"/>
        <v/>
      </c>
      <c r="AI80" s="178" t="str">
        <f t="shared" si="22"/>
        <v/>
      </c>
      <c r="AJ80" s="178" t="str">
        <f t="shared" si="23"/>
        <v/>
      </c>
      <c r="AK80" s="178" t="str">
        <f t="shared" si="24"/>
        <v/>
      </c>
      <c r="AL80" t="s">
        <v>327</v>
      </c>
      <c r="AN80" s="149" t="str">
        <f t="shared" si="25"/>
        <v/>
      </c>
      <c r="AQ80" s="178" t="str">
        <f t="shared" ca="1" si="26"/>
        <v/>
      </c>
      <c r="AR80" s="178" t="str">
        <f t="shared" ca="1" si="27"/>
        <v/>
      </c>
    </row>
    <row r="81" spans="1:44" x14ac:dyDescent="0.2">
      <c r="A81" t="str">
        <f>IF(B81="","",CONCATENATE("GBL",B81," - ",Mantenedor!E92))</f>
        <v/>
      </c>
      <c r="P81" t="str">
        <f t="shared" si="19"/>
        <v/>
      </c>
      <c r="Q81" s="266" t="str" cm="1">
        <f t="array" ref="Q81">+_xlfn.IFS(O81="Nacional","CLP",O81="Extranjero","USD",O81="","")</f>
        <v/>
      </c>
      <c r="R81" s="262" t="str">
        <f>IFERROR(IF(O81="Nacional",VLOOKUP(P81,PRICING!$D$4:$E$59,2,FALSE),VLOOKUP(P81,PRICING!$J$4:$K$59,2,FALSE)),"")</f>
        <v/>
      </c>
      <c r="S81"/>
      <c r="V81" s="262"/>
      <c r="W81" s="280">
        <f t="shared" si="20"/>
        <v>0</v>
      </c>
      <c r="X81" s="178" t="str">
        <f t="shared" si="29"/>
        <v/>
      </c>
      <c r="Y81" s="178" t="str">
        <f t="shared" si="30"/>
        <v/>
      </c>
      <c r="Z81" s="178" t="str">
        <f t="shared" si="31"/>
        <v/>
      </c>
      <c r="AA81" s="178" t="str">
        <f t="shared" si="32"/>
        <v/>
      </c>
      <c r="AB81" s="178" t="str">
        <f t="shared" si="33"/>
        <v/>
      </c>
      <c r="AC81" s="178" t="str">
        <f t="shared" si="34"/>
        <v/>
      </c>
      <c r="AD81" s="267" t="s">
        <v>316</v>
      </c>
      <c r="AF81" s="149" t="str">
        <f t="shared" si="28"/>
        <v/>
      </c>
      <c r="AH81" s="178" t="str">
        <f t="shared" si="21"/>
        <v/>
      </c>
      <c r="AI81" s="178" t="str">
        <f t="shared" si="22"/>
        <v/>
      </c>
      <c r="AJ81" s="178" t="str">
        <f t="shared" si="23"/>
        <v/>
      </c>
      <c r="AK81" s="178" t="str">
        <f t="shared" si="24"/>
        <v/>
      </c>
      <c r="AL81" t="s">
        <v>327</v>
      </c>
      <c r="AN81" s="149" t="str">
        <f t="shared" si="25"/>
        <v/>
      </c>
      <c r="AQ81" s="178" t="str">
        <f t="shared" ca="1" si="26"/>
        <v/>
      </c>
      <c r="AR81" s="178" t="str">
        <f t="shared" ca="1" si="27"/>
        <v/>
      </c>
    </row>
    <row r="82" spans="1:44" x14ac:dyDescent="0.2">
      <c r="A82" t="str">
        <f>IF(B82="","",CONCATENATE("GBL",B82," - ",Mantenedor!E93))</f>
        <v/>
      </c>
      <c r="P82" t="str">
        <f t="shared" si="19"/>
        <v/>
      </c>
      <c r="Q82" s="266" t="str" cm="1">
        <f t="array" ref="Q82">+_xlfn.IFS(O82="Nacional","CLP",O82="Extranjero","USD",O82="","")</f>
        <v/>
      </c>
      <c r="R82" s="262" t="str">
        <f>IFERROR(IF(O82="Nacional",VLOOKUP(P82,PRICING!$D$4:$E$59,2,FALSE),VLOOKUP(P82,PRICING!$J$4:$K$59,2,FALSE)),"")</f>
        <v/>
      </c>
      <c r="S82"/>
      <c r="V82" s="262"/>
      <c r="W82" s="280">
        <f t="shared" si="20"/>
        <v>0</v>
      </c>
      <c r="X82" s="178" t="str">
        <f t="shared" si="29"/>
        <v/>
      </c>
      <c r="Y82" s="178" t="str">
        <f t="shared" si="30"/>
        <v/>
      </c>
      <c r="Z82" s="178" t="str">
        <f t="shared" si="31"/>
        <v/>
      </c>
      <c r="AA82" s="178" t="str">
        <f t="shared" si="32"/>
        <v/>
      </c>
      <c r="AB82" s="178" t="str">
        <f t="shared" si="33"/>
        <v/>
      </c>
      <c r="AC82" s="178" t="str">
        <f t="shared" si="34"/>
        <v/>
      </c>
      <c r="AD82" s="267" t="s">
        <v>316</v>
      </c>
      <c r="AF82" s="149" t="str">
        <f t="shared" si="28"/>
        <v/>
      </c>
      <c r="AH82" s="178" t="str">
        <f t="shared" si="21"/>
        <v/>
      </c>
      <c r="AI82" s="178" t="str">
        <f t="shared" si="22"/>
        <v/>
      </c>
      <c r="AJ82" s="178" t="str">
        <f t="shared" si="23"/>
        <v/>
      </c>
      <c r="AK82" s="178" t="str">
        <f t="shared" si="24"/>
        <v/>
      </c>
      <c r="AL82" t="s">
        <v>327</v>
      </c>
      <c r="AN82" s="149" t="str">
        <f t="shared" si="25"/>
        <v/>
      </c>
      <c r="AQ82" s="178" t="str">
        <f t="shared" ca="1" si="26"/>
        <v/>
      </c>
      <c r="AR82" s="178" t="str">
        <f t="shared" ca="1" si="27"/>
        <v/>
      </c>
    </row>
    <row r="83" spans="1:44" x14ac:dyDescent="0.2">
      <c r="A83" t="str">
        <f>IF(B83="","",CONCATENATE("GBL",B83," - ",Mantenedor!E94))</f>
        <v/>
      </c>
      <c r="P83" t="str">
        <f t="shared" si="19"/>
        <v/>
      </c>
      <c r="Q83" s="266" t="str" cm="1">
        <f t="array" ref="Q83">+_xlfn.IFS(O83="Nacional","CLP",O83="Extranjero","USD",O83="","")</f>
        <v/>
      </c>
      <c r="R83" s="262" t="str">
        <f>IFERROR(IF(O83="Nacional",VLOOKUP(P83,PRICING!$D$4:$E$59,2,FALSE),VLOOKUP(P83,PRICING!$J$4:$K$59,2,FALSE)),"")</f>
        <v/>
      </c>
      <c r="S83"/>
      <c r="V83" s="262"/>
      <c r="W83" s="280">
        <f t="shared" si="20"/>
        <v>0</v>
      </c>
      <c r="X83" s="178" t="str">
        <f t="shared" si="29"/>
        <v/>
      </c>
      <c r="Y83" s="178" t="str">
        <f t="shared" si="30"/>
        <v/>
      </c>
      <c r="Z83" s="178" t="str">
        <f t="shared" si="31"/>
        <v/>
      </c>
      <c r="AA83" s="178" t="str">
        <f t="shared" si="32"/>
        <v/>
      </c>
      <c r="AB83" s="178" t="str">
        <f t="shared" si="33"/>
        <v/>
      </c>
      <c r="AC83" s="178" t="str">
        <f t="shared" si="34"/>
        <v/>
      </c>
      <c r="AD83" s="267" t="s">
        <v>316</v>
      </c>
      <c r="AF83" s="149" t="str">
        <f t="shared" si="28"/>
        <v/>
      </c>
      <c r="AH83" s="178" t="str">
        <f t="shared" si="21"/>
        <v/>
      </c>
      <c r="AI83" s="178" t="str">
        <f t="shared" si="22"/>
        <v/>
      </c>
      <c r="AJ83" s="178" t="str">
        <f t="shared" si="23"/>
        <v/>
      </c>
      <c r="AK83" s="178" t="str">
        <f t="shared" si="24"/>
        <v/>
      </c>
      <c r="AL83" t="s">
        <v>327</v>
      </c>
      <c r="AN83" s="149" t="str">
        <f t="shared" si="25"/>
        <v/>
      </c>
      <c r="AQ83" s="178" t="str">
        <f t="shared" ca="1" si="26"/>
        <v/>
      </c>
      <c r="AR83" s="178" t="str">
        <f t="shared" ca="1" si="27"/>
        <v/>
      </c>
    </row>
    <row r="84" spans="1:44" x14ac:dyDescent="0.2">
      <c r="A84" t="str">
        <f>IF(B84="","",CONCATENATE("GBL",B84," - ",Mantenedor!E95))</f>
        <v/>
      </c>
      <c r="P84" t="str">
        <f t="shared" si="19"/>
        <v/>
      </c>
      <c r="Q84" s="266" t="str" cm="1">
        <f t="array" ref="Q84">+_xlfn.IFS(O84="Nacional","CLP",O84="Extranjero","USD",O84="","")</f>
        <v/>
      </c>
      <c r="R84" s="262" t="str">
        <f>IFERROR(IF(O84="Nacional",VLOOKUP(P84,PRICING!$D$4:$E$59,2,FALSE),VLOOKUP(P84,PRICING!$J$4:$K$59,2,FALSE)),"")</f>
        <v/>
      </c>
      <c r="S84"/>
      <c r="V84" s="262"/>
      <c r="W84" s="280">
        <f t="shared" si="20"/>
        <v>0</v>
      </c>
      <c r="X84" s="178" t="str">
        <f t="shared" si="29"/>
        <v/>
      </c>
      <c r="Y84" s="178" t="str">
        <f t="shared" si="30"/>
        <v/>
      </c>
      <c r="Z84" s="178" t="str">
        <f t="shared" si="31"/>
        <v/>
      </c>
      <c r="AA84" s="178" t="str">
        <f t="shared" si="32"/>
        <v/>
      </c>
      <c r="AB84" s="178" t="str">
        <f t="shared" si="33"/>
        <v/>
      </c>
      <c r="AC84" s="178" t="str">
        <f t="shared" si="34"/>
        <v/>
      </c>
      <c r="AD84" s="267" t="s">
        <v>316</v>
      </c>
      <c r="AF84" s="149" t="str">
        <f t="shared" si="28"/>
        <v/>
      </c>
      <c r="AH84" s="178" t="str">
        <f t="shared" si="21"/>
        <v/>
      </c>
      <c r="AI84" s="178" t="str">
        <f t="shared" si="22"/>
        <v/>
      </c>
      <c r="AJ84" s="178" t="str">
        <f t="shared" si="23"/>
        <v/>
      </c>
      <c r="AK84" s="178" t="str">
        <f t="shared" si="24"/>
        <v/>
      </c>
      <c r="AL84" t="s">
        <v>327</v>
      </c>
      <c r="AN84" s="149" t="str">
        <f t="shared" si="25"/>
        <v/>
      </c>
      <c r="AQ84" s="178" t="str">
        <f t="shared" ca="1" si="26"/>
        <v/>
      </c>
      <c r="AR84" s="178" t="str">
        <f t="shared" ca="1" si="27"/>
        <v/>
      </c>
    </row>
    <row r="85" spans="1:44" x14ac:dyDescent="0.2">
      <c r="A85" t="str">
        <f>IF(B85="","",CONCATENATE("GBL",B85," - ",Mantenedor!E96))</f>
        <v/>
      </c>
      <c r="P85" t="str">
        <f t="shared" si="19"/>
        <v/>
      </c>
      <c r="Q85" s="266" t="str" cm="1">
        <f t="array" ref="Q85">+_xlfn.IFS(O85="Nacional","CLP",O85="Extranjero","USD",O85="","")</f>
        <v/>
      </c>
      <c r="R85" s="262" t="str">
        <f>IFERROR(IF(O85="Nacional",VLOOKUP(P85,PRICING!$D$4:$E$59,2,FALSE),VLOOKUP(P85,PRICING!$J$4:$K$59,2,FALSE)),"")</f>
        <v/>
      </c>
      <c r="S85"/>
      <c r="V85" s="262"/>
      <c r="W85" s="280">
        <f t="shared" si="20"/>
        <v>0</v>
      </c>
      <c r="X85" s="178" t="str">
        <f t="shared" si="29"/>
        <v/>
      </c>
      <c r="Y85" s="178" t="str">
        <f t="shared" si="30"/>
        <v/>
      </c>
      <c r="Z85" s="178" t="str">
        <f t="shared" si="31"/>
        <v/>
      </c>
      <c r="AA85" s="178" t="str">
        <f t="shared" si="32"/>
        <v/>
      </c>
      <c r="AB85" s="178" t="str">
        <f t="shared" si="33"/>
        <v/>
      </c>
      <c r="AC85" s="178" t="str">
        <f t="shared" si="34"/>
        <v/>
      </c>
      <c r="AD85" s="267" t="s">
        <v>316</v>
      </c>
      <c r="AF85" s="149" t="str">
        <f t="shared" si="28"/>
        <v/>
      </c>
      <c r="AH85" s="178" t="str">
        <f t="shared" si="21"/>
        <v/>
      </c>
      <c r="AI85" s="178" t="str">
        <f t="shared" si="22"/>
        <v/>
      </c>
      <c r="AJ85" s="178" t="str">
        <f t="shared" si="23"/>
        <v/>
      </c>
      <c r="AK85" s="178" t="str">
        <f t="shared" si="24"/>
        <v/>
      </c>
      <c r="AL85" t="s">
        <v>327</v>
      </c>
      <c r="AN85" s="149" t="str">
        <f t="shared" si="25"/>
        <v/>
      </c>
      <c r="AQ85" s="178" t="str">
        <f t="shared" ca="1" si="26"/>
        <v/>
      </c>
      <c r="AR85" s="178" t="str">
        <f t="shared" ca="1" si="27"/>
        <v/>
      </c>
    </row>
    <row r="86" spans="1:44" x14ac:dyDescent="0.2">
      <c r="A86" t="str">
        <f>IF(B86="","",CONCATENATE("GBL",B86," - ",Mantenedor!E97))</f>
        <v/>
      </c>
      <c r="P86" t="str">
        <f t="shared" si="19"/>
        <v/>
      </c>
      <c r="Q86" s="266" t="str" cm="1">
        <f t="array" ref="Q86">+_xlfn.IFS(O86="Nacional","CLP",O86="Extranjero","USD",O86="","")</f>
        <v/>
      </c>
      <c r="R86" s="262" t="str">
        <f>IFERROR(IF(O86="Nacional",VLOOKUP(P86,PRICING!$D$4:$E$59,2,FALSE),VLOOKUP(P86,PRICING!$J$4:$K$59,2,FALSE)),"")</f>
        <v/>
      </c>
      <c r="S86"/>
      <c r="V86" s="262"/>
      <c r="W86" s="280">
        <f t="shared" si="20"/>
        <v>0</v>
      </c>
      <c r="X86" s="178" t="str">
        <f t="shared" si="29"/>
        <v/>
      </c>
      <c r="Y86" s="178" t="str">
        <f t="shared" si="30"/>
        <v/>
      </c>
      <c r="Z86" s="178" t="str">
        <f t="shared" si="31"/>
        <v/>
      </c>
      <c r="AA86" s="178" t="str">
        <f t="shared" si="32"/>
        <v/>
      </c>
      <c r="AB86" s="178" t="str">
        <f t="shared" si="33"/>
        <v/>
      </c>
      <c r="AC86" s="178" t="str">
        <f t="shared" si="34"/>
        <v/>
      </c>
      <c r="AD86" s="267" t="s">
        <v>316</v>
      </c>
      <c r="AF86" s="149" t="str">
        <f t="shared" si="28"/>
        <v/>
      </c>
      <c r="AH86" s="178" t="str">
        <f t="shared" si="21"/>
        <v/>
      </c>
      <c r="AI86" s="178" t="str">
        <f t="shared" si="22"/>
        <v/>
      </c>
      <c r="AJ86" s="178" t="str">
        <f t="shared" si="23"/>
        <v/>
      </c>
      <c r="AK86" s="178" t="str">
        <f t="shared" si="24"/>
        <v/>
      </c>
      <c r="AL86" t="s">
        <v>327</v>
      </c>
      <c r="AN86" s="149" t="str">
        <f t="shared" si="25"/>
        <v/>
      </c>
      <c r="AQ86" s="178" t="str">
        <f t="shared" ca="1" si="26"/>
        <v/>
      </c>
      <c r="AR86" s="178" t="str">
        <f t="shared" ca="1" si="27"/>
        <v/>
      </c>
    </row>
    <row r="87" spans="1:44" x14ac:dyDescent="0.2">
      <c r="A87" t="str">
        <f>IF(B87="","",CONCATENATE("GBL",B87," - ",Mantenedor!E98))</f>
        <v/>
      </c>
      <c r="P87" t="str">
        <f t="shared" si="19"/>
        <v/>
      </c>
      <c r="Q87" s="266" t="str" cm="1">
        <f t="array" ref="Q87">+_xlfn.IFS(O87="Nacional","CLP",O87="Extranjero","USD",O87="","")</f>
        <v/>
      </c>
      <c r="R87" s="262" t="str">
        <f>IFERROR(IF(O87="Nacional",VLOOKUP(P87,PRICING!$D$4:$E$59,2,FALSE),VLOOKUP(P87,PRICING!$J$4:$K$59,2,FALSE)),"")</f>
        <v/>
      </c>
      <c r="S87"/>
      <c r="V87" s="262"/>
      <c r="W87" s="280">
        <f t="shared" si="20"/>
        <v>0</v>
      </c>
      <c r="X87" s="178" t="str">
        <f t="shared" si="29"/>
        <v/>
      </c>
      <c r="Y87" s="178" t="str">
        <f t="shared" si="30"/>
        <v/>
      </c>
      <c r="Z87" s="178" t="str">
        <f t="shared" si="31"/>
        <v/>
      </c>
      <c r="AA87" s="178" t="str">
        <f t="shared" si="32"/>
        <v/>
      </c>
      <c r="AB87" s="178" t="str">
        <f t="shared" si="33"/>
        <v/>
      </c>
      <c r="AC87" s="178" t="str">
        <f t="shared" si="34"/>
        <v/>
      </c>
      <c r="AD87" s="267" t="s">
        <v>316</v>
      </c>
      <c r="AF87" s="149" t="str">
        <f t="shared" si="28"/>
        <v/>
      </c>
      <c r="AH87" s="178" t="str">
        <f t="shared" si="21"/>
        <v/>
      </c>
      <c r="AI87" s="178" t="str">
        <f t="shared" si="22"/>
        <v/>
      </c>
      <c r="AJ87" s="178" t="str">
        <f t="shared" si="23"/>
        <v/>
      </c>
      <c r="AK87" s="178" t="str">
        <f t="shared" si="24"/>
        <v/>
      </c>
      <c r="AL87" t="s">
        <v>327</v>
      </c>
      <c r="AN87" s="149" t="str">
        <f t="shared" si="25"/>
        <v/>
      </c>
      <c r="AQ87" s="178" t="str">
        <f t="shared" ca="1" si="26"/>
        <v/>
      </c>
      <c r="AR87" s="178" t="str">
        <f t="shared" ca="1" si="27"/>
        <v/>
      </c>
    </row>
    <row r="88" spans="1:44" x14ac:dyDescent="0.2">
      <c r="A88" t="str">
        <f>IF(B88="","",CONCATENATE("GBL",B88," - ",Mantenedor!E99))</f>
        <v/>
      </c>
      <c r="P88" t="str">
        <f t="shared" si="19"/>
        <v/>
      </c>
      <c r="Q88" s="266" t="str" cm="1">
        <f t="array" ref="Q88">+_xlfn.IFS(O88="Nacional","CLP",O88="Extranjero","USD",O88="","")</f>
        <v/>
      </c>
      <c r="R88" s="262" t="str">
        <f>IFERROR(IF(O88="Nacional",VLOOKUP(P88,PRICING!$D$4:$E$59,2,FALSE),VLOOKUP(P88,PRICING!$J$4:$K$59,2,FALSE)),"")</f>
        <v/>
      </c>
      <c r="S88"/>
      <c r="V88" s="262"/>
      <c r="W88" s="280">
        <f t="shared" si="20"/>
        <v>0</v>
      </c>
      <c r="X88" s="178" t="str">
        <f t="shared" si="29"/>
        <v/>
      </c>
      <c r="Y88" s="178" t="str">
        <f t="shared" si="30"/>
        <v/>
      </c>
      <c r="Z88" s="178" t="str">
        <f t="shared" si="31"/>
        <v/>
      </c>
      <c r="AA88" s="178" t="str">
        <f t="shared" si="32"/>
        <v/>
      </c>
      <c r="AB88" s="178" t="str">
        <f t="shared" si="33"/>
        <v/>
      </c>
      <c r="AC88" s="178" t="str">
        <f t="shared" si="34"/>
        <v/>
      </c>
      <c r="AD88" s="267" t="s">
        <v>316</v>
      </c>
      <c r="AF88" s="149" t="str">
        <f t="shared" si="28"/>
        <v/>
      </c>
      <c r="AH88" s="178" t="str">
        <f t="shared" si="21"/>
        <v/>
      </c>
      <c r="AI88" s="178" t="str">
        <f t="shared" si="22"/>
        <v/>
      </c>
      <c r="AJ88" s="178" t="str">
        <f t="shared" si="23"/>
        <v/>
      </c>
      <c r="AK88" s="178" t="str">
        <f t="shared" si="24"/>
        <v/>
      </c>
      <c r="AL88" t="s">
        <v>327</v>
      </c>
      <c r="AN88" s="149" t="str">
        <f t="shared" si="25"/>
        <v/>
      </c>
      <c r="AQ88" s="178" t="str">
        <f t="shared" ca="1" si="26"/>
        <v/>
      </c>
      <c r="AR88" s="178" t="str">
        <f t="shared" ca="1" si="27"/>
        <v/>
      </c>
    </row>
    <row r="89" spans="1:44" x14ac:dyDescent="0.2">
      <c r="A89" t="str">
        <f>IF(B89="","",CONCATENATE("GBL",B89," - ",Mantenedor!E100))</f>
        <v/>
      </c>
      <c r="P89" t="str">
        <f t="shared" si="19"/>
        <v/>
      </c>
      <c r="Q89" s="266" t="str" cm="1">
        <f t="array" ref="Q89">+_xlfn.IFS(O89="Nacional","CLP",O89="Extranjero","USD",O89="","")</f>
        <v/>
      </c>
      <c r="R89" s="262" t="str">
        <f>IFERROR(IF(O89="Nacional",VLOOKUP(P89,PRICING!$D$4:$E$59,2,FALSE),VLOOKUP(P89,PRICING!$J$4:$K$59,2,FALSE)),"")</f>
        <v/>
      </c>
      <c r="S89"/>
      <c r="V89" s="262"/>
      <c r="W89" s="280">
        <f t="shared" si="20"/>
        <v>0</v>
      </c>
      <c r="X89" s="178" t="str">
        <f t="shared" si="29"/>
        <v/>
      </c>
      <c r="Y89" s="178" t="str">
        <f t="shared" si="30"/>
        <v/>
      </c>
      <c r="Z89" s="178" t="str">
        <f t="shared" si="31"/>
        <v/>
      </c>
      <c r="AA89" s="178" t="str">
        <f t="shared" si="32"/>
        <v/>
      </c>
      <c r="AB89" s="178" t="str">
        <f t="shared" si="33"/>
        <v/>
      </c>
      <c r="AC89" s="178" t="str">
        <f t="shared" si="34"/>
        <v/>
      </c>
      <c r="AD89" s="267" t="s">
        <v>316</v>
      </c>
      <c r="AF89" s="149" t="str">
        <f t="shared" si="28"/>
        <v/>
      </c>
      <c r="AH89" s="178" t="str">
        <f t="shared" si="21"/>
        <v/>
      </c>
      <c r="AI89" s="178" t="str">
        <f t="shared" si="22"/>
        <v/>
      </c>
      <c r="AJ89" s="178" t="str">
        <f t="shared" si="23"/>
        <v/>
      </c>
      <c r="AK89" s="178" t="str">
        <f t="shared" si="24"/>
        <v/>
      </c>
      <c r="AL89" t="s">
        <v>327</v>
      </c>
      <c r="AN89" s="149" t="str">
        <f t="shared" si="25"/>
        <v/>
      </c>
      <c r="AQ89" s="178" t="str">
        <f t="shared" ca="1" si="26"/>
        <v/>
      </c>
      <c r="AR89" s="178" t="str">
        <f t="shared" ca="1" si="27"/>
        <v/>
      </c>
    </row>
    <row r="90" spans="1:44" x14ac:dyDescent="0.2">
      <c r="A90" t="str">
        <f>IF(B90="","",CONCATENATE("GBL",B90," - ",Mantenedor!E101))</f>
        <v/>
      </c>
      <c r="P90" t="str">
        <f t="shared" si="19"/>
        <v/>
      </c>
      <c r="Q90" s="266" t="str" cm="1">
        <f t="array" ref="Q90">+_xlfn.IFS(O90="Nacional","CLP",O90="Extranjero","USD",O90="","")</f>
        <v/>
      </c>
      <c r="R90" s="262" t="str">
        <f>IFERROR(IF(O90="Nacional",VLOOKUP(P90,PRICING!$D$4:$E$59,2,FALSE),VLOOKUP(P90,PRICING!$J$4:$K$59,2,FALSE)),"")</f>
        <v/>
      </c>
      <c r="S90"/>
      <c r="V90" s="262"/>
      <c r="W90" s="280">
        <f t="shared" si="20"/>
        <v>0</v>
      </c>
      <c r="X90" s="178" t="str">
        <f t="shared" si="29"/>
        <v/>
      </c>
      <c r="Y90" s="178" t="str">
        <f t="shared" si="30"/>
        <v/>
      </c>
      <c r="Z90" s="178" t="str">
        <f t="shared" si="31"/>
        <v/>
      </c>
      <c r="AA90" s="178" t="str">
        <f t="shared" si="32"/>
        <v/>
      </c>
      <c r="AB90" s="178" t="str">
        <f t="shared" si="33"/>
        <v/>
      </c>
      <c r="AC90" s="178" t="str">
        <f t="shared" si="34"/>
        <v/>
      </c>
      <c r="AD90" s="267" t="s">
        <v>316</v>
      </c>
      <c r="AF90" s="149" t="str">
        <f t="shared" si="28"/>
        <v/>
      </c>
      <c r="AH90" s="178" t="str">
        <f t="shared" si="21"/>
        <v/>
      </c>
      <c r="AI90" s="178" t="str">
        <f t="shared" si="22"/>
        <v/>
      </c>
      <c r="AJ90" s="178" t="str">
        <f t="shared" si="23"/>
        <v/>
      </c>
      <c r="AK90" s="178" t="str">
        <f t="shared" si="24"/>
        <v/>
      </c>
      <c r="AL90" t="s">
        <v>327</v>
      </c>
      <c r="AN90" s="149" t="str">
        <f t="shared" si="25"/>
        <v/>
      </c>
      <c r="AQ90" s="178" t="str">
        <f t="shared" ca="1" si="26"/>
        <v/>
      </c>
      <c r="AR90" s="178" t="str">
        <f t="shared" ca="1" si="27"/>
        <v/>
      </c>
    </row>
    <row r="91" spans="1:44" x14ac:dyDescent="0.2">
      <c r="A91" t="str">
        <f>IF(B91="","",CONCATENATE("GBL",B91," - ",Mantenedor!E102))</f>
        <v/>
      </c>
      <c r="P91" t="str">
        <f t="shared" si="19"/>
        <v/>
      </c>
      <c r="Q91" s="266" t="str" cm="1">
        <f t="array" ref="Q91">+_xlfn.IFS(O91="Nacional","CLP",O91="Extranjero","USD",O91="","")</f>
        <v/>
      </c>
      <c r="R91" s="262" t="str">
        <f>IFERROR(IF(O91="Nacional",VLOOKUP(P91,PRICING!$D$4:$E$59,2,FALSE),VLOOKUP(P91,PRICING!$J$4:$K$59,2,FALSE)),"")</f>
        <v/>
      </c>
      <c r="S91"/>
      <c r="V91" s="262"/>
      <c r="W91" s="280">
        <f t="shared" si="20"/>
        <v>0</v>
      </c>
      <c r="X91" s="178" t="str">
        <f t="shared" si="29"/>
        <v/>
      </c>
      <c r="Y91" s="178" t="str">
        <f t="shared" si="30"/>
        <v/>
      </c>
      <c r="Z91" s="178" t="str">
        <f t="shared" si="31"/>
        <v/>
      </c>
      <c r="AA91" s="178" t="str">
        <f t="shared" si="32"/>
        <v/>
      </c>
      <c r="AB91" s="178" t="str">
        <f t="shared" si="33"/>
        <v/>
      </c>
      <c r="AC91" s="178" t="str">
        <f t="shared" si="34"/>
        <v/>
      </c>
      <c r="AD91" s="267" t="s">
        <v>316</v>
      </c>
      <c r="AF91" s="149" t="str">
        <f t="shared" si="28"/>
        <v/>
      </c>
      <c r="AH91" s="178" t="str">
        <f t="shared" si="21"/>
        <v/>
      </c>
      <c r="AI91" s="178" t="str">
        <f t="shared" si="22"/>
        <v/>
      </c>
      <c r="AJ91" s="178" t="str">
        <f t="shared" si="23"/>
        <v/>
      </c>
      <c r="AK91" s="178" t="str">
        <f t="shared" si="24"/>
        <v/>
      </c>
      <c r="AL91" t="s">
        <v>327</v>
      </c>
      <c r="AN91" s="149" t="str">
        <f t="shared" si="25"/>
        <v/>
      </c>
      <c r="AQ91" s="178" t="str">
        <f t="shared" ca="1" si="26"/>
        <v/>
      </c>
      <c r="AR91" s="178" t="str">
        <f t="shared" ca="1" si="27"/>
        <v/>
      </c>
    </row>
    <row r="92" spans="1:44" x14ac:dyDescent="0.2">
      <c r="A92" t="str">
        <f>IF(B92="","",CONCATENATE("GBL",B92," - ",Mantenedor!E103))</f>
        <v/>
      </c>
      <c r="P92" t="str">
        <f t="shared" si="19"/>
        <v/>
      </c>
      <c r="Q92" s="266" t="str" cm="1">
        <f t="array" ref="Q92">+_xlfn.IFS(O92="Nacional","CLP",O92="Extranjero","USD",O92="","")</f>
        <v/>
      </c>
      <c r="R92" s="262" t="str">
        <f>IFERROR(IF(O92="Nacional",VLOOKUP(P92,PRICING!$D$4:$E$59,2,FALSE),VLOOKUP(P92,PRICING!$J$4:$K$59,2,FALSE)),"")</f>
        <v/>
      </c>
      <c r="S92"/>
      <c r="V92" s="262"/>
      <c r="W92" s="280">
        <f t="shared" si="20"/>
        <v>0</v>
      </c>
      <c r="X92" s="178" t="str">
        <f t="shared" si="29"/>
        <v/>
      </c>
      <c r="Y92" s="178" t="str">
        <f t="shared" si="30"/>
        <v/>
      </c>
      <c r="Z92" s="178" t="str">
        <f t="shared" si="31"/>
        <v/>
      </c>
      <c r="AA92" s="178" t="str">
        <f t="shared" si="32"/>
        <v/>
      </c>
      <c r="AB92" s="178" t="str">
        <f t="shared" si="33"/>
        <v/>
      </c>
      <c r="AC92" s="178" t="str">
        <f t="shared" si="34"/>
        <v/>
      </c>
      <c r="AD92" s="267" t="s">
        <v>316</v>
      </c>
      <c r="AF92" s="149" t="str">
        <f t="shared" si="28"/>
        <v/>
      </c>
      <c r="AH92" s="178" t="str">
        <f t="shared" si="21"/>
        <v/>
      </c>
      <c r="AI92" s="178" t="str">
        <f t="shared" si="22"/>
        <v/>
      </c>
      <c r="AJ92" s="178" t="str">
        <f t="shared" si="23"/>
        <v/>
      </c>
      <c r="AK92" s="178" t="str">
        <f t="shared" si="24"/>
        <v/>
      </c>
      <c r="AL92" t="s">
        <v>327</v>
      </c>
      <c r="AN92" s="149" t="str">
        <f t="shared" si="25"/>
        <v/>
      </c>
      <c r="AQ92" s="178" t="str">
        <f t="shared" ca="1" si="26"/>
        <v/>
      </c>
      <c r="AR92" s="178" t="str">
        <f t="shared" ca="1" si="27"/>
        <v/>
      </c>
    </row>
    <row r="93" spans="1:44" x14ac:dyDescent="0.2">
      <c r="A93" t="str">
        <f>IF(B93="","",CONCATENATE("GBL",B93," - ",Mantenedor!E104))</f>
        <v/>
      </c>
      <c r="P93" t="str">
        <f t="shared" si="19"/>
        <v/>
      </c>
      <c r="Q93" s="266" t="str" cm="1">
        <f t="array" ref="Q93">+_xlfn.IFS(O93="Nacional","CLP",O93="Extranjero","USD",O93="","")</f>
        <v/>
      </c>
      <c r="R93" s="262" t="str">
        <f>IFERROR(IF(O93="Nacional",VLOOKUP(P93,PRICING!$D$4:$E$59,2,FALSE),VLOOKUP(P93,PRICING!$J$4:$K$59,2,FALSE)),"")</f>
        <v/>
      </c>
      <c r="S93"/>
      <c r="V93" s="262"/>
      <c r="W93" s="280">
        <f t="shared" si="20"/>
        <v>0</v>
      </c>
      <c r="X93" s="178" t="str">
        <f t="shared" si="29"/>
        <v/>
      </c>
      <c r="Y93" s="178" t="str">
        <f t="shared" si="30"/>
        <v/>
      </c>
      <c r="Z93" s="178" t="str">
        <f t="shared" si="31"/>
        <v/>
      </c>
      <c r="AA93" s="178" t="str">
        <f t="shared" si="32"/>
        <v/>
      </c>
      <c r="AB93" s="178" t="str">
        <f t="shared" si="33"/>
        <v/>
      </c>
      <c r="AC93" s="178" t="str">
        <f t="shared" si="34"/>
        <v/>
      </c>
      <c r="AD93" s="267" t="s">
        <v>316</v>
      </c>
      <c r="AF93" s="149" t="str">
        <f t="shared" si="28"/>
        <v/>
      </c>
      <c r="AH93" s="178" t="str">
        <f t="shared" si="21"/>
        <v/>
      </c>
      <c r="AI93" s="178" t="str">
        <f t="shared" si="22"/>
        <v/>
      </c>
      <c r="AJ93" s="178" t="str">
        <f t="shared" si="23"/>
        <v/>
      </c>
      <c r="AK93" s="178" t="str">
        <f t="shared" si="24"/>
        <v/>
      </c>
      <c r="AL93" t="s">
        <v>327</v>
      </c>
      <c r="AN93" s="149" t="str">
        <f t="shared" si="25"/>
        <v/>
      </c>
      <c r="AQ93" s="178" t="str">
        <f t="shared" ca="1" si="26"/>
        <v/>
      </c>
      <c r="AR93" s="178" t="str">
        <f t="shared" ca="1" si="27"/>
        <v/>
      </c>
    </row>
    <row r="94" spans="1:44" x14ac:dyDescent="0.2">
      <c r="A94" t="str">
        <f>IF(B94="","",CONCATENATE("GBL",B94," - ",Mantenedor!E105))</f>
        <v/>
      </c>
      <c r="P94" t="str">
        <f t="shared" si="19"/>
        <v/>
      </c>
      <c r="Q94" s="266" t="str" cm="1">
        <f t="array" ref="Q94">+_xlfn.IFS(O94="Nacional","CLP",O94="Extranjero","USD",O94="","")</f>
        <v/>
      </c>
      <c r="R94" s="262" t="str">
        <f>IFERROR(IF(O94="Nacional",VLOOKUP(P94,PRICING!$D$4:$E$59,2,FALSE),VLOOKUP(P94,PRICING!$J$4:$K$59,2,FALSE)),"")</f>
        <v/>
      </c>
      <c r="S94"/>
      <c r="V94" s="262"/>
      <c r="W94" s="280">
        <f t="shared" si="20"/>
        <v>0</v>
      </c>
      <c r="X94" s="178" t="str">
        <f t="shared" si="29"/>
        <v/>
      </c>
      <c r="Y94" s="178" t="str">
        <f t="shared" si="30"/>
        <v/>
      </c>
      <c r="Z94" s="178" t="str">
        <f t="shared" si="31"/>
        <v/>
      </c>
      <c r="AA94" s="178" t="str">
        <f t="shared" si="32"/>
        <v/>
      </c>
      <c r="AB94" s="178" t="str">
        <f t="shared" si="33"/>
        <v/>
      </c>
      <c r="AC94" s="178" t="str">
        <f t="shared" si="34"/>
        <v/>
      </c>
      <c r="AD94" s="267" t="s">
        <v>316</v>
      </c>
      <c r="AF94" s="149" t="str">
        <f t="shared" si="28"/>
        <v/>
      </c>
      <c r="AH94" s="178" t="str">
        <f t="shared" si="21"/>
        <v/>
      </c>
      <c r="AI94" s="178" t="str">
        <f t="shared" si="22"/>
        <v/>
      </c>
      <c r="AJ94" s="178" t="str">
        <f t="shared" si="23"/>
        <v/>
      </c>
      <c r="AK94" s="178" t="str">
        <f t="shared" si="24"/>
        <v/>
      </c>
      <c r="AL94" t="s">
        <v>327</v>
      </c>
      <c r="AN94" s="149" t="str">
        <f t="shared" si="25"/>
        <v/>
      </c>
      <c r="AQ94" s="178" t="str">
        <f t="shared" ca="1" si="26"/>
        <v/>
      </c>
      <c r="AR94" s="178" t="str">
        <f t="shared" ca="1" si="27"/>
        <v/>
      </c>
    </row>
    <row r="95" spans="1:44" x14ac:dyDescent="0.2">
      <c r="A95" t="str">
        <f>IF(B95="","",CONCATENATE("GBL",B95," - ",Mantenedor!E106))</f>
        <v/>
      </c>
      <c r="P95" t="str">
        <f t="shared" si="19"/>
        <v/>
      </c>
      <c r="Q95" s="266" t="str" cm="1">
        <f t="array" ref="Q95">+_xlfn.IFS(O95="Nacional","CLP",O95="Extranjero","USD",O95="","")</f>
        <v/>
      </c>
      <c r="R95" s="262" t="str">
        <f>IFERROR(IF(O95="Nacional",VLOOKUP(P95,PRICING!$D$4:$E$59,2,FALSE),VLOOKUP(P95,PRICING!$J$4:$K$59,2,FALSE)),"")</f>
        <v/>
      </c>
      <c r="S95"/>
      <c r="V95" s="262"/>
      <c r="W95" s="280">
        <f t="shared" si="20"/>
        <v>0</v>
      </c>
      <c r="X95" s="178" t="str">
        <f t="shared" si="29"/>
        <v/>
      </c>
      <c r="Y95" s="178" t="str">
        <f t="shared" si="30"/>
        <v/>
      </c>
      <c r="Z95" s="178" t="str">
        <f t="shared" si="31"/>
        <v/>
      </c>
      <c r="AA95" s="178" t="str">
        <f t="shared" si="32"/>
        <v/>
      </c>
      <c r="AB95" s="178" t="str">
        <f t="shared" si="33"/>
        <v/>
      </c>
      <c r="AC95" s="178" t="str">
        <f t="shared" si="34"/>
        <v/>
      </c>
      <c r="AD95" s="267" t="s">
        <v>316</v>
      </c>
      <c r="AF95" s="149" t="str">
        <f t="shared" si="28"/>
        <v/>
      </c>
      <c r="AH95" s="178" t="str">
        <f t="shared" si="21"/>
        <v/>
      </c>
      <c r="AI95" s="178" t="str">
        <f t="shared" si="22"/>
        <v/>
      </c>
      <c r="AJ95" s="178" t="str">
        <f t="shared" si="23"/>
        <v/>
      </c>
      <c r="AK95" s="178" t="str">
        <f t="shared" si="24"/>
        <v/>
      </c>
      <c r="AL95" t="s">
        <v>327</v>
      </c>
      <c r="AN95" s="149" t="str">
        <f t="shared" si="25"/>
        <v/>
      </c>
      <c r="AQ95" s="178" t="str">
        <f t="shared" ca="1" si="26"/>
        <v/>
      </c>
      <c r="AR95" s="178" t="str">
        <f t="shared" ca="1" si="27"/>
        <v/>
      </c>
    </row>
    <row r="96" spans="1:44" x14ac:dyDescent="0.2">
      <c r="A96" t="str">
        <f>IF(B96="","",CONCATENATE("GBL",B96," - ",Mantenedor!E107))</f>
        <v/>
      </c>
      <c r="P96" t="str">
        <f t="shared" si="19"/>
        <v/>
      </c>
      <c r="Q96" s="266" t="str" cm="1">
        <f t="array" ref="Q96">+_xlfn.IFS(O96="Nacional","CLP",O96="Extranjero","USD",O96="","")</f>
        <v/>
      </c>
      <c r="R96" s="262" t="str">
        <f>IFERROR(IF(O96="Nacional",VLOOKUP(P96,PRICING!$D$4:$E$59,2,FALSE),VLOOKUP(P96,PRICING!$J$4:$K$59,2,FALSE)),"")</f>
        <v/>
      </c>
      <c r="S96"/>
      <c r="V96" s="262"/>
      <c r="W96" s="280">
        <f t="shared" si="20"/>
        <v>0</v>
      </c>
      <c r="X96" s="178" t="str">
        <f t="shared" si="29"/>
        <v/>
      </c>
      <c r="Y96" s="178" t="str">
        <f t="shared" si="30"/>
        <v/>
      </c>
      <c r="Z96" s="178" t="str">
        <f t="shared" si="31"/>
        <v/>
      </c>
      <c r="AA96" s="178" t="str">
        <f t="shared" si="32"/>
        <v/>
      </c>
      <c r="AB96" s="178" t="str">
        <f t="shared" si="33"/>
        <v/>
      </c>
      <c r="AC96" s="178" t="str">
        <f t="shared" si="34"/>
        <v/>
      </c>
      <c r="AD96" s="267" t="s">
        <v>316</v>
      </c>
      <c r="AF96" s="149" t="str">
        <f t="shared" si="28"/>
        <v/>
      </c>
      <c r="AH96" s="178" t="str">
        <f t="shared" si="21"/>
        <v/>
      </c>
      <c r="AI96" s="178" t="str">
        <f t="shared" si="22"/>
        <v/>
      </c>
      <c r="AJ96" s="178" t="str">
        <f t="shared" si="23"/>
        <v/>
      </c>
      <c r="AK96" s="178" t="str">
        <f t="shared" si="24"/>
        <v/>
      </c>
      <c r="AL96" t="s">
        <v>327</v>
      </c>
      <c r="AN96" s="149" t="str">
        <f t="shared" si="25"/>
        <v/>
      </c>
      <c r="AQ96" s="178" t="str">
        <f t="shared" ca="1" si="26"/>
        <v/>
      </c>
      <c r="AR96" s="178" t="str">
        <f t="shared" ca="1" si="27"/>
        <v/>
      </c>
    </row>
    <row r="97" spans="1:44" x14ac:dyDescent="0.2">
      <c r="A97" t="str">
        <f>IF(B97="","",CONCATENATE("GBL",B97," - ",Mantenedor!E108))</f>
        <v/>
      </c>
      <c r="P97" t="str">
        <f t="shared" si="19"/>
        <v/>
      </c>
      <c r="Q97" s="266" t="str" cm="1">
        <f t="array" ref="Q97">+_xlfn.IFS(O97="Nacional","CLP",O97="Extranjero","USD",O97="","")</f>
        <v/>
      </c>
      <c r="R97" s="262" t="str">
        <f>IFERROR(IF(O97="Nacional",VLOOKUP(P97,PRICING!$D$4:$E$59,2,FALSE),VLOOKUP(P97,PRICING!$J$4:$K$59,2,FALSE)),"")</f>
        <v/>
      </c>
      <c r="S97"/>
      <c r="V97" s="262"/>
      <c r="W97" s="280">
        <f t="shared" si="20"/>
        <v>0</v>
      </c>
      <c r="X97" s="178" t="str">
        <f t="shared" si="29"/>
        <v/>
      </c>
      <c r="Y97" s="178" t="str">
        <f t="shared" si="30"/>
        <v/>
      </c>
      <c r="Z97" s="178" t="str">
        <f t="shared" si="31"/>
        <v/>
      </c>
      <c r="AA97" s="178" t="str">
        <f t="shared" si="32"/>
        <v/>
      </c>
      <c r="AB97" s="178" t="str">
        <f t="shared" si="33"/>
        <v/>
      </c>
      <c r="AC97" s="178" t="str">
        <f t="shared" si="34"/>
        <v/>
      </c>
      <c r="AD97" s="267" t="s">
        <v>316</v>
      </c>
      <c r="AF97" s="149" t="str">
        <f t="shared" si="28"/>
        <v/>
      </c>
      <c r="AH97" s="178" t="str">
        <f t="shared" si="21"/>
        <v/>
      </c>
      <c r="AI97" s="178" t="str">
        <f t="shared" si="22"/>
        <v/>
      </c>
      <c r="AJ97" s="178" t="str">
        <f t="shared" si="23"/>
        <v/>
      </c>
      <c r="AK97" s="178" t="str">
        <f t="shared" si="24"/>
        <v/>
      </c>
      <c r="AL97" t="s">
        <v>327</v>
      </c>
      <c r="AN97" s="149" t="str">
        <f t="shared" si="25"/>
        <v/>
      </c>
      <c r="AQ97" s="178" t="str">
        <f t="shared" ca="1" si="26"/>
        <v/>
      </c>
      <c r="AR97" s="178" t="str">
        <f t="shared" ca="1" si="27"/>
        <v/>
      </c>
    </row>
    <row r="98" spans="1:44" x14ac:dyDescent="0.2">
      <c r="A98" t="str">
        <f>IF(B98="","",CONCATENATE("GBL",B98," - ",Mantenedor!E109))</f>
        <v/>
      </c>
      <c r="P98" t="str">
        <f t="shared" si="19"/>
        <v/>
      </c>
      <c r="Q98" s="266" t="str" cm="1">
        <f t="array" ref="Q98">+_xlfn.IFS(O98="Nacional","CLP",O98="Extranjero","USD",O98="","")</f>
        <v/>
      </c>
      <c r="R98" s="262" t="str">
        <f>IFERROR(IF(O98="Nacional",VLOOKUP(P98,PRICING!$D$4:$E$59,2,FALSE),VLOOKUP(P98,PRICING!$J$4:$K$59,2,FALSE)),"")</f>
        <v/>
      </c>
      <c r="S98"/>
      <c r="V98" s="262"/>
      <c r="W98" s="280">
        <f t="shared" si="20"/>
        <v>0</v>
      </c>
      <c r="X98" s="178" t="str">
        <f t="shared" si="29"/>
        <v/>
      </c>
      <c r="Y98" s="178" t="str">
        <f t="shared" si="30"/>
        <v/>
      </c>
      <c r="Z98" s="178" t="str">
        <f t="shared" si="31"/>
        <v/>
      </c>
      <c r="AA98" s="178" t="str">
        <f t="shared" si="32"/>
        <v/>
      </c>
      <c r="AB98" s="178" t="str">
        <f t="shared" si="33"/>
        <v/>
      </c>
      <c r="AC98" s="178" t="str">
        <f t="shared" si="34"/>
        <v/>
      </c>
      <c r="AD98" s="267" t="s">
        <v>316</v>
      </c>
      <c r="AF98" s="149" t="str">
        <f t="shared" si="28"/>
        <v/>
      </c>
      <c r="AH98" s="178" t="str">
        <f t="shared" si="21"/>
        <v/>
      </c>
      <c r="AI98" s="178" t="str">
        <f t="shared" si="22"/>
        <v/>
      </c>
      <c r="AJ98" s="178" t="str">
        <f t="shared" si="23"/>
        <v/>
      </c>
      <c r="AK98" s="178" t="str">
        <f t="shared" si="24"/>
        <v/>
      </c>
      <c r="AL98" t="s">
        <v>327</v>
      </c>
      <c r="AN98" s="149" t="str">
        <f t="shared" si="25"/>
        <v/>
      </c>
      <c r="AQ98" s="178" t="str">
        <f t="shared" ca="1" si="26"/>
        <v/>
      </c>
      <c r="AR98" s="178" t="str">
        <f t="shared" ca="1" si="27"/>
        <v/>
      </c>
    </row>
    <row r="99" spans="1:44" x14ac:dyDescent="0.2">
      <c r="A99" t="str">
        <f>IF(B99="","",CONCATENATE("GBL",B99," - ",Mantenedor!E110))</f>
        <v/>
      </c>
      <c r="P99" t="str">
        <f t="shared" si="19"/>
        <v/>
      </c>
      <c r="Q99" s="266" t="str" cm="1">
        <f t="array" ref="Q99">+_xlfn.IFS(O99="Nacional","CLP",O99="Extranjero","USD",O99="","")</f>
        <v/>
      </c>
      <c r="R99" s="262" t="str">
        <f>IFERROR(IF(O99="Nacional",VLOOKUP(P99,PRICING!$D$4:$E$59,2,FALSE),VLOOKUP(P99,PRICING!$J$4:$K$59,2,FALSE)),"")</f>
        <v/>
      </c>
      <c r="S99"/>
      <c r="V99" s="262"/>
      <c r="W99" s="280">
        <f t="shared" si="20"/>
        <v>0</v>
      </c>
      <c r="X99" s="178" t="str">
        <f t="shared" si="29"/>
        <v/>
      </c>
      <c r="Y99" s="178" t="str">
        <f t="shared" si="30"/>
        <v/>
      </c>
      <c r="Z99" s="178" t="str">
        <f t="shared" si="31"/>
        <v/>
      </c>
      <c r="AA99" s="178" t="str">
        <f t="shared" si="32"/>
        <v/>
      </c>
      <c r="AB99" s="178" t="str">
        <f t="shared" si="33"/>
        <v/>
      </c>
      <c r="AC99" s="178" t="str">
        <f t="shared" si="34"/>
        <v/>
      </c>
      <c r="AD99" s="267" t="s">
        <v>316</v>
      </c>
      <c r="AF99" s="149" t="str">
        <f t="shared" si="28"/>
        <v/>
      </c>
      <c r="AH99" s="178" t="str">
        <f t="shared" si="21"/>
        <v/>
      </c>
      <c r="AI99" s="178" t="str">
        <f t="shared" si="22"/>
        <v/>
      </c>
      <c r="AJ99" s="178" t="str">
        <f t="shared" si="23"/>
        <v/>
      </c>
      <c r="AK99" s="178" t="str">
        <f t="shared" si="24"/>
        <v/>
      </c>
      <c r="AL99" t="s">
        <v>327</v>
      </c>
      <c r="AN99" s="149" t="str">
        <f t="shared" si="25"/>
        <v/>
      </c>
      <c r="AQ99" s="178" t="str">
        <f t="shared" ca="1" si="26"/>
        <v/>
      </c>
      <c r="AR99" s="178" t="str">
        <f t="shared" ca="1" si="27"/>
        <v/>
      </c>
    </row>
    <row r="100" spans="1:44" x14ac:dyDescent="0.2">
      <c r="A100" t="str">
        <f>IF(B100="","",CONCATENATE("GBL",B100," - ",Mantenedor!E111))</f>
        <v/>
      </c>
      <c r="P100" t="str">
        <f t="shared" si="19"/>
        <v/>
      </c>
      <c r="Q100" s="266" t="str" cm="1">
        <f t="array" ref="Q100">+_xlfn.IFS(O100="Nacional","CLP",O100="Extranjero","USD",O100="","")</f>
        <v/>
      </c>
      <c r="R100" s="262" t="str">
        <f>IFERROR(IF(O100="Nacional",VLOOKUP(P100,PRICING!$D$4:$E$59,2,FALSE),VLOOKUP(P100,PRICING!$J$4:$K$59,2,FALSE)),"")</f>
        <v/>
      </c>
      <c r="S100"/>
      <c r="V100" s="262"/>
      <c r="W100" s="280">
        <f t="shared" si="20"/>
        <v>0</v>
      </c>
      <c r="X100" s="178" t="str">
        <f t="shared" si="29"/>
        <v/>
      </c>
      <c r="Y100" s="178" t="str">
        <f t="shared" si="30"/>
        <v/>
      </c>
      <c r="Z100" s="178" t="str">
        <f t="shared" si="31"/>
        <v/>
      </c>
      <c r="AA100" s="178" t="str">
        <f t="shared" si="32"/>
        <v/>
      </c>
      <c r="AB100" s="178" t="str">
        <f t="shared" si="33"/>
        <v/>
      </c>
      <c r="AC100" s="178" t="str">
        <f t="shared" si="34"/>
        <v/>
      </c>
      <c r="AD100" s="267" t="s">
        <v>316</v>
      </c>
      <c r="AF100" s="149" t="str">
        <f t="shared" si="28"/>
        <v/>
      </c>
      <c r="AH100" s="178" t="str">
        <f t="shared" si="21"/>
        <v/>
      </c>
      <c r="AI100" s="178" t="str">
        <f t="shared" si="22"/>
        <v/>
      </c>
      <c r="AJ100" s="178" t="str">
        <f t="shared" si="23"/>
        <v/>
      </c>
      <c r="AK100" s="178" t="str">
        <f t="shared" si="24"/>
        <v/>
      </c>
      <c r="AL100" t="s">
        <v>327</v>
      </c>
      <c r="AN100" s="149" t="str">
        <f t="shared" si="25"/>
        <v/>
      </c>
      <c r="AQ100" s="178" t="str">
        <f t="shared" ca="1" si="26"/>
        <v/>
      </c>
      <c r="AR100" s="178" t="str">
        <f t="shared" ca="1" si="27"/>
        <v/>
      </c>
    </row>
    <row r="101" spans="1:44" x14ac:dyDescent="0.2">
      <c r="A101" t="str">
        <f>IF(B101="","",CONCATENATE("GBL",B101," - ",Mantenedor!E112))</f>
        <v/>
      </c>
      <c r="P101" t="str">
        <f t="shared" si="19"/>
        <v/>
      </c>
      <c r="Q101" s="266" t="str" cm="1">
        <f t="array" ref="Q101">+_xlfn.IFS(O101="Nacional","CLP",O101="Extranjero","USD",O101="","")</f>
        <v/>
      </c>
      <c r="R101" s="262" t="str">
        <f>IFERROR(IF(O101="Nacional",VLOOKUP(P101,PRICING!$D$4:$E$59,2,FALSE),VLOOKUP(P101,PRICING!$J$4:$K$59,2,FALSE)),"")</f>
        <v/>
      </c>
      <c r="S101"/>
      <c r="V101" s="262"/>
      <c r="W101" s="280">
        <f t="shared" si="20"/>
        <v>0</v>
      </c>
      <c r="X101" s="178" t="str">
        <f t="shared" si="29"/>
        <v/>
      </c>
      <c r="Y101" s="178" t="str">
        <f t="shared" si="30"/>
        <v/>
      </c>
      <c r="Z101" s="178" t="str">
        <f t="shared" si="31"/>
        <v/>
      </c>
      <c r="AA101" s="178" t="str">
        <f t="shared" si="32"/>
        <v/>
      </c>
      <c r="AB101" s="178" t="str">
        <f t="shared" si="33"/>
        <v/>
      </c>
      <c r="AC101" s="178" t="str">
        <f t="shared" si="34"/>
        <v/>
      </c>
      <c r="AD101" s="267" t="s">
        <v>316</v>
      </c>
      <c r="AF101" s="149" t="str">
        <f t="shared" si="28"/>
        <v/>
      </c>
      <c r="AH101" s="178" t="str">
        <f t="shared" si="21"/>
        <v/>
      </c>
      <c r="AI101" s="178" t="str">
        <f t="shared" si="22"/>
        <v/>
      </c>
      <c r="AJ101" s="178" t="str">
        <f t="shared" si="23"/>
        <v/>
      </c>
      <c r="AK101" s="178" t="str">
        <f t="shared" si="24"/>
        <v/>
      </c>
      <c r="AL101" t="s">
        <v>327</v>
      </c>
      <c r="AN101" s="149" t="str">
        <f t="shared" si="25"/>
        <v/>
      </c>
      <c r="AQ101" s="178" t="str">
        <f t="shared" ca="1" si="26"/>
        <v/>
      </c>
      <c r="AR101" s="178" t="str">
        <f t="shared" ca="1" si="27"/>
        <v/>
      </c>
    </row>
    <row r="102" spans="1:44" x14ac:dyDescent="0.2">
      <c r="A102" t="str">
        <f>IF(B102="","",CONCATENATE("GBL",B102," - ",Mantenedor!E113))</f>
        <v/>
      </c>
      <c r="P102" t="str">
        <f t="shared" si="19"/>
        <v/>
      </c>
      <c r="Q102" s="266" t="str" cm="1">
        <f t="array" ref="Q102">+_xlfn.IFS(O102="Nacional","CLP",O102="Extranjero","USD",O102="","")</f>
        <v/>
      </c>
      <c r="R102" s="262" t="str">
        <f>IFERROR(IF(O102="Nacional",VLOOKUP(P102,PRICING!$D$4:$E$59,2,FALSE),VLOOKUP(P102,PRICING!$J$4:$K$59,2,FALSE)),"")</f>
        <v/>
      </c>
      <c r="S102"/>
      <c r="V102" s="262"/>
      <c r="W102" s="280">
        <f t="shared" si="20"/>
        <v>0</v>
      </c>
      <c r="X102" s="178" t="str">
        <f t="shared" si="29"/>
        <v/>
      </c>
      <c r="Y102" s="178" t="str">
        <f t="shared" si="30"/>
        <v/>
      </c>
      <c r="Z102" s="178" t="str">
        <f t="shared" si="31"/>
        <v/>
      </c>
      <c r="AA102" s="178" t="str">
        <f t="shared" si="32"/>
        <v/>
      </c>
      <c r="AB102" s="178" t="str">
        <f t="shared" si="33"/>
        <v/>
      </c>
      <c r="AC102" s="178" t="str">
        <f t="shared" si="34"/>
        <v/>
      </c>
      <c r="AD102" s="267" t="s">
        <v>316</v>
      </c>
      <c r="AF102" s="149" t="str">
        <f t="shared" si="28"/>
        <v/>
      </c>
      <c r="AH102" s="178" t="str">
        <f t="shared" si="21"/>
        <v/>
      </c>
      <c r="AI102" s="178" t="str">
        <f t="shared" si="22"/>
        <v/>
      </c>
      <c r="AJ102" s="178" t="str">
        <f t="shared" si="23"/>
        <v/>
      </c>
      <c r="AK102" s="178" t="str">
        <f t="shared" si="24"/>
        <v/>
      </c>
      <c r="AL102" t="s">
        <v>327</v>
      </c>
      <c r="AN102" s="149" t="str">
        <f t="shared" si="25"/>
        <v/>
      </c>
      <c r="AQ102" s="178" t="str">
        <f t="shared" ca="1" si="26"/>
        <v/>
      </c>
      <c r="AR102" s="178" t="str">
        <f t="shared" ca="1" si="27"/>
        <v/>
      </c>
    </row>
    <row r="103" spans="1:44" x14ac:dyDescent="0.2">
      <c r="A103" t="str">
        <f>IF(B103="","",CONCATENATE("GBL",B103," - ",Mantenedor!E114))</f>
        <v/>
      </c>
      <c r="P103" t="str">
        <f t="shared" si="19"/>
        <v/>
      </c>
      <c r="Q103" s="266" t="str" cm="1">
        <f t="array" ref="Q103">+_xlfn.IFS(O103="Nacional","CLP",O103="Extranjero","USD",O103="","")</f>
        <v/>
      </c>
      <c r="R103" s="262" t="str">
        <f>IFERROR(IF(O103="Nacional",VLOOKUP(P103,PRICING!$D$4:$E$59,2,FALSE),VLOOKUP(P103,PRICING!$J$4:$K$59,2,FALSE)),"")</f>
        <v/>
      </c>
      <c r="S103"/>
      <c r="V103" s="262"/>
      <c r="W103" s="280">
        <f t="shared" si="20"/>
        <v>0</v>
      </c>
      <c r="X103" s="178" t="str">
        <f t="shared" si="29"/>
        <v/>
      </c>
      <c r="Y103" s="178" t="str">
        <f t="shared" si="30"/>
        <v/>
      </c>
      <c r="Z103" s="178" t="str">
        <f t="shared" si="31"/>
        <v/>
      </c>
      <c r="AA103" s="178" t="str">
        <f t="shared" si="32"/>
        <v/>
      </c>
      <c r="AB103" s="178" t="str">
        <f t="shared" si="33"/>
        <v/>
      </c>
      <c r="AC103" s="178" t="str">
        <f t="shared" si="34"/>
        <v/>
      </c>
      <c r="AD103" s="267" t="s">
        <v>316</v>
      </c>
      <c r="AF103" s="149" t="str">
        <f t="shared" si="28"/>
        <v/>
      </c>
      <c r="AH103" s="178" t="str">
        <f t="shared" si="21"/>
        <v/>
      </c>
      <c r="AI103" s="178" t="str">
        <f t="shared" si="22"/>
        <v/>
      </c>
      <c r="AJ103" s="178" t="str">
        <f t="shared" si="23"/>
        <v/>
      </c>
      <c r="AK103" s="178" t="str">
        <f t="shared" si="24"/>
        <v/>
      </c>
      <c r="AL103" t="s">
        <v>327</v>
      </c>
      <c r="AN103" s="149" t="str">
        <f t="shared" si="25"/>
        <v/>
      </c>
      <c r="AQ103" s="178" t="str">
        <f t="shared" ca="1" si="26"/>
        <v/>
      </c>
      <c r="AR103" s="178" t="str">
        <f t="shared" ca="1" si="27"/>
        <v/>
      </c>
    </row>
    <row r="104" spans="1:44" x14ac:dyDescent="0.2">
      <c r="A104" t="str">
        <f>IF(B104="","",CONCATENATE("GBL",B104," - ",Mantenedor!E115))</f>
        <v/>
      </c>
      <c r="P104" t="str">
        <f t="shared" si="19"/>
        <v/>
      </c>
      <c r="Q104" s="266" t="str" cm="1">
        <f t="array" ref="Q104">+_xlfn.IFS(O104="Nacional","CLP",O104="Extranjero","USD",O104="","")</f>
        <v/>
      </c>
      <c r="R104" s="262" t="str">
        <f>IFERROR(IF(O104="Nacional",VLOOKUP(P104,PRICING!$D$4:$E$59,2,FALSE),VLOOKUP(P104,PRICING!$J$4:$K$59,2,FALSE)),"")</f>
        <v/>
      </c>
      <c r="S104"/>
      <c r="V104" s="262"/>
      <c r="W104" s="280">
        <f t="shared" si="20"/>
        <v>0</v>
      </c>
      <c r="X104" s="178" t="str">
        <f t="shared" si="29"/>
        <v/>
      </c>
      <c r="Y104" s="178" t="str">
        <f t="shared" si="30"/>
        <v/>
      </c>
      <c r="Z104" s="178" t="str">
        <f t="shared" si="31"/>
        <v/>
      </c>
      <c r="AA104" s="178" t="str">
        <f t="shared" si="32"/>
        <v/>
      </c>
      <c r="AB104" s="178" t="str">
        <f t="shared" si="33"/>
        <v/>
      </c>
      <c r="AC104" s="178" t="str">
        <f t="shared" si="34"/>
        <v/>
      </c>
      <c r="AD104" s="267" t="s">
        <v>316</v>
      </c>
      <c r="AF104" s="149" t="str">
        <f t="shared" si="28"/>
        <v/>
      </c>
      <c r="AH104" s="178" t="str">
        <f t="shared" si="21"/>
        <v/>
      </c>
      <c r="AI104" s="178" t="str">
        <f t="shared" si="22"/>
        <v/>
      </c>
      <c r="AJ104" s="178" t="str">
        <f t="shared" si="23"/>
        <v/>
      </c>
      <c r="AK104" s="178" t="str">
        <f t="shared" si="24"/>
        <v/>
      </c>
      <c r="AL104" t="s">
        <v>327</v>
      </c>
      <c r="AN104" s="149" t="str">
        <f t="shared" si="25"/>
        <v/>
      </c>
      <c r="AQ104" s="178" t="str">
        <f t="shared" ca="1" si="26"/>
        <v/>
      </c>
      <c r="AR104" s="178" t="str">
        <f t="shared" ca="1" si="27"/>
        <v/>
      </c>
    </row>
    <row r="105" spans="1:44" x14ac:dyDescent="0.2">
      <c r="A105" t="str">
        <f>IF(B105="","",CONCATENATE("GBL",B105," - ",Mantenedor!E116))</f>
        <v/>
      </c>
      <c r="P105" t="str">
        <f t="shared" si="19"/>
        <v/>
      </c>
      <c r="Q105" s="266" t="str" cm="1">
        <f t="array" ref="Q105">+_xlfn.IFS(O105="Nacional","CLP",O105="Extranjero","USD",O105="","")</f>
        <v/>
      </c>
      <c r="R105" s="262" t="str">
        <f>IFERROR(IF(O105="Nacional",VLOOKUP(P105,PRICING!$D$4:$E$59,2,FALSE),VLOOKUP(P105,PRICING!$J$4:$K$59,2,FALSE)),"")</f>
        <v/>
      </c>
      <c r="S105"/>
      <c r="V105" s="262"/>
      <c r="W105" s="280">
        <f t="shared" si="20"/>
        <v>0</v>
      </c>
      <c r="X105" s="178" t="str">
        <f t="shared" si="29"/>
        <v/>
      </c>
      <c r="Y105" s="178" t="str">
        <f t="shared" si="30"/>
        <v/>
      </c>
      <c r="Z105" s="178" t="str">
        <f t="shared" si="31"/>
        <v/>
      </c>
      <c r="AA105" s="178" t="str">
        <f t="shared" si="32"/>
        <v/>
      </c>
      <c r="AB105" s="178" t="str">
        <f t="shared" si="33"/>
        <v/>
      </c>
      <c r="AC105" s="178" t="str">
        <f t="shared" si="34"/>
        <v/>
      </c>
      <c r="AD105" s="267" t="s">
        <v>316</v>
      </c>
      <c r="AF105" s="149" t="str">
        <f t="shared" si="28"/>
        <v/>
      </c>
      <c r="AH105" s="178" t="str">
        <f t="shared" si="21"/>
        <v/>
      </c>
      <c r="AI105" s="178" t="str">
        <f t="shared" si="22"/>
        <v/>
      </c>
      <c r="AJ105" s="178" t="str">
        <f t="shared" si="23"/>
        <v/>
      </c>
      <c r="AK105" s="178" t="str">
        <f t="shared" si="24"/>
        <v/>
      </c>
      <c r="AL105" t="s">
        <v>327</v>
      </c>
      <c r="AN105" s="149" t="str">
        <f t="shared" si="25"/>
        <v/>
      </c>
      <c r="AQ105" s="178" t="str">
        <f t="shared" ca="1" si="26"/>
        <v/>
      </c>
      <c r="AR105" s="178" t="str">
        <f t="shared" ca="1" si="27"/>
        <v/>
      </c>
    </row>
    <row r="106" spans="1:44" x14ac:dyDescent="0.2">
      <c r="A106" t="str">
        <f>IF(B106="","",CONCATENATE("GBL",B106," - ",Mantenedor!E117))</f>
        <v/>
      </c>
      <c r="P106" t="str">
        <f t="shared" si="19"/>
        <v/>
      </c>
      <c r="Q106" s="266" t="str" cm="1">
        <f t="array" ref="Q106">+_xlfn.IFS(O106="Nacional","CLP",O106="Extranjero","USD",O106="","")</f>
        <v/>
      </c>
      <c r="R106" s="262" t="str">
        <f>IFERROR(IF(O106="Nacional",VLOOKUP(P106,PRICING!$D$4:$E$59,2,FALSE),VLOOKUP(P106,PRICING!$J$4:$K$59,2,FALSE)),"")</f>
        <v/>
      </c>
      <c r="S106"/>
      <c r="V106" s="262"/>
      <c r="W106" s="280">
        <f t="shared" si="20"/>
        <v>0</v>
      </c>
      <c r="X106" s="178" t="str">
        <f t="shared" si="29"/>
        <v/>
      </c>
      <c r="Y106" s="178" t="str">
        <f t="shared" si="30"/>
        <v/>
      </c>
      <c r="Z106" s="178" t="str">
        <f t="shared" si="31"/>
        <v/>
      </c>
      <c r="AA106" s="178" t="str">
        <f t="shared" si="32"/>
        <v/>
      </c>
      <c r="AB106" s="178" t="str">
        <f t="shared" si="33"/>
        <v/>
      </c>
      <c r="AC106" s="178" t="str">
        <f t="shared" si="34"/>
        <v/>
      </c>
      <c r="AD106" s="267" t="s">
        <v>316</v>
      </c>
      <c r="AF106" s="149" t="str">
        <f t="shared" si="28"/>
        <v/>
      </c>
      <c r="AH106" s="178" t="str">
        <f t="shared" si="21"/>
        <v/>
      </c>
      <c r="AI106" s="178" t="str">
        <f t="shared" si="22"/>
        <v/>
      </c>
      <c r="AJ106" s="178" t="str">
        <f t="shared" si="23"/>
        <v/>
      </c>
      <c r="AK106" s="178" t="str">
        <f t="shared" si="24"/>
        <v/>
      </c>
      <c r="AL106" t="s">
        <v>327</v>
      </c>
      <c r="AN106" s="149" t="str">
        <f t="shared" si="25"/>
        <v/>
      </c>
      <c r="AQ106" s="178" t="str">
        <f t="shared" ca="1" si="26"/>
        <v/>
      </c>
      <c r="AR106" s="178" t="str">
        <f t="shared" ca="1" si="27"/>
        <v/>
      </c>
    </row>
    <row r="107" spans="1:44" x14ac:dyDescent="0.2">
      <c r="A107" t="str">
        <f>IF(B107="","",CONCATENATE("GBL",B107," - ",Mantenedor!E118))</f>
        <v/>
      </c>
      <c r="P107" t="str">
        <f t="shared" si="19"/>
        <v/>
      </c>
      <c r="Q107" s="266" t="str" cm="1">
        <f t="array" ref="Q107">+_xlfn.IFS(O107="Nacional","CLP",O107="Extranjero","USD",O107="","")</f>
        <v/>
      </c>
      <c r="R107" s="262" t="str">
        <f>IFERROR(IF(O107="Nacional",VLOOKUP(P107,PRICING!$D$4:$E$59,2,FALSE),VLOOKUP(P107,PRICING!$J$4:$K$59,2,FALSE)),"")</f>
        <v/>
      </c>
      <c r="S107"/>
      <c r="V107" s="262"/>
      <c r="W107" s="280">
        <f t="shared" si="20"/>
        <v>0</v>
      </c>
      <c r="X107" s="178" t="str">
        <f t="shared" si="29"/>
        <v/>
      </c>
      <c r="Y107" s="178" t="str">
        <f t="shared" si="30"/>
        <v/>
      </c>
      <c r="Z107" s="178" t="str">
        <f t="shared" si="31"/>
        <v/>
      </c>
      <c r="AA107" s="178" t="str">
        <f t="shared" si="32"/>
        <v/>
      </c>
      <c r="AB107" s="178" t="str">
        <f t="shared" si="33"/>
        <v/>
      </c>
      <c r="AC107" s="178" t="str">
        <f t="shared" si="34"/>
        <v/>
      </c>
      <c r="AD107" s="267" t="s">
        <v>316</v>
      </c>
      <c r="AF107" s="149" t="str">
        <f t="shared" si="28"/>
        <v/>
      </c>
      <c r="AH107" s="178" t="str">
        <f t="shared" si="21"/>
        <v/>
      </c>
      <c r="AI107" s="178" t="str">
        <f t="shared" si="22"/>
        <v/>
      </c>
      <c r="AJ107" s="178" t="str">
        <f t="shared" si="23"/>
        <v/>
      </c>
      <c r="AK107" s="178" t="str">
        <f t="shared" si="24"/>
        <v/>
      </c>
      <c r="AL107" t="s">
        <v>327</v>
      </c>
      <c r="AN107" s="149" t="str">
        <f t="shared" si="25"/>
        <v/>
      </c>
      <c r="AQ107" s="178" t="str">
        <f t="shared" ca="1" si="26"/>
        <v/>
      </c>
      <c r="AR107" s="178" t="str">
        <f t="shared" ca="1" si="27"/>
        <v/>
      </c>
    </row>
    <row r="108" spans="1:44" x14ac:dyDescent="0.2">
      <c r="A108" t="str">
        <f>IF(B108="","",CONCATENATE("GBL",B108," - ",Mantenedor!E119))</f>
        <v/>
      </c>
      <c r="P108" t="str">
        <f t="shared" si="19"/>
        <v/>
      </c>
      <c r="Q108" s="266" t="str" cm="1">
        <f t="array" ref="Q108">+_xlfn.IFS(O108="Nacional","CLP",O108="Extranjero","USD",O108="","")</f>
        <v/>
      </c>
      <c r="R108" s="262" t="str">
        <f>IFERROR(IF(O108="Nacional",VLOOKUP(P108,PRICING!$D$4:$E$59,2,FALSE),VLOOKUP(P108,PRICING!$J$4:$K$59,2,FALSE)),"")</f>
        <v/>
      </c>
      <c r="S108"/>
      <c r="V108" s="262"/>
      <c r="W108" s="280">
        <f t="shared" si="20"/>
        <v>0</v>
      </c>
      <c r="X108" s="178" t="str">
        <f t="shared" si="29"/>
        <v/>
      </c>
      <c r="Y108" s="178" t="str">
        <f t="shared" si="30"/>
        <v/>
      </c>
      <c r="Z108" s="178" t="str">
        <f t="shared" si="31"/>
        <v/>
      </c>
      <c r="AA108" s="178" t="str">
        <f t="shared" si="32"/>
        <v/>
      </c>
      <c r="AB108" s="178" t="str">
        <f t="shared" si="33"/>
        <v/>
      </c>
      <c r="AC108" s="178" t="str">
        <f t="shared" si="34"/>
        <v/>
      </c>
      <c r="AD108" s="267" t="s">
        <v>316</v>
      </c>
      <c r="AF108" s="149" t="str">
        <f t="shared" si="28"/>
        <v/>
      </c>
      <c r="AH108" s="178" t="str">
        <f t="shared" si="21"/>
        <v/>
      </c>
      <c r="AI108" s="178" t="str">
        <f t="shared" si="22"/>
        <v/>
      </c>
      <c r="AJ108" s="178" t="str">
        <f t="shared" si="23"/>
        <v/>
      </c>
      <c r="AK108" s="178" t="str">
        <f t="shared" si="24"/>
        <v/>
      </c>
      <c r="AL108" t="s">
        <v>327</v>
      </c>
      <c r="AN108" s="149" t="str">
        <f t="shared" si="25"/>
        <v/>
      </c>
      <c r="AQ108" s="178" t="str">
        <f t="shared" ca="1" si="26"/>
        <v/>
      </c>
      <c r="AR108" s="178" t="str">
        <f t="shared" ca="1" si="27"/>
        <v/>
      </c>
    </row>
    <row r="109" spans="1:44" x14ac:dyDescent="0.2">
      <c r="A109" t="str">
        <f>IF(B109="","",CONCATENATE("GBL",B109," - ",Mantenedor!E120))</f>
        <v/>
      </c>
      <c r="P109" t="str">
        <f t="shared" si="19"/>
        <v/>
      </c>
      <c r="Q109" s="266" t="str" cm="1">
        <f t="array" ref="Q109">+_xlfn.IFS(O109="Nacional","CLP",O109="Extranjero","USD",O109="","")</f>
        <v/>
      </c>
      <c r="R109" s="262" t="str">
        <f>IFERROR(IF(O109="Nacional",VLOOKUP(P109,PRICING!$D$4:$E$59,2,FALSE),VLOOKUP(P109,PRICING!$J$4:$K$59,2,FALSE)),"")</f>
        <v/>
      </c>
      <c r="S109"/>
      <c r="V109" s="262"/>
      <c r="W109" s="280">
        <f t="shared" si="20"/>
        <v>0</v>
      </c>
      <c r="X109" s="178" t="str">
        <f t="shared" si="29"/>
        <v/>
      </c>
      <c r="Y109" s="178" t="str">
        <f t="shared" si="30"/>
        <v/>
      </c>
      <c r="Z109" s="178" t="str">
        <f t="shared" si="31"/>
        <v/>
      </c>
      <c r="AA109" s="178" t="str">
        <f t="shared" si="32"/>
        <v/>
      </c>
      <c r="AB109" s="178" t="str">
        <f t="shared" si="33"/>
        <v/>
      </c>
      <c r="AC109" s="178" t="str">
        <f t="shared" si="34"/>
        <v/>
      </c>
      <c r="AD109" s="267" t="s">
        <v>316</v>
      </c>
      <c r="AF109" s="149" t="str">
        <f t="shared" si="28"/>
        <v/>
      </c>
      <c r="AH109" s="178" t="str">
        <f t="shared" si="21"/>
        <v/>
      </c>
      <c r="AI109" s="178" t="str">
        <f t="shared" si="22"/>
        <v/>
      </c>
      <c r="AJ109" s="178" t="str">
        <f t="shared" si="23"/>
        <v/>
      </c>
      <c r="AK109" s="178" t="str">
        <f t="shared" si="24"/>
        <v/>
      </c>
      <c r="AL109" t="s">
        <v>327</v>
      </c>
      <c r="AN109" s="149" t="str">
        <f t="shared" si="25"/>
        <v/>
      </c>
      <c r="AQ109" s="178" t="str">
        <f t="shared" ca="1" si="26"/>
        <v/>
      </c>
      <c r="AR109" s="178" t="str">
        <f t="shared" ca="1" si="27"/>
        <v/>
      </c>
    </row>
    <row r="110" spans="1:44" x14ac:dyDescent="0.2">
      <c r="A110" t="str">
        <f>IF(B110="","",CONCATENATE("GBL",B110," - ",Mantenedor!E121))</f>
        <v/>
      </c>
      <c r="P110" t="str">
        <f t="shared" si="19"/>
        <v/>
      </c>
      <c r="Q110" s="266" t="str" cm="1">
        <f t="array" ref="Q110">+_xlfn.IFS(O110="Nacional","CLP",O110="Extranjero","USD",O110="","")</f>
        <v/>
      </c>
      <c r="R110" s="262" t="str">
        <f>IFERROR(IF(O110="Nacional",VLOOKUP(P110,PRICING!$D$4:$E$59,2,FALSE),VLOOKUP(P110,PRICING!$J$4:$K$59,2,FALSE)),"")</f>
        <v/>
      </c>
      <c r="S110"/>
      <c r="V110" s="262"/>
      <c r="W110" s="280">
        <f t="shared" si="20"/>
        <v>0</v>
      </c>
      <c r="X110" s="178" t="str">
        <f t="shared" si="29"/>
        <v/>
      </c>
      <c r="Y110" s="178" t="str">
        <f t="shared" si="30"/>
        <v/>
      </c>
      <c r="Z110" s="178" t="str">
        <f t="shared" si="31"/>
        <v/>
      </c>
      <c r="AA110" s="178" t="str">
        <f t="shared" si="32"/>
        <v/>
      </c>
      <c r="AB110" s="178" t="str">
        <f t="shared" si="33"/>
        <v/>
      </c>
      <c r="AC110" s="178" t="str">
        <f t="shared" si="34"/>
        <v/>
      </c>
      <c r="AD110" s="267" t="s">
        <v>316</v>
      </c>
      <c r="AF110" s="149" t="str">
        <f t="shared" si="28"/>
        <v/>
      </c>
      <c r="AH110" s="178" t="str">
        <f t="shared" si="21"/>
        <v/>
      </c>
      <c r="AI110" s="178" t="str">
        <f t="shared" si="22"/>
        <v/>
      </c>
      <c r="AJ110" s="178" t="str">
        <f t="shared" si="23"/>
        <v/>
      </c>
      <c r="AK110" s="178" t="str">
        <f t="shared" si="24"/>
        <v/>
      </c>
      <c r="AL110" t="s">
        <v>327</v>
      </c>
      <c r="AN110" s="149" t="str">
        <f t="shared" si="25"/>
        <v/>
      </c>
      <c r="AQ110" s="178" t="str">
        <f t="shared" ca="1" si="26"/>
        <v/>
      </c>
      <c r="AR110" s="178" t="str">
        <f t="shared" ca="1" si="27"/>
        <v/>
      </c>
    </row>
    <row r="111" spans="1:44" x14ac:dyDescent="0.2">
      <c r="A111" t="str">
        <f>IF(B111="","",CONCATENATE("GBL",B111," - ",Mantenedor!E122))</f>
        <v/>
      </c>
      <c r="P111" t="str">
        <f t="shared" si="19"/>
        <v/>
      </c>
      <c r="Q111" s="266" t="str" cm="1">
        <f t="array" ref="Q111">+_xlfn.IFS(O111="Nacional","CLP",O111="Extranjero","USD",O111="","")</f>
        <v/>
      </c>
      <c r="R111" s="262" t="str">
        <f>IFERROR(IF(O111="Nacional",VLOOKUP(P111,PRICING!$D$4:$E$59,2,FALSE),VLOOKUP(P111,PRICING!$J$4:$K$59,2,FALSE)),"")</f>
        <v/>
      </c>
      <c r="S111"/>
      <c r="V111" s="262"/>
      <c r="W111" s="280">
        <f t="shared" si="20"/>
        <v>0</v>
      </c>
      <c r="X111" s="178" t="str">
        <f t="shared" si="29"/>
        <v/>
      </c>
      <c r="Y111" s="178" t="str">
        <f t="shared" si="30"/>
        <v/>
      </c>
      <c r="Z111" s="178" t="str">
        <f t="shared" si="31"/>
        <v/>
      </c>
      <c r="AA111" s="178" t="str">
        <f t="shared" si="32"/>
        <v/>
      </c>
      <c r="AB111" s="178" t="str">
        <f t="shared" si="33"/>
        <v/>
      </c>
      <c r="AC111" s="178" t="str">
        <f t="shared" si="34"/>
        <v/>
      </c>
      <c r="AD111" s="267" t="s">
        <v>316</v>
      </c>
      <c r="AF111" s="149" t="str">
        <f t="shared" si="28"/>
        <v/>
      </c>
      <c r="AH111" s="178" t="str">
        <f t="shared" si="21"/>
        <v/>
      </c>
      <c r="AI111" s="178" t="str">
        <f t="shared" si="22"/>
        <v/>
      </c>
      <c r="AJ111" s="178" t="str">
        <f t="shared" si="23"/>
        <v/>
      </c>
      <c r="AK111" s="178" t="str">
        <f t="shared" si="24"/>
        <v/>
      </c>
      <c r="AL111" t="s">
        <v>327</v>
      </c>
      <c r="AN111" s="149" t="str">
        <f t="shared" si="25"/>
        <v/>
      </c>
      <c r="AQ111" s="178" t="str">
        <f t="shared" ca="1" si="26"/>
        <v/>
      </c>
      <c r="AR111" s="178" t="str">
        <f t="shared" ca="1" si="27"/>
        <v/>
      </c>
    </row>
    <row r="112" spans="1:44" x14ac:dyDescent="0.2">
      <c r="A112" t="str">
        <f>IF(B112="","",CONCATENATE("GBL",B112," - ",Mantenedor!E123))</f>
        <v/>
      </c>
      <c r="P112" t="str">
        <f t="shared" si="19"/>
        <v/>
      </c>
      <c r="Q112" s="266" t="str" cm="1">
        <f t="array" ref="Q112">+_xlfn.IFS(O112="Nacional","CLP",O112="Extranjero","USD",O112="","")</f>
        <v/>
      </c>
      <c r="R112" s="262" t="str">
        <f>IFERROR(IF(O112="Nacional",VLOOKUP(P112,PRICING!$D$4:$E$59,2,FALSE),VLOOKUP(P112,PRICING!$J$4:$K$59,2,FALSE)),"")</f>
        <v/>
      </c>
      <c r="S112"/>
      <c r="V112" s="262"/>
      <c r="W112" s="280">
        <f t="shared" si="20"/>
        <v>0</v>
      </c>
      <c r="X112" s="178" t="str">
        <f t="shared" si="29"/>
        <v/>
      </c>
      <c r="Y112" s="178" t="str">
        <f t="shared" si="30"/>
        <v/>
      </c>
      <c r="Z112" s="178" t="str">
        <f t="shared" si="31"/>
        <v/>
      </c>
      <c r="AA112" s="178" t="str">
        <f t="shared" si="32"/>
        <v/>
      </c>
      <c r="AB112" s="178" t="str">
        <f t="shared" si="33"/>
        <v/>
      </c>
      <c r="AC112" s="178" t="str">
        <f t="shared" si="34"/>
        <v/>
      </c>
      <c r="AD112" s="267" t="s">
        <v>316</v>
      </c>
      <c r="AF112" s="149" t="str">
        <f t="shared" si="28"/>
        <v/>
      </c>
      <c r="AH112" s="178" t="str">
        <f t="shared" si="21"/>
        <v/>
      </c>
      <c r="AI112" s="178" t="str">
        <f t="shared" si="22"/>
        <v/>
      </c>
      <c r="AJ112" s="178" t="str">
        <f t="shared" si="23"/>
        <v/>
      </c>
      <c r="AK112" s="178" t="str">
        <f t="shared" si="24"/>
        <v/>
      </c>
      <c r="AL112" t="s">
        <v>327</v>
      </c>
      <c r="AN112" s="149" t="str">
        <f t="shared" si="25"/>
        <v/>
      </c>
      <c r="AQ112" s="178" t="str">
        <f t="shared" ca="1" si="26"/>
        <v/>
      </c>
      <c r="AR112" s="178" t="str">
        <f t="shared" ca="1" si="27"/>
        <v/>
      </c>
    </row>
    <row r="113" spans="1:44" x14ac:dyDescent="0.2">
      <c r="A113" t="str">
        <f>IF(B113="","",CONCATENATE("GBL",B113," - ",Mantenedor!E124))</f>
        <v/>
      </c>
      <c r="P113" t="str">
        <f t="shared" si="19"/>
        <v/>
      </c>
      <c r="Q113" s="266" t="str" cm="1">
        <f t="array" ref="Q113">+_xlfn.IFS(O113="Nacional","CLP",O113="Extranjero","USD",O113="","")</f>
        <v/>
      </c>
      <c r="R113" s="262" t="str">
        <f>IFERROR(IF(O113="Nacional",VLOOKUP(P113,PRICING!$D$4:$E$59,2,FALSE),VLOOKUP(P113,PRICING!$J$4:$K$59,2,FALSE)),"")</f>
        <v/>
      </c>
      <c r="S113"/>
      <c r="V113" s="262"/>
      <c r="W113" s="280">
        <f t="shared" si="20"/>
        <v>0</v>
      </c>
      <c r="X113" s="178" t="str">
        <f t="shared" si="29"/>
        <v/>
      </c>
      <c r="Y113" s="178" t="str">
        <f t="shared" si="30"/>
        <v/>
      </c>
      <c r="Z113" s="178" t="str">
        <f t="shared" si="31"/>
        <v/>
      </c>
      <c r="AA113" s="178" t="str">
        <f t="shared" si="32"/>
        <v/>
      </c>
      <c r="AB113" s="178" t="str">
        <f t="shared" si="33"/>
        <v/>
      </c>
      <c r="AC113" s="178" t="str">
        <f t="shared" si="34"/>
        <v/>
      </c>
      <c r="AD113" s="267" t="s">
        <v>316</v>
      </c>
      <c r="AF113" s="149" t="str">
        <f t="shared" si="28"/>
        <v/>
      </c>
      <c r="AH113" s="178" t="str">
        <f t="shared" si="21"/>
        <v/>
      </c>
      <c r="AI113" s="178" t="str">
        <f t="shared" si="22"/>
        <v/>
      </c>
      <c r="AJ113" s="178" t="str">
        <f t="shared" si="23"/>
        <v/>
      </c>
      <c r="AK113" s="178" t="str">
        <f t="shared" si="24"/>
        <v/>
      </c>
      <c r="AL113" t="s">
        <v>327</v>
      </c>
      <c r="AN113" s="149" t="str">
        <f t="shared" si="25"/>
        <v/>
      </c>
      <c r="AQ113" s="178" t="str">
        <f t="shared" ca="1" si="26"/>
        <v/>
      </c>
      <c r="AR113" s="178" t="str">
        <f t="shared" ca="1" si="27"/>
        <v/>
      </c>
    </row>
    <row r="114" spans="1:44" x14ac:dyDescent="0.2">
      <c r="A114" t="str">
        <f>IF(B114="","",CONCATENATE("GBL",B114," - ",Mantenedor!E125))</f>
        <v/>
      </c>
      <c r="P114" t="str">
        <f t="shared" si="19"/>
        <v/>
      </c>
      <c r="Q114" s="266" t="str" cm="1">
        <f t="array" ref="Q114">+_xlfn.IFS(O114="Nacional","CLP",O114="Extranjero","USD",O114="","")</f>
        <v/>
      </c>
      <c r="R114" s="262" t="str">
        <f>IFERROR(IF(O114="Nacional",VLOOKUP(P114,PRICING!$D$4:$E$59,2,FALSE),VLOOKUP(P114,PRICING!$J$4:$K$59,2,FALSE)),"")</f>
        <v/>
      </c>
      <c r="S114"/>
      <c r="V114" s="262"/>
      <c r="W114" s="280">
        <f t="shared" si="20"/>
        <v>0</v>
      </c>
      <c r="X114" s="178" t="str">
        <f t="shared" si="29"/>
        <v/>
      </c>
      <c r="Y114" s="178" t="str">
        <f t="shared" si="30"/>
        <v/>
      </c>
      <c r="Z114" s="178" t="str">
        <f t="shared" si="31"/>
        <v/>
      </c>
      <c r="AA114" s="178" t="str">
        <f t="shared" si="32"/>
        <v/>
      </c>
      <c r="AB114" s="178" t="str">
        <f t="shared" si="33"/>
        <v/>
      </c>
      <c r="AC114" s="178" t="str">
        <f t="shared" si="34"/>
        <v/>
      </c>
      <c r="AD114" s="267" t="s">
        <v>316</v>
      </c>
      <c r="AF114" s="149" t="str">
        <f t="shared" si="28"/>
        <v/>
      </c>
      <c r="AH114" s="178" t="str">
        <f t="shared" si="21"/>
        <v/>
      </c>
      <c r="AI114" s="178" t="str">
        <f t="shared" si="22"/>
        <v/>
      </c>
      <c r="AJ114" s="178" t="str">
        <f t="shared" si="23"/>
        <v/>
      </c>
      <c r="AK114" s="178" t="str">
        <f t="shared" si="24"/>
        <v/>
      </c>
      <c r="AL114" t="s">
        <v>327</v>
      </c>
      <c r="AN114" s="149" t="str">
        <f t="shared" si="25"/>
        <v/>
      </c>
      <c r="AQ114" s="178" t="str">
        <f t="shared" ca="1" si="26"/>
        <v/>
      </c>
      <c r="AR114" s="178" t="str">
        <f t="shared" ca="1" si="27"/>
        <v/>
      </c>
    </row>
    <row r="115" spans="1:44" x14ac:dyDescent="0.2">
      <c r="A115" t="str">
        <f>IF(B115="","",CONCATENATE("GBL",B115," - ",Mantenedor!E126))</f>
        <v/>
      </c>
      <c r="P115" t="str">
        <f t="shared" si="19"/>
        <v/>
      </c>
      <c r="Q115" s="266" t="str" cm="1">
        <f t="array" ref="Q115">+_xlfn.IFS(O115="Nacional","CLP",O115="Extranjero","USD",O115="","")</f>
        <v/>
      </c>
      <c r="R115" s="262" t="str">
        <f>IFERROR(IF(O115="Nacional",VLOOKUP(P115,PRICING!$D$4:$E$59,2,FALSE),VLOOKUP(P115,PRICING!$J$4:$K$59,2,FALSE)),"")</f>
        <v/>
      </c>
      <c r="S115"/>
      <c r="V115" s="262"/>
      <c r="W115" s="280">
        <f t="shared" si="20"/>
        <v>0</v>
      </c>
      <c r="X115" s="178" t="str">
        <f t="shared" si="29"/>
        <v/>
      </c>
      <c r="Y115" s="178" t="str">
        <f t="shared" si="30"/>
        <v/>
      </c>
      <c r="Z115" s="178" t="str">
        <f t="shared" si="31"/>
        <v/>
      </c>
      <c r="AA115" s="178" t="str">
        <f t="shared" si="32"/>
        <v/>
      </c>
      <c r="AB115" s="178" t="str">
        <f t="shared" si="33"/>
        <v/>
      </c>
      <c r="AC115" s="178" t="str">
        <f t="shared" si="34"/>
        <v/>
      </c>
      <c r="AD115" s="267" t="s">
        <v>316</v>
      </c>
      <c r="AF115" s="149" t="str">
        <f t="shared" si="28"/>
        <v/>
      </c>
      <c r="AH115" s="178" t="str">
        <f t="shared" si="21"/>
        <v/>
      </c>
      <c r="AI115" s="178" t="str">
        <f t="shared" si="22"/>
        <v/>
      </c>
      <c r="AJ115" s="178" t="str">
        <f t="shared" si="23"/>
        <v/>
      </c>
      <c r="AK115" s="178" t="str">
        <f t="shared" si="24"/>
        <v/>
      </c>
      <c r="AL115" t="s">
        <v>327</v>
      </c>
      <c r="AN115" s="149" t="str">
        <f t="shared" si="25"/>
        <v/>
      </c>
      <c r="AQ115" s="178" t="str">
        <f t="shared" ca="1" si="26"/>
        <v/>
      </c>
      <c r="AR115" s="178" t="str">
        <f t="shared" ca="1" si="27"/>
        <v/>
      </c>
    </row>
    <row r="116" spans="1:44" x14ac:dyDescent="0.2">
      <c r="A116" t="str">
        <f>IF(B116="","",CONCATENATE("GBL",B116," - ",Mantenedor!E127))</f>
        <v/>
      </c>
      <c r="P116" t="str">
        <f t="shared" si="19"/>
        <v/>
      </c>
      <c r="Q116" s="266" t="str" cm="1">
        <f t="array" ref="Q116">+_xlfn.IFS(O116="Nacional","CLP",O116="Extranjero","USD",O116="","")</f>
        <v/>
      </c>
      <c r="R116" s="262" t="str">
        <f>IFERROR(IF(O116="Nacional",VLOOKUP(P116,PRICING!$D$4:$E$59,2,FALSE),VLOOKUP(P116,PRICING!$J$4:$K$59,2,FALSE)),"")</f>
        <v/>
      </c>
      <c r="S116"/>
      <c r="V116" s="262"/>
      <c r="W116" s="280">
        <f t="shared" si="20"/>
        <v>0</v>
      </c>
      <c r="X116" s="178" t="str">
        <f t="shared" si="29"/>
        <v/>
      </c>
      <c r="Y116" s="178" t="str">
        <f t="shared" si="30"/>
        <v/>
      </c>
      <c r="Z116" s="178" t="str">
        <f t="shared" si="31"/>
        <v/>
      </c>
      <c r="AA116" s="178" t="str">
        <f t="shared" si="32"/>
        <v/>
      </c>
      <c r="AB116" s="178" t="str">
        <f t="shared" si="33"/>
        <v/>
      </c>
      <c r="AC116" s="178" t="str">
        <f t="shared" si="34"/>
        <v/>
      </c>
      <c r="AD116" s="267" t="s">
        <v>316</v>
      </c>
      <c r="AF116" s="149" t="str">
        <f t="shared" si="28"/>
        <v/>
      </c>
      <c r="AH116" s="178" t="str">
        <f t="shared" si="21"/>
        <v/>
      </c>
      <c r="AI116" s="178" t="str">
        <f t="shared" si="22"/>
        <v/>
      </c>
      <c r="AJ116" s="178" t="str">
        <f t="shared" si="23"/>
        <v/>
      </c>
      <c r="AK116" s="178" t="str">
        <f t="shared" si="24"/>
        <v/>
      </c>
      <c r="AL116" t="s">
        <v>327</v>
      </c>
      <c r="AN116" s="149" t="str">
        <f t="shared" si="25"/>
        <v/>
      </c>
      <c r="AQ116" s="178" t="str">
        <f t="shared" ca="1" si="26"/>
        <v/>
      </c>
      <c r="AR116" s="178" t="str">
        <f t="shared" ca="1" si="27"/>
        <v/>
      </c>
    </row>
    <row r="117" spans="1:44" x14ac:dyDescent="0.2">
      <c r="A117" t="str">
        <f>IF(B117="","",CONCATENATE("GBL",B117," - ",Mantenedor!E128))</f>
        <v/>
      </c>
      <c r="P117" t="str">
        <f t="shared" si="19"/>
        <v/>
      </c>
      <c r="Q117" s="266" t="str" cm="1">
        <f t="array" ref="Q117">+_xlfn.IFS(O117="Nacional","CLP",O117="Extranjero","USD",O117="","")</f>
        <v/>
      </c>
      <c r="R117" s="262" t="str">
        <f>IFERROR(IF(O117="Nacional",VLOOKUP(P117,PRICING!$D$4:$E$59,2,FALSE),VLOOKUP(P117,PRICING!$J$4:$K$59,2,FALSE)),"")</f>
        <v/>
      </c>
      <c r="S117"/>
      <c r="V117" s="262"/>
      <c r="W117" s="280">
        <f t="shared" si="20"/>
        <v>0</v>
      </c>
      <c r="X117" s="178" t="str">
        <f t="shared" si="29"/>
        <v/>
      </c>
      <c r="Y117" s="178" t="str">
        <f t="shared" si="30"/>
        <v/>
      </c>
      <c r="Z117" s="178" t="str">
        <f t="shared" si="31"/>
        <v/>
      </c>
      <c r="AA117" s="178" t="str">
        <f t="shared" si="32"/>
        <v/>
      </c>
      <c r="AB117" s="178" t="str">
        <f t="shared" si="33"/>
        <v/>
      </c>
      <c r="AC117" s="178" t="str">
        <f t="shared" si="34"/>
        <v/>
      </c>
      <c r="AD117" s="267" t="s">
        <v>316</v>
      </c>
      <c r="AF117" s="149" t="str">
        <f t="shared" si="28"/>
        <v/>
      </c>
      <c r="AH117" s="178" t="str">
        <f t="shared" si="21"/>
        <v/>
      </c>
      <c r="AI117" s="178" t="str">
        <f t="shared" si="22"/>
        <v/>
      </c>
      <c r="AJ117" s="178" t="str">
        <f t="shared" si="23"/>
        <v/>
      </c>
      <c r="AK117" s="178" t="str">
        <f t="shared" si="24"/>
        <v/>
      </c>
      <c r="AL117" t="s">
        <v>327</v>
      </c>
      <c r="AN117" s="149" t="str">
        <f t="shared" si="25"/>
        <v/>
      </c>
      <c r="AQ117" s="178" t="str">
        <f t="shared" ca="1" si="26"/>
        <v/>
      </c>
      <c r="AR117" s="178" t="str">
        <f t="shared" ca="1" si="27"/>
        <v/>
      </c>
    </row>
    <row r="118" spans="1:44" x14ac:dyDescent="0.2">
      <c r="A118" t="str">
        <f>IF(B118="","",CONCATENATE("GBL",B118," - ",Mantenedor!E129))</f>
        <v/>
      </c>
      <c r="P118" t="str">
        <f t="shared" si="19"/>
        <v/>
      </c>
      <c r="Q118" s="266" t="str" cm="1">
        <f t="array" ref="Q118">+_xlfn.IFS(O118="Nacional","CLP",O118="Extranjero","USD",O118="","")</f>
        <v/>
      </c>
      <c r="R118" s="262" t="str">
        <f>IFERROR(IF(O118="Nacional",VLOOKUP(P118,PRICING!$D$4:$E$59,2,FALSE),VLOOKUP(P118,PRICING!$J$4:$K$59,2,FALSE)),"")</f>
        <v/>
      </c>
      <c r="S118"/>
      <c r="V118" s="262"/>
      <c r="W118" s="280">
        <f t="shared" si="20"/>
        <v>0</v>
      </c>
      <c r="X118" s="178" t="str">
        <f t="shared" si="29"/>
        <v/>
      </c>
      <c r="Y118" s="178" t="str">
        <f t="shared" si="30"/>
        <v/>
      </c>
      <c r="Z118" s="178" t="str">
        <f t="shared" si="31"/>
        <v/>
      </c>
      <c r="AA118" s="178" t="str">
        <f t="shared" si="32"/>
        <v/>
      </c>
      <c r="AB118" s="178" t="str">
        <f t="shared" si="33"/>
        <v/>
      </c>
      <c r="AC118" s="178" t="str">
        <f t="shared" si="34"/>
        <v/>
      </c>
      <c r="AD118" s="267" t="s">
        <v>316</v>
      </c>
      <c r="AF118" s="149" t="str">
        <f t="shared" si="28"/>
        <v/>
      </c>
      <c r="AH118" s="178" t="str">
        <f t="shared" si="21"/>
        <v/>
      </c>
      <c r="AI118" s="178" t="str">
        <f t="shared" si="22"/>
        <v/>
      </c>
      <c r="AJ118" s="178" t="str">
        <f t="shared" si="23"/>
        <v/>
      </c>
      <c r="AK118" s="178" t="str">
        <f t="shared" si="24"/>
        <v/>
      </c>
      <c r="AL118" t="s">
        <v>327</v>
      </c>
      <c r="AN118" s="149" t="str">
        <f t="shared" si="25"/>
        <v/>
      </c>
      <c r="AQ118" s="178" t="str">
        <f t="shared" ca="1" si="26"/>
        <v/>
      </c>
      <c r="AR118" s="178" t="str">
        <f t="shared" ca="1" si="27"/>
        <v/>
      </c>
    </row>
    <row r="119" spans="1:44" x14ac:dyDescent="0.2">
      <c r="A119" t="str">
        <f>IF(B119="","",CONCATENATE("GBL",B119," - ",Mantenedor!E130))</f>
        <v/>
      </c>
      <c r="P119" t="str">
        <f t="shared" si="19"/>
        <v/>
      </c>
      <c r="Q119" s="266" t="str" cm="1">
        <f t="array" ref="Q119">+_xlfn.IFS(O119="Nacional","CLP",O119="Extranjero","USD",O119="","")</f>
        <v/>
      </c>
      <c r="R119" s="262" t="str">
        <f>IFERROR(IF(O119="Nacional",VLOOKUP(P119,PRICING!$D$4:$E$59,2,FALSE),VLOOKUP(P119,PRICING!$J$4:$K$59,2,FALSE)),"")</f>
        <v/>
      </c>
      <c r="S119"/>
      <c r="V119" s="262"/>
      <c r="W119" s="280">
        <f t="shared" si="20"/>
        <v>0</v>
      </c>
      <c r="X119" s="178" t="str">
        <f t="shared" si="29"/>
        <v/>
      </c>
      <c r="Y119" s="178" t="str">
        <f t="shared" si="30"/>
        <v/>
      </c>
      <c r="Z119" s="178" t="str">
        <f t="shared" si="31"/>
        <v/>
      </c>
      <c r="AA119" s="178" t="str">
        <f t="shared" si="32"/>
        <v/>
      </c>
      <c r="AB119" s="178" t="str">
        <f t="shared" si="33"/>
        <v/>
      </c>
      <c r="AC119" s="178" t="str">
        <f t="shared" si="34"/>
        <v/>
      </c>
      <c r="AD119" s="267" t="s">
        <v>316</v>
      </c>
      <c r="AF119" s="149" t="str">
        <f t="shared" si="28"/>
        <v/>
      </c>
      <c r="AH119" s="178" t="str">
        <f t="shared" si="21"/>
        <v/>
      </c>
      <c r="AI119" s="178" t="str">
        <f t="shared" si="22"/>
        <v/>
      </c>
      <c r="AJ119" s="178" t="str">
        <f t="shared" si="23"/>
        <v/>
      </c>
      <c r="AK119" s="178" t="str">
        <f t="shared" si="24"/>
        <v/>
      </c>
      <c r="AL119" t="s">
        <v>327</v>
      </c>
      <c r="AN119" s="149" t="str">
        <f t="shared" si="25"/>
        <v/>
      </c>
      <c r="AQ119" s="178" t="str">
        <f t="shared" ca="1" si="26"/>
        <v/>
      </c>
      <c r="AR119" s="178" t="str">
        <f t="shared" ca="1" si="27"/>
        <v/>
      </c>
    </row>
    <row r="120" spans="1:44" x14ac:dyDescent="0.2">
      <c r="A120" t="str">
        <f>IF(B120="","",CONCATENATE("GBL",B120," - ",Mantenedor!E131))</f>
        <v/>
      </c>
      <c r="P120" t="str">
        <f t="shared" ref="P120:P183" si="35">IF(N120="","",(IF(L120=1,(CONCATENATE("Base ",N120," ",L120," noche")),(CONCATENATE("Base ",N120," ",L120," noches")))))</f>
        <v/>
      </c>
      <c r="Q120" s="266" t="str" cm="1">
        <f t="array" ref="Q120">+_xlfn.IFS(O120="Nacional","CLP",O120="Extranjero","USD",O120="","")</f>
        <v/>
      </c>
      <c r="R120" s="262" t="str">
        <f>IFERROR(IF(O120="Nacional",VLOOKUP(P120,PRICING!$D$4:$E$59,2,FALSE),VLOOKUP(P120,PRICING!$J$4:$K$59,2,FALSE)),"")</f>
        <v/>
      </c>
      <c r="S120"/>
      <c r="V120" s="262"/>
      <c r="W120" s="280">
        <f t="shared" ref="W120:W183" si="36">IFERROR(+V120*(1-T120),"")</f>
        <v>0</v>
      </c>
      <c r="X120" s="178" t="str">
        <f t="shared" si="29"/>
        <v/>
      </c>
      <c r="Y120" s="178" t="str">
        <f t="shared" si="30"/>
        <v/>
      </c>
      <c r="Z120" s="178" t="str">
        <f t="shared" si="31"/>
        <v/>
      </c>
      <c r="AA120" s="178" t="str">
        <f t="shared" si="32"/>
        <v/>
      </c>
      <c r="AB120" s="178" t="str">
        <f t="shared" si="33"/>
        <v/>
      </c>
      <c r="AC120" s="178" t="str">
        <f t="shared" si="34"/>
        <v/>
      </c>
      <c r="AD120" s="267" t="s">
        <v>316</v>
      </c>
      <c r="AF120" s="149" t="str">
        <f t="shared" si="28"/>
        <v/>
      </c>
      <c r="AH120" s="178" t="str">
        <f t="shared" ref="AH120:AH183" si="37">+IF($M120="","",$M120-45)</f>
        <v/>
      </c>
      <c r="AI120" s="178" t="str">
        <f t="shared" ref="AI120:AI183" si="38">+IF($M120="","",$M120-30)</f>
        <v/>
      </c>
      <c r="AJ120" s="178" t="str">
        <f t="shared" ref="AJ120:AJ183" si="39">+IF($M120="","",$M120-15)</f>
        <v/>
      </c>
      <c r="AK120" s="178" t="str">
        <f t="shared" ref="AK120:AK183" si="40">+IF($M120="","",$M120-7)</f>
        <v/>
      </c>
      <c r="AL120" t="s">
        <v>327</v>
      </c>
      <c r="AN120" s="149" t="str">
        <f t="shared" ref="AN120:AN183" si="41">+IF(AM120="","",W120*0.5)</f>
        <v/>
      </c>
      <c r="AQ120" s="178" t="str">
        <f t="shared" ref="AQ120:AQ183" ca="1" si="42">IF(A119="","",+TODAY())</f>
        <v/>
      </c>
      <c r="AR120" s="178" t="str">
        <f t="shared" ref="AR120:AR183" ca="1" si="43">IF(A119="","",+TODAY())</f>
        <v/>
      </c>
    </row>
    <row r="121" spans="1:44" x14ac:dyDescent="0.2">
      <c r="A121" t="str">
        <f>IF(B121="","",CONCATENATE("GBL",B121," - ",Mantenedor!E132))</f>
        <v/>
      </c>
      <c r="P121" t="str">
        <f t="shared" si="35"/>
        <v/>
      </c>
      <c r="Q121" s="266" t="str" cm="1">
        <f t="array" ref="Q121">+_xlfn.IFS(O121="Nacional","CLP",O121="Extranjero","USD",O121="","")</f>
        <v/>
      </c>
      <c r="R121" s="262" t="str">
        <f>IFERROR(IF(O121="Nacional",VLOOKUP(P121,PRICING!$D$4:$E$59,2,FALSE),VLOOKUP(P121,PRICING!$J$4:$K$59,2,FALSE)),"")</f>
        <v/>
      </c>
      <c r="S121"/>
      <c r="V121" s="262"/>
      <c r="W121" s="280">
        <f t="shared" si="36"/>
        <v>0</v>
      </c>
      <c r="X121" s="178" t="str">
        <f t="shared" si="29"/>
        <v/>
      </c>
      <c r="Y121" s="178" t="str">
        <f t="shared" si="30"/>
        <v/>
      </c>
      <c r="Z121" s="178" t="str">
        <f t="shared" si="31"/>
        <v/>
      </c>
      <c r="AA121" s="178" t="str">
        <f t="shared" si="32"/>
        <v/>
      </c>
      <c r="AB121" s="178" t="str">
        <f t="shared" si="33"/>
        <v/>
      </c>
      <c r="AC121" s="178" t="str">
        <f t="shared" si="34"/>
        <v/>
      </c>
      <c r="AD121" s="267" t="s">
        <v>316</v>
      </c>
      <c r="AF121" s="149" t="str">
        <f t="shared" ref="AF121:AF184" si="44">+IF(AE121="","",W121*0.5)</f>
        <v/>
      </c>
      <c r="AH121" s="178" t="str">
        <f t="shared" si="37"/>
        <v/>
      </c>
      <c r="AI121" s="178" t="str">
        <f t="shared" si="38"/>
        <v/>
      </c>
      <c r="AJ121" s="178" t="str">
        <f t="shared" si="39"/>
        <v/>
      </c>
      <c r="AK121" s="178" t="str">
        <f t="shared" si="40"/>
        <v/>
      </c>
      <c r="AL121" t="s">
        <v>327</v>
      </c>
      <c r="AN121" s="149" t="str">
        <f t="shared" si="41"/>
        <v/>
      </c>
      <c r="AQ121" s="178" t="str">
        <f t="shared" ca="1" si="42"/>
        <v/>
      </c>
      <c r="AR121" s="178" t="str">
        <f t="shared" ca="1" si="43"/>
        <v/>
      </c>
    </row>
    <row r="122" spans="1:44" x14ac:dyDescent="0.2">
      <c r="A122" t="str">
        <f>IF(B122="","",CONCATENATE("GBL",B122," - ",Mantenedor!E133))</f>
        <v/>
      </c>
      <c r="P122" t="str">
        <f t="shared" si="35"/>
        <v/>
      </c>
      <c r="Q122" s="266" t="str" cm="1">
        <f t="array" ref="Q122">+_xlfn.IFS(O122="Nacional","CLP",O122="Extranjero","USD",O122="","")</f>
        <v/>
      </c>
      <c r="R122" s="262" t="str">
        <f>IFERROR(IF(O122="Nacional",VLOOKUP(P122,PRICING!$D$4:$E$59,2,FALSE),VLOOKUP(P122,PRICING!$J$4:$K$59,2,FALSE)),"")</f>
        <v/>
      </c>
      <c r="S122"/>
      <c r="V122" s="262"/>
      <c r="W122" s="280">
        <f t="shared" si="36"/>
        <v>0</v>
      </c>
      <c r="X122" s="178" t="str">
        <f t="shared" si="29"/>
        <v/>
      </c>
      <c r="Y122" s="178" t="str">
        <f t="shared" si="30"/>
        <v/>
      </c>
      <c r="Z122" s="178" t="str">
        <f t="shared" si="31"/>
        <v/>
      </c>
      <c r="AA122" s="178" t="str">
        <f t="shared" si="32"/>
        <v/>
      </c>
      <c r="AB122" s="178" t="str">
        <f t="shared" si="33"/>
        <v/>
      </c>
      <c r="AC122" s="178" t="str">
        <f t="shared" si="34"/>
        <v/>
      </c>
      <c r="AD122" s="267" t="s">
        <v>316</v>
      </c>
      <c r="AF122" s="149" t="str">
        <f t="shared" si="44"/>
        <v/>
      </c>
      <c r="AH122" s="178" t="str">
        <f t="shared" si="37"/>
        <v/>
      </c>
      <c r="AI122" s="178" t="str">
        <f t="shared" si="38"/>
        <v/>
      </c>
      <c r="AJ122" s="178" t="str">
        <f t="shared" si="39"/>
        <v/>
      </c>
      <c r="AK122" s="178" t="str">
        <f t="shared" si="40"/>
        <v/>
      </c>
      <c r="AL122" t="s">
        <v>327</v>
      </c>
      <c r="AN122" s="149" t="str">
        <f t="shared" si="41"/>
        <v/>
      </c>
      <c r="AQ122" s="178" t="str">
        <f t="shared" ca="1" si="42"/>
        <v/>
      </c>
      <c r="AR122" s="178" t="str">
        <f t="shared" ca="1" si="43"/>
        <v/>
      </c>
    </row>
    <row r="123" spans="1:44" x14ac:dyDescent="0.2">
      <c r="A123" t="str">
        <f>IF(B123="","",CONCATENATE("GBL",B123," - ",Mantenedor!E134))</f>
        <v/>
      </c>
      <c r="P123" t="str">
        <f t="shared" si="35"/>
        <v/>
      </c>
      <c r="Q123" s="266" t="str" cm="1">
        <f t="array" ref="Q123">+_xlfn.IFS(O123="Nacional","CLP",O123="Extranjero","USD",O123="","")</f>
        <v/>
      </c>
      <c r="R123" s="262" t="str">
        <f>IFERROR(IF(O123="Nacional",VLOOKUP(P123,PRICING!$D$4:$E$59,2,FALSE),VLOOKUP(P123,PRICING!$J$4:$K$59,2,FALSE)),"")</f>
        <v/>
      </c>
      <c r="S123"/>
      <c r="V123" s="262"/>
      <c r="W123" s="280">
        <f t="shared" si="36"/>
        <v>0</v>
      </c>
      <c r="X123" s="178" t="str">
        <f t="shared" si="29"/>
        <v/>
      </c>
      <c r="Y123" s="178" t="str">
        <f t="shared" si="30"/>
        <v/>
      </c>
      <c r="Z123" s="178" t="str">
        <f t="shared" si="31"/>
        <v/>
      </c>
      <c r="AA123" s="178" t="str">
        <f t="shared" si="32"/>
        <v/>
      </c>
      <c r="AB123" s="178" t="str">
        <f t="shared" si="33"/>
        <v/>
      </c>
      <c r="AC123" s="178" t="str">
        <f t="shared" si="34"/>
        <v/>
      </c>
      <c r="AD123" s="267" t="s">
        <v>316</v>
      </c>
      <c r="AF123" s="149" t="str">
        <f t="shared" si="44"/>
        <v/>
      </c>
      <c r="AH123" s="178" t="str">
        <f t="shared" si="37"/>
        <v/>
      </c>
      <c r="AI123" s="178" t="str">
        <f t="shared" si="38"/>
        <v/>
      </c>
      <c r="AJ123" s="178" t="str">
        <f t="shared" si="39"/>
        <v/>
      </c>
      <c r="AK123" s="178" t="str">
        <f t="shared" si="40"/>
        <v/>
      </c>
      <c r="AL123" t="s">
        <v>327</v>
      </c>
      <c r="AN123" s="149" t="str">
        <f t="shared" si="41"/>
        <v/>
      </c>
      <c r="AQ123" s="178" t="str">
        <f t="shared" ca="1" si="42"/>
        <v/>
      </c>
      <c r="AR123" s="178" t="str">
        <f t="shared" ca="1" si="43"/>
        <v/>
      </c>
    </row>
    <row r="124" spans="1:44" x14ac:dyDescent="0.2">
      <c r="A124" t="str">
        <f>IF(B124="","",CONCATENATE("GBL",B124," - ",Mantenedor!E135))</f>
        <v/>
      </c>
      <c r="P124" t="str">
        <f t="shared" si="35"/>
        <v/>
      </c>
      <c r="Q124" s="266" t="str" cm="1">
        <f t="array" ref="Q124">+_xlfn.IFS(O124="Nacional","CLP",O124="Extranjero","USD",O124="","")</f>
        <v/>
      </c>
      <c r="R124" s="262" t="str">
        <f>IFERROR(IF(O124="Nacional",VLOOKUP(P124,PRICING!$D$4:$E$59,2,FALSE),VLOOKUP(P124,PRICING!$J$4:$K$59,2,FALSE)),"")</f>
        <v/>
      </c>
      <c r="S124"/>
      <c r="V124" s="262"/>
      <c r="W124" s="280">
        <f t="shared" si="36"/>
        <v>0</v>
      </c>
      <c r="X124" s="178" t="str">
        <f t="shared" si="29"/>
        <v/>
      </c>
      <c r="Y124" s="178" t="str">
        <f t="shared" si="30"/>
        <v/>
      </c>
      <c r="Z124" s="178" t="str">
        <f t="shared" si="31"/>
        <v/>
      </c>
      <c r="AA124" s="178" t="str">
        <f t="shared" si="32"/>
        <v/>
      </c>
      <c r="AB124" s="178" t="str">
        <f t="shared" si="33"/>
        <v/>
      </c>
      <c r="AC124" s="178" t="str">
        <f t="shared" si="34"/>
        <v/>
      </c>
      <c r="AD124" s="267" t="s">
        <v>316</v>
      </c>
      <c r="AF124" s="149" t="str">
        <f t="shared" si="44"/>
        <v/>
      </c>
      <c r="AH124" s="178" t="str">
        <f t="shared" si="37"/>
        <v/>
      </c>
      <c r="AI124" s="178" t="str">
        <f t="shared" si="38"/>
        <v/>
      </c>
      <c r="AJ124" s="178" t="str">
        <f t="shared" si="39"/>
        <v/>
      </c>
      <c r="AK124" s="178" t="str">
        <f t="shared" si="40"/>
        <v/>
      </c>
      <c r="AL124" t="s">
        <v>327</v>
      </c>
      <c r="AN124" s="149" t="str">
        <f t="shared" si="41"/>
        <v/>
      </c>
      <c r="AQ124" s="178" t="str">
        <f t="shared" ca="1" si="42"/>
        <v/>
      </c>
      <c r="AR124" s="178" t="str">
        <f t="shared" ca="1" si="43"/>
        <v/>
      </c>
    </row>
    <row r="125" spans="1:44" x14ac:dyDescent="0.2">
      <c r="A125" t="str">
        <f>IF(B125="","",CONCATENATE("GBL",B125," - ",Mantenedor!E136))</f>
        <v/>
      </c>
      <c r="P125" t="str">
        <f t="shared" si="35"/>
        <v/>
      </c>
      <c r="Q125" s="266" t="str" cm="1">
        <f t="array" ref="Q125">+_xlfn.IFS(O125="Nacional","CLP",O125="Extranjero","USD",O125="","")</f>
        <v/>
      </c>
      <c r="R125" s="262" t="str">
        <f>IFERROR(IF(O125="Nacional",VLOOKUP(P125,PRICING!$D$4:$E$59,2,FALSE),VLOOKUP(P125,PRICING!$J$4:$K$59,2,FALSE)),"")</f>
        <v/>
      </c>
      <c r="S125"/>
      <c r="V125" s="262"/>
      <c r="W125" s="280">
        <f t="shared" si="36"/>
        <v>0</v>
      </c>
      <c r="X125" s="178" t="str">
        <f t="shared" si="29"/>
        <v/>
      </c>
      <c r="Y125" s="178" t="str">
        <f t="shared" si="30"/>
        <v/>
      </c>
      <c r="Z125" s="178" t="str">
        <f t="shared" si="31"/>
        <v/>
      </c>
      <c r="AA125" s="178" t="str">
        <f t="shared" si="32"/>
        <v/>
      </c>
      <c r="AB125" s="178" t="str">
        <f t="shared" si="33"/>
        <v/>
      </c>
      <c r="AC125" s="178" t="str">
        <f t="shared" si="34"/>
        <v/>
      </c>
      <c r="AD125" s="267" t="s">
        <v>316</v>
      </c>
      <c r="AF125" s="149" t="str">
        <f t="shared" si="44"/>
        <v/>
      </c>
      <c r="AH125" s="178" t="str">
        <f t="shared" si="37"/>
        <v/>
      </c>
      <c r="AI125" s="178" t="str">
        <f t="shared" si="38"/>
        <v/>
      </c>
      <c r="AJ125" s="178" t="str">
        <f t="shared" si="39"/>
        <v/>
      </c>
      <c r="AK125" s="178" t="str">
        <f t="shared" si="40"/>
        <v/>
      </c>
      <c r="AL125" t="s">
        <v>327</v>
      </c>
      <c r="AN125" s="149" t="str">
        <f t="shared" si="41"/>
        <v/>
      </c>
      <c r="AQ125" s="178" t="str">
        <f t="shared" ca="1" si="42"/>
        <v/>
      </c>
      <c r="AR125" s="178" t="str">
        <f t="shared" ca="1" si="43"/>
        <v/>
      </c>
    </row>
    <row r="126" spans="1:44" x14ac:dyDescent="0.2">
      <c r="A126" t="str">
        <f>IF(B126="","",CONCATENATE("GBL",B126," - ",Mantenedor!E137))</f>
        <v/>
      </c>
      <c r="P126" t="str">
        <f t="shared" si="35"/>
        <v/>
      </c>
      <c r="Q126" s="266" t="str" cm="1">
        <f t="array" ref="Q126">+_xlfn.IFS(O126="Nacional","CLP",O126="Extranjero","USD",O126="","")</f>
        <v/>
      </c>
      <c r="R126" s="262" t="str">
        <f>IFERROR(IF(O126="Nacional",VLOOKUP(P126,PRICING!$D$4:$E$59,2,FALSE),VLOOKUP(P126,PRICING!$J$4:$K$59,2,FALSE)),"")</f>
        <v/>
      </c>
      <c r="S126"/>
      <c r="V126" s="262"/>
      <c r="W126" s="280">
        <f t="shared" si="36"/>
        <v>0</v>
      </c>
      <c r="X126" s="178" t="str">
        <f t="shared" si="29"/>
        <v/>
      </c>
      <c r="Y126" s="178" t="str">
        <f t="shared" si="30"/>
        <v/>
      </c>
      <c r="Z126" s="178" t="str">
        <f t="shared" si="31"/>
        <v/>
      </c>
      <c r="AA126" s="178" t="str">
        <f t="shared" si="32"/>
        <v/>
      </c>
      <c r="AB126" s="178" t="str">
        <f t="shared" si="33"/>
        <v/>
      </c>
      <c r="AC126" s="178" t="str">
        <f t="shared" si="34"/>
        <v/>
      </c>
      <c r="AD126" s="267" t="s">
        <v>316</v>
      </c>
      <c r="AF126" s="149" t="str">
        <f t="shared" si="44"/>
        <v/>
      </c>
      <c r="AH126" s="178" t="str">
        <f t="shared" si="37"/>
        <v/>
      </c>
      <c r="AI126" s="178" t="str">
        <f t="shared" si="38"/>
        <v/>
      </c>
      <c r="AJ126" s="178" t="str">
        <f t="shared" si="39"/>
        <v/>
      </c>
      <c r="AK126" s="178" t="str">
        <f t="shared" si="40"/>
        <v/>
      </c>
      <c r="AL126" t="s">
        <v>327</v>
      </c>
      <c r="AN126" s="149" t="str">
        <f t="shared" si="41"/>
        <v/>
      </c>
      <c r="AQ126" s="178" t="str">
        <f t="shared" ca="1" si="42"/>
        <v/>
      </c>
      <c r="AR126" s="178" t="str">
        <f t="shared" ca="1" si="43"/>
        <v/>
      </c>
    </row>
    <row r="127" spans="1:44" x14ac:dyDescent="0.2">
      <c r="A127" t="str">
        <f>IF(B127="","",CONCATENATE("GBL",B127," - ",Mantenedor!E138))</f>
        <v/>
      </c>
      <c r="P127" t="str">
        <f t="shared" si="35"/>
        <v/>
      </c>
      <c r="Q127" s="266" t="str" cm="1">
        <f t="array" ref="Q127">+_xlfn.IFS(O127="Nacional","CLP",O127="Extranjero","USD",O127="","")</f>
        <v/>
      </c>
      <c r="R127" s="262" t="str">
        <f>IFERROR(IF(O127="Nacional",VLOOKUP(P127,PRICING!$D$4:$E$59,2,FALSE),VLOOKUP(P127,PRICING!$J$4:$K$59,2,FALSE)),"")</f>
        <v/>
      </c>
      <c r="S127"/>
      <c r="V127" s="262"/>
      <c r="W127" s="280">
        <f t="shared" si="36"/>
        <v>0</v>
      </c>
      <c r="X127" s="178" t="str">
        <f t="shared" si="29"/>
        <v/>
      </c>
      <c r="Y127" s="178" t="str">
        <f t="shared" si="30"/>
        <v/>
      </c>
      <c r="Z127" s="178" t="str">
        <f t="shared" si="31"/>
        <v/>
      </c>
      <c r="AA127" s="178" t="str">
        <f t="shared" si="32"/>
        <v/>
      </c>
      <c r="AB127" s="178" t="str">
        <f t="shared" si="33"/>
        <v/>
      </c>
      <c r="AC127" s="178" t="str">
        <f t="shared" si="34"/>
        <v/>
      </c>
      <c r="AD127" s="267" t="s">
        <v>316</v>
      </c>
      <c r="AF127" s="149" t="str">
        <f t="shared" si="44"/>
        <v/>
      </c>
      <c r="AH127" s="178" t="str">
        <f t="shared" si="37"/>
        <v/>
      </c>
      <c r="AI127" s="178" t="str">
        <f t="shared" si="38"/>
        <v/>
      </c>
      <c r="AJ127" s="178" t="str">
        <f t="shared" si="39"/>
        <v/>
      </c>
      <c r="AK127" s="178" t="str">
        <f t="shared" si="40"/>
        <v/>
      </c>
      <c r="AL127" t="s">
        <v>327</v>
      </c>
      <c r="AN127" s="149" t="str">
        <f t="shared" si="41"/>
        <v/>
      </c>
      <c r="AQ127" s="178" t="str">
        <f t="shared" ca="1" si="42"/>
        <v/>
      </c>
      <c r="AR127" s="178" t="str">
        <f t="shared" ca="1" si="43"/>
        <v/>
      </c>
    </row>
    <row r="128" spans="1:44" x14ac:dyDescent="0.2">
      <c r="A128" t="str">
        <f>IF(B128="","",CONCATENATE("GBL",B128," - ",Mantenedor!E139))</f>
        <v/>
      </c>
      <c r="P128" t="str">
        <f t="shared" si="35"/>
        <v/>
      </c>
      <c r="Q128" s="266" t="str" cm="1">
        <f t="array" ref="Q128">+_xlfn.IFS(O128="Nacional","CLP",O128="Extranjero","USD",O128="","")</f>
        <v/>
      </c>
      <c r="R128" s="262" t="str">
        <f>IFERROR(IF(O128="Nacional",VLOOKUP(P128,PRICING!$D$4:$E$59,2,FALSE),VLOOKUP(P128,PRICING!$J$4:$K$59,2,FALSE)),"")</f>
        <v/>
      </c>
      <c r="S128"/>
      <c r="V128" s="262"/>
      <c r="W128" s="280">
        <f t="shared" si="36"/>
        <v>0</v>
      </c>
      <c r="X128" s="178" t="str">
        <f t="shared" ref="X128:X191" si="45">IF($J128="","",$J128-105)</f>
        <v/>
      </c>
      <c r="Y128" s="178" t="str">
        <f t="shared" ref="Y128:Y191" si="46">IF($J128="","",$J128-90)</f>
        <v/>
      </c>
      <c r="Z128" s="178" t="str">
        <f t="shared" ref="Z128:Z191" si="47">IF($J128="","",$J128-75)</f>
        <v/>
      </c>
      <c r="AA128" s="178" t="str">
        <f t="shared" ref="AA128:AA191" si="48">IF($J128="","",$J128-60)</f>
        <v/>
      </c>
      <c r="AB128" s="178" t="str">
        <f t="shared" ref="AB128:AB191" si="49">IF($J128="","",$J128-45)</f>
        <v/>
      </c>
      <c r="AC128" s="178" t="str">
        <f t="shared" ref="AC128:AC191" si="50">IF($J128="","",$J128-30)</f>
        <v/>
      </c>
      <c r="AD128" s="267" t="s">
        <v>316</v>
      </c>
      <c r="AF128" s="149" t="str">
        <f t="shared" si="44"/>
        <v/>
      </c>
      <c r="AH128" s="178" t="str">
        <f t="shared" si="37"/>
        <v/>
      </c>
      <c r="AI128" s="178" t="str">
        <f t="shared" si="38"/>
        <v/>
      </c>
      <c r="AJ128" s="178" t="str">
        <f t="shared" si="39"/>
        <v/>
      </c>
      <c r="AK128" s="178" t="str">
        <f t="shared" si="40"/>
        <v/>
      </c>
      <c r="AL128" t="s">
        <v>327</v>
      </c>
      <c r="AN128" s="149" t="str">
        <f t="shared" si="41"/>
        <v/>
      </c>
      <c r="AQ128" s="178" t="str">
        <f t="shared" ca="1" si="42"/>
        <v/>
      </c>
      <c r="AR128" s="178" t="str">
        <f t="shared" ca="1" si="43"/>
        <v/>
      </c>
    </row>
    <row r="129" spans="1:44" x14ac:dyDescent="0.2">
      <c r="A129" t="str">
        <f>IF(B129="","",CONCATENATE("GBL",B129," - ",Mantenedor!E140))</f>
        <v/>
      </c>
      <c r="P129" t="str">
        <f t="shared" si="35"/>
        <v/>
      </c>
      <c r="Q129" s="266" t="str" cm="1">
        <f t="array" ref="Q129">+_xlfn.IFS(O129="Nacional","CLP",O129="Extranjero","USD",O129="","")</f>
        <v/>
      </c>
      <c r="R129" s="262" t="str">
        <f>IFERROR(IF(O129="Nacional",VLOOKUP(P129,PRICING!$D$4:$E$59,2,FALSE),VLOOKUP(P129,PRICING!$J$4:$K$59,2,FALSE)),"")</f>
        <v/>
      </c>
      <c r="S129"/>
      <c r="V129" s="262"/>
      <c r="W129" s="280">
        <f t="shared" si="36"/>
        <v>0</v>
      </c>
      <c r="X129" s="178" t="str">
        <f t="shared" si="45"/>
        <v/>
      </c>
      <c r="Y129" s="178" t="str">
        <f t="shared" si="46"/>
        <v/>
      </c>
      <c r="Z129" s="178" t="str">
        <f t="shared" si="47"/>
        <v/>
      </c>
      <c r="AA129" s="178" t="str">
        <f t="shared" si="48"/>
        <v/>
      </c>
      <c r="AB129" s="178" t="str">
        <f t="shared" si="49"/>
        <v/>
      </c>
      <c r="AC129" s="178" t="str">
        <f t="shared" si="50"/>
        <v/>
      </c>
      <c r="AD129" s="267" t="s">
        <v>316</v>
      </c>
      <c r="AF129" s="149" t="str">
        <f t="shared" si="44"/>
        <v/>
      </c>
      <c r="AH129" s="178" t="str">
        <f t="shared" si="37"/>
        <v/>
      </c>
      <c r="AI129" s="178" t="str">
        <f t="shared" si="38"/>
        <v/>
      </c>
      <c r="AJ129" s="178" t="str">
        <f t="shared" si="39"/>
        <v/>
      </c>
      <c r="AK129" s="178" t="str">
        <f t="shared" si="40"/>
        <v/>
      </c>
      <c r="AL129" t="s">
        <v>327</v>
      </c>
      <c r="AN129" s="149" t="str">
        <f t="shared" si="41"/>
        <v/>
      </c>
      <c r="AQ129" s="178" t="str">
        <f t="shared" ca="1" si="42"/>
        <v/>
      </c>
      <c r="AR129" s="178" t="str">
        <f t="shared" ca="1" si="43"/>
        <v/>
      </c>
    </row>
    <row r="130" spans="1:44" x14ac:dyDescent="0.2">
      <c r="A130" t="str">
        <f>IF(B130="","",CONCATENATE("GBL",B130," - ",Mantenedor!E141))</f>
        <v/>
      </c>
      <c r="P130" t="str">
        <f t="shared" si="35"/>
        <v/>
      </c>
      <c r="Q130" s="266" t="str" cm="1">
        <f t="array" ref="Q130">+_xlfn.IFS(O130="Nacional","CLP",O130="Extranjero","USD",O130="","")</f>
        <v/>
      </c>
      <c r="R130" s="262" t="str">
        <f>IFERROR(IF(O130="Nacional",VLOOKUP(P130,PRICING!$D$4:$E$59,2,FALSE),VLOOKUP(P130,PRICING!$J$4:$K$59,2,FALSE)),"")</f>
        <v/>
      </c>
      <c r="S130"/>
      <c r="V130" s="262"/>
      <c r="W130" s="280">
        <f t="shared" si="36"/>
        <v>0</v>
      </c>
      <c r="X130" s="178" t="str">
        <f t="shared" si="45"/>
        <v/>
      </c>
      <c r="Y130" s="178" t="str">
        <f t="shared" si="46"/>
        <v/>
      </c>
      <c r="Z130" s="178" t="str">
        <f t="shared" si="47"/>
        <v/>
      </c>
      <c r="AA130" s="178" t="str">
        <f t="shared" si="48"/>
        <v/>
      </c>
      <c r="AB130" s="178" t="str">
        <f t="shared" si="49"/>
        <v/>
      </c>
      <c r="AC130" s="178" t="str">
        <f t="shared" si="50"/>
        <v/>
      </c>
      <c r="AD130" s="267" t="s">
        <v>316</v>
      </c>
      <c r="AF130" s="149" t="str">
        <f t="shared" si="44"/>
        <v/>
      </c>
      <c r="AH130" s="178" t="str">
        <f t="shared" si="37"/>
        <v/>
      </c>
      <c r="AI130" s="178" t="str">
        <f t="shared" si="38"/>
        <v/>
      </c>
      <c r="AJ130" s="178" t="str">
        <f t="shared" si="39"/>
        <v/>
      </c>
      <c r="AK130" s="178" t="str">
        <f t="shared" si="40"/>
        <v/>
      </c>
      <c r="AL130" t="s">
        <v>327</v>
      </c>
      <c r="AN130" s="149" t="str">
        <f t="shared" si="41"/>
        <v/>
      </c>
      <c r="AQ130" s="178" t="str">
        <f t="shared" ca="1" si="42"/>
        <v/>
      </c>
      <c r="AR130" s="178" t="str">
        <f t="shared" ca="1" si="43"/>
        <v/>
      </c>
    </row>
    <row r="131" spans="1:44" x14ac:dyDescent="0.2">
      <c r="A131" t="str">
        <f>IF(B131="","",CONCATENATE("GBL",B131," - ",Mantenedor!E142))</f>
        <v/>
      </c>
      <c r="P131" t="str">
        <f t="shared" si="35"/>
        <v/>
      </c>
      <c r="Q131" s="266" t="str" cm="1">
        <f t="array" ref="Q131">+_xlfn.IFS(O131="Nacional","CLP",O131="Extranjero","USD",O131="","")</f>
        <v/>
      </c>
      <c r="R131" s="262" t="str">
        <f>IFERROR(IF(O131="Nacional",VLOOKUP(P131,PRICING!$D$4:$E$59,2,FALSE),VLOOKUP(P131,PRICING!$J$4:$K$59,2,FALSE)),"")</f>
        <v/>
      </c>
      <c r="S131"/>
      <c r="V131" s="262"/>
      <c r="W131" s="280">
        <f t="shared" si="36"/>
        <v>0</v>
      </c>
      <c r="X131" s="178" t="str">
        <f t="shared" si="45"/>
        <v/>
      </c>
      <c r="Y131" s="178" t="str">
        <f t="shared" si="46"/>
        <v/>
      </c>
      <c r="Z131" s="178" t="str">
        <f t="shared" si="47"/>
        <v/>
      </c>
      <c r="AA131" s="178" t="str">
        <f t="shared" si="48"/>
        <v/>
      </c>
      <c r="AB131" s="178" t="str">
        <f t="shared" si="49"/>
        <v/>
      </c>
      <c r="AC131" s="178" t="str">
        <f t="shared" si="50"/>
        <v/>
      </c>
      <c r="AD131" s="267" t="s">
        <v>316</v>
      </c>
      <c r="AF131" s="149" t="str">
        <f t="shared" si="44"/>
        <v/>
      </c>
      <c r="AH131" s="178" t="str">
        <f t="shared" si="37"/>
        <v/>
      </c>
      <c r="AI131" s="178" t="str">
        <f t="shared" si="38"/>
        <v/>
      </c>
      <c r="AJ131" s="178" t="str">
        <f t="shared" si="39"/>
        <v/>
      </c>
      <c r="AK131" s="178" t="str">
        <f t="shared" si="40"/>
        <v/>
      </c>
      <c r="AL131" t="s">
        <v>327</v>
      </c>
      <c r="AN131" s="149" t="str">
        <f t="shared" si="41"/>
        <v/>
      </c>
      <c r="AQ131" s="178" t="str">
        <f t="shared" ca="1" si="42"/>
        <v/>
      </c>
      <c r="AR131" s="178" t="str">
        <f t="shared" ca="1" si="43"/>
        <v/>
      </c>
    </row>
    <row r="132" spans="1:44" x14ac:dyDescent="0.2">
      <c r="A132" t="str">
        <f>IF(B132="","",CONCATENATE("GBL",B132," - ",Mantenedor!E143))</f>
        <v/>
      </c>
      <c r="P132" t="str">
        <f t="shared" si="35"/>
        <v/>
      </c>
      <c r="Q132" s="266" t="str" cm="1">
        <f t="array" ref="Q132">+_xlfn.IFS(O132="Nacional","CLP",O132="Extranjero","USD",O132="","")</f>
        <v/>
      </c>
      <c r="R132" s="262" t="str">
        <f>IFERROR(IF(O132="Nacional",VLOOKUP(P132,PRICING!$D$4:$E$59,2,FALSE),VLOOKUP(P132,PRICING!$J$4:$K$59,2,FALSE)),"")</f>
        <v/>
      </c>
      <c r="S132"/>
      <c r="V132" s="262"/>
      <c r="W132" s="280">
        <f t="shared" si="36"/>
        <v>0</v>
      </c>
      <c r="X132" s="178" t="str">
        <f t="shared" si="45"/>
        <v/>
      </c>
      <c r="Y132" s="178" t="str">
        <f t="shared" si="46"/>
        <v/>
      </c>
      <c r="Z132" s="178" t="str">
        <f t="shared" si="47"/>
        <v/>
      </c>
      <c r="AA132" s="178" t="str">
        <f t="shared" si="48"/>
        <v/>
      </c>
      <c r="AB132" s="178" t="str">
        <f t="shared" si="49"/>
        <v/>
      </c>
      <c r="AC132" s="178" t="str">
        <f t="shared" si="50"/>
        <v/>
      </c>
      <c r="AD132" s="267" t="s">
        <v>316</v>
      </c>
      <c r="AF132" s="149" t="str">
        <f t="shared" si="44"/>
        <v/>
      </c>
      <c r="AH132" s="178" t="str">
        <f t="shared" si="37"/>
        <v/>
      </c>
      <c r="AI132" s="178" t="str">
        <f t="shared" si="38"/>
        <v/>
      </c>
      <c r="AJ132" s="178" t="str">
        <f t="shared" si="39"/>
        <v/>
      </c>
      <c r="AK132" s="178" t="str">
        <f t="shared" si="40"/>
        <v/>
      </c>
      <c r="AL132" t="s">
        <v>327</v>
      </c>
      <c r="AN132" s="149" t="str">
        <f t="shared" si="41"/>
        <v/>
      </c>
      <c r="AQ132" s="178" t="str">
        <f t="shared" ca="1" si="42"/>
        <v/>
      </c>
      <c r="AR132" s="178" t="str">
        <f t="shared" ca="1" si="43"/>
        <v/>
      </c>
    </row>
    <row r="133" spans="1:44" x14ac:dyDescent="0.2">
      <c r="A133" t="str">
        <f>IF(B133="","",CONCATENATE("GBL",B133," - ",Mantenedor!E144))</f>
        <v/>
      </c>
      <c r="P133" t="str">
        <f t="shared" si="35"/>
        <v/>
      </c>
      <c r="Q133" s="266" t="str" cm="1">
        <f t="array" ref="Q133">+_xlfn.IFS(O133="Nacional","CLP",O133="Extranjero","USD",O133="","")</f>
        <v/>
      </c>
      <c r="R133" s="262" t="str">
        <f>IFERROR(IF(O133="Nacional",VLOOKUP(P133,PRICING!$D$4:$E$59,2,FALSE),VLOOKUP(P133,PRICING!$J$4:$K$59,2,FALSE)),"")</f>
        <v/>
      </c>
      <c r="S133"/>
      <c r="V133" s="262"/>
      <c r="W133" s="280">
        <f t="shared" si="36"/>
        <v>0</v>
      </c>
      <c r="X133" s="178" t="str">
        <f t="shared" si="45"/>
        <v/>
      </c>
      <c r="Y133" s="178" t="str">
        <f t="shared" si="46"/>
        <v/>
      </c>
      <c r="Z133" s="178" t="str">
        <f t="shared" si="47"/>
        <v/>
      </c>
      <c r="AA133" s="178" t="str">
        <f t="shared" si="48"/>
        <v/>
      </c>
      <c r="AB133" s="178" t="str">
        <f t="shared" si="49"/>
        <v/>
      </c>
      <c r="AC133" s="178" t="str">
        <f t="shared" si="50"/>
        <v/>
      </c>
      <c r="AD133" s="267" t="s">
        <v>316</v>
      </c>
      <c r="AF133" s="149" t="str">
        <f t="shared" si="44"/>
        <v/>
      </c>
      <c r="AH133" s="178" t="str">
        <f t="shared" si="37"/>
        <v/>
      </c>
      <c r="AI133" s="178" t="str">
        <f t="shared" si="38"/>
        <v/>
      </c>
      <c r="AJ133" s="178" t="str">
        <f t="shared" si="39"/>
        <v/>
      </c>
      <c r="AK133" s="178" t="str">
        <f t="shared" si="40"/>
        <v/>
      </c>
      <c r="AL133" t="s">
        <v>327</v>
      </c>
      <c r="AN133" s="149" t="str">
        <f t="shared" si="41"/>
        <v/>
      </c>
      <c r="AQ133" s="178" t="str">
        <f t="shared" ca="1" si="42"/>
        <v/>
      </c>
      <c r="AR133" s="178" t="str">
        <f t="shared" ca="1" si="43"/>
        <v/>
      </c>
    </row>
    <row r="134" spans="1:44" x14ac:dyDescent="0.2">
      <c r="A134" t="str">
        <f>IF(B134="","",CONCATENATE("GBL",B134," - ",Mantenedor!E145))</f>
        <v/>
      </c>
      <c r="P134" t="str">
        <f t="shared" si="35"/>
        <v/>
      </c>
      <c r="Q134" s="266" t="str" cm="1">
        <f t="array" ref="Q134">+_xlfn.IFS(O134="Nacional","CLP",O134="Extranjero","USD",O134="","")</f>
        <v/>
      </c>
      <c r="R134" s="262" t="str">
        <f>IFERROR(IF(O134="Nacional",VLOOKUP(P134,PRICING!$D$4:$E$59,2,FALSE),VLOOKUP(P134,PRICING!$J$4:$K$59,2,FALSE)),"")</f>
        <v/>
      </c>
      <c r="S134"/>
      <c r="V134" s="262"/>
      <c r="W134" s="280">
        <f t="shared" si="36"/>
        <v>0</v>
      </c>
      <c r="X134" s="178" t="str">
        <f t="shared" si="45"/>
        <v/>
      </c>
      <c r="Y134" s="178" t="str">
        <f t="shared" si="46"/>
        <v/>
      </c>
      <c r="Z134" s="178" t="str">
        <f t="shared" si="47"/>
        <v/>
      </c>
      <c r="AA134" s="178" t="str">
        <f t="shared" si="48"/>
        <v/>
      </c>
      <c r="AB134" s="178" t="str">
        <f t="shared" si="49"/>
        <v/>
      </c>
      <c r="AC134" s="178" t="str">
        <f t="shared" si="50"/>
        <v/>
      </c>
      <c r="AD134" s="267" t="s">
        <v>316</v>
      </c>
      <c r="AF134" s="149" t="str">
        <f t="shared" si="44"/>
        <v/>
      </c>
      <c r="AH134" s="178" t="str">
        <f t="shared" si="37"/>
        <v/>
      </c>
      <c r="AI134" s="178" t="str">
        <f t="shared" si="38"/>
        <v/>
      </c>
      <c r="AJ134" s="178" t="str">
        <f t="shared" si="39"/>
        <v/>
      </c>
      <c r="AK134" s="178" t="str">
        <f t="shared" si="40"/>
        <v/>
      </c>
      <c r="AL134" t="s">
        <v>327</v>
      </c>
      <c r="AN134" s="149" t="str">
        <f t="shared" si="41"/>
        <v/>
      </c>
      <c r="AQ134" s="178" t="str">
        <f t="shared" ca="1" si="42"/>
        <v/>
      </c>
      <c r="AR134" s="178" t="str">
        <f t="shared" ca="1" si="43"/>
        <v/>
      </c>
    </row>
    <row r="135" spans="1:44" x14ac:dyDescent="0.2">
      <c r="A135" t="str">
        <f>IF(B135="","",CONCATENATE("GBL",B135," - ",Mantenedor!E146))</f>
        <v/>
      </c>
      <c r="P135" t="str">
        <f t="shared" si="35"/>
        <v/>
      </c>
      <c r="Q135" s="266" t="str" cm="1">
        <f t="array" ref="Q135">+_xlfn.IFS(O135="Nacional","CLP",O135="Extranjero","USD",O135="","")</f>
        <v/>
      </c>
      <c r="R135" s="262" t="str">
        <f>IFERROR(IF(O135="Nacional",VLOOKUP(P135,PRICING!$D$4:$E$59,2,FALSE),VLOOKUP(P135,PRICING!$J$4:$K$59,2,FALSE)),"")</f>
        <v/>
      </c>
      <c r="S135"/>
      <c r="V135" s="262"/>
      <c r="W135" s="280">
        <f t="shared" si="36"/>
        <v>0</v>
      </c>
      <c r="X135" s="178" t="str">
        <f t="shared" si="45"/>
        <v/>
      </c>
      <c r="Y135" s="178" t="str">
        <f t="shared" si="46"/>
        <v/>
      </c>
      <c r="Z135" s="178" t="str">
        <f t="shared" si="47"/>
        <v/>
      </c>
      <c r="AA135" s="178" t="str">
        <f t="shared" si="48"/>
        <v/>
      </c>
      <c r="AB135" s="178" t="str">
        <f t="shared" si="49"/>
        <v/>
      </c>
      <c r="AC135" s="178" t="str">
        <f t="shared" si="50"/>
        <v/>
      </c>
      <c r="AD135" s="267" t="s">
        <v>316</v>
      </c>
      <c r="AF135" s="149" t="str">
        <f t="shared" si="44"/>
        <v/>
      </c>
      <c r="AH135" s="178" t="str">
        <f t="shared" si="37"/>
        <v/>
      </c>
      <c r="AI135" s="178" t="str">
        <f t="shared" si="38"/>
        <v/>
      </c>
      <c r="AJ135" s="178" t="str">
        <f t="shared" si="39"/>
        <v/>
      </c>
      <c r="AK135" s="178" t="str">
        <f t="shared" si="40"/>
        <v/>
      </c>
      <c r="AL135" t="s">
        <v>327</v>
      </c>
      <c r="AN135" s="149" t="str">
        <f t="shared" si="41"/>
        <v/>
      </c>
      <c r="AQ135" s="178" t="str">
        <f t="shared" ca="1" si="42"/>
        <v/>
      </c>
      <c r="AR135" s="178" t="str">
        <f t="shared" ca="1" si="43"/>
        <v/>
      </c>
    </row>
    <row r="136" spans="1:44" x14ac:dyDescent="0.2">
      <c r="A136" t="str">
        <f>IF(B136="","",CONCATENATE("GBL",B136," - ",Mantenedor!E147))</f>
        <v/>
      </c>
      <c r="P136" t="str">
        <f t="shared" si="35"/>
        <v/>
      </c>
      <c r="Q136" s="266" t="str" cm="1">
        <f t="array" ref="Q136">+_xlfn.IFS(O136="Nacional","CLP",O136="Extranjero","USD",O136="","")</f>
        <v/>
      </c>
      <c r="R136" s="262" t="str">
        <f>IFERROR(IF(O136="Nacional",VLOOKUP(P136,PRICING!$D$4:$E$59,2,FALSE),VLOOKUP(P136,PRICING!$J$4:$K$59,2,FALSE)),"")</f>
        <v/>
      </c>
      <c r="S136"/>
      <c r="V136" s="262"/>
      <c r="W136" s="280">
        <f t="shared" si="36"/>
        <v>0</v>
      </c>
      <c r="X136" s="178" t="str">
        <f t="shared" si="45"/>
        <v/>
      </c>
      <c r="Y136" s="178" t="str">
        <f t="shared" si="46"/>
        <v/>
      </c>
      <c r="Z136" s="178" t="str">
        <f t="shared" si="47"/>
        <v/>
      </c>
      <c r="AA136" s="178" t="str">
        <f t="shared" si="48"/>
        <v/>
      </c>
      <c r="AB136" s="178" t="str">
        <f t="shared" si="49"/>
        <v/>
      </c>
      <c r="AC136" s="178" t="str">
        <f t="shared" si="50"/>
        <v/>
      </c>
      <c r="AD136" s="267" t="s">
        <v>316</v>
      </c>
      <c r="AF136" s="149" t="str">
        <f t="shared" si="44"/>
        <v/>
      </c>
      <c r="AH136" s="178" t="str">
        <f t="shared" si="37"/>
        <v/>
      </c>
      <c r="AI136" s="178" t="str">
        <f t="shared" si="38"/>
        <v/>
      </c>
      <c r="AJ136" s="178" t="str">
        <f t="shared" si="39"/>
        <v/>
      </c>
      <c r="AK136" s="178" t="str">
        <f t="shared" si="40"/>
        <v/>
      </c>
      <c r="AL136" t="s">
        <v>327</v>
      </c>
      <c r="AN136" s="149" t="str">
        <f t="shared" si="41"/>
        <v/>
      </c>
      <c r="AQ136" s="178" t="str">
        <f t="shared" ca="1" si="42"/>
        <v/>
      </c>
      <c r="AR136" s="178" t="str">
        <f t="shared" ca="1" si="43"/>
        <v/>
      </c>
    </row>
    <row r="137" spans="1:44" x14ac:dyDescent="0.2">
      <c r="A137" t="str">
        <f>IF(B137="","",CONCATENATE("GBL",B137," - ",Mantenedor!E148))</f>
        <v/>
      </c>
      <c r="P137" t="str">
        <f t="shared" si="35"/>
        <v/>
      </c>
      <c r="Q137" s="266" t="str" cm="1">
        <f t="array" ref="Q137">+_xlfn.IFS(O137="Nacional","CLP",O137="Extranjero","USD",O137="","")</f>
        <v/>
      </c>
      <c r="R137" s="262" t="str">
        <f>IFERROR(IF(O137="Nacional",VLOOKUP(P137,PRICING!$D$4:$E$59,2,FALSE),VLOOKUP(P137,PRICING!$J$4:$K$59,2,FALSE)),"")</f>
        <v/>
      </c>
      <c r="S137"/>
      <c r="V137" s="262"/>
      <c r="W137" s="280">
        <f t="shared" si="36"/>
        <v>0</v>
      </c>
      <c r="X137" s="178" t="str">
        <f t="shared" si="45"/>
        <v/>
      </c>
      <c r="Y137" s="178" t="str">
        <f t="shared" si="46"/>
        <v/>
      </c>
      <c r="Z137" s="178" t="str">
        <f t="shared" si="47"/>
        <v/>
      </c>
      <c r="AA137" s="178" t="str">
        <f t="shared" si="48"/>
        <v/>
      </c>
      <c r="AB137" s="178" t="str">
        <f t="shared" si="49"/>
        <v/>
      </c>
      <c r="AC137" s="178" t="str">
        <f t="shared" si="50"/>
        <v/>
      </c>
      <c r="AD137" s="267" t="s">
        <v>316</v>
      </c>
      <c r="AF137" s="149" t="str">
        <f t="shared" si="44"/>
        <v/>
      </c>
      <c r="AH137" s="178" t="str">
        <f t="shared" si="37"/>
        <v/>
      </c>
      <c r="AI137" s="178" t="str">
        <f t="shared" si="38"/>
        <v/>
      </c>
      <c r="AJ137" s="178" t="str">
        <f t="shared" si="39"/>
        <v/>
      </c>
      <c r="AK137" s="178" t="str">
        <f t="shared" si="40"/>
        <v/>
      </c>
      <c r="AL137" t="s">
        <v>327</v>
      </c>
      <c r="AN137" s="149" t="str">
        <f t="shared" si="41"/>
        <v/>
      </c>
      <c r="AQ137" s="178" t="str">
        <f t="shared" ca="1" si="42"/>
        <v/>
      </c>
      <c r="AR137" s="178" t="str">
        <f t="shared" ca="1" si="43"/>
        <v/>
      </c>
    </row>
    <row r="138" spans="1:44" x14ac:dyDescent="0.2">
      <c r="A138" t="str">
        <f>IF(B138="","",CONCATENATE("GBL",B138," - ",Mantenedor!E149))</f>
        <v/>
      </c>
      <c r="P138" t="str">
        <f t="shared" si="35"/>
        <v/>
      </c>
      <c r="Q138" s="266" t="str" cm="1">
        <f t="array" ref="Q138">+_xlfn.IFS(O138="Nacional","CLP",O138="Extranjero","USD",O138="","")</f>
        <v/>
      </c>
      <c r="R138" s="262" t="str">
        <f>IFERROR(IF(O138="Nacional",VLOOKUP(P138,PRICING!$D$4:$E$59,2,FALSE),VLOOKUP(P138,PRICING!$J$4:$K$59,2,FALSE)),"")</f>
        <v/>
      </c>
      <c r="S138"/>
      <c r="V138" s="262"/>
      <c r="W138" s="280">
        <f t="shared" si="36"/>
        <v>0</v>
      </c>
      <c r="X138" s="178" t="str">
        <f t="shared" si="45"/>
        <v/>
      </c>
      <c r="Y138" s="178" t="str">
        <f t="shared" si="46"/>
        <v/>
      </c>
      <c r="Z138" s="178" t="str">
        <f t="shared" si="47"/>
        <v/>
      </c>
      <c r="AA138" s="178" t="str">
        <f t="shared" si="48"/>
        <v/>
      </c>
      <c r="AB138" s="178" t="str">
        <f t="shared" si="49"/>
        <v/>
      </c>
      <c r="AC138" s="178" t="str">
        <f t="shared" si="50"/>
        <v/>
      </c>
      <c r="AD138" s="267" t="s">
        <v>316</v>
      </c>
      <c r="AF138" s="149" t="str">
        <f t="shared" si="44"/>
        <v/>
      </c>
      <c r="AH138" s="178" t="str">
        <f t="shared" si="37"/>
        <v/>
      </c>
      <c r="AI138" s="178" t="str">
        <f t="shared" si="38"/>
        <v/>
      </c>
      <c r="AJ138" s="178" t="str">
        <f t="shared" si="39"/>
        <v/>
      </c>
      <c r="AK138" s="178" t="str">
        <f t="shared" si="40"/>
        <v/>
      </c>
      <c r="AL138" t="s">
        <v>327</v>
      </c>
      <c r="AN138" s="149" t="str">
        <f t="shared" si="41"/>
        <v/>
      </c>
      <c r="AQ138" s="178" t="str">
        <f t="shared" ca="1" si="42"/>
        <v/>
      </c>
      <c r="AR138" s="178" t="str">
        <f t="shared" ca="1" si="43"/>
        <v/>
      </c>
    </row>
    <row r="139" spans="1:44" x14ac:dyDescent="0.2">
      <c r="A139" t="str">
        <f>IF(B139="","",CONCATENATE("GBL",B139," - ",Mantenedor!E150))</f>
        <v/>
      </c>
      <c r="P139" t="str">
        <f t="shared" si="35"/>
        <v/>
      </c>
      <c r="Q139" s="266" t="str" cm="1">
        <f t="array" ref="Q139">+_xlfn.IFS(O139="Nacional","CLP",O139="Extranjero","USD",O139="","")</f>
        <v/>
      </c>
      <c r="R139" s="262" t="str">
        <f>IFERROR(IF(O139="Nacional",VLOOKUP(P139,PRICING!$D$4:$E$59,2,FALSE),VLOOKUP(P139,PRICING!$J$4:$K$59,2,FALSE)),"")</f>
        <v/>
      </c>
      <c r="S139"/>
      <c r="V139" s="262"/>
      <c r="W139" s="280">
        <f t="shared" si="36"/>
        <v>0</v>
      </c>
      <c r="X139" s="178" t="str">
        <f t="shared" si="45"/>
        <v/>
      </c>
      <c r="Y139" s="178" t="str">
        <f t="shared" si="46"/>
        <v/>
      </c>
      <c r="Z139" s="178" t="str">
        <f t="shared" si="47"/>
        <v/>
      </c>
      <c r="AA139" s="178" t="str">
        <f t="shared" si="48"/>
        <v/>
      </c>
      <c r="AB139" s="178" t="str">
        <f t="shared" si="49"/>
        <v/>
      </c>
      <c r="AC139" s="178" t="str">
        <f t="shared" si="50"/>
        <v/>
      </c>
      <c r="AD139" s="267" t="s">
        <v>316</v>
      </c>
      <c r="AF139" s="149" t="str">
        <f t="shared" si="44"/>
        <v/>
      </c>
      <c r="AH139" s="178" t="str">
        <f t="shared" si="37"/>
        <v/>
      </c>
      <c r="AI139" s="178" t="str">
        <f t="shared" si="38"/>
        <v/>
      </c>
      <c r="AJ139" s="178" t="str">
        <f t="shared" si="39"/>
        <v/>
      </c>
      <c r="AK139" s="178" t="str">
        <f t="shared" si="40"/>
        <v/>
      </c>
      <c r="AL139" t="s">
        <v>327</v>
      </c>
      <c r="AN139" s="149" t="str">
        <f t="shared" si="41"/>
        <v/>
      </c>
      <c r="AQ139" s="178" t="str">
        <f t="shared" ca="1" si="42"/>
        <v/>
      </c>
      <c r="AR139" s="178" t="str">
        <f t="shared" ca="1" si="43"/>
        <v/>
      </c>
    </row>
    <row r="140" spans="1:44" x14ac:dyDescent="0.2">
      <c r="A140" t="str">
        <f>IF(B140="","",CONCATENATE("GBL",B140," - ",Mantenedor!E151))</f>
        <v/>
      </c>
      <c r="P140" t="str">
        <f t="shared" si="35"/>
        <v/>
      </c>
      <c r="Q140" s="266" t="str" cm="1">
        <f t="array" ref="Q140">+_xlfn.IFS(O140="Nacional","CLP",O140="Extranjero","USD",O140="","")</f>
        <v/>
      </c>
      <c r="R140" s="262" t="str">
        <f>IFERROR(IF(O140="Nacional",VLOOKUP(P140,PRICING!$D$4:$E$59,2,FALSE),VLOOKUP(P140,PRICING!$J$4:$K$59,2,FALSE)),"")</f>
        <v/>
      </c>
      <c r="S140"/>
      <c r="V140" s="262"/>
      <c r="W140" s="280">
        <f t="shared" si="36"/>
        <v>0</v>
      </c>
      <c r="X140" s="178" t="str">
        <f t="shared" si="45"/>
        <v/>
      </c>
      <c r="Y140" s="178" t="str">
        <f t="shared" si="46"/>
        <v/>
      </c>
      <c r="Z140" s="178" t="str">
        <f t="shared" si="47"/>
        <v/>
      </c>
      <c r="AA140" s="178" t="str">
        <f t="shared" si="48"/>
        <v/>
      </c>
      <c r="AB140" s="178" t="str">
        <f t="shared" si="49"/>
        <v/>
      </c>
      <c r="AC140" s="178" t="str">
        <f t="shared" si="50"/>
        <v/>
      </c>
      <c r="AD140" s="267" t="s">
        <v>316</v>
      </c>
      <c r="AF140" s="149" t="str">
        <f t="shared" si="44"/>
        <v/>
      </c>
      <c r="AH140" s="178" t="str">
        <f t="shared" si="37"/>
        <v/>
      </c>
      <c r="AI140" s="178" t="str">
        <f t="shared" si="38"/>
        <v/>
      </c>
      <c r="AJ140" s="178" t="str">
        <f t="shared" si="39"/>
        <v/>
      </c>
      <c r="AK140" s="178" t="str">
        <f t="shared" si="40"/>
        <v/>
      </c>
      <c r="AL140" t="s">
        <v>327</v>
      </c>
      <c r="AN140" s="149" t="str">
        <f t="shared" si="41"/>
        <v/>
      </c>
      <c r="AQ140" s="178" t="str">
        <f t="shared" ca="1" si="42"/>
        <v/>
      </c>
      <c r="AR140" s="178" t="str">
        <f t="shared" ca="1" si="43"/>
        <v/>
      </c>
    </row>
    <row r="141" spans="1:44" x14ac:dyDescent="0.2">
      <c r="A141" t="str">
        <f>IF(B141="","",CONCATENATE("GBL",B141," - ",Mantenedor!E152))</f>
        <v/>
      </c>
      <c r="P141" t="str">
        <f t="shared" si="35"/>
        <v/>
      </c>
      <c r="Q141" s="266" t="str" cm="1">
        <f t="array" ref="Q141">+_xlfn.IFS(O141="Nacional","CLP",O141="Extranjero","USD",O141="","")</f>
        <v/>
      </c>
      <c r="R141" s="262" t="str">
        <f>IFERROR(IF(O141="Nacional",VLOOKUP(P141,PRICING!$D$4:$E$59,2,FALSE),VLOOKUP(P141,PRICING!$J$4:$K$59,2,FALSE)),"")</f>
        <v/>
      </c>
      <c r="S141"/>
      <c r="V141" s="262"/>
      <c r="W141" s="280">
        <f t="shared" si="36"/>
        <v>0</v>
      </c>
      <c r="X141" s="178" t="str">
        <f t="shared" si="45"/>
        <v/>
      </c>
      <c r="Y141" s="178" t="str">
        <f t="shared" si="46"/>
        <v/>
      </c>
      <c r="Z141" s="178" t="str">
        <f t="shared" si="47"/>
        <v/>
      </c>
      <c r="AA141" s="178" t="str">
        <f t="shared" si="48"/>
        <v/>
      </c>
      <c r="AB141" s="178" t="str">
        <f t="shared" si="49"/>
        <v/>
      </c>
      <c r="AC141" s="178" t="str">
        <f t="shared" si="50"/>
        <v/>
      </c>
      <c r="AD141" s="267" t="s">
        <v>316</v>
      </c>
      <c r="AF141" s="149" t="str">
        <f t="shared" si="44"/>
        <v/>
      </c>
      <c r="AH141" s="178" t="str">
        <f t="shared" si="37"/>
        <v/>
      </c>
      <c r="AI141" s="178" t="str">
        <f t="shared" si="38"/>
        <v/>
      </c>
      <c r="AJ141" s="178" t="str">
        <f t="shared" si="39"/>
        <v/>
      </c>
      <c r="AK141" s="178" t="str">
        <f t="shared" si="40"/>
        <v/>
      </c>
      <c r="AL141" t="s">
        <v>327</v>
      </c>
      <c r="AN141" s="149" t="str">
        <f t="shared" si="41"/>
        <v/>
      </c>
      <c r="AQ141" s="178" t="str">
        <f t="shared" ca="1" si="42"/>
        <v/>
      </c>
      <c r="AR141" s="178" t="str">
        <f t="shared" ca="1" si="43"/>
        <v/>
      </c>
    </row>
    <row r="142" spans="1:44" x14ac:dyDescent="0.2">
      <c r="A142" t="str">
        <f>IF(B142="","",CONCATENATE("GBL",B142," - ",Mantenedor!E153))</f>
        <v/>
      </c>
      <c r="P142" t="str">
        <f t="shared" si="35"/>
        <v/>
      </c>
      <c r="Q142" s="266" t="str" cm="1">
        <f t="array" ref="Q142">+_xlfn.IFS(O142="Nacional","CLP",O142="Extranjero","USD",O142="","")</f>
        <v/>
      </c>
      <c r="R142" s="262" t="str">
        <f>IFERROR(IF(O142="Nacional",VLOOKUP(P142,PRICING!$D$4:$E$59,2,FALSE),VLOOKUP(P142,PRICING!$J$4:$K$59,2,FALSE)),"")</f>
        <v/>
      </c>
      <c r="S142"/>
      <c r="V142" s="262"/>
      <c r="W142" s="280">
        <f t="shared" si="36"/>
        <v>0</v>
      </c>
      <c r="X142" s="178" t="str">
        <f t="shared" si="45"/>
        <v/>
      </c>
      <c r="Y142" s="178" t="str">
        <f t="shared" si="46"/>
        <v/>
      </c>
      <c r="Z142" s="178" t="str">
        <f t="shared" si="47"/>
        <v/>
      </c>
      <c r="AA142" s="178" t="str">
        <f t="shared" si="48"/>
        <v/>
      </c>
      <c r="AB142" s="178" t="str">
        <f t="shared" si="49"/>
        <v/>
      </c>
      <c r="AC142" s="178" t="str">
        <f t="shared" si="50"/>
        <v/>
      </c>
      <c r="AD142" s="267" t="s">
        <v>316</v>
      </c>
      <c r="AF142" s="149" t="str">
        <f t="shared" si="44"/>
        <v/>
      </c>
      <c r="AH142" s="178" t="str">
        <f t="shared" si="37"/>
        <v/>
      </c>
      <c r="AI142" s="178" t="str">
        <f t="shared" si="38"/>
        <v/>
      </c>
      <c r="AJ142" s="178" t="str">
        <f t="shared" si="39"/>
        <v/>
      </c>
      <c r="AK142" s="178" t="str">
        <f t="shared" si="40"/>
        <v/>
      </c>
      <c r="AL142" t="s">
        <v>327</v>
      </c>
      <c r="AN142" s="149" t="str">
        <f t="shared" si="41"/>
        <v/>
      </c>
      <c r="AQ142" s="178" t="str">
        <f t="shared" ca="1" si="42"/>
        <v/>
      </c>
      <c r="AR142" s="178" t="str">
        <f t="shared" ca="1" si="43"/>
        <v/>
      </c>
    </row>
    <row r="143" spans="1:44" x14ac:dyDescent="0.2">
      <c r="A143" t="str">
        <f>IF(B143="","",CONCATENATE("GBL",B143," - ",Mantenedor!E154))</f>
        <v/>
      </c>
      <c r="P143" t="str">
        <f t="shared" si="35"/>
        <v/>
      </c>
      <c r="Q143" s="266" t="str" cm="1">
        <f t="array" ref="Q143">+_xlfn.IFS(O143="Nacional","CLP",O143="Extranjero","USD",O143="","")</f>
        <v/>
      </c>
      <c r="R143" s="262" t="str">
        <f>IFERROR(IF(O143="Nacional",VLOOKUP(P143,PRICING!$D$4:$E$59,2,FALSE),VLOOKUP(P143,PRICING!$J$4:$K$59,2,FALSE)),"")</f>
        <v/>
      </c>
      <c r="S143"/>
      <c r="V143" s="262"/>
      <c r="W143" s="280">
        <f t="shared" si="36"/>
        <v>0</v>
      </c>
      <c r="X143" s="178" t="str">
        <f t="shared" si="45"/>
        <v/>
      </c>
      <c r="Y143" s="178" t="str">
        <f t="shared" si="46"/>
        <v/>
      </c>
      <c r="Z143" s="178" t="str">
        <f t="shared" si="47"/>
        <v/>
      </c>
      <c r="AA143" s="178" t="str">
        <f t="shared" si="48"/>
        <v/>
      </c>
      <c r="AB143" s="178" t="str">
        <f t="shared" si="49"/>
        <v/>
      </c>
      <c r="AC143" s="178" t="str">
        <f t="shared" si="50"/>
        <v/>
      </c>
      <c r="AD143" s="267" t="s">
        <v>316</v>
      </c>
      <c r="AF143" s="149" t="str">
        <f t="shared" si="44"/>
        <v/>
      </c>
      <c r="AH143" s="178" t="str">
        <f t="shared" si="37"/>
        <v/>
      </c>
      <c r="AI143" s="178" t="str">
        <f t="shared" si="38"/>
        <v/>
      </c>
      <c r="AJ143" s="178" t="str">
        <f t="shared" si="39"/>
        <v/>
      </c>
      <c r="AK143" s="178" t="str">
        <f t="shared" si="40"/>
        <v/>
      </c>
      <c r="AL143" t="s">
        <v>327</v>
      </c>
      <c r="AN143" s="149" t="str">
        <f t="shared" si="41"/>
        <v/>
      </c>
      <c r="AQ143" s="178" t="str">
        <f t="shared" ca="1" si="42"/>
        <v/>
      </c>
      <c r="AR143" s="178" t="str">
        <f t="shared" ca="1" si="43"/>
        <v/>
      </c>
    </row>
    <row r="144" spans="1:44" x14ac:dyDescent="0.2">
      <c r="A144" t="str">
        <f>IF(B144="","",CONCATENATE("GBL",B144," - ",Mantenedor!E155))</f>
        <v/>
      </c>
      <c r="P144" t="str">
        <f t="shared" si="35"/>
        <v/>
      </c>
      <c r="Q144" s="266" t="str" cm="1">
        <f t="array" ref="Q144">+_xlfn.IFS(O144="Nacional","CLP",O144="Extranjero","USD",O144="","")</f>
        <v/>
      </c>
      <c r="R144" s="262" t="str">
        <f>IFERROR(IF(O144="Nacional",VLOOKUP(P144,PRICING!$D$4:$E$59,2,FALSE),VLOOKUP(P144,PRICING!$J$4:$K$59,2,FALSE)),"")</f>
        <v/>
      </c>
      <c r="S144"/>
      <c r="V144" s="262"/>
      <c r="W144" s="280">
        <f t="shared" si="36"/>
        <v>0</v>
      </c>
      <c r="X144" s="178" t="str">
        <f t="shared" si="45"/>
        <v/>
      </c>
      <c r="Y144" s="178" t="str">
        <f t="shared" si="46"/>
        <v/>
      </c>
      <c r="Z144" s="178" t="str">
        <f t="shared" si="47"/>
        <v/>
      </c>
      <c r="AA144" s="178" t="str">
        <f t="shared" si="48"/>
        <v/>
      </c>
      <c r="AB144" s="178" t="str">
        <f t="shared" si="49"/>
        <v/>
      </c>
      <c r="AC144" s="178" t="str">
        <f t="shared" si="50"/>
        <v/>
      </c>
      <c r="AD144" s="267" t="s">
        <v>316</v>
      </c>
      <c r="AF144" s="149" t="str">
        <f t="shared" si="44"/>
        <v/>
      </c>
      <c r="AH144" s="178" t="str">
        <f t="shared" si="37"/>
        <v/>
      </c>
      <c r="AI144" s="178" t="str">
        <f t="shared" si="38"/>
        <v/>
      </c>
      <c r="AJ144" s="178" t="str">
        <f t="shared" si="39"/>
        <v/>
      </c>
      <c r="AK144" s="178" t="str">
        <f t="shared" si="40"/>
        <v/>
      </c>
      <c r="AL144" t="s">
        <v>327</v>
      </c>
      <c r="AN144" s="149" t="str">
        <f t="shared" si="41"/>
        <v/>
      </c>
      <c r="AQ144" s="178" t="str">
        <f t="shared" ca="1" si="42"/>
        <v/>
      </c>
      <c r="AR144" s="178" t="str">
        <f t="shared" ca="1" si="43"/>
        <v/>
      </c>
    </row>
    <row r="145" spans="1:44" x14ac:dyDescent="0.2">
      <c r="A145" t="str">
        <f>IF(B145="","",CONCATENATE("GBL",B145," - ",Mantenedor!E156))</f>
        <v/>
      </c>
      <c r="P145" t="str">
        <f t="shared" si="35"/>
        <v/>
      </c>
      <c r="Q145" s="266" t="str" cm="1">
        <f t="array" ref="Q145">+_xlfn.IFS(O145="Nacional","CLP",O145="Extranjero","USD",O145="","")</f>
        <v/>
      </c>
      <c r="R145" s="262" t="str">
        <f>IFERROR(IF(O145="Nacional",VLOOKUP(P145,PRICING!$D$4:$E$59,2,FALSE),VLOOKUP(P145,PRICING!$J$4:$K$59,2,FALSE)),"")</f>
        <v/>
      </c>
      <c r="S145"/>
      <c r="V145" s="262"/>
      <c r="W145" s="280">
        <f t="shared" si="36"/>
        <v>0</v>
      </c>
      <c r="X145" s="178" t="str">
        <f t="shared" si="45"/>
        <v/>
      </c>
      <c r="Y145" s="178" t="str">
        <f t="shared" si="46"/>
        <v/>
      </c>
      <c r="Z145" s="178" t="str">
        <f t="shared" si="47"/>
        <v/>
      </c>
      <c r="AA145" s="178" t="str">
        <f t="shared" si="48"/>
        <v/>
      </c>
      <c r="AB145" s="178" t="str">
        <f t="shared" si="49"/>
        <v/>
      </c>
      <c r="AC145" s="178" t="str">
        <f t="shared" si="50"/>
        <v/>
      </c>
      <c r="AD145" s="267" t="s">
        <v>316</v>
      </c>
      <c r="AF145" s="149" t="str">
        <f t="shared" si="44"/>
        <v/>
      </c>
      <c r="AH145" s="178" t="str">
        <f t="shared" si="37"/>
        <v/>
      </c>
      <c r="AI145" s="178" t="str">
        <f t="shared" si="38"/>
        <v/>
      </c>
      <c r="AJ145" s="178" t="str">
        <f t="shared" si="39"/>
        <v/>
      </c>
      <c r="AK145" s="178" t="str">
        <f t="shared" si="40"/>
        <v/>
      </c>
      <c r="AL145" t="s">
        <v>327</v>
      </c>
      <c r="AN145" s="149" t="str">
        <f t="shared" si="41"/>
        <v/>
      </c>
      <c r="AQ145" s="178" t="str">
        <f t="shared" ca="1" si="42"/>
        <v/>
      </c>
      <c r="AR145" s="178" t="str">
        <f t="shared" ca="1" si="43"/>
        <v/>
      </c>
    </row>
    <row r="146" spans="1:44" x14ac:dyDescent="0.2">
      <c r="A146" t="str">
        <f>IF(B146="","",CONCATENATE("GBL",B146," - ",Mantenedor!E157))</f>
        <v/>
      </c>
      <c r="P146" t="str">
        <f t="shared" si="35"/>
        <v/>
      </c>
      <c r="Q146" s="266" t="str" cm="1">
        <f t="array" ref="Q146">+_xlfn.IFS(O146="Nacional","CLP",O146="Extranjero","USD",O146="","")</f>
        <v/>
      </c>
      <c r="R146" s="262" t="str">
        <f>IFERROR(IF(O146="Nacional",VLOOKUP(P146,PRICING!$D$4:$E$59,2,FALSE),VLOOKUP(P146,PRICING!$J$4:$K$59,2,FALSE)),"")</f>
        <v/>
      </c>
      <c r="S146"/>
      <c r="V146" s="262"/>
      <c r="W146" s="280">
        <f t="shared" si="36"/>
        <v>0</v>
      </c>
      <c r="X146" s="178" t="str">
        <f t="shared" si="45"/>
        <v/>
      </c>
      <c r="Y146" s="178" t="str">
        <f t="shared" si="46"/>
        <v/>
      </c>
      <c r="Z146" s="178" t="str">
        <f t="shared" si="47"/>
        <v/>
      </c>
      <c r="AA146" s="178" t="str">
        <f t="shared" si="48"/>
        <v/>
      </c>
      <c r="AB146" s="178" t="str">
        <f t="shared" si="49"/>
        <v/>
      </c>
      <c r="AC146" s="178" t="str">
        <f t="shared" si="50"/>
        <v/>
      </c>
      <c r="AD146" s="267" t="s">
        <v>316</v>
      </c>
      <c r="AF146" s="149" t="str">
        <f t="shared" si="44"/>
        <v/>
      </c>
      <c r="AH146" s="178" t="str">
        <f t="shared" si="37"/>
        <v/>
      </c>
      <c r="AI146" s="178" t="str">
        <f t="shared" si="38"/>
        <v/>
      </c>
      <c r="AJ146" s="178" t="str">
        <f t="shared" si="39"/>
        <v/>
      </c>
      <c r="AK146" s="178" t="str">
        <f t="shared" si="40"/>
        <v/>
      </c>
      <c r="AL146" t="s">
        <v>327</v>
      </c>
      <c r="AN146" s="149" t="str">
        <f t="shared" si="41"/>
        <v/>
      </c>
      <c r="AQ146" s="178" t="str">
        <f t="shared" ca="1" si="42"/>
        <v/>
      </c>
      <c r="AR146" s="178" t="str">
        <f t="shared" ca="1" si="43"/>
        <v/>
      </c>
    </row>
    <row r="147" spans="1:44" x14ac:dyDescent="0.2">
      <c r="A147" t="str">
        <f>IF(B147="","",CONCATENATE("GBL",B147," - ",Mantenedor!E158))</f>
        <v/>
      </c>
      <c r="P147" t="str">
        <f t="shared" si="35"/>
        <v/>
      </c>
      <c r="Q147" s="266" t="str" cm="1">
        <f t="array" ref="Q147">+_xlfn.IFS(O147="Nacional","CLP",O147="Extranjero","USD",O147="","")</f>
        <v/>
      </c>
      <c r="R147" s="262" t="str">
        <f>IFERROR(IF(O147="Nacional",VLOOKUP(P147,PRICING!$D$4:$E$59,2,FALSE),VLOOKUP(P147,PRICING!$J$4:$K$59,2,FALSE)),"")</f>
        <v/>
      </c>
      <c r="S147"/>
      <c r="V147" s="262"/>
      <c r="W147" s="280">
        <f t="shared" si="36"/>
        <v>0</v>
      </c>
      <c r="X147" s="178" t="str">
        <f t="shared" si="45"/>
        <v/>
      </c>
      <c r="Y147" s="178" t="str">
        <f t="shared" si="46"/>
        <v/>
      </c>
      <c r="Z147" s="178" t="str">
        <f t="shared" si="47"/>
        <v/>
      </c>
      <c r="AA147" s="178" t="str">
        <f t="shared" si="48"/>
        <v/>
      </c>
      <c r="AB147" s="178" t="str">
        <f t="shared" si="49"/>
        <v/>
      </c>
      <c r="AC147" s="178" t="str">
        <f t="shared" si="50"/>
        <v/>
      </c>
      <c r="AD147" s="267" t="s">
        <v>316</v>
      </c>
      <c r="AF147" s="149" t="str">
        <f t="shared" si="44"/>
        <v/>
      </c>
      <c r="AH147" s="178" t="str">
        <f t="shared" si="37"/>
        <v/>
      </c>
      <c r="AI147" s="178" t="str">
        <f t="shared" si="38"/>
        <v/>
      </c>
      <c r="AJ147" s="178" t="str">
        <f t="shared" si="39"/>
        <v/>
      </c>
      <c r="AK147" s="178" t="str">
        <f t="shared" si="40"/>
        <v/>
      </c>
      <c r="AL147" t="s">
        <v>327</v>
      </c>
      <c r="AN147" s="149" t="str">
        <f t="shared" si="41"/>
        <v/>
      </c>
      <c r="AQ147" s="178" t="str">
        <f t="shared" ca="1" si="42"/>
        <v/>
      </c>
      <c r="AR147" s="178" t="str">
        <f t="shared" ca="1" si="43"/>
        <v/>
      </c>
    </row>
    <row r="148" spans="1:44" x14ac:dyDescent="0.2">
      <c r="A148" t="str">
        <f>IF(B148="","",CONCATENATE("GBL",B148," - ",Mantenedor!E159))</f>
        <v/>
      </c>
      <c r="P148" t="str">
        <f t="shared" si="35"/>
        <v/>
      </c>
      <c r="Q148" s="266" t="str" cm="1">
        <f t="array" ref="Q148">+_xlfn.IFS(O148="Nacional","CLP",O148="Extranjero","USD",O148="","")</f>
        <v/>
      </c>
      <c r="R148" s="262" t="str">
        <f>IFERROR(IF(O148="Nacional",VLOOKUP(P148,PRICING!$D$4:$E$59,2,FALSE),VLOOKUP(P148,PRICING!$J$4:$K$59,2,FALSE)),"")</f>
        <v/>
      </c>
      <c r="S148"/>
      <c r="V148" s="262"/>
      <c r="W148" s="280">
        <f t="shared" si="36"/>
        <v>0</v>
      </c>
      <c r="X148" s="178" t="str">
        <f t="shared" si="45"/>
        <v/>
      </c>
      <c r="Y148" s="178" t="str">
        <f t="shared" si="46"/>
        <v/>
      </c>
      <c r="Z148" s="178" t="str">
        <f t="shared" si="47"/>
        <v/>
      </c>
      <c r="AA148" s="178" t="str">
        <f t="shared" si="48"/>
        <v/>
      </c>
      <c r="AB148" s="178" t="str">
        <f t="shared" si="49"/>
        <v/>
      </c>
      <c r="AC148" s="178" t="str">
        <f t="shared" si="50"/>
        <v/>
      </c>
      <c r="AD148" s="267" t="s">
        <v>316</v>
      </c>
      <c r="AF148" s="149" t="str">
        <f t="shared" si="44"/>
        <v/>
      </c>
      <c r="AH148" s="178" t="str">
        <f t="shared" si="37"/>
        <v/>
      </c>
      <c r="AI148" s="178" t="str">
        <f t="shared" si="38"/>
        <v/>
      </c>
      <c r="AJ148" s="178" t="str">
        <f t="shared" si="39"/>
        <v/>
      </c>
      <c r="AK148" s="178" t="str">
        <f t="shared" si="40"/>
        <v/>
      </c>
      <c r="AL148" t="s">
        <v>327</v>
      </c>
      <c r="AN148" s="149" t="str">
        <f t="shared" si="41"/>
        <v/>
      </c>
      <c r="AQ148" s="178" t="str">
        <f t="shared" ca="1" si="42"/>
        <v/>
      </c>
      <c r="AR148" s="178" t="str">
        <f t="shared" ca="1" si="43"/>
        <v/>
      </c>
    </row>
    <row r="149" spans="1:44" x14ac:dyDescent="0.2">
      <c r="A149" t="str">
        <f>IF(B149="","",CONCATENATE("GBL",B149," - ",Mantenedor!E160))</f>
        <v/>
      </c>
      <c r="P149" t="str">
        <f t="shared" si="35"/>
        <v/>
      </c>
      <c r="Q149" s="266" t="str" cm="1">
        <f t="array" ref="Q149">+_xlfn.IFS(O149="Nacional","CLP",O149="Extranjero","USD",O149="","")</f>
        <v/>
      </c>
      <c r="R149" s="262" t="str">
        <f>IFERROR(IF(O149="Nacional",VLOOKUP(P149,PRICING!$D$4:$E$59,2,FALSE),VLOOKUP(P149,PRICING!$J$4:$K$59,2,FALSE)),"")</f>
        <v/>
      </c>
      <c r="S149"/>
      <c r="V149" s="262"/>
      <c r="W149" s="280">
        <f t="shared" si="36"/>
        <v>0</v>
      </c>
      <c r="X149" s="178" t="str">
        <f t="shared" si="45"/>
        <v/>
      </c>
      <c r="Y149" s="178" t="str">
        <f t="shared" si="46"/>
        <v/>
      </c>
      <c r="Z149" s="178" t="str">
        <f t="shared" si="47"/>
        <v/>
      </c>
      <c r="AA149" s="178" t="str">
        <f t="shared" si="48"/>
        <v/>
      </c>
      <c r="AB149" s="178" t="str">
        <f t="shared" si="49"/>
        <v/>
      </c>
      <c r="AC149" s="178" t="str">
        <f t="shared" si="50"/>
        <v/>
      </c>
      <c r="AD149" s="267" t="s">
        <v>316</v>
      </c>
      <c r="AF149" s="149" t="str">
        <f t="shared" si="44"/>
        <v/>
      </c>
      <c r="AH149" s="178" t="str">
        <f t="shared" si="37"/>
        <v/>
      </c>
      <c r="AI149" s="178" t="str">
        <f t="shared" si="38"/>
        <v/>
      </c>
      <c r="AJ149" s="178" t="str">
        <f t="shared" si="39"/>
        <v/>
      </c>
      <c r="AK149" s="178" t="str">
        <f t="shared" si="40"/>
        <v/>
      </c>
      <c r="AL149" t="s">
        <v>327</v>
      </c>
      <c r="AN149" s="149" t="str">
        <f t="shared" si="41"/>
        <v/>
      </c>
      <c r="AQ149" s="178" t="str">
        <f t="shared" ca="1" si="42"/>
        <v/>
      </c>
      <c r="AR149" s="178" t="str">
        <f t="shared" ca="1" si="43"/>
        <v/>
      </c>
    </row>
    <row r="150" spans="1:44" x14ac:dyDescent="0.2">
      <c r="A150" t="str">
        <f>IF(B150="","",CONCATENATE("GBL",B150," - ",Mantenedor!E161))</f>
        <v/>
      </c>
      <c r="P150" t="str">
        <f t="shared" si="35"/>
        <v/>
      </c>
      <c r="Q150" s="266" t="str" cm="1">
        <f t="array" ref="Q150">+_xlfn.IFS(O150="Nacional","CLP",O150="Extranjero","USD",O150="","")</f>
        <v/>
      </c>
      <c r="R150" s="262" t="str">
        <f>IFERROR(IF(O150="Nacional",VLOOKUP(P150,PRICING!$D$4:$E$59,2,FALSE),VLOOKUP(P150,PRICING!$J$4:$K$59,2,FALSE)),"")</f>
        <v/>
      </c>
      <c r="S150"/>
      <c r="V150" s="262"/>
      <c r="W150" s="280">
        <f t="shared" si="36"/>
        <v>0</v>
      </c>
      <c r="X150" s="178" t="str">
        <f t="shared" si="45"/>
        <v/>
      </c>
      <c r="Y150" s="178" t="str">
        <f t="shared" si="46"/>
        <v/>
      </c>
      <c r="Z150" s="178" t="str">
        <f t="shared" si="47"/>
        <v/>
      </c>
      <c r="AA150" s="178" t="str">
        <f t="shared" si="48"/>
        <v/>
      </c>
      <c r="AB150" s="178" t="str">
        <f t="shared" si="49"/>
        <v/>
      </c>
      <c r="AC150" s="178" t="str">
        <f t="shared" si="50"/>
        <v/>
      </c>
      <c r="AD150" s="267" t="s">
        <v>316</v>
      </c>
      <c r="AF150" s="149" t="str">
        <f t="shared" si="44"/>
        <v/>
      </c>
      <c r="AH150" s="178" t="str">
        <f t="shared" si="37"/>
        <v/>
      </c>
      <c r="AI150" s="178" t="str">
        <f t="shared" si="38"/>
        <v/>
      </c>
      <c r="AJ150" s="178" t="str">
        <f t="shared" si="39"/>
        <v/>
      </c>
      <c r="AK150" s="178" t="str">
        <f t="shared" si="40"/>
        <v/>
      </c>
      <c r="AL150" t="s">
        <v>327</v>
      </c>
      <c r="AN150" s="149" t="str">
        <f t="shared" si="41"/>
        <v/>
      </c>
      <c r="AQ150" s="178" t="str">
        <f t="shared" ca="1" si="42"/>
        <v/>
      </c>
      <c r="AR150" s="178" t="str">
        <f t="shared" ca="1" si="43"/>
        <v/>
      </c>
    </row>
    <row r="151" spans="1:44" x14ac:dyDescent="0.2">
      <c r="A151" t="str">
        <f>IF(B151="","",CONCATENATE("GBL",B151," - ",Mantenedor!E162))</f>
        <v/>
      </c>
      <c r="P151" t="str">
        <f t="shared" si="35"/>
        <v/>
      </c>
      <c r="Q151" s="266" t="str" cm="1">
        <f t="array" ref="Q151">+_xlfn.IFS(O151="Nacional","CLP",O151="Extranjero","USD",O151="","")</f>
        <v/>
      </c>
      <c r="R151" s="262" t="str">
        <f>IFERROR(IF(O151="Nacional",VLOOKUP(P151,PRICING!$D$4:$E$59,2,FALSE),VLOOKUP(P151,PRICING!$J$4:$K$59,2,FALSE)),"")</f>
        <v/>
      </c>
      <c r="S151"/>
      <c r="V151" s="262"/>
      <c r="W151" s="280">
        <f t="shared" si="36"/>
        <v>0</v>
      </c>
      <c r="X151" s="178" t="str">
        <f t="shared" si="45"/>
        <v/>
      </c>
      <c r="Y151" s="178" t="str">
        <f t="shared" si="46"/>
        <v/>
      </c>
      <c r="Z151" s="178" t="str">
        <f t="shared" si="47"/>
        <v/>
      </c>
      <c r="AA151" s="178" t="str">
        <f t="shared" si="48"/>
        <v/>
      </c>
      <c r="AB151" s="178" t="str">
        <f t="shared" si="49"/>
        <v/>
      </c>
      <c r="AC151" s="178" t="str">
        <f t="shared" si="50"/>
        <v/>
      </c>
      <c r="AD151" s="267" t="s">
        <v>316</v>
      </c>
      <c r="AF151" s="149" t="str">
        <f t="shared" si="44"/>
        <v/>
      </c>
      <c r="AH151" s="178" t="str">
        <f t="shared" si="37"/>
        <v/>
      </c>
      <c r="AI151" s="178" t="str">
        <f t="shared" si="38"/>
        <v/>
      </c>
      <c r="AJ151" s="178" t="str">
        <f t="shared" si="39"/>
        <v/>
      </c>
      <c r="AK151" s="178" t="str">
        <f t="shared" si="40"/>
        <v/>
      </c>
      <c r="AL151" t="s">
        <v>327</v>
      </c>
      <c r="AN151" s="149" t="str">
        <f t="shared" si="41"/>
        <v/>
      </c>
      <c r="AQ151" s="178" t="str">
        <f t="shared" ca="1" si="42"/>
        <v/>
      </c>
      <c r="AR151" s="178" t="str">
        <f t="shared" ca="1" si="43"/>
        <v/>
      </c>
    </row>
    <row r="152" spans="1:44" x14ac:dyDescent="0.2">
      <c r="A152" t="str">
        <f>IF(B152="","",CONCATENATE("GBL",B152," - ",Mantenedor!E163))</f>
        <v/>
      </c>
      <c r="P152" t="str">
        <f t="shared" si="35"/>
        <v/>
      </c>
      <c r="Q152" s="266" t="str" cm="1">
        <f t="array" ref="Q152">+_xlfn.IFS(O152="Nacional","CLP",O152="Extranjero","USD",O152="","")</f>
        <v/>
      </c>
      <c r="R152" s="262" t="str">
        <f>IFERROR(IF(O152="Nacional",VLOOKUP(P152,PRICING!$D$4:$E$59,2,FALSE),VLOOKUP(P152,PRICING!$J$4:$K$59,2,FALSE)),"")</f>
        <v/>
      </c>
      <c r="S152"/>
      <c r="V152" s="262"/>
      <c r="W152" s="280">
        <f t="shared" si="36"/>
        <v>0</v>
      </c>
      <c r="X152" s="178" t="str">
        <f t="shared" si="45"/>
        <v/>
      </c>
      <c r="Y152" s="178" t="str">
        <f t="shared" si="46"/>
        <v/>
      </c>
      <c r="Z152" s="178" t="str">
        <f t="shared" si="47"/>
        <v/>
      </c>
      <c r="AA152" s="178" t="str">
        <f t="shared" si="48"/>
        <v/>
      </c>
      <c r="AB152" s="178" t="str">
        <f t="shared" si="49"/>
        <v/>
      </c>
      <c r="AC152" s="178" t="str">
        <f t="shared" si="50"/>
        <v/>
      </c>
      <c r="AD152" s="267" t="s">
        <v>316</v>
      </c>
      <c r="AF152" s="149" t="str">
        <f t="shared" si="44"/>
        <v/>
      </c>
      <c r="AH152" s="178" t="str">
        <f t="shared" si="37"/>
        <v/>
      </c>
      <c r="AI152" s="178" t="str">
        <f t="shared" si="38"/>
        <v/>
      </c>
      <c r="AJ152" s="178" t="str">
        <f t="shared" si="39"/>
        <v/>
      </c>
      <c r="AK152" s="178" t="str">
        <f t="shared" si="40"/>
        <v/>
      </c>
      <c r="AL152" t="s">
        <v>327</v>
      </c>
      <c r="AN152" s="149" t="str">
        <f t="shared" si="41"/>
        <v/>
      </c>
      <c r="AQ152" s="178" t="str">
        <f t="shared" ca="1" si="42"/>
        <v/>
      </c>
      <c r="AR152" s="178" t="str">
        <f t="shared" ca="1" si="43"/>
        <v/>
      </c>
    </row>
    <row r="153" spans="1:44" x14ac:dyDescent="0.2">
      <c r="A153" t="str">
        <f>IF(B153="","",CONCATENATE("GBL",B153," - ",Mantenedor!E164))</f>
        <v/>
      </c>
      <c r="P153" t="str">
        <f t="shared" si="35"/>
        <v/>
      </c>
      <c r="Q153" s="266" t="str" cm="1">
        <f t="array" ref="Q153">+_xlfn.IFS(O153="Nacional","CLP",O153="Extranjero","USD",O153="","")</f>
        <v/>
      </c>
      <c r="R153" s="262" t="str">
        <f>IFERROR(IF(O153="Nacional",VLOOKUP(P153,PRICING!$D$4:$E$59,2,FALSE),VLOOKUP(P153,PRICING!$J$4:$K$59,2,FALSE)),"")</f>
        <v/>
      </c>
      <c r="S153"/>
      <c r="V153" s="262"/>
      <c r="W153" s="280">
        <f t="shared" si="36"/>
        <v>0</v>
      </c>
      <c r="X153" s="178" t="str">
        <f t="shared" si="45"/>
        <v/>
      </c>
      <c r="Y153" s="178" t="str">
        <f t="shared" si="46"/>
        <v/>
      </c>
      <c r="Z153" s="178" t="str">
        <f t="shared" si="47"/>
        <v/>
      </c>
      <c r="AA153" s="178" t="str">
        <f t="shared" si="48"/>
        <v/>
      </c>
      <c r="AB153" s="178" t="str">
        <f t="shared" si="49"/>
        <v/>
      </c>
      <c r="AC153" s="178" t="str">
        <f t="shared" si="50"/>
        <v/>
      </c>
      <c r="AD153" s="267" t="s">
        <v>316</v>
      </c>
      <c r="AF153" s="149" t="str">
        <f t="shared" si="44"/>
        <v/>
      </c>
      <c r="AH153" s="178" t="str">
        <f t="shared" si="37"/>
        <v/>
      </c>
      <c r="AI153" s="178" t="str">
        <f t="shared" si="38"/>
        <v/>
      </c>
      <c r="AJ153" s="178" t="str">
        <f t="shared" si="39"/>
        <v/>
      </c>
      <c r="AK153" s="178" t="str">
        <f t="shared" si="40"/>
        <v/>
      </c>
      <c r="AL153" t="s">
        <v>327</v>
      </c>
      <c r="AN153" s="149" t="str">
        <f t="shared" si="41"/>
        <v/>
      </c>
      <c r="AQ153" s="178" t="str">
        <f t="shared" ca="1" si="42"/>
        <v/>
      </c>
      <c r="AR153" s="178" t="str">
        <f t="shared" ca="1" si="43"/>
        <v/>
      </c>
    </row>
    <row r="154" spans="1:44" x14ac:dyDescent="0.2">
      <c r="A154" t="str">
        <f>IF(B154="","",CONCATENATE("GBL",B154," - ",Mantenedor!E165))</f>
        <v/>
      </c>
      <c r="P154" t="str">
        <f t="shared" si="35"/>
        <v/>
      </c>
      <c r="Q154" s="266" t="str" cm="1">
        <f t="array" ref="Q154">+_xlfn.IFS(O154="Nacional","CLP",O154="Extranjero","USD",O154="","")</f>
        <v/>
      </c>
      <c r="R154" s="262" t="str">
        <f>IFERROR(IF(O154="Nacional",VLOOKUP(P154,PRICING!$D$4:$E$59,2,FALSE),VLOOKUP(P154,PRICING!$J$4:$K$59,2,FALSE)),"")</f>
        <v/>
      </c>
      <c r="S154"/>
      <c r="V154" s="262"/>
      <c r="W154" s="280">
        <f t="shared" si="36"/>
        <v>0</v>
      </c>
      <c r="X154" s="178" t="str">
        <f t="shared" si="45"/>
        <v/>
      </c>
      <c r="Y154" s="178" t="str">
        <f t="shared" si="46"/>
        <v/>
      </c>
      <c r="Z154" s="178" t="str">
        <f t="shared" si="47"/>
        <v/>
      </c>
      <c r="AA154" s="178" t="str">
        <f t="shared" si="48"/>
        <v/>
      </c>
      <c r="AB154" s="178" t="str">
        <f t="shared" si="49"/>
        <v/>
      </c>
      <c r="AC154" s="178" t="str">
        <f t="shared" si="50"/>
        <v/>
      </c>
      <c r="AD154" s="267" t="s">
        <v>316</v>
      </c>
      <c r="AF154" s="149" t="str">
        <f t="shared" si="44"/>
        <v/>
      </c>
      <c r="AH154" s="178" t="str">
        <f t="shared" si="37"/>
        <v/>
      </c>
      <c r="AI154" s="178" t="str">
        <f t="shared" si="38"/>
        <v/>
      </c>
      <c r="AJ154" s="178" t="str">
        <f t="shared" si="39"/>
        <v/>
      </c>
      <c r="AK154" s="178" t="str">
        <f t="shared" si="40"/>
        <v/>
      </c>
      <c r="AL154" t="s">
        <v>327</v>
      </c>
      <c r="AN154" s="149" t="str">
        <f t="shared" si="41"/>
        <v/>
      </c>
      <c r="AQ154" s="178" t="str">
        <f t="shared" ca="1" si="42"/>
        <v/>
      </c>
      <c r="AR154" s="178" t="str">
        <f t="shared" ca="1" si="43"/>
        <v/>
      </c>
    </row>
    <row r="155" spans="1:44" x14ac:dyDescent="0.2">
      <c r="A155" t="str">
        <f>IF(B155="","",CONCATENATE("GBL",B155," - ",Mantenedor!E166))</f>
        <v/>
      </c>
      <c r="P155" t="str">
        <f t="shared" si="35"/>
        <v/>
      </c>
      <c r="Q155" s="266" t="str" cm="1">
        <f t="array" ref="Q155">+_xlfn.IFS(O155="Nacional","CLP",O155="Extranjero","USD",O155="","")</f>
        <v/>
      </c>
      <c r="R155" s="262" t="str">
        <f>IFERROR(IF(O155="Nacional",VLOOKUP(P155,PRICING!$D$4:$E$59,2,FALSE),VLOOKUP(P155,PRICING!$J$4:$K$59,2,FALSE)),"")</f>
        <v/>
      </c>
      <c r="S155"/>
      <c r="V155" s="262"/>
      <c r="W155" s="280">
        <f t="shared" si="36"/>
        <v>0</v>
      </c>
      <c r="X155" s="178" t="str">
        <f t="shared" si="45"/>
        <v/>
      </c>
      <c r="Y155" s="178" t="str">
        <f t="shared" si="46"/>
        <v/>
      </c>
      <c r="Z155" s="178" t="str">
        <f t="shared" si="47"/>
        <v/>
      </c>
      <c r="AA155" s="178" t="str">
        <f t="shared" si="48"/>
        <v/>
      </c>
      <c r="AB155" s="178" t="str">
        <f t="shared" si="49"/>
        <v/>
      </c>
      <c r="AC155" s="178" t="str">
        <f t="shared" si="50"/>
        <v/>
      </c>
      <c r="AD155" s="267" t="s">
        <v>316</v>
      </c>
      <c r="AF155" s="149" t="str">
        <f t="shared" si="44"/>
        <v/>
      </c>
      <c r="AH155" s="178" t="str">
        <f t="shared" si="37"/>
        <v/>
      </c>
      <c r="AI155" s="178" t="str">
        <f t="shared" si="38"/>
        <v/>
      </c>
      <c r="AJ155" s="178" t="str">
        <f t="shared" si="39"/>
        <v/>
      </c>
      <c r="AK155" s="178" t="str">
        <f t="shared" si="40"/>
        <v/>
      </c>
      <c r="AL155" t="s">
        <v>327</v>
      </c>
      <c r="AN155" s="149" t="str">
        <f t="shared" si="41"/>
        <v/>
      </c>
      <c r="AQ155" s="178" t="str">
        <f t="shared" ca="1" si="42"/>
        <v/>
      </c>
      <c r="AR155" s="178" t="str">
        <f t="shared" ca="1" si="43"/>
        <v/>
      </c>
    </row>
    <row r="156" spans="1:44" x14ac:dyDescent="0.2">
      <c r="A156" t="str">
        <f>IF(B156="","",CONCATENATE("GBL",B156," - ",Mantenedor!E167))</f>
        <v/>
      </c>
      <c r="P156" t="str">
        <f t="shared" si="35"/>
        <v/>
      </c>
      <c r="Q156" s="266" t="str" cm="1">
        <f t="array" ref="Q156">+_xlfn.IFS(O156="Nacional","CLP",O156="Extranjero","USD",O156="","")</f>
        <v/>
      </c>
      <c r="R156" s="262" t="str">
        <f>IFERROR(IF(O156="Nacional",VLOOKUP(P156,PRICING!$D$4:$E$59,2,FALSE),VLOOKUP(P156,PRICING!$J$4:$K$59,2,FALSE)),"")</f>
        <v/>
      </c>
      <c r="S156"/>
      <c r="V156" s="262"/>
      <c r="W156" s="280">
        <f t="shared" si="36"/>
        <v>0</v>
      </c>
      <c r="X156" s="178" t="str">
        <f t="shared" si="45"/>
        <v/>
      </c>
      <c r="Y156" s="178" t="str">
        <f t="shared" si="46"/>
        <v/>
      </c>
      <c r="Z156" s="178" t="str">
        <f t="shared" si="47"/>
        <v/>
      </c>
      <c r="AA156" s="178" t="str">
        <f t="shared" si="48"/>
        <v/>
      </c>
      <c r="AB156" s="178" t="str">
        <f t="shared" si="49"/>
        <v/>
      </c>
      <c r="AC156" s="178" t="str">
        <f t="shared" si="50"/>
        <v/>
      </c>
      <c r="AD156" s="267" t="s">
        <v>316</v>
      </c>
      <c r="AF156" s="149" t="str">
        <f t="shared" si="44"/>
        <v/>
      </c>
      <c r="AH156" s="178" t="str">
        <f t="shared" si="37"/>
        <v/>
      </c>
      <c r="AI156" s="178" t="str">
        <f t="shared" si="38"/>
        <v/>
      </c>
      <c r="AJ156" s="178" t="str">
        <f t="shared" si="39"/>
        <v/>
      </c>
      <c r="AK156" s="178" t="str">
        <f t="shared" si="40"/>
        <v/>
      </c>
      <c r="AL156" t="s">
        <v>327</v>
      </c>
      <c r="AN156" s="149" t="str">
        <f t="shared" si="41"/>
        <v/>
      </c>
      <c r="AQ156" s="178" t="str">
        <f t="shared" ca="1" si="42"/>
        <v/>
      </c>
      <c r="AR156" s="178" t="str">
        <f t="shared" ca="1" si="43"/>
        <v/>
      </c>
    </row>
    <row r="157" spans="1:44" x14ac:dyDescent="0.2">
      <c r="A157" t="str">
        <f>IF(B157="","",CONCATENATE("GBL",B157," - ",Mantenedor!E168))</f>
        <v/>
      </c>
      <c r="P157" t="str">
        <f t="shared" si="35"/>
        <v/>
      </c>
      <c r="Q157" s="266" t="str" cm="1">
        <f t="array" ref="Q157">+_xlfn.IFS(O157="Nacional","CLP",O157="Extranjero","USD",O157="","")</f>
        <v/>
      </c>
      <c r="R157" s="262" t="str">
        <f>IFERROR(IF(O157="Nacional",VLOOKUP(P157,PRICING!$D$4:$E$59,2,FALSE),VLOOKUP(P157,PRICING!$J$4:$K$59,2,FALSE)),"")</f>
        <v/>
      </c>
      <c r="S157"/>
      <c r="V157" s="262"/>
      <c r="W157" s="280">
        <f t="shared" si="36"/>
        <v>0</v>
      </c>
      <c r="X157" s="178" t="str">
        <f t="shared" si="45"/>
        <v/>
      </c>
      <c r="Y157" s="178" t="str">
        <f t="shared" si="46"/>
        <v/>
      </c>
      <c r="Z157" s="178" t="str">
        <f t="shared" si="47"/>
        <v/>
      </c>
      <c r="AA157" s="178" t="str">
        <f t="shared" si="48"/>
        <v/>
      </c>
      <c r="AB157" s="178" t="str">
        <f t="shared" si="49"/>
        <v/>
      </c>
      <c r="AC157" s="178" t="str">
        <f t="shared" si="50"/>
        <v/>
      </c>
      <c r="AD157" s="267" t="s">
        <v>316</v>
      </c>
      <c r="AF157" s="149" t="str">
        <f t="shared" si="44"/>
        <v/>
      </c>
      <c r="AH157" s="178" t="str">
        <f t="shared" si="37"/>
        <v/>
      </c>
      <c r="AI157" s="178" t="str">
        <f t="shared" si="38"/>
        <v/>
      </c>
      <c r="AJ157" s="178" t="str">
        <f t="shared" si="39"/>
        <v/>
      </c>
      <c r="AK157" s="178" t="str">
        <f t="shared" si="40"/>
        <v/>
      </c>
      <c r="AL157" t="s">
        <v>327</v>
      </c>
      <c r="AN157" s="149" t="str">
        <f t="shared" si="41"/>
        <v/>
      </c>
      <c r="AQ157" s="178" t="str">
        <f t="shared" ca="1" si="42"/>
        <v/>
      </c>
      <c r="AR157" s="178" t="str">
        <f t="shared" ca="1" si="43"/>
        <v/>
      </c>
    </row>
    <row r="158" spans="1:44" x14ac:dyDescent="0.2">
      <c r="A158" t="str">
        <f>IF(B158="","",CONCATENATE("GBL",B158," - ",Mantenedor!E169))</f>
        <v/>
      </c>
      <c r="P158" t="str">
        <f t="shared" si="35"/>
        <v/>
      </c>
      <c r="Q158" s="266" t="str" cm="1">
        <f t="array" ref="Q158">+_xlfn.IFS(O158="Nacional","CLP",O158="Extranjero","USD",O158="","")</f>
        <v/>
      </c>
      <c r="R158" s="262" t="str">
        <f>IFERROR(IF(O158="Nacional",VLOOKUP(P158,PRICING!$D$4:$E$59,2,FALSE),VLOOKUP(P158,PRICING!$J$4:$K$59,2,FALSE)),"")</f>
        <v/>
      </c>
      <c r="S158"/>
      <c r="V158" s="262"/>
      <c r="W158" s="280">
        <f t="shared" si="36"/>
        <v>0</v>
      </c>
      <c r="X158" s="178" t="str">
        <f t="shared" si="45"/>
        <v/>
      </c>
      <c r="Y158" s="178" t="str">
        <f t="shared" si="46"/>
        <v/>
      </c>
      <c r="Z158" s="178" t="str">
        <f t="shared" si="47"/>
        <v/>
      </c>
      <c r="AA158" s="178" t="str">
        <f t="shared" si="48"/>
        <v/>
      </c>
      <c r="AB158" s="178" t="str">
        <f t="shared" si="49"/>
        <v/>
      </c>
      <c r="AC158" s="178" t="str">
        <f t="shared" si="50"/>
        <v/>
      </c>
      <c r="AD158" s="267" t="s">
        <v>316</v>
      </c>
      <c r="AF158" s="149" t="str">
        <f t="shared" si="44"/>
        <v/>
      </c>
      <c r="AH158" s="178" t="str">
        <f t="shared" si="37"/>
        <v/>
      </c>
      <c r="AI158" s="178" t="str">
        <f t="shared" si="38"/>
        <v/>
      </c>
      <c r="AJ158" s="178" t="str">
        <f t="shared" si="39"/>
        <v/>
      </c>
      <c r="AK158" s="178" t="str">
        <f t="shared" si="40"/>
        <v/>
      </c>
      <c r="AL158" t="s">
        <v>327</v>
      </c>
      <c r="AN158" s="149" t="str">
        <f t="shared" si="41"/>
        <v/>
      </c>
      <c r="AQ158" s="178" t="str">
        <f t="shared" ca="1" si="42"/>
        <v/>
      </c>
      <c r="AR158" s="178" t="str">
        <f t="shared" ca="1" si="43"/>
        <v/>
      </c>
    </row>
    <row r="159" spans="1:44" x14ac:dyDescent="0.2">
      <c r="A159" t="str">
        <f>IF(B159="","",CONCATENATE("GBL",B159," - ",Mantenedor!E170))</f>
        <v/>
      </c>
      <c r="P159" t="str">
        <f t="shared" si="35"/>
        <v/>
      </c>
      <c r="Q159" s="266" t="str" cm="1">
        <f t="array" ref="Q159">+_xlfn.IFS(O159="Nacional","CLP",O159="Extranjero","USD",O159="","")</f>
        <v/>
      </c>
      <c r="R159" s="262" t="str">
        <f>IFERROR(IF(O159="Nacional",VLOOKUP(P159,PRICING!$D$4:$E$59,2,FALSE),VLOOKUP(P159,PRICING!$J$4:$K$59,2,FALSE)),"")</f>
        <v/>
      </c>
      <c r="S159"/>
      <c r="V159" s="262"/>
      <c r="W159" s="280">
        <f t="shared" si="36"/>
        <v>0</v>
      </c>
      <c r="X159" s="178" t="str">
        <f t="shared" si="45"/>
        <v/>
      </c>
      <c r="Y159" s="178" t="str">
        <f t="shared" si="46"/>
        <v/>
      </c>
      <c r="Z159" s="178" t="str">
        <f t="shared" si="47"/>
        <v/>
      </c>
      <c r="AA159" s="178" t="str">
        <f t="shared" si="48"/>
        <v/>
      </c>
      <c r="AB159" s="178" t="str">
        <f t="shared" si="49"/>
        <v/>
      </c>
      <c r="AC159" s="178" t="str">
        <f t="shared" si="50"/>
        <v/>
      </c>
      <c r="AD159" s="267" t="s">
        <v>316</v>
      </c>
      <c r="AF159" s="149" t="str">
        <f t="shared" si="44"/>
        <v/>
      </c>
      <c r="AH159" s="178" t="str">
        <f t="shared" si="37"/>
        <v/>
      </c>
      <c r="AI159" s="178" t="str">
        <f t="shared" si="38"/>
        <v/>
      </c>
      <c r="AJ159" s="178" t="str">
        <f t="shared" si="39"/>
        <v/>
      </c>
      <c r="AK159" s="178" t="str">
        <f t="shared" si="40"/>
        <v/>
      </c>
      <c r="AL159" t="s">
        <v>327</v>
      </c>
      <c r="AN159" s="149" t="str">
        <f t="shared" si="41"/>
        <v/>
      </c>
      <c r="AQ159" s="178" t="str">
        <f t="shared" ca="1" si="42"/>
        <v/>
      </c>
      <c r="AR159" s="178" t="str">
        <f t="shared" ca="1" si="43"/>
        <v/>
      </c>
    </row>
    <row r="160" spans="1:44" x14ac:dyDescent="0.2">
      <c r="A160" t="str">
        <f>IF(B160="","",CONCATENATE("GBL",B160," - ",Mantenedor!E171))</f>
        <v/>
      </c>
      <c r="P160" t="str">
        <f t="shared" si="35"/>
        <v/>
      </c>
      <c r="Q160" s="266" t="str" cm="1">
        <f t="array" ref="Q160">+_xlfn.IFS(O160="Nacional","CLP",O160="Extranjero","USD",O160="","")</f>
        <v/>
      </c>
      <c r="R160" s="262" t="str">
        <f>IFERROR(IF(O160="Nacional",VLOOKUP(P160,PRICING!$D$4:$E$59,2,FALSE),VLOOKUP(P160,PRICING!$J$4:$K$59,2,FALSE)),"")</f>
        <v/>
      </c>
      <c r="S160"/>
      <c r="V160" s="262"/>
      <c r="W160" s="280">
        <f t="shared" si="36"/>
        <v>0</v>
      </c>
      <c r="X160" s="178" t="str">
        <f t="shared" si="45"/>
        <v/>
      </c>
      <c r="Y160" s="178" t="str">
        <f t="shared" si="46"/>
        <v/>
      </c>
      <c r="Z160" s="178" t="str">
        <f t="shared" si="47"/>
        <v/>
      </c>
      <c r="AA160" s="178" t="str">
        <f t="shared" si="48"/>
        <v/>
      </c>
      <c r="AB160" s="178" t="str">
        <f t="shared" si="49"/>
        <v/>
      </c>
      <c r="AC160" s="178" t="str">
        <f t="shared" si="50"/>
        <v/>
      </c>
      <c r="AD160" s="267" t="s">
        <v>316</v>
      </c>
      <c r="AF160" s="149" t="str">
        <f t="shared" si="44"/>
        <v/>
      </c>
      <c r="AH160" s="178" t="str">
        <f t="shared" si="37"/>
        <v/>
      </c>
      <c r="AI160" s="178" t="str">
        <f t="shared" si="38"/>
        <v/>
      </c>
      <c r="AJ160" s="178" t="str">
        <f t="shared" si="39"/>
        <v/>
      </c>
      <c r="AK160" s="178" t="str">
        <f t="shared" si="40"/>
        <v/>
      </c>
      <c r="AL160" t="s">
        <v>327</v>
      </c>
      <c r="AN160" s="149" t="str">
        <f t="shared" si="41"/>
        <v/>
      </c>
      <c r="AQ160" s="178" t="str">
        <f t="shared" ca="1" si="42"/>
        <v/>
      </c>
      <c r="AR160" s="178" t="str">
        <f t="shared" ca="1" si="43"/>
        <v/>
      </c>
    </row>
    <row r="161" spans="1:44" x14ac:dyDescent="0.2">
      <c r="A161" t="str">
        <f>IF(B161="","",CONCATENATE("GBL",B161," - ",Mantenedor!E172))</f>
        <v/>
      </c>
      <c r="P161" t="str">
        <f t="shared" si="35"/>
        <v/>
      </c>
      <c r="Q161" s="266" t="str" cm="1">
        <f t="array" ref="Q161">+_xlfn.IFS(O161="Nacional","CLP",O161="Extranjero","USD",O161="","")</f>
        <v/>
      </c>
      <c r="R161" s="262" t="str">
        <f>IFERROR(IF(O161="Nacional",VLOOKUP(P161,PRICING!$D$4:$E$59,2,FALSE),VLOOKUP(P161,PRICING!$J$4:$K$59,2,FALSE)),"")</f>
        <v/>
      </c>
      <c r="S161"/>
      <c r="V161" s="262"/>
      <c r="W161" s="280">
        <f t="shared" si="36"/>
        <v>0</v>
      </c>
      <c r="X161" s="178" t="str">
        <f t="shared" si="45"/>
        <v/>
      </c>
      <c r="Y161" s="178" t="str">
        <f t="shared" si="46"/>
        <v/>
      </c>
      <c r="Z161" s="178" t="str">
        <f t="shared" si="47"/>
        <v/>
      </c>
      <c r="AA161" s="178" t="str">
        <f t="shared" si="48"/>
        <v/>
      </c>
      <c r="AB161" s="178" t="str">
        <f t="shared" si="49"/>
        <v/>
      </c>
      <c r="AC161" s="178" t="str">
        <f t="shared" si="50"/>
        <v/>
      </c>
      <c r="AD161" s="267" t="s">
        <v>316</v>
      </c>
      <c r="AF161" s="149" t="str">
        <f t="shared" si="44"/>
        <v/>
      </c>
      <c r="AH161" s="178" t="str">
        <f t="shared" si="37"/>
        <v/>
      </c>
      <c r="AI161" s="178" t="str">
        <f t="shared" si="38"/>
        <v/>
      </c>
      <c r="AJ161" s="178" t="str">
        <f t="shared" si="39"/>
        <v/>
      </c>
      <c r="AK161" s="178" t="str">
        <f t="shared" si="40"/>
        <v/>
      </c>
      <c r="AL161" t="s">
        <v>327</v>
      </c>
      <c r="AN161" s="149" t="str">
        <f t="shared" si="41"/>
        <v/>
      </c>
      <c r="AQ161" s="178" t="str">
        <f t="shared" ca="1" si="42"/>
        <v/>
      </c>
      <c r="AR161" s="178" t="str">
        <f t="shared" ca="1" si="43"/>
        <v/>
      </c>
    </row>
    <row r="162" spans="1:44" x14ac:dyDescent="0.2">
      <c r="A162" t="str">
        <f>IF(B162="","",CONCATENATE("GBL",B162," - ",Mantenedor!E173))</f>
        <v/>
      </c>
      <c r="P162" t="str">
        <f t="shared" si="35"/>
        <v/>
      </c>
      <c r="Q162" s="266" t="str" cm="1">
        <f t="array" ref="Q162">+_xlfn.IFS(O162="Nacional","CLP",O162="Extranjero","USD",O162="","")</f>
        <v/>
      </c>
      <c r="R162" s="262" t="str">
        <f>IFERROR(IF(O162="Nacional",VLOOKUP(P162,PRICING!$D$4:$E$59,2,FALSE),VLOOKUP(P162,PRICING!$J$4:$K$59,2,FALSE)),"")</f>
        <v/>
      </c>
      <c r="S162"/>
      <c r="V162" s="262"/>
      <c r="W162" s="280">
        <f t="shared" si="36"/>
        <v>0</v>
      </c>
      <c r="X162" s="178" t="str">
        <f t="shared" si="45"/>
        <v/>
      </c>
      <c r="Y162" s="178" t="str">
        <f t="shared" si="46"/>
        <v/>
      </c>
      <c r="Z162" s="178" t="str">
        <f t="shared" si="47"/>
        <v/>
      </c>
      <c r="AA162" s="178" t="str">
        <f t="shared" si="48"/>
        <v/>
      </c>
      <c r="AB162" s="178" t="str">
        <f t="shared" si="49"/>
        <v/>
      </c>
      <c r="AC162" s="178" t="str">
        <f t="shared" si="50"/>
        <v/>
      </c>
      <c r="AD162" s="267" t="s">
        <v>316</v>
      </c>
      <c r="AF162" s="149" t="str">
        <f t="shared" si="44"/>
        <v/>
      </c>
      <c r="AH162" s="178" t="str">
        <f t="shared" si="37"/>
        <v/>
      </c>
      <c r="AI162" s="178" t="str">
        <f t="shared" si="38"/>
        <v/>
      </c>
      <c r="AJ162" s="178" t="str">
        <f t="shared" si="39"/>
        <v/>
      </c>
      <c r="AK162" s="178" t="str">
        <f t="shared" si="40"/>
        <v/>
      </c>
      <c r="AL162" t="s">
        <v>327</v>
      </c>
      <c r="AN162" s="149" t="str">
        <f t="shared" si="41"/>
        <v/>
      </c>
      <c r="AQ162" s="178" t="str">
        <f t="shared" ca="1" si="42"/>
        <v/>
      </c>
      <c r="AR162" s="178" t="str">
        <f t="shared" ca="1" si="43"/>
        <v/>
      </c>
    </row>
    <row r="163" spans="1:44" x14ac:dyDescent="0.2">
      <c r="A163" t="str">
        <f>IF(B163="","",CONCATENATE("GBL",B163," - ",Mantenedor!E174))</f>
        <v/>
      </c>
      <c r="P163" t="str">
        <f t="shared" si="35"/>
        <v/>
      </c>
      <c r="Q163" s="266" t="str" cm="1">
        <f t="array" ref="Q163">+_xlfn.IFS(O163="Nacional","CLP",O163="Extranjero","USD",O163="","")</f>
        <v/>
      </c>
      <c r="R163" s="262" t="str">
        <f>IFERROR(IF(O163="Nacional",VLOOKUP(P163,PRICING!$D$4:$E$59,2,FALSE),VLOOKUP(P163,PRICING!$J$4:$K$59,2,FALSE)),"")</f>
        <v/>
      </c>
      <c r="S163"/>
      <c r="V163" s="262"/>
      <c r="W163" s="280">
        <f t="shared" si="36"/>
        <v>0</v>
      </c>
      <c r="X163" s="178" t="str">
        <f t="shared" si="45"/>
        <v/>
      </c>
      <c r="Y163" s="178" t="str">
        <f t="shared" si="46"/>
        <v/>
      </c>
      <c r="Z163" s="178" t="str">
        <f t="shared" si="47"/>
        <v/>
      </c>
      <c r="AA163" s="178" t="str">
        <f t="shared" si="48"/>
        <v/>
      </c>
      <c r="AB163" s="178" t="str">
        <f t="shared" si="49"/>
        <v/>
      </c>
      <c r="AC163" s="178" t="str">
        <f t="shared" si="50"/>
        <v/>
      </c>
      <c r="AD163" s="267" t="s">
        <v>316</v>
      </c>
      <c r="AF163" s="149" t="str">
        <f t="shared" si="44"/>
        <v/>
      </c>
      <c r="AH163" s="178" t="str">
        <f t="shared" si="37"/>
        <v/>
      </c>
      <c r="AI163" s="178" t="str">
        <f t="shared" si="38"/>
        <v/>
      </c>
      <c r="AJ163" s="178" t="str">
        <f t="shared" si="39"/>
        <v/>
      </c>
      <c r="AK163" s="178" t="str">
        <f t="shared" si="40"/>
        <v/>
      </c>
      <c r="AL163" t="s">
        <v>327</v>
      </c>
      <c r="AN163" s="149" t="str">
        <f t="shared" si="41"/>
        <v/>
      </c>
      <c r="AQ163" s="178" t="str">
        <f t="shared" ca="1" si="42"/>
        <v/>
      </c>
      <c r="AR163" s="178" t="str">
        <f t="shared" ca="1" si="43"/>
        <v/>
      </c>
    </row>
    <row r="164" spans="1:44" x14ac:dyDescent="0.2">
      <c r="A164" t="str">
        <f>IF(B164="","",CONCATENATE("GBL",B164," - ",Mantenedor!E175))</f>
        <v/>
      </c>
      <c r="P164" t="str">
        <f t="shared" si="35"/>
        <v/>
      </c>
      <c r="Q164" s="266" t="str" cm="1">
        <f t="array" ref="Q164">+_xlfn.IFS(O164="Nacional","CLP",O164="Extranjero","USD",O164="","")</f>
        <v/>
      </c>
      <c r="R164" s="262" t="str">
        <f>IFERROR(IF(O164="Nacional",VLOOKUP(P164,PRICING!$D$4:$E$59,2,FALSE),VLOOKUP(P164,PRICING!$J$4:$K$59,2,FALSE)),"")</f>
        <v/>
      </c>
      <c r="S164"/>
      <c r="V164" s="262"/>
      <c r="W164" s="280">
        <f t="shared" si="36"/>
        <v>0</v>
      </c>
      <c r="X164" s="178" t="str">
        <f t="shared" si="45"/>
        <v/>
      </c>
      <c r="Y164" s="178" t="str">
        <f t="shared" si="46"/>
        <v/>
      </c>
      <c r="Z164" s="178" t="str">
        <f t="shared" si="47"/>
        <v/>
      </c>
      <c r="AA164" s="178" t="str">
        <f t="shared" si="48"/>
        <v/>
      </c>
      <c r="AB164" s="178" t="str">
        <f t="shared" si="49"/>
        <v/>
      </c>
      <c r="AC164" s="178" t="str">
        <f t="shared" si="50"/>
        <v/>
      </c>
      <c r="AD164" s="267" t="s">
        <v>316</v>
      </c>
      <c r="AF164" s="149" t="str">
        <f t="shared" si="44"/>
        <v/>
      </c>
      <c r="AH164" s="178" t="str">
        <f t="shared" si="37"/>
        <v/>
      </c>
      <c r="AI164" s="178" t="str">
        <f t="shared" si="38"/>
        <v/>
      </c>
      <c r="AJ164" s="178" t="str">
        <f t="shared" si="39"/>
        <v/>
      </c>
      <c r="AK164" s="178" t="str">
        <f t="shared" si="40"/>
        <v/>
      </c>
      <c r="AL164" t="s">
        <v>327</v>
      </c>
      <c r="AN164" s="149" t="str">
        <f t="shared" si="41"/>
        <v/>
      </c>
      <c r="AQ164" s="178" t="str">
        <f t="shared" ca="1" si="42"/>
        <v/>
      </c>
      <c r="AR164" s="178" t="str">
        <f t="shared" ca="1" si="43"/>
        <v/>
      </c>
    </row>
    <row r="165" spans="1:44" x14ac:dyDescent="0.2">
      <c r="A165" t="str">
        <f>IF(B165="","",CONCATENATE("GBL",B165," - ",Mantenedor!E176))</f>
        <v/>
      </c>
      <c r="P165" t="str">
        <f t="shared" si="35"/>
        <v/>
      </c>
      <c r="Q165" s="266" t="str" cm="1">
        <f t="array" ref="Q165">+_xlfn.IFS(O165="Nacional","CLP",O165="Extranjero","USD",O165="","")</f>
        <v/>
      </c>
      <c r="R165" s="262" t="str">
        <f>IFERROR(IF(O165="Nacional",VLOOKUP(P165,PRICING!$D$4:$E$59,2,FALSE),VLOOKUP(P165,PRICING!$J$4:$K$59,2,FALSE)),"")</f>
        <v/>
      </c>
      <c r="S165"/>
      <c r="V165" s="262"/>
      <c r="W165" s="280">
        <f t="shared" si="36"/>
        <v>0</v>
      </c>
      <c r="X165" s="178" t="str">
        <f t="shared" si="45"/>
        <v/>
      </c>
      <c r="Y165" s="178" t="str">
        <f t="shared" si="46"/>
        <v/>
      </c>
      <c r="Z165" s="178" t="str">
        <f t="shared" si="47"/>
        <v/>
      </c>
      <c r="AA165" s="178" t="str">
        <f t="shared" si="48"/>
        <v/>
      </c>
      <c r="AB165" s="178" t="str">
        <f t="shared" si="49"/>
        <v/>
      </c>
      <c r="AC165" s="178" t="str">
        <f t="shared" si="50"/>
        <v/>
      </c>
      <c r="AD165" s="267" t="s">
        <v>316</v>
      </c>
      <c r="AF165" s="149" t="str">
        <f t="shared" si="44"/>
        <v/>
      </c>
      <c r="AH165" s="178" t="str">
        <f t="shared" si="37"/>
        <v/>
      </c>
      <c r="AI165" s="178" t="str">
        <f t="shared" si="38"/>
        <v/>
      </c>
      <c r="AJ165" s="178" t="str">
        <f t="shared" si="39"/>
        <v/>
      </c>
      <c r="AK165" s="178" t="str">
        <f t="shared" si="40"/>
        <v/>
      </c>
      <c r="AL165" t="s">
        <v>327</v>
      </c>
      <c r="AN165" s="149" t="str">
        <f t="shared" si="41"/>
        <v/>
      </c>
      <c r="AQ165" s="178" t="str">
        <f t="shared" ca="1" si="42"/>
        <v/>
      </c>
      <c r="AR165" s="178" t="str">
        <f t="shared" ca="1" si="43"/>
        <v/>
      </c>
    </row>
    <row r="166" spans="1:44" x14ac:dyDescent="0.2">
      <c r="A166" t="str">
        <f>IF(B166="","",CONCATENATE("GBL",B166," - ",Mantenedor!E177))</f>
        <v/>
      </c>
      <c r="P166" t="str">
        <f t="shared" si="35"/>
        <v/>
      </c>
      <c r="Q166" s="266" t="str" cm="1">
        <f t="array" ref="Q166">+_xlfn.IFS(O166="Nacional","CLP",O166="Extranjero","USD",O166="","")</f>
        <v/>
      </c>
      <c r="R166" s="262" t="str">
        <f>IFERROR(IF(O166="Nacional",VLOOKUP(P166,PRICING!$D$4:$E$59,2,FALSE),VLOOKUP(P166,PRICING!$J$4:$K$59,2,FALSE)),"")</f>
        <v/>
      </c>
      <c r="S166"/>
      <c r="V166" s="262"/>
      <c r="W166" s="280">
        <f t="shared" si="36"/>
        <v>0</v>
      </c>
      <c r="X166" s="178" t="str">
        <f t="shared" si="45"/>
        <v/>
      </c>
      <c r="Y166" s="178" t="str">
        <f t="shared" si="46"/>
        <v/>
      </c>
      <c r="Z166" s="178" t="str">
        <f t="shared" si="47"/>
        <v/>
      </c>
      <c r="AA166" s="178" t="str">
        <f t="shared" si="48"/>
        <v/>
      </c>
      <c r="AB166" s="178" t="str">
        <f t="shared" si="49"/>
        <v/>
      </c>
      <c r="AC166" s="178" t="str">
        <f t="shared" si="50"/>
        <v/>
      </c>
      <c r="AD166" s="267" t="s">
        <v>316</v>
      </c>
      <c r="AF166" s="149" t="str">
        <f t="shared" si="44"/>
        <v/>
      </c>
      <c r="AH166" s="178" t="str">
        <f t="shared" si="37"/>
        <v/>
      </c>
      <c r="AI166" s="178" t="str">
        <f t="shared" si="38"/>
        <v/>
      </c>
      <c r="AJ166" s="178" t="str">
        <f t="shared" si="39"/>
        <v/>
      </c>
      <c r="AK166" s="178" t="str">
        <f t="shared" si="40"/>
        <v/>
      </c>
      <c r="AL166" t="s">
        <v>327</v>
      </c>
      <c r="AN166" s="149" t="str">
        <f t="shared" si="41"/>
        <v/>
      </c>
      <c r="AQ166" s="178" t="str">
        <f t="shared" ca="1" si="42"/>
        <v/>
      </c>
      <c r="AR166" s="178" t="str">
        <f t="shared" ca="1" si="43"/>
        <v/>
      </c>
    </row>
    <row r="167" spans="1:44" x14ac:dyDescent="0.2">
      <c r="A167" t="str">
        <f>IF(B167="","",CONCATENATE("GBL",B167," - ",Mantenedor!E178))</f>
        <v/>
      </c>
      <c r="P167" t="str">
        <f t="shared" si="35"/>
        <v/>
      </c>
      <c r="Q167" s="266" t="str" cm="1">
        <f t="array" ref="Q167">+_xlfn.IFS(O167="Nacional","CLP",O167="Extranjero","USD",O167="","")</f>
        <v/>
      </c>
      <c r="R167" s="262" t="str">
        <f>IFERROR(IF(O167="Nacional",VLOOKUP(P167,PRICING!$D$4:$E$59,2,FALSE),VLOOKUP(P167,PRICING!$J$4:$K$59,2,FALSE)),"")</f>
        <v/>
      </c>
      <c r="S167"/>
      <c r="V167" s="262"/>
      <c r="W167" s="280">
        <f t="shared" si="36"/>
        <v>0</v>
      </c>
      <c r="X167" s="178" t="str">
        <f t="shared" si="45"/>
        <v/>
      </c>
      <c r="Y167" s="178" t="str">
        <f t="shared" si="46"/>
        <v/>
      </c>
      <c r="Z167" s="178" t="str">
        <f t="shared" si="47"/>
        <v/>
      </c>
      <c r="AA167" s="178" t="str">
        <f t="shared" si="48"/>
        <v/>
      </c>
      <c r="AB167" s="178" t="str">
        <f t="shared" si="49"/>
        <v/>
      </c>
      <c r="AC167" s="178" t="str">
        <f t="shared" si="50"/>
        <v/>
      </c>
      <c r="AD167" s="267" t="s">
        <v>316</v>
      </c>
      <c r="AF167" s="149" t="str">
        <f t="shared" si="44"/>
        <v/>
      </c>
      <c r="AH167" s="178" t="str">
        <f t="shared" si="37"/>
        <v/>
      </c>
      <c r="AI167" s="178" t="str">
        <f t="shared" si="38"/>
        <v/>
      </c>
      <c r="AJ167" s="178" t="str">
        <f t="shared" si="39"/>
        <v/>
      </c>
      <c r="AK167" s="178" t="str">
        <f t="shared" si="40"/>
        <v/>
      </c>
      <c r="AL167" t="s">
        <v>327</v>
      </c>
      <c r="AN167" s="149" t="str">
        <f t="shared" si="41"/>
        <v/>
      </c>
      <c r="AQ167" s="178" t="str">
        <f t="shared" ca="1" si="42"/>
        <v/>
      </c>
      <c r="AR167" s="178" t="str">
        <f t="shared" ca="1" si="43"/>
        <v/>
      </c>
    </row>
    <row r="168" spans="1:44" x14ac:dyDescent="0.2">
      <c r="A168" t="str">
        <f>IF(B168="","",CONCATENATE("GBL",B168," - ",Mantenedor!E179))</f>
        <v/>
      </c>
      <c r="P168" t="str">
        <f t="shared" si="35"/>
        <v/>
      </c>
      <c r="Q168" s="266" t="str" cm="1">
        <f t="array" ref="Q168">+_xlfn.IFS(O168="Nacional","CLP",O168="Extranjero","USD",O168="","")</f>
        <v/>
      </c>
      <c r="R168" s="262" t="str">
        <f>IFERROR(IF(O168="Nacional",VLOOKUP(P168,PRICING!$D$4:$E$59,2,FALSE),VLOOKUP(P168,PRICING!$J$4:$K$59,2,FALSE)),"")</f>
        <v/>
      </c>
      <c r="S168"/>
      <c r="V168" s="262"/>
      <c r="W168" s="280">
        <f t="shared" si="36"/>
        <v>0</v>
      </c>
      <c r="X168" s="178" t="str">
        <f t="shared" si="45"/>
        <v/>
      </c>
      <c r="Y168" s="178" t="str">
        <f t="shared" si="46"/>
        <v/>
      </c>
      <c r="Z168" s="178" t="str">
        <f t="shared" si="47"/>
        <v/>
      </c>
      <c r="AA168" s="178" t="str">
        <f t="shared" si="48"/>
        <v/>
      </c>
      <c r="AB168" s="178" t="str">
        <f t="shared" si="49"/>
        <v/>
      </c>
      <c r="AC168" s="178" t="str">
        <f t="shared" si="50"/>
        <v/>
      </c>
      <c r="AD168" s="267" t="s">
        <v>316</v>
      </c>
      <c r="AF168" s="149" t="str">
        <f t="shared" si="44"/>
        <v/>
      </c>
      <c r="AH168" s="178" t="str">
        <f t="shared" si="37"/>
        <v/>
      </c>
      <c r="AI168" s="178" t="str">
        <f t="shared" si="38"/>
        <v/>
      </c>
      <c r="AJ168" s="178" t="str">
        <f t="shared" si="39"/>
        <v/>
      </c>
      <c r="AK168" s="178" t="str">
        <f t="shared" si="40"/>
        <v/>
      </c>
      <c r="AL168" t="s">
        <v>327</v>
      </c>
      <c r="AN168" s="149" t="str">
        <f t="shared" si="41"/>
        <v/>
      </c>
      <c r="AQ168" s="178" t="str">
        <f t="shared" ca="1" si="42"/>
        <v/>
      </c>
      <c r="AR168" s="178" t="str">
        <f t="shared" ca="1" si="43"/>
        <v/>
      </c>
    </row>
    <row r="169" spans="1:44" x14ac:dyDescent="0.2">
      <c r="A169" t="str">
        <f>IF(B169="","",CONCATENATE("GBL",B169," - ",Mantenedor!E180))</f>
        <v/>
      </c>
      <c r="P169" t="str">
        <f t="shared" si="35"/>
        <v/>
      </c>
      <c r="Q169" s="266" t="str" cm="1">
        <f t="array" ref="Q169">+_xlfn.IFS(O169="Nacional","CLP",O169="Extranjero","USD",O169="","")</f>
        <v/>
      </c>
      <c r="R169" s="262" t="str">
        <f>IFERROR(IF(O169="Nacional",VLOOKUP(P169,PRICING!$D$4:$E$59,2,FALSE),VLOOKUP(P169,PRICING!$J$4:$K$59,2,FALSE)),"")</f>
        <v/>
      </c>
      <c r="S169"/>
      <c r="V169" s="262"/>
      <c r="W169" s="280">
        <f t="shared" si="36"/>
        <v>0</v>
      </c>
      <c r="X169" s="178" t="str">
        <f t="shared" si="45"/>
        <v/>
      </c>
      <c r="Y169" s="178" t="str">
        <f t="shared" si="46"/>
        <v/>
      </c>
      <c r="Z169" s="178" t="str">
        <f t="shared" si="47"/>
        <v/>
      </c>
      <c r="AA169" s="178" t="str">
        <f t="shared" si="48"/>
        <v/>
      </c>
      <c r="AB169" s="178" t="str">
        <f t="shared" si="49"/>
        <v/>
      </c>
      <c r="AC169" s="178" t="str">
        <f t="shared" si="50"/>
        <v/>
      </c>
      <c r="AD169" s="267" t="s">
        <v>316</v>
      </c>
      <c r="AF169" s="149" t="str">
        <f t="shared" si="44"/>
        <v/>
      </c>
      <c r="AH169" s="178" t="str">
        <f t="shared" si="37"/>
        <v/>
      </c>
      <c r="AI169" s="178" t="str">
        <f t="shared" si="38"/>
        <v/>
      </c>
      <c r="AJ169" s="178" t="str">
        <f t="shared" si="39"/>
        <v/>
      </c>
      <c r="AK169" s="178" t="str">
        <f t="shared" si="40"/>
        <v/>
      </c>
      <c r="AL169" t="s">
        <v>327</v>
      </c>
      <c r="AN169" s="149" t="str">
        <f t="shared" si="41"/>
        <v/>
      </c>
      <c r="AQ169" s="178" t="str">
        <f t="shared" ca="1" si="42"/>
        <v/>
      </c>
      <c r="AR169" s="178" t="str">
        <f t="shared" ca="1" si="43"/>
        <v/>
      </c>
    </row>
    <row r="170" spans="1:44" x14ac:dyDescent="0.2">
      <c r="A170" t="str">
        <f>IF(B170="","",CONCATENATE("GBL",B170," - ",Mantenedor!E181))</f>
        <v/>
      </c>
      <c r="P170" t="str">
        <f t="shared" si="35"/>
        <v/>
      </c>
      <c r="Q170" s="266" t="str" cm="1">
        <f t="array" ref="Q170">+_xlfn.IFS(O170="Nacional","CLP",O170="Extranjero","USD",O170="","")</f>
        <v/>
      </c>
      <c r="R170" s="262" t="str">
        <f>IFERROR(IF(O170="Nacional",VLOOKUP(P170,PRICING!$D$4:$E$59,2,FALSE),VLOOKUP(P170,PRICING!$J$4:$K$59,2,FALSE)),"")</f>
        <v/>
      </c>
      <c r="S170"/>
      <c r="V170" s="262"/>
      <c r="W170" s="280">
        <f t="shared" si="36"/>
        <v>0</v>
      </c>
      <c r="X170" s="178" t="str">
        <f t="shared" si="45"/>
        <v/>
      </c>
      <c r="Y170" s="178" t="str">
        <f t="shared" si="46"/>
        <v/>
      </c>
      <c r="Z170" s="178" t="str">
        <f t="shared" si="47"/>
        <v/>
      </c>
      <c r="AA170" s="178" t="str">
        <f t="shared" si="48"/>
        <v/>
      </c>
      <c r="AB170" s="178" t="str">
        <f t="shared" si="49"/>
        <v/>
      </c>
      <c r="AC170" s="178" t="str">
        <f t="shared" si="50"/>
        <v/>
      </c>
      <c r="AD170" s="267" t="s">
        <v>316</v>
      </c>
      <c r="AF170" s="149" t="str">
        <f t="shared" si="44"/>
        <v/>
      </c>
      <c r="AH170" s="178" t="str">
        <f t="shared" si="37"/>
        <v/>
      </c>
      <c r="AI170" s="178" t="str">
        <f t="shared" si="38"/>
        <v/>
      </c>
      <c r="AJ170" s="178" t="str">
        <f t="shared" si="39"/>
        <v/>
      </c>
      <c r="AK170" s="178" t="str">
        <f t="shared" si="40"/>
        <v/>
      </c>
      <c r="AL170" t="s">
        <v>327</v>
      </c>
      <c r="AN170" s="149" t="str">
        <f t="shared" si="41"/>
        <v/>
      </c>
      <c r="AQ170" s="178" t="str">
        <f t="shared" ca="1" si="42"/>
        <v/>
      </c>
      <c r="AR170" s="178" t="str">
        <f t="shared" ca="1" si="43"/>
        <v/>
      </c>
    </row>
    <row r="171" spans="1:44" x14ac:dyDescent="0.2">
      <c r="A171" t="str">
        <f>IF(B171="","",CONCATENATE("GBL",B171," - ",Mantenedor!E182))</f>
        <v/>
      </c>
      <c r="P171" t="str">
        <f t="shared" si="35"/>
        <v/>
      </c>
      <c r="Q171" s="266" t="str" cm="1">
        <f t="array" ref="Q171">+_xlfn.IFS(O171="Nacional","CLP",O171="Extranjero","USD",O171="","")</f>
        <v/>
      </c>
      <c r="R171" s="262" t="str">
        <f>IFERROR(IF(O171="Nacional",VLOOKUP(P171,PRICING!$D$4:$E$59,2,FALSE),VLOOKUP(P171,PRICING!$J$4:$K$59,2,FALSE)),"")</f>
        <v/>
      </c>
      <c r="S171"/>
      <c r="V171" s="262"/>
      <c r="W171" s="280">
        <f t="shared" si="36"/>
        <v>0</v>
      </c>
      <c r="X171" s="178" t="str">
        <f t="shared" si="45"/>
        <v/>
      </c>
      <c r="Y171" s="178" t="str">
        <f t="shared" si="46"/>
        <v/>
      </c>
      <c r="Z171" s="178" t="str">
        <f t="shared" si="47"/>
        <v/>
      </c>
      <c r="AA171" s="178" t="str">
        <f t="shared" si="48"/>
        <v/>
      </c>
      <c r="AB171" s="178" t="str">
        <f t="shared" si="49"/>
        <v/>
      </c>
      <c r="AC171" s="178" t="str">
        <f t="shared" si="50"/>
        <v/>
      </c>
      <c r="AD171" s="267" t="s">
        <v>316</v>
      </c>
      <c r="AF171" s="149" t="str">
        <f t="shared" si="44"/>
        <v/>
      </c>
      <c r="AH171" s="178" t="str">
        <f t="shared" si="37"/>
        <v/>
      </c>
      <c r="AI171" s="178" t="str">
        <f t="shared" si="38"/>
        <v/>
      </c>
      <c r="AJ171" s="178" t="str">
        <f t="shared" si="39"/>
        <v/>
      </c>
      <c r="AK171" s="178" t="str">
        <f t="shared" si="40"/>
        <v/>
      </c>
      <c r="AL171" t="s">
        <v>327</v>
      </c>
      <c r="AN171" s="149" t="str">
        <f t="shared" si="41"/>
        <v/>
      </c>
      <c r="AQ171" s="178" t="str">
        <f t="shared" ca="1" si="42"/>
        <v/>
      </c>
      <c r="AR171" s="178" t="str">
        <f t="shared" ca="1" si="43"/>
        <v/>
      </c>
    </row>
    <row r="172" spans="1:44" x14ac:dyDescent="0.2">
      <c r="A172" t="str">
        <f>IF(B172="","",CONCATENATE("GBL",B172," - ",Mantenedor!E183))</f>
        <v/>
      </c>
      <c r="P172" t="str">
        <f t="shared" si="35"/>
        <v/>
      </c>
      <c r="Q172" s="266" t="str" cm="1">
        <f t="array" ref="Q172">+_xlfn.IFS(O172="Nacional","CLP",O172="Extranjero","USD",O172="","")</f>
        <v/>
      </c>
      <c r="R172" s="262" t="str">
        <f>IFERROR(IF(O172="Nacional",VLOOKUP(P172,PRICING!$D$4:$E$59,2,FALSE),VLOOKUP(P172,PRICING!$J$4:$K$59,2,FALSE)),"")</f>
        <v/>
      </c>
      <c r="S172"/>
      <c r="V172" s="262"/>
      <c r="W172" s="280">
        <f t="shared" si="36"/>
        <v>0</v>
      </c>
      <c r="X172" s="178" t="str">
        <f t="shared" si="45"/>
        <v/>
      </c>
      <c r="Y172" s="178" t="str">
        <f t="shared" si="46"/>
        <v/>
      </c>
      <c r="Z172" s="178" t="str">
        <f t="shared" si="47"/>
        <v/>
      </c>
      <c r="AA172" s="178" t="str">
        <f t="shared" si="48"/>
        <v/>
      </c>
      <c r="AB172" s="178" t="str">
        <f t="shared" si="49"/>
        <v/>
      </c>
      <c r="AC172" s="178" t="str">
        <f t="shared" si="50"/>
        <v/>
      </c>
      <c r="AD172" s="267" t="s">
        <v>316</v>
      </c>
      <c r="AF172" s="149" t="str">
        <f t="shared" si="44"/>
        <v/>
      </c>
      <c r="AH172" s="178" t="str">
        <f t="shared" si="37"/>
        <v/>
      </c>
      <c r="AI172" s="178" t="str">
        <f t="shared" si="38"/>
        <v/>
      </c>
      <c r="AJ172" s="178" t="str">
        <f t="shared" si="39"/>
        <v/>
      </c>
      <c r="AK172" s="178" t="str">
        <f t="shared" si="40"/>
        <v/>
      </c>
      <c r="AL172" t="s">
        <v>327</v>
      </c>
      <c r="AN172" s="149" t="str">
        <f t="shared" si="41"/>
        <v/>
      </c>
      <c r="AQ172" s="178" t="str">
        <f t="shared" ca="1" si="42"/>
        <v/>
      </c>
      <c r="AR172" s="178" t="str">
        <f t="shared" ca="1" si="43"/>
        <v/>
      </c>
    </row>
    <row r="173" spans="1:44" x14ac:dyDescent="0.2">
      <c r="A173" t="str">
        <f>IF(B173="","",CONCATENATE("GBL",B173," - ",Mantenedor!E184))</f>
        <v/>
      </c>
      <c r="P173" t="str">
        <f t="shared" si="35"/>
        <v/>
      </c>
      <c r="Q173" s="266" t="str" cm="1">
        <f t="array" ref="Q173">+_xlfn.IFS(O173="Nacional","CLP",O173="Extranjero","USD",O173="","")</f>
        <v/>
      </c>
      <c r="R173" s="262" t="str">
        <f>IFERROR(IF(O173="Nacional",VLOOKUP(P173,PRICING!$D$4:$E$59,2,FALSE),VLOOKUP(P173,PRICING!$J$4:$K$59,2,FALSE)),"")</f>
        <v/>
      </c>
      <c r="S173"/>
      <c r="V173" s="262"/>
      <c r="W173" s="280">
        <f t="shared" si="36"/>
        <v>0</v>
      </c>
      <c r="X173" s="178" t="str">
        <f t="shared" si="45"/>
        <v/>
      </c>
      <c r="Y173" s="178" t="str">
        <f t="shared" si="46"/>
        <v/>
      </c>
      <c r="Z173" s="178" t="str">
        <f t="shared" si="47"/>
        <v/>
      </c>
      <c r="AA173" s="178" t="str">
        <f t="shared" si="48"/>
        <v/>
      </c>
      <c r="AB173" s="178" t="str">
        <f t="shared" si="49"/>
        <v/>
      </c>
      <c r="AC173" s="178" t="str">
        <f t="shared" si="50"/>
        <v/>
      </c>
      <c r="AD173" s="267" t="s">
        <v>316</v>
      </c>
      <c r="AF173" s="149" t="str">
        <f t="shared" si="44"/>
        <v/>
      </c>
      <c r="AH173" s="178" t="str">
        <f t="shared" si="37"/>
        <v/>
      </c>
      <c r="AI173" s="178" t="str">
        <f t="shared" si="38"/>
        <v/>
      </c>
      <c r="AJ173" s="178" t="str">
        <f t="shared" si="39"/>
        <v/>
      </c>
      <c r="AK173" s="178" t="str">
        <f t="shared" si="40"/>
        <v/>
      </c>
      <c r="AL173" t="s">
        <v>327</v>
      </c>
      <c r="AN173" s="149" t="str">
        <f t="shared" si="41"/>
        <v/>
      </c>
      <c r="AQ173" s="178" t="str">
        <f t="shared" ca="1" si="42"/>
        <v/>
      </c>
      <c r="AR173" s="178" t="str">
        <f t="shared" ca="1" si="43"/>
        <v/>
      </c>
    </row>
    <row r="174" spans="1:44" x14ac:dyDescent="0.2">
      <c r="A174" t="str">
        <f>IF(B174="","",CONCATENATE("GBL",B174," - ",Mantenedor!E185))</f>
        <v/>
      </c>
      <c r="P174" t="str">
        <f t="shared" si="35"/>
        <v/>
      </c>
      <c r="Q174" s="266" t="str" cm="1">
        <f t="array" ref="Q174">+_xlfn.IFS(O174="Nacional","CLP",O174="Extranjero","USD",O174="","")</f>
        <v/>
      </c>
      <c r="R174" s="262" t="str">
        <f>IFERROR(IF(O174="Nacional",VLOOKUP(P174,PRICING!$D$4:$E$59,2,FALSE),VLOOKUP(P174,PRICING!$J$4:$K$59,2,FALSE)),"")</f>
        <v/>
      </c>
      <c r="S174"/>
      <c r="V174" s="262"/>
      <c r="W174" s="280">
        <f t="shared" si="36"/>
        <v>0</v>
      </c>
      <c r="X174" s="178" t="str">
        <f t="shared" si="45"/>
        <v/>
      </c>
      <c r="Y174" s="178" t="str">
        <f t="shared" si="46"/>
        <v/>
      </c>
      <c r="Z174" s="178" t="str">
        <f t="shared" si="47"/>
        <v/>
      </c>
      <c r="AA174" s="178" t="str">
        <f t="shared" si="48"/>
        <v/>
      </c>
      <c r="AB174" s="178" t="str">
        <f t="shared" si="49"/>
        <v/>
      </c>
      <c r="AC174" s="178" t="str">
        <f t="shared" si="50"/>
        <v/>
      </c>
      <c r="AD174" s="267" t="s">
        <v>316</v>
      </c>
      <c r="AF174" s="149" t="str">
        <f t="shared" si="44"/>
        <v/>
      </c>
      <c r="AH174" s="178" t="str">
        <f t="shared" si="37"/>
        <v/>
      </c>
      <c r="AI174" s="178" t="str">
        <f t="shared" si="38"/>
        <v/>
      </c>
      <c r="AJ174" s="178" t="str">
        <f t="shared" si="39"/>
        <v/>
      </c>
      <c r="AK174" s="178" t="str">
        <f t="shared" si="40"/>
        <v/>
      </c>
      <c r="AL174" t="s">
        <v>327</v>
      </c>
      <c r="AN174" s="149" t="str">
        <f t="shared" si="41"/>
        <v/>
      </c>
      <c r="AQ174" s="178" t="str">
        <f t="shared" ca="1" si="42"/>
        <v/>
      </c>
      <c r="AR174" s="178" t="str">
        <f t="shared" ca="1" si="43"/>
        <v/>
      </c>
    </row>
    <row r="175" spans="1:44" x14ac:dyDescent="0.2">
      <c r="A175" t="str">
        <f>IF(B175="","",CONCATENATE("GBL",B175," - ",Mantenedor!E186))</f>
        <v/>
      </c>
      <c r="P175" t="str">
        <f t="shared" si="35"/>
        <v/>
      </c>
      <c r="Q175" s="266" t="str" cm="1">
        <f t="array" ref="Q175">+_xlfn.IFS(O175="Nacional","CLP",O175="Extranjero","USD",O175="","")</f>
        <v/>
      </c>
      <c r="R175" s="262" t="str">
        <f>IFERROR(IF(O175="Nacional",VLOOKUP(P175,PRICING!$D$4:$E$59,2,FALSE),VLOOKUP(P175,PRICING!$J$4:$K$59,2,FALSE)),"")</f>
        <v/>
      </c>
      <c r="S175"/>
      <c r="V175" s="262"/>
      <c r="W175" s="280">
        <f t="shared" si="36"/>
        <v>0</v>
      </c>
      <c r="X175" s="178" t="str">
        <f t="shared" si="45"/>
        <v/>
      </c>
      <c r="Y175" s="178" t="str">
        <f t="shared" si="46"/>
        <v/>
      </c>
      <c r="Z175" s="178" t="str">
        <f t="shared" si="47"/>
        <v/>
      </c>
      <c r="AA175" s="178" t="str">
        <f t="shared" si="48"/>
        <v/>
      </c>
      <c r="AB175" s="178" t="str">
        <f t="shared" si="49"/>
        <v/>
      </c>
      <c r="AC175" s="178" t="str">
        <f t="shared" si="50"/>
        <v/>
      </c>
      <c r="AD175" s="267" t="s">
        <v>316</v>
      </c>
      <c r="AF175" s="149" t="str">
        <f t="shared" si="44"/>
        <v/>
      </c>
      <c r="AH175" s="178" t="str">
        <f t="shared" si="37"/>
        <v/>
      </c>
      <c r="AI175" s="178" t="str">
        <f t="shared" si="38"/>
        <v/>
      </c>
      <c r="AJ175" s="178" t="str">
        <f t="shared" si="39"/>
        <v/>
      </c>
      <c r="AK175" s="178" t="str">
        <f t="shared" si="40"/>
        <v/>
      </c>
      <c r="AL175" t="s">
        <v>327</v>
      </c>
      <c r="AN175" s="149" t="str">
        <f t="shared" si="41"/>
        <v/>
      </c>
      <c r="AQ175" s="178" t="str">
        <f t="shared" ca="1" si="42"/>
        <v/>
      </c>
      <c r="AR175" s="178" t="str">
        <f t="shared" ca="1" si="43"/>
        <v/>
      </c>
    </row>
    <row r="176" spans="1:44" x14ac:dyDescent="0.2">
      <c r="A176" t="str">
        <f>IF(B176="","",CONCATENATE("GBL",B176," - ",Mantenedor!E187))</f>
        <v/>
      </c>
      <c r="P176" t="str">
        <f t="shared" si="35"/>
        <v/>
      </c>
      <c r="Q176" s="266" t="str" cm="1">
        <f t="array" ref="Q176">+_xlfn.IFS(O176="Nacional","CLP",O176="Extranjero","USD",O176="","")</f>
        <v/>
      </c>
      <c r="R176" s="262" t="str">
        <f>IFERROR(IF(O176="Nacional",VLOOKUP(P176,PRICING!$D$4:$E$59,2,FALSE),VLOOKUP(P176,PRICING!$J$4:$K$59,2,FALSE)),"")</f>
        <v/>
      </c>
      <c r="S176"/>
      <c r="V176" s="262"/>
      <c r="W176" s="280">
        <f t="shared" si="36"/>
        <v>0</v>
      </c>
      <c r="X176" s="178" t="str">
        <f t="shared" si="45"/>
        <v/>
      </c>
      <c r="Y176" s="178" t="str">
        <f t="shared" si="46"/>
        <v/>
      </c>
      <c r="Z176" s="178" t="str">
        <f t="shared" si="47"/>
        <v/>
      </c>
      <c r="AA176" s="178" t="str">
        <f t="shared" si="48"/>
        <v/>
      </c>
      <c r="AB176" s="178" t="str">
        <f t="shared" si="49"/>
        <v/>
      </c>
      <c r="AC176" s="178" t="str">
        <f t="shared" si="50"/>
        <v/>
      </c>
      <c r="AD176" s="267" t="s">
        <v>316</v>
      </c>
      <c r="AF176" s="149" t="str">
        <f t="shared" si="44"/>
        <v/>
      </c>
      <c r="AH176" s="178" t="str">
        <f t="shared" si="37"/>
        <v/>
      </c>
      <c r="AI176" s="178" t="str">
        <f t="shared" si="38"/>
        <v/>
      </c>
      <c r="AJ176" s="178" t="str">
        <f t="shared" si="39"/>
        <v/>
      </c>
      <c r="AK176" s="178" t="str">
        <f t="shared" si="40"/>
        <v/>
      </c>
      <c r="AL176" t="s">
        <v>327</v>
      </c>
      <c r="AN176" s="149" t="str">
        <f t="shared" si="41"/>
        <v/>
      </c>
      <c r="AQ176" s="178" t="str">
        <f t="shared" ca="1" si="42"/>
        <v/>
      </c>
      <c r="AR176" s="178" t="str">
        <f t="shared" ca="1" si="43"/>
        <v/>
      </c>
    </row>
    <row r="177" spans="1:44" x14ac:dyDescent="0.2">
      <c r="A177" t="str">
        <f>IF(B177="","",CONCATENATE("GBL",B177," - ",Mantenedor!E188))</f>
        <v/>
      </c>
      <c r="P177" t="str">
        <f t="shared" si="35"/>
        <v/>
      </c>
      <c r="Q177" s="266" t="str" cm="1">
        <f t="array" ref="Q177">+_xlfn.IFS(O177="Nacional","CLP",O177="Extranjero","USD",O177="","")</f>
        <v/>
      </c>
      <c r="R177" s="262" t="str">
        <f>IFERROR(IF(O177="Nacional",VLOOKUP(P177,PRICING!$D$4:$E$59,2,FALSE),VLOOKUP(P177,PRICING!$J$4:$K$59,2,FALSE)),"")</f>
        <v/>
      </c>
      <c r="S177"/>
      <c r="V177" s="262"/>
      <c r="W177" s="280">
        <f t="shared" si="36"/>
        <v>0</v>
      </c>
      <c r="X177" s="178" t="str">
        <f t="shared" si="45"/>
        <v/>
      </c>
      <c r="Y177" s="178" t="str">
        <f t="shared" si="46"/>
        <v/>
      </c>
      <c r="Z177" s="178" t="str">
        <f t="shared" si="47"/>
        <v/>
      </c>
      <c r="AA177" s="178" t="str">
        <f t="shared" si="48"/>
        <v/>
      </c>
      <c r="AB177" s="178" t="str">
        <f t="shared" si="49"/>
        <v/>
      </c>
      <c r="AC177" s="178" t="str">
        <f t="shared" si="50"/>
        <v/>
      </c>
      <c r="AD177" s="267" t="s">
        <v>316</v>
      </c>
      <c r="AF177" s="149" t="str">
        <f t="shared" si="44"/>
        <v/>
      </c>
      <c r="AH177" s="178" t="str">
        <f t="shared" si="37"/>
        <v/>
      </c>
      <c r="AI177" s="178" t="str">
        <f t="shared" si="38"/>
        <v/>
      </c>
      <c r="AJ177" s="178" t="str">
        <f t="shared" si="39"/>
        <v/>
      </c>
      <c r="AK177" s="178" t="str">
        <f t="shared" si="40"/>
        <v/>
      </c>
      <c r="AL177" t="s">
        <v>327</v>
      </c>
      <c r="AN177" s="149" t="str">
        <f t="shared" si="41"/>
        <v/>
      </c>
      <c r="AQ177" s="178" t="str">
        <f t="shared" ca="1" si="42"/>
        <v/>
      </c>
      <c r="AR177" s="178" t="str">
        <f t="shared" ca="1" si="43"/>
        <v/>
      </c>
    </row>
    <row r="178" spans="1:44" x14ac:dyDescent="0.2">
      <c r="A178" t="str">
        <f>IF(B178="","",CONCATENATE("GBL",B178," - ",Mantenedor!E189))</f>
        <v/>
      </c>
      <c r="P178" t="str">
        <f t="shared" si="35"/>
        <v/>
      </c>
      <c r="Q178" s="266" t="str" cm="1">
        <f t="array" ref="Q178">+_xlfn.IFS(O178="Nacional","CLP",O178="Extranjero","USD",O178="","")</f>
        <v/>
      </c>
      <c r="R178" s="262" t="str">
        <f>IFERROR(IF(O178="Nacional",VLOOKUP(P178,PRICING!$D$4:$E$59,2,FALSE),VLOOKUP(P178,PRICING!$J$4:$K$59,2,FALSE)),"")</f>
        <v/>
      </c>
      <c r="S178"/>
      <c r="V178" s="262"/>
      <c r="W178" s="280">
        <f t="shared" si="36"/>
        <v>0</v>
      </c>
      <c r="X178" s="178" t="str">
        <f t="shared" si="45"/>
        <v/>
      </c>
      <c r="Y178" s="178" t="str">
        <f t="shared" si="46"/>
        <v/>
      </c>
      <c r="Z178" s="178" t="str">
        <f t="shared" si="47"/>
        <v/>
      </c>
      <c r="AA178" s="178" t="str">
        <f t="shared" si="48"/>
        <v/>
      </c>
      <c r="AB178" s="178" t="str">
        <f t="shared" si="49"/>
        <v/>
      </c>
      <c r="AC178" s="178" t="str">
        <f t="shared" si="50"/>
        <v/>
      </c>
      <c r="AD178" s="267" t="s">
        <v>316</v>
      </c>
      <c r="AF178" s="149" t="str">
        <f t="shared" si="44"/>
        <v/>
      </c>
      <c r="AH178" s="178" t="str">
        <f t="shared" si="37"/>
        <v/>
      </c>
      <c r="AI178" s="178" t="str">
        <f t="shared" si="38"/>
        <v/>
      </c>
      <c r="AJ178" s="178" t="str">
        <f t="shared" si="39"/>
        <v/>
      </c>
      <c r="AK178" s="178" t="str">
        <f t="shared" si="40"/>
        <v/>
      </c>
      <c r="AL178" t="s">
        <v>327</v>
      </c>
      <c r="AN178" s="149" t="str">
        <f t="shared" si="41"/>
        <v/>
      </c>
      <c r="AQ178" s="178" t="str">
        <f t="shared" ca="1" si="42"/>
        <v/>
      </c>
      <c r="AR178" s="178" t="str">
        <f t="shared" ca="1" si="43"/>
        <v/>
      </c>
    </row>
    <row r="179" spans="1:44" x14ac:dyDescent="0.2">
      <c r="A179" t="str">
        <f>IF(B179="","",CONCATENATE("GBL",B179," - ",Mantenedor!E190))</f>
        <v/>
      </c>
      <c r="P179" t="str">
        <f t="shared" si="35"/>
        <v/>
      </c>
      <c r="Q179" s="266" t="str" cm="1">
        <f t="array" ref="Q179">+_xlfn.IFS(O179="Nacional","CLP",O179="Extranjero","USD",O179="","")</f>
        <v/>
      </c>
      <c r="R179" s="262" t="str">
        <f>IFERROR(IF(O179="Nacional",VLOOKUP(P179,PRICING!$D$4:$E$59,2,FALSE),VLOOKUP(P179,PRICING!$J$4:$K$59,2,FALSE)),"")</f>
        <v/>
      </c>
      <c r="S179"/>
      <c r="V179" s="262"/>
      <c r="W179" s="280">
        <f t="shared" si="36"/>
        <v>0</v>
      </c>
      <c r="X179" s="178" t="str">
        <f t="shared" si="45"/>
        <v/>
      </c>
      <c r="Y179" s="178" t="str">
        <f t="shared" si="46"/>
        <v/>
      </c>
      <c r="Z179" s="178" t="str">
        <f t="shared" si="47"/>
        <v/>
      </c>
      <c r="AA179" s="178" t="str">
        <f t="shared" si="48"/>
        <v/>
      </c>
      <c r="AB179" s="178" t="str">
        <f t="shared" si="49"/>
        <v/>
      </c>
      <c r="AC179" s="178" t="str">
        <f t="shared" si="50"/>
        <v/>
      </c>
      <c r="AD179" s="267" t="s">
        <v>316</v>
      </c>
      <c r="AF179" s="149" t="str">
        <f t="shared" si="44"/>
        <v/>
      </c>
      <c r="AH179" s="178" t="str">
        <f t="shared" si="37"/>
        <v/>
      </c>
      <c r="AI179" s="178" t="str">
        <f t="shared" si="38"/>
        <v/>
      </c>
      <c r="AJ179" s="178" t="str">
        <f t="shared" si="39"/>
        <v/>
      </c>
      <c r="AK179" s="178" t="str">
        <f t="shared" si="40"/>
        <v/>
      </c>
      <c r="AL179" t="s">
        <v>327</v>
      </c>
      <c r="AN179" s="149" t="str">
        <f t="shared" si="41"/>
        <v/>
      </c>
      <c r="AQ179" s="178" t="str">
        <f t="shared" ca="1" si="42"/>
        <v/>
      </c>
      <c r="AR179" s="178" t="str">
        <f t="shared" ca="1" si="43"/>
        <v/>
      </c>
    </row>
    <row r="180" spans="1:44" x14ac:dyDescent="0.2">
      <c r="A180" t="str">
        <f>IF(B180="","",CONCATENATE("GBL",B180," - ",Mantenedor!E191))</f>
        <v/>
      </c>
      <c r="P180" t="str">
        <f t="shared" si="35"/>
        <v/>
      </c>
      <c r="Q180" s="266" t="str" cm="1">
        <f t="array" ref="Q180">+_xlfn.IFS(O180="Nacional","CLP",O180="Extranjero","USD",O180="","")</f>
        <v/>
      </c>
      <c r="R180" s="262" t="str">
        <f>IFERROR(IF(O180="Nacional",VLOOKUP(P180,PRICING!$D$4:$E$59,2,FALSE),VLOOKUP(P180,PRICING!$J$4:$K$59,2,FALSE)),"")</f>
        <v/>
      </c>
      <c r="S180"/>
      <c r="V180" s="262"/>
      <c r="W180" s="280">
        <f t="shared" si="36"/>
        <v>0</v>
      </c>
      <c r="X180" s="178" t="str">
        <f t="shared" si="45"/>
        <v/>
      </c>
      <c r="Y180" s="178" t="str">
        <f t="shared" si="46"/>
        <v/>
      </c>
      <c r="Z180" s="178" t="str">
        <f t="shared" si="47"/>
        <v/>
      </c>
      <c r="AA180" s="178" t="str">
        <f t="shared" si="48"/>
        <v/>
      </c>
      <c r="AB180" s="178" t="str">
        <f t="shared" si="49"/>
        <v/>
      </c>
      <c r="AC180" s="178" t="str">
        <f t="shared" si="50"/>
        <v/>
      </c>
      <c r="AD180" s="267" t="s">
        <v>316</v>
      </c>
      <c r="AF180" s="149" t="str">
        <f t="shared" si="44"/>
        <v/>
      </c>
      <c r="AH180" s="178" t="str">
        <f t="shared" si="37"/>
        <v/>
      </c>
      <c r="AI180" s="178" t="str">
        <f t="shared" si="38"/>
        <v/>
      </c>
      <c r="AJ180" s="178" t="str">
        <f t="shared" si="39"/>
        <v/>
      </c>
      <c r="AK180" s="178" t="str">
        <f t="shared" si="40"/>
        <v/>
      </c>
      <c r="AL180" t="s">
        <v>327</v>
      </c>
      <c r="AN180" s="149" t="str">
        <f t="shared" si="41"/>
        <v/>
      </c>
      <c r="AQ180" s="178" t="str">
        <f t="shared" ca="1" si="42"/>
        <v/>
      </c>
      <c r="AR180" s="178" t="str">
        <f t="shared" ca="1" si="43"/>
        <v/>
      </c>
    </row>
    <row r="181" spans="1:44" x14ac:dyDescent="0.2">
      <c r="A181" t="str">
        <f>IF(B181="","",CONCATENATE("GBL",B181," - ",Mantenedor!E192))</f>
        <v/>
      </c>
      <c r="P181" t="str">
        <f t="shared" si="35"/>
        <v/>
      </c>
      <c r="Q181" s="266" t="str" cm="1">
        <f t="array" ref="Q181">+_xlfn.IFS(O181="Nacional","CLP",O181="Extranjero","USD",O181="","")</f>
        <v/>
      </c>
      <c r="R181" s="262" t="str">
        <f>IFERROR(IF(O181="Nacional",VLOOKUP(P181,PRICING!$D$4:$E$59,2,FALSE),VLOOKUP(P181,PRICING!$J$4:$K$59,2,FALSE)),"")</f>
        <v/>
      </c>
      <c r="S181"/>
      <c r="V181" s="262"/>
      <c r="W181" s="280">
        <f t="shared" si="36"/>
        <v>0</v>
      </c>
      <c r="X181" s="178" t="str">
        <f t="shared" si="45"/>
        <v/>
      </c>
      <c r="Y181" s="178" t="str">
        <f t="shared" si="46"/>
        <v/>
      </c>
      <c r="Z181" s="178" t="str">
        <f t="shared" si="47"/>
        <v/>
      </c>
      <c r="AA181" s="178" t="str">
        <f t="shared" si="48"/>
        <v/>
      </c>
      <c r="AB181" s="178" t="str">
        <f t="shared" si="49"/>
        <v/>
      </c>
      <c r="AC181" s="178" t="str">
        <f t="shared" si="50"/>
        <v/>
      </c>
      <c r="AD181" s="267" t="s">
        <v>316</v>
      </c>
      <c r="AF181" s="149" t="str">
        <f t="shared" si="44"/>
        <v/>
      </c>
      <c r="AH181" s="178" t="str">
        <f t="shared" si="37"/>
        <v/>
      </c>
      <c r="AI181" s="178" t="str">
        <f t="shared" si="38"/>
        <v/>
      </c>
      <c r="AJ181" s="178" t="str">
        <f t="shared" si="39"/>
        <v/>
      </c>
      <c r="AK181" s="178" t="str">
        <f t="shared" si="40"/>
        <v/>
      </c>
      <c r="AL181" t="s">
        <v>327</v>
      </c>
      <c r="AN181" s="149" t="str">
        <f t="shared" si="41"/>
        <v/>
      </c>
      <c r="AQ181" s="178" t="str">
        <f t="shared" ca="1" si="42"/>
        <v/>
      </c>
      <c r="AR181" s="178" t="str">
        <f t="shared" ca="1" si="43"/>
        <v/>
      </c>
    </row>
    <row r="182" spans="1:44" x14ac:dyDescent="0.2">
      <c r="A182" t="str">
        <f>IF(B182="","",CONCATENATE("GBL",B182," - ",Mantenedor!E193))</f>
        <v/>
      </c>
      <c r="P182" t="str">
        <f t="shared" si="35"/>
        <v/>
      </c>
      <c r="Q182" s="266" t="str" cm="1">
        <f t="array" ref="Q182">+_xlfn.IFS(O182="Nacional","CLP",O182="Extranjero","USD",O182="","")</f>
        <v/>
      </c>
      <c r="R182" s="262" t="str">
        <f>IFERROR(IF(O182="Nacional",VLOOKUP(P182,PRICING!$D$4:$E$59,2,FALSE),VLOOKUP(P182,PRICING!$J$4:$K$59,2,FALSE)),"")</f>
        <v/>
      </c>
      <c r="S182"/>
      <c r="V182" s="262"/>
      <c r="W182" s="280">
        <f t="shared" si="36"/>
        <v>0</v>
      </c>
      <c r="X182" s="178" t="str">
        <f t="shared" si="45"/>
        <v/>
      </c>
      <c r="Y182" s="178" t="str">
        <f t="shared" si="46"/>
        <v/>
      </c>
      <c r="Z182" s="178" t="str">
        <f t="shared" si="47"/>
        <v/>
      </c>
      <c r="AA182" s="178" t="str">
        <f t="shared" si="48"/>
        <v/>
      </c>
      <c r="AB182" s="178" t="str">
        <f t="shared" si="49"/>
        <v/>
      </c>
      <c r="AC182" s="178" t="str">
        <f t="shared" si="50"/>
        <v/>
      </c>
      <c r="AD182" s="267" t="s">
        <v>316</v>
      </c>
      <c r="AF182" s="149" t="str">
        <f t="shared" si="44"/>
        <v/>
      </c>
      <c r="AH182" s="178" t="str">
        <f t="shared" si="37"/>
        <v/>
      </c>
      <c r="AI182" s="178" t="str">
        <f t="shared" si="38"/>
        <v/>
      </c>
      <c r="AJ182" s="178" t="str">
        <f t="shared" si="39"/>
        <v/>
      </c>
      <c r="AK182" s="178" t="str">
        <f t="shared" si="40"/>
        <v/>
      </c>
      <c r="AL182" t="s">
        <v>327</v>
      </c>
      <c r="AN182" s="149" t="str">
        <f t="shared" si="41"/>
        <v/>
      </c>
      <c r="AQ182" s="178" t="str">
        <f t="shared" ca="1" si="42"/>
        <v/>
      </c>
      <c r="AR182" s="178" t="str">
        <f t="shared" ca="1" si="43"/>
        <v/>
      </c>
    </row>
    <row r="183" spans="1:44" x14ac:dyDescent="0.2">
      <c r="A183" t="str">
        <f>IF(B183="","",CONCATENATE("GBL",B183," - ",Mantenedor!E194))</f>
        <v/>
      </c>
      <c r="P183" t="str">
        <f t="shared" si="35"/>
        <v/>
      </c>
      <c r="Q183" s="266" t="str" cm="1">
        <f t="array" ref="Q183">+_xlfn.IFS(O183="Nacional","CLP",O183="Extranjero","USD",O183="","")</f>
        <v/>
      </c>
      <c r="R183" s="262" t="str">
        <f>IFERROR(IF(O183="Nacional",VLOOKUP(P183,PRICING!$D$4:$E$59,2,FALSE),VLOOKUP(P183,PRICING!$J$4:$K$59,2,FALSE)),"")</f>
        <v/>
      </c>
      <c r="S183"/>
      <c r="V183" s="262"/>
      <c r="W183" s="280">
        <f t="shared" si="36"/>
        <v>0</v>
      </c>
      <c r="X183" s="178" t="str">
        <f t="shared" si="45"/>
        <v/>
      </c>
      <c r="Y183" s="178" t="str">
        <f t="shared" si="46"/>
        <v/>
      </c>
      <c r="Z183" s="178" t="str">
        <f t="shared" si="47"/>
        <v/>
      </c>
      <c r="AA183" s="178" t="str">
        <f t="shared" si="48"/>
        <v/>
      </c>
      <c r="AB183" s="178" t="str">
        <f t="shared" si="49"/>
        <v/>
      </c>
      <c r="AC183" s="178" t="str">
        <f t="shared" si="50"/>
        <v/>
      </c>
      <c r="AD183" s="267" t="s">
        <v>316</v>
      </c>
      <c r="AF183" s="149" t="str">
        <f t="shared" si="44"/>
        <v/>
      </c>
      <c r="AH183" s="178" t="str">
        <f t="shared" si="37"/>
        <v/>
      </c>
      <c r="AI183" s="178" t="str">
        <f t="shared" si="38"/>
        <v/>
      </c>
      <c r="AJ183" s="178" t="str">
        <f t="shared" si="39"/>
        <v/>
      </c>
      <c r="AK183" s="178" t="str">
        <f t="shared" si="40"/>
        <v/>
      </c>
      <c r="AL183" t="s">
        <v>327</v>
      </c>
      <c r="AN183" s="149" t="str">
        <f t="shared" si="41"/>
        <v/>
      </c>
      <c r="AQ183" s="178" t="str">
        <f t="shared" ca="1" si="42"/>
        <v/>
      </c>
      <c r="AR183" s="178" t="str">
        <f t="shared" ca="1" si="43"/>
        <v/>
      </c>
    </row>
    <row r="184" spans="1:44" x14ac:dyDescent="0.2">
      <c r="A184" t="str">
        <f>IF(B184="","",CONCATENATE("GBL",B184," - ",Mantenedor!E195))</f>
        <v/>
      </c>
      <c r="P184" t="str">
        <f t="shared" ref="P184:P247" si="51">IF(N184="","",(IF(L184=1,(CONCATENATE("Base ",N184," ",L184," noche")),(CONCATENATE("Base ",N184," ",L184," noches")))))</f>
        <v/>
      </c>
      <c r="Q184" s="266" t="str" cm="1">
        <f t="array" ref="Q184">+_xlfn.IFS(O184="Nacional","CLP",O184="Extranjero","USD",O184="","")</f>
        <v/>
      </c>
      <c r="R184" s="262" t="str">
        <f>IFERROR(IF(O184="Nacional",VLOOKUP(P184,PRICING!$D$4:$E$59,2,FALSE),VLOOKUP(P184,PRICING!$J$4:$K$59,2,FALSE)),"")</f>
        <v/>
      </c>
      <c r="S184"/>
      <c r="V184" s="262"/>
      <c r="W184" s="280">
        <f t="shared" ref="W184:W247" si="52">IFERROR(+V184*(1-T184),"")</f>
        <v>0</v>
      </c>
      <c r="X184" s="178" t="str">
        <f t="shared" si="45"/>
        <v/>
      </c>
      <c r="Y184" s="178" t="str">
        <f t="shared" si="46"/>
        <v/>
      </c>
      <c r="Z184" s="178" t="str">
        <f t="shared" si="47"/>
        <v/>
      </c>
      <c r="AA184" s="178" t="str">
        <f t="shared" si="48"/>
        <v/>
      </c>
      <c r="AB184" s="178" t="str">
        <f t="shared" si="49"/>
        <v/>
      </c>
      <c r="AC184" s="178" t="str">
        <f t="shared" si="50"/>
        <v/>
      </c>
      <c r="AD184" s="267" t="s">
        <v>316</v>
      </c>
      <c r="AF184" s="149" t="str">
        <f t="shared" si="44"/>
        <v/>
      </c>
      <c r="AH184" s="178" t="str">
        <f t="shared" ref="AH184:AH247" si="53">+IF($M184="","",$M184-45)</f>
        <v/>
      </c>
      <c r="AI184" s="178" t="str">
        <f t="shared" ref="AI184:AI247" si="54">+IF($M184="","",$M184-30)</f>
        <v/>
      </c>
      <c r="AJ184" s="178" t="str">
        <f t="shared" ref="AJ184:AJ247" si="55">+IF($M184="","",$M184-15)</f>
        <v/>
      </c>
      <c r="AK184" s="178" t="str">
        <f t="shared" ref="AK184:AK247" si="56">+IF($M184="","",$M184-7)</f>
        <v/>
      </c>
      <c r="AL184" t="s">
        <v>327</v>
      </c>
      <c r="AN184" s="149" t="str">
        <f t="shared" ref="AN184:AN247" si="57">+IF(AM184="","",W184*0.5)</f>
        <v/>
      </c>
      <c r="AQ184" s="178" t="str">
        <f t="shared" ref="AQ184:AQ247" ca="1" si="58">IF(A183="","",+TODAY())</f>
        <v/>
      </c>
      <c r="AR184" s="178" t="str">
        <f t="shared" ref="AR184:AR247" ca="1" si="59">IF(A183="","",+TODAY())</f>
        <v/>
      </c>
    </row>
    <row r="185" spans="1:44" x14ac:dyDescent="0.2">
      <c r="A185" t="str">
        <f>IF(B185="","",CONCATENATE("GBL",B185," - ",Mantenedor!E196))</f>
        <v/>
      </c>
      <c r="P185" t="str">
        <f t="shared" si="51"/>
        <v/>
      </c>
      <c r="Q185" s="266" t="str" cm="1">
        <f t="array" ref="Q185">+_xlfn.IFS(O185="Nacional","CLP",O185="Extranjero","USD",O185="","")</f>
        <v/>
      </c>
      <c r="R185" s="262" t="str">
        <f>IFERROR(IF(O185="Nacional",VLOOKUP(P185,PRICING!$D$4:$E$59,2,FALSE),VLOOKUP(P185,PRICING!$J$4:$K$59,2,FALSE)),"")</f>
        <v/>
      </c>
      <c r="S185"/>
      <c r="V185" s="262"/>
      <c r="W185" s="280">
        <f t="shared" si="52"/>
        <v>0</v>
      </c>
      <c r="X185" s="178" t="str">
        <f t="shared" si="45"/>
        <v/>
      </c>
      <c r="Y185" s="178" t="str">
        <f t="shared" si="46"/>
        <v/>
      </c>
      <c r="Z185" s="178" t="str">
        <f t="shared" si="47"/>
        <v/>
      </c>
      <c r="AA185" s="178" t="str">
        <f t="shared" si="48"/>
        <v/>
      </c>
      <c r="AB185" s="178" t="str">
        <f t="shared" si="49"/>
        <v/>
      </c>
      <c r="AC185" s="178" t="str">
        <f t="shared" si="50"/>
        <v/>
      </c>
      <c r="AD185" s="267" t="s">
        <v>316</v>
      </c>
      <c r="AF185" s="149" t="str">
        <f t="shared" ref="AF185:AF248" si="60">+IF(AE185="","",W185*0.5)</f>
        <v/>
      </c>
      <c r="AH185" s="178" t="str">
        <f t="shared" si="53"/>
        <v/>
      </c>
      <c r="AI185" s="178" t="str">
        <f t="shared" si="54"/>
        <v/>
      </c>
      <c r="AJ185" s="178" t="str">
        <f t="shared" si="55"/>
        <v/>
      </c>
      <c r="AK185" s="178" t="str">
        <f t="shared" si="56"/>
        <v/>
      </c>
      <c r="AL185" t="s">
        <v>327</v>
      </c>
      <c r="AN185" s="149" t="str">
        <f t="shared" si="57"/>
        <v/>
      </c>
      <c r="AQ185" s="178" t="str">
        <f t="shared" ca="1" si="58"/>
        <v/>
      </c>
      <c r="AR185" s="178" t="str">
        <f t="shared" ca="1" si="59"/>
        <v/>
      </c>
    </row>
    <row r="186" spans="1:44" x14ac:dyDescent="0.2">
      <c r="A186" t="str">
        <f>IF(B186="","",CONCATENATE("GBL",B186," - ",Mantenedor!E197))</f>
        <v/>
      </c>
      <c r="P186" t="str">
        <f t="shared" si="51"/>
        <v/>
      </c>
      <c r="Q186" s="266" t="str" cm="1">
        <f t="array" ref="Q186">+_xlfn.IFS(O186="Nacional","CLP",O186="Extranjero","USD",O186="","")</f>
        <v/>
      </c>
      <c r="R186" s="262" t="str">
        <f>IFERROR(IF(O186="Nacional",VLOOKUP(P186,PRICING!$D$4:$E$59,2,FALSE),VLOOKUP(P186,PRICING!$J$4:$K$59,2,FALSE)),"")</f>
        <v/>
      </c>
      <c r="S186"/>
      <c r="V186" s="262"/>
      <c r="W186" s="280">
        <f t="shared" si="52"/>
        <v>0</v>
      </c>
      <c r="X186" s="178" t="str">
        <f t="shared" si="45"/>
        <v/>
      </c>
      <c r="Y186" s="178" t="str">
        <f t="shared" si="46"/>
        <v/>
      </c>
      <c r="Z186" s="178" t="str">
        <f t="shared" si="47"/>
        <v/>
      </c>
      <c r="AA186" s="178" t="str">
        <f t="shared" si="48"/>
        <v/>
      </c>
      <c r="AB186" s="178" t="str">
        <f t="shared" si="49"/>
        <v/>
      </c>
      <c r="AC186" s="178" t="str">
        <f t="shared" si="50"/>
        <v/>
      </c>
      <c r="AD186" s="267" t="s">
        <v>316</v>
      </c>
      <c r="AF186" s="149" t="str">
        <f t="shared" si="60"/>
        <v/>
      </c>
      <c r="AH186" s="178" t="str">
        <f t="shared" si="53"/>
        <v/>
      </c>
      <c r="AI186" s="178" t="str">
        <f t="shared" si="54"/>
        <v/>
      </c>
      <c r="AJ186" s="178" t="str">
        <f t="shared" si="55"/>
        <v/>
      </c>
      <c r="AK186" s="178" t="str">
        <f t="shared" si="56"/>
        <v/>
      </c>
      <c r="AL186" t="s">
        <v>327</v>
      </c>
      <c r="AN186" s="149" t="str">
        <f t="shared" si="57"/>
        <v/>
      </c>
      <c r="AQ186" s="178" t="str">
        <f t="shared" ca="1" si="58"/>
        <v/>
      </c>
      <c r="AR186" s="178" t="str">
        <f t="shared" ca="1" si="59"/>
        <v/>
      </c>
    </row>
    <row r="187" spans="1:44" x14ac:dyDescent="0.2">
      <c r="A187" t="str">
        <f>IF(B187="","",CONCATENATE("GBL",B187," - ",Mantenedor!E198))</f>
        <v/>
      </c>
      <c r="P187" t="str">
        <f t="shared" si="51"/>
        <v/>
      </c>
      <c r="Q187" s="266" t="str" cm="1">
        <f t="array" ref="Q187">+_xlfn.IFS(O187="Nacional","CLP",O187="Extranjero","USD",O187="","")</f>
        <v/>
      </c>
      <c r="R187" s="262" t="str">
        <f>IFERROR(IF(O187="Nacional",VLOOKUP(P187,PRICING!$D$4:$E$59,2,FALSE),VLOOKUP(P187,PRICING!$J$4:$K$59,2,FALSE)),"")</f>
        <v/>
      </c>
      <c r="S187"/>
      <c r="V187" s="262"/>
      <c r="W187" s="280">
        <f t="shared" si="52"/>
        <v>0</v>
      </c>
      <c r="X187" s="178" t="str">
        <f t="shared" si="45"/>
        <v/>
      </c>
      <c r="Y187" s="178" t="str">
        <f t="shared" si="46"/>
        <v/>
      </c>
      <c r="Z187" s="178" t="str">
        <f t="shared" si="47"/>
        <v/>
      </c>
      <c r="AA187" s="178" t="str">
        <f t="shared" si="48"/>
        <v/>
      </c>
      <c r="AB187" s="178" t="str">
        <f t="shared" si="49"/>
        <v/>
      </c>
      <c r="AC187" s="178" t="str">
        <f t="shared" si="50"/>
        <v/>
      </c>
      <c r="AD187" s="267" t="s">
        <v>316</v>
      </c>
      <c r="AF187" s="149" t="str">
        <f t="shared" si="60"/>
        <v/>
      </c>
      <c r="AH187" s="178" t="str">
        <f t="shared" si="53"/>
        <v/>
      </c>
      <c r="AI187" s="178" t="str">
        <f t="shared" si="54"/>
        <v/>
      </c>
      <c r="AJ187" s="178" t="str">
        <f t="shared" si="55"/>
        <v/>
      </c>
      <c r="AK187" s="178" t="str">
        <f t="shared" si="56"/>
        <v/>
      </c>
      <c r="AL187" t="s">
        <v>327</v>
      </c>
      <c r="AN187" s="149" t="str">
        <f t="shared" si="57"/>
        <v/>
      </c>
      <c r="AQ187" s="178" t="str">
        <f t="shared" ca="1" si="58"/>
        <v/>
      </c>
      <c r="AR187" s="178" t="str">
        <f t="shared" ca="1" si="59"/>
        <v/>
      </c>
    </row>
    <row r="188" spans="1:44" x14ac:dyDescent="0.2">
      <c r="A188" t="str">
        <f>IF(B188="","",CONCATENATE("GBL",B188," - ",Mantenedor!E199))</f>
        <v/>
      </c>
      <c r="P188" t="str">
        <f t="shared" si="51"/>
        <v/>
      </c>
      <c r="Q188" s="266" t="str" cm="1">
        <f t="array" ref="Q188">+_xlfn.IFS(O188="Nacional","CLP",O188="Extranjero","USD",O188="","")</f>
        <v/>
      </c>
      <c r="R188" s="262" t="str">
        <f>IFERROR(IF(O188="Nacional",VLOOKUP(P188,PRICING!$D$4:$E$59,2,FALSE),VLOOKUP(P188,PRICING!$J$4:$K$59,2,FALSE)),"")</f>
        <v/>
      </c>
      <c r="S188"/>
      <c r="V188" s="262"/>
      <c r="W188" s="280">
        <f t="shared" si="52"/>
        <v>0</v>
      </c>
      <c r="X188" s="178" t="str">
        <f t="shared" si="45"/>
        <v/>
      </c>
      <c r="Y188" s="178" t="str">
        <f t="shared" si="46"/>
        <v/>
      </c>
      <c r="Z188" s="178" t="str">
        <f t="shared" si="47"/>
        <v/>
      </c>
      <c r="AA188" s="178" t="str">
        <f t="shared" si="48"/>
        <v/>
      </c>
      <c r="AB188" s="178" t="str">
        <f t="shared" si="49"/>
        <v/>
      </c>
      <c r="AC188" s="178" t="str">
        <f t="shared" si="50"/>
        <v/>
      </c>
      <c r="AD188" s="267" t="s">
        <v>316</v>
      </c>
      <c r="AF188" s="149" t="str">
        <f t="shared" si="60"/>
        <v/>
      </c>
      <c r="AH188" s="178" t="str">
        <f t="shared" si="53"/>
        <v/>
      </c>
      <c r="AI188" s="178" t="str">
        <f t="shared" si="54"/>
        <v/>
      </c>
      <c r="AJ188" s="178" t="str">
        <f t="shared" si="55"/>
        <v/>
      </c>
      <c r="AK188" s="178" t="str">
        <f t="shared" si="56"/>
        <v/>
      </c>
      <c r="AL188" t="s">
        <v>327</v>
      </c>
      <c r="AN188" s="149" t="str">
        <f t="shared" si="57"/>
        <v/>
      </c>
      <c r="AQ188" s="178" t="str">
        <f t="shared" ca="1" si="58"/>
        <v/>
      </c>
      <c r="AR188" s="178" t="str">
        <f t="shared" ca="1" si="59"/>
        <v/>
      </c>
    </row>
    <row r="189" spans="1:44" x14ac:dyDescent="0.2">
      <c r="A189" t="str">
        <f>IF(B189="","",CONCATENATE("GBL",B189," - ",Mantenedor!E200))</f>
        <v/>
      </c>
      <c r="P189" t="str">
        <f t="shared" si="51"/>
        <v/>
      </c>
      <c r="Q189" s="266" t="str" cm="1">
        <f t="array" ref="Q189">+_xlfn.IFS(O189="Nacional","CLP",O189="Extranjero","USD",O189="","")</f>
        <v/>
      </c>
      <c r="R189" s="262" t="str">
        <f>IFERROR(IF(O189="Nacional",VLOOKUP(P189,PRICING!$D$4:$E$59,2,FALSE),VLOOKUP(P189,PRICING!$J$4:$K$59,2,FALSE)),"")</f>
        <v/>
      </c>
      <c r="S189"/>
      <c r="V189" s="262"/>
      <c r="W189" s="280">
        <f t="shared" si="52"/>
        <v>0</v>
      </c>
      <c r="X189" s="178" t="str">
        <f t="shared" si="45"/>
        <v/>
      </c>
      <c r="Y189" s="178" t="str">
        <f t="shared" si="46"/>
        <v/>
      </c>
      <c r="Z189" s="178" t="str">
        <f t="shared" si="47"/>
        <v/>
      </c>
      <c r="AA189" s="178" t="str">
        <f t="shared" si="48"/>
        <v/>
      </c>
      <c r="AB189" s="178" t="str">
        <f t="shared" si="49"/>
        <v/>
      </c>
      <c r="AC189" s="178" t="str">
        <f t="shared" si="50"/>
        <v/>
      </c>
      <c r="AD189" s="267" t="s">
        <v>316</v>
      </c>
      <c r="AF189" s="149" t="str">
        <f t="shared" si="60"/>
        <v/>
      </c>
      <c r="AH189" s="178" t="str">
        <f t="shared" si="53"/>
        <v/>
      </c>
      <c r="AI189" s="178" t="str">
        <f t="shared" si="54"/>
        <v/>
      </c>
      <c r="AJ189" s="178" t="str">
        <f t="shared" si="55"/>
        <v/>
      </c>
      <c r="AK189" s="178" t="str">
        <f t="shared" si="56"/>
        <v/>
      </c>
      <c r="AL189" t="s">
        <v>327</v>
      </c>
      <c r="AN189" s="149" t="str">
        <f t="shared" si="57"/>
        <v/>
      </c>
      <c r="AQ189" s="178" t="str">
        <f t="shared" ca="1" si="58"/>
        <v/>
      </c>
      <c r="AR189" s="178" t="str">
        <f t="shared" ca="1" si="59"/>
        <v/>
      </c>
    </row>
    <row r="190" spans="1:44" x14ac:dyDescent="0.2">
      <c r="A190" t="str">
        <f>IF(B190="","",CONCATENATE("GBL",B190," - ",Mantenedor!E201))</f>
        <v/>
      </c>
      <c r="P190" t="str">
        <f t="shared" si="51"/>
        <v/>
      </c>
      <c r="Q190" s="266" t="str" cm="1">
        <f t="array" ref="Q190">+_xlfn.IFS(O190="Nacional","CLP",O190="Extranjero","USD",O190="","")</f>
        <v/>
      </c>
      <c r="R190" s="262" t="str">
        <f>IFERROR(IF(O190="Nacional",VLOOKUP(P190,PRICING!$D$4:$E$59,2,FALSE),VLOOKUP(P190,PRICING!$J$4:$K$59,2,FALSE)),"")</f>
        <v/>
      </c>
      <c r="S190"/>
      <c r="V190" s="262"/>
      <c r="W190" s="280">
        <f t="shared" si="52"/>
        <v>0</v>
      </c>
      <c r="X190" s="178" t="str">
        <f t="shared" si="45"/>
        <v/>
      </c>
      <c r="Y190" s="178" t="str">
        <f t="shared" si="46"/>
        <v/>
      </c>
      <c r="Z190" s="178" t="str">
        <f t="shared" si="47"/>
        <v/>
      </c>
      <c r="AA190" s="178" t="str">
        <f t="shared" si="48"/>
        <v/>
      </c>
      <c r="AB190" s="178" t="str">
        <f t="shared" si="49"/>
        <v/>
      </c>
      <c r="AC190" s="178" t="str">
        <f t="shared" si="50"/>
        <v/>
      </c>
      <c r="AD190" s="267" t="s">
        <v>316</v>
      </c>
      <c r="AF190" s="149" t="str">
        <f t="shared" si="60"/>
        <v/>
      </c>
      <c r="AH190" s="178" t="str">
        <f t="shared" si="53"/>
        <v/>
      </c>
      <c r="AI190" s="178" t="str">
        <f t="shared" si="54"/>
        <v/>
      </c>
      <c r="AJ190" s="178" t="str">
        <f t="shared" si="55"/>
        <v/>
      </c>
      <c r="AK190" s="178" t="str">
        <f t="shared" si="56"/>
        <v/>
      </c>
      <c r="AL190" t="s">
        <v>327</v>
      </c>
      <c r="AN190" s="149" t="str">
        <f t="shared" si="57"/>
        <v/>
      </c>
      <c r="AQ190" s="178" t="str">
        <f t="shared" ca="1" si="58"/>
        <v/>
      </c>
      <c r="AR190" s="178" t="str">
        <f t="shared" ca="1" si="59"/>
        <v/>
      </c>
    </row>
    <row r="191" spans="1:44" x14ac:dyDescent="0.2">
      <c r="A191" t="str">
        <f>IF(B191="","",CONCATENATE("GBL",B191," - ",Mantenedor!E202))</f>
        <v/>
      </c>
      <c r="P191" t="str">
        <f t="shared" si="51"/>
        <v/>
      </c>
      <c r="Q191" s="266" t="str" cm="1">
        <f t="array" ref="Q191">+_xlfn.IFS(O191="Nacional","CLP",O191="Extranjero","USD",O191="","")</f>
        <v/>
      </c>
      <c r="R191" s="262" t="str">
        <f>IFERROR(IF(O191="Nacional",VLOOKUP(P191,PRICING!$D$4:$E$59,2,FALSE),VLOOKUP(P191,PRICING!$J$4:$K$59,2,FALSE)),"")</f>
        <v/>
      </c>
      <c r="S191"/>
      <c r="V191" s="262"/>
      <c r="W191" s="280">
        <f t="shared" si="52"/>
        <v>0</v>
      </c>
      <c r="X191" s="178" t="str">
        <f t="shared" si="45"/>
        <v/>
      </c>
      <c r="Y191" s="178" t="str">
        <f t="shared" si="46"/>
        <v/>
      </c>
      <c r="Z191" s="178" t="str">
        <f t="shared" si="47"/>
        <v/>
      </c>
      <c r="AA191" s="178" t="str">
        <f t="shared" si="48"/>
        <v/>
      </c>
      <c r="AB191" s="178" t="str">
        <f t="shared" si="49"/>
        <v/>
      </c>
      <c r="AC191" s="178" t="str">
        <f t="shared" si="50"/>
        <v/>
      </c>
      <c r="AD191" s="267" t="s">
        <v>316</v>
      </c>
      <c r="AF191" s="149" t="str">
        <f t="shared" si="60"/>
        <v/>
      </c>
      <c r="AH191" s="178" t="str">
        <f t="shared" si="53"/>
        <v/>
      </c>
      <c r="AI191" s="178" t="str">
        <f t="shared" si="54"/>
        <v/>
      </c>
      <c r="AJ191" s="178" t="str">
        <f t="shared" si="55"/>
        <v/>
      </c>
      <c r="AK191" s="178" t="str">
        <f t="shared" si="56"/>
        <v/>
      </c>
      <c r="AL191" t="s">
        <v>327</v>
      </c>
      <c r="AN191" s="149" t="str">
        <f t="shared" si="57"/>
        <v/>
      </c>
      <c r="AQ191" s="178" t="str">
        <f t="shared" ca="1" si="58"/>
        <v/>
      </c>
      <c r="AR191" s="178" t="str">
        <f t="shared" ca="1" si="59"/>
        <v/>
      </c>
    </row>
    <row r="192" spans="1:44" x14ac:dyDescent="0.2">
      <c r="A192" t="str">
        <f>IF(B192="","",CONCATENATE("GBL",B192," - ",Mantenedor!E203))</f>
        <v/>
      </c>
      <c r="P192" t="str">
        <f t="shared" si="51"/>
        <v/>
      </c>
      <c r="Q192" s="266" t="str" cm="1">
        <f t="array" ref="Q192">+_xlfn.IFS(O192="Nacional","CLP",O192="Extranjero","USD",O192="","")</f>
        <v/>
      </c>
      <c r="R192" s="262" t="str">
        <f>IFERROR(IF(O192="Nacional",VLOOKUP(P192,PRICING!$D$4:$E$59,2,FALSE),VLOOKUP(P192,PRICING!$J$4:$K$59,2,FALSE)),"")</f>
        <v/>
      </c>
      <c r="S192"/>
      <c r="V192" s="262"/>
      <c r="W192" s="280">
        <f t="shared" si="52"/>
        <v>0</v>
      </c>
      <c r="X192" s="178" t="str">
        <f t="shared" ref="X192:X255" si="61">IF($J192="","",$J192-105)</f>
        <v/>
      </c>
      <c r="Y192" s="178" t="str">
        <f t="shared" ref="Y192:Y255" si="62">IF($J192="","",$J192-90)</f>
        <v/>
      </c>
      <c r="Z192" s="178" t="str">
        <f t="shared" ref="Z192:Z255" si="63">IF($J192="","",$J192-75)</f>
        <v/>
      </c>
      <c r="AA192" s="178" t="str">
        <f t="shared" ref="AA192:AA255" si="64">IF($J192="","",$J192-60)</f>
        <v/>
      </c>
      <c r="AB192" s="178" t="str">
        <f t="shared" ref="AB192:AB255" si="65">IF($J192="","",$J192-45)</f>
        <v/>
      </c>
      <c r="AC192" s="178" t="str">
        <f t="shared" ref="AC192:AC255" si="66">IF($J192="","",$J192-30)</f>
        <v/>
      </c>
      <c r="AD192" s="267" t="s">
        <v>316</v>
      </c>
      <c r="AF192" s="149" t="str">
        <f t="shared" si="60"/>
        <v/>
      </c>
      <c r="AH192" s="178" t="str">
        <f t="shared" si="53"/>
        <v/>
      </c>
      <c r="AI192" s="178" t="str">
        <f t="shared" si="54"/>
        <v/>
      </c>
      <c r="AJ192" s="178" t="str">
        <f t="shared" si="55"/>
        <v/>
      </c>
      <c r="AK192" s="178" t="str">
        <f t="shared" si="56"/>
        <v/>
      </c>
      <c r="AL192" t="s">
        <v>327</v>
      </c>
      <c r="AN192" s="149" t="str">
        <f t="shared" si="57"/>
        <v/>
      </c>
      <c r="AQ192" s="178" t="str">
        <f t="shared" ca="1" si="58"/>
        <v/>
      </c>
      <c r="AR192" s="178" t="str">
        <f t="shared" ca="1" si="59"/>
        <v/>
      </c>
    </row>
    <row r="193" spans="1:44" x14ac:dyDescent="0.2">
      <c r="A193" t="str">
        <f>IF(B193="","",CONCATENATE("GBL",B193," - ",Mantenedor!E204))</f>
        <v/>
      </c>
      <c r="P193" t="str">
        <f t="shared" si="51"/>
        <v/>
      </c>
      <c r="Q193" s="266" t="str" cm="1">
        <f t="array" ref="Q193">+_xlfn.IFS(O193="Nacional","CLP",O193="Extranjero","USD",O193="","")</f>
        <v/>
      </c>
      <c r="R193" s="262" t="str">
        <f>IFERROR(IF(O193="Nacional",VLOOKUP(P193,PRICING!$D$4:$E$59,2,FALSE),VLOOKUP(P193,PRICING!$J$4:$K$59,2,FALSE)),"")</f>
        <v/>
      </c>
      <c r="S193"/>
      <c r="V193" s="262"/>
      <c r="W193" s="280">
        <f t="shared" si="52"/>
        <v>0</v>
      </c>
      <c r="X193" s="178" t="str">
        <f t="shared" si="61"/>
        <v/>
      </c>
      <c r="Y193" s="178" t="str">
        <f t="shared" si="62"/>
        <v/>
      </c>
      <c r="Z193" s="178" t="str">
        <f t="shared" si="63"/>
        <v/>
      </c>
      <c r="AA193" s="178" t="str">
        <f t="shared" si="64"/>
        <v/>
      </c>
      <c r="AB193" s="178" t="str">
        <f t="shared" si="65"/>
        <v/>
      </c>
      <c r="AC193" s="178" t="str">
        <f t="shared" si="66"/>
        <v/>
      </c>
      <c r="AD193" s="267" t="s">
        <v>316</v>
      </c>
      <c r="AF193" s="149" t="str">
        <f t="shared" si="60"/>
        <v/>
      </c>
      <c r="AH193" s="178" t="str">
        <f t="shared" si="53"/>
        <v/>
      </c>
      <c r="AI193" s="178" t="str">
        <f t="shared" si="54"/>
        <v/>
      </c>
      <c r="AJ193" s="178" t="str">
        <f t="shared" si="55"/>
        <v/>
      </c>
      <c r="AK193" s="178" t="str">
        <f t="shared" si="56"/>
        <v/>
      </c>
      <c r="AL193" t="s">
        <v>327</v>
      </c>
      <c r="AN193" s="149" t="str">
        <f t="shared" si="57"/>
        <v/>
      </c>
      <c r="AQ193" s="178" t="str">
        <f t="shared" ca="1" si="58"/>
        <v/>
      </c>
      <c r="AR193" s="178" t="str">
        <f t="shared" ca="1" si="59"/>
        <v/>
      </c>
    </row>
    <row r="194" spans="1:44" x14ac:dyDescent="0.2">
      <c r="A194" t="str">
        <f>IF(B194="","",CONCATENATE("GBL",B194," - ",Mantenedor!E205))</f>
        <v/>
      </c>
      <c r="P194" t="str">
        <f t="shared" si="51"/>
        <v/>
      </c>
      <c r="Q194" s="266" t="str" cm="1">
        <f t="array" ref="Q194">+_xlfn.IFS(O194="Nacional","CLP",O194="Extranjero","USD",O194="","")</f>
        <v/>
      </c>
      <c r="R194" s="262" t="str">
        <f>IFERROR(IF(O194="Nacional",VLOOKUP(P194,PRICING!$D$4:$E$59,2,FALSE),VLOOKUP(P194,PRICING!$J$4:$K$59,2,FALSE)),"")</f>
        <v/>
      </c>
      <c r="S194"/>
      <c r="V194" s="262"/>
      <c r="W194" s="280">
        <f t="shared" si="52"/>
        <v>0</v>
      </c>
      <c r="X194" s="178" t="str">
        <f t="shared" si="61"/>
        <v/>
      </c>
      <c r="Y194" s="178" t="str">
        <f t="shared" si="62"/>
        <v/>
      </c>
      <c r="Z194" s="178" t="str">
        <f t="shared" si="63"/>
        <v/>
      </c>
      <c r="AA194" s="178" t="str">
        <f t="shared" si="64"/>
        <v/>
      </c>
      <c r="AB194" s="178" t="str">
        <f t="shared" si="65"/>
        <v/>
      </c>
      <c r="AC194" s="178" t="str">
        <f t="shared" si="66"/>
        <v/>
      </c>
      <c r="AD194" s="267" t="s">
        <v>316</v>
      </c>
      <c r="AF194" s="149" t="str">
        <f t="shared" si="60"/>
        <v/>
      </c>
      <c r="AH194" s="178" t="str">
        <f t="shared" si="53"/>
        <v/>
      </c>
      <c r="AI194" s="178" t="str">
        <f t="shared" si="54"/>
        <v/>
      </c>
      <c r="AJ194" s="178" t="str">
        <f t="shared" si="55"/>
        <v/>
      </c>
      <c r="AK194" s="178" t="str">
        <f t="shared" si="56"/>
        <v/>
      </c>
      <c r="AL194" t="s">
        <v>327</v>
      </c>
      <c r="AN194" s="149" t="str">
        <f t="shared" si="57"/>
        <v/>
      </c>
      <c r="AQ194" s="178" t="str">
        <f t="shared" ca="1" si="58"/>
        <v/>
      </c>
      <c r="AR194" s="178" t="str">
        <f t="shared" ca="1" si="59"/>
        <v/>
      </c>
    </row>
    <row r="195" spans="1:44" x14ac:dyDescent="0.2">
      <c r="A195" t="str">
        <f>IF(B195="","",CONCATENATE("GBL",B195," - ",Mantenedor!E206))</f>
        <v/>
      </c>
      <c r="P195" t="str">
        <f t="shared" si="51"/>
        <v/>
      </c>
      <c r="Q195" s="266" t="str" cm="1">
        <f t="array" ref="Q195">+_xlfn.IFS(O195="Nacional","CLP",O195="Extranjero","USD",O195="","")</f>
        <v/>
      </c>
      <c r="R195" s="262" t="str">
        <f>IFERROR(IF(O195="Nacional",VLOOKUP(P195,PRICING!$D$4:$E$59,2,FALSE),VLOOKUP(P195,PRICING!$J$4:$K$59,2,FALSE)),"")</f>
        <v/>
      </c>
      <c r="S195"/>
      <c r="V195" s="262"/>
      <c r="W195" s="280">
        <f t="shared" si="52"/>
        <v>0</v>
      </c>
      <c r="X195" s="178" t="str">
        <f t="shared" si="61"/>
        <v/>
      </c>
      <c r="Y195" s="178" t="str">
        <f t="shared" si="62"/>
        <v/>
      </c>
      <c r="Z195" s="178" t="str">
        <f t="shared" si="63"/>
        <v/>
      </c>
      <c r="AA195" s="178" t="str">
        <f t="shared" si="64"/>
        <v/>
      </c>
      <c r="AB195" s="178" t="str">
        <f t="shared" si="65"/>
        <v/>
      </c>
      <c r="AC195" s="178" t="str">
        <f t="shared" si="66"/>
        <v/>
      </c>
      <c r="AD195" s="267" t="s">
        <v>316</v>
      </c>
      <c r="AF195" s="149" t="str">
        <f t="shared" si="60"/>
        <v/>
      </c>
      <c r="AH195" s="178" t="str">
        <f t="shared" si="53"/>
        <v/>
      </c>
      <c r="AI195" s="178" t="str">
        <f t="shared" si="54"/>
        <v/>
      </c>
      <c r="AJ195" s="178" t="str">
        <f t="shared" si="55"/>
        <v/>
      </c>
      <c r="AK195" s="178" t="str">
        <f t="shared" si="56"/>
        <v/>
      </c>
      <c r="AL195" t="s">
        <v>327</v>
      </c>
      <c r="AN195" s="149" t="str">
        <f t="shared" si="57"/>
        <v/>
      </c>
      <c r="AQ195" s="178" t="str">
        <f t="shared" ca="1" si="58"/>
        <v/>
      </c>
      <c r="AR195" s="178" t="str">
        <f t="shared" ca="1" si="59"/>
        <v/>
      </c>
    </row>
    <row r="196" spans="1:44" x14ac:dyDescent="0.2">
      <c r="A196" t="str">
        <f>IF(B196="","",CONCATENATE("GBL",B196," - ",Mantenedor!E207))</f>
        <v/>
      </c>
      <c r="P196" t="str">
        <f t="shared" si="51"/>
        <v/>
      </c>
      <c r="Q196" s="266" t="str" cm="1">
        <f t="array" ref="Q196">+_xlfn.IFS(O196="Nacional","CLP",O196="Extranjero","USD",O196="","")</f>
        <v/>
      </c>
      <c r="R196" s="262" t="str">
        <f>IFERROR(IF(O196="Nacional",VLOOKUP(P196,PRICING!$D$4:$E$59,2,FALSE),VLOOKUP(P196,PRICING!$J$4:$K$59,2,FALSE)),"")</f>
        <v/>
      </c>
      <c r="S196"/>
      <c r="V196" s="262"/>
      <c r="W196" s="280">
        <f t="shared" si="52"/>
        <v>0</v>
      </c>
      <c r="X196" s="178" t="str">
        <f t="shared" si="61"/>
        <v/>
      </c>
      <c r="Y196" s="178" t="str">
        <f t="shared" si="62"/>
        <v/>
      </c>
      <c r="Z196" s="178" t="str">
        <f t="shared" si="63"/>
        <v/>
      </c>
      <c r="AA196" s="178" t="str">
        <f t="shared" si="64"/>
        <v/>
      </c>
      <c r="AB196" s="178" t="str">
        <f t="shared" si="65"/>
        <v/>
      </c>
      <c r="AC196" s="178" t="str">
        <f t="shared" si="66"/>
        <v/>
      </c>
      <c r="AD196" s="267" t="s">
        <v>316</v>
      </c>
      <c r="AF196" s="149" t="str">
        <f t="shared" si="60"/>
        <v/>
      </c>
      <c r="AH196" s="178" t="str">
        <f t="shared" si="53"/>
        <v/>
      </c>
      <c r="AI196" s="178" t="str">
        <f t="shared" si="54"/>
        <v/>
      </c>
      <c r="AJ196" s="178" t="str">
        <f t="shared" si="55"/>
        <v/>
      </c>
      <c r="AK196" s="178" t="str">
        <f t="shared" si="56"/>
        <v/>
      </c>
      <c r="AL196" t="s">
        <v>327</v>
      </c>
      <c r="AN196" s="149" t="str">
        <f t="shared" si="57"/>
        <v/>
      </c>
      <c r="AQ196" s="178" t="str">
        <f t="shared" ca="1" si="58"/>
        <v/>
      </c>
      <c r="AR196" s="178" t="str">
        <f t="shared" ca="1" si="59"/>
        <v/>
      </c>
    </row>
    <row r="197" spans="1:44" x14ac:dyDescent="0.2">
      <c r="A197" t="str">
        <f>IF(B197="","",CONCATENATE("GBL",B197," - ",Mantenedor!E208))</f>
        <v/>
      </c>
      <c r="P197" t="str">
        <f t="shared" si="51"/>
        <v/>
      </c>
      <c r="Q197" s="266" t="str" cm="1">
        <f t="array" ref="Q197">+_xlfn.IFS(O197="Nacional","CLP",O197="Extranjero","USD",O197="","")</f>
        <v/>
      </c>
      <c r="R197" s="262" t="str">
        <f>IFERROR(IF(O197="Nacional",VLOOKUP(P197,PRICING!$D$4:$E$59,2,FALSE),VLOOKUP(P197,PRICING!$J$4:$K$59,2,FALSE)),"")</f>
        <v/>
      </c>
      <c r="S197"/>
      <c r="V197" s="262"/>
      <c r="W197" s="280">
        <f t="shared" si="52"/>
        <v>0</v>
      </c>
      <c r="X197" s="178" t="str">
        <f t="shared" si="61"/>
        <v/>
      </c>
      <c r="Y197" s="178" t="str">
        <f t="shared" si="62"/>
        <v/>
      </c>
      <c r="Z197" s="178" t="str">
        <f t="shared" si="63"/>
        <v/>
      </c>
      <c r="AA197" s="178" t="str">
        <f t="shared" si="64"/>
        <v/>
      </c>
      <c r="AB197" s="178" t="str">
        <f t="shared" si="65"/>
        <v/>
      </c>
      <c r="AC197" s="178" t="str">
        <f t="shared" si="66"/>
        <v/>
      </c>
      <c r="AD197" s="267" t="s">
        <v>316</v>
      </c>
      <c r="AF197" s="149" t="str">
        <f t="shared" si="60"/>
        <v/>
      </c>
      <c r="AH197" s="178" t="str">
        <f t="shared" si="53"/>
        <v/>
      </c>
      <c r="AI197" s="178" t="str">
        <f t="shared" si="54"/>
        <v/>
      </c>
      <c r="AJ197" s="178" t="str">
        <f t="shared" si="55"/>
        <v/>
      </c>
      <c r="AK197" s="178" t="str">
        <f t="shared" si="56"/>
        <v/>
      </c>
      <c r="AL197" t="s">
        <v>327</v>
      </c>
      <c r="AN197" s="149" t="str">
        <f t="shared" si="57"/>
        <v/>
      </c>
      <c r="AQ197" s="178" t="str">
        <f t="shared" ca="1" si="58"/>
        <v/>
      </c>
      <c r="AR197" s="178" t="str">
        <f t="shared" ca="1" si="59"/>
        <v/>
      </c>
    </row>
    <row r="198" spans="1:44" x14ac:dyDescent="0.2">
      <c r="A198" t="str">
        <f>IF(B198="","",CONCATENATE("GBL",B198," - ",Mantenedor!E209))</f>
        <v/>
      </c>
      <c r="P198" t="str">
        <f t="shared" si="51"/>
        <v/>
      </c>
      <c r="Q198" s="266" t="str" cm="1">
        <f t="array" ref="Q198">+_xlfn.IFS(O198="Nacional","CLP",O198="Extranjero","USD",O198="","")</f>
        <v/>
      </c>
      <c r="R198" s="262" t="str">
        <f>IFERROR(IF(O198="Nacional",VLOOKUP(P198,PRICING!$D$4:$E$59,2,FALSE),VLOOKUP(P198,PRICING!$J$4:$K$59,2,FALSE)),"")</f>
        <v/>
      </c>
      <c r="S198"/>
      <c r="V198" s="262"/>
      <c r="W198" s="280">
        <f t="shared" si="52"/>
        <v>0</v>
      </c>
      <c r="X198" s="178" t="str">
        <f t="shared" si="61"/>
        <v/>
      </c>
      <c r="Y198" s="178" t="str">
        <f t="shared" si="62"/>
        <v/>
      </c>
      <c r="Z198" s="178" t="str">
        <f t="shared" si="63"/>
        <v/>
      </c>
      <c r="AA198" s="178" t="str">
        <f t="shared" si="64"/>
        <v/>
      </c>
      <c r="AB198" s="178" t="str">
        <f t="shared" si="65"/>
        <v/>
      </c>
      <c r="AC198" s="178" t="str">
        <f t="shared" si="66"/>
        <v/>
      </c>
      <c r="AD198" s="267" t="s">
        <v>316</v>
      </c>
      <c r="AF198" s="149" t="str">
        <f t="shared" si="60"/>
        <v/>
      </c>
      <c r="AH198" s="178" t="str">
        <f t="shared" si="53"/>
        <v/>
      </c>
      <c r="AI198" s="178" t="str">
        <f t="shared" si="54"/>
        <v/>
      </c>
      <c r="AJ198" s="178" t="str">
        <f t="shared" si="55"/>
        <v/>
      </c>
      <c r="AK198" s="178" t="str">
        <f t="shared" si="56"/>
        <v/>
      </c>
      <c r="AL198" t="s">
        <v>327</v>
      </c>
      <c r="AN198" s="149" t="str">
        <f t="shared" si="57"/>
        <v/>
      </c>
      <c r="AQ198" s="178" t="str">
        <f t="shared" ca="1" si="58"/>
        <v/>
      </c>
      <c r="AR198" s="178" t="str">
        <f t="shared" ca="1" si="59"/>
        <v/>
      </c>
    </row>
    <row r="199" spans="1:44" x14ac:dyDescent="0.2">
      <c r="A199" t="str">
        <f>IF(B199="","",CONCATENATE("GBL",B199," - ",Mantenedor!E210))</f>
        <v/>
      </c>
      <c r="P199" t="str">
        <f t="shared" si="51"/>
        <v/>
      </c>
      <c r="Q199" s="266" t="str" cm="1">
        <f t="array" ref="Q199">+_xlfn.IFS(O199="Nacional","CLP",O199="Extranjero","USD",O199="","")</f>
        <v/>
      </c>
      <c r="R199" s="262" t="str">
        <f>IFERROR(IF(O199="Nacional",VLOOKUP(P199,PRICING!$D$4:$E$59,2,FALSE),VLOOKUP(P199,PRICING!$J$4:$K$59,2,FALSE)),"")</f>
        <v/>
      </c>
      <c r="S199"/>
      <c r="V199" s="262"/>
      <c r="W199" s="280">
        <f t="shared" si="52"/>
        <v>0</v>
      </c>
      <c r="X199" s="178" t="str">
        <f t="shared" si="61"/>
        <v/>
      </c>
      <c r="Y199" s="178" t="str">
        <f t="shared" si="62"/>
        <v/>
      </c>
      <c r="Z199" s="178" t="str">
        <f t="shared" si="63"/>
        <v/>
      </c>
      <c r="AA199" s="178" t="str">
        <f t="shared" si="64"/>
        <v/>
      </c>
      <c r="AB199" s="178" t="str">
        <f t="shared" si="65"/>
        <v/>
      </c>
      <c r="AC199" s="178" t="str">
        <f t="shared" si="66"/>
        <v/>
      </c>
      <c r="AD199" s="267" t="s">
        <v>316</v>
      </c>
      <c r="AF199" s="149" t="str">
        <f t="shared" si="60"/>
        <v/>
      </c>
      <c r="AH199" s="178" t="str">
        <f t="shared" si="53"/>
        <v/>
      </c>
      <c r="AI199" s="178" t="str">
        <f t="shared" si="54"/>
        <v/>
      </c>
      <c r="AJ199" s="178" t="str">
        <f t="shared" si="55"/>
        <v/>
      </c>
      <c r="AK199" s="178" t="str">
        <f t="shared" si="56"/>
        <v/>
      </c>
      <c r="AL199" t="s">
        <v>327</v>
      </c>
      <c r="AN199" s="149" t="str">
        <f t="shared" si="57"/>
        <v/>
      </c>
      <c r="AQ199" s="178" t="str">
        <f t="shared" ca="1" si="58"/>
        <v/>
      </c>
      <c r="AR199" s="178" t="str">
        <f t="shared" ca="1" si="59"/>
        <v/>
      </c>
    </row>
    <row r="200" spans="1:44" x14ac:dyDescent="0.2">
      <c r="A200" t="str">
        <f>IF(B200="","",CONCATENATE("GBL",B200," - ",Mantenedor!E211))</f>
        <v/>
      </c>
      <c r="P200" t="str">
        <f t="shared" si="51"/>
        <v/>
      </c>
      <c r="Q200" s="266" t="str" cm="1">
        <f t="array" ref="Q200">+_xlfn.IFS(O200="Nacional","CLP",O200="Extranjero","USD",O200="","")</f>
        <v/>
      </c>
      <c r="R200" s="262" t="str">
        <f>IFERROR(IF(O200="Nacional",VLOOKUP(P200,PRICING!$D$4:$E$59,2,FALSE),VLOOKUP(P200,PRICING!$J$4:$K$59,2,FALSE)),"")</f>
        <v/>
      </c>
      <c r="S200"/>
      <c r="V200" s="262"/>
      <c r="W200" s="280">
        <f t="shared" si="52"/>
        <v>0</v>
      </c>
      <c r="X200" s="178" t="str">
        <f t="shared" si="61"/>
        <v/>
      </c>
      <c r="Y200" s="178" t="str">
        <f t="shared" si="62"/>
        <v/>
      </c>
      <c r="Z200" s="178" t="str">
        <f t="shared" si="63"/>
        <v/>
      </c>
      <c r="AA200" s="178" t="str">
        <f t="shared" si="64"/>
        <v/>
      </c>
      <c r="AB200" s="178" t="str">
        <f t="shared" si="65"/>
        <v/>
      </c>
      <c r="AC200" s="178" t="str">
        <f t="shared" si="66"/>
        <v/>
      </c>
      <c r="AD200" s="267" t="s">
        <v>316</v>
      </c>
      <c r="AF200" s="149" t="str">
        <f t="shared" si="60"/>
        <v/>
      </c>
      <c r="AH200" s="178" t="str">
        <f t="shared" si="53"/>
        <v/>
      </c>
      <c r="AI200" s="178" t="str">
        <f t="shared" si="54"/>
        <v/>
      </c>
      <c r="AJ200" s="178" t="str">
        <f t="shared" si="55"/>
        <v/>
      </c>
      <c r="AK200" s="178" t="str">
        <f t="shared" si="56"/>
        <v/>
      </c>
      <c r="AL200" t="s">
        <v>327</v>
      </c>
      <c r="AN200" s="149" t="str">
        <f t="shared" si="57"/>
        <v/>
      </c>
      <c r="AQ200" s="178" t="str">
        <f t="shared" ca="1" si="58"/>
        <v/>
      </c>
      <c r="AR200" s="178" t="str">
        <f t="shared" ca="1" si="59"/>
        <v/>
      </c>
    </row>
    <row r="201" spans="1:44" x14ac:dyDescent="0.2">
      <c r="A201" t="str">
        <f>IF(B201="","",CONCATENATE("GBL",B201," - ",Mantenedor!E212))</f>
        <v/>
      </c>
      <c r="P201" t="str">
        <f t="shared" si="51"/>
        <v/>
      </c>
      <c r="Q201" s="266" t="str" cm="1">
        <f t="array" ref="Q201">+_xlfn.IFS(O201="Nacional","CLP",O201="Extranjero","USD",O201="","")</f>
        <v/>
      </c>
      <c r="R201" s="262" t="str">
        <f>IFERROR(IF(O201="Nacional",VLOOKUP(P201,PRICING!$D$4:$E$59,2,FALSE),VLOOKUP(P201,PRICING!$J$4:$K$59,2,FALSE)),"")</f>
        <v/>
      </c>
      <c r="S201"/>
      <c r="V201" s="262"/>
      <c r="W201" s="280">
        <f t="shared" si="52"/>
        <v>0</v>
      </c>
      <c r="X201" s="178" t="str">
        <f t="shared" si="61"/>
        <v/>
      </c>
      <c r="Y201" s="178" t="str">
        <f t="shared" si="62"/>
        <v/>
      </c>
      <c r="Z201" s="178" t="str">
        <f t="shared" si="63"/>
        <v/>
      </c>
      <c r="AA201" s="178" t="str">
        <f t="shared" si="64"/>
        <v/>
      </c>
      <c r="AB201" s="178" t="str">
        <f t="shared" si="65"/>
        <v/>
      </c>
      <c r="AC201" s="178" t="str">
        <f t="shared" si="66"/>
        <v/>
      </c>
      <c r="AD201" s="267" t="s">
        <v>316</v>
      </c>
      <c r="AF201" s="149" t="str">
        <f t="shared" si="60"/>
        <v/>
      </c>
      <c r="AH201" s="178" t="str">
        <f t="shared" si="53"/>
        <v/>
      </c>
      <c r="AI201" s="178" t="str">
        <f t="shared" si="54"/>
        <v/>
      </c>
      <c r="AJ201" s="178" t="str">
        <f t="shared" si="55"/>
        <v/>
      </c>
      <c r="AK201" s="178" t="str">
        <f t="shared" si="56"/>
        <v/>
      </c>
      <c r="AL201" t="s">
        <v>327</v>
      </c>
      <c r="AN201" s="149" t="str">
        <f t="shared" si="57"/>
        <v/>
      </c>
      <c r="AQ201" s="178" t="str">
        <f t="shared" ca="1" si="58"/>
        <v/>
      </c>
      <c r="AR201" s="178" t="str">
        <f t="shared" ca="1" si="59"/>
        <v/>
      </c>
    </row>
    <row r="202" spans="1:44" x14ac:dyDescent="0.2">
      <c r="A202" t="str">
        <f>IF(B202="","",CONCATENATE("GBL",B202," - ",Mantenedor!E213))</f>
        <v/>
      </c>
      <c r="P202" t="str">
        <f t="shared" si="51"/>
        <v/>
      </c>
      <c r="Q202" s="266" t="str" cm="1">
        <f t="array" ref="Q202">+_xlfn.IFS(O202="Nacional","CLP",O202="Extranjero","USD",O202="","")</f>
        <v/>
      </c>
      <c r="R202" s="262" t="str">
        <f>IFERROR(IF(O202="Nacional",VLOOKUP(P202,PRICING!$D$4:$E$59,2,FALSE),VLOOKUP(P202,PRICING!$J$4:$K$59,2,FALSE)),"")</f>
        <v/>
      </c>
      <c r="S202"/>
      <c r="V202" s="262"/>
      <c r="W202" s="280">
        <f t="shared" si="52"/>
        <v>0</v>
      </c>
      <c r="X202" s="178" t="str">
        <f t="shared" si="61"/>
        <v/>
      </c>
      <c r="Y202" s="178" t="str">
        <f t="shared" si="62"/>
        <v/>
      </c>
      <c r="Z202" s="178" t="str">
        <f t="shared" si="63"/>
        <v/>
      </c>
      <c r="AA202" s="178" t="str">
        <f t="shared" si="64"/>
        <v/>
      </c>
      <c r="AB202" s="178" t="str">
        <f t="shared" si="65"/>
        <v/>
      </c>
      <c r="AC202" s="178" t="str">
        <f t="shared" si="66"/>
        <v/>
      </c>
      <c r="AD202" s="267" t="s">
        <v>316</v>
      </c>
      <c r="AF202" s="149" t="str">
        <f t="shared" si="60"/>
        <v/>
      </c>
      <c r="AH202" s="178" t="str">
        <f t="shared" si="53"/>
        <v/>
      </c>
      <c r="AI202" s="178" t="str">
        <f t="shared" si="54"/>
        <v/>
      </c>
      <c r="AJ202" s="178" t="str">
        <f t="shared" si="55"/>
        <v/>
      </c>
      <c r="AK202" s="178" t="str">
        <f t="shared" si="56"/>
        <v/>
      </c>
      <c r="AL202" t="s">
        <v>327</v>
      </c>
      <c r="AN202" s="149" t="str">
        <f t="shared" si="57"/>
        <v/>
      </c>
      <c r="AQ202" s="178" t="str">
        <f t="shared" ca="1" si="58"/>
        <v/>
      </c>
      <c r="AR202" s="178" t="str">
        <f t="shared" ca="1" si="59"/>
        <v/>
      </c>
    </row>
    <row r="203" spans="1:44" x14ac:dyDescent="0.2">
      <c r="A203" t="str">
        <f>IF(B203="","",CONCATENATE("GBL",B203," - ",Mantenedor!E214))</f>
        <v/>
      </c>
      <c r="P203" t="str">
        <f t="shared" si="51"/>
        <v/>
      </c>
      <c r="Q203" s="266" t="str" cm="1">
        <f t="array" ref="Q203">+_xlfn.IFS(O203="Nacional","CLP",O203="Extranjero","USD",O203="","")</f>
        <v/>
      </c>
      <c r="R203" s="262" t="str">
        <f>IFERROR(IF(O203="Nacional",VLOOKUP(P203,PRICING!$D$4:$E$59,2,FALSE),VLOOKUP(P203,PRICING!$J$4:$K$59,2,FALSE)),"")</f>
        <v/>
      </c>
      <c r="S203"/>
      <c r="V203" s="262"/>
      <c r="W203" s="280">
        <f t="shared" si="52"/>
        <v>0</v>
      </c>
      <c r="X203" s="178" t="str">
        <f t="shared" si="61"/>
        <v/>
      </c>
      <c r="Y203" s="178" t="str">
        <f t="shared" si="62"/>
        <v/>
      </c>
      <c r="Z203" s="178" t="str">
        <f t="shared" si="63"/>
        <v/>
      </c>
      <c r="AA203" s="178" t="str">
        <f t="shared" si="64"/>
        <v/>
      </c>
      <c r="AB203" s="178" t="str">
        <f t="shared" si="65"/>
        <v/>
      </c>
      <c r="AC203" s="178" t="str">
        <f t="shared" si="66"/>
        <v/>
      </c>
      <c r="AD203" s="267" t="s">
        <v>316</v>
      </c>
      <c r="AF203" s="149" t="str">
        <f t="shared" si="60"/>
        <v/>
      </c>
      <c r="AH203" s="178" t="str">
        <f t="shared" si="53"/>
        <v/>
      </c>
      <c r="AI203" s="178" t="str">
        <f t="shared" si="54"/>
        <v/>
      </c>
      <c r="AJ203" s="178" t="str">
        <f t="shared" si="55"/>
        <v/>
      </c>
      <c r="AK203" s="178" t="str">
        <f t="shared" si="56"/>
        <v/>
      </c>
      <c r="AL203" t="s">
        <v>327</v>
      </c>
      <c r="AN203" s="149" t="str">
        <f t="shared" si="57"/>
        <v/>
      </c>
      <c r="AQ203" s="178" t="str">
        <f t="shared" ca="1" si="58"/>
        <v/>
      </c>
      <c r="AR203" s="178" t="str">
        <f t="shared" ca="1" si="59"/>
        <v/>
      </c>
    </row>
    <row r="204" spans="1:44" x14ac:dyDescent="0.2">
      <c r="A204" t="str">
        <f>IF(B204="","",CONCATENATE("GBL",B204," - ",Mantenedor!E215))</f>
        <v/>
      </c>
      <c r="P204" t="str">
        <f t="shared" si="51"/>
        <v/>
      </c>
      <c r="Q204" s="266" t="str" cm="1">
        <f t="array" ref="Q204">+_xlfn.IFS(O204="Nacional","CLP",O204="Extranjero","USD",O204="","")</f>
        <v/>
      </c>
      <c r="R204" s="262" t="str">
        <f>IFERROR(IF(O204="Nacional",VLOOKUP(P204,PRICING!$D$4:$E$59,2,FALSE),VLOOKUP(P204,PRICING!$J$4:$K$59,2,FALSE)),"")</f>
        <v/>
      </c>
      <c r="S204"/>
      <c r="V204" s="262"/>
      <c r="W204" s="280">
        <f t="shared" si="52"/>
        <v>0</v>
      </c>
      <c r="X204" s="178" t="str">
        <f t="shared" si="61"/>
        <v/>
      </c>
      <c r="Y204" s="178" t="str">
        <f t="shared" si="62"/>
        <v/>
      </c>
      <c r="Z204" s="178" t="str">
        <f t="shared" si="63"/>
        <v/>
      </c>
      <c r="AA204" s="178" t="str">
        <f t="shared" si="64"/>
        <v/>
      </c>
      <c r="AB204" s="178" t="str">
        <f t="shared" si="65"/>
        <v/>
      </c>
      <c r="AC204" s="178" t="str">
        <f t="shared" si="66"/>
        <v/>
      </c>
      <c r="AD204" s="267" t="s">
        <v>316</v>
      </c>
      <c r="AF204" s="149" t="str">
        <f t="shared" si="60"/>
        <v/>
      </c>
      <c r="AH204" s="178" t="str">
        <f t="shared" si="53"/>
        <v/>
      </c>
      <c r="AI204" s="178" t="str">
        <f t="shared" si="54"/>
        <v/>
      </c>
      <c r="AJ204" s="178" t="str">
        <f t="shared" si="55"/>
        <v/>
      </c>
      <c r="AK204" s="178" t="str">
        <f t="shared" si="56"/>
        <v/>
      </c>
      <c r="AL204" t="s">
        <v>327</v>
      </c>
      <c r="AN204" s="149" t="str">
        <f t="shared" si="57"/>
        <v/>
      </c>
      <c r="AQ204" s="178" t="str">
        <f t="shared" ca="1" si="58"/>
        <v/>
      </c>
      <c r="AR204" s="178" t="str">
        <f t="shared" ca="1" si="59"/>
        <v/>
      </c>
    </row>
    <row r="205" spans="1:44" x14ac:dyDescent="0.2">
      <c r="A205" t="str">
        <f>IF(B205="","",CONCATENATE("GBL",B205," - ",Mantenedor!E216))</f>
        <v/>
      </c>
      <c r="P205" t="str">
        <f t="shared" si="51"/>
        <v/>
      </c>
      <c r="Q205" s="266" t="str" cm="1">
        <f t="array" ref="Q205">+_xlfn.IFS(O205="Nacional","CLP",O205="Extranjero","USD",O205="","")</f>
        <v/>
      </c>
      <c r="R205" s="262" t="str">
        <f>IFERROR(IF(O205="Nacional",VLOOKUP(P205,PRICING!$D$4:$E$59,2,FALSE),VLOOKUP(P205,PRICING!$J$4:$K$59,2,FALSE)),"")</f>
        <v/>
      </c>
      <c r="S205"/>
      <c r="V205" s="262"/>
      <c r="W205" s="280">
        <f t="shared" si="52"/>
        <v>0</v>
      </c>
      <c r="X205" s="178" t="str">
        <f t="shared" si="61"/>
        <v/>
      </c>
      <c r="Y205" s="178" t="str">
        <f t="shared" si="62"/>
        <v/>
      </c>
      <c r="Z205" s="178" t="str">
        <f t="shared" si="63"/>
        <v/>
      </c>
      <c r="AA205" s="178" t="str">
        <f t="shared" si="64"/>
        <v/>
      </c>
      <c r="AB205" s="178" t="str">
        <f t="shared" si="65"/>
        <v/>
      </c>
      <c r="AC205" s="178" t="str">
        <f t="shared" si="66"/>
        <v/>
      </c>
      <c r="AD205" s="267" t="s">
        <v>316</v>
      </c>
      <c r="AF205" s="149" t="str">
        <f t="shared" si="60"/>
        <v/>
      </c>
      <c r="AH205" s="178" t="str">
        <f t="shared" si="53"/>
        <v/>
      </c>
      <c r="AI205" s="178" t="str">
        <f t="shared" si="54"/>
        <v/>
      </c>
      <c r="AJ205" s="178" t="str">
        <f t="shared" si="55"/>
        <v/>
      </c>
      <c r="AK205" s="178" t="str">
        <f t="shared" si="56"/>
        <v/>
      </c>
      <c r="AL205" t="s">
        <v>327</v>
      </c>
      <c r="AN205" s="149" t="str">
        <f t="shared" si="57"/>
        <v/>
      </c>
      <c r="AQ205" s="178" t="str">
        <f t="shared" ca="1" si="58"/>
        <v/>
      </c>
      <c r="AR205" s="178" t="str">
        <f t="shared" ca="1" si="59"/>
        <v/>
      </c>
    </row>
    <row r="206" spans="1:44" x14ac:dyDescent="0.2">
      <c r="A206" t="str">
        <f>IF(B206="","",CONCATENATE("GBL",B206," - ",Mantenedor!E217))</f>
        <v/>
      </c>
      <c r="P206" t="str">
        <f t="shared" si="51"/>
        <v/>
      </c>
      <c r="Q206" s="266" t="str" cm="1">
        <f t="array" ref="Q206">+_xlfn.IFS(O206="Nacional","CLP",O206="Extranjero","USD",O206="","")</f>
        <v/>
      </c>
      <c r="R206" s="262" t="str">
        <f>IFERROR(IF(O206="Nacional",VLOOKUP(P206,PRICING!$D$4:$E$59,2,FALSE),VLOOKUP(P206,PRICING!$J$4:$K$59,2,FALSE)),"")</f>
        <v/>
      </c>
      <c r="S206"/>
      <c r="V206" s="262"/>
      <c r="W206" s="280">
        <f t="shared" si="52"/>
        <v>0</v>
      </c>
      <c r="X206" s="178" t="str">
        <f t="shared" si="61"/>
        <v/>
      </c>
      <c r="Y206" s="178" t="str">
        <f t="shared" si="62"/>
        <v/>
      </c>
      <c r="Z206" s="178" t="str">
        <f t="shared" si="63"/>
        <v/>
      </c>
      <c r="AA206" s="178" t="str">
        <f t="shared" si="64"/>
        <v/>
      </c>
      <c r="AB206" s="178" t="str">
        <f t="shared" si="65"/>
        <v/>
      </c>
      <c r="AC206" s="178" t="str">
        <f t="shared" si="66"/>
        <v/>
      </c>
      <c r="AD206" s="267" t="s">
        <v>316</v>
      </c>
      <c r="AF206" s="149" t="str">
        <f t="shared" si="60"/>
        <v/>
      </c>
      <c r="AH206" s="178" t="str">
        <f t="shared" si="53"/>
        <v/>
      </c>
      <c r="AI206" s="178" t="str">
        <f t="shared" si="54"/>
        <v/>
      </c>
      <c r="AJ206" s="178" t="str">
        <f t="shared" si="55"/>
        <v/>
      </c>
      <c r="AK206" s="178" t="str">
        <f t="shared" si="56"/>
        <v/>
      </c>
      <c r="AL206" t="s">
        <v>327</v>
      </c>
      <c r="AN206" s="149" t="str">
        <f t="shared" si="57"/>
        <v/>
      </c>
      <c r="AQ206" s="178" t="str">
        <f t="shared" ca="1" si="58"/>
        <v/>
      </c>
      <c r="AR206" s="178" t="str">
        <f t="shared" ca="1" si="59"/>
        <v/>
      </c>
    </row>
    <row r="207" spans="1:44" x14ac:dyDescent="0.2">
      <c r="A207" t="str">
        <f>IF(B207="","",CONCATENATE("GBL",B207," - ",Mantenedor!E218))</f>
        <v/>
      </c>
      <c r="P207" t="str">
        <f t="shared" si="51"/>
        <v/>
      </c>
      <c r="Q207" s="266" t="str" cm="1">
        <f t="array" ref="Q207">+_xlfn.IFS(O207="Nacional","CLP",O207="Extranjero","USD",O207="","")</f>
        <v/>
      </c>
      <c r="R207" s="262" t="str">
        <f>IFERROR(IF(O207="Nacional",VLOOKUP(P207,PRICING!$D$4:$E$59,2,FALSE),VLOOKUP(P207,PRICING!$J$4:$K$59,2,FALSE)),"")</f>
        <v/>
      </c>
      <c r="S207"/>
      <c r="V207" s="262"/>
      <c r="W207" s="280">
        <f t="shared" si="52"/>
        <v>0</v>
      </c>
      <c r="X207" s="178" t="str">
        <f t="shared" si="61"/>
        <v/>
      </c>
      <c r="Y207" s="178" t="str">
        <f t="shared" si="62"/>
        <v/>
      </c>
      <c r="Z207" s="178" t="str">
        <f t="shared" si="63"/>
        <v/>
      </c>
      <c r="AA207" s="178" t="str">
        <f t="shared" si="64"/>
        <v/>
      </c>
      <c r="AB207" s="178" t="str">
        <f t="shared" si="65"/>
        <v/>
      </c>
      <c r="AC207" s="178" t="str">
        <f t="shared" si="66"/>
        <v/>
      </c>
      <c r="AD207" s="267" t="s">
        <v>316</v>
      </c>
      <c r="AF207" s="149" t="str">
        <f t="shared" si="60"/>
        <v/>
      </c>
      <c r="AH207" s="178" t="str">
        <f t="shared" si="53"/>
        <v/>
      </c>
      <c r="AI207" s="178" t="str">
        <f t="shared" si="54"/>
        <v/>
      </c>
      <c r="AJ207" s="178" t="str">
        <f t="shared" si="55"/>
        <v/>
      </c>
      <c r="AK207" s="178" t="str">
        <f t="shared" si="56"/>
        <v/>
      </c>
      <c r="AL207" t="s">
        <v>327</v>
      </c>
      <c r="AN207" s="149" t="str">
        <f t="shared" si="57"/>
        <v/>
      </c>
      <c r="AQ207" s="178" t="str">
        <f t="shared" ca="1" si="58"/>
        <v/>
      </c>
      <c r="AR207" s="178" t="str">
        <f t="shared" ca="1" si="59"/>
        <v/>
      </c>
    </row>
    <row r="208" spans="1:44" x14ac:dyDescent="0.2">
      <c r="A208" t="str">
        <f>IF(B208="","",CONCATENATE("GBL",B208," - ",Mantenedor!E219))</f>
        <v/>
      </c>
      <c r="P208" t="str">
        <f t="shared" si="51"/>
        <v/>
      </c>
      <c r="Q208" s="266" t="str" cm="1">
        <f t="array" ref="Q208">+_xlfn.IFS(O208="Nacional","CLP",O208="Extranjero","USD",O208="","")</f>
        <v/>
      </c>
      <c r="R208" s="262" t="str">
        <f>IFERROR(IF(O208="Nacional",VLOOKUP(P208,PRICING!$D$4:$E$59,2,FALSE),VLOOKUP(P208,PRICING!$J$4:$K$59,2,FALSE)),"")</f>
        <v/>
      </c>
      <c r="S208"/>
      <c r="V208" s="262"/>
      <c r="W208" s="280">
        <f t="shared" si="52"/>
        <v>0</v>
      </c>
      <c r="X208" s="178" t="str">
        <f t="shared" si="61"/>
        <v/>
      </c>
      <c r="Y208" s="178" t="str">
        <f t="shared" si="62"/>
        <v/>
      </c>
      <c r="Z208" s="178" t="str">
        <f t="shared" si="63"/>
        <v/>
      </c>
      <c r="AA208" s="178" t="str">
        <f t="shared" si="64"/>
        <v/>
      </c>
      <c r="AB208" s="178" t="str">
        <f t="shared" si="65"/>
        <v/>
      </c>
      <c r="AC208" s="178" t="str">
        <f t="shared" si="66"/>
        <v/>
      </c>
      <c r="AD208" s="267" t="s">
        <v>316</v>
      </c>
      <c r="AF208" s="149" t="str">
        <f t="shared" si="60"/>
        <v/>
      </c>
      <c r="AH208" s="178" t="str">
        <f t="shared" si="53"/>
        <v/>
      </c>
      <c r="AI208" s="178" t="str">
        <f t="shared" si="54"/>
        <v/>
      </c>
      <c r="AJ208" s="178" t="str">
        <f t="shared" si="55"/>
        <v/>
      </c>
      <c r="AK208" s="178" t="str">
        <f t="shared" si="56"/>
        <v/>
      </c>
      <c r="AL208" t="s">
        <v>327</v>
      </c>
      <c r="AN208" s="149" t="str">
        <f t="shared" si="57"/>
        <v/>
      </c>
      <c r="AQ208" s="178" t="str">
        <f t="shared" ca="1" si="58"/>
        <v/>
      </c>
      <c r="AR208" s="178" t="str">
        <f t="shared" ca="1" si="59"/>
        <v/>
      </c>
    </row>
    <row r="209" spans="1:44" x14ac:dyDescent="0.2">
      <c r="A209" t="str">
        <f>IF(B209="","",CONCATENATE("GBL",B209," - ",Mantenedor!E220))</f>
        <v/>
      </c>
      <c r="P209" t="str">
        <f t="shared" si="51"/>
        <v/>
      </c>
      <c r="Q209" s="266" t="str" cm="1">
        <f t="array" ref="Q209">+_xlfn.IFS(O209="Nacional","CLP",O209="Extranjero","USD",O209="","")</f>
        <v/>
      </c>
      <c r="R209" s="262" t="str">
        <f>IFERROR(IF(O209="Nacional",VLOOKUP(P209,PRICING!$D$4:$E$59,2,FALSE),VLOOKUP(P209,PRICING!$J$4:$K$59,2,FALSE)),"")</f>
        <v/>
      </c>
      <c r="S209"/>
      <c r="V209" s="262"/>
      <c r="W209" s="280">
        <f t="shared" si="52"/>
        <v>0</v>
      </c>
      <c r="X209" s="178" t="str">
        <f t="shared" si="61"/>
        <v/>
      </c>
      <c r="Y209" s="178" t="str">
        <f t="shared" si="62"/>
        <v/>
      </c>
      <c r="Z209" s="178" t="str">
        <f t="shared" si="63"/>
        <v/>
      </c>
      <c r="AA209" s="178" t="str">
        <f t="shared" si="64"/>
        <v/>
      </c>
      <c r="AB209" s="178" t="str">
        <f t="shared" si="65"/>
        <v/>
      </c>
      <c r="AC209" s="178" t="str">
        <f t="shared" si="66"/>
        <v/>
      </c>
      <c r="AD209" s="267" t="s">
        <v>316</v>
      </c>
      <c r="AF209" s="149" t="str">
        <f t="shared" si="60"/>
        <v/>
      </c>
      <c r="AH209" s="178" t="str">
        <f t="shared" si="53"/>
        <v/>
      </c>
      <c r="AI209" s="178" t="str">
        <f t="shared" si="54"/>
        <v/>
      </c>
      <c r="AJ209" s="178" t="str">
        <f t="shared" si="55"/>
        <v/>
      </c>
      <c r="AK209" s="178" t="str">
        <f t="shared" si="56"/>
        <v/>
      </c>
      <c r="AL209" t="s">
        <v>327</v>
      </c>
      <c r="AN209" s="149" t="str">
        <f t="shared" si="57"/>
        <v/>
      </c>
      <c r="AQ209" s="178" t="str">
        <f t="shared" ca="1" si="58"/>
        <v/>
      </c>
      <c r="AR209" s="178" t="str">
        <f t="shared" ca="1" si="59"/>
        <v/>
      </c>
    </row>
    <row r="210" spans="1:44" x14ac:dyDescent="0.2">
      <c r="A210" t="str">
        <f>IF(B210="","",CONCATENATE("GBL",B210," - ",Mantenedor!E221))</f>
        <v/>
      </c>
      <c r="P210" t="str">
        <f t="shared" si="51"/>
        <v/>
      </c>
      <c r="Q210" s="266" t="str" cm="1">
        <f t="array" ref="Q210">+_xlfn.IFS(O210="Nacional","CLP",O210="Extranjero","USD",O210="","")</f>
        <v/>
      </c>
      <c r="R210" s="262" t="str">
        <f>IFERROR(IF(O210="Nacional",VLOOKUP(P210,PRICING!$D$4:$E$59,2,FALSE),VLOOKUP(P210,PRICING!$J$4:$K$59,2,FALSE)),"")</f>
        <v/>
      </c>
      <c r="S210"/>
      <c r="V210" s="262"/>
      <c r="W210" s="280">
        <f t="shared" si="52"/>
        <v>0</v>
      </c>
      <c r="X210" s="178" t="str">
        <f t="shared" si="61"/>
        <v/>
      </c>
      <c r="Y210" s="178" t="str">
        <f t="shared" si="62"/>
        <v/>
      </c>
      <c r="Z210" s="178" t="str">
        <f t="shared" si="63"/>
        <v/>
      </c>
      <c r="AA210" s="178" t="str">
        <f t="shared" si="64"/>
        <v/>
      </c>
      <c r="AB210" s="178" t="str">
        <f t="shared" si="65"/>
        <v/>
      </c>
      <c r="AC210" s="178" t="str">
        <f t="shared" si="66"/>
        <v/>
      </c>
      <c r="AD210" s="267" t="s">
        <v>316</v>
      </c>
      <c r="AF210" s="149" t="str">
        <f t="shared" si="60"/>
        <v/>
      </c>
      <c r="AH210" s="178" t="str">
        <f t="shared" si="53"/>
        <v/>
      </c>
      <c r="AI210" s="178" t="str">
        <f t="shared" si="54"/>
        <v/>
      </c>
      <c r="AJ210" s="178" t="str">
        <f t="shared" si="55"/>
        <v/>
      </c>
      <c r="AK210" s="178" t="str">
        <f t="shared" si="56"/>
        <v/>
      </c>
      <c r="AL210" t="s">
        <v>327</v>
      </c>
      <c r="AN210" s="149" t="str">
        <f t="shared" si="57"/>
        <v/>
      </c>
      <c r="AQ210" s="178" t="str">
        <f t="shared" ca="1" si="58"/>
        <v/>
      </c>
      <c r="AR210" s="178" t="str">
        <f t="shared" ca="1" si="59"/>
        <v/>
      </c>
    </row>
    <row r="211" spans="1:44" x14ac:dyDescent="0.2">
      <c r="A211" t="str">
        <f>IF(B211="","",CONCATENATE("GBL",B211," - ",Mantenedor!E222))</f>
        <v/>
      </c>
      <c r="P211" t="str">
        <f t="shared" si="51"/>
        <v/>
      </c>
      <c r="Q211" s="266" t="str" cm="1">
        <f t="array" ref="Q211">+_xlfn.IFS(O211="Nacional","CLP",O211="Extranjero","USD",O211="","")</f>
        <v/>
      </c>
      <c r="R211" s="262" t="str">
        <f>IFERROR(IF(O211="Nacional",VLOOKUP(P211,PRICING!$D$4:$E$59,2,FALSE),VLOOKUP(P211,PRICING!$J$4:$K$59,2,FALSE)),"")</f>
        <v/>
      </c>
      <c r="S211"/>
      <c r="V211" s="262"/>
      <c r="W211" s="280">
        <f t="shared" si="52"/>
        <v>0</v>
      </c>
      <c r="X211" s="178" t="str">
        <f t="shared" si="61"/>
        <v/>
      </c>
      <c r="Y211" s="178" t="str">
        <f t="shared" si="62"/>
        <v/>
      </c>
      <c r="Z211" s="178" t="str">
        <f t="shared" si="63"/>
        <v/>
      </c>
      <c r="AA211" s="178" t="str">
        <f t="shared" si="64"/>
        <v/>
      </c>
      <c r="AB211" s="178" t="str">
        <f t="shared" si="65"/>
        <v/>
      </c>
      <c r="AC211" s="178" t="str">
        <f t="shared" si="66"/>
        <v/>
      </c>
      <c r="AD211" s="267" t="s">
        <v>316</v>
      </c>
      <c r="AF211" s="149" t="str">
        <f t="shared" si="60"/>
        <v/>
      </c>
      <c r="AH211" s="178" t="str">
        <f t="shared" si="53"/>
        <v/>
      </c>
      <c r="AI211" s="178" t="str">
        <f t="shared" si="54"/>
        <v/>
      </c>
      <c r="AJ211" s="178" t="str">
        <f t="shared" si="55"/>
        <v/>
      </c>
      <c r="AK211" s="178" t="str">
        <f t="shared" si="56"/>
        <v/>
      </c>
      <c r="AL211" t="s">
        <v>327</v>
      </c>
      <c r="AN211" s="149" t="str">
        <f t="shared" si="57"/>
        <v/>
      </c>
      <c r="AQ211" s="178" t="str">
        <f t="shared" ca="1" si="58"/>
        <v/>
      </c>
      <c r="AR211" s="178" t="str">
        <f t="shared" ca="1" si="59"/>
        <v/>
      </c>
    </row>
    <row r="212" spans="1:44" x14ac:dyDescent="0.2">
      <c r="A212" t="str">
        <f>IF(B212="","",CONCATENATE("GBL",B212," - ",Mantenedor!E223))</f>
        <v/>
      </c>
      <c r="P212" t="str">
        <f t="shared" si="51"/>
        <v/>
      </c>
      <c r="Q212" s="266" t="str" cm="1">
        <f t="array" ref="Q212">+_xlfn.IFS(O212="Nacional","CLP",O212="Extranjero","USD",O212="","")</f>
        <v/>
      </c>
      <c r="R212" s="262" t="str">
        <f>IFERROR(IF(O212="Nacional",VLOOKUP(P212,PRICING!$D$4:$E$59,2,FALSE),VLOOKUP(P212,PRICING!$J$4:$K$59,2,FALSE)),"")</f>
        <v/>
      </c>
      <c r="S212"/>
      <c r="V212" s="262"/>
      <c r="W212" s="280">
        <f t="shared" si="52"/>
        <v>0</v>
      </c>
      <c r="X212" s="178" t="str">
        <f t="shared" si="61"/>
        <v/>
      </c>
      <c r="Y212" s="178" t="str">
        <f t="shared" si="62"/>
        <v/>
      </c>
      <c r="Z212" s="178" t="str">
        <f t="shared" si="63"/>
        <v/>
      </c>
      <c r="AA212" s="178" t="str">
        <f t="shared" si="64"/>
        <v/>
      </c>
      <c r="AB212" s="178" t="str">
        <f t="shared" si="65"/>
        <v/>
      </c>
      <c r="AC212" s="178" t="str">
        <f t="shared" si="66"/>
        <v/>
      </c>
      <c r="AD212" s="267" t="s">
        <v>316</v>
      </c>
      <c r="AF212" s="149" t="str">
        <f t="shared" si="60"/>
        <v/>
      </c>
      <c r="AH212" s="178" t="str">
        <f t="shared" si="53"/>
        <v/>
      </c>
      <c r="AI212" s="178" t="str">
        <f t="shared" si="54"/>
        <v/>
      </c>
      <c r="AJ212" s="178" t="str">
        <f t="shared" si="55"/>
        <v/>
      </c>
      <c r="AK212" s="178" t="str">
        <f t="shared" si="56"/>
        <v/>
      </c>
      <c r="AL212" t="s">
        <v>327</v>
      </c>
      <c r="AN212" s="149" t="str">
        <f t="shared" si="57"/>
        <v/>
      </c>
      <c r="AQ212" s="178" t="str">
        <f t="shared" ca="1" si="58"/>
        <v/>
      </c>
      <c r="AR212" s="178" t="str">
        <f t="shared" ca="1" si="59"/>
        <v/>
      </c>
    </row>
    <row r="213" spans="1:44" x14ac:dyDescent="0.2">
      <c r="A213" t="str">
        <f>IF(B213="","",CONCATENATE("GBL",B213," - ",Mantenedor!E224))</f>
        <v/>
      </c>
      <c r="P213" t="str">
        <f t="shared" si="51"/>
        <v/>
      </c>
      <c r="Q213" s="266" t="str" cm="1">
        <f t="array" ref="Q213">+_xlfn.IFS(O213="Nacional","CLP",O213="Extranjero","USD",O213="","")</f>
        <v/>
      </c>
      <c r="R213" s="262" t="str">
        <f>IFERROR(IF(O213="Nacional",VLOOKUP(P213,PRICING!$D$4:$E$59,2,FALSE),VLOOKUP(P213,PRICING!$J$4:$K$59,2,FALSE)),"")</f>
        <v/>
      </c>
      <c r="S213"/>
      <c r="V213" s="262"/>
      <c r="W213" s="280">
        <f t="shared" si="52"/>
        <v>0</v>
      </c>
      <c r="X213" s="178" t="str">
        <f t="shared" si="61"/>
        <v/>
      </c>
      <c r="Y213" s="178" t="str">
        <f t="shared" si="62"/>
        <v/>
      </c>
      <c r="Z213" s="178" t="str">
        <f t="shared" si="63"/>
        <v/>
      </c>
      <c r="AA213" s="178" t="str">
        <f t="shared" si="64"/>
        <v/>
      </c>
      <c r="AB213" s="178" t="str">
        <f t="shared" si="65"/>
        <v/>
      </c>
      <c r="AC213" s="178" t="str">
        <f t="shared" si="66"/>
        <v/>
      </c>
      <c r="AD213" s="267" t="s">
        <v>316</v>
      </c>
      <c r="AF213" s="149" t="str">
        <f t="shared" si="60"/>
        <v/>
      </c>
      <c r="AH213" s="178" t="str">
        <f t="shared" si="53"/>
        <v/>
      </c>
      <c r="AI213" s="178" t="str">
        <f t="shared" si="54"/>
        <v/>
      </c>
      <c r="AJ213" s="178" t="str">
        <f t="shared" si="55"/>
        <v/>
      </c>
      <c r="AK213" s="178" t="str">
        <f t="shared" si="56"/>
        <v/>
      </c>
      <c r="AL213" t="s">
        <v>327</v>
      </c>
      <c r="AN213" s="149" t="str">
        <f t="shared" si="57"/>
        <v/>
      </c>
      <c r="AQ213" s="178" t="str">
        <f t="shared" ca="1" si="58"/>
        <v/>
      </c>
      <c r="AR213" s="178" t="str">
        <f t="shared" ca="1" si="59"/>
        <v/>
      </c>
    </row>
    <row r="214" spans="1:44" x14ac:dyDescent="0.2">
      <c r="A214" t="str">
        <f>IF(B214="","",CONCATENATE("GBL",B214," - ",Mantenedor!E225))</f>
        <v/>
      </c>
      <c r="P214" t="str">
        <f t="shared" si="51"/>
        <v/>
      </c>
      <c r="Q214" s="266" t="str" cm="1">
        <f t="array" ref="Q214">+_xlfn.IFS(O214="Nacional","CLP",O214="Extranjero","USD",O214="","")</f>
        <v/>
      </c>
      <c r="R214" s="262" t="str">
        <f>IFERROR(IF(O214="Nacional",VLOOKUP(P214,PRICING!$D$4:$E$59,2,FALSE),VLOOKUP(P214,PRICING!$J$4:$K$59,2,FALSE)),"")</f>
        <v/>
      </c>
      <c r="S214"/>
      <c r="V214" s="262"/>
      <c r="W214" s="280">
        <f t="shared" si="52"/>
        <v>0</v>
      </c>
      <c r="X214" s="178" t="str">
        <f t="shared" si="61"/>
        <v/>
      </c>
      <c r="Y214" s="178" t="str">
        <f t="shared" si="62"/>
        <v/>
      </c>
      <c r="Z214" s="178" t="str">
        <f t="shared" si="63"/>
        <v/>
      </c>
      <c r="AA214" s="178" t="str">
        <f t="shared" si="64"/>
        <v/>
      </c>
      <c r="AB214" s="178" t="str">
        <f t="shared" si="65"/>
        <v/>
      </c>
      <c r="AC214" s="178" t="str">
        <f t="shared" si="66"/>
        <v/>
      </c>
      <c r="AD214" s="267" t="s">
        <v>316</v>
      </c>
      <c r="AF214" s="149" t="str">
        <f t="shared" si="60"/>
        <v/>
      </c>
      <c r="AH214" s="178" t="str">
        <f t="shared" si="53"/>
        <v/>
      </c>
      <c r="AI214" s="178" t="str">
        <f t="shared" si="54"/>
        <v/>
      </c>
      <c r="AJ214" s="178" t="str">
        <f t="shared" si="55"/>
        <v/>
      </c>
      <c r="AK214" s="178" t="str">
        <f t="shared" si="56"/>
        <v/>
      </c>
      <c r="AL214" t="s">
        <v>327</v>
      </c>
      <c r="AN214" s="149" t="str">
        <f t="shared" si="57"/>
        <v/>
      </c>
      <c r="AQ214" s="178" t="str">
        <f t="shared" ca="1" si="58"/>
        <v/>
      </c>
      <c r="AR214" s="178" t="str">
        <f t="shared" ca="1" si="59"/>
        <v/>
      </c>
    </row>
    <row r="215" spans="1:44" x14ac:dyDescent="0.2">
      <c r="A215" t="str">
        <f>IF(B215="","",CONCATENATE("GBL",B215," - ",Mantenedor!E226))</f>
        <v/>
      </c>
      <c r="P215" t="str">
        <f t="shared" si="51"/>
        <v/>
      </c>
      <c r="Q215" s="266" t="str" cm="1">
        <f t="array" ref="Q215">+_xlfn.IFS(O215="Nacional","CLP",O215="Extranjero","USD",O215="","")</f>
        <v/>
      </c>
      <c r="R215" s="262" t="str">
        <f>IFERROR(IF(O215="Nacional",VLOOKUP(P215,PRICING!$D$4:$E$59,2,FALSE),VLOOKUP(P215,PRICING!$J$4:$K$59,2,FALSE)),"")</f>
        <v/>
      </c>
      <c r="S215"/>
      <c r="V215" s="262"/>
      <c r="W215" s="280">
        <f t="shared" si="52"/>
        <v>0</v>
      </c>
      <c r="X215" s="178" t="str">
        <f t="shared" si="61"/>
        <v/>
      </c>
      <c r="Y215" s="178" t="str">
        <f t="shared" si="62"/>
        <v/>
      </c>
      <c r="Z215" s="178" t="str">
        <f t="shared" si="63"/>
        <v/>
      </c>
      <c r="AA215" s="178" t="str">
        <f t="shared" si="64"/>
        <v/>
      </c>
      <c r="AB215" s="178" t="str">
        <f t="shared" si="65"/>
        <v/>
      </c>
      <c r="AC215" s="178" t="str">
        <f t="shared" si="66"/>
        <v/>
      </c>
      <c r="AD215" s="267" t="s">
        <v>316</v>
      </c>
      <c r="AF215" s="149" t="str">
        <f t="shared" si="60"/>
        <v/>
      </c>
      <c r="AH215" s="178" t="str">
        <f t="shared" si="53"/>
        <v/>
      </c>
      <c r="AI215" s="178" t="str">
        <f t="shared" si="54"/>
        <v/>
      </c>
      <c r="AJ215" s="178" t="str">
        <f t="shared" si="55"/>
        <v/>
      </c>
      <c r="AK215" s="178" t="str">
        <f t="shared" si="56"/>
        <v/>
      </c>
      <c r="AL215" t="s">
        <v>327</v>
      </c>
      <c r="AN215" s="149" t="str">
        <f t="shared" si="57"/>
        <v/>
      </c>
      <c r="AQ215" s="178" t="str">
        <f t="shared" ca="1" si="58"/>
        <v/>
      </c>
      <c r="AR215" s="178" t="str">
        <f t="shared" ca="1" si="59"/>
        <v/>
      </c>
    </row>
    <row r="216" spans="1:44" x14ac:dyDescent="0.2">
      <c r="A216" t="str">
        <f>IF(B216="","",CONCATENATE("GBL",B216," - ",Mantenedor!E227))</f>
        <v/>
      </c>
      <c r="P216" t="str">
        <f t="shared" si="51"/>
        <v/>
      </c>
      <c r="Q216" s="266" t="str" cm="1">
        <f t="array" ref="Q216">+_xlfn.IFS(O216="Nacional","CLP",O216="Extranjero","USD",O216="","")</f>
        <v/>
      </c>
      <c r="R216" s="262" t="str">
        <f>IFERROR(IF(O216="Nacional",VLOOKUP(P216,PRICING!$D$4:$E$59,2,FALSE),VLOOKUP(P216,PRICING!$J$4:$K$59,2,FALSE)),"")</f>
        <v/>
      </c>
      <c r="S216"/>
      <c r="V216" s="262"/>
      <c r="W216" s="280">
        <f t="shared" si="52"/>
        <v>0</v>
      </c>
      <c r="X216" s="178" t="str">
        <f t="shared" si="61"/>
        <v/>
      </c>
      <c r="Y216" s="178" t="str">
        <f t="shared" si="62"/>
        <v/>
      </c>
      <c r="Z216" s="178" t="str">
        <f t="shared" si="63"/>
        <v/>
      </c>
      <c r="AA216" s="178" t="str">
        <f t="shared" si="64"/>
        <v/>
      </c>
      <c r="AB216" s="178" t="str">
        <f t="shared" si="65"/>
        <v/>
      </c>
      <c r="AC216" s="178" t="str">
        <f t="shared" si="66"/>
        <v/>
      </c>
      <c r="AD216" s="267" t="s">
        <v>316</v>
      </c>
      <c r="AF216" s="149" t="str">
        <f t="shared" si="60"/>
        <v/>
      </c>
      <c r="AH216" s="178" t="str">
        <f t="shared" si="53"/>
        <v/>
      </c>
      <c r="AI216" s="178" t="str">
        <f t="shared" si="54"/>
        <v/>
      </c>
      <c r="AJ216" s="178" t="str">
        <f t="shared" si="55"/>
        <v/>
      </c>
      <c r="AK216" s="178" t="str">
        <f t="shared" si="56"/>
        <v/>
      </c>
      <c r="AL216" t="s">
        <v>327</v>
      </c>
      <c r="AN216" s="149" t="str">
        <f t="shared" si="57"/>
        <v/>
      </c>
      <c r="AQ216" s="178" t="str">
        <f t="shared" ca="1" si="58"/>
        <v/>
      </c>
      <c r="AR216" s="178" t="str">
        <f t="shared" ca="1" si="59"/>
        <v/>
      </c>
    </row>
    <row r="217" spans="1:44" x14ac:dyDescent="0.2">
      <c r="A217" t="str">
        <f>IF(B217="","",CONCATENATE("GBL",B217," - ",Mantenedor!E228))</f>
        <v/>
      </c>
      <c r="P217" t="str">
        <f t="shared" si="51"/>
        <v/>
      </c>
      <c r="Q217" s="266" t="str" cm="1">
        <f t="array" ref="Q217">+_xlfn.IFS(O217="Nacional","CLP",O217="Extranjero","USD",O217="","")</f>
        <v/>
      </c>
      <c r="R217" s="262" t="str">
        <f>IFERROR(IF(O217="Nacional",VLOOKUP(P217,PRICING!$D$4:$E$59,2,FALSE),VLOOKUP(P217,PRICING!$J$4:$K$59,2,FALSE)),"")</f>
        <v/>
      </c>
      <c r="S217"/>
      <c r="V217" s="262"/>
      <c r="W217" s="280">
        <f t="shared" si="52"/>
        <v>0</v>
      </c>
      <c r="X217" s="178" t="str">
        <f t="shared" si="61"/>
        <v/>
      </c>
      <c r="Y217" s="178" t="str">
        <f t="shared" si="62"/>
        <v/>
      </c>
      <c r="Z217" s="178" t="str">
        <f t="shared" si="63"/>
        <v/>
      </c>
      <c r="AA217" s="178" t="str">
        <f t="shared" si="64"/>
        <v/>
      </c>
      <c r="AB217" s="178" t="str">
        <f t="shared" si="65"/>
        <v/>
      </c>
      <c r="AC217" s="178" t="str">
        <f t="shared" si="66"/>
        <v/>
      </c>
      <c r="AD217" s="267" t="s">
        <v>316</v>
      </c>
      <c r="AF217" s="149" t="str">
        <f t="shared" si="60"/>
        <v/>
      </c>
      <c r="AH217" s="178" t="str">
        <f t="shared" si="53"/>
        <v/>
      </c>
      <c r="AI217" s="178" t="str">
        <f t="shared" si="54"/>
        <v/>
      </c>
      <c r="AJ217" s="178" t="str">
        <f t="shared" si="55"/>
        <v/>
      </c>
      <c r="AK217" s="178" t="str">
        <f t="shared" si="56"/>
        <v/>
      </c>
      <c r="AL217" t="s">
        <v>327</v>
      </c>
      <c r="AN217" s="149" t="str">
        <f t="shared" si="57"/>
        <v/>
      </c>
      <c r="AQ217" s="178" t="str">
        <f t="shared" ca="1" si="58"/>
        <v/>
      </c>
      <c r="AR217" s="178" t="str">
        <f t="shared" ca="1" si="59"/>
        <v/>
      </c>
    </row>
    <row r="218" spans="1:44" x14ac:dyDescent="0.2">
      <c r="A218" t="str">
        <f>IF(B218="","",CONCATENATE("GBL",B218," - ",Mantenedor!E229))</f>
        <v/>
      </c>
      <c r="P218" t="str">
        <f t="shared" si="51"/>
        <v/>
      </c>
      <c r="Q218" s="266" t="str" cm="1">
        <f t="array" ref="Q218">+_xlfn.IFS(O218="Nacional","CLP",O218="Extranjero","USD",O218="","")</f>
        <v/>
      </c>
      <c r="R218" s="262" t="str">
        <f>IFERROR(IF(O218="Nacional",VLOOKUP(P218,PRICING!$D$4:$E$59,2,FALSE),VLOOKUP(P218,PRICING!$J$4:$K$59,2,FALSE)),"")</f>
        <v/>
      </c>
      <c r="S218"/>
      <c r="V218" s="262"/>
      <c r="W218" s="280">
        <f t="shared" si="52"/>
        <v>0</v>
      </c>
      <c r="X218" s="178" t="str">
        <f t="shared" si="61"/>
        <v/>
      </c>
      <c r="Y218" s="178" t="str">
        <f t="shared" si="62"/>
        <v/>
      </c>
      <c r="Z218" s="178" t="str">
        <f t="shared" si="63"/>
        <v/>
      </c>
      <c r="AA218" s="178" t="str">
        <f t="shared" si="64"/>
        <v/>
      </c>
      <c r="AB218" s="178" t="str">
        <f t="shared" si="65"/>
        <v/>
      </c>
      <c r="AC218" s="178" t="str">
        <f t="shared" si="66"/>
        <v/>
      </c>
      <c r="AD218" s="267" t="s">
        <v>316</v>
      </c>
      <c r="AF218" s="149" t="str">
        <f t="shared" si="60"/>
        <v/>
      </c>
      <c r="AH218" s="178" t="str">
        <f t="shared" si="53"/>
        <v/>
      </c>
      <c r="AI218" s="178" t="str">
        <f t="shared" si="54"/>
        <v/>
      </c>
      <c r="AJ218" s="178" t="str">
        <f t="shared" si="55"/>
        <v/>
      </c>
      <c r="AK218" s="178" t="str">
        <f t="shared" si="56"/>
        <v/>
      </c>
      <c r="AL218" t="s">
        <v>327</v>
      </c>
      <c r="AN218" s="149" t="str">
        <f t="shared" si="57"/>
        <v/>
      </c>
      <c r="AQ218" s="178" t="str">
        <f t="shared" ca="1" si="58"/>
        <v/>
      </c>
      <c r="AR218" s="178" t="str">
        <f t="shared" ca="1" si="59"/>
        <v/>
      </c>
    </row>
    <row r="219" spans="1:44" x14ac:dyDescent="0.2">
      <c r="A219" t="str">
        <f>IF(B219="","",CONCATENATE("GBL",B219," - ",Mantenedor!E230))</f>
        <v/>
      </c>
      <c r="P219" t="str">
        <f t="shared" si="51"/>
        <v/>
      </c>
      <c r="Q219" s="266" t="str" cm="1">
        <f t="array" ref="Q219">+_xlfn.IFS(O219="Nacional","CLP",O219="Extranjero","USD",O219="","")</f>
        <v/>
      </c>
      <c r="R219" s="262" t="str">
        <f>IFERROR(IF(O219="Nacional",VLOOKUP(P219,PRICING!$D$4:$E$59,2,FALSE),VLOOKUP(P219,PRICING!$J$4:$K$59,2,FALSE)),"")</f>
        <v/>
      </c>
      <c r="S219"/>
      <c r="V219" s="262"/>
      <c r="W219" s="280">
        <f t="shared" si="52"/>
        <v>0</v>
      </c>
      <c r="X219" s="178" t="str">
        <f t="shared" si="61"/>
        <v/>
      </c>
      <c r="Y219" s="178" t="str">
        <f t="shared" si="62"/>
        <v/>
      </c>
      <c r="Z219" s="178" t="str">
        <f t="shared" si="63"/>
        <v/>
      </c>
      <c r="AA219" s="178" t="str">
        <f t="shared" si="64"/>
        <v/>
      </c>
      <c r="AB219" s="178" t="str">
        <f t="shared" si="65"/>
        <v/>
      </c>
      <c r="AC219" s="178" t="str">
        <f t="shared" si="66"/>
        <v/>
      </c>
      <c r="AD219" s="267" t="s">
        <v>316</v>
      </c>
      <c r="AF219" s="149" t="str">
        <f t="shared" si="60"/>
        <v/>
      </c>
      <c r="AH219" s="178" t="str">
        <f t="shared" si="53"/>
        <v/>
      </c>
      <c r="AI219" s="178" t="str">
        <f t="shared" si="54"/>
        <v/>
      </c>
      <c r="AJ219" s="178" t="str">
        <f t="shared" si="55"/>
        <v/>
      </c>
      <c r="AK219" s="178" t="str">
        <f t="shared" si="56"/>
        <v/>
      </c>
      <c r="AL219" t="s">
        <v>327</v>
      </c>
      <c r="AN219" s="149" t="str">
        <f t="shared" si="57"/>
        <v/>
      </c>
      <c r="AQ219" s="178" t="str">
        <f t="shared" ca="1" si="58"/>
        <v/>
      </c>
      <c r="AR219" s="178" t="str">
        <f t="shared" ca="1" si="59"/>
        <v/>
      </c>
    </row>
    <row r="220" spans="1:44" x14ac:dyDescent="0.2">
      <c r="A220" t="str">
        <f>IF(B220="","",CONCATENATE("GBL",B220," - ",Mantenedor!E231))</f>
        <v/>
      </c>
      <c r="P220" t="str">
        <f t="shared" si="51"/>
        <v/>
      </c>
      <c r="Q220" s="266" t="str" cm="1">
        <f t="array" ref="Q220">+_xlfn.IFS(O220="Nacional","CLP",O220="Extranjero","USD",O220="","")</f>
        <v/>
      </c>
      <c r="R220" s="262" t="str">
        <f>IFERROR(IF(O220="Nacional",VLOOKUP(P220,PRICING!$D$4:$E$59,2,FALSE),VLOOKUP(P220,PRICING!$J$4:$K$59,2,FALSE)),"")</f>
        <v/>
      </c>
      <c r="S220"/>
      <c r="V220" s="262"/>
      <c r="W220" s="280">
        <f t="shared" si="52"/>
        <v>0</v>
      </c>
      <c r="X220" s="178" t="str">
        <f t="shared" si="61"/>
        <v/>
      </c>
      <c r="Y220" s="178" t="str">
        <f t="shared" si="62"/>
        <v/>
      </c>
      <c r="Z220" s="178" t="str">
        <f t="shared" si="63"/>
        <v/>
      </c>
      <c r="AA220" s="178" t="str">
        <f t="shared" si="64"/>
        <v/>
      </c>
      <c r="AB220" s="178" t="str">
        <f t="shared" si="65"/>
        <v/>
      </c>
      <c r="AC220" s="178" t="str">
        <f t="shared" si="66"/>
        <v/>
      </c>
      <c r="AD220" s="267" t="s">
        <v>316</v>
      </c>
      <c r="AF220" s="149" t="str">
        <f t="shared" si="60"/>
        <v/>
      </c>
      <c r="AH220" s="178" t="str">
        <f t="shared" si="53"/>
        <v/>
      </c>
      <c r="AI220" s="178" t="str">
        <f t="shared" si="54"/>
        <v/>
      </c>
      <c r="AJ220" s="178" t="str">
        <f t="shared" si="55"/>
        <v/>
      </c>
      <c r="AK220" s="178" t="str">
        <f t="shared" si="56"/>
        <v/>
      </c>
      <c r="AL220" t="s">
        <v>327</v>
      </c>
      <c r="AN220" s="149" t="str">
        <f t="shared" si="57"/>
        <v/>
      </c>
      <c r="AQ220" s="178" t="str">
        <f t="shared" ca="1" si="58"/>
        <v/>
      </c>
      <c r="AR220" s="178" t="str">
        <f t="shared" ca="1" si="59"/>
        <v/>
      </c>
    </row>
    <row r="221" spans="1:44" x14ac:dyDescent="0.2">
      <c r="A221" t="str">
        <f>IF(B221="","",CONCATENATE("GBL",B221," - ",Mantenedor!E232))</f>
        <v/>
      </c>
      <c r="P221" t="str">
        <f t="shared" si="51"/>
        <v/>
      </c>
      <c r="Q221" s="266" t="str" cm="1">
        <f t="array" ref="Q221">+_xlfn.IFS(O221="Nacional","CLP",O221="Extranjero","USD",O221="","")</f>
        <v/>
      </c>
      <c r="R221" s="262" t="str">
        <f>IFERROR(IF(O221="Nacional",VLOOKUP(P221,PRICING!$D$4:$E$59,2,FALSE),VLOOKUP(P221,PRICING!$J$4:$K$59,2,FALSE)),"")</f>
        <v/>
      </c>
      <c r="S221"/>
      <c r="V221" s="262"/>
      <c r="W221" s="280">
        <f t="shared" si="52"/>
        <v>0</v>
      </c>
      <c r="X221" s="178" t="str">
        <f t="shared" si="61"/>
        <v/>
      </c>
      <c r="Y221" s="178" t="str">
        <f t="shared" si="62"/>
        <v/>
      </c>
      <c r="Z221" s="178" t="str">
        <f t="shared" si="63"/>
        <v/>
      </c>
      <c r="AA221" s="178" t="str">
        <f t="shared" si="64"/>
        <v/>
      </c>
      <c r="AB221" s="178" t="str">
        <f t="shared" si="65"/>
        <v/>
      </c>
      <c r="AC221" s="178" t="str">
        <f t="shared" si="66"/>
        <v/>
      </c>
      <c r="AD221" s="267" t="s">
        <v>316</v>
      </c>
      <c r="AF221" s="149" t="str">
        <f t="shared" si="60"/>
        <v/>
      </c>
      <c r="AH221" s="178" t="str">
        <f t="shared" si="53"/>
        <v/>
      </c>
      <c r="AI221" s="178" t="str">
        <f t="shared" si="54"/>
        <v/>
      </c>
      <c r="AJ221" s="178" t="str">
        <f t="shared" si="55"/>
        <v/>
      </c>
      <c r="AK221" s="178" t="str">
        <f t="shared" si="56"/>
        <v/>
      </c>
      <c r="AL221" t="s">
        <v>327</v>
      </c>
      <c r="AN221" s="149" t="str">
        <f t="shared" si="57"/>
        <v/>
      </c>
      <c r="AQ221" s="178" t="str">
        <f t="shared" ca="1" si="58"/>
        <v/>
      </c>
      <c r="AR221" s="178" t="str">
        <f t="shared" ca="1" si="59"/>
        <v/>
      </c>
    </row>
    <row r="222" spans="1:44" x14ac:dyDescent="0.2">
      <c r="A222" t="str">
        <f>IF(B222="","",CONCATENATE("GBL",B222," - ",Mantenedor!E233))</f>
        <v/>
      </c>
      <c r="P222" t="str">
        <f t="shared" si="51"/>
        <v/>
      </c>
      <c r="Q222" s="266" t="str" cm="1">
        <f t="array" ref="Q222">+_xlfn.IFS(O222="Nacional","CLP",O222="Extranjero","USD",O222="","")</f>
        <v/>
      </c>
      <c r="R222" s="262" t="str">
        <f>IFERROR(IF(O222="Nacional",VLOOKUP(P222,PRICING!$D$4:$E$59,2,FALSE),VLOOKUP(P222,PRICING!$J$4:$K$59,2,FALSE)),"")</f>
        <v/>
      </c>
      <c r="S222"/>
      <c r="V222" s="262"/>
      <c r="W222" s="280">
        <f t="shared" si="52"/>
        <v>0</v>
      </c>
      <c r="X222" s="178" t="str">
        <f t="shared" si="61"/>
        <v/>
      </c>
      <c r="Y222" s="178" t="str">
        <f t="shared" si="62"/>
        <v/>
      </c>
      <c r="Z222" s="178" t="str">
        <f t="shared" si="63"/>
        <v/>
      </c>
      <c r="AA222" s="178" t="str">
        <f t="shared" si="64"/>
        <v/>
      </c>
      <c r="AB222" s="178" t="str">
        <f t="shared" si="65"/>
        <v/>
      </c>
      <c r="AC222" s="178" t="str">
        <f t="shared" si="66"/>
        <v/>
      </c>
      <c r="AD222" s="267" t="s">
        <v>316</v>
      </c>
      <c r="AF222" s="149" t="str">
        <f t="shared" si="60"/>
        <v/>
      </c>
      <c r="AH222" s="178" t="str">
        <f t="shared" si="53"/>
        <v/>
      </c>
      <c r="AI222" s="178" t="str">
        <f t="shared" si="54"/>
        <v/>
      </c>
      <c r="AJ222" s="178" t="str">
        <f t="shared" si="55"/>
        <v/>
      </c>
      <c r="AK222" s="178" t="str">
        <f t="shared" si="56"/>
        <v/>
      </c>
      <c r="AL222" t="s">
        <v>327</v>
      </c>
      <c r="AN222" s="149" t="str">
        <f t="shared" si="57"/>
        <v/>
      </c>
      <c r="AQ222" s="178" t="str">
        <f t="shared" ca="1" si="58"/>
        <v/>
      </c>
      <c r="AR222" s="178" t="str">
        <f t="shared" ca="1" si="59"/>
        <v/>
      </c>
    </row>
    <row r="223" spans="1:44" x14ac:dyDescent="0.2">
      <c r="A223" t="str">
        <f>IF(B223="","",CONCATENATE("GBL",B223," - ",Mantenedor!E234))</f>
        <v/>
      </c>
      <c r="P223" t="str">
        <f t="shared" si="51"/>
        <v/>
      </c>
      <c r="Q223" s="266" t="str" cm="1">
        <f t="array" ref="Q223">+_xlfn.IFS(O223="Nacional","CLP",O223="Extranjero","USD",O223="","")</f>
        <v/>
      </c>
      <c r="R223" s="262" t="str">
        <f>IFERROR(IF(O223="Nacional",VLOOKUP(P223,PRICING!$D$4:$E$59,2,FALSE),VLOOKUP(P223,PRICING!$J$4:$K$59,2,FALSE)),"")</f>
        <v/>
      </c>
      <c r="S223"/>
      <c r="V223" s="262"/>
      <c r="W223" s="280">
        <f t="shared" si="52"/>
        <v>0</v>
      </c>
      <c r="X223" s="178" t="str">
        <f t="shared" si="61"/>
        <v/>
      </c>
      <c r="Y223" s="178" t="str">
        <f t="shared" si="62"/>
        <v/>
      </c>
      <c r="Z223" s="178" t="str">
        <f t="shared" si="63"/>
        <v/>
      </c>
      <c r="AA223" s="178" t="str">
        <f t="shared" si="64"/>
        <v/>
      </c>
      <c r="AB223" s="178" t="str">
        <f t="shared" si="65"/>
        <v/>
      </c>
      <c r="AC223" s="178" t="str">
        <f t="shared" si="66"/>
        <v/>
      </c>
      <c r="AD223" s="267" t="s">
        <v>316</v>
      </c>
      <c r="AF223" s="149" t="str">
        <f t="shared" si="60"/>
        <v/>
      </c>
      <c r="AH223" s="178" t="str">
        <f t="shared" si="53"/>
        <v/>
      </c>
      <c r="AI223" s="178" t="str">
        <f t="shared" si="54"/>
        <v/>
      </c>
      <c r="AJ223" s="178" t="str">
        <f t="shared" si="55"/>
        <v/>
      </c>
      <c r="AK223" s="178" t="str">
        <f t="shared" si="56"/>
        <v/>
      </c>
      <c r="AL223" t="s">
        <v>327</v>
      </c>
      <c r="AN223" s="149" t="str">
        <f t="shared" si="57"/>
        <v/>
      </c>
      <c r="AQ223" s="178" t="str">
        <f t="shared" ca="1" si="58"/>
        <v/>
      </c>
      <c r="AR223" s="178" t="str">
        <f t="shared" ca="1" si="59"/>
        <v/>
      </c>
    </row>
    <row r="224" spans="1:44" x14ac:dyDescent="0.2">
      <c r="A224" t="str">
        <f>IF(B224="","",CONCATENATE("GBL",B224," - ",Mantenedor!E235))</f>
        <v/>
      </c>
      <c r="P224" t="str">
        <f t="shared" si="51"/>
        <v/>
      </c>
      <c r="Q224" s="266" t="str" cm="1">
        <f t="array" ref="Q224">+_xlfn.IFS(O224="Nacional","CLP",O224="Extranjero","USD",O224="","")</f>
        <v/>
      </c>
      <c r="R224" s="262" t="str">
        <f>IFERROR(IF(O224="Nacional",VLOOKUP(P224,PRICING!$D$4:$E$59,2,FALSE),VLOOKUP(P224,PRICING!$J$4:$K$59,2,FALSE)),"")</f>
        <v/>
      </c>
      <c r="S224"/>
      <c r="V224" s="262"/>
      <c r="W224" s="280">
        <f t="shared" si="52"/>
        <v>0</v>
      </c>
      <c r="X224" s="178" t="str">
        <f t="shared" si="61"/>
        <v/>
      </c>
      <c r="Y224" s="178" t="str">
        <f t="shared" si="62"/>
        <v/>
      </c>
      <c r="Z224" s="178" t="str">
        <f t="shared" si="63"/>
        <v/>
      </c>
      <c r="AA224" s="178" t="str">
        <f t="shared" si="64"/>
        <v/>
      </c>
      <c r="AB224" s="178" t="str">
        <f t="shared" si="65"/>
        <v/>
      </c>
      <c r="AC224" s="178" t="str">
        <f t="shared" si="66"/>
        <v/>
      </c>
      <c r="AD224" s="267" t="s">
        <v>316</v>
      </c>
      <c r="AF224" s="149" t="str">
        <f t="shared" si="60"/>
        <v/>
      </c>
      <c r="AH224" s="178" t="str">
        <f t="shared" si="53"/>
        <v/>
      </c>
      <c r="AI224" s="178" t="str">
        <f t="shared" si="54"/>
        <v/>
      </c>
      <c r="AJ224" s="178" t="str">
        <f t="shared" si="55"/>
        <v/>
      </c>
      <c r="AK224" s="178" t="str">
        <f t="shared" si="56"/>
        <v/>
      </c>
      <c r="AL224" t="s">
        <v>327</v>
      </c>
      <c r="AN224" s="149" t="str">
        <f t="shared" si="57"/>
        <v/>
      </c>
      <c r="AQ224" s="178" t="str">
        <f t="shared" ca="1" si="58"/>
        <v/>
      </c>
      <c r="AR224" s="178" t="str">
        <f t="shared" ca="1" si="59"/>
        <v/>
      </c>
    </row>
    <row r="225" spans="1:44" x14ac:dyDescent="0.2">
      <c r="A225" t="str">
        <f>IF(B225="","",CONCATENATE("GBL",B225," - ",Mantenedor!E236))</f>
        <v/>
      </c>
      <c r="P225" t="str">
        <f t="shared" si="51"/>
        <v/>
      </c>
      <c r="Q225" s="266" t="str" cm="1">
        <f t="array" ref="Q225">+_xlfn.IFS(O225="Nacional","CLP",O225="Extranjero","USD",O225="","")</f>
        <v/>
      </c>
      <c r="R225" s="262" t="str">
        <f>IFERROR(IF(O225="Nacional",VLOOKUP(P225,PRICING!$D$4:$E$59,2,FALSE),VLOOKUP(P225,PRICING!$J$4:$K$59,2,FALSE)),"")</f>
        <v/>
      </c>
      <c r="S225"/>
      <c r="V225" s="262"/>
      <c r="W225" s="280">
        <f t="shared" si="52"/>
        <v>0</v>
      </c>
      <c r="X225" s="178" t="str">
        <f t="shared" si="61"/>
        <v/>
      </c>
      <c r="Y225" s="178" t="str">
        <f t="shared" si="62"/>
        <v/>
      </c>
      <c r="Z225" s="178" t="str">
        <f t="shared" si="63"/>
        <v/>
      </c>
      <c r="AA225" s="178" t="str">
        <f t="shared" si="64"/>
        <v/>
      </c>
      <c r="AB225" s="178" t="str">
        <f t="shared" si="65"/>
        <v/>
      </c>
      <c r="AC225" s="178" t="str">
        <f t="shared" si="66"/>
        <v/>
      </c>
      <c r="AD225" s="267" t="s">
        <v>316</v>
      </c>
      <c r="AF225" s="149" t="str">
        <f t="shared" si="60"/>
        <v/>
      </c>
      <c r="AH225" s="178" t="str">
        <f t="shared" si="53"/>
        <v/>
      </c>
      <c r="AI225" s="178" t="str">
        <f t="shared" si="54"/>
        <v/>
      </c>
      <c r="AJ225" s="178" t="str">
        <f t="shared" si="55"/>
        <v/>
      </c>
      <c r="AK225" s="178" t="str">
        <f t="shared" si="56"/>
        <v/>
      </c>
      <c r="AL225" t="s">
        <v>327</v>
      </c>
      <c r="AN225" s="149" t="str">
        <f t="shared" si="57"/>
        <v/>
      </c>
      <c r="AQ225" s="178" t="str">
        <f t="shared" ca="1" si="58"/>
        <v/>
      </c>
      <c r="AR225" s="178" t="str">
        <f t="shared" ca="1" si="59"/>
        <v/>
      </c>
    </row>
    <row r="226" spans="1:44" x14ac:dyDescent="0.2">
      <c r="A226" t="str">
        <f>IF(B226="","",CONCATENATE("GBL",B226," - ",Mantenedor!E237))</f>
        <v/>
      </c>
      <c r="P226" t="str">
        <f t="shared" si="51"/>
        <v/>
      </c>
      <c r="Q226" s="266" t="str" cm="1">
        <f t="array" ref="Q226">+_xlfn.IFS(O226="Nacional","CLP",O226="Extranjero","USD",O226="","")</f>
        <v/>
      </c>
      <c r="R226" s="262" t="str">
        <f>IFERROR(IF(O226="Nacional",VLOOKUP(P226,PRICING!$D$4:$E$59,2,FALSE),VLOOKUP(P226,PRICING!$J$4:$K$59,2,FALSE)),"")</f>
        <v/>
      </c>
      <c r="S226"/>
      <c r="V226" s="262"/>
      <c r="W226" s="280">
        <f t="shared" si="52"/>
        <v>0</v>
      </c>
      <c r="X226" s="178" t="str">
        <f t="shared" si="61"/>
        <v/>
      </c>
      <c r="Y226" s="178" t="str">
        <f t="shared" si="62"/>
        <v/>
      </c>
      <c r="Z226" s="178" t="str">
        <f t="shared" si="63"/>
        <v/>
      </c>
      <c r="AA226" s="178" t="str">
        <f t="shared" si="64"/>
        <v/>
      </c>
      <c r="AB226" s="178" t="str">
        <f t="shared" si="65"/>
        <v/>
      </c>
      <c r="AC226" s="178" t="str">
        <f t="shared" si="66"/>
        <v/>
      </c>
      <c r="AD226" s="267" t="s">
        <v>316</v>
      </c>
      <c r="AF226" s="149" t="str">
        <f t="shared" si="60"/>
        <v/>
      </c>
      <c r="AH226" s="178" t="str">
        <f t="shared" si="53"/>
        <v/>
      </c>
      <c r="AI226" s="178" t="str">
        <f t="shared" si="54"/>
        <v/>
      </c>
      <c r="AJ226" s="178" t="str">
        <f t="shared" si="55"/>
        <v/>
      </c>
      <c r="AK226" s="178" t="str">
        <f t="shared" si="56"/>
        <v/>
      </c>
      <c r="AL226" t="s">
        <v>327</v>
      </c>
      <c r="AN226" s="149" t="str">
        <f t="shared" si="57"/>
        <v/>
      </c>
      <c r="AQ226" s="178" t="str">
        <f t="shared" ca="1" si="58"/>
        <v/>
      </c>
      <c r="AR226" s="178" t="str">
        <f t="shared" ca="1" si="59"/>
        <v/>
      </c>
    </row>
    <row r="227" spans="1:44" x14ac:dyDescent="0.2">
      <c r="A227" t="str">
        <f>IF(B227="","",CONCATENATE("GBL",B227," - ",Mantenedor!E238))</f>
        <v/>
      </c>
      <c r="P227" t="str">
        <f t="shared" si="51"/>
        <v/>
      </c>
      <c r="Q227" s="266" t="str" cm="1">
        <f t="array" ref="Q227">+_xlfn.IFS(O227="Nacional","CLP",O227="Extranjero","USD",O227="","")</f>
        <v/>
      </c>
      <c r="R227" s="262" t="str">
        <f>IFERROR(IF(O227="Nacional",VLOOKUP(P227,PRICING!$D$4:$E$59,2,FALSE),VLOOKUP(P227,PRICING!$J$4:$K$59,2,FALSE)),"")</f>
        <v/>
      </c>
      <c r="S227"/>
      <c r="V227" s="262"/>
      <c r="W227" s="280">
        <f t="shared" si="52"/>
        <v>0</v>
      </c>
      <c r="X227" s="178" t="str">
        <f t="shared" si="61"/>
        <v/>
      </c>
      <c r="Y227" s="178" t="str">
        <f t="shared" si="62"/>
        <v/>
      </c>
      <c r="Z227" s="178" t="str">
        <f t="shared" si="63"/>
        <v/>
      </c>
      <c r="AA227" s="178" t="str">
        <f t="shared" si="64"/>
        <v/>
      </c>
      <c r="AB227" s="178" t="str">
        <f t="shared" si="65"/>
        <v/>
      </c>
      <c r="AC227" s="178" t="str">
        <f t="shared" si="66"/>
        <v/>
      </c>
      <c r="AD227" s="267" t="s">
        <v>316</v>
      </c>
      <c r="AF227" s="149" t="str">
        <f t="shared" si="60"/>
        <v/>
      </c>
      <c r="AH227" s="178" t="str">
        <f t="shared" si="53"/>
        <v/>
      </c>
      <c r="AI227" s="178" t="str">
        <f t="shared" si="54"/>
        <v/>
      </c>
      <c r="AJ227" s="178" t="str">
        <f t="shared" si="55"/>
        <v/>
      </c>
      <c r="AK227" s="178" t="str">
        <f t="shared" si="56"/>
        <v/>
      </c>
      <c r="AL227" t="s">
        <v>327</v>
      </c>
      <c r="AN227" s="149" t="str">
        <f t="shared" si="57"/>
        <v/>
      </c>
      <c r="AQ227" s="178" t="str">
        <f t="shared" ca="1" si="58"/>
        <v/>
      </c>
      <c r="AR227" s="178" t="str">
        <f t="shared" ca="1" si="59"/>
        <v/>
      </c>
    </row>
    <row r="228" spans="1:44" x14ac:dyDescent="0.2">
      <c r="A228" t="str">
        <f>IF(B228="","",CONCATENATE("GBL",B228," - ",Mantenedor!E239))</f>
        <v/>
      </c>
      <c r="P228" t="str">
        <f t="shared" si="51"/>
        <v/>
      </c>
      <c r="Q228" s="266" t="str" cm="1">
        <f t="array" ref="Q228">+_xlfn.IFS(O228="Nacional","CLP",O228="Extranjero","USD",O228="","")</f>
        <v/>
      </c>
      <c r="R228" s="262" t="str">
        <f>IFERROR(IF(O228="Nacional",VLOOKUP(P228,PRICING!$D$4:$E$59,2,FALSE),VLOOKUP(P228,PRICING!$J$4:$K$59,2,FALSE)),"")</f>
        <v/>
      </c>
      <c r="S228"/>
      <c r="V228" s="262"/>
      <c r="W228" s="280">
        <f t="shared" si="52"/>
        <v>0</v>
      </c>
      <c r="X228" s="178" t="str">
        <f t="shared" si="61"/>
        <v/>
      </c>
      <c r="Y228" s="178" t="str">
        <f t="shared" si="62"/>
        <v/>
      </c>
      <c r="Z228" s="178" t="str">
        <f t="shared" si="63"/>
        <v/>
      </c>
      <c r="AA228" s="178" t="str">
        <f t="shared" si="64"/>
        <v/>
      </c>
      <c r="AB228" s="178" t="str">
        <f t="shared" si="65"/>
        <v/>
      </c>
      <c r="AC228" s="178" t="str">
        <f t="shared" si="66"/>
        <v/>
      </c>
      <c r="AD228" s="267" t="s">
        <v>316</v>
      </c>
      <c r="AF228" s="149" t="str">
        <f t="shared" si="60"/>
        <v/>
      </c>
      <c r="AH228" s="178" t="str">
        <f t="shared" si="53"/>
        <v/>
      </c>
      <c r="AI228" s="178" t="str">
        <f t="shared" si="54"/>
        <v/>
      </c>
      <c r="AJ228" s="178" t="str">
        <f t="shared" si="55"/>
        <v/>
      </c>
      <c r="AK228" s="178" t="str">
        <f t="shared" si="56"/>
        <v/>
      </c>
      <c r="AL228" t="s">
        <v>327</v>
      </c>
      <c r="AN228" s="149" t="str">
        <f t="shared" si="57"/>
        <v/>
      </c>
      <c r="AQ228" s="178" t="str">
        <f t="shared" ca="1" si="58"/>
        <v/>
      </c>
      <c r="AR228" s="178" t="str">
        <f t="shared" ca="1" si="59"/>
        <v/>
      </c>
    </row>
    <row r="229" spans="1:44" x14ac:dyDescent="0.2">
      <c r="A229" t="str">
        <f>IF(B229="","",CONCATENATE("GBL",B229," - ",Mantenedor!E240))</f>
        <v/>
      </c>
      <c r="P229" t="str">
        <f t="shared" si="51"/>
        <v/>
      </c>
      <c r="Q229" s="266" t="str" cm="1">
        <f t="array" ref="Q229">+_xlfn.IFS(O229="Nacional","CLP",O229="Extranjero","USD",O229="","")</f>
        <v/>
      </c>
      <c r="R229" s="262" t="str">
        <f>IFERROR(IF(O229="Nacional",VLOOKUP(P229,PRICING!$D$4:$E$59,2,FALSE),VLOOKUP(P229,PRICING!$J$4:$K$59,2,FALSE)),"")</f>
        <v/>
      </c>
      <c r="S229"/>
      <c r="V229" s="262"/>
      <c r="W229" s="280">
        <f t="shared" si="52"/>
        <v>0</v>
      </c>
      <c r="X229" s="178" t="str">
        <f t="shared" si="61"/>
        <v/>
      </c>
      <c r="Y229" s="178" t="str">
        <f t="shared" si="62"/>
        <v/>
      </c>
      <c r="Z229" s="178" t="str">
        <f t="shared" si="63"/>
        <v/>
      </c>
      <c r="AA229" s="178" t="str">
        <f t="shared" si="64"/>
        <v/>
      </c>
      <c r="AB229" s="178" t="str">
        <f t="shared" si="65"/>
        <v/>
      </c>
      <c r="AC229" s="178" t="str">
        <f t="shared" si="66"/>
        <v/>
      </c>
      <c r="AD229" s="267" t="s">
        <v>316</v>
      </c>
      <c r="AF229" s="149" t="str">
        <f t="shared" si="60"/>
        <v/>
      </c>
      <c r="AH229" s="178" t="str">
        <f t="shared" si="53"/>
        <v/>
      </c>
      <c r="AI229" s="178" t="str">
        <f t="shared" si="54"/>
        <v/>
      </c>
      <c r="AJ229" s="178" t="str">
        <f t="shared" si="55"/>
        <v/>
      </c>
      <c r="AK229" s="178" t="str">
        <f t="shared" si="56"/>
        <v/>
      </c>
      <c r="AL229" t="s">
        <v>327</v>
      </c>
      <c r="AN229" s="149" t="str">
        <f t="shared" si="57"/>
        <v/>
      </c>
      <c r="AQ229" s="178" t="str">
        <f t="shared" ca="1" si="58"/>
        <v/>
      </c>
      <c r="AR229" s="178" t="str">
        <f t="shared" ca="1" si="59"/>
        <v/>
      </c>
    </row>
    <row r="230" spans="1:44" x14ac:dyDescent="0.2">
      <c r="A230" t="str">
        <f>IF(B230="","",CONCATENATE("GBL",B230," - ",Mantenedor!E241))</f>
        <v/>
      </c>
      <c r="P230" t="str">
        <f t="shared" si="51"/>
        <v/>
      </c>
      <c r="Q230" s="266" t="str" cm="1">
        <f t="array" ref="Q230">+_xlfn.IFS(O230="Nacional","CLP",O230="Extranjero","USD",O230="","")</f>
        <v/>
      </c>
      <c r="R230" s="262" t="str">
        <f>IFERROR(IF(O230="Nacional",VLOOKUP(P230,PRICING!$D$4:$E$59,2,FALSE),VLOOKUP(P230,PRICING!$J$4:$K$59,2,FALSE)),"")</f>
        <v/>
      </c>
      <c r="S230"/>
      <c r="V230" s="262"/>
      <c r="W230" s="280">
        <f t="shared" si="52"/>
        <v>0</v>
      </c>
      <c r="X230" s="178" t="str">
        <f t="shared" si="61"/>
        <v/>
      </c>
      <c r="Y230" s="178" t="str">
        <f t="shared" si="62"/>
        <v/>
      </c>
      <c r="Z230" s="178" t="str">
        <f t="shared" si="63"/>
        <v/>
      </c>
      <c r="AA230" s="178" t="str">
        <f t="shared" si="64"/>
        <v/>
      </c>
      <c r="AB230" s="178" t="str">
        <f t="shared" si="65"/>
        <v/>
      </c>
      <c r="AC230" s="178" t="str">
        <f t="shared" si="66"/>
        <v/>
      </c>
      <c r="AD230" s="267" t="s">
        <v>316</v>
      </c>
      <c r="AF230" s="149" t="str">
        <f t="shared" si="60"/>
        <v/>
      </c>
      <c r="AH230" s="178" t="str">
        <f t="shared" si="53"/>
        <v/>
      </c>
      <c r="AI230" s="178" t="str">
        <f t="shared" si="54"/>
        <v/>
      </c>
      <c r="AJ230" s="178" t="str">
        <f t="shared" si="55"/>
        <v/>
      </c>
      <c r="AK230" s="178" t="str">
        <f t="shared" si="56"/>
        <v/>
      </c>
      <c r="AL230" t="s">
        <v>327</v>
      </c>
      <c r="AN230" s="149" t="str">
        <f t="shared" si="57"/>
        <v/>
      </c>
      <c r="AQ230" s="178" t="str">
        <f t="shared" ca="1" si="58"/>
        <v/>
      </c>
      <c r="AR230" s="178" t="str">
        <f t="shared" ca="1" si="59"/>
        <v/>
      </c>
    </row>
    <row r="231" spans="1:44" x14ac:dyDescent="0.2">
      <c r="A231" t="str">
        <f>IF(B231="","",CONCATENATE("GBL",B231," - ",Mantenedor!E242))</f>
        <v/>
      </c>
      <c r="P231" t="str">
        <f t="shared" si="51"/>
        <v/>
      </c>
      <c r="Q231" s="266" t="str" cm="1">
        <f t="array" ref="Q231">+_xlfn.IFS(O231="Nacional","CLP",O231="Extranjero","USD",O231="","")</f>
        <v/>
      </c>
      <c r="R231" s="262" t="str">
        <f>IFERROR(IF(O231="Nacional",VLOOKUP(P231,PRICING!$D$4:$E$59,2,FALSE),VLOOKUP(P231,PRICING!$J$4:$K$59,2,FALSE)),"")</f>
        <v/>
      </c>
      <c r="S231"/>
      <c r="V231" s="262"/>
      <c r="W231" s="280">
        <f t="shared" si="52"/>
        <v>0</v>
      </c>
      <c r="X231" s="178" t="str">
        <f t="shared" si="61"/>
        <v/>
      </c>
      <c r="Y231" s="178" t="str">
        <f t="shared" si="62"/>
        <v/>
      </c>
      <c r="Z231" s="178" t="str">
        <f t="shared" si="63"/>
        <v/>
      </c>
      <c r="AA231" s="178" t="str">
        <f t="shared" si="64"/>
        <v/>
      </c>
      <c r="AB231" s="178" t="str">
        <f t="shared" si="65"/>
        <v/>
      </c>
      <c r="AC231" s="178" t="str">
        <f t="shared" si="66"/>
        <v/>
      </c>
      <c r="AD231" s="267" t="s">
        <v>316</v>
      </c>
      <c r="AF231" s="149" t="str">
        <f t="shared" si="60"/>
        <v/>
      </c>
      <c r="AH231" s="178" t="str">
        <f t="shared" si="53"/>
        <v/>
      </c>
      <c r="AI231" s="178" t="str">
        <f t="shared" si="54"/>
        <v/>
      </c>
      <c r="AJ231" s="178" t="str">
        <f t="shared" si="55"/>
        <v/>
      </c>
      <c r="AK231" s="178" t="str">
        <f t="shared" si="56"/>
        <v/>
      </c>
      <c r="AL231" t="s">
        <v>327</v>
      </c>
      <c r="AN231" s="149" t="str">
        <f t="shared" si="57"/>
        <v/>
      </c>
      <c r="AQ231" s="178" t="str">
        <f t="shared" ca="1" si="58"/>
        <v/>
      </c>
      <c r="AR231" s="178" t="str">
        <f t="shared" ca="1" si="59"/>
        <v/>
      </c>
    </row>
    <row r="232" spans="1:44" x14ac:dyDescent="0.2">
      <c r="A232" t="str">
        <f>IF(B232="","",CONCATENATE("GBL",B232," - ",Mantenedor!E243))</f>
        <v/>
      </c>
      <c r="P232" t="str">
        <f t="shared" si="51"/>
        <v/>
      </c>
      <c r="Q232" s="266" t="str" cm="1">
        <f t="array" ref="Q232">+_xlfn.IFS(O232="Nacional","CLP",O232="Extranjero","USD",O232="","")</f>
        <v/>
      </c>
      <c r="R232" s="262" t="str">
        <f>IFERROR(IF(O232="Nacional",VLOOKUP(P232,PRICING!$D$4:$E$59,2,FALSE),VLOOKUP(P232,PRICING!$J$4:$K$59,2,FALSE)),"")</f>
        <v/>
      </c>
      <c r="S232"/>
      <c r="V232" s="262"/>
      <c r="W232" s="280">
        <f t="shared" si="52"/>
        <v>0</v>
      </c>
      <c r="X232" s="178" t="str">
        <f t="shared" si="61"/>
        <v/>
      </c>
      <c r="Y232" s="178" t="str">
        <f t="shared" si="62"/>
        <v/>
      </c>
      <c r="Z232" s="178" t="str">
        <f t="shared" si="63"/>
        <v/>
      </c>
      <c r="AA232" s="178" t="str">
        <f t="shared" si="64"/>
        <v/>
      </c>
      <c r="AB232" s="178" t="str">
        <f t="shared" si="65"/>
        <v/>
      </c>
      <c r="AC232" s="178" t="str">
        <f t="shared" si="66"/>
        <v/>
      </c>
      <c r="AD232" s="267" t="s">
        <v>316</v>
      </c>
      <c r="AF232" s="149" t="str">
        <f t="shared" si="60"/>
        <v/>
      </c>
      <c r="AH232" s="178" t="str">
        <f t="shared" si="53"/>
        <v/>
      </c>
      <c r="AI232" s="178" t="str">
        <f t="shared" si="54"/>
        <v/>
      </c>
      <c r="AJ232" s="178" t="str">
        <f t="shared" si="55"/>
        <v/>
      </c>
      <c r="AK232" s="178" t="str">
        <f t="shared" si="56"/>
        <v/>
      </c>
      <c r="AL232" t="s">
        <v>327</v>
      </c>
      <c r="AN232" s="149" t="str">
        <f t="shared" si="57"/>
        <v/>
      </c>
      <c r="AQ232" s="178" t="str">
        <f t="shared" ca="1" si="58"/>
        <v/>
      </c>
      <c r="AR232" s="178" t="str">
        <f t="shared" ca="1" si="59"/>
        <v/>
      </c>
    </row>
    <row r="233" spans="1:44" x14ac:dyDescent="0.2">
      <c r="A233" t="str">
        <f>IF(B233="","",CONCATENATE("GBL",B233," - ",Mantenedor!E244))</f>
        <v/>
      </c>
      <c r="P233" t="str">
        <f t="shared" si="51"/>
        <v/>
      </c>
      <c r="Q233" s="266" t="str" cm="1">
        <f t="array" ref="Q233">+_xlfn.IFS(O233="Nacional","CLP",O233="Extranjero","USD",O233="","")</f>
        <v/>
      </c>
      <c r="R233" s="262" t="str">
        <f>IFERROR(IF(O233="Nacional",VLOOKUP(P233,PRICING!$D$4:$E$59,2,FALSE),VLOOKUP(P233,PRICING!$J$4:$K$59,2,FALSE)),"")</f>
        <v/>
      </c>
      <c r="S233"/>
      <c r="V233" s="262"/>
      <c r="W233" s="280">
        <f t="shared" si="52"/>
        <v>0</v>
      </c>
      <c r="X233" s="178" t="str">
        <f t="shared" si="61"/>
        <v/>
      </c>
      <c r="Y233" s="178" t="str">
        <f t="shared" si="62"/>
        <v/>
      </c>
      <c r="Z233" s="178" t="str">
        <f t="shared" si="63"/>
        <v/>
      </c>
      <c r="AA233" s="178" t="str">
        <f t="shared" si="64"/>
        <v/>
      </c>
      <c r="AB233" s="178" t="str">
        <f t="shared" si="65"/>
        <v/>
      </c>
      <c r="AC233" s="178" t="str">
        <f t="shared" si="66"/>
        <v/>
      </c>
      <c r="AD233" s="267" t="s">
        <v>316</v>
      </c>
      <c r="AF233" s="149" t="str">
        <f t="shared" si="60"/>
        <v/>
      </c>
      <c r="AH233" s="178" t="str">
        <f t="shared" si="53"/>
        <v/>
      </c>
      <c r="AI233" s="178" t="str">
        <f t="shared" si="54"/>
        <v/>
      </c>
      <c r="AJ233" s="178" t="str">
        <f t="shared" si="55"/>
        <v/>
      </c>
      <c r="AK233" s="178" t="str">
        <f t="shared" si="56"/>
        <v/>
      </c>
      <c r="AL233" t="s">
        <v>327</v>
      </c>
      <c r="AN233" s="149" t="str">
        <f t="shared" si="57"/>
        <v/>
      </c>
      <c r="AQ233" s="178" t="str">
        <f t="shared" ca="1" si="58"/>
        <v/>
      </c>
      <c r="AR233" s="178" t="str">
        <f t="shared" ca="1" si="59"/>
        <v/>
      </c>
    </row>
    <row r="234" spans="1:44" x14ac:dyDescent="0.2">
      <c r="A234" t="str">
        <f>IF(B234="","",CONCATENATE("GBL",B234," - ",Mantenedor!E245))</f>
        <v/>
      </c>
      <c r="P234" t="str">
        <f t="shared" si="51"/>
        <v/>
      </c>
      <c r="Q234" s="266" t="str" cm="1">
        <f t="array" ref="Q234">+_xlfn.IFS(O234="Nacional","CLP",O234="Extranjero","USD",O234="","")</f>
        <v/>
      </c>
      <c r="R234" s="262" t="str">
        <f>IFERROR(IF(O234="Nacional",VLOOKUP(P234,PRICING!$D$4:$E$59,2,FALSE),VLOOKUP(P234,PRICING!$J$4:$K$59,2,FALSE)),"")</f>
        <v/>
      </c>
      <c r="S234"/>
      <c r="V234" s="262"/>
      <c r="W234" s="280">
        <f t="shared" si="52"/>
        <v>0</v>
      </c>
      <c r="X234" s="178" t="str">
        <f t="shared" si="61"/>
        <v/>
      </c>
      <c r="Y234" s="178" t="str">
        <f t="shared" si="62"/>
        <v/>
      </c>
      <c r="Z234" s="178" t="str">
        <f t="shared" si="63"/>
        <v/>
      </c>
      <c r="AA234" s="178" t="str">
        <f t="shared" si="64"/>
        <v/>
      </c>
      <c r="AB234" s="178" t="str">
        <f t="shared" si="65"/>
        <v/>
      </c>
      <c r="AC234" s="178" t="str">
        <f t="shared" si="66"/>
        <v/>
      </c>
      <c r="AD234" s="267" t="s">
        <v>316</v>
      </c>
      <c r="AF234" s="149" t="str">
        <f t="shared" si="60"/>
        <v/>
      </c>
      <c r="AH234" s="178" t="str">
        <f t="shared" si="53"/>
        <v/>
      </c>
      <c r="AI234" s="178" t="str">
        <f t="shared" si="54"/>
        <v/>
      </c>
      <c r="AJ234" s="178" t="str">
        <f t="shared" si="55"/>
        <v/>
      </c>
      <c r="AK234" s="178" t="str">
        <f t="shared" si="56"/>
        <v/>
      </c>
      <c r="AL234" t="s">
        <v>327</v>
      </c>
      <c r="AN234" s="149" t="str">
        <f t="shared" si="57"/>
        <v/>
      </c>
      <c r="AQ234" s="178" t="str">
        <f t="shared" ca="1" si="58"/>
        <v/>
      </c>
      <c r="AR234" s="178" t="str">
        <f t="shared" ca="1" si="59"/>
        <v/>
      </c>
    </row>
    <row r="235" spans="1:44" x14ac:dyDescent="0.2">
      <c r="A235" t="str">
        <f>IF(B235="","",CONCATENATE("GBL",B235," - ",Mantenedor!E246))</f>
        <v/>
      </c>
      <c r="P235" t="str">
        <f t="shared" si="51"/>
        <v/>
      </c>
      <c r="Q235" s="266" t="str" cm="1">
        <f t="array" ref="Q235">+_xlfn.IFS(O235="Nacional","CLP",O235="Extranjero","USD",O235="","")</f>
        <v/>
      </c>
      <c r="R235" s="262" t="str">
        <f>IFERROR(IF(O235="Nacional",VLOOKUP(P235,PRICING!$D$4:$E$59,2,FALSE),VLOOKUP(P235,PRICING!$J$4:$K$59,2,FALSE)),"")</f>
        <v/>
      </c>
      <c r="S235"/>
      <c r="V235" s="262"/>
      <c r="W235" s="280">
        <f t="shared" si="52"/>
        <v>0</v>
      </c>
      <c r="X235" s="178" t="str">
        <f t="shared" si="61"/>
        <v/>
      </c>
      <c r="Y235" s="178" t="str">
        <f t="shared" si="62"/>
        <v/>
      </c>
      <c r="Z235" s="178" t="str">
        <f t="shared" si="63"/>
        <v/>
      </c>
      <c r="AA235" s="178" t="str">
        <f t="shared" si="64"/>
        <v/>
      </c>
      <c r="AB235" s="178" t="str">
        <f t="shared" si="65"/>
        <v/>
      </c>
      <c r="AC235" s="178" t="str">
        <f t="shared" si="66"/>
        <v/>
      </c>
      <c r="AD235" s="267" t="s">
        <v>316</v>
      </c>
      <c r="AF235" s="149" t="str">
        <f t="shared" si="60"/>
        <v/>
      </c>
      <c r="AH235" s="178" t="str">
        <f t="shared" si="53"/>
        <v/>
      </c>
      <c r="AI235" s="178" t="str">
        <f t="shared" si="54"/>
        <v/>
      </c>
      <c r="AJ235" s="178" t="str">
        <f t="shared" si="55"/>
        <v/>
      </c>
      <c r="AK235" s="178" t="str">
        <f t="shared" si="56"/>
        <v/>
      </c>
      <c r="AL235" t="s">
        <v>327</v>
      </c>
      <c r="AN235" s="149" t="str">
        <f t="shared" si="57"/>
        <v/>
      </c>
      <c r="AQ235" s="178" t="str">
        <f t="shared" ca="1" si="58"/>
        <v/>
      </c>
      <c r="AR235" s="178" t="str">
        <f t="shared" ca="1" si="59"/>
        <v/>
      </c>
    </row>
    <row r="236" spans="1:44" x14ac:dyDescent="0.2">
      <c r="A236" t="str">
        <f>IF(B236="","",CONCATENATE("GBL",B236," - ",Mantenedor!E247))</f>
        <v/>
      </c>
      <c r="P236" t="str">
        <f t="shared" si="51"/>
        <v/>
      </c>
      <c r="Q236" s="266" t="str" cm="1">
        <f t="array" ref="Q236">+_xlfn.IFS(O236="Nacional","CLP",O236="Extranjero","USD",O236="","")</f>
        <v/>
      </c>
      <c r="R236" s="262" t="str">
        <f>IFERROR(IF(O236="Nacional",VLOOKUP(P236,PRICING!$D$4:$E$59,2,FALSE),VLOOKUP(P236,PRICING!$J$4:$K$59,2,FALSE)),"")</f>
        <v/>
      </c>
      <c r="S236"/>
      <c r="V236" s="262"/>
      <c r="W236" s="280">
        <f t="shared" si="52"/>
        <v>0</v>
      </c>
      <c r="X236" s="178" t="str">
        <f t="shared" si="61"/>
        <v/>
      </c>
      <c r="Y236" s="178" t="str">
        <f t="shared" si="62"/>
        <v/>
      </c>
      <c r="Z236" s="178" t="str">
        <f t="shared" si="63"/>
        <v/>
      </c>
      <c r="AA236" s="178" t="str">
        <f t="shared" si="64"/>
        <v/>
      </c>
      <c r="AB236" s="178" t="str">
        <f t="shared" si="65"/>
        <v/>
      </c>
      <c r="AC236" s="178" t="str">
        <f t="shared" si="66"/>
        <v/>
      </c>
      <c r="AD236" s="267" t="s">
        <v>316</v>
      </c>
      <c r="AF236" s="149" t="str">
        <f t="shared" si="60"/>
        <v/>
      </c>
      <c r="AH236" s="178" t="str">
        <f t="shared" si="53"/>
        <v/>
      </c>
      <c r="AI236" s="178" t="str">
        <f t="shared" si="54"/>
        <v/>
      </c>
      <c r="AJ236" s="178" t="str">
        <f t="shared" si="55"/>
        <v/>
      </c>
      <c r="AK236" s="178" t="str">
        <f t="shared" si="56"/>
        <v/>
      </c>
      <c r="AL236" t="s">
        <v>327</v>
      </c>
      <c r="AN236" s="149" t="str">
        <f t="shared" si="57"/>
        <v/>
      </c>
      <c r="AQ236" s="178" t="str">
        <f t="shared" ca="1" si="58"/>
        <v/>
      </c>
      <c r="AR236" s="178" t="str">
        <f t="shared" ca="1" si="59"/>
        <v/>
      </c>
    </row>
    <row r="237" spans="1:44" x14ac:dyDescent="0.2">
      <c r="A237" t="str">
        <f>IF(B237="","",CONCATENATE("GBL",B237," - ",Mantenedor!E248))</f>
        <v/>
      </c>
      <c r="P237" t="str">
        <f t="shared" si="51"/>
        <v/>
      </c>
      <c r="Q237" s="266" t="str" cm="1">
        <f t="array" ref="Q237">+_xlfn.IFS(O237="Nacional","CLP",O237="Extranjero","USD",O237="","")</f>
        <v/>
      </c>
      <c r="R237" s="262" t="str">
        <f>IFERROR(IF(O237="Nacional",VLOOKUP(P237,PRICING!$D$4:$E$59,2,FALSE),VLOOKUP(P237,PRICING!$J$4:$K$59,2,FALSE)),"")</f>
        <v/>
      </c>
      <c r="S237"/>
      <c r="V237" s="262"/>
      <c r="W237" s="280">
        <f t="shared" si="52"/>
        <v>0</v>
      </c>
      <c r="X237" s="178" t="str">
        <f t="shared" si="61"/>
        <v/>
      </c>
      <c r="Y237" s="178" t="str">
        <f t="shared" si="62"/>
        <v/>
      </c>
      <c r="Z237" s="178" t="str">
        <f t="shared" si="63"/>
        <v/>
      </c>
      <c r="AA237" s="178" t="str">
        <f t="shared" si="64"/>
        <v/>
      </c>
      <c r="AB237" s="178" t="str">
        <f t="shared" si="65"/>
        <v/>
      </c>
      <c r="AC237" s="178" t="str">
        <f t="shared" si="66"/>
        <v/>
      </c>
      <c r="AD237" s="267" t="s">
        <v>316</v>
      </c>
      <c r="AF237" s="149" t="str">
        <f t="shared" si="60"/>
        <v/>
      </c>
      <c r="AH237" s="178" t="str">
        <f t="shared" si="53"/>
        <v/>
      </c>
      <c r="AI237" s="178" t="str">
        <f t="shared" si="54"/>
        <v/>
      </c>
      <c r="AJ237" s="178" t="str">
        <f t="shared" si="55"/>
        <v/>
      </c>
      <c r="AK237" s="178" t="str">
        <f t="shared" si="56"/>
        <v/>
      </c>
      <c r="AL237" t="s">
        <v>327</v>
      </c>
      <c r="AN237" s="149" t="str">
        <f t="shared" si="57"/>
        <v/>
      </c>
      <c r="AQ237" s="178" t="str">
        <f t="shared" ca="1" si="58"/>
        <v/>
      </c>
      <c r="AR237" s="178" t="str">
        <f t="shared" ca="1" si="59"/>
        <v/>
      </c>
    </row>
    <row r="238" spans="1:44" x14ac:dyDescent="0.2">
      <c r="A238" t="str">
        <f>IF(B238="","",CONCATENATE("GBL",B238," - ",Mantenedor!E249))</f>
        <v/>
      </c>
      <c r="P238" t="str">
        <f t="shared" si="51"/>
        <v/>
      </c>
      <c r="Q238" s="266" t="str" cm="1">
        <f t="array" ref="Q238">+_xlfn.IFS(O238="Nacional","CLP",O238="Extranjero","USD",O238="","")</f>
        <v/>
      </c>
      <c r="R238" s="262" t="str">
        <f>IFERROR(IF(O238="Nacional",VLOOKUP(P238,PRICING!$D$4:$E$59,2,FALSE),VLOOKUP(P238,PRICING!$J$4:$K$59,2,FALSE)),"")</f>
        <v/>
      </c>
      <c r="S238"/>
      <c r="V238" s="262"/>
      <c r="W238" s="280">
        <f t="shared" si="52"/>
        <v>0</v>
      </c>
      <c r="X238" s="178" t="str">
        <f t="shared" si="61"/>
        <v/>
      </c>
      <c r="Y238" s="178" t="str">
        <f t="shared" si="62"/>
        <v/>
      </c>
      <c r="Z238" s="178" t="str">
        <f t="shared" si="63"/>
        <v/>
      </c>
      <c r="AA238" s="178" t="str">
        <f t="shared" si="64"/>
        <v/>
      </c>
      <c r="AB238" s="178" t="str">
        <f t="shared" si="65"/>
        <v/>
      </c>
      <c r="AC238" s="178" t="str">
        <f t="shared" si="66"/>
        <v/>
      </c>
      <c r="AD238" s="267" t="s">
        <v>316</v>
      </c>
      <c r="AF238" s="149" t="str">
        <f t="shared" si="60"/>
        <v/>
      </c>
      <c r="AH238" s="178" t="str">
        <f t="shared" si="53"/>
        <v/>
      </c>
      <c r="AI238" s="178" t="str">
        <f t="shared" si="54"/>
        <v/>
      </c>
      <c r="AJ238" s="178" t="str">
        <f t="shared" si="55"/>
        <v/>
      </c>
      <c r="AK238" s="178" t="str">
        <f t="shared" si="56"/>
        <v/>
      </c>
      <c r="AL238" t="s">
        <v>327</v>
      </c>
      <c r="AN238" s="149" t="str">
        <f t="shared" si="57"/>
        <v/>
      </c>
      <c r="AQ238" s="178" t="str">
        <f t="shared" ca="1" si="58"/>
        <v/>
      </c>
      <c r="AR238" s="178" t="str">
        <f t="shared" ca="1" si="59"/>
        <v/>
      </c>
    </row>
    <row r="239" spans="1:44" x14ac:dyDescent="0.2">
      <c r="A239" t="str">
        <f>IF(B239="","",CONCATENATE("GBL",B239," - ",Mantenedor!E250))</f>
        <v/>
      </c>
      <c r="P239" t="str">
        <f t="shared" si="51"/>
        <v/>
      </c>
      <c r="Q239" s="266" t="str" cm="1">
        <f t="array" ref="Q239">+_xlfn.IFS(O239="Nacional","CLP",O239="Extranjero","USD",O239="","")</f>
        <v/>
      </c>
      <c r="R239" s="262" t="str">
        <f>IFERROR(IF(O239="Nacional",VLOOKUP(P239,PRICING!$D$4:$E$59,2,FALSE),VLOOKUP(P239,PRICING!$J$4:$K$59,2,FALSE)),"")</f>
        <v/>
      </c>
      <c r="S239"/>
      <c r="V239" s="262"/>
      <c r="W239" s="280">
        <f t="shared" si="52"/>
        <v>0</v>
      </c>
      <c r="X239" s="178" t="str">
        <f t="shared" si="61"/>
        <v/>
      </c>
      <c r="Y239" s="178" t="str">
        <f t="shared" si="62"/>
        <v/>
      </c>
      <c r="Z239" s="178" t="str">
        <f t="shared" si="63"/>
        <v/>
      </c>
      <c r="AA239" s="178" t="str">
        <f t="shared" si="64"/>
        <v/>
      </c>
      <c r="AB239" s="178" t="str">
        <f t="shared" si="65"/>
        <v/>
      </c>
      <c r="AC239" s="178" t="str">
        <f t="shared" si="66"/>
        <v/>
      </c>
      <c r="AD239" s="267" t="s">
        <v>316</v>
      </c>
      <c r="AF239" s="149" t="str">
        <f t="shared" si="60"/>
        <v/>
      </c>
      <c r="AH239" s="178" t="str">
        <f t="shared" si="53"/>
        <v/>
      </c>
      <c r="AI239" s="178" t="str">
        <f t="shared" si="54"/>
        <v/>
      </c>
      <c r="AJ239" s="178" t="str">
        <f t="shared" si="55"/>
        <v/>
      </c>
      <c r="AK239" s="178" t="str">
        <f t="shared" si="56"/>
        <v/>
      </c>
      <c r="AL239" t="s">
        <v>327</v>
      </c>
      <c r="AN239" s="149" t="str">
        <f t="shared" si="57"/>
        <v/>
      </c>
      <c r="AQ239" s="178" t="str">
        <f t="shared" ca="1" si="58"/>
        <v/>
      </c>
      <c r="AR239" s="178" t="str">
        <f t="shared" ca="1" si="59"/>
        <v/>
      </c>
    </row>
    <row r="240" spans="1:44" x14ac:dyDescent="0.2">
      <c r="A240" t="str">
        <f>IF(B240="","",CONCATENATE("GBL",B240," - ",Mantenedor!E251))</f>
        <v/>
      </c>
      <c r="P240" t="str">
        <f t="shared" si="51"/>
        <v/>
      </c>
      <c r="Q240" s="266" t="str" cm="1">
        <f t="array" ref="Q240">+_xlfn.IFS(O240="Nacional","CLP",O240="Extranjero","USD",O240="","")</f>
        <v/>
      </c>
      <c r="R240" s="262" t="str">
        <f>IFERROR(IF(O240="Nacional",VLOOKUP(P240,PRICING!$D$4:$E$59,2,FALSE),VLOOKUP(P240,PRICING!$J$4:$K$59,2,FALSE)),"")</f>
        <v/>
      </c>
      <c r="S240"/>
      <c r="V240" s="262"/>
      <c r="W240" s="280">
        <f t="shared" si="52"/>
        <v>0</v>
      </c>
      <c r="X240" s="178" t="str">
        <f t="shared" si="61"/>
        <v/>
      </c>
      <c r="Y240" s="178" t="str">
        <f t="shared" si="62"/>
        <v/>
      </c>
      <c r="Z240" s="178" t="str">
        <f t="shared" si="63"/>
        <v/>
      </c>
      <c r="AA240" s="178" t="str">
        <f t="shared" si="64"/>
        <v/>
      </c>
      <c r="AB240" s="178" t="str">
        <f t="shared" si="65"/>
        <v/>
      </c>
      <c r="AC240" s="178" t="str">
        <f t="shared" si="66"/>
        <v/>
      </c>
      <c r="AD240" s="267" t="s">
        <v>316</v>
      </c>
      <c r="AF240" s="149" t="str">
        <f t="shared" si="60"/>
        <v/>
      </c>
      <c r="AH240" s="178" t="str">
        <f t="shared" si="53"/>
        <v/>
      </c>
      <c r="AI240" s="178" t="str">
        <f t="shared" si="54"/>
        <v/>
      </c>
      <c r="AJ240" s="178" t="str">
        <f t="shared" si="55"/>
        <v/>
      </c>
      <c r="AK240" s="178" t="str">
        <f t="shared" si="56"/>
        <v/>
      </c>
      <c r="AL240" t="s">
        <v>327</v>
      </c>
      <c r="AN240" s="149" t="str">
        <f t="shared" si="57"/>
        <v/>
      </c>
      <c r="AQ240" s="178" t="str">
        <f t="shared" ca="1" si="58"/>
        <v/>
      </c>
      <c r="AR240" s="178" t="str">
        <f t="shared" ca="1" si="59"/>
        <v/>
      </c>
    </row>
    <row r="241" spans="1:44" x14ac:dyDescent="0.2">
      <c r="A241" t="str">
        <f>IF(B241="","",CONCATENATE("GBL",B241," - ",Mantenedor!E252))</f>
        <v/>
      </c>
      <c r="P241" t="str">
        <f t="shared" si="51"/>
        <v/>
      </c>
      <c r="Q241" s="266" t="str" cm="1">
        <f t="array" ref="Q241">+_xlfn.IFS(O241="Nacional","CLP",O241="Extranjero","USD",O241="","")</f>
        <v/>
      </c>
      <c r="R241" s="262" t="str">
        <f>IFERROR(IF(O241="Nacional",VLOOKUP(P241,PRICING!$D$4:$E$59,2,FALSE),VLOOKUP(P241,PRICING!$J$4:$K$59,2,FALSE)),"")</f>
        <v/>
      </c>
      <c r="S241"/>
      <c r="V241" s="262"/>
      <c r="W241" s="280">
        <f t="shared" si="52"/>
        <v>0</v>
      </c>
      <c r="X241" s="178" t="str">
        <f t="shared" si="61"/>
        <v/>
      </c>
      <c r="Y241" s="178" t="str">
        <f t="shared" si="62"/>
        <v/>
      </c>
      <c r="Z241" s="178" t="str">
        <f t="shared" si="63"/>
        <v/>
      </c>
      <c r="AA241" s="178" t="str">
        <f t="shared" si="64"/>
        <v/>
      </c>
      <c r="AB241" s="178" t="str">
        <f t="shared" si="65"/>
        <v/>
      </c>
      <c r="AC241" s="178" t="str">
        <f t="shared" si="66"/>
        <v/>
      </c>
      <c r="AD241" s="267" t="s">
        <v>316</v>
      </c>
      <c r="AF241" s="149" t="str">
        <f t="shared" si="60"/>
        <v/>
      </c>
      <c r="AH241" s="178" t="str">
        <f t="shared" si="53"/>
        <v/>
      </c>
      <c r="AI241" s="178" t="str">
        <f t="shared" si="54"/>
        <v/>
      </c>
      <c r="AJ241" s="178" t="str">
        <f t="shared" si="55"/>
        <v/>
      </c>
      <c r="AK241" s="178" t="str">
        <f t="shared" si="56"/>
        <v/>
      </c>
      <c r="AL241" t="s">
        <v>327</v>
      </c>
      <c r="AN241" s="149" t="str">
        <f t="shared" si="57"/>
        <v/>
      </c>
      <c r="AQ241" s="178" t="str">
        <f t="shared" ca="1" si="58"/>
        <v/>
      </c>
      <c r="AR241" s="178" t="str">
        <f t="shared" ca="1" si="59"/>
        <v/>
      </c>
    </row>
    <row r="242" spans="1:44" x14ac:dyDescent="0.2">
      <c r="A242" t="str">
        <f>IF(B242="","",CONCATENATE("GBL",B242," - ",Mantenedor!E253))</f>
        <v/>
      </c>
      <c r="P242" t="str">
        <f t="shared" si="51"/>
        <v/>
      </c>
      <c r="Q242" s="266" t="str" cm="1">
        <f t="array" ref="Q242">+_xlfn.IFS(O242="Nacional","CLP",O242="Extranjero","USD",O242="","")</f>
        <v/>
      </c>
      <c r="R242" s="262" t="str">
        <f>IFERROR(IF(O242="Nacional",VLOOKUP(P242,PRICING!$D$4:$E$59,2,FALSE),VLOOKUP(P242,PRICING!$J$4:$K$59,2,FALSE)),"")</f>
        <v/>
      </c>
      <c r="S242"/>
      <c r="V242" s="262"/>
      <c r="W242" s="280">
        <f t="shared" si="52"/>
        <v>0</v>
      </c>
      <c r="X242" s="178" t="str">
        <f t="shared" si="61"/>
        <v/>
      </c>
      <c r="Y242" s="178" t="str">
        <f t="shared" si="62"/>
        <v/>
      </c>
      <c r="Z242" s="178" t="str">
        <f t="shared" si="63"/>
        <v/>
      </c>
      <c r="AA242" s="178" t="str">
        <f t="shared" si="64"/>
        <v/>
      </c>
      <c r="AB242" s="178" t="str">
        <f t="shared" si="65"/>
        <v/>
      </c>
      <c r="AC242" s="178" t="str">
        <f t="shared" si="66"/>
        <v/>
      </c>
      <c r="AD242" s="267" t="s">
        <v>316</v>
      </c>
      <c r="AF242" s="149" t="str">
        <f t="shared" si="60"/>
        <v/>
      </c>
      <c r="AH242" s="178" t="str">
        <f t="shared" si="53"/>
        <v/>
      </c>
      <c r="AI242" s="178" t="str">
        <f t="shared" si="54"/>
        <v/>
      </c>
      <c r="AJ242" s="178" t="str">
        <f t="shared" si="55"/>
        <v/>
      </c>
      <c r="AK242" s="178" t="str">
        <f t="shared" si="56"/>
        <v/>
      </c>
      <c r="AL242" t="s">
        <v>327</v>
      </c>
      <c r="AN242" s="149" t="str">
        <f t="shared" si="57"/>
        <v/>
      </c>
      <c r="AQ242" s="178" t="str">
        <f t="shared" ca="1" si="58"/>
        <v/>
      </c>
      <c r="AR242" s="178" t="str">
        <f t="shared" ca="1" si="59"/>
        <v/>
      </c>
    </row>
    <row r="243" spans="1:44" x14ac:dyDescent="0.2">
      <c r="A243" t="str">
        <f>IF(B243="","",CONCATENATE("GBL",B243," - ",Mantenedor!E254))</f>
        <v/>
      </c>
      <c r="P243" t="str">
        <f t="shared" si="51"/>
        <v/>
      </c>
      <c r="Q243" s="266" t="str" cm="1">
        <f t="array" ref="Q243">+_xlfn.IFS(O243="Nacional","CLP",O243="Extranjero","USD",O243="","")</f>
        <v/>
      </c>
      <c r="R243" s="262" t="str">
        <f>IFERROR(IF(O243="Nacional",VLOOKUP(P243,PRICING!$D$4:$E$59,2,FALSE),VLOOKUP(P243,PRICING!$J$4:$K$59,2,FALSE)),"")</f>
        <v/>
      </c>
      <c r="S243"/>
      <c r="V243" s="262"/>
      <c r="W243" s="280">
        <f t="shared" si="52"/>
        <v>0</v>
      </c>
      <c r="X243" s="178" t="str">
        <f t="shared" si="61"/>
        <v/>
      </c>
      <c r="Y243" s="178" t="str">
        <f t="shared" si="62"/>
        <v/>
      </c>
      <c r="Z243" s="178" t="str">
        <f t="shared" si="63"/>
        <v/>
      </c>
      <c r="AA243" s="178" t="str">
        <f t="shared" si="64"/>
        <v/>
      </c>
      <c r="AB243" s="178" t="str">
        <f t="shared" si="65"/>
        <v/>
      </c>
      <c r="AC243" s="178" t="str">
        <f t="shared" si="66"/>
        <v/>
      </c>
      <c r="AD243" s="267" t="s">
        <v>316</v>
      </c>
      <c r="AF243" s="149" t="str">
        <f t="shared" si="60"/>
        <v/>
      </c>
      <c r="AH243" s="178" t="str">
        <f t="shared" si="53"/>
        <v/>
      </c>
      <c r="AI243" s="178" t="str">
        <f t="shared" si="54"/>
        <v/>
      </c>
      <c r="AJ243" s="178" t="str">
        <f t="shared" si="55"/>
        <v/>
      </c>
      <c r="AK243" s="178" t="str">
        <f t="shared" si="56"/>
        <v/>
      </c>
      <c r="AL243" t="s">
        <v>327</v>
      </c>
      <c r="AN243" s="149" t="str">
        <f t="shared" si="57"/>
        <v/>
      </c>
      <c r="AQ243" s="178" t="str">
        <f t="shared" ca="1" si="58"/>
        <v/>
      </c>
      <c r="AR243" s="178" t="str">
        <f t="shared" ca="1" si="59"/>
        <v/>
      </c>
    </row>
    <row r="244" spans="1:44" x14ac:dyDescent="0.2">
      <c r="A244" t="str">
        <f>IF(B244="","",CONCATENATE("GBL",B244," - ",Mantenedor!E255))</f>
        <v/>
      </c>
      <c r="P244" t="str">
        <f t="shared" si="51"/>
        <v/>
      </c>
      <c r="Q244" s="266" t="str" cm="1">
        <f t="array" ref="Q244">+_xlfn.IFS(O244="Nacional","CLP",O244="Extranjero","USD",O244="","")</f>
        <v/>
      </c>
      <c r="R244" s="262" t="str">
        <f>IFERROR(IF(O244="Nacional",VLOOKUP(P244,PRICING!$D$4:$E$59,2,FALSE),VLOOKUP(P244,PRICING!$J$4:$K$59,2,FALSE)),"")</f>
        <v/>
      </c>
      <c r="S244"/>
      <c r="V244" s="262"/>
      <c r="W244" s="280">
        <f t="shared" si="52"/>
        <v>0</v>
      </c>
      <c r="X244" s="178" t="str">
        <f t="shared" si="61"/>
        <v/>
      </c>
      <c r="Y244" s="178" t="str">
        <f t="shared" si="62"/>
        <v/>
      </c>
      <c r="Z244" s="178" t="str">
        <f t="shared" si="63"/>
        <v/>
      </c>
      <c r="AA244" s="178" t="str">
        <f t="shared" si="64"/>
        <v/>
      </c>
      <c r="AB244" s="178" t="str">
        <f t="shared" si="65"/>
        <v/>
      </c>
      <c r="AC244" s="178" t="str">
        <f t="shared" si="66"/>
        <v/>
      </c>
      <c r="AD244" s="267" t="s">
        <v>316</v>
      </c>
      <c r="AF244" s="149" t="str">
        <f t="shared" si="60"/>
        <v/>
      </c>
      <c r="AH244" s="178" t="str">
        <f t="shared" si="53"/>
        <v/>
      </c>
      <c r="AI244" s="178" t="str">
        <f t="shared" si="54"/>
        <v/>
      </c>
      <c r="AJ244" s="178" t="str">
        <f t="shared" si="55"/>
        <v/>
      </c>
      <c r="AK244" s="178" t="str">
        <f t="shared" si="56"/>
        <v/>
      </c>
      <c r="AL244" t="s">
        <v>327</v>
      </c>
      <c r="AN244" s="149" t="str">
        <f t="shared" si="57"/>
        <v/>
      </c>
      <c r="AQ244" s="178" t="str">
        <f t="shared" ca="1" si="58"/>
        <v/>
      </c>
      <c r="AR244" s="178" t="str">
        <f t="shared" ca="1" si="59"/>
        <v/>
      </c>
    </row>
    <row r="245" spans="1:44" x14ac:dyDescent="0.2">
      <c r="A245" t="str">
        <f>IF(B245="","",CONCATENATE("GBL",B245," - ",Mantenedor!E256))</f>
        <v/>
      </c>
      <c r="P245" t="str">
        <f t="shared" si="51"/>
        <v/>
      </c>
      <c r="Q245" s="266" t="str" cm="1">
        <f t="array" ref="Q245">+_xlfn.IFS(O245="Nacional","CLP",O245="Extranjero","USD",O245="","")</f>
        <v/>
      </c>
      <c r="R245" s="262" t="str">
        <f>IFERROR(IF(O245="Nacional",VLOOKUP(P245,PRICING!$D$4:$E$59,2,FALSE),VLOOKUP(P245,PRICING!$J$4:$K$59,2,FALSE)),"")</f>
        <v/>
      </c>
      <c r="S245"/>
      <c r="V245" s="262"/>
      <c r="W245" s="280">
        <f t="shared" si="52"/>
        <v>0</v>
      </c>
      <c r="X245" s="178" t="str">
        <f t="shared" si="61"/>
        <v/>
      </c>
      <c r="Y245" s="178" t="str">
        <f t="shared" si="62"/>
        <v/>
      </c>
      <c r="Z245" s="178" t="str">
        <f t="shared" si="63"/>
        <v/>
      </c>
      <c r="AA245" s="178" t="str">
        <f t="shared" si="64"/>
        <v/>
      </c>
      <c r="AB245" s="178" t="str">
        <f t="shared" si="65"/>
        <v/>
      </c>
      <c r="AC245" s="178" t="str">
        <f t="shared" si="66"/>
        <v/>
      </c>
      <c r="AD245" s="267" t="s">
        <v>316</v>
      </c>
      <c r="AF245" s="149" t="str">
        <f t="shared" si="60"/>
        <v/>
      </c>
      <c r="AH245" s="178" t="str">
        <f t="shared" si="53"/>
        <v/>
      </c>
      <c r="AI245" s="178" t="str">
        <f t="shared" si="54"/>
        <v/>
      </c>
      <c r="AJ245" s="178" t="str">
        <f t="shared" si="55"/>
        <v/>
      </c>
      <c r="AK245" s="178" t="str">
        <f t="shared" si="56"/>
        <v/>
      </c>
      <c r="AL245" t="s">
        <v>327</v>
      </c>
      <c r="AN245" s="149" t="str">
        <f t="shared" si="57"/>
        <v/>
      </c>
      <c r="AQ245" s="178" t="str">
        <f t="shared" ca="1" si="58"/>
        <v/>
      </c>
      <c r="AR245" s="178" t="str">
        <f t="shared" ca="1" si="59"/>
        <v/>
      </c>
    </row>
    <row r="246" spans="1:44" x14ac:dyDescent="0.2">
      <c r="A246" t="str">
        <f>IF(B246="","",CONCATENATE("GBL",B246," - ",Mantenedor!E257))</f>
        <v/>
      </c>
      <c r="P246" t="str">
        <f t="shared" si="51"/>
        <v/>
      </c>
      <c r="Q246" s="266" t="str" cm="1">
        <f t="array" ref="Q246">+_xlfn.IFS(O246="Nacional","CLP",O246="Extranjero","USD",O246="","")</f>
        <v/>
      </c>
      <c r="R246" s="262" t="str">
        <f>IFERROR(IF(O246="Nacional",VLOOKUP(P246,PRICING!$D$4:$E$59,2,FALSE),VLOOKUP(P246,PRICING!$J$4:$K$59,2,FALSE)),"")</f>
        <v/>
      </c>
      <c r="S246"/>
      <c r="V246" s="262"/>
      <c r="W246" s="280">
        <f t="shared" si="52"/>
        <v>0</v>
      </c>
      <c r="X246" s="178" t="str">
        <f t="shared" si="61"/>
        <v/>
      </c>
      <c r="Y246" s="178" t="str">
        <f t="shared" si="62"/>
        <v/>
      </c>
      <c r="Z246" s="178" t="str">
        <f t="shared" si="63"/>
        <v/>
      </c>
      <c r="AA246" s="178" t="str">
        <f t="shared" si="64"/>
        <v/>
      </c>
      <c r="AB246" s="178" t="str">
        <f t="shared" si="65"/>
        <v/>
      </c>
      <c r="AC246" s="178" t="str">
        <f t="shared" si="66"/>
        <v/>
      </c>
      <c r="AD246" s="267" t="s">
        <v>316</v>
      </c>
      <c r="AF246" s="149" t="str">
        <f t="shared" si="60"/>
        <v/>
      </c>
      <c r="AH246" s="178" t="str">
        <f t="shared" si="53"/>
        <v/>
      </c>
      <c r="AI246" s="178" t="str">
        <f t="shared" si="54"/>
        <v/>
      </c>
      <c r="AJ246" s="178" t="str">
        <f t="shared" si="55"/>
        <v/>
      </c>
      <c r="AK246" s="178" t="str">
        <f t="shared" si="56"/>
        <v/>
      </c>
      <c r="AL246" t="s">
        <v>327</v>
      </c>
      <c r="AN246" s="149" t="str">
        <f t="shared" si="57"/>
        <v/>
      </c>
      <c r="AQ246" s="178" t="str">
        <f t="shared" ca="1" si="58"/>
        <v/>
      </c>
      <c r="AR246" s="178" t="str">
        <f t="shared" ca="1" si="59"/>
        <v/>
      </c>
    </row>
    <row r="247" spans="1:44" x14ac:dyDescent="0.2">
      <c r="A247" t="str">
        <f>IF(B247="","",CONCATENATE("GBL",B247," - ",Mantenedor!E258))</f>
        <v/>
      </c>
      <c r="P247" t="str">
        <f t="shared" si="51"/>
        <v/>
      </c>
      <c r="Q247" s="266" t="str" cm="1">
        <f t="array" ref="Q247">+_xlfn.IFS(O247="Nacional","CLP",O247="Extranjero","USD",O247="","")</f>
        <v/>
      </c>
      <c r="R247" s="262" t="str">
        <f>IFERROR(IF(O247="Nacional",VLOOKUP(P247,PRICING!$D$4:$E$59,2,FALSE),VLOOKUP(P247,PRICING!$J$4:$K$59,2,FALSE)),"")</f>
        <v/>
      </c>
      <c r="S247"/>
      <c r="V247" s="262"/>
      <c r="W247" s="280">
        <f t="shared" si="52"/>
        <v>0</v>
      </c>
      <c r="X247" s="178" t="str">
        <f t="shared" si="61"/>
        <v/>
      </c>
      <c r="Y247" s="178" t="str">
        <f t="shared" si="62"/>
        <v/>
      </c>
      <c r="Z247" s="178" t="str">
        <f t="shared" si="63"/>
        <v/>
      </c>
      <c r="AA247" s="178" t="str">
        <f t="shared" si="64"/>
        <v/>
      </c>
      <c r="AB247" s="178" t="str">
        <f t="shared" si="65"/>
        <v/>
      </c>
      <c r="AC247" s="178" t="str">
        <f t="shared" si="66"/>
        <v/>
      </c>
      <c r="AD247" s="267" t="s">
        <v>316</v>
      </c>
      <c r="AF247" s="149" t="str">
        <f t="shared" si="60"/>
        <v/>
      </c>
      <c r="AH247" s="178" t="str">
        <f t="shared" si="53"/>
        <v/>
      </c>
      <c r="AI247" s="178" t="str">
        <f t="shared" si="54"/>
        <v/>
      </c>
      <c r="AJ247" s="178" t="str">
        <f t="shared" si="55"/>
        <v/>
      </c>
      <c r="AK247" s="178" t="str">
        <f t="shared" si="56"/>
        <v/>
      </c>
      <c r="AL247" t="s">
        <v>327</v>
      </c>
      <c r="AN247" s="149" t="str">
        <f t="shared" si="57"/>
        <v/>
      </c>
      <c r="AQ247" s="178" t="str">
        <f t="shared" ca="1" si="58"/>
        <v/>
      </c>
      <c r="AR247" s="178" t="str">
        <f t="shared" ca="1" si="59"/>
        <v/>
      </c>
    </row>
    <row r="248" spans="1:44" x14ac:dyDescent="0.2">
      <c r="A248" t="str">
        <f>IF(B248="","",CONCATENATE("GBL",B248," - ",Mantenedor!E259))</f>
        <v/>
      </c>
      <c r="P248" t="str">
        <f t="shared" ref="P248:P311" si="67">IF(N248="","",(IF(L248=1,(CONCATENATE("Base ",N248," ",L248," noche")),(CONCATENATE("Base ",N248," ",L248," noches")))))</f>
        <v/>
      </c>
      <c r="Q248" s="266" t="str" cm="1">
        <f t="array" ref="Q248">+_xlfn.IFS(O248="Nacional","CLP",O248="Extranjero","USD",O248="","")</f>
        <v/>
      </c>
      <c r="R248" s="262" t="str">
        <f>IFERROR(IF(O248="Nacional",VLOOKUP(P248,PRICING!$D$4:$E$59,2,FALSE),VLOOKUP(P248,PRICING!$J$4:$K$59,2,FALSE)),"")</f>
        <v/>
      </c>
      <c r="S248"/>
      <c r="V248" s="262"/>
      <c r="W248" s="280">
        <f t="shared" ref="W248:W311" si="68">IFERROR(+V248*(1-T248),"")</f>
        <v>0</v>
      </c>
      <c r="X248" s="178" t="str">
        <f t="shared" si="61"/>
        <v/>
      </c>
      <c r="Y248" s="178" t="str">
        <f t="shared" si="62"/>
        <v/>
      </c>
      <c r="Z248" s="178" t="str">
        <f t="shared" si="63"/>
        <v/>
      </c>
      <c r="AA248" s="178" t="str">
        <f t="shared" si="64"/>
        <v/>
      </c>
      <c r="AB248" s="178" t="str">
        <f t="shared" si="65"/>
        <v/>
      </c>
      <c r="AC248" s="178" t="str">
        <f t="shared" si="66"/>
        <v/>
      </c>
      <c r="AD248" s="267" t="s">
        <v>316</v>
      </c>
      <c r="AF248" s="149" t="str">
        <f t="shared" si="60"/>
        <v/>
      </c>
      <c r="AH248" s="178" t="str">
        <f t="shared" ref="AH248:AH311" si="69">+IF($M248="","",$M248-45)</f>
        <v/>
      </c>
      <c r="AI248" s="178" t="str">
        <f t="shared" ref="AI248:AI311" si="70">+IF($M248="","",$M248-30)</f>
        <v/>
      </c>
      <c r="AJ248" s="178" t="str">
        <f t="shared" ref="AJ248:AJ311" si="71">+IF($M248="","",$M248-15)</f>
        <v/>
      </c>
      <c r="AK248" s="178" t="str">
        <f t="shared" ref="AK248:AK311" si="72">+IF($M248="","",$M248-7)</f>
        <v/>
      </c>
      <c r="AL248" t="s">
        <v>327</v>
      </c>
      <c r="AN248" s="149" t="str">
        <f t="shared" ref="AN248:AN311" si="73">+IF(AM248="","",W248*0.5)</f>
        <v/>
      </c>
      <c r="AQ248" s="178" t="str">
        <f t="shared" ref="AQ248:AQ311" ca="1" si="74">IF(A247="","",+TODAY())</f>
        <v/>
      </c>
      <c r="AR248" s="178" t="str">
        <f t="shared" ref="AR248:AR311" ca="1" si="75">IF(A247="","",+TODAY())</f>
        <v/>
      </c>
    </row>
    <row r="249" spans="1:44" x14ac:dyDescent="0.2">
      <c r="A249" t="str">
        <f>IF(B249="","",CONCATENATE("GBL",B249," - ",Mantenedor!E260))</f>
        <v/>
      </c>
      <c r="P249" t="str">
        <f t="shared" si="67"/>
        <v/>
      </c>
      <c r="Q249" s="266" t="str" cm="1">
        <f t="array" ref="Q249">+_xlfn.IFS(O249="Nacional","CLP",O249="Extranjero","USD",O249="","")</f>
        <v/>
      </c>
      <c r="R249" s="262" t="str">
        <f>IFERROR(IF(O249="Nacional",VLOOKUP(P249,PRICING!$D$4:$E$59,2,FALSE),VLOOKUP(P249,PRICING!$J$4:$K$59,2,FALSE)),"")</f>
        <v/>
      </c>
      <c r="S249"/>
      <c r="V249" s="262"/>
      <c r="W249" s="280">
        <f t="shared" si="68"/>
        <v>0</v>
      </c>
      <c r="X249" s="178" t="str">
        <f t="shared" si="61"/>
        <v/>
      </c>
      <c r="Y249" s="178" t="str">
        <f t="shared" si="62"/>
        <v/>
      </c>
      <c r="Z249" s="178" t="str">
        <f t="shared" si="63"/>
        <v/>
      </c>
      <c r="AA249" s="178" t="str">
        <f t="shared" si="64"/>
        <v/>
      </c>
      <c r="AB249" s="178" t="str">
        <f t="shared" si="65"/>
        <v/>
      </c>
      <c r="AC249" s="178" t="str">
        <f t="shared" si="66"/>
        <v/>
      </c>
      <c r="AD249" s="267" t="s">
        <v>316</v>
      </c>
      <c r="AF249" s="149" t="str">
        <f t="shared" ref="AF249:AF312" si="76">+IF(AE249="","",W249*0.5)</f>
        <v/>
      </c>
      <c r="AH249" s="178" t="str">
        <f t="shared" si="69"/>
        <v/>
      </c>
      <c r="AI249" s="178" t="str">
        <f t="shared" si="70"/>
        <v/>
      </c>
      <c r="AJ249" s="178" t="str">
        <f t="shared" si="71"/>
        <v/>
      </c>
      <c r="AK249" s="178" t="str">
        <f t="shared" si="72"/>
        <v/>
      </c>
      <c r="AN249" s="149" t="str">
        <f t="shared" si="73"/>
        <v/>
      </c>
      <c r="AQ249" s="178" t="str">
        <f t="shared" ca="1" si="74"/>
        <v/>
      </c>
      <c r="AR249" s="178" t="str">
        <f t="shared" ca="1" si="75"/>
        <v/>
      </c>
    </row>
    <row r="250" spans="1:44" x14ac:dyDescent="0.2">
      <c r="A250" t="str">
        <f>IF(B250="","",CONCATENATE("GBL",B250," - ",Mantenedor!E261))</f>
        <v/>
      </c>
      <c r="P250" t="str">
        <f t="shared" si="67"/>
        <v/>
      </c>
      <c r="Q250" s="266" t="str" cm="1">
        <f t="array" ref="Q250">+_xlfn.IFS(O250="Nacional","CLP",O250="Extranjero","USD",O250="","")</f>
        <v/>
      </c>
      <c r="R250" s="262" t="str">
        <f>IFERROR(IF(O250="Nacional",VLOOKUP(P250,PRICING!$D$4:$E$59,2,FALSE),VLOOKUP(P250,PRICING!$J$4:$K$59,2,FALSE)),"")</f>
        <v/>
      </c>
      <c r="S250"/>
      <c r="V250" s="262"/>
      <c r="W250" s="280">
        <f t="shared" si="68"/>
        <v>0</v>
      </c>
      <c r="X250" s="178" t="str">
        <f t="shared" si="61"/>
        <v/>
      </c>
      <c r="Y250" s="178" t="str">
        <f t="shared" si="62"/>
        <v/>
      </c>
      <c r="Z250" s="178" t="str">
        <f t="shared" si="63"/>
        <v/>
      </c>
      <c r="AA250" s="178" t="str">
        <f t="shared" si="64"/>
        <v/>
      </c>
      <c r="AB250" s="178" t="str">
        <f t="shared" si="65"/>
        <v/>
      </c>
      <c r="AC250" s="178" t="str">
        <f t="shared" si="66"/>
        <v/>
      </c>
      <c r="AD250" s="267" t="s">
        <v>316</v>
      </c>
      <c r="AF250" s="149" t="str">
        <f t="shared" si="76"/>
        <v/>
      </c>
      <c r="AH250" s="178" t="str">
        <f t="shared" si="69"/>
        <v/>
      </c>
      <c r="AI250" s="178" t="str">
        <f t="shared" si="70"/>
        <v/>
      </c>
      <c r="AJ250" s="178" t="str">
        <f t="shared" si="71"/>
        <v/>
      </c>
      <c r="AK250" s="178" t="str">
        <f t="shared" si="72"/>
        <v/>
      </c>
      <c r="AN250" s="149" t="str">
        <f t="shared" si="73"/>
        <v/>
      </c>
      <c r="AQ250" s="178" t="str">
        <f t="shared" ca="1" si="74"/>
        <v/>
      </c>
      <c r="AR250" s="178" t="str">
        <f t="shared" ca="1" si="75"/>
        <v/>
      </c>
    </row>
    <row r="251" spans="1:44" x14ac:dyDescent="0.2">
      <c r="A251" t="str">
        <f>IF(B251="","",CONCATENATE("GBL",B251," - ",Mantenedor!E262))</f>
        <v/>
      </c>
      <c r="P251" t="str">
        <f t="shared" si="67"/>
        <v/>
      </c>
      <c r="Q251" s="266" t="str" cm="1">
        <f t="array" ref="Q251">+_xlfn.IFS(O251="Nacional","CLP",O251="Extranjero","USD",O251="","")</f>
        <v/>
      </c>
      <c r="R251" s="262" t="str">
        <f>IFERROR(IF(O251="Nacional",VLOOKUP(P251,PRICING!$D$4:$E$59,2,FALSE),VLOOKUP(P251,PRICING!$J$4:$K$59,2,FALSE)),"")</f>
        <v/>
      </c>
      <c r="S251"/>
      <c r="V251" s="262"/>
      <c r="W251" s="280">
        <f t="shared" si="68"/>
        <v>0</v>
      </c>
      <c r="X251" s="178" t="str">
        <f t="shared" si="61"/>
        <v/>
      </c>
      <c r="Y251" s="178" t="str">
        <f t="shared" si="62"/>
        <v/>
      </c>
      <c r="Z251" s="178" t="str">
        <f t="shared" si="63"/>
        <v/>
      </c>
      <c r="AA251" s="178" t="str">
        <f t="shared" si="64"/>
        <v/>
      </c>
      <c r="AB251" s="178" t="str">
        <f t="shared" si="65"/>
        <v/>
      </c>
      <c r="AC251" s="178" t="str">
        <f t="shared" si="66"/>
        <v/>
      </c>
      <c r="AD251" s="267" t="s">
        <v>316</v>
      </c>
      <c r="AF251" s="149" t="str">
        <f t="shared" si="76"/>
        <v/>
      </c>
      <c r="AH251" s="178" t="str">
        <f t="shared" si="69"/>
        <v/>
      </c>
      <c r="AI251" s="178" t="str">
        <f t="shared" si="70"/>
        <v/>
      </c>
      <c r="AJ251" s="178" t="str">
        <f t="shared" si="71"/>
        <v/>
      </c>
      <c r="AK251" s="178" t="str">
        <f t="shared" si="72"/>
        <v/>
      </c>
      <c r="AN251" s="149" t="str">
        <f t="shared" si="73"/>
        <v/>
      </c>
      <c r="AQ251" s="178" t="str">
        <f t="shared" ca="1" si="74"/>
        <v/>
      </c>
      <c r="AR251" s="178" t="str">
        <f t="shared" ca="1" si="75"/>
        <v/>
      </c>
    </row>
    <row r="252" spans="1:44" x14ac:dyDescent="0.2">
      <c r="A252" t="str">
        <f>IF(B252="","",CONCATENATE("GBL",B252," - ",Mantenedor!E263))</f>
        <v/>
      </c>
      <c r="P252" t="str">
        <f t="shared" si="67"/>
        <v/>
      </c>
      <c r="Q252" s="266" t="str" cm="1">
        <f t="array" ref="Q252">+_xlfn.IFS(O252="Nacional","CLP",O252="Extranjero","USD",O252="","")</f>
        <v/>
      </c>
      <c r="R252" s="262" t="str">
        <f>IFERROR(IF(O252="Nacional",VLOOKUP(P252,PRICING!$D$4:$E$59,2,FALSE),VLOOKUP(P252,PRICING!$J$4:$K$59,2,FALSE)),"")</f>
        <v/>
      </c>
      <c r="S252"/>
      <c r="V252" s="262"/>
      <c r="W252" s="280">
        <f t="shared" si="68"/>
        <v>0</v>
      </c>
      <c r="X252" s="178" t="str">
        <f t="shared" si="61"/>
        <v/>
      </c>
      <c r="Y252" s="178" t="str">
        <f t="shared" si="62"/>
        <v/>
      </c>
      <c r="Z252" s="178" t="str">
        <f t="shared" si="63"/>
        <v/>
      </c>
      <c r="AA252" s="178" t="str">
        <f t="shared" si="64"/>
        <v/>
      </c>
      <c r="AB252" s="178" t="str">
        <f t="shared" si="65"/>
        <v/>
      </c>
      <c r="AC252" s="178" t="str">
        <f t="shared" si="66"/>
        <v/>
      </c>
      <c r="AD252" s="267" t="s">
        <v>316</v>
      </c>
      <c r="AF252" s="149" t="str">
        <f t="shared" si="76"/>
        <v/>
      </c>
      <c r="AH252" s="178" t="str">
        <f t="shared" si="69"/>
        <v/>
      </c>
      <c r="AI252" s="178" t="str">
        <f t="shared" si="70"/>
        <v/>
      </c>
      <c r="AJ252" s="178" t="str">
        <f t="shared" si="71"/>
        <v/>
      </c>
      <c r="AK252" s="178" t="str">
        <f t="shared" si="72"/>
        <v/>
      </c>
      <c r="AN252" s="149" t="str">
        <f t="shared" si="73"/>
        <v/>
      </c>
      <c r="AQ252" s="178" t="str">
        <f t="shared" ca="1" si="74"/>
        <v/>
      </c>
      <c r="AR252" s="178" t="str">
        <f t="shared" ca="1" si="75"/>
        <v/>
      </c>
    </row>
    <row r="253" spans="1:44" x14ac:dyDescent="0.2">
      <c r="A253" t="str">
        <f>IF(B253="","",CONCATENATE("GBL",B253," - ",Mantenedor!E264))</f>
        <v/>
      </c>
      <c r="P253" t="str">
        <f t="shared" si="67"/>
        <v/>
      </c>
      <c r="Q253" s="266" t="str" cm="1">
        <f t="array" ref="Q253">+_xlfn.IFS(O253="Nacional","CLP",O253="Extranjero","USD",O253="","")</f>
        <v/>
      </c>
      <c r="R253" s="262" t="str">
        <f>IFERROR(IF(O253="Nacional",VLOOKUP(P253,PRICING!$D$4:$E$59,2,FALSE),VLOOKUP(P253,PRICING!$J$4:$K$59,2,FALSE)),"")</f>
        <v/>
      </c>
      <c r="S253"/>
      <c r="V253" s="262"/>
      <c r="W253" s="280">
        <f t="shared" si="68"/>
        <v>0</v>
      </c>
      <c r="X253" s="178" t="str">
        <f t="shared" si="61"/>
        <v/>
      </c>
      <c r="Y253" s="178" t="str">
        <f t="shared" si="62"/>
        <v/>
      </c>
      <c r="Z253" s="178" t="str">
        <f t="shared" si="63"/>
        <v/>
      </c>
      <c r="AA253" s="178" t="str">
        <f t="shared" si="64"/>
        <v/>
      </c>
      <c r="AB253" s="178" t="str">
        <f t="shared" si="65"/>
        <v/>
      </c>
      <c r="AC253" s="178" t="str">
        <f t="shared" si="66"/>
        <v/>
      </c>
      <c r="AD253" s="267" t="s">
        <v>316</v>
      </c>
      <c r="AF253" s="149" t="str">
        <f t="shared" si="76"/>
        <v/>
      </c>
      <c r="AH253" s="178" t="str">
        <f t="shared" si="69"/>
        <v/>
      </c>
      <c r="AI253" s="178" t="str">
        <f t="shared" si="70"/>
        <v/>
      </c>
      <c r="AJ253" s="178" t="str">
        <f t="shared" si="71"/>
        <v/>
      </c>
      <c r="AK253" s="178" t="str">
        <f t="shared" si="72"/>
        <v/>
      </c>
      <c r="AN253" s="149" t="str">
        <f t="shared" si="73"/>
        <v/>
      </c>
      <c r="AQ253" s="178" t="str">
        <f t="shared" ca="1" si="74"/>
        <v/>
      </c>
      <c r="AR253" s="178" t="str">
        <f t="shared" ca="1" si="75"/>
        <v/>
      </c>
    </row>
    <row r="254" spans="1:44" x14ac:dyDescent="0.2">
      <c r="A254" t="str">
        <f>IF(B254="","",CONCATENATE("GBL",B254," - ",Mantenedor!E265))</f>
        <v/>
      </c>
      <c r="P254" t="str">
        <f t="shared" si="67"/>
        <v/>
      </c>
      <c r="Q254" s="266" t="str" cm="1">
        <f t="array" ref="Q254">+_xlfn.IFS(O254="Nacional","CLP",O254="Extranjero","USD",O254="","")</f>
        <v/>
      </c>
      <c r="R254" s="262" t="str">
        <f>IFERROR(IF(O254="Nacional",VLOOKUP(P254,PRICING!$D$4:$E$59,2,FALSE),VLOOKUP(P254,PRICING!$J$4:$K$59,2,FALSE)),"")</f>
        <v/>
      </c>
      <c r="S254"/>
      <c r="V254" s="262"/>
      <c r="W254" s="280">
        <f t="shared" si="68"/>
        <v>0</v>
      </c>
      <c r="X254" s="178" t="str">
        <f t="shared" si="61"/>
        <v/>
      </c>
      <c r="Y254" s="178" t="str">
        <f t="shared" si="62"/>
        <v/>
      </c>
      <c r="Z254" s="178" t="str">
        <f t="shared" si="63"/>
        <v/>
      </c>
      <c r="AA254" s="178" t="str">
        <f t="shared" si="64"/>
        <v/>
      </c>
      <c r="AB254" s="178" t="str">
        <f t="shared" si="65"/>
        <v/>
      </c>
      <c r="AC254" s="178" t="str">
        <f t="shared" si="66"/>
        <v/>
      </c>
      <c r="AD254" s="267" t="s">
        <v>316</v>
      </c>
      <c r="AF254" s="149" t="str">
        <f t="shared" si="76"/>
        <v/>
      </c>
      <c r="AH254" s="178" t="str">
        <f t="shared" si="69"/>
        <v/>
      </c>
      <c r="AI254" s="178" t="str">
        <f t="shared" si="70"/>
        <v/>
      </c>
      <c r="AJ254" s="178" t="str">
        <f t="shared" si="71"/>
        <v/>
      </c>
      <c r="AK254" s="178" t="str">
        <f t="shared" si="72"/>
        <v/>
      </c>
      <c r="AN254" s="149" t="str">
        <f t="shared" si="73"/>
        <v/>
      </c>
      <c r="AQ254" s="178" t="str">
        <f t="shared" ca="1" si="74"/>
        <v/>
      </c>
      <c r="AR254" s="178" t="str">
        <f t="shared" ca="1" si="75"/>
        <v/>
      </c>
    </row>
    <row r="255" spans="1:44" x14ac:dyDescent="0.2">
      <c r="A255" t="str">
        <f>IF(B255="","",CONCATENATE("GBL",B255," - ",Mantenedor!E266))</f>
        <v/>
      </c>
      <c r="P255" t="str">
        <f t="shared" si="67"/>
        <v/>
      </c>
      <c r="Q255" s="266" t="str" cm="1">
        <f t="array" ref="Q255">+_xlfn.IFS(O255="Nacional","CLP",O255="Extranjero","USD",O255="","")</f>
        <v/>
      </c>
      <c r="R255" s="262" t="str">
        <f>IFERROR(IF(O255="Nacional",VLOOKUP(P255,PRICING!$D$4:$E$59,2,FALSE),VLOOKUP(P255,PRICING!$J$4:$K$59,2,FALSE)),"")</f>
        <v/>
      </c>
      <c r="S255"/>
      <c r="V255" s="262"/>
      <c r="W255" s="280">
        <f t="shared" si="68"/>
        <v>0</v>
      </c>
      <c r="X255" s="178" t="str">
        <f t="shared" si="61"/>
        <v/>
      </c>
      <c r="Y255" s="178" t="str">
        <f t="shared" si="62"/>
        <v/>
      </c>
      <c r="Z255" s="178" t="str">
        <f t="shared" si="63"/>
        <v/>
      </c>
      <c r="AA255" s="178" t="str">
        <f t="shared" si="64"/>
        <v/>
      </c>
      <c r="AB255" s="178" t="str">
        <f t="shared" si="65"/>
        <v/>
      </c>
      <c r="AC255" s="178" t="str">
        <f t="shared" si="66"/>
        <v/>
      </c>
      <c r="AD255" s="267" t="s">
        <v>316</v>
      </c>
      <c r="AF255" s="149" t="str">
        <f t="shared" si="76"/>
        <v/>
      </c>
      <c r="AH255" s="178" t="str">
        <f t="shared" si="69"/>
        <v/>
      </c>
      <c r="AI255" s="178" t="str">
        <f t="shared" si="70"/>
        <v/>
      </c>
      <c r="AJ255" s="178" t="str">
        <f t="shared" si="71"/>
        <v/>
      </c>
      <c r="AK255" s="178" t="str">
        <f t="shared" si="72"/>
        <v/>
      </c>
      <c r="AN255" s="149" t="str">
        <f t="shared" si="73"/>
        <v/>
      </c>
      <c r="AQ255" s="178" t="str">
        <f t="shared" ca="1" si="74"/>
        <v/>
      </c>
      <c r="AR255" s="178" t="str">
        <f t="shared" ca="1" si="75"/>
        <v/>
      </c>
    </row>
    <row r="256" spans="1:44" x14ac:dyDescent="0.2">
      <c r="A256" t="str">
        <f>IF(B256="","",CONCATENATE("GBL",B256," - ",Mantenedor!E267))</f>
        <v/>
      </c>
      <c r="P256" t="str">
        <f t="shared" si="67"/>
        <v/>
      </c>
      <c r="Q256" s="266" t="str" cm="1">
        <f t="array" ref="Q256">+_xlfn.IFS(O256="Nacional","CLP",O256="Extranjero","USD",O256="","")</f>
        <v/>
      </c>
      <c r="R256" s="262" t="str">
        <f>IFERROR(IF(O256="Nacional",VLOOKUP(P256,PRICING!$D$4:$E$59,2,FALSE),VLOOKUP(P256,PRICING!$J$4:$K$59,2,FALSE)),"")</f>
        <v/>
      </c>
      <c r="S256"/>
      <c r="V256" s="262"/>
      <c r="W256" s="280">
        <f t="shared" si="68"/>
        <v>0</v>
      </c>
      <c r="X256" s="178" t="str">
        <f t="shared" ref="X256:X319" si="77">IF($J256="","",$J256-105)</f>
        <v/>
      </c>
      <c r="Y256" s="178" t="str">
        <f t="shared" ref="Y256:Y319" si="78">IF($J256="","",$J256-90)</f>
        <v/>
      </c>
      <c r="Z256" s="178" t="str">
        <f t="shared" ref="Z256:Z319" si="79">IF($J256="","",$J256-75)</f>
        <v/>
      </c>
      <c r="AA256" s="178" t="str">
        <f t="shared" ref="AA256:AA319" si="80">IF($J256="","",$J256-60)</f>
        <v/>
      </c>
      <c r="AB256" s="178" t="str">
        <f t="shared" ref="AB256:AB319" si="81">IF($J256="","",$J256-45)</f>
        <v/>
      </c>
      <c r="AC256" s="178" t="str">
        <f t="shared" ref="AC256:AC319" si="82">IF($J256="","",$J256-30)</f>
        <v/>
      </c>
      <c r="AD256" s="267" t="s">
        <v>316</v>
      </c>
      <c r="AF256" s="149" t="str">
        <f t="shared" si="76"/>
        <v/>
      </c>
      <c r="AH256" s="178" t="str">
        <f t="shared" si="69"/>
        <v/>
      </c>
      <c r="AI256" s="178" t="str">
        <f t="shared" si="70"/>
        <v/>
      </c>
      <c r="AJ256" s="178" t="str">
        <f t="shared" si="71"/>
        <v/>
      </c>
      <c r="AK256" s="178" t="str">
        <f t="shared" si="72"/>
        <v/>
      </c>
      <c r="AN256" s="149" t="str">
        <f t="shared" si="73"/>
        <v/>
      </c>
      <c r="AQ256" s="178" t="str">
        <f t="shared" ca="1" si="74"/>
        <v/>
      </c>
      <c r="AR256" s="178" t="str">
        <f t="shared" ca="1" si="75"/>
        <v/>
      </c>
    </row>
    <row r="257" spans="1:44" x14ac:dyDescent="0.2">
      <c r="A257" t="str">
        <f>IF(B257="","",CONCATENATE("GBL",B257," - ",Mantenedor!E268))</f>
        <v/>
      </c>
      <c r="P257" t="str">
        <f t="shared" si="67"/>
        <v/>
      </c>
      <c r="Q257" s="266" t="str" cm="1">
        <f t="array" ref="Q257">+_xlfn.IFS(O257="Nacional","CLP",O257="Extranjero","USD",O257="","")</f>
        <v/>
      </c>
      <c r="R257" s="262" t="str">
        <f>IFERROR(IF(O257="Nacional",VLOOKUP(P257,PRICING!$D$4:$E$59,2,FALSE),VLOOKUP(P257,PRICING!$J$4:$K$59,2,FALSE)),"")</f>
        <v/>
      </c>
      <c r="S257"/>
      <c r="V257" s="262"/>
      <c r="W257" s="280">
        <f t="shared" si="68"/>
        <v>0</v>
      </c>
      <c r="X257" s="178" t="str">
        <f t="shared" si="77"/>
        <v/>
      </c>
      <c r="Y257" s="178" t="str">
        <f t="shared" si="78"/>
        <v/>
      </c>
      <c r="Z257" s="178" t="str">
        <f t="shared" si="79"/>
        <v/>
      </c>
      <c r="AA257" s="178" t="str">
        <f t="shared" si="80"/>
        <v/>
      </c>
      <c r="AB257" s="178" t="str">
        <f t="shared" si="81"/>
        <v/>
      </c>
      <c r="AC257" s="178" t="str">
        <f t="shared" si="82"/>
        <v/>
      </c>
      <c r="AD257" s="267" t="s">
        <v>316</v>
      </c>
      <c r="AF257" s="149" t="str">
        <f t="shared" si="76"/>
        <v/>
      </c>
      <c r="AH257" s="178" t="str">
        <f t="shared" si="69"/>
        <v/>
      </c>
      <c r="AI257" s="178" t="str">
        <f t="shared" si="70"/>
        <v/>
      </c>
      <c r="AJ257" s="178" t="str">
        <f t="shared" si="71"/>
        <v/>
      </c>
      <c r="AK257" s="178" t="str">
        <f t="shared" si="72"/>
        <v/>
      </c>
      <c r="AN257" s="149" t="str">
        <f t="shared" si="73"/>
        <v/>
      </c>
      <c r="AQ257" s="178" t="str">
        <f t="shared" ca="1" si="74"/>
        <v/>
      </c>
      <c r="AR257" s="178" t="str">
        <f t="shared" ca="1" si="75"/>
        <v/>
      </c>
    </row>
    <row r="258" spans="1:44" x14ac:dyDescent="0.2">
      <c r="A258" t="str">
        <f>IF(B258="","",CONCATENATE("GBL",B258," - ",Mantenedor!E269))</f>
        <v/>
      </c>
      <c r="P258" t="str">
        <f t="shared" si="67"/>
        <v/>
      </c>
      <c r="Q258" s="266" t="str" cm="1">
        <f t="array" ref="Q258">+_xlfn.IFS(O258="Nacional","CLP",O258="Extranjero","USD",O258="","")</f>
        <v/>
      </c>
      <c r="R258" s="262" t="str">
        <f>IFERROR(IF(O258="Nacional",VLOOKUP(P258,PRICING!$D$4:$E$59,2,FALSE),VLOOKUP(P258,PRICING!$J$4:$K$59,2,FALSE)),"")</f>
        <v/>
      </c>
      <c r="S258"/>
      <c r="V258" s="262"/>
      <c r="W258" s="280">
        <f t="shared" si="68"/>
        <v>0</v>
      </c>
      <c r="X258" s="178" t="str">
        <f t="shared" si="77"/>
        <v/>
      </c>
      <c r="Y258" s="178" t="str">
        <f t="shared" si="78"/>
        <v/>
      </c>
      <c r="Z258" s="178" t="str">
        <f t="shared" si="79"/>
        <v/>
      </c>
      <c r="AA258" s="178" t="str">
        <f t="shared" si="80"/>
        <v/>
      </c>
      <c r="AB258" s="178" t="str">
        <f t="shared" si="81"/>
        <v/>
      </c>
      <c r="AC258" s="178" t="str">
        <f t="shared" si="82"/>
        <v/>
      </c>
      <c r="AD258" s="267" t="s">
        <v>316</v>
      </c>
      <c r="AF258" s="149" t="str">
        <f t="shared" si="76"/>
        <v/>
      </c>
      <c r="AH258" s="178" t="str">
        <f t="shared" si="69"/>
        <v/>
      </c>
      <c r="AI258" s="178" t="str">
        <f t="shared" si="70"/>
        <v/>
      </c>
      <c r="AJ258" s="178" t="str">
        <f t="shared" si="71"/>
        <v/>
      </c>
      <c r="AK258" s="178" t="str">
        <f t="shared" si="72"/>
        <v/>
      </c>
      <c r="AN258" s="149" t="str">
        <f t="shared" si="73"/>
        <v/>
      </c>
      <c r="AQ258" s="178" t="str">
        <f t="shared" ca="1" si="74"/>
        <v/>
      </c>
      <c r="AR258" s="178" t="str">
        <f t="shared" ca="1" si="75"/>
        <v/>
      </c>
    </row>
    <row r="259" spans="1:44" x14ac:dyDescent="0.2">
      <c r="A259" t="str">
        <f>IF(B259="","",CONCATENATE("GBL",B259," - ",Mantenedor!E270))</f>
        <v/>
      </c>
      <c r="P259" t="str">
        <f t="shared" si="67"/>
        <v/>
      </c>
      <c r="Q259" s="266" t="str" cm="1">
        <f t="array" ref="Q259">+_xlfn.IFS(O259="Nacional","CLP",O259="Extranjero","USD",O259="","")</f>
        <v/>
      </c>
      <c r="R259" s="262" t="str">
        <f>IFERROR(IF(O259="Nacional",VLOOKUP(P259,PRICING!$D$4:$E$59,2,FALSE),VLOOKUP(P259,PRICING!$J$4:$K$59,2,FALSE)),"")</f>
        <v/>
      </c>
      <c r="S259"/>
      <c r="V259" s="262"/>
      <c r="W259" s="280">
        <f t="shared" si="68"/>
        <v>0</v>
      </c>
      <c r="X259" s="178" t="str">
        <f t="shared" si="77"/>
        <v/>
      </c>
      <c r="Y259" s="178" t="str">
        <f t="shared" si="78"/>
        <v/>
      </c>
      <c r="Z259" s="178" t="str">
        <f t="shared" si="79"/>
        <v/>
      </c>
      <c r="AA259" s="178" t="str">
        <f t="shared" si="80"/>
        <v/>
      </c>
      <c r="AB259" s="178" t="str">
        <f t="shared" si="81"/>
        <v/>
      </c>
      <c r="AC259" s="178" t="str">
        <f t="shared" si="82"/>
        <v/>
      </c>
      <c r="AD259" s="267" t="s">
        <v>316</v>
      </c>
      <c r="AF259" s="149" t="str">
        <f t="shared" si="76"/>
        <v/>
      </c>
      <c r="AH259" s="178" t="str">
        <f t="shared" si="69"/>
        <v/>
      </c>
      <c r="AI259" s="178" t="str">
        <f t="shared" si="70"/>
        <v/>
      </c>
      <c r="AJ259" s="178" t="str">
        <f t="shared" si="71"/>
        <v/>
      </c>
      <c r="AK259" s="178" t="str">
        <f t="shared" si="72"/>
        <v/>
      </c>
      <c r="AN259" s="149" t="str">
        <f t="shared" si="73"/>
        <v/>
      </c>
      <c r="AQ259" s="178" t="str">
        <f t="shared" ca="1" si="74"/>
        <v/>
      </c>
      <c r="AR259" s="178" t="str">
        <f t="shared" ca="1" si="75"/>
        <v/>
      </c>
    </row>
    <row r="260" spans="1:44" x14ac:dyDescent="0.2">
      <c r="A260" t="str">
        <f>IF(B260="","",CONCATENATE("GBL",B260," - ",Mantenedor!E271))</f>
        <v/>
      </c>
      <c r="P260" t="str">
        <f t="shared" si="67"/>
        <v/>
      </c>
      <c r="Q260" s="266" t="str" cm="1">
        <f t="array" ref="Q260">+_xlfn.IFS(O260="Nacional","CLP",O260="Extranjero","USD",O260="","")</f>
        <v/>
      </c>
      <c r="R260" s="262" t="str">
        <f>IFERROR(IF(O260="Nacional",VLOOKUP(P260,PRICING!$D$4:$E$59,2,FALSE),VLOOKUP(P260,PRICING!$J$4:$K$59,2,FALSE)),"")</f>
        <v/>
      </c>
      <c r="S260"/>
      <c r="V260" s="262"/>
      <c r="W260" s="280">
        <f t="shared" si="68"/>
        <v>0</v>
      </c>
      <c r="X260" s="178" t="str">
        <f t="shared" si="77"/>
        <v/>
      </c>
      <c r="Y260" s="178" t="str">
        <f t="shared" si="78"/>
        <v/>
      </c>
      <c r="Z260" s="178" t="str">
        <f t="shared" si="79"/>
        <v/>
      </c>
      <c r="AA260" s="178" t="str">
        <f t="shared" si="80"/>
        <v/>
      </c>
      <c r="AB260" s="178" t="str">
        <f t="shared" si="81"/>
        <v/>
      </c>
      <c r="AC260" s="178" t="str">
        <f t="shared" si="82"/>
        <v/>
      </c>
      <c r="AD260" s="267" t="s">
        <v>316</v>
      </c>
      <c r="AF260" s="149" t="str">
        <f t="shared" si="76"/>
        <v/>
      </c>
      <c r="AH260" s="178" t="str">
        <f t="shared" si="69"/>
        <v/>
      </c>
      <c r="AI260" s="178" t="str">
        <f t="shared" si="70"/>
        <v/>
      </c>
      <c r="AJ260" s="178" t="str">
        <f t="shared" si="71"/>
        <v/>
      </c>
      <c r="AK260" s="178" t="str">
        <f t="shared" si="72"/>
        <v/>
      </c>
      <c r="AN260" s="149" t="str">
        <f t="shared" si="73"/>
        <v/>
      </c>
      <c r="AQ260" s="178" t="str">
        <f t="shared" ca="1" si="74"/>
        <v/>
      </c>
      <c r="AR260" s="178" t="str">
        <f t="shared" ca="1" si="75"/>
        <v/>
      </c>
    </row>
    <row r="261" spans="1:44" x14ac:dyDescent="0.2">
      <c r="A261" t="str">
        <f>IF(B261="","",CONCATENATE("GBL",B261," - ",Mantenedor!E272))</f>
        <v/>
      </c>
      <c r="P261" t="str">
        <f t="shared" si="67"/>
        <v/>
      </c>
      <c r="Q261" s="266" t="str" cm="1">
        <f t="array" ref="Q261">+_xlfn.IFS(O261="Nacional","CLP",O261="Extranjero","USD",O261="","")</f>
        <v/>
      </c>
      <c r="R261" s="262" t="str">
        <f>IFERROR(IF(O261="Nacional",VLOOKUP(P261,PRICING!$D$4:$E$59,2,FALSE),VLOOKUP(P261,PRICING!$J$4:$K$59,2,FALSE)),"")</f>
        <v/>
      </c>
      <c r="S261"/>
      <c r="V261" s="262"/>
      <c r="W261" s="280">
        <f t="shared" si="68"/>
        <v>0</v>
      </c>
      <c r="X261" s="178" t="str">
        <f t="shared" si="77"/>
        <v/>
      </c>
      <c r="Y261" s="178" t="str">
        <f t="shared" si="78"/>
        <v/>
      </c>
      <c r="Z261" s="178" t="str">
        <f t="shared" si="79"/>
        <v/>
      </c>
      <c r="AA261" s="178" t="str">
        <f t="shared" si="80"/>
        <v/>
      </c>
      <c r="AB261" s="178" t="str">
        <f t="shared" si="81"/>
        <v/>
      </c>
      <c r="AC261" s="178" t="str">
        <f t="shared" si="82"/>
        <v/>
      </c>
      <c r="AD261" s="267" t="s">
        <v>316</v>
      </c>
      <c r="AF261" s="149" t="str">
        <f t="shared" si="76"/>
        <v/>
      </c>
      <c r="AH261" s="178" t="str">
        <f t="shared" si="69"/>
        <v/>
      </c>
      <c r="AI261" s="178" t="str">
        <f t="shared" si="70"/>
        <v/>
      </c>
      <c r="AJ261" s="178" t="str">
        <f t="shared" si="71"/>
        <v/>
      </c>
      <c r="AK261" s="178" t="str">
        <f t="shared" si="72"/>
        <v/>
      </c>
      <c r="AN261" s="149" t="str">
        <f t="shared" si="73"/>
        <v/>
      </c>
      <c r="AQ261" s="178" t="str">
        <f t="shared" ca="1" si="74"/>
        <v/>
      </c>
      <c r="AR261" s="178" t="str">
        <f t="shared" ca="1" si="75"/>
        <v/>
      </c>
    </row>
    <row r="262" spans="1:44" x14ac:dyDescent="0.2">
      <c r="A262" t="str">
        <f>IF(B262="","",CONCATENATE("GBL",B262," - ",Mantenedor!E273))</f>
        <v/>
      </c>
      <c r="P262" t="str">
        <f t="shared" si="67"/>
        <v/>
      </c>
      <c r="Q262" s="266" t="str" cm="1">
        <f t="array" ref="Q262">+_xlfn.IFS(O262="Nacional","CLP",O262="Extranjero","USD",O262="","")</f>
        <v/>
      </c>
      <c r="R262" s="262" t="str">
        <f>IFERROR(IF(O262="Nacional",VLOOKUP(P262,PRICING!$D$4:$E$59,2,FALSE),VLOOKUP(P262,PRICING!$J$4:$K$59,2,FALSE)),"")</f>
        <v/>
      </c>
      <c r="S262"/>
      <c r="V262" s="262"/>
      <c r="W262" s="280">
        <f t="shared" si="68"/>
        <v>0</v>
      </c>
      <c r="X262" s="178" t="str">
        <f t="shared" si="77"/>
        <v/>
      </c>
      <c r="Y262" s="178" t="str">
        <f t="shared" si="78"/>
        <v/>
      </c>
      <c r="Z262" s="178" t="str">
        <f t="shared" si="79"/>
        <v/>
      </c>
      <c r="AA262" s="178" t="str">
        <f t="shared" si="80"/>
        <v/>
      </c>
      <c r="AB262" s="178" t="str">
        <f t="shared" si="81"/>
        <v/>
      </c>
      <c r="AC262" s="178" t="str">
        <f t="shared" si="82"/>
        <v/>
      </c>
      <c r="AD262" s="267" t="s">
        <v>316</v>
      </c>
      <c r="AF262" s="149" t="str">
        <f t="shared" si="76"/>
        <v/>
      </c>
      <c r="AH262" s="178" t="str">
        <f t="shared" si="69"/>
        <v/>
      </c>
      <c r="AI262" s="178" t="str">
        <f t="shared" si="70"/>
        <v/>
      </c>
      <c r="AJ262" s="178" t="str">
        <f t="shared" si="71"/>
        <v/>
      </c>
      <c r="AK262" s="178" t="str">
        <f t="shared" si="72"/>
        <v/>
      </c>
      <c r="AN262" s="149" t="str">
        <f t="shared" si="73"/>
        <v/>
      </c>
      <c r="AQ262" s="178" t="str">
        <f t="shared" ca="1" si="74"/>
        <v/>
      </c>
      <c r="AR262" s="178" t="str">
        <f t="shared" ca="1" si="75"/>
        <v/>
      </c>
    </row>
    <row r="263" spans="1:44" x14ac:dyDescent="0.2">
      <c r="A263" t="str">
        <f>IF(B263="","",CONCATENATE("GBL",B263," - ",Mantenedor!E274))</f>
        <v/>
      </c>
      <c r="P263" t="str">
        <f t="shared" si="67"/>
        <v/>
      </c>
      <c r="Q263" s="266" t="str" cm="1">
        <f t="array" ref="Q263">+_xlfn.IFS(O263="Nacional","CLP",O263="Extranjero","USD",O263="","")</f>
        <v/>
      </c>
      <c r="R263" s="262" t="str">
        <f>IFERROR(IF(O263="Nacional",VLOOKUP(P263,PRICING!$D$4:$E$59,2,FALSE),VLOOKUP(P263,PRICING!$J$4:$K$59,2,FALSE)),"")</f>
        <v/>
      </c>
      <c r="S263"/>
      <c r="V263" s="262"/>
      <c r="W263" s="280">
        <f t="shared" si="68"/>
        <v>0</v>
      </c>
      <c r="X263" s="178" t="str">
        <f t="shared" si="77"/>
        <v/>
      </c>
      <c r="Y263" s="178" t="str">
        <f t="shared" si="78"/>
        <v/>
      </c>
      <c r="Z263" s="178" t="str">
        <f t="shared" si="79"/>
        <v/>
      </c>
      <c r="AA263" s="178" t="str">
        <f t="shared" si="80"/>
        <v/>
      </c>
      <c r="AB263" s="178" t="str">
        <f t="shared" si="81"/>
        <v/>
      </c>
      <c r="AC263" s="178" t="str">
        <f t="shared" si="82"/>
        <v/>
      </c>
      <c r="AD263" s="267" t="s">
        <v>316</v>
      </c>
      <c r="AF263" s="149" t="str">
        <f t="shared" si="76"/>
        <v/>
      </c>
      <c r="AH263" s="178" t="str">
        <f t="shared" si="69"/>
        <v/>
      </c>
      <c r="AI263" s="178" t="str">
        <f t="shared" si="70"/>
        <v/>
      </c>
      <c r="AJ263" s="178" t="str">
        <f t="shared" si="71"/>
        <v/>
      </c>
      <c r="AK263" s="178" t="str">
        <f t="shared" si="72"/>
        <v/>
      </c>
      <c r="AN263" s="149" t="str">
        <f t="shared" si="73"/>
        <v/>
      </c>
      <c r="AQ263" s="178" t="str">
        <f t="shared" ca="1" si="74"/>
        <v/>
      </c>
      <c r="AR263" s="178" t="str">
        <f t="shared" ca="1" si="75"/>
        <v/>
      </c>
    </row>
    <row r="264" spans="1:44" x14ac:dyDescent="0.2">
      <c r="A264" t="str">
        <f>IF(B264="","",CONCATENATE("GBL",B264," - ",Mantenedor!E275))</f>
        <v/>
      </c>
      <c r="P264" t="str">
        <f t="shared" si="67"/>
        <v/>
      </c>
      <c r="Q264" s="266" t="str" cm="1">
        <f t="array" ref="Q264">+_xlfn.IFS(O264="Nacional","CLP",O264="Extranjero","USD",O264="","")</f>
        <v/>
      </c>
      <c r="R264" s="262" t="str">
        <f>IFERROR(IF(O264="Nacional",VLOOKUP(P264,PRICING!$D$4:$E$59,2,FALSE),VLOOKUP(P264,PRICING!$J$4:$K$59,2,FALSE)),"")</f>
        <v/>
      </c>
      <c r="S264"/>
      <c r="V264" s="262"/>
      <c r="W264" s="280">
        <f t="shared" si="68"/>
        <v>0</v>
      </c>
      <c r="X264" s="178" t="str">
        <f t="shared" si="77"/>
        <v/>
      </c>
      <c r="Y264" s="178" t="str">
        <f t="shared" si="78"/>
        <v/>
      </c>
      <c r="Z264" s="178" t="str">
        <f t="shared" si="79"/>
        <v/>
      </c>
      <c r="AA264" s="178" t="str">
        <f t="shared" si="80"/>
        <v/>
      </c>
      <c r="AB264" s="178" t="str">
        <f t="shared" si="81"/>
        <v/>
      </c>
      <c r="AC264" s="178" t="str">
        <f t="shared" si="82"/>
        <v/>
      </c>
      <c r="AD264" s="267" t="s">
        <v>316</v>
      </c>
      <c r="AF264" s="149" t="str">
        <f t="shared" si="76"/>
        <v/>
      </c>
      <c r="AH264" s="178" t="str">
        <f t="shared" si="69"/>
        <v/>
      </c>
      <c r="AI264" s="178" t="str">
        <f t="shared" si="70"/>
        <v/>
      </c>
      <c r="AJ264" s="178" t="str">
        <f t="shared" si="71"/>
        <v/>
      </c>
      <c r="AK264" s="178" t="str">
        <f t="shared" si="72"/>
        <v/>
      </c>
      <c r="AN264" s="149" t="str">
        <f t="shared" si="73"/>
        <v/>
      </c>
      <c r="AQ264" s="178" t="str">
        <f t="shared" ca="1" si="74"/>
        <v/>
      </c>
      <c r="AR264" s="178" t="str">
        <f t="shared" ca="1" si="75"/>
        <v/>
      </c>
    </row>
    <row r="265" spans="1:44" x14ac:dyDescent="0.2">
      <c r="A265" t="str">
        <f>IF(B265="","",CONCATENATE("GBL",B265," - ",Mantenedor!E276))</f>
        <v/>
      </c>
      <c r="P265" t="str">
        <f t="shared" si="67"/>
        <v/>
      </c>
      <c r="Q265" s="266" t="str" cm="1">
        <f t="array" ref="Q265">+_xlfn.IFS(O265="Nacional","CLP",O265="Extranjero","USD",O265="","")</f>
        <v/>
      </c>
      <c r="R265" s="262" t="str">
        <f>IFERROR(IF(O265="Nacional",VLOOKUP(P265,PRICING!$D$4:$E$59,2,FALSE),VLOOKUP(P265,PRICING!$J$4:$K$59,2,FALSE)),"")</f>
        <v/>
      </c>
      <c r="S265"/>
      <c r="V265" s="262"/>
      <c r="W265" s="280">
        <f t="shared" si="68"/>
        <v>0</v>
      </c>
      <c r="X265" s="178" t="str">
        <f t="shared" si="77"/>
        <v/>
      </c>
      <c r="Y265" s="178" t="str">
        <f t="shared" si="78"/>
        <v/>
      </c>
      <c r="Z265" s="178" t="str">
        <f t="shared" si="79"/>
        <v/>
      </c>
      <c r="AA265" s="178" t="str">
        <f t="shared" si="80"/>
        <v/>
      </c>
      <c r="AB265" s="178" t="str">
        <f t="shared" si="81"/>
        <v/>
      </c>
      <c r="AC265" s="178" t="str">
        <f t="shared" si="82"/>
        <v/>
      </c>
      <c r="AD265" s="267" t="s">
        <v>316</v>
      </c>
      <c r="AF265" s="149" t="str">
        <f t="shared" si="76"/>
        <v/>
      </c>
      <c r="AH265" s="178" t="str">
        <f t="shared" si="69"/>
        <v/>
      </c>
      <c r="AI265" s="178" t="str">
        <f t="shared" si="70"/>
        <v/>
      </c>
      <c r="AJ265" s="178" t="str">
        <f t="shared" si="71"/>
        <v/>
      </c>
      <c r="AK265" s="178" t="str">
        <f t="shared" si="72"/>
        <v/>
      </c>
      <c r="AN265" s="149" t="str">
        <f t="shared" si="73"/>
        <v/>
      </c>
      <c r="AQ265" s="178" t="str">
        <f t="shared" ca="1" si="74"/>
        <v/>
      </c>
      <c r="AR265" s="178" t="str">
        <f t="shared" ca="1" si="75"/>
        <v/>
      </c>
    </row>
    <row r="266" spans="1:44" x14ac:dyDescent="0.2">
      <c r="A266" t="str">
        <f>IF(B266="","",CONCATENATE("GBL",B266," - ",Mantenedor!E277))</f>
        <v/>
      </c>
      <c r="P266" t="str">
        <f t="shared" si="67"/>
        <v/>
      </c>
      <c r="Q266" s="266" t="str" cm="1">
        <f t="array" ref="Q266">+_xlfn.IFS(O266="Nacional","CLP",O266="Extranjero","USD",O266="","")</f>
        <v/>
      </c>
      <c r="R266" s="262" t="str">
        <f>IFERROR(IF(O266="Nacional",VLOOKUP(P266,PRICING!$D$4:$E$59,2,FALSE),VLOOKUP(P266,PRICING!$J$4:$K$59,2,FALSE)),"")</f>
        <v/>
      </c>
      <c r="S266"/>
      <c r="V266" s="262"/>
      <c r="W266" s="280">
        <f t="shared" si="68"/>
        <v>0</v>
      </c>
      <c r="X266" s="178" t="str">
        <f t="shared" si="77"/>
        <v/>
      </c>
      <c r="Y266" s="178" t="str">
        <f t="shared" si="78"/>
        <v/>
      </c>
      <c r="Z266" s="178" t="str">
        <f t="shared" si="79"/>
        <v/>
      </c>
      <c r="AA266" s="178" t="str">
        <f t="shared" si="80"/>
        <v/>
      </c>
      <c r="AB266" s="178" t="str">
        <f t="shared" si="81"/>
        <v/>
      </c>
      <c r="AC266" s="178" t="str">
        <f t="shared" si="82"/>
        <v/>
      </c>
      <c r="AD266" s="267" t="s">
        <v>316</v>
      </c>
      <c r="AF266" s="149" t="str">
        <f t="shared" si="76"/>
        <v/>
      </c>
      <c r="AH266" s="178" t="str">
        <f t="shared" si="69"/>
        <v/>
      </c>
      <c r="AI266" s="178" t="str">
        <f t="shared" si="70"/>
        <v/>
      </c>
      <c r="AJ266" s="178" t="str">
        <f t="shared" si="71"/>
        <v/>
      </c>
      <c r="AK266" s="178" t="str">
        <f t="shared" si="72"/>
        <v/>
      </c>
      <c r="AN266" s="149" t="str">
        <f t="shared" si="73"/>
        <v/>
      </c>
      <c r="AQ266" s="178" t="str">
        <f t="shared" ca="1" si="74"/>
        <v/>
      </c>
      <c r="AR266" s="178" t="str">
        <f t="shared" ca="1" si="75"/>
        <v/>
      </c>
    </row>
    <row r="267" spans="1:44" x14ac:dyDescent="0.2">
      <c r="A267" t="str">
        <f>IF(B267="","",CONCATENATE("GBL",B267," - ",Mantenedor!E278))</f>
        <v/>
      </c>
      <c r="P267" t="str">
        <f t="shared" si="67"/>
        <v/>
      </c>
      <c r="Q267" s="266" t="str" cm="1">
        <f t="array" ref="Q267">+_xlfn.IFS(O267="Nacional","CLP",O267="Extranjero","USD",O267="","")</f>
        <v/>
      </c>
      <c r="R267" s="262" t="str">
        <f>IFERROR(IF(O267="Nacional",VLOOKUP(P267,PRICING!$D$4:$E$59,2,FALSE),VLOOKUP(P267,PRICING!$J$4:$K$59,2,FALSE)),"")</f>
        <v/>
      </c>
      <c r="S267"/>
      <c r="V267" s="262"/>
      <c r="W267" s="280">
        <f t="shared" si="68"/>
        <v>0</v>
      </c>
      <c r="X267" s="178" t="str">
        <f t="shared" si="77"/>
        <v/>
      </c>
      <c r="Y267" s="178" t="str">
        <f t="shared" si="78"/>
        <v/>
      </c>
      <c r="Z267" s="178" t="str">
        <f t="shared" si="79"/>
        <v/>
      </c>
      <c r="AA267" s="178" t="str">
        <f t="shared" si="80"/>
        <v/>
      </c>
      <c r="AB267" s="178" t="str">
        <f t="shared" si="81"/>
        <v/>
      </c>
      <c r="AC267" s="178" t="str">
        <f t="shared" si="82"/>
        <v/>
      </c>
      <c r="AD267" s="267" t="s">
        <v>316</v>
      </c>
      <c r="AF267" s="149" t="str">
        <f t="shared" si="76"/>
        <v/>
      </c>
      <c r="AH267" s="178" t="str">
        <f t="shared" si="69"/>
        <v/>
      </c>
      <c r="AI267" s="178" t="str">
        <f t="shared" si="70"/>
        <v/>
      </c>
      <c r="AJ267" s="178" t="str">
        <f t="shared" si="71"/>
        <v/>
      </c>
      <c r="AK267" s="178" t="str">
        <f t="shared" si="72"/>
        <v/>
      </c>
      <c r="AN267" s="149" t="str">
        <f t="shared" si="73"/>
        <v/>
      </c>
      <c r="AQ267" s="178" t="str">
        <f t="shared" ca="1" si="74"/>
        <v/>
      </c>
      <c r="AR267" s="178" t="str">
        <f t="shared" ca="1" si="75"/>
        <v/>
      </c>
    </row>
    <row r="268" spans="1:44" x14ac:dyDescent="0.2">
      <c r="A268" t="str">
        <f>IF(B268="","",CONCATENATE("GBL",B268," - ",Mantenedor!E279))</f>
        <v/>
      </c>
      <c r="P268" t="str">
        <f t="shared" si="67"/>
        <v/>
      </c>
      <c r="Q268" s="266" t="str" cm="1">
        <f t="array" ref="Q268">+_xlfn.IFS(O268="Nacional","CLP",O268="Extranjero","USD",O268="","")</f>
        <v/>
      </c>
      <c r="R268" s="262" t="str">
        <f>IFERROR(IF(O268="Nacional",VLOOKUP(P268,PRICING!$D$4:$E$59,2,FALSE),VLOOKUP(P268,PRICING!$J$4:$K$59,2,FALSE)),"")</f>
        <v/>
      </c>
      <c r="S268"/>
      <c r="V268" s="262"/>
      <c r="W268" s="280">
        <f t="shared" si="68"/>
        <v>0</v>
      </c>
      <c r="X268" s="178" t="str">
        <f t="shared" si="77"/>
        <v/>
      </c>
      <c r="Y268" s="178" t="str">
        <f t="shared" si="78"/>
        <v/>
      </c>
      <c r="Z268" s="178" t="str">
        <f t="shared" si="79"/>
        <v/>
      </c>
      <c r="AA268" s="178" t="str">
        <f t="shared" si="80"/>
        <v/>
      </c>
      <c r="AB268" s="178" t="str">
        <f t="shared" si="81"/>
        <v/>
      </c>
      <c r="AC268" s="178" t="str">
        <f t="shared" si="82"/>
        <v/>
      </c>
      <c r="AD268" s="267" t="s">
        <v>316</v>
      </c>
      <c r="AF268" s="149" t="str">
        <f t="shared" si="76"/>
        <v/>
      </c>
      <c r="AH268" s="178" t="str">
        <f t="shared" si="69"/>
        <v/>
      </c>
      <c r="AI268" s="178" t="str">
        <f t="shared" si="70"/>
        <v/>
      </c>
      <c r="AJ268" s="178" t="str">
        <f t="shared" si="71"/>
        <v/>
      </c>
      <c r="AK268" s="178" t="str">
        <f t="shared" si="72"/>
        <v/>
      </c>
      <c r="AN268" s="149" t="str">
        <f t="shared" si="73"/>
        <v/>
      </c>
      <c r="AQ268" s="178" t="str">
        <f t="shared" ca="1" si="74"/>
        <v/>
      </c>
      <c r="AR268" s="178" t="str">
        <f t="shared" ca="1" si="75"/>
        <v/>
      </c>
    </row>
    <row r="269" spans="1:44" x14ac:dyDescent="0.2">
      <c r="A269" t="str">
        <f>IF(B269="","",CONCATENATE("GBL",B269," - ",Mantenedor!E280))</f>
        <v/>
      </c>
      <c r="P269" t="str">
        <f t="shared" si="67"/>
        <v/>
      </c>
      <c r="Q269" s="266" t="str" cm="1">
        <f t="array" ref="Q269">+_xlfn.IFS(O269="Nacional","CLP",O269="Extranjero","USD",O269="","")</f>
        <v/>
      </c>
      <c r="R269" s="262" t="str">
        <f>IFERROR(IF(O269="Nacional",VLOOKUP(P269,PRICING!$D$4:$E$59,2,FALSE),VLOOKUP(P269,PRICING!$J$4:$K$59,2,FALSE)),"")</f>
        <v/>
      </c>
      <c r="S269"/>
      <c r="V269" s="262"/>
      <c r="W269" s="280">
        <f t="shared" si="68"/>
        <v>0</v>
      </c>
      <c r="X269" s="178" t="str">
        <f t="shared" si="77"/>
        <v/>
      </c>
      <c r="Y269" s="178" t="str">
        <f t="shared" si="78"/>
        <v/>
      </c>
      <c r="Z269" s="178" t="str">
        <f t="shared" si="79"/>
        <v/>
      </c>
      <c r="AA269" s="178" t="str">
        <f t="shared" si="80"/>
        <v/>
      </c>
      <c r="AB269" s="178" t="str">
        <f t="shared" si="81"/>
        <v/>
      </c>
      <c r="AC269" s="178" t="str">
        <f t="shared" si="82"/>
        <v/>
      </c>
      <c r="AD269" s="267" t="s">
        <v>316</v>
      </c>
      <c r="AF269" s="149" t="str">
        <f t="shared" si="76"/>
        <v/>
      </c>
      <c r="AH269" s="178" t="str">
        <f t="shared" si="69"/>
        <v/>
      </c>
      <c r="AI269" s="178" t="str">
        <f t="shared" si="70"/>
        <v/>
      </c>
      <c r="AJ269" s="178" t="str">
        <f t="shared" si="71"/>
        <v/>
      </c>
      <c r="AK269" s="178" t="str">
        <f t="shared" si="72"/>
        <v/>
      </c>
      <c r="AN269" s="149" t="str">
        <f t="shared" si="73"/>
        <v/>
      </c>
      <c r="AQ269" s="178" t="str">
        <f t="shared" ca="1" si="74"/>
        <v/>
      </c>
      <c r="AR269" s="178" t="str">
        <f t="shared" ca="1" si="75"/>
        <v/>
      </c>
    </row>
    <row r="270" spans="1:44" x14ac:dyDescent="0.2">
      <c r="A270" t="str">
        <f>IF(B270="","",CONCATENATE("GBL",B270," - ",Mantenedor!E281))</f>
        <v/>
      </c>
      <c r="P270" t="str">
        <f t="shared" si="67"/>
        <v/>
      </c>
      <c r="Q270" s="266" t="str" cm="1">
        <f t="array" ref="Q270">+_xlfn.IFS(O270="Nacional","CLP",O270="Extranjero","USD",O270="","")</f>
        <v/>
      </c>
      <c r="R270" s="262" t="str">
        <f>IFERROR(IF(O270="Nacional",VLOOKUP(P270,PRICING!$D$4:$E$59,2,FALSE),VLOOKUP(P270,PRICING!$J$4:$K$59,2,FALSE)),"")</f>
        <v/>
      </c>
      <c r="S270"/>
      <c r="V270" s="262"/>
      <c r="W270" s="280">
        <f t="shared" si="68"/>
        <v>0</v>
      </c>
      <c r="X270" s="178" t="str">
        <f t="shared" si="77"/>
        <v/>
      </c>
      <c r="Y270" s="178" t="str">
        <f t="shared" si="78"/>
        <v/>
      </c>
      <c r="Z270" s="178" t="str">
        <f t="shared" si="79"/>
        <v/>
      </c>
      <c r="AA270" s="178" t="str">
        <f t="shared" si="80"/>
        <v/>
      </c>
      <c r="AB270" s="178" t="str">
        <f t="shared" si="81"/>
        <v/>
      </c>
      <c r="AC270" s="178" t="str">
        <f t="shared" si="82"/>
        <v/>
      </c>
      <c r="AD270" s="267" t="s">
        <v>316</v>
      </c>
      <c r="AF270" s="149" t="str">
        <f t="shared" si="76"/>
        <v/>
      </c>
      <c r="AH270" s="178" t="str">
        <f t="shared" si="69"/>
        <v/>
      </c>
      <c r="AI270" s="178" t="str">
        <f t="shared" si="70"/>
        <v/>
      </c>
      <c r="AJ270" s="178" t="str">
        <f t="shared" si="71"/>
        <v/>
      </c>
      <c r="AK270" s="178" t="str">
        <f t="shared" si="72"/>
        <v/>
      </c>
      <c r="AN270" s="149" t="str">
        <f t="shared" si="73"/>
        <v/>
      </c>
      <c r="AQ270" s="178" t="str">
        <f t="shared" ca="1" si="74"/>
        <v/>
      </c>
      <c r="AR270" s="178" t="str">
        <f t="shared" ca="1" si="75"/>
        <v/>
      </c>
    </row>
    <row r="271" spans="1:44" x14ac:dyDescent="0.2">
      <c r="A271" t="str">
        <f>IF(B271="","",CONCATENATE("GBL",B271," - ",Mantenedor!E282))</f>
        <v/>
      </c>
      <c r="P271" t="str">
        <f t="shared" si="67"/>
        <v/>
      </c>
      <c r="Q271" s="266" t="str" cm="1">
        <f t="array" ref="Q271">+_xlfn.IFS(O271="Nacional","CLP",O271="Extranjero","USD",O271="","")</f>
        <v/>
      </c>
      <c r="R271" s="262" t="str">
        <f>IFERROR(IF(O271="Nacional",VLOOKUP(P271,PRICING!$D$4:$E$59,2,FALSE),VLOOKUP(P271,PRICING!$J$4:$K$59,2,FALSE)),"")</f>
        <v/>
      </c>
      <c r="S271"/>
      <c r="V271" s="262"/>
      <c r="W271" s="280">
        <f t="shared" si="68"/>
        <v>0</v>
      </c>
      <c r="X271" s="178" t="str">
        <f t="shared" si="77"/>
        <v/>
      </c>
      <c r="Y271" s="178" t="str">
        <f t="shared" si="78"/>
        <v/>
      </c>
      <c r="Z271" s="178" t="str">
        <f t="shared" si="79"/>
        <v/>
      </c>
      <c r="AA271" s="178" t="str">
        <f t="shared" si="80"/>
        <v/>
      </c>
      <c r="AB271" s="178" t="str">
        <f t="shared" si="81"/>
        <v/>
      </c>
      <c r="AC271" s="178" t="str">
        <f t="shared" si="82"/>
        <v/>
      </c>
      <c r="AD271" s="267" t="s">
        <v>316</v>
      </c>
      <c r="AF271" s="149" t="str">
        <f t="shared" si="76"/>
        <v/>
      </c>
      <c r="AH271" s="178" t="str">
        <f t="shared" si="69"/>
        <v/>
      </c>
      <c r="AI271" s="178" t="str">
        <f t="shared" si="70"/>
        <v/>
      </c>
      <c r="AJ271" s="178" t="str">
        <f t="shared" si="71"/>
        <v/>
      </c>
      <c r="AK271" s="178" t="str">
        <f t="shared" si="72"/>
        <v/>
      </c>
      <c r="AN271" s="149" t="str">
        <f t="shared" si="73"/>
        <v/>
      </c>
      <c r="AQ271" s="178" t="str">
        <f t="shared" ca="1" si="74"/>
        <v/>
      </c>
      <c r="AR271" s="178" t="str">
        <f t="shared" ca="1" si="75"/>
        <v/>
      </c>
    </row>
    <row r="272" spans="1:44" x14ac:dyDescent="0.2">
      <c r="A272" t="str">
        <f>IF(B272="","",CONCATENATE("GBL",B272," - ",Mantenedor!E283))</f>
        <v/>
      </c>
      <c r="P272" t="str">
        <f t="shared" si="67"/>
        <v/>
      </c>
      <c r="Q272" s="266" t="str" cm="1">
        <f t="array" ref="Q272">+_xlfn.IFS(O272="Nacional","CLP",O272="Extranjero","USD",O272="","")</f>
        <v/>
      </c>
      <c r="R272" s="262" t="str">
        <f>IFERROR(IF(O272="Nacional",VLOOKUP(P272,PRICING!$D$4:$E$59,2,FALSE),VLOOKUP(P272,PRICING!$J$4:$K$59,2,FALSE)),"")</f>
        <v/>
      </c>
      <c r="S272"/>
      <c r="V272" s="262"/>
      <c r="W272" s="280">
        <f t="shared" si="68"/>
        <v>0</v>
      </c>
      <c r="X272" s="178" t="str">
        <f t="shared" si="77"/>
        <v/>
      </c>
      <c r="Y272" s="178" t="str">
        <f t="shared" si="78"/>
        <v/>
      </c>
      <c r="Z272" s="178" t="str">
        <f t="shared" si="79"/>
        <v/>
      </c>
      <c r="AA272" s="178" t="str">
        <f t="shared" si="80"/>
        <v/>
      </c>
      <c r="AB272" s="178" t="str">
        <f t="shared" si="81"/>
        <v/>
      </c>
      <c r="AC272" s="178" t="str">
        <f t="shared" si="82"/>
        <v/>
      </c>
      <c r="AD272" s="267" t="s">
        <v>316</v>
      </c>
      <c r="AF272" s="149" t="str">
        <f t="shared" si="76"/>
        <v/>
      </c>
      <c r="AH272" s="178" t="str">
        <f t="shared" si="69"/>
        <v/>
      </c>
      <c r="AI272" s="178" t="str">
        <f t="shared" si="70"/>
        <v/>
      </c>
      <c r="AJ272" s="178" t="str">
        <f t="shared" si="71"/>
        <v/>
      </c>
      <c r="AK272" s="178" t="str">
        <f t="shared" si="72"/>
        <v/>
      </c>
      <c r="AN272" s="149" t="str">
        <f t="shared" si="73"/>
        <v/>
      </c>
      <c r="AQ272" s="178" t="str">
        <f t="shared" ca="1" si="74"/>
        <v/>
      </c>
      <c r="AR272" s="178" t="str">
        <f t="shared" ca="1" si="75"/>
        <v/>
      </c>
    </row>
    <row r="273" spans="1:44" x14ac:dyDescent="0.2">
      <c r="A273" t="str">
        <f>IF(B273="","",CONCATENATE("GBL",B273," - ",Mantenedor!E284))</f>
        <v/>
      </c>
      <c r="P273" t="str">
        <f t="shared" si="67"/>
        <v/>
      </c>
      <c r="Q273" s="266" t="str" cm="1">
        <f t="array" ref="Q273">+_xlfn.IFS(O273="Nacional","CLP",O273="Extranjero","USD",O273="","")</f>
        <v/>
      </c>
      <c r="R273" s="262" t="str">
        <f>IFERROR(IF(O273="Nacional",VLOOKUP(P273,PRICING!$D$4:$E$59,2,FALSE),VLOOKUP(P273,PRICING!$J$4:$K$59,2,FALSE)),"")</f>
        <v/>
      </c>
      <c r="S273"/>
      <c r="V273" s="262"/>
      <c r="W273" s="280">
        <f t="shared" si="68"/>
        <v>0</v>
      </c>
      <c r="X273" s="178" t="str">
        <f t="shared" si="77"/>
        <v/>
      </c>
      <c r="Y273" s="178" t="str">
        <f t="shared" si="78"/>
        <v/>
      </c>
      <c r="Z273" s="178" t="str">
        <f t="shared" si="79"/>
        <v/>
      </c>
      <c r="AA273" s="178" t="str">
        <f t="shared" si="80"/>
        <v/>
      </c>
      <c r="AB273" s="178" t="str">
        <f t="shared" si="81"/>
        <v/>
      </c>
      <c r="AC273" s="178" t="str">
        <f t="shared" si="82"/>
        <v/>
      </c>
      <c r="AD273" s="267" t="s">
        <v>316</v>
      </c>
      <c r="AF273" s="149" t="str">
        <f t="shared" si="76"/>
        <v/>
      </c>
      <c r="AH273" s="178" t="str">
        <f t="shared" si="69"/>
        <v/>
      </c>
      <c r="AI273" s="178" t="str">
        <f t="shared" si="70"/>
        <v/>
      </c>
      <c r="AJ273" s="178" t="str">
        <f t="shared" si="71"/>
        <v/>
      </c>
      <c r="AK273" s="178" t="str">
        <f t="shared" si="72"/>
        <v/>
      </c>
      <c r="AN273" s="149" t="str">
        <f t="shared" si="73"/>
        <v/>
      </c>
      <c r="AQ273" s="178" t="str">
        <f t="shared" ca="1" si="74"/>
        <v/>
      </c>
      <c r="AR273" s="178" t="str">
        <f t="shared" ca="1" si="75"/>
        <v/>
      </c>
    </row>
    <row r="274" spans="1:44" x14ac:dyDescent="0.2">
      <c r="A274" t="str">
        <f>IF(B274="","",CONCATENATE("GBL",B274," - ",Mantenedor!E285))</f>
        <v/>
      </c>
      <c r="P274" t="str">
        <f t="shared" si="67"/>
        <v/>
      </c>
      <c r="Q274" s="266" t="str" cm="1">
        <f t="array" ref="Q274">+_xlfn.IFS(O274="Nacional","CLP",O274="Extranjero","USD",O274="","")</f>
        <v/>
      </c>
      <c r="R274" s="262" t="str">
        <f>IFERROR(IF(O274="Nacional",VLOOKUP(P274,PRICING!$D$4:$E$59,2,FALSE),VLOOKUP(P274,PRICING!$J$4:$K$59,2,FALSE)),"")</f>
        <v/>
      </c>
      <c r="S274"/>
      <c r="V274" s="262"/>
      <c r="W274" s="280">
        <f t="shared" si="68"/>
        <v>0</v>
      </c>
      <c r="X274" s="178" t="str">
        <f t="shared" si="77"/>
        <v/>
      </c>
      <c r="Y274" s="178" t="str">
        <f t="shared" si="78"/>
        <v/>
      </c>
      <c r="Z274" s="178" t="str">
        <f t="shared" si="79"/>
        <v/>
      </c>
      <c r="AA274" s="178" t="str">
        <f t="shared" si="80"/>
        <v/>
      </c>
      <c r="AB274" s="178" t="str">
        <f t="shared" si="81"/>
        <v/>
      </c>
      <c r="AC274" s="178" t="str">
        <f t="shared" si="82"/>
        <v/>
      </c>
      <c r="AD274" s="267" t="s">
        <v>316</v>
      </c>
      <c r="AF274" s="149" t="str">
        <f t="shared" si="76"/>
        <v/>
      </c>
      <c r="AH274" s="178" t="str">
        <f t="shared" si="69"/>
        <v/>
      </c>
      <c r="AI274" s="178" t="str">
        <f t="shared" si="70"/>
        <v/>
      </c>
      <c r="AJ274" s="178" t="str">
        <f t="shared" si="71"/>
        <v/>
      </c>
      <c r="AK274" s="178" t="str">
        <f t="shared" si="72"/>
        <v/>
      </c>
      <c r="AN274" s="149" t="str">
        <f t="shared" si="73"/>
        <v/>
      </c>
      <c r="AQ274" s="178" t="str">
        <f t="shared" ca="1" si="74"/>
        <v/>
      </c>
      <c r="AR274" s="178" t="str">
        <f t="shared" ca="1" si="75"/>
        <v/>
      </c>
    </row>
    <row r="275" spans="1:44" x14ac:dyDescent="0.2">
      <c r="A275" t="str">
        <f>IF(B275="","",CONCATENATE("GBL",B275," - ",Mantenedor!E286))</f>
        <v/>
      </c>
      <c r="P275" t="str">
        <f t="shared" si="67"/>
        <v/>
      </c>
      <c r="Q275" s="266" t="str" cm="1">
        <f t="array" ref="Q275">+_xlfn.IFS(O275="Nacional","CLP",O275="Extranjero","USD",O275="","")</f>
        <v/>
      </c>
      <c r="R275" s="262" t="str">
        <f>IFERROR(IF(O275="Nacional",VLOOKUP(P275,PRICING!$D$4:$E$59,2,FALSE),VLOOKUP(P275,PRICING!$J$4:$K$59,2,FALSE)),"")</f>
        <v/>
      </c>
      <c r="S275"/>
      <c r="V275" s="262"/>
      <c r="W275" s="280">
        <f t="shared" si="68"/>
        <v>0</v>
      </c>
      <c r="X275" s="178" t="str">
        <f t="shared" si="77"/>
        <v/>
      </c>
      <c r="Y275" s="178" t="str">
        <f t="shared" si="78"/>
        <v/>
      </c>
      <c r="Z275" s="178" t="str">
        <f t="shared" si="79"/>
        <v/>
      </c>
      <c r="AA275" s="178" t="str">
        <f t="shared" si="80"/>
        <v/>
      </c>
      <c r="AB275" s="178" t="str">
        <f t="shared" si="81"/>
        <v/>
      </c>
      <c r="AC275" s="178" t="str">
        <f t="shared" si="82"/>
        <v/>
      </c>
      <c r="AD275" s="267" t="s">
        <v>316</v>
      </c>
      <c r="AF275" s="149" t="str">
        <f t="shared" si="76"/>
        <v/>
      </c>
      <c r="AH275" s="178" t="str">
        <f t="shared" si="69"/>
        <v/>
      </c>
      <c r="AI275" s="178" t="str">
        <f t="shared" si="70"/>
        <v/>
      </c>
      <c r="AJ275" s="178" t="str">
        <f t="shared" si="71"/>
        <v/>
      </c>
      <c r="AK275" s="178" t="str">
        <f t="shared" si="72"/>
        <v/>
      </c>
      <c r="AN275" s="149" t="str">
        <f t="shared" si="73"/>
        <v/>
      </c>
      <c r="AQ275" s="178" t="str">
        <f t="shared" ca="1" si="74"/>
        <v/>
      </c>
      <c r="AR275" s="178" t="str">
        <f t="shared" ca="1" si="75"/>
        <v/>
      </c>
    </row>
    <row r="276" spans="1:44" x14ac:dyDescent="0.2">
      <c r="A276" t="str">
        <f>IF(B276="","",CONCATENATE("GBL",B276," - ",Mantenedor!E287))</f>
        <v/>
      </c>
      <c r="P276" t="str">
        <f t="shared" si="67"/>
        <v/>
      </c>
      <c r="Q276" s="266" t="str" cm="1">
        <f t="array" ref="Q276">+_xlfn.IFS(O276="Nacional","CLP",O276="Extranjero","USD",O276="","")</f>
        <v/>
      </c>
      <c r="R276" s="262" t="str">
        <f>IFERROR(IF(O276="Nacional",VLOOKUP(P276,PRICING!$D$4:$E$59,2,FALSE),VLOOKUP(P276,PRICING!$J$4:$K$59,2,FALSE)),"")</f>
        <v/>
      </c>
      <c r="S276"/>
      <c r="V276" s="262"/>
      <c r="W276" s="280">
        <f t="shared" si="68"/>
        <v>0</v>
      </c>
      <c r="X276" s="178" t="str">
        <f t="shared" si="77"/>
        <v/>
      </c>
      <c r="Y276" s="178" t="str">
        <f t="shared" si="78"/>
        <v/>
      </c>
      <c r="Z276" s="178" t="str">
        <f t="shared" si="79"/>
        <v/>
      </c>
      <c r="AA276" s="178" t="str">
        <f t="shared" si="80"/>
        <v/>
      </c>
      <c r="AB276" s="178" t="str">
        <f t="shared" si="81"/>
        <v/>
      </c>
      <c r="AC276" s="178" t="str">
        <f t="shared" si="82"/>
        <v/>
      </c>
      <c r="AD276" s="267" t="s">
        <v>316</v>
      </c>
      <c r="AF276" s="149" t="str">
        <f t="shared" si="76"/>
        <v/>
      </c>
      <c r="AH276" s="178" t="str">
        <f t="shared" si="69"/>
        <v/>
      </c>
      <c r="AI276" s="178" t="str">
        <f t="shared" si="70"/>
        <v/>
      </c>
      <c r="AJ276" s="178" t="str">
        <f t="shared" si="71"/>
        <v/>
      </c>
      <c r="AK276" s="178" t="str">
        <f t="shared" si="72"/>
        <v/>
      </c>
      <c r="AN276" s="149" t="str">
        <f t="shared" si="73"/>
        <v/>
      </c>
      <c r="AQ276" s="178" t="str">
        <f t="shared" ca="1" si="74"/>
        <v/>
      </c>
      <c r="AR276" s="178" t="str">
        <f t="shared" ca="1" si="75"/>
        <v/>
      </c>
    </row>
    <row r="277" spans="1:44" x14ac:dyDescent="0.2">
      <c r="A277" t="str">
        <f>IF(B277="","",CONCATENATE("GBL",B277," - ",Mantenedor!E288))</f>
        <v/>
      </c>
      <c r="P277" t="str">
        <f t="shared" si="67"/>
        <v/>
      </c>
      <c r="Q277" s="266" t="str" cm="1">
        <f t="array" ref="Q277">+_xlfn.IFS(O277="Nacional","CLP",O277="Extranjero","USD",O277="","")</f>
        <v/>
      </c>
      <c r="R277" s="262" t="str">
        <f>IFERROR(IF(O277="Nacional",VLOOKUP(P277,PRICING!$D$4:$E$59,2,FALSE),VLOOKUP(P277,PRICING!$J$4:$K$59,2,FALSE)),"")</f>
        <v/>
      </c>
      <c r="S277"/>
      <c r="V277" s="262"/>
      <c r="W277" s="280">
        <f t="shared" si="68"/>
        <v>0</v>
      </c>
      <c r="X277" s="178" t="str">
        <f t="shared" si="77"/>
        <v/>
      </c>
      <c r="Y277" s="178" t="str">
        <f t="shared" si="78"/>
        <v/>
      </c>
      <c r="Z277" s="178" t="str">
        <f t="shared" si="79"/>
        <v/>
      </c>
      <c r="AA277" s="178" t="str">
        <f t="shared" si="80"/>
        <v/>
      </c>
      <c r="AB277" s="178" t="str">
        <f t="shared" si="81"/>
        <v/>
      </c>
      <c r="AC277" s="178" t="str">
        <f t="shared" si="82"/>
        <v/>
      </c>
      <c r="AD277" s="267" t="s">
        <v>316</v>
      </c>
      <c r="AF277" s="149" t="str">
        <f t="shared" si="76"/>
        <v/>
      </c>
      <c r="AH277" s="178" t="str">
        <f t="shared" si="69"/>
        <v/>
      </c>
      <c r="AI277" s="178" t="str">
        <f t="shared" si="70"/>
        <v/>
      </c>
      <c r="AJ277" s="178" t="str">
        <f t="shared" si="71"/>
        <v/>
      </c>
      <c r="AK277" s="178" t="str">
        <f t="shared" si="72"/>
        <v/>
      </c>
      <c r="AN277" s="149" t="str">
        <f t="shared" si="73"/>
        <v/>
      </c>
      <c r="AQ277" s="178" t="str">
        <f t="shared" ca="1" si="74"/>
        <v/>
      </c>
      <c r="AR277" s="178" t="str">
        <f t="shared" ca="1" si="75"/>
        <v/>
      </c>
    </row>
    <row r="278" spans="1:44" x14ac:dyDescent="0.2">
      <c r="A278" t="str">
        <f>IF(B278="","",CONCATENATE("GBL",B278," - ",Mantenedor!E289))</f>
        <v/>
      </c>
      <c r="P278" t="str">
        <f t="shared" si="67"/>
        <v/>
      </c>
      <c r="Q278" s="266" t="str" cm="1">
        <f t="array" ref="Q278">+_xlfn.IFS(O278="Nacional","CLP",O278="Extranjero","USD",O278="","")</f>
        <v/>
      </c>
      <c r="R278" s="262" t="str">
        <f>IFERROR(IF(O278="Nacional",VLOOKUP(P278,PRICING!$D$4:$E$59,2,FALSE),VLOOKUP(P278,PRICING!$J$4:$K$59,2,FALSE)),"")</f>
        <v/>
      </c>
      <c r="S278"/>
      <c r="V278" s="262"/>
      <c r="W278" s="280">
        <f t="shared" si="68"/>
        <v>0</v>
      </c>
      <c r="X278" s="178" t="str">
        <f t="shared" si="77"/>
        <v/>
      </c>
      <c r="Y278" s="178" t="str">
        <f t="shared" si="78"/>
        <v/>
      </c>
      <c r="Z278" s="178" t="str">
        <f t="shared" si="79"/>
        <v/>
      </c>
      <c r="AA278" s="178" t="str">
        <f t="shared" si="80"/>
        <v/>
      </c>
      <c r="AB278" s="178" t="str">
        <f t="shared" si="81"/>
        <v/>
      </c>
      <c r="AC278" s="178" t="str">
        <f t="shared" si="82"/>
        <v/>
      </c>
      <c r="AD278" s="267" t="s">
        <v>316</v>
      </c>
      <c r="AF278" s="149" t="str">
        <f t="shared" si="76"/>
        <v/>
      </c>
      <c r="AH278" s="178" t="str">
        <f t="shared" si="69"/>
        <v/>
      </c>
      <c r="AI278" s="178" t="str">
        <f t="shared" si="70"/>
        <v/>
      </c>
      <c r="AJ278" s="178" t="str">
        <f t="shared" si="71"/>
        <v/>
      </c>
      <c r="AK278" s="178" t="str">
        <f t="shared" si="72"/>
        <v/>
      </c>
      <c r="AN278" s="149" t="str">
        <f t="shared" si="73"/>
        <v/>
      </c>
      <c r="AQ278" s="178" t="str">
        <f t="shared" ca="1" si="74"/>
        <v/>
      </c>
      <c r="AR278" s="178" t="str">
        <f t="shared" ca="1" si="75"/>
        <v/>
      </c>
    </row>
    <row r="279" spans="1:44" x14ac:dyDescent="0.2">
      <c r="A279" t="str">
        <f>IF(B279="","",CONCATENATE("GBL",B279," - ",Mantenedor!E290))</f>
        <v/>
      </c>
      <c r="P279" t="str">
        <f t="shared" si="67"/>
        <v/>
      </c>
      <c r="Q279" s="266" t="str" cm="1">
        <f t="array" ref="Q279">+_xlfn.IFS(O279="Nacional","CLP",O279="Extranjero","USD",O279="","")</f>
        <v/>
      </c>
      <c r="R279" s="262" t="str">
        <f>IFERROR(IF(O279="Nacional",VLOOKUP(P279,PRICING!$D$4:$E$59,2,FALSE),VLOOKUP(P279,PRICING!$J$4:$K$59,2,FALSE)),"")</f>
        <v/>
      </c>
      <c r="S279"/>
      <c r="V279" s="262"/>
      <c r="W279" s="280">
        <f t="shared" si="68"/>
        <v>0</v>
      </c>
      <c r="X279" s="178" t="str">
        <f t="shared" si="77"/>
        <v/>
      </c>
      <c r="Y279" s="178" t="str">
        <f t="shared" si="78"/>
        <v/>
      </c>
      <c r="Z279" s="178" t="str">
        <f t="shared" si="79"/>
        <v/>
      </c>
      <c r="AA279" s="178" t="str">
        <f t="shared" si="80"/>
        <v/>
      </c>
      <c r="AB279" s="178" t="str">
        <f t="shared" si="81"/>
        <v/>
      </c>
      <c r="AC279" s="178" t="str">
        <f t="shared" si="82"/>
        <v/>
      </c>
      <c r="AD279" s="267" t="s">
        <v>316</v>
      </c>
      <c r="AF279" s="149" t="str">
        <f t="shared" si="76"/>
        <v/>
      </c>
      <c r="AH279" s="178" t="str">
        <f t="shared" si="69"/>
        <v/>
      </c>
      <c r="AI279" s="178" t="str">
        <f t="shared" si="70"/>
        <v/>
      </c>
      <c r="AJ279" s="178" t="str">
        <f t="shared" si="71"/>
        <v/>
      </c>
      <c r="AK279" s="178" t="str">
        <f t="shared" si="72"/>
        <v/>
      </c>
      <c r="AN279" s="149" t="str">
        <f t="shared" si="73"/>
        <v/>
      </c>
      <c r="AQ279" s="178" t="str">
        <f t="shared" ca="1" si="74"/>
        <v/>
      </c>
      <c r="AR279" s="178" t="str">
        <f t="shared" ca="1" si="75"/>
        <v/>
      </c>
    </row>
    <row r="280" spans="1:44" x14ac:dyDescent="0.2">
      <c r="A280" t="str">
        <f>IF(B280="","",CONCATENATE("GBL",B280," - ",Mantenedor!E291))</f>
        <v/>
      </c>
      <c r="P280" t="str">
        <f t="shared" si="67"/>
        <v/>
      </c>
      <c r="Q280" s="266" t="str" cm="1">
        <f t="array" ref="Q280">+_xlfn.IFS(O280="Nacional","CLP",O280="Extranjero","USD",O280="","")</f>
        <v/>
      </c>
      <c r="R280" s="262" t="str">
        <f>IFERROR(IF(O280="Nacional",VLOOKUP(P280,PRICING!$D$4:$E$59,2,FALSE),VLOOKUP(P280,PRICING!$J$4:$K$59,2,FALSE)),"")</f>
        <v/>
      </c>
      <c r="S280"/>
      <c r="V280" s="262"/>
      <c r="W280" s="280">
        <f t="shared" si="68"/>
        <v>0</v>
      </c>
      <c r="X280" s="178" t="str">
        <f t="shared" si="77"/>
        <v/>
      </c>
      <c r="Y280" s="178" t="str">
        <f t="shared" si="78"/>
        <v/>
      </c>
      <c r="Z280" s="178" t="str">
        <f t="shared" si="79"/>
        <v/>
      </c>
      <c r="AA280" s="178" t="str">
        <f t="shared" si="80"/>
        <v/>
      </c>
      <c r="AB280" s="178" t="str">
        <f t="shared" si="81"/>
        <v/>
      </c>
      <c r="AC280" s="178" t="str">
        <f t="shared" si="82"/>
        <v/>
      </c>
      <c r="AD280" s="267" t="s">
        <v>316</v>
      </c>
      <c r="AF280" s="149" t="str">
        <f t="shared" si="76"/>
        <v/>
      </c>
      <c r="AH280" s="178" t="str">
        <f t="shared" si="69"/>
        <v/>
      </c>
      <c r="AI280" s="178" t="str">
        <f t="shared" si="70"/>
        <v/>
      </c>
      <c r="AJ280" s="178" t="str">
        <f t="shared" si="71"/>
        <v/>
      </c>
      <c r="AK280" s="178" t="str">
        <f t="shared" si="72"/>
        <v/>
      </c>
      <c r="AN280" s="149" t="str">
        <f t="shared" si="73"/>
        <v/>
      </c>
      <c r="AQ280" s="178" t="str">
        <f t="shared" ca="1" si="74"/>
        <v/>
      </c>
      <c r="AR280" s="178" t="str">
        <f t="shared" ca="1" si="75"/>
        <v/>
      </c>
    </row>
    <row r="281" spans="1:44" x14ac:dyDescent="0.2">
      <c r="A281" t="str">
        <f>IF(B281="","",CONCATENATE("GBL",B281," - ",Mantenedor!E292))</f>
        <v/>
      </c>
      <c r="P281" t="str">
        <f t="shared" si="67"/>
        <v/>
      </c>
      <c r="Q281" s="266" t="str" cm="1">
        <f t="array" ref="Q281">+_xlfn.IFS(O281="Nacional","CLP",O281="Extranjero","USD",O281="","")</f>
        <v/>
      </c>
      <c r="R281" s="262" t="str">
        <f>IFERROR(IF(O281="Nacional",VLOOKUP(P281,PRICING!$D$4:$E$59,2,FALSE),VLOOKUP(P281,PRICING!$J$4:$K$59,2,FALSE)),"")</f>
        <v/>
      </c>
      <c r="S281"/>
      <c r="V281" s="262"/>
      <c r="W281" s="280">
        <f t="shared" si="68"/>
        <v>0</v>
      </c>
      <c r="X281" s="178" t="str">
        <f t="shared" si="77"/>
        <v/>
      </c>
      <c r="Y281" s="178" t="str">
        <f t="shared" si="78"/>
        <v/>
      </c>
      <c r="Z281" s="178" t="str">
        <f t="shared" si="79"/>
        <v/>
      </c>
      <c r="AA281" s="178" t="str">
        <f t="shared" si="80"/>
        <v/>
      </c>
      <c r="AB281" s="178" t="str">
        <f t="shared" si="81"/>
        <v/>
      </c>
      <c r="AC281" s="178" t="str">
        <f t="shared" si="82"/>
        <v/>
      </c>
      <c r="AD281" s="267" t="s">
        <v>316</v>
      </c>
      <c r="AF281" s="149" t="str">
        <f t="shared" si="76"/>
        <v/>
      </c>
      <c r="AH281" s="178" t="str">
        <f t="shared" si="69"/>
        <v/>
      </c>
      <c r="AI281" s="178" t="str">
        <f t="shared" si="70"/>
        <v/>
      </c>
      <c r="AJ281" s="178" t="str">
        <f t="shared" si="71"/>
        <v/>
      </c>
      <c r="AK281" s="178" t="str">
        <f t="shared" si="72"/>
        <v/>
      </c>
      <c r="AN281" s="149" t="str">
        <f t="shared" si="73"/>
        <v/>
      </c>
      <c r="AQ281" s="178" t="str">
        <f t="shared" ca="1" si="74"/>
        <v/>
      </c>
      <c r="AR281" s="178" t="str">
        <f t="shared" ca="1" si="75"/>
        <v/>
      </c>
    </row>
    <row r="282" spans="1:44" x14ac:dyDescent="0.2">
      <c r="A282" t="str">
        <f>IF(B282="","",CONCATENATE("GBL",B282," - ",Mantenedor!E293))</f>
        <v/>
      </c>
      <c r="P282" t="str">
        <f t="shared" si="67"/>
        <v/>
      </c>
      <c r="Q282" s="266" t="str" cm="1">
        <f t="array" ref="Q282">+_xlfn.IFS(O282="Nacional","CLP",O282="Extranjero","USD",O282="","")</f>
        <v/>
      </c>
      <c r="R282" s="262" t="str">
        <f>IFERROR(IF(O282="Nacional",VLOOKUP(P282,PRICING!$D$4:$E$59,2,FALSE),VLOOKUP(P282,PRICING!$J$4:$K$59,2,FALSE)),"")</f>
        <v/>
      </c>
      <c r="S282"/>
      <c r="V282" s="262"/>
      <c r="W282" s="280">
        <f t="shared" si="68"/>
        <v>0</v>
      </c>
      <c r="X282" s="178" t="str">
        <f t="shared" si="77"/>
        <v/>
      </c>
      <c r="Y282" s="178" t="str">
        <f t="shared" si="78"/>
        <v/>
      </c>
      <c r="Z282" s="178" t="str">
        <f t="shared" si="79"/>
        <v/>
      </c>
      <c r="AA282" s="178" t="str">
        <f t="shared" si="80"/>
        <v/>
      </c>
      <c r="AB282" s="178" t="str">
        <f t="shared" si="81"/>
        <v/>
      </c>
      <c r="AC282" s="178" t="str">
        <f t="shared" si="82"/>
        <v/>
      </c>
      <c r="AD282" s="267" t="s">
        <v>316</v>
      </c>
      <c r="AF282" s="149" t="str">
        <f t="shared" si="76"/>
        <v/>
      </c>
      <c r="AH282" s="178" t="str">
        <f t="shared" si="69"/>
        <v/>
      </c>
      <c r="AI282" s="178" t="str">
        <f t="shared" si="70"/>
        <v/>
      </c>
      <c r="AJ282" s="178" t="str">
        <f t="shared" si="71"/>
        <v/>
      </c>
      <c r="AK282" s="178" t="str">
        <f t="shared" si="72"/>
        <v/>
      </c>
      <c r="AN282" s="149" t="str">
        <f t="shared" si="73"/>
        <v/>
      </c>
      <c r="AQ282" s="178" t="str">
        <f t="shared" ca="1" si="74"/>
        <v/>
      </c>
      <c r="AR282" s="178" t="str">
        <f t="shared" ca="1" si="75"/>
        <v/>
      </c>
    </row>
    <row r="283" spans="1:44" x14ac:dyDescent="0.2">
      <c r="A283" t="str">
        <f>IF(B283="","",CONCATENATE("GBL",B283," - ",Mantenedor!E294))</f>
        <v/>
      </c>
      <c r="P283" t="str">
        <f t="shared" si="67"/>
        <v/>
      </c>
      <c r="Q283" s="266" t="str" cm="1">
        <f t="array" ref="Q283">+_xlfn.IFS(O283="Nacional","CLP",O283="Extranjero","USD",O283="","")</f>
        <v/>
      </c>
      <c r="R283" s="262" t="str">
        <f>IFERROR(IF(O283="Nacional",VLOOKUP(P283,PRICING!$D$4:$E$59,2,FALSE),VLOOKUP(P283,PRICING!$J$4:$K$59,2,FALSE)),"")</f>
        <v/>
      </c>
      <c r="S283"/>
      <c r="V283" s="262"/>
      <c r="W283" s="280">
        <f t="shared" si="68"/>
        <v>0</v>
      </c>
      <c r="X283" s="178" t="str">
        <f t="shared" si="77"/>
        <v/>
      </c>
      <c r="Y283" s="178" t="str">
        <f t="shared" si="78"/>
        <v/>
      </c>
      <c r="Z283" s="178" t="str">
        <f t="shared" si="79"/>
        <v/>
      </c>
      <c r="AA283" s="178" t="str">
        <f t="shared" si="80"/>
        <v/>
      </c>
      <c r="AB283" s="178" t="str">
        <f t="shared" si="81"/>
        <v/>
      </c>
      <c r="AC283" s="178" t="str">
        <f t="shared" si="82"/>
        <v/>
      </c>
      <c r="AD283" s="267" t="s">
        <v>316</v>
      </c>
      <c r="AF283" s="149" t="str">
        <f t="shared" si="76"/>
        <v/>
      </c>
      <c r="AH283" s="178" t="str">
        <f t="shared" si="69"/>
        <v/>
      </c>
      <c r="AI283" s="178" t="str">
        <f t="shared" si="70"/>
        <v/>
      </c>
      <c r="AJ283" s="178" t="str">
        <f t="shared" si="71"/>
        <v/>
      </c>
      <c r="AK283" s="178" t="str">
        <f t="shared" si="72"/>
        <v/>
      </c>
      <c r="AN283" s="149" t="str">
        <f t="shared" si="73"/>
        <v/>
      </c>
      <c r="AQ283" s="178" t="str">
        <f t="shared" ca="1" si="74"/>
        <v/>
      </c>
      <c r="AR283" s="178" t="str">
        <f t="shared" ca="1" si="75"/>
        <v/>
      </c>
    </row>
    <row r="284" spans="1:44" x14ac:dyDescent="0.2">
      <c r="A284" t="str">
        <f>IF(B284="","",CONCATENATE("GBL",B284," - ",Mantenedor!E295))</f>
        <v/>
      </c>
      <c r="P284" t="str">
        <f t="shared" si="67"/>
        <v/>
      </c>
      <c r="Q284" s="266" t="str" cm="1">
        <f t="array" ref="Q284">+_xlfn.IFS(O284="Nacional","CLP",O284="Extranjero","USD",O284="","")</f>
        <v/>
      </c>
      <c r="R284" s="262" t="str">
        <f>IFERROR(IF(O284="Nacional",VLOOKUP(P284,PRICING!$D$4:$E$59,2,FALSE),VLOOKUP(P284,PRICING!$J$4:$K$59,2,FALSE)),"")</f>
        <v/>
      </c>
      <c r="S284"/>
      <c r="V284" s="262"/>
      <c r="W284" s="280">
        <f t="shared" si="68"/>
        <v>0</v>
      </c>
      <c r="X284" s="178" t="str">
        <f t="shared" si="77"/>
        <v/>
      </c>
      <c r="Y284" s="178" t="str">
        <f t="shared" si="78"/>
        <v/>
      </c>
      <c r="Z284" s="178" t="str">
        <f t="shared" si="79"/>
        <v/>
      </c>
      <c r="AA284" s="178" t="str">
        <f t="shared" si="80"/>
        <v/>
      </c>
      <c r="AB284" s="178" t="str">
        <f t="shared" si="81"/>
        <v/>
      </c>
      <c r="AC284" s="178" t="str">
        <f t="shared" si="82"/>
        <v/>
      </c>
      <c r="AD284" s="267" t="s">
        <v>316</v>
      </c>
      <c r="AF284" s="149" t="str">
        <f t="shared" si="76"/>
        <v/>
      </c>
      <c r="AH284" s="178" t="str">
        <f t="shared" si="69"/>
        <v/>
      </c>
      <c r="AI284" s="178" t="str">
        <f t="shared" si="70"/>
        <v/>
      </c>
      <c r="AJ284" s="178" t="str">
        <f t="shared" si="71"/>
        <v/>
      </c>
      <c r="AK284" s="178" t="str">
        <f t="shared" si="72"/>
        <v/>
      </c>
      <c r="AN284" s="149" t="str">
        <f t="shared" si="73"/>
        <v/>
      </c>
      <c r="AQ284" s="178" t="str">
        <f t="shared" ca="1" si="74"/>
        <v/>
      </c>
      <c r="AR284" s="178" t="str">
        <f t="shared" ca="1" si="75"/>
        <v/>
      </c>
    </row>
    <row r="285" spans="1:44" x14ac:dyDescent="0.2">
      <c r="A285" t="str">
        <f>IF(B285="","",CONCATENATE("GBL",B285," - ",Mantenedor!E296))</f>
        <v/>
      </c>
      <c r="P285" t="str">
        <f t="shared" si="67"/>
        <v/>
      </c>
      <c r="Q285" s="266" t="str" cm="1">
        <f t="array" ref="Q285">+_xlfn.IFS(O285="Nacional","CLP",O285="Extranjero","USD",O285="","")</f>
        <v/>
      </c>
      <c r="R285" s="262" t="str">
        <f>IFERROR(IF(O285="Nacional",VLOOKUP(P285,PRICING!$D$4:$E$59,2,FALSE),VLOOKUP(P285,PRICING!$J$4:$K$59,2,FALSE)),"")</f>
        <v/>
      </c>
      <c r="S285"/>
      <c r="V285" s="262"/>
      <c r="W285" s="280">
        <f t="shared" si="68"/>
        <v>0</v>
      </c>
      <c r="X285" s="178" t="str">
        <f t="shared" si="77"/>
        <v/>
      </c>
      <c r="Y285" s="178" t="str">
        <f t="shared" si="78"/>
        <v/>
      </c>
      <c r="Z285" s="178" t="str">
        <f t="shared" si="79"/>
        <v/>
      </c>
      <c r="AA285" s="178" t="str">
        <f t="shared" si="80"/>
        <v/>
      </c>
      <c r="AB285" s="178" t="str">
        <f t="shared" si="81"/>
        <v/>
      </c>
      <c r="AC285" s="178" t="str">
        <f t="shared" si="82"/>
        <v/>
      </c>
      <c r="AD285" s="267" t="s">
        <v>316</v>
      </c>
      <c r="AF285" s="149" t="str">
        <f t="shared" si="76"/>
        <v/>
      </c>
      <c r="AH285" s="178" t="str">
        <f t="shared" si="69"/>
        <v/>
      </c>
      <c r="AI285" s="178" t="str">
        <f t="shared" si="70"/>
        <v/>
      </c>
      <c r="AJ285" s="178" t="str">
        <f t="shared" si="71"/>
        <v/>
      </c>
      <c r="AK285" s="178" t="str">
        <f t="shared" si="72"/>
        <v/>
      </c>
      <c r="AN285" s="149" t="str">
        <f t="shared" si="73"/>
        <v/>
      </c>
      <c r="AQ285" s="178" t="str">
        <f t="shared" ca="1" si="74"/>
        <v/>
      </c>
      <c r="AR285" s="178" t="str">
        <f t="shared" ca="1" si="75"/>
        <v/>
      </c>
    </row>
    <row r="286" spans="1:44" x14ac:dyDescent="0.2">
      <c r="A286" t="str">
        <f>IF(B286="","",CONCATENATE("GBL",B286," - ",Mantenedor!E297))</f>
        <v/>
      </c>
      <c r="P286" t="str">
        <f t="shared" si="67"/>
        <v/>
      </c>
      <c r="Q286" s="266" t="str" cm="1">
        <f t="array" ref="Q286">+_xlfn.IFS(O286="Nacional","CLP",O286="Extranjero","USD",O286="","")</f>
        <v/>
      </c>
      <c r="R286" s="262" t="str">
        <f>IFERROR(IF(O286="Nacional",VLOOKUP(P286,PRICING!$D$4:$E$59,2,FALSE),VLOOKUP(P286,PRICING!$J$4:$K$59,2,FALSE)),"")</f>
        <v/>
      </c>
      <c r="S286"/>
      <c r="V286" s="262"/>
      <c r="W286" s="280">
        <f t="shared" si="68"/>
        <v>0</v>
      </c>
      <c r="X286" s="178" t="str">
        <f t="shared" si="77"/>
        <v/>
      </c>
      <c r="Y286" s="178" t="str">
        <f t="shared" si="78"/>
        <v/>
      </c>
      <c r="Z286" s="178" t="str">
        <f t="shared" si="79"/>
        <v/>
      </c>
      <c r="AA286" s="178" t="str">
        <f t="shared" si="80"/>
        <v/>
      </c>
      <c r="AB286" s="178" t="str">
        <f t="shared" si="81"/>
        <v/>
      </c>
      <c r="AC286" s="178" t="str">
        <f t="shared" si="82"/>
        <v/>
      </c>
      <c r="AD286" s="267" t="s">
        <v>316</v>
      </c>
      <c r="AF286" s="149" t="str">
        <f t="shared" si="76"/>
        <v/>
      </c>
      <c r="AH286" s="178" t="str">
        <f t="shared" si="69"/>
        <v/>
      </c>
      <c r="AI286" s="178" t="str">
        <f t="shared" si="70"/>
        <v/>
      </c>
      <c r="AJ286" s="178" t="str">
        <f t="shared" si="71"/>
        <v/>
      </c>
      <c r="AK286" s="178" t="str">
        <f t="shared" si="72"/>
        <v/>
      </c>
      <c r="AN286" s="149" t="str">
        <f t="shared" si="73"/>
        <v/>
      </c>
      <c r="AQ286" s="178" t="str">
        <f t="shared" ca="1" si="74"/>
        <v/>
      </c>
      <c r="AR286" s="178" t="str">
        <f t="shared" ca="1" si="75"/>
        <v/>
      </c>
    </row>
    <row r="287" spans="1:44" x14ac:dyDescent="0.2">
      <c r="A287" t="str">
        <f>IF(B287="","",CONCATENATE("GBL",B287," - ",Mantenedor!E298))</f>
        <v/>
      </c>
      <c r="P287" t="str">
        <f t="shared" si="67"/>
        <v/>
      </c>
      <c r="Q287" s="266" t="str" cm="1">
        <f t="array" ref="Q287">+_xlfn.IFS(O287="Nacional","CLP",O287="Extranjero","USD",O287="","")</f>
        <v/>
      </c>
      <c r="R287" s="262" t="str">
        <f>IFERROR(IF(O287="Nacional",VLOOKUP(P287,PRICING!$D$4:$E$59,2,FALSE),VLOOKUP(P287,PRICING!$J$4:$K$59,2,FALSE)),"")</f>
        <v/>
      </c>
      <c r="S287"/>
      <c r="V287" s="262"/>
      <c r="W287" s="280">
        <f t="shared" si="68"/>
        <v>0</v>
      </c>
      <c r="X287" s="178" t="str">
        <f t="shared" si="77"/>
        <v/>
      </c>
      <c r="Y287" s="178" t="str">
        <f t="shared" si="78"/>
        <v/>
      </c>
      <c r="Z287" s="178" t="str">
        <f t="shared" si="79"/>
        <v/>
      </c>
      <c r="AA287" s="178" t="str">
        <f t="shared" si="80"/>
        <v/>
      </c>
      <c r="AB287" s="178" t="str">
        <f t="shared" si="81"/>
        <v/>
      </c>
      <c r="AC287" s="178" t="str">
        <f t="shared" si="82"/>
        <v/>
      </c>
      <c r="AD287" s="267" t="s">
        <v>316</v>
      </c>
      <c r="AF287" s="149" t="str">
        <f t="shared" si="76"/>
        <v/>
      </c>
      <c r="AH287" s="178" t="str">
        <f t="shared" si="69"/>
        <v/>
      </c>
      <c r="AI287" s="178" t="str">
        <f t="shared" si="70"/>
        <v/>
      </c>
      <c r="AJ287" s="178" t="str">
        <f t="shared" si="71"/>
        <v/>
      </c>
      <c r="AK287" s="178" t="str">
        <f t="shared" si="72"/>
        <v/>
      </c>
      <c r="AN287" s="149" t="str">
        <f t="shared" si="73"/>
        <v/>
      </c>
      <c r="AQ287" s="178" t="str">
        <f t="shared" ca="1" si="74"/>
        <v/>
      </c>
      <c r="AR287" s="178" t="str">
        <f t="shared" ca="1" si="75"/>
        <v/>
      </c>
    </row>
    <row r="288" spans="1:44" x14ac:dyDescent="0.2">
      <c r="A288" t="str">
        <f>IF(B288="","",CONCATENATE("GBL",B288," - ",Mantenedor!E299))</f>
        <v/>
      </c>
      <c r="P288" t="str">
        <f t="shared" si="67"/>
        <v/>
      </c>
      <c r="Q288" s="266" t="str" cm="1">
        <f t="array" ref="Q288">+_xlfn.IFS(O288="Nacional","CLP",O288="Extranjero","USD",O288="","")</f>
        <v/>
      </c>
      <c r="R288" s="262" t="str">
        <f>IFERROR(IF(O288="Nacional",VLOOKUP(P288,PRICING!$D$4:$E$59,2,FALSE),VLOOKUP(P288,PRICING!$J$4:$K$59,2,FALSE)),"")</f>
        <v/>
      </c>
      <c r="S288"/>
      <c r="V288" s="262"/>
      <c r="W288" s="280">
        <f t="shared" si="68"/>
        <v>0</v>
      </c>
      <c r="X288" s="178" t="str">
        <f t="shared" si="77"/>
        <v/>
      </c>
      <c r="Y288" s="178" t="str">
        <f t="shared" si="78"/>
        <v/>
      </c>
      <c r="Z288" s="178" t="str">
        <f t="shared" si="79"/>
        <v/>
      </c>
      <c r="AA288" s="178" t="str">
        <f t="shared" si="80"/>
        <v/>
      </c>
      <c r="AB288" s="178" t="str">
        <f t="shared" si="81"/>
        <v/>
      </c>
      <c r="AC288" s="178" t="str">
        <f t="shared" si="82"/>
        <v/>
      </c>
      <c r="AD288" s="267" t="s">
        <v>316</v>
      </c>
      <c r="AF288" s="149" t="str">
        <f t="shared" si="76"/>
        <v/>
      </c>
      <c r="AH288" s="178" t="str">
        <f t="shared" si="69"/>
        <v/>
      </c>
      <c r="AI288" s="178" t="str">
        <f t="shared" si="70"/>
        <v/>
      </c>
      <c r="AJ288" s="178" t="str">
        <f t="shared" si="71"/>
        <v/>
      </c>
      <c r="AK288" s="178" t="str">
        <f t="shared" si="72"/>
        <v/>
      </c>
      <c r="AN288" s="149" t="str">
        <f t="shared" si="73"/>
        <v/>
      </c>
      <c r="AQ288" s="178" t="str">
        <f t="shared" ca="1" si="74"/>
        <v/>
      </c>
      <c r="AR288" s="178" t="str">
        <f t="shared" ca="1" si="75"/>
        <v/>
      </c>
    </row>
    <row r="289" spans="1:44" x14ac:dyDescent="0.2">
      <c r="A289" t="str">
        <f>IF(B289="","",CONCATENATE("GBL",B289," - ",Mantenedor!E300))</f>
        <v/>
      </c>
      <c r="P289" t="str">
        <f t="shared" si="67"/>
        <v/>
      </c>
      <c r="Q289" s="266" t="str" cm="1">
        <f t="array" ref="Q289">+_xlfn.IFS(O289="Nacional","CLP",O289="Extranjero","USD",O289="","")</f>
        <v/>
      </c>
      <c r="R289" s="262" t="str">
        <f>IFERROR(IF(O289="Nacional",VLOOKUP(P289,PRICING!$D$4:$E$59,2,FALSE),VLOOKUP(P289,PRICING!$J$4:$K$59,2,FALSE)),"")</f>
        <v/>
      </c>
      <c r="S289"/>
      <c r="V289" s="262"/>
      <c r="W289" s="280">
        <f t="shared" si="68"/>
        <v>0</v>
      </c>
      <c r="X289" s="178" t="str">
        <f t="shared" si="77"/>
        <v/>
      </c>
      <c r="Y289" s="178" t="str">
        <f t="shared" si="78"/>
        <v/>
      </c>
      <c r="Z289" s="178" t="str">
        <f t="shared" si="79"/>
        <v/>
      </c>
      <c r="AA289" s="178" t="str">
        <f t="shared" si="80"/>
        <v/>
      </c>
      <c r="AB289" s="178" t="str">
        <f t="shared" si="81"/>
        <v/>
      </c>
      <c r="AC289" s="178" t="str">
        <f t="shared" si="82"/>
        <v/>
      </c>
      <c r="AD289" s="267" t="s">
        <v>316</v>
      </c>
      <c r="AF289" s="149" t="str">
        <f t="shared" si="76"/>
        <v/>
      </c>
      <c r="AH289" s="178" t="str">
        <f t="shared" si="69"/>
        <v/>
      </c>
      <c r="AI289" s="178" t="str">
        <f t="shared" si="70"/>
        <v/>
      </c>
      <c r="AJ289" s="178" t="str">
        <f t="shared" si="71"/>
        <v/>
      </c>
      <c r="AK289" s="178" t="str">
        <f t="shared" si="72"/>
        <v/>
      </c>
      <c r="AN289" s="149" t="str">
        <f t="shared" si="73"/>
        <v/>
      </c>
      <c r="AQ289" s="178" t="str">
        <f t="shared" ca="1" si="74"/>
        <v/>
      </c>
      <c r="AR289" s="178" t="str">
        <f t="shared" ca="1" si="75"/>
        <v/>
      </c>
    </row>
    <row r="290" spans="1:44" x14ac:dyDescent="0.2">
      <c r="A290" t="str">
        <f>IF(B290="","",CONCATENATE("GBL",B290," - ",Mantenedor!E301))</f>
        <v/>
      </c>
      <c r="P290" t="str">
        <f t="shared" si="67"/>
        <v/>
      </c>
      <c r="Q290" s="266" t="str" cm="1">
        <f t="array" ref="Q290">+_xlfn.IFS(O290="Nacional","CLP",O290="Extranjero","USD",O290="","")</f>
        <v/>
      </c>
      <c r="R290" s="262" t="str">
        <f>IFERROR(IF(O290="Nacional",VLOOKUP(P290,PRICING!$D$4:$E$59,2,FALSE),VLOOKUP(P290,PRICING!$J$4:$K$59,2,FALSE)),"")</f>
        <v/>
      </c>
      <c r="S290"/>
      <c r="V290" s="262"/>
      <c r="W290" s="280">
        <f t="shared" si="68"/>
        <v>0</v>
      </c>
      <c r="X290" s="178" t="str">
        <f t="shared" si="77"/>
        <v/>
      </c>
      <c r="Y290" s="178" t="str">
        <f t="shared" si="78"/>
        <v/>
      </c>
      <c r="Z290" s="178" t="str">
        <f t="shared" si="79"/>
        <v/>
      </c>
      <c r="AA290" s="178" t="str">
        <f t="shared" si="80"/>
        <v/>
      </c>
      <c r="AB290" s="178" t="str">
        <f t="shared" si="81"/>
        <v/>
      </c>
      <c r="AC290" s="178" t="str">
        <f t="shared" si="82"/>
        <v/>
      </c>
      <c r="AD290" s="267" t="s">
        <v>316</v>
      </c>
      <c r="AF290" s="149" t="str">
        <f t="shared" si="76"/>
        <v/>
      </c>
      <c r="AH290" s="178" t="str">
        <f t="shared" si="69"/>
        <v/>
      </c>
      <c r="AI290" s="178" t="str">
        <f t="shared" si="70"/>
        <v/>
      </c>
      <c r="AJ290" s="178" t="str">
        <f t="shared" si="71"/>
        <v/>
      </c>
      <c r="AK290" s="178" t="str">
        <f t="shared" si="72"/>
        <v/>
      </c>
      <c r="AN290" s="149" t="str">
        <f t="shared" si="73"/>
        <v/>
      </c>
      <c r="AQ290" s="178" t="str">
        <f t="shared" ca="1" si="74"/>
        <v/>
      </c>
      <c r="AR290" s="178" t="str">
        <f t="shared" ca="1" si="75"/>
        <v/>
      </c>
    </row>
    <row r="291" spans="1:44" x14ac:dyDescent="0.2">
      <c r="A291" t="str">
        <f>IF(B291="","",CONCATENATE("GBL",B291," - ",Mantenedor!E302))</f>
        <v/>
      </c>
      <c r="P291" t="str">
        <f t="shared" si="67"/>
        <v/>
      </c>
      <c r="Q291" s="266" t="str" cm="1">
        <f t="array" ref="Q291">+_xlfn.IFS(O291="Nacional","CLP",O291="Extranjero","USD",O291="","")</f>
        <v/>
      </c>
      <c r="R291" s="262" t="str">
        <f>IFERROR(IF(O291="Nacional",VLOOKUP(P291,PRICING!$D$4:$E$59,2,FALSE),VLOOKUP(P291,PRICING!$J$4:$K$59,2,FALSE)),"")</f>
        <v/>
      </c>
      <c r="S291"/>
      <c r="V291" s="262"/>
      <c r="W291" s="280">
        <f t="shared" si="68"/>
        <v>0</v>
      </c>
      <c r="X291" s="178" t="str">
        <f t="shared" si="77"/>
        <v/>
      </c>
      <c r="Y291" s="178" t="str">
        <f t="shared" si="78"/>
        <v/>
      </c>
      <c r="Z291" s="178" t="str">
        <f t="shared" si="79"/>
        <v/>
      </c>
      <c r="AA291" s="178" t="str">
        <f t="shared" si="80"/>
        <v/>
      </c>
      <c r="AB291" s="178" t="str">
        <f t="shared" si="81"/>
        <v/>
      </c>
      <c r="AC291" s="178" t="str">
        <f t="shared" si="82"/>
        <v/>
      </c>
      <c r="AD291" s="267" t="s">
        <v>316</v>
      </c>
      <c r="AF291" s="149" t="str">
        <f t="shared" si="76"/>
        <v/>
      </c>
      <c r="AH291" s="178" t="str">
        <f t="shared" si="69"/>
        <v/>
      </c>
      <c r="AI291" s="178" t="str">
        <f t="shared" si="70"/>
        <v/>
      </c>
      <c r="AJ291" s="178" t="str">
        <f t="shared" si="71"/>
        <v/>
      </c>
      <c r="AK291" s="178" t="str">
        <f t="shared" si="72"/>
        <v/>
      </c>
      <c r="AN291" s="149" t="str">
        <f t="shared" si="73"/>
        <v/>
      </c>
      <c r="AQ291" s="178" t="str">
        <f t="shared" ca="1" si="74"/>
        <v/>
      </c>
      <c r="AR291" s="178" t="str">
        <f t="shared" ca="1" si="75"/>
        <v/>
      </c>
    </row>
    <row r="292" spans="1:44" x14ac:dyDescent="0.2">
      <c r="A292" t="str">
        <f>IF(B292="","",CONCATENATE("GBL",B292," - ",Mantenedor!E303))</f>
        <v/>
      </c>
      <c r="P292" t="str">
        <f t="shared" si="67"/>
        <v/>
      </c>
      <c r="Q292" s="266" t="str" cm="1">
        <f t="array" ref="Q292">+_xlfn.IFS(O292="Nacional","CLP",O292="Extranjero","USD",O292="","")</f>
        <v/>
      </c>
      <c r="R292" s="262" t="str">
        <f>IFERROR(IF(O292="Nacional",VLOOKUP(P292,PRICING!$D$4:$E$59,2,FALSE),VLOOKUP(P292,PRICING!$J$4:$K$59,2,FALSE)),"")</f>
        <v/>
      </c>
      <c r="S292"/>
      <c r="V292" s="262"/>
      <c r="W292" s="280">
        <f t="shared" si="68"/>
        <v>0</v>
      </c>
      <c r="X292" s="178" t="str">
        <f t="shared" si="77"/>
        <v/>
      </c>
      <c r="Y292" s="178" t="str">
        <f t="shared" si="78"/>
        <v/>
      </c>
      <c r="Z292" s="178" t="str">
        <f t="shared" si="79"/>
        <v/>
      </c>
      <c r="AA292" s="178" t="str">
        <f t="shared" si="80"/>
        <v/>
      </c>
      <c r="AB292" s="178" t="str">
        <f t="shared" si="81"/>
        <v/>
      </c>
      <c r="AC292" s="178" t="str">
        <f t="shared" si="82"/>
        <v/>
      </c>
      <c r="AD292" s="267" t="s">
        <v>316</v>
      </c>
      <c r="AF292" s="149" t="str">
        <f t="shared" si="76"/>
        <v/>
      </c>
      <c r="AH292" s="178" t="str">
        <f t="shared" si="69"/>
        <v/>
      </c>
      <c r="AI292" s="178" t="str">
        <f t="shared" si="70"/>
        <v/>
      </c>
      <c r="AJ292" s="178" t="str">
        <f t="shared" si="71"/>
        <v/>
      </c>
      <c r="AK292" s="178" t="str">
        <f t="shared" si="72"/>
        <v/>
      </c>
      <c r="AN292" s="149" t="str">
        <f t="shared" si="73"/>
        <v/>
      </c>
      <c r="AQ292" s="178" t="str">
        <f t="shared" ca="1" si="74"/>
        <v/>
      </c>
      <c r="AR292" s="178" t="str">
        <f t="shared" ca="1" si="75"/>
        <v/>
      </c>
    </row>
    <row r="293" spans="1:44" x14ac:dyDescent="0.2">
      <c r="A293" t="str">
        <f>IF(B293="","",CONCATENATE("GBL",B293," - ",Mantenedor!E304))</f>
        <v/>
      </c>
      <c r="P293" t="str">
        <f t="shared" si="67"/>
        <v/>
      </c>
      <c r="Q293" s="266" t="str" cm="1">
        <f t="array" ref="Q293">+_xlfn.IFS(O293="Nacional","CLP",O293="Extranjero","USD",O293="","")</f>
        <v/>
      </c>
      <c r="R293" s="262" t="str">
        <f>IFERROR(IF(O293="Nacional",VLOOKUP(P293,PRICING!$D$4:$E$59,2,FALSE),VLOOKUP(P293,PRICING!$J$4:$K$59,2,FALSE)),"")</f>
        <v/>
      </c>
      <c r="S293"/>
      <c r="V293" s="262"/>
      <c r="W293" s="280">
        <f t="shared" si="68"/>
        <v>0</v>
      </c>
      <c r="X293" s="178" t="str">
        <f t="shared" si="77"/>
        <v/>
      </c>
      <c r="Y293" s="178" t="str">
        <f t="shared" si="78"/>
        <v/>
      </c>
      <c r="Z293" s="178" t="str">
        <f t="shared" si="79"/>
        <v/>
      </c>
      <c r="AA293" s="178" t="str">
        <f t="shared" si="80"/>
        <v/>
      </c>
      <c r="AB293" s="178" t="str">
        <f t="shared" si="81"/>
        <v/>
      </c>
      <c r="AC293" s="178" t="str">
        <f t="shared" si="82"/>
        <v/>
      </c>
      <c r="AD293" s="267" t="s">
        <v>316</v>
      </c>
      <c r="AF293" s="149" t="str">
        <f t="shared" si="76"/>
        <v/>
      </c>
      <c r="AH293" s="178" t="str">
        <f t="shared" si="69"/>
        <v/>
      </c>
      <c r="AI293" s="178" t="str">
        <f t="shared" si="70"/>
        <v/>
      </c>
      <c r="AJ293" s="178" t="str">
        <f t="shared" si="71"/>
        <v/>
      </c>
      <c r="AK293" s="178" t="str">
        <f t="shared" si="72"/>
        <v/>
      </c>
      <c r="AN293" s="149" t="str">
        <f t="shared" si="73"/>
        <v/>
      </c>
      <c r="AQ293" s="178" t="str">
        <f t="shared" ca="1" si="74"/>
        <v/>
      </c>
      <c r="AR293" s="178" t="str">
        <f t="shared" ca="1" si="75"/>
        <v/>
      </c>
    </row>
    <row r="294" spans="1:44" x14ac:dyDescent="0.2">
      <c r="A294" t="str">
        <f>IF(B294="","",CONCATENATE("GBL",B294," - ",Mantenedor!E305))</f>
        <v/>
      </c>
      <c r="P294" t="str">
        <f t="shared" si="67"/>
        <v/>
      </c>
      <c r="Q294" s="266" t="str" cm="1">
        <f t="array" ref="Q294">+_xlfn.IFS(O294="Nacional","CLP",O294="Extranjero","USD",O294="","")</f>
        <v/>
      </c>
      <c r="R294" s="262" t="str">
        <f>IFERROR(IF(O294="Nacional",VLOOKUP(P294,PRICING!$D$4:$E$59,2,FALSE),VLOOKUP(P294,PRICING!$J$4:$K$59,2,FALSE)),"")</f>
        <v/>
      </c>
      <c r="S294"/>
      <c r="V294" s="262"/>
      <c r="W294" s="280">
        <f t="shared" si="68"/>
        <v>0</v>
      </c>
      <c r="X294" s="178" t="str">
        <f t="shared" si="77"/>
        <v/>
      </c>
      <c r="Y294" s="178" t="str">
        <f t="shared" si="78"/>
        <v/>
      </c>
      <c r="Z294" s="178" t="str">
        <f t="shared" si="79"/>
        <v/>
      </c>
      <c r="AA294" s="178" t="str">
        <f t="shared" si="80"/>
        <v/>
      </c>
      <c r="AB294" s="178" t="str">
        <f t="shared" si="81"/>
        <v/>
      </c>
      <c r="AC294" s="178" t="str">
        <f t="shared" si="82"/>
        <v/>
      </c>
      <c r="AD294" s="267" t="s">
        <v>316</v>
      </c>
      <c r="AF294" s="149" t="str">
        <f t="shared" si="76"/>
        <v/>
      </c>
      <c r="AH294" s="178" t="str">
        <f t="shared" si="69"/>
        <v/>
      </c>
      <c r="AI294" s="178" t="str">
        <f t="shared" si="70"/>
        <v/>
      </c>
      <c r="AJ294" s="178" t="str">
        <f t="shared" si="71"/>
        <v/>
      </c>
      <c r="AK294" s="178" t="str">
        <f t="shared" si="72"/>
        <v/>
      </c>
      <c r="AN294" s="149" t="str">
        <f t="shared" si="73"/>
        <v/>
      </c>
      <c r="AQ294" s="178" t="str">
        <f t="shared" ca="1" si="74"/>
        <v/>
      </c>
      <c r="AR294" s="178" t="str">
        <f t="shared" ca="1" si="75"/>
        <v/>
      </c>
    </row>
    <row r="295" spans="1:44" x14ac:dyDescent="0.2">
      <c r="A295" t="str">
        <f>IF(B295="","",CONCATENATE("GBL",B295," - ",Mantenedor!E306))</f>
        <v/>
      </c>
      <c r="P295" t="str">
        <f t="shared" si="67"/>
        <v/>
      </c>
      <c r="Q295" s="266" t="str" cm="1">
        <f t="array" ref="Q295">+_xlfn.IFS(O295="Nacional","CLP",O295="Extranjero","USD",O295="","")</f>
        <v/>
      </c>
      <c r="R295" s="262" t="str">
        <f>IFERROR(IF(O295="Nacional",VLOOKUP(P295,PRICING!$D$4:$E$59,2,FALSE),VLOOKUP(P295,PRICING!$J$4:$K$59,2,FALSE)),"")</f>
        <v/>
      </c>
      <c r="S295"/>
      <c r="V295" s="262"/>
      <c r="W295" s="280">
        <f t="shared" si="68"/>
        <v>0</v>
      </c>
      <c r="X295" s="178" t="str">
        <f t="shared" si="77"/>
        <v/>
      </c>
      <c r="Y295" s="178" t="str">
        <f t="shared" si="78"/>
        <v/>
      </c>
      <c r="Z295" s="178" t="str">
        <f t="shared" si="79"/>
        <v/>
      </c>
      <c r="AA295" s="178" t="str">
        <f t="shared" si="80"/>
        <v/>
      </c>
      <c r="AB295" s="178" t="str">
        <f t="shared" si="81"/>
        <v/>
      </c>
      <c r="AC295" s="178" t="str">
        <f t="shared" si="82"/>
        <v/>
      </c>
      <c r="AD295" s="267" t="s">
        <v>316</v>
      </c>
      <c r="AF295" s="149" t="str">
        <f t="shared" si="76"/>
        <v/>
      </c>
      <c r="AH295" s="178" t="str">
        <f t="shared" si="69"/>
        <v/>
      </c>
      <c r="AI295" s="178" t="str">
        <f t="shared" si="70"/>
        <v/>
      </c>
      <c r="AJ295" s="178" t="str">
        <f t="shared" si="71"/>
        <v/>
      </c>
      <c r="AK295" s="178" t="str">
        <f t="shared" si="72"/>
        <v/>
      </c>
      <c r="AN295" s="149" t="str">
        <f t="shared" si="73"/>
        <v/>
      </c>
      <c r="AQ295" s="178" t="str">
        <f t="shared" ca="1" si="74"/>
        <v/>
      </c>
      <c r="AR295" s="178" t="str">
        <f t="shared" ca="1" si="75"/>
        <v/>
      </c>
    </row>
    <row r="296" spans="1:44" x14ac:dyDescent="0.2">
      <c r="A296" t="str">
        <f>IF(B296="","",CONCATENATE("GBL",B296," - ",Mantenedor!E307))</f>
        <v/>
      </c>
      <c r="P296" t="str">
        <f t="shared" si="67"/>
        <v/>
      </c>
      <c r="Q296" s="266" t="str" cm="1">
        <f t="array" ref="Q296">+_xlfn.IFS(O296="Nacional","CLP",O296="Extranjero","USD",O296="","")</f>
        <v/>
      </c>
      <c r="R296" s="262" t="str">
        <f>IFERROR(IF(O296="Nacional",VLOOKUP(P296,PRICING!$D$4:$E$59,2,FALSE),VLOOKUP(P296,PRICING!$J$4:$K$59,2,FALSE)),"")</f>
        <v/>
      </c>
      <c r="S296"/>
      <c r="V296" s="262"/>
      <c r="W296" s="280">
        <f t="shared" si="68"/>
        <v>0</v>
      </c>
      <c r="X296" s="178" t="str">
        <f t="shared" si="77"/>
        <v/>
      </c>
      <c r="Y296" s="178" t="str">
        <f t="shared" si="78"/>
        <v/>
      </c>
      <c r="Z296" s="178" t="str">
        <f t="shared" si="79"/>
        <v/>
      </c>
      <c r="AA296" s="178" t="str">
        <f t="shared" si="80"/>
        <v/>
      </c>
      <c r="AB296" s="178" t="str">
        <f t="shared" si="81"/>
        <v/>
      </c>
      <c r="AC296" s="178" t="str">
        <f t="shared" si="82"/>
        <v/>
      </c>
      <c r="AD296" s="267" t="s">
        <v>316</v>
      </c>
      <c r="AF296" s="149" t="str">
        <f t="shared" si="76"/>
        <v/>
      </c>
      <c r="AH296" s="178" t="str">
        <f t="shared" si="69"/>
        <v/>
      </c>
      <c r="AI296" s="178" t="str">
        <f t="shared" si="70"/>
        <v/>
      </c>
      <c r="AJ296" s="178" t="str">
        <f t="shared" si="71"/>
        <v/>
      </c>
      <c r="AK296" s="178" t="str">
        <f t="shared" si="72"/>
        <v/>
      </c>
      <c r="AN296" s="149" t="str">
        <f t="shared" si="73"/>
        <v/>
      </c>
      <c r="AQ296" s="178" t="str">
        <f t="shared" ca="1" si="74"/>
        <v/>
      </c>
      <c r="AR296" s="178" t="str">
        <f t="shared" ca="1" si="75"/>
        <v/>
      </c>
    </row>
    <row r="297" spans="1:44" x14ac:dyDescent="0.2">
      <c r="A297" t="str">
        <f>IF(B297="","",CONCATENATE("GBL",B297," - ",Mantenedor!E308))</f>
        <v/>
      </c>
      <c r="P297" t="str">
        <f t="shared" si="67"/>
        <v/>
      </c>
      <c r="Q297" s="266" t="str" cm="1">
        <f t="array" ref="Q297">+_xlfn.IFS(O297="Nacional","CLP",O297="Extranjero","USD",O297="","")</f>
        <v/>
      </c>
      <c r="R297" s="262" t="str">
        <f>IFERROR(IF(O297="Nacional",VLOOKUP(P297,PRICING!$D$4:$E$59,2,FALSE),VLOOKUP(P297,PRICING!$J$4:$K$59,2,FALSE)),"")</f>
        <v/>
      </c>
      <c r="S297"/>
      <c r="V297" s="262"/>
      <c r="W297" s="280">
        <f t="shared" si="68"/>
        <v>0</v>
      </c>
      <c r="X297" s="178" t="str">
        <f t="shared" si="77"/>
        <v/>
      </c>
      <c r="Y297" s="178" t="str">
        <f t="shared" si="78"/>
        <v/>
      </c>
      <c r="Z297" s="178" t="str">
        <f t="shared" si="79"/>
        <v/>
      </c>
      <c r="AA297" s="178" t="str">
        <f t="shared" si="80"/>
        <v/>
      </c>
      <c r="AB297" s="178" t="str">
        <f t="shared" si="81"/>
        <v/>
      </c>
      <c r="AC297" s="178" t="str">
        <f t="shared" si="82"/>
        <v/>
      </c>
      <c r="AD297" s="267" t="s">
        <v>316</v>
      </c>
      <c r="AF297" s="149" t="str">
        <f t="shared" si="76"/>
        <v/>
      </c>
      <c r="AH297" s="178" t="str">
        <f t="shared" si="69"/>
        <v/>
      </c>
      <c r="AI297" s="178" t="str">
        <f t="shared" si="70"/>
        <v/>
      </c>
      <c r="AJ297" s="178" t="str">
        <f t="shared" si="71"/>
        <v/>
      </c>
      <c r="AK297" s="178" t="str">
        <f t="shared" si="72"/>
        <v/>
      </c>
      <c r="AN297" s="149" t="str">
        <f t="shared" si="73"/>
        <v/>
      </c>
      <c r="AQ297" s="178" t="str">
        <f t="shared" ca="1" si="74"/>
        <v/>
      </c>
      <c r="AR297" s="178" t="str">
        <f t="shared" ca="1" si="75"/>
        <v/>
      </c>
    </row>
    <row r="298" spans="1:44" x14ac:dyDescent="0.2">
      <c r="A298" t="str">
        <f>IF(B298="","",CONCATENATE("GBL",B298," - ",Mantenedor!E309))</f>
        <v/>
      </c>
      <c r="P298" t="str">
        <f t="shared" si="67"/>
        <v/>
      </c>
      <c r="Q298" s="266" t="str" cm="1">
        <f t="array" ref="Q298">+_xlfn.IFS(O298="Nacional","CLP",O298="Extranjero","USD",O298="","")</f>
        <v/>
      </c>
      <c r="R298" s="262" t="str">
        <f>IFERROR(IF(O298="Nacional",VLOOKUP(P298,PRICING!$D$4:$E$59,2,FALSE),VLOOKUP(P298,PRICING!$J$4:$K$59,2,FALSE)),"")</f>
        <v/>
      </c>
      <c r="S298"/>
      <c r="V298" s="262"/>
      <c r="W298" s="280">
        <f t="shared" si="68"/>
        <v>0</v>
      </c>
      <c r="X298" s="178" t="str">
        <f t="shared" si="77"/>
        <v/>
      </c>
      <c r="Y298" s="178" t="str">
        <f t="shared" si="78"/>
        <v/>
      </c>
      <c r="Z298" s="178" t="str">
        <f t="shared" si="79"/>
        <v/>
      </c>
      <c r="AA298" s="178" t="str">
        <f t="shared" si="80"/>
        <v/>
      </c>
      <c r="AB298" s="178" t="str">
        <f t="shared" si="81"/>
        <v/>
      </c>
      <c r="AC298" s="178" t="str">
        <f t="shared" si="82"/>
        <v/>
      </c>
      <c r="AD298" s="267" t="s">
        <v>316</v>
      </c>
      <c r="AF298" s="149" t="str">
        <f t="shared" si="76"/>
        <v/>
      </c>
      <c r="AH298" s="178" t="str">
        <f t="shared" si="69"/>
        <v/>
      </c>
      <c r="AI298" s="178" t="str">
        <f t="shared" si="70"/>
        <v/>
      </c>
      <c r="AJ298" s="178" t="str">
        <f t="shared" si="71"/>
        <v/>
      </c>
      <c r="AK298" s="178" t="str">
        <f t="shared" si="72"/>
        <v/>
      </c>
      <c r="AN298" s="149" t="str">
        <f t="shared" si="73"/>
        <v/>
      </c>
      <c r="AQ298" s="178" t="str">
        <f t="shared" ca="1" si="74"/>
        <v/>
      </c>
      <c r="AR298" s="178" t="str">
        <f t="shared" ca="1" si="75"/>
        <v/>
      </c>
    </row>
    <row r="299" spans="1:44" x14ac:dyDescent="0.2">
      <c r="A299" t="str">
        <f>IF(B299="","",CONCATENATE("GBL",B299," - ",Mantenedor!E310))</f>
        <v/>
      </c>
      <c r="P299" t="str">
        <f t="shared" si="67"/>
        <v/>
      </c>
      <c r="Q299" s="266" t="str" cm="1">
        <f t="array" ref="Q299">+_xlfn.IFS(O299="Nacional","CLP",O299="Extranjero","USD",O299="","")</f>
        <v/>
      </c>
      <c r="R299" s="262" t="str">
        <f>IFERROR(IF(O299="Nacional",VLOOKUP(P299,PRICING!$D$4:$E$59,2,FALSE),VLOOKUP(P299,PRICING!$J$4:$K$59,2,FALSE)),"")</f>
        <v/>
      </c>
      <c r="S299"/>
      <c r="V299" s="262"/>
      <c r="W299" s="280">
        <f t="shared" si="68"/>
        <v>0</v>
      </c>
      <c r="X299" s="178" t="str">
        <f t="shared" si="77"/>
        <v/>
      </c>
      <c r="Y299" s="178" t="str">
        <f t="shared" si="78"/>
        <v/>
      </c>
      <c r="Z299" s="178" t="str">
        <f t="shared" si="79"/>
        <v/>
      </c>
      <c r="AA299" s="178" t="str">
        <f t="shared" si="80"/>
        <v/>
      </c>
      <c r="AB299" s="178" t="str">
        <f t="shared" si="81"/>
        <v/>
      </c>
      <c r="AC299" s="178" t="str">
        <f t="shared" si="82"/>
        <v/>
      </c>
      <c r="AD299" s="267" t="s">
        <v>316</v>
      </c>
      <c r="AF299" s="149" t="str">
        <f t="shared" si="76"/>
        <v/>
      </c>
      <c r="AH299" s="178" t="str">
        <f t="shared" si="69"/>
        <v/>
      </c>
      <c r="AI299" s="178" t="str">
        <f t="shared" si="70"/>
        <v/>
      </c>
      <c r="AJ299" s="178" t="str">
        <f t="shared" si="71"/>
        <v/>
      </c>
      <c r="AK299" s="178" t="str">
        <f t="shared" si="72"/>
        <v/>
      </c>
      <c r="AN299" s="149" t="str">
        <f t="shared" si="73"/>
        <v/>
      </c>
      <c r="AQ299" s="178" t="str">
        <f t="shared" ca="1" si="74"/>
        <v/>
      </c>
      <c r="AR299" s="178" t="str">
        <f t="shared" ca="1" si="75"/>
        <v/>
      </c>
    </row>
    <row r="300" spans="1:44" x14ac:dyDescent="0.2">
      <c r="A300" t="str">
        <f>IF(B300="","",CONCATENATE("GBL",B300," - ",Mantenedor!E311))</f>
        <v/>
      </c>
      <c r="P300" t="str">
        <f t="shared" si="67"/>
        <v/>
      </c>
      <c r="Q300" s="266" t="str" cm="1">
        <f t="array" ref="Q300">+_xlfn.IFS(O300="Nacional","CLP",O300="Extranjero","USD",O300="","")</f>
        <v/>
      </c>
      <c r="R300" s="262" t="str">
        <f>IFERROR(IF(O300="Nacional",VLOOKUP(P300,PRICING!$D$4:$E$59,2,FALSE),VLOOKUP(P300,PRICING!$J$4:$K$59,2,FALSE)),"")</f>
        <v/>
      </c>
      <c r="S300"/>
      <c r="V300" s="262"/>
      <c r="W300" s="280">
        <f t="shared" si="68"/>
        <v>0</v>
      </c>
      <c r="X300" s="178" t="str">
        <f t="shared" si="77"/>
        <v/>
      </c>
      <c r="Y300" s="178" t="str">
        <f t="shared" si="78"/>
        <v/>
      </c>
      <c r="Z300" s="178" t="str">
        <f t="shared" si="79"/>
        <v/>
      </c>
      <c r="AA300" s="178" t="str">
        <f t="shared" si="80"/>
        <v/>
      </c>
      <c r="AB300" s="178" t="str">
        <f t="shared" si="81"/>
        <v/>
      </c>
      <c r="AC300" s="178" t="str">
        <f t="shared" si="82"/>
        <v/>
      </c>
      <c r="AD300" s="267" t="s">
        <v>316</v>
      </c>
      <c r="AF300" s="149" t="str">
        <f t="shared" si="76"/>
        <v/>
      </c>
      <c r="AH300" s="178" t="str">
        <f t="shared" si="69"/>
        <v/>
      </c>
      <c r="AI300" s="178" t="str">
        <f t="shared" si="70"/>
        <v/>
      </c>
      <c r="AJ300" s="178" t="str">
        <f t="shared" si="71"/>
        <v/>
      </c>
      <c r="AK300" s="178" t="str">
        <f t="shared" si="72"/>
        <v/>
      </c>
      <c r="AN300" s="149" t="str">
        <f t="shared" si="73"/>
        <v/>
      </c>
      <c r="AQ300" s="178" t="str">
        <f t="shared" ca="1" si="74"/>
        <v/>
      </c>
      <c r="AR300" s="178" t="str">
        <f t="shared" ca="1" si="75"/>
        <v/>
      </c>
    </row>
    <row r="301" spans="1:44" x14ac:dyDescent="0.2">
      <c r="A301" t="str">
        <f>IF(B301="","",CONCATENATE("GBL",B301," - ",Mantenedor!E312))</f>
        <v/>
      </c>
      <c r="P301" t="str">
        <f t="shared" si="67"/>
        <v/>
      </c>
      <c r="Q301" s="266" t="str" cm="1">
        <f t="array" ref="Q301">+_xlfn.IFS(O301="Nacional","CLP",O301="Extranjero","USD",O301="","")</f>
        <v/>
      </c>
      <c r="R301" s="262" t="str">
        <f>IFERROR(IF(O301="Nacional",VLOOKUP(P301,PRICING!$D$4:$E$59,2,FALSE),VLOOKUP(P301,PRICING!$J$4:$K$59,2,FALSE)),"")</f>
        <v/>
      </c>
      <c r="S301"/>
      <c r="V301" s="262"/>
      <c r="W301" s="280">
        <f t="shared" si="68"/>
        <v>0</v>
      </c>
      <c r="X301" s="178" t="str">
        <f t="shared" si="77"/>
        <v/>
      </c>
      <c r="Y301" s="178" t="str">
        <f t="shared" si="78"/>
        <v/>
      </c>
      <c r="Z301" s="178" t="str">
        <f t="shared" si="79"/>
        <v/>
      </c>
      <c r="AA301" s="178" t="str">
        <f t="shared" si="80"/>
        <v/>
      </c>
      <c r="AB301" s="178" t="str">
        <f t="shared" si="81"/>
        <v/>
      </c>
      <c r="AC301" s="178" t="str">
        <f t="shared" si="82"/>
        <v/>
      </c>
      <c r="AD301" s="267" t="s">
        <v>316</v>
      </c>
      <c r="AF301" s="149" t="str">
        <f t="shared" si="76"/>
        <v/>
      </c>
      <c r="AH301" s="178" t="str">
        <f t="shared" si="69"/>
        <v/>
      </c>
      <c r="AI301" s="178" t="str">
        <f t="shared" si="70"/>
        <v/>
      </c>
      <c r="AJ301" s="178" t="str">
        <f t="shared" si="71"/>
        <v/>
      </c>
      <c r="AK301" s="178" t="str">
        <f t="shared" si="72"/>
        <v/>
      </c>
      <c r="AN301" s="149" t="str">
        <f t="shared" si="73"/>
        <v/>
      </c>
      <c r="AQ301" s="178" t="str">
        <f t="shared" ca="1" si="74"/>
        <v/>
      </c>
      <c r="AR301" s="178" t="str">
        <f t="shared" ca="1" si="75"/>
        <v/>
      </c>
    </row>
    <row r="302" spans="1:44" x14ac:dyDescent="0.2">
      <c r="A302" t="str">
        <f>IF(B302="","",CONCATENATE("GBL",B302," - ",Mantenedor!E313))</f>
        <v/>
      </c>
      <c r="P302" t="str">
        <f t="shared" si="67"/>
        <v/>
      </c>
      <c r="Q302" s="266" t="str" cm="1">
        <f t="array" ref="Q302">+_xlfn.IFS(O302="Nacional","CLP",O302="Extranjero","USD",O302="","")</f>
        <v/>
      </c>
      <c r="R302" s="262" t="str">
        <f>IFERROR(IF(O302="Nacional",VLOOKUP(P302,PRICING!$D$4:$E$59,2,FALSE),VLOOKUP(P302,PRICING!$J$4:$K$59,2,FALSE)),"")</f>
        <v/>
      </c>
      <c r="S302"/>
      <c r="V302" s="262"/>
      <c r="W302" s="280">
        <f t="shared" si="68"/>
        <v>0</v>
      </c>
      <c r="X302" s="178" t="str">
        <f t="shared" si="77"/>
        <v/>
      </c>
      <c r="Y302" s="178" t="str">
        <f t="shared" si="78"/>
        <v/>
      </c>
      <c r="Z302" s="178" t="str">
        <f t="shared" si="79"/>
        <v/>
      </c>
      <c r="AA302" s="178" t="str">
        <f t="shared" si="80"/>
        <v/>
      </c>
      <c r="AB302" s="178" t="str">
        <f t="shared" si="81"/>
        <v/>
      </c>
      <c r="AC302" s="178" t="str">
        <f t="shared" si="82"/>
        <v/>
      </c>
      <c r="AD302" s="267" t="s">
        <v>316</v>
      </c>
      <c r="AF302" s="149" t="str">
        <f t="shared" si="76"/>
        <v/>
      </c>
      <c r="AH302" s="178" t="str">
        <f t="shared" si="69"/>
        <v/>
      </c>
      <c r="AI302" s="178" t="str">
        <f t="shared" si="70"/>
        <v/>
      </c>
      <c r="AJ302" s="178" t="str">
        <f t="shared" si="71"/>
        <v/>
      </c>
      <c r="AK302" s="178" t="str">
        <f t="shared" si="72"/>
        <v/>
      </c>
      <c r="AN302" s="149" t="str">
        <f t="shared" si="73"/>
        <v/>
      </c>
      <c r="AQ302" s="178" t="str">
        <f t="shared" ca="1" si="74"/>
        <v/>
      </c>
      <c r="AR302" s="178" t="str">
        <f t="shared" ca="1" si="75"/>
        <v/>
      </c>
    </row>
    <row r="303" spans="1:44" x14ac:dyDescent="0.2">
      <c r="A303" t="str">
        <f>IF(B303="","",CONCATENATE("GBL",B303," - ",Mantenedor!E314))</f>
        <v/>
      </c>
      <c r="P303" t="str">
        <f t="shared" si="67"/>
        <v/>
      </c>
      <c r="Q303" s="266" t="str" cm="1">
        <f t="array" ref="Q303">+_xlfn.IFS(O303="Nacional","CLP",O303="Extranjero","USD",O303="","")</f>
        <v/>
      </c>
      <c r="R303" s="262" t="str">
        <f>IFERROR(IF(O303="Nacional",VLOOKUP(P303,PRICING!$D$4:$E$59,2,FALSE),VLOOKUP(P303,PRICING!$J$4:$K$59,2,FALSE)),"")</f>
        <v/>
      </c>
      <c r="S303"/>
      <c r="V303" s="262"/>
      <c r="W303" s="280">
        <f t="shared" si="68"/>
        <v>0</v>
      </c>
      <c r="X303" s="178" t="str">
        <f t="shared" si="77"/>
        <v/>
      </c>
      <c r="Y303" s="178" t="str">
        <f t="shared" si="78"/>
        <v/>
      </c>
      <c r="Z303" s="178" t="str">
        <f t="shared" si="79"/>
        <v/>
      </c>
      <c r="AA303" s="178" t="str">
        <f t="shared" si="80"/>
        <v/>
      </c>
      <c r="AB303" s="178" t="str">
        <f t="shared" si="81"/>
        <v/>
      </c>
      <c r="AC303" s="178" t="str">
        <f t="shared" si="82"/>
        <v/>
      </c>
      <c r="AD303" s="267" t="s">
        <v>316</v>
      </c>
      <c r="AF303" s="149" t="str">
        <f t="shared" si="76"/>
        <v/>
      </c>
      <c r="AH303" s="178" t="str">
        <f t="shared" si="69"/>
        <v/>
      </c>
      <c r="AI303" s="178" t="str">
        <f t="shared" si="70"/>
        <v/>
      </c>
      <c r="AJ303" s="178" t="str">
        <f t="shared" si="71"/>
        <v/>
      </c>
      <c r="AK303" s="178" t="str">
        <f t="shared" si="72"/>
        <v/>
      </c>
      <c r="AN303" s="149" t="str">
        <f t="shared" si="73"/>
        <v/>
      </c>
      <c r="AQ303" s="178" t="str">
        <f t="shared" ca="1" si="74"/>
        <v/>
      </c>
      <c r="AR303" s="178" t="str">
        <f t="shared" ca="1" si="75"/>
        <v/>
      </c>
    </row>
    <row r="304" spans="1:44" x14ac:dyDescent="0.2">
      <c r="A304" t="str">
        <f>IF(B304="","",CONCATENATE("GBL",B304," - ",Mantenedor!E315))</f>
        <v/>
      </c>
      <c r="P304" t="str">
        <f t="shared" si="67"/>
        <v/>
      </c>
      <c r="Q304" s="266" t="str" cm="1">
        <f t="array" ref="Q304">+_xlfn.IFS(O304="Nacional","CLP",O304="Extranjero","USD",O304="","")</f>
        <v/>
      </c>
      <c r="R304" s="262" t="str">
        <f>IFERROR(IF(O304="Nacional",VLOOKUP(P304,PRICING!$D$4:$E$59,2,FALSE),VLOOKUP(P304,PRICING!$J$4:$K$59,2,FALSE)),"")</f>
        <v/>
      </c>
      <c r="S304"/>
      <c r="V304" s="262"/>
      <c r="W304" s="280">
        <f t="shared" si="68"/>
        <v>0</v>
      </c>
      <c r="X304" s="178" t="str">
        <f t="shared" si="77"/>
        <v/>
      </c>
      <c r="Y304" s="178" t="str">
        <f t="shared" si="78"/>
        <v/>
      </c>
      <c r="Z304" s="178" t="str">
        <f t="shared" si="79"/>
        <v/>
      </c>
      <c r="AA304" s="178" t="str">
        <f t="shared" si="80"/>
        <v/>
      </c>
      <c r="AB304" s="178" t="str">
        <f t="shared" si="81"/>
        <v/>
      </c>
      <c r="AC304" s="178" t="str">
        <f t="shared" si="82"/>
        <v/>
      </c>
      <c r="AD304" s="267" t="s">
        <v>316</v>
      </c>
      <c r="AF304" s="149" t="str">
        <f t="shared" si="76"/>
        <v/>
      </c>
      <c r="AH304" s="178" t="str">
        <f t="shared" si="69"/>
        <v/>
      </c>
      <c r="AI304" s="178" t="str">
        <f t="shared" si="70"/>
        <v/>
      </c>
      <c r="AJ304" s="178" t="str">
        <f t="shared" si="71"/>
        <v/>
      </c>
      <c r="AK304" s="178" t="str">
        <f t="shared" si="72"/>
        <v/>
      </c>
      <c r="AN304" s="149" t="str">
        <f t="shared" si="73"/>
        <v/>
      </c>
      <c r="AQ304" s="178" t="str">
        <f t="shared" ca="1" si="74"/>
        <v/>
      </c>
      <c r="AR304" s="178" t="str">
        <f t="shared" ca="1" si="75"/>
        <v/>
      </c>
    </row>
    <row r="305" spans="1:44" x14ac:dyDescent="0.2">
      <c r="A305" t="str">
        <f>IF(B305="","",CONCATENATE("GBL",B305," - ",Mantenedor!E316))</f>
        <v/>
      </c>
      <c r="P305" t="str">
        <f t="shared" si="67"/>
        <v/>
      </c>
      <c r="Q305" s="266" t="str" cm="1">
        <f t="array" ref="Q305">+_xlfn.IFS(O305="Nacional","CLP",O305="Extranjero","USD",O305="","")</f>
        <v/>
      </c>
      <c r="R305" s="262" t="str">
        <f>IFERROR(IF(O305="Nacional",VLOOKUP(P305,PRICING!$D$4:$E$59,2,FALSE),VLOOKUP(P305,PRICING!$J$4:$K$59,2,FALSE)),"")</f>
        <v/>
      </c>
      <c r="S305"/>
      <c r="V305" s="262"/>
      <c r="W305" s="280">
        <f t="shared" si="68"/>
        <v>0</v>
      </c>
      <c r="X305" s="178" t="str">
        <f t="shared" si="77"/>
        <v/>
      </c>
      <c r="Y305" s="178" t="str">
        <f t="shared" si="78"/>
        <v/>
      </c>
      <c r="Z305" s="178" t="str">
        <f t="shared" si="79"/>
        <v/>
      </c>
      <c r="AA305" s="178" t="str">
        <f t="shared" si="80"/>
        <v/>
      </c>
      <c r="AB305" s="178" t="str">
        <f t="shared" si="81"/>
        <v/>
      </c>
      <c r="AC305" s="178" t="str">
        <f t="shared" si="82"/>
        <v/>
      </c>
      <c r="AD305" s="267" t="s">
        <v>316</v>
      </c>
      <c r="AF305" s="149" t="str">
        <f t="shared" si="76"/>
        <v/>
      </c>
      <c r="AH305" s="178" t="str">
        <f t="shared" si="69"/>
        <v/>
      </c>
      <c r="AI305" s="178" t="str">
        <f t="shared" si="70"/>
        <v/>
      </c>
      <c r="AJ305" s="178" t="str">
        <f t="shared" si="71"/>
        <v/>
      </c>
      <c r="AK305" s="178" t="str">
        <f t="shared" si="72"/>
        <v/>
      </c>
      <c r="AN305" s="149" t="str">
        <f t="shared" si="73"/>
        <v/>
      </c>
      <c r="AQ305" s="178" t="str">
        <f t="shared" ca="1" si="74"/>
        <v/>
      </c>
      <c r="AR305" s="178" t="str">
        <f t="shared" ca="1" si="75"/>
        <v/>
      </c>
    </row>
    <row r="306" spans="1:44" x14ac:dyDescent="0.2">
      <c r="A306" t="str">
        <f>IF(B306="","",CONCATENATE("GBL",B306," - ",Mantenedor!E317))</f>
        <v/>
      </c>
      <c r="P306" t="str">
        <f t="shared" si="67"/>
        <v/>
      </c>
      <c r="Q306" s="266" t="str" cm="1">
        <f t="array" ref="Q306">+_xlfn.IFS(O306="Nacional","CLP",O306="Extranjero","USD",O306="","")</f>
        <v/>
      </c>
      <c r="R306" s="262" t="str">
        <f>IFERROR(IF(O306="Nacional",VLOOKUP(P306,PRICING!$D$4:$E$59,2,FALSE),VLOOKUP(P306,PRICING!$J$4:$K$59,2,FALSE)),"")</f>
        <v/>
      </c>
      <c r="S306"/>
      <c r="V306" s="262"/>
      <c r="W306" s="280">
        <f t="shared" si="68"/>
        <v>0</v>
      </c>
      <c r="X306" s="178" t="str">
        <f t="shared" si="77"/>
        <v/>
      </c>
      <c r="Y306" s="178" t="str">
        <f t="shared" si="78"/>
        <v/>
      </c>
      <c r="Z306" s="178" t="str">
        <f t="shared" si="79"/>
        <v/>
      </c>
      <c r="AA306" s="178" t="str">
        <f t="shared" si="80"/>
        <v/>
      </c>
      <c r="AB306" s="178" t="str">
        <f t="shared" si="81"/>
        <v/>
      </c>
      <c r="AC306" s="178" t="str">
        <f t="shared" si="82"/>
        <v/>
      </c>
      <c r="AD306" s="267" t="s">
        <v>316</v>
      </c>
      <c r="AF306" s="149" t="str">
        <f t="shared" si="76"/>
        <v/>
      </c>
      <c r="AH306" s="178" t="str">
        <f t="shared" si="69"/>
        <v/>
      </c>
      <c r="AI306" s="178" t="str">
        <f t="shared" si="70"/>
        <v/>
      </c>
      <c r="AJ306" s="178" t="str">
        <f t="shared" si="71"/>
        <v/>
      </c>
      <c r="AK306" s="178" t="str">
        <f t="shared" si="72"/>
        <v/>
      </c>
      <c r="AN306" s="149" t="str">
        <f t="shared" si="73"/>
        <v/>
      </c>
      <c r="AQ306" s="178" t="str">
        <f t="shared" ca="1" si="74"/>
        <v/>
      </c>
      <c r="AR306" s="178" t="str">
        <f t="shared" ca="1" si="75"/>
        <v/>
      </c>
    </row>
    <row r="307" spans="1:44" x14ac:dyDescent="0.2">
      <c r="A307" t="str">
        <f>IF(B307="","",CONCATENATE("GBL",B307," - ",Mantenedor!E318))</f>
        <v/>
      </c>
      <c r="P307" t="str">
        <f t="shared" si="67"/>
        <v/>
      </c>
      <c r="Q307" s="266" t="str" cm="1">
        <f t="array" ref="Q307">+_xlfn.IFS(O307="Nacional","CLP",O307="Extranjero","USD",O307="","")</f>
        <v/>
      </c>
      <c r="R307" s="262" t="str">
        <f>IFERROR(IF(O307="Nacional",VLOOKUP(P307,PRICING!$D$4:$E$59,2,FALSE),VLOOKUP(P307,PRICING!$J$4:$K$59,2,FALSE)),"")</f>
        <v/>
      </c>
      <c r="S307"/>
      <c r="V307" s="262"/>
      <c r="W307" s="280">
        <f t="shared" si="68"/>
        <v>0</v>
      </c>
      <c r="X307" s="178" t="str">
        <f t="shared" si="77"/>
        <v/>
      </c>
      <c r="Y307" s="178" t="str">
        <f t="shared" si="78"/>
        <v/>
      </c>
      <c r="Z307" s="178" t="str">
        <f t="shared" si="79"/>
        <v/>
      </c>
      <c r="AA307" s="178" t="str">
        <f t="shared" si="80"/>
        <v/>
      </c>
      <c r="AB307" s="178" t="str">
        <f t="shared" si="81"/>
        <v/>
      </c>
      <c r="AC307" s="178" t="str">
        <f t="shared" si="82"/>
        <v/>
      </c>
      <c r="AD307" s="267" t="s">
        <v>316</v>
      </c>
      <c r="AF307" s="149" t="str">
        <f t="shared" si="76"/>
        <v/>
      </c>
      <c r="AH307" s="178" t="str">
        <f t="shared" si="69"/>
        <v/>
      </c>
      <c r="AI307" s="178" t="str">
        <f t="shared" si="70"/>
        <v/>
      </c>
      <c r="AJ307" s="178" t="str">
        <f t="shared" si="71"/>
        <v/>
      </c>
      <c r="AK307" s="178" t="str">
        <f t="shared" si="72"/>
        <v/>
      </c>
      <c r="AN307" s="149" t="str">
        <f t="shared" si="73"/>
        <v/>
      </c>
      <c r="AQ307" s="178" t="str">
        <f t="shared" ca="1" si="74"/>
        <v/>
      </c>
      <c r="AR307" s="178" t="str">
        <f t="shared" ca="1" si="75"/>
        <v/>
      </c>
    </row>
    <row r="308" spans="1:44" x14ac:dyDescent="0.2">
      <c r="A308" t="str">
        <f>IF(B308="","",CONCATENATE("GBL",B308," - ",Mantenedor!E319))</f>
        <v/>
      </c>
      <c r="P308" t="str">
        <f t="shared" si="67"/>
        <v/>
      </c>
      <c r="Q308" s="266" t="str" cm="1">
        <f t="array" ref="Q308">+_xlfn.IFS(O308="Nacional","CLP",O308="Extranjero","USD",O308="","")</f>
        <v/>
      </c>
      <c r="R308" s="262" t="str">
        <f>IFERROR(IF(O308="Nacional",VLOOKUP(P308,PRICING!$D$4:$E$59,2,FALSE),VLOOKUP(P308,PRICING!$J$4:$K$59,2,FALSE)),"")</f>
        <v/>
      </c>
      <c r="S308"/>
      <c r="V308" s="262"/>
      <c r="W308" s="280">
        <f t="shared" si="68"/>
        <v>0</v>
      </c>
      <c r="X308" s="178" t="str">
        <f t="shared" si="77"/>
        <v/>
      </c>
      <c r="Y308" s="178" t="str">
        <f t="shared" si="78"/>
        <v/>
      </c>
      <c r="Z308" s="178" t="str">
        <f t="shared" si="79"/>
        <v/>
      </c>
      <c r="AA308" s="178" t="str">
        <f t="shared" si="80"/>
        <v/>
      </c>
      <c r="AB308" s="178" t="str">
        <f t="shared" si="81"/>
        <v/>
      </c>
      <c r="AC308" s="178" t="str">
        <f t="shared" si="82"/>
        <v/>
      </c>
      <c r="AD308" s="267" t="s">
        <v>316</v>
      </c>
      <c r="AF308" s="149" t="str">
        <f t="shared" si="76"/>
        <v/>
      </c>
      <c r="AH308" s="178" t="str">
        <f t="shared" si="69"/>
        <v/>
      </c>
      <c r="AI308" s="178" t="str">
        <f t="shared" si="70"/>
        <v/>
      </c>
      <c r="AJ308" s="178" t="str">
        <f t="shared" si="71"/>
        <v/>
      </c>
      <c r="AK308" s="178" t="str">
        <f t="shared" si="72"/>
        <v/>
      </c>
      <c r="AN308" s="149" t="str">
        <f t="shared" si="73"/>
        <v/>
      </c>
      <c r="AQ308" s="178" t="str">
        <f t="shared" ca="1" si="74"/>
        <v/>
      </c>
      <c r="AR308" s="178" t="str">
        <f t="shared" ca="1" si="75"/>
        <v/>
      </c>
    </row>
    <row r="309" spans="1:44" x14ac:dyDescent="0.2">
      <c r="A309" t="str">
        <f>IF(B309="","",CONCATENATE("GBL",B309," - ",Mantenedor!E320))</f>
        <v/>
      </c>
      <c r="P309" t="str">
        <f t="shared" si="67"/>
        <v/>
      </c>
      <c r="Q309" s="266" t="str" cm="1">
        <f t="array" ref="Q309">+_xlfn.IFS(O309="Nacional","CLP",O309="Extranjero","USD",O309="","")</f>
        <v/>
      </c>
      <c r="R309" s="262" t="str">
        <f>IFERROR(IF(O309="Nacional",VLOOKUP(P309,PRICING!$D$4:$E$59,2,FALSE),VLOOKUP(P309,PRICING!$J$4:$K$59,2,FALSE)),"")</f>
        <v/>
      </c>
      <c r="S309"/>
      <c r="V309" s="262"/>
      <c r="W309" s="280">
        <f t="shared" si="68"/>
        <v>0</v>
      </c>
      <c r="X309" s="178" t="str">
        <f t="shared" si="77"/>
        <v/>
      </c>
      <c r="Y309" s="178" t="str">
        <f t="shared" si="78"/>
        <v/>
      </c>
      <c r="Z309" s="178" t="str">
        <f t="shared" si="79"/>
        <v/>
      </c>
      <c r="AA309" s="178" t="str">
        <f t="shared" si="80"/>
        <v/>
      </c>
      <c r="AB309" s="178" t="str">
        <f t="shared" si="81"/>
        <v/>
      </c>
      <c r="AC309" s="178" t="str">
        <f t="shared" si="82"/>
        <v/>
      </c>
      <c r="AD309" s="267" t="s">
        <v>316</v>
      </c>
      <c r="AF309" s="149" t="str">
        <f t="shared" si="76"/>
        <v/>
      </c>
      <c r="AH309" s="178" t="str">
        <f t="shared" si="69"/>
        <v/>
      </c>
      <c r="AI309" s="178" t="str">
        <f t="shared" si="70"/>
        <v/>
      </c>
      <c r="AJ309" s="178" t="str">
        <f t="shared" si="71"/>
        <v/>
      </c>
      <c r="AK309" s="178" t="str">
        <f t="shared" si="72"/>
        <v/>
      </c>
      <c r="AN309" s="149" t="str">
        <f t="shared" si="73"/>
        <v/>
      </c>
      <c r="AQ309" s="178" t="str">
        <f t="shared" ca="1" si="74"/>
        <v/>
      </c>
      <c r="AR309" s="178" t="str">
        <f t="shared" ca="1" si="75"/>
        <v/>
      </c>
    </row>
    <row r="310" spans="1:44" x14ac:dyDescent="0.2">
      <c r="A310" t="str">
        <f>IF(B310="","",CONCATENATE("GBL",B310," - ",Mantenedor!E321))</f>
        <v/>
      </c>
      <c r="P310" t="str">
        <f t="shared" si="67"/>
        <v/>
      </c>
      <c r="Q310" s="266" t="str" cm="1">
        <f t="array" ref="Q310">+_xlfn.IFS(O310="Nacional","CLP",O310="Extranjero","USD",O310="","")</f>
        <v/>
      </c>
      <c r="R310" s="262" t="str">
        <f>IFERROR(IF(O310="Nacional",VLOOKUP(P310,PRICING!$D$4:$E$59,2,FALSE),VLOOKUP(P310,PRICING!$J$4:$K$59,2,FALSE)),"")</f>
        <v/>
      </c>
      <c r="S310"/>
      <c r="V310" s="262"/>
      <c r="W310" s="280">
        <f t="shared" si="68"/>
        <v>0</v>
      </c>
      <c r="X310" s="178" t="str">
        <f t="shared" si="77"/>
        <v/>
      </c>
      <c r="Y310" s="178" t="str">
        <f t="shared" si="78"/>
        <v/>
      </c>
      <c r="Z310" s="178" t="str">
        <f t="shared" si="79"/>
        <v/>
      </c>
      <c r="AA310" s="178" t="str">
        <f t="shared" si="80"/>
        <v/>
      </c>
      <c r="AB310" s="178" t="str">
        <f t="shared" si="81"/>
        <v/>
      </c>
      <c r="AC310" s="178" t="str">
        <f t="shared" si="82"/>
        <v/>
      </c>
      <c r="AD310" s="267" t="s">
        <v>316</v>
      </c>
      <c r="AF310" s="149" t="str">
        <f t="shared" si="76"/>
        <v/>
      </c>
      <c r="AH310" s="178" t="str">
        <f t="shared" si="69"/>
        <v/>
      </c>
      <c r="AI310" s="178" t="str">
        <f t="shared" si="70"/>
        <v/>
      </c>
      <c r="AJ310" s="178" t="str">
        <f t="shared" si="71"/>
        <v/>
      </c>
      <c r="AK310" s="178" t="str">
        <f t="shared" si="72"/>
        <v/>
      </c>
      <c r="AN310" s="149" t="str">
        <f t="shared" si="73"/>
        <v/>
      </c>
      <c r="AQ310" s="178" t="str">
        <f t="shared" ca="1" si="74"/>
        <v/>
      </c>
      <c r="AR310" s="178" t="str">
        <f t="shared" ca="1" si="75"/>
        <v/>
      </c>
    </row>
    <row r="311" spans="1:44" x14ac:dyDescent="0.2">
      <c r="A311" t="str">
        <f>IF(B311="","",CONCATENATE("GBL",B311," - ",Mantenedor!E322))</f>
        <v/>
      </c>
      <c r="P311" t="str">
        <f t="shared" si="67"/>
        <v/>
      </c>
      <c r="Q311" s="266" t="str" cm="1">
        <f t="array" ref="Q311">+_xlfn.IFS(O311="Nacional","CLP",O311="Extranjero","USD",O311="","")</f>
        <v/>
      </c>
      <c r="R311" s="262" t="str">
        <f>IFERROR(IF(O311="Nacional",VLOOKUP(P311,PRICING!$D$4:$E$59,2,FALSE),VLOOKUP(P311,PRICING!$J$4:$K$59,2,FALSE)),"")</f>
        <v/>
      </c>
      <c r="S311"/>
      <c r="V311" s="262"/>
      <c r="W311" s="280">
        <f t="shared" si="68"/>
        <v>0</v>
      </c>
      <c r="X311" s="178" t="str">
        <f t="shared" si="77"/>
        <v/>
      </c>
      <c r="Y311" s="178" t="str">
        <f t="shared" si="78"/>
        <v/>
      </c>
      <c r="Z311" s="178" t="str">
        <f t="shared" si="79"/>
        <v/>
      </c>
      <c r="AA311" s="178" t="str">
        <f t="shared" si="80"/>
        <v/>
      </c>
      <c r="AB311" s="178" t="str">
        <f t="shared" si="81"/>
        <v/>
      </c>
      <c r="AC311" s="178" t="str">
        <f t="shared" si="82"/>
        <v/>
      </c>
      <c r="AD311" s="267" t="s">
        <v>316</v>
      </c>
      <c r="AF311" s="149" t="str">
        <f t="shared" si="76"/>
        <v/>
      </c>
      <c r="AH311" s="178" t="str">
        <f t="shared" si="69"/>
        <v/>
      </c>
      <c r="AI311" s="178" t="str">
        <f t="shared" si="70"/>
        <v/>
      </c>
      <c r="AJ311" s="178" t="str">
        <f t="shared" si="71"/>
        <v/>
      </c>
      <c r="AK311" s="178" t="str">
        <f t="shared" si="72"/>
        <v/>
      </c>
      <c r="AN311" s="149" t="str">
        <f t="shared" si="73"/>
        <v/>
      </c>
      <c r="AQ311" s="178" t="str">
        <f t="shared" ca="1" si="74"/>
        <v/>
      </c>
      <c r="AR311" s="178" t="str">
        <f t="shared" ca="1" si="75"/>
        <v/>
      </c>
    </row>
    <row r="312" spans="1:44" x14ac:dyDescent="0.2">
      <c r="A312" t="str">
        <f>IF(B312="","",CONCATENATE("GBL",B312," - ",Mantenedor!E323))</f>
        <v/>
      </c>
      <c r="P312" t="str">
        <f t="shared" ref="P312:P375" si="83">IF(N312="","",(IF(L312=1,(CONCATENATE("Base ",N312," ",L312," noche")),(CONCATENATE("Base ",N312," ",L312," noches")))))</f>
        <v/>
      </c>
      <c r="Q312" s="266" t="str" cm="1">
        <f t="array" ref="Q312">+_xlfn.IFS(O312="Nacional","CLP",O312="Extranjero","USD",O312="","")</f>
        <v/>
      </c>
      <c r="R312" s="262" t="str">
        <f>IFERROR(IF(O312="Nacional",VLOOKUP(P312,PRICING!$D$4:$E$59,2,FALSE),VLOOKUP(P312,PRICING!$J$4:$K$59,2,FALSE)),"")</f>
        <v/>
      </c>
      <c r="S312"/>
      <c r="V312" s="262"/>
      <c r="W312" s="280">
        <f t="shared" ref="W312:W375" si="84">IFERROR(+V312*(1-T312),"")</f>
        <v>0</v>
      </c>
      <c r="X312" s="178" t="str">
        <f t="shared" si="77"/>
        <v/>
      </c>
      <c r="Y312" s="178" t="str">
        <f t="shared" si="78"/>
        <v/>
      </c>
      <c r="Z312" s="178" t="str">
        <f t="shared" si="79"/>
        <v/>
      </c>
      <c r="AA312" s="178" t="str">
        <f t="shared" si="80"/>
        <v/>
      </c>
      <c r="AB312" s="178" t="str">
        <f t="shared" si="81"/>
        <v/>
      </c>
      <c r="AC312" s="178" t="str">
        <f t="shared" si="82"/>
        <v/>
      </c>
      <c r="AD312" s="267" t="s">
        <v>316</v>
      </c>
      <c r="AF312" s="149" t="str">
        <f t="shared" si="76"/>
        <v/>
      </c>
      <c r="AH312" s="178" t="str">
        <f t="shared" ref="AH312:AH375" si="85">+IF($M312="","",$M312-45)</f>
        <v/>
      </c>
      <c r="AI312" s="178" t="str">
        <f t="shared" ref="AI312:AI375" si="86">+IF($M312="","",$M312-30)</f>
        <v/>
      </c>
      <c r="AJ312" s="178" t="str">
        <f t="shared" ref="AJ312:AJ375" si="87">+IF($M312="","",$M312-15)</f>
        <v/>
      </c>
      <c r="AK312" s="178" t="str">
        <f t="shared" ref="AK312:AK375" si="88">+IF($M312="","",$M312-7)</f>
        <v/>
      </c>
      <c r="AN312" s="149" t="str">
        <f t="shared" ref="AN312:AN375" si="89">+IF(AM312="","",W312*0.5)</f>
        <v/>
      </c>
      <c r="AQ312" s="178" t="str">
        <f t="shared" ref="AQ312:AQ375" ca="1" si="90">IF(A311="","",+TODAY())</f>
        <v/>
      </c>
      <c r="AR312" s="178" t="str">
        <f t="shared" ref="AR312:AR375" ca="1" si="91">IF(A311="","",+TODAY())</f>
        <v/>
      </c>
    </row>
    <row r="313" spans="1:44" x14ac:dyDescent="0.2">
      <c r="A313" t="str">
        <f>IF(B313="","",CONCATENATE("GBL",B313," - ",Mantenedor!E324))</f>
        <v/>
      </c>
      <c r="P313" t="str">
        <f t="shared" si="83"/>
        <v/>
      </c>
      <c r="Q313" s="266" t="str" cm="1">
        <f t="array" ref="Q313">+_xlfn.IFS(O313="Nacional","CLP",O313="Extranjero","USD",O313="","")</f>
        <v/>
      </c>
      <c r="R313" s="262" t="str">
        <f>IFERROR(IF(O313="Nacional",VLOOKUP(P313,PRICING!$D$4:$E$59,2,FALSE),VLOOKUP(P313,PRICING!$J$4:$K$59,2,FALSE)),"")</f>
        <v/>
      </c>
      <c r="S313"/>
      <c r="V313" s="262"/>
      <c r="W313" s="280">
        <f t="shared" si="84"/>
        <v>0</v>
      </c>
      <c r="X313" s="178" t="str">
        <f t="shared" si="77"/>
        <v/>
      </c>
      <c r="Y313" s="178" t="str">
        <f t="shared" si="78"/>
        <v/>
      </c>
      <c r="Z313" s="178" t="str">
        <f t="shared" si="79"/>
        <v/>
      </c>
      <c r="AA313" s="178" t="str">
        <f t="shared" si="80"/>
        <v/>
      </c>
      <c r="AB313" s="178" t="str">
        <f t="shared" si="81"/>
        <v/>
      </c>
      <c r="AC313" s="178" t="str">
        <f t="shared" si="82"/>
        <v/>
      </c>
      <c r="AD313" s="267" t="s">
        <v>316</v>
      </c>
      <c r="AF313" s="149" t="str">
        <f t="shared" ref="AF313:AF376" si="92">+IF(AE313="","",W313*0.5)</f>
        <v/>
      </c>
      <c r="AH313" s="178" t="str">
        <f t="shared" si="85"/>
        <v/>
      </c>
      <c r="AI313" s="178" t="str">
        <f t="shared" si="86"/>
        <v/>
      </c>
      <c r="AJ313" s="178" t="str">
        <f t="shared" si="87"/>
        <v/>
      </c>
      <c r="AK313" s="178" t="str">
        <f t="shared" si="88"/>
        <v/>
      </c>
      <c r="AN313" s="149" t="str">
        <f t="shared" si="89"/>
        <v/>
      </c>
      <c r="AQ313" s="178" t="str">
        <f t="shared" ca="1" si="90"/>
        <v/>
      </c>
      <c r="AR313" s="178" t="str">
        <f t="shared" ca="1" si="91"/>
        <v/>
      </c>
    </row>
    <row r="314" spans="1:44" x14ac:dyDescent="0.2">
      <c r="A314" t="str">
        <f>IF(B314="","",CONCATENATE("GBL",B314," - ",Mantenedor!E325))</f>
        <v/>
      </c>
      <c r="P314" t="str">
        <f t="shared" si="83"/>
        <v/>
      </c>
      <c r="Q314" s="266" t="str" cm="1">
        <f t="array" ref="Q314">+_xlfn.IFS(O314="Nacional","CLP",O314="Extranjero","USD",O314="","")</f>
        <v/>
      </c>
      <c r="R314" s="262" t="str">
        <f>IFERROR(IF(O314="Nacional",VLOOKUP(P314,PRICING!$D$4:$E$59,2,FALSE),VLOOKUP(P314,PRICING!$J$4:$K$59,2,FALSE)),"")</f>
        <v/>
      </c>
      <c r="S314"/>
      <c r="V314" s="262"/>
      <c r="W314" s="280">
        <f t="shared" si="84"/>
        <v>0</v>
      </c>
      <c r="X314" s="178" t="str">
        <f t="shared" si="77"/>
        <v/>
      </c>
      <c r="Y314" s="178" t="str">
        <f t="shared" si="78"/>
        <v/>
      </c>
      <c r="Z314" s="178" t="str">
        <f t="shared" si="79"/>
        <v/>
      </c>
      <c r="AA314" s="178" t="str">
        <f t="shared" si="80"/>
        <v/>
      </c>
      <c r="AB314" s="178" t="str">
        <f t="shared" si="81"/>
        <v/>
      </c>
      <c r="AC314" s="178" t="str">
        <f t="shared" si="82"/>
        <v/>
      </c>
      <c r="AD314" s="267" t="s">
        <v>316</v>
      </c>
      <c r="AF314" s="149" t="str">
        <f t="shared" si="92"/>
        <v/>
      </c>
      <c r="AH314" s="178" t="str">
        <f t="shared" si="85"/>
        <v/>
      </c>
      <c r="AI314" s="178" t="str">
        <f t="shared" si="86"/>
        <v/>
      </c>
      <c r="AJ314" s="178" t="str">
        <f t="shared" si="87"/>
        <v/>
      </c>
      <c r="AK314" s="178" t="str">
        <f t="shared" si="88"/>
        <v/>
      </c>
      <c r="AN314" s="149" t="str">
        <f t="shared" si="89"/>
        <v/>
      </c>
      <c r="AQ314" s="178" t="str">
        <f t="shared" ca="1" si="90"/>
        <v/>
      </c>
      <c r="AR314" s="178" t="str">
        <f t="shared" ca="1" si="91"/>
        <v/>
      </c>
    </row>
    <row r="315" spans="1:44" x14ac:dyDescent="0.2">
      <c r="A315" t="str">
        <f>IF(B315="","",CONCATENATE("GBL",B315," - ",Mantenedor!E326))</f>
        <v/>
      </c>
      <c r="P315" t="str">
        <f t="shared" si="83"/>
        <v/>
      </c>
      <c r="Q315" s="266" t="str" cm="1">
        <f t="array" ref="Q315">+_xlfn.IFS(O315="Nacional","CLP",O315="Extranjero","USD",O315="","")</f>
        <v/>
      </c>
      <c r="R315" s="262" t="str">
        <f>IFERROR(IF(O315="Nacional",VLOOKUP(P315,PRICING!$D$4:$E$59,2,FALSE),VLOOKUP(P315,PRICING!$J$4:$K$59,2,FALSE)),"")</f>
        <v/>
      </c>
      <c r="S315"/>
      <c r="V315" s="262"/>
      <c r="W315" s="280">
        <f t="shared" si="84"/>
        <v>0</v>
      </c>
      <c r="X315" s="178" t="str">
        <f t="shared" si="77"/>
        <v/>
      </c>
      <c r="Y315" s="178" t="str">
        <f t="shared" si="78"/>
        <v/>
      </c>
      <c r="Z315" s="178" t="str">
        <f t="shared" si="79"/>
        <v/>
      </c>
      <c r="AA315" s="178" t="str">
        <f t="shared" si="80"/>
        <v/>
      </c>
      <c r="AB315" s="178" t="str">
        <f t="shared" si="81"/>
        <v/>
      </c>
      <c r="AC315" s="178" t="str">
        <f t="shared" si="82"/>
        <v/>
      </c>
      <c r="AD315" s="267" t="s">
        <v>316</v>
      </c>
      <c r="AF315" s="149" t="str">
        <f t="shared" si="92"/>
        <v/>
      </c>
      <c r="AH315" s="178" t="str">
        <f t="shared" si="85"/>
        <v/>
      </c>
      <c r="AI315" s="178" t="str">
        <f t="shared" si="86"/>
        <v/>
      </c>
      <c r="AJ315" s="178" t="str">
        <f t="shared" si="87"/>
        <v/>
      </c>
      <c r="AK315" s="178" t="str">
        <f t="shared" si="88"/>
        <v/>
      </c>
      <c r="AN315" s="149" t="str">
        <f t="shared" si="89"/>
        <v/>
      </c>
      <c r="AQ315" s="178" t="str">
        <f t="shared" ca="1" si="90"/>
        <v/>
      </c>
      <c r="AR315" s="178" t="str">
        <f t="shared" ca="1" si="91"/>
        <v/>
      </c>
    </row>
    <row r="316" spans="1:44" x14ac:dyDescent="0.2">
      <c r="A316" t="str">
        <f>IF(B316="","",CONCATENATE("GBL",B316," - ",Mantenedor!E327))</f>
        <v/>
      </c>
      <c r="P316" t="str">
        <f t="shared" si="83"/>
        <v/>
      </c>
      <c r="Q316" s="266" t="str" cm="1">
        <f t="array" ref="Q316">+_xlfn.IFS(O316="Nacional","CLP",O316="Extranjero","USD",O316="","")</f>
        <v/>
      </c>
      <c r="R316" s="262" t="str">
        <f>IFERROR(IF(O316="Nacional",VLOOKUP(P316,PRICING!$D$4:$E$59,2,FALSE),VLOOKUP(P316,PRICING!$J$4:$K$59,2,FALSE)),"")</f>
        <v/>
      </c>
      <c r="S316"/>
      <c r="V316" s="262"/>
      <c r="W316" s="280">
        <f t="shared" si="84"/>
        <v>0</v>
      </c>
      <c r="X316" s="178" t="str">
        <f t="shared" si="77"/>
        <v/>
      </c>
      <c r="Y316" s="178" t="str">
        <f t="shared" si="78"/>
        <v/>
      </c>
      <c r="Z316" s="178" t="str">
        <f t="shared" si="79"/>
        <v/>
      </c>
      <c r="AA316" s="178" t="str">
        <f t="shared" si="80"/>
        <v/>
      </c>
      <c r="AB316" s="178" t="str">
        <f t="shared" si="81"/>
        <v/>
      </c>
      <c r="AC316" s="178" t="str">
        <f t="shared" si="82"/>
        <v/>
      </c>
      <c r="AD316" s="267" t="s">
        <v>316</v>
      </c>
      <c r="AF316" s="149" t="str">
        <f t="shared" si="92"/>
        <v/>
      </c>
      <c r="AH316" s="178" t="str">
        <f t="shared" si="85"/>
        <v/>
      </c>
      <c r="AI316" s="178" t="str">
        <f t="shared" si="86"/>
        <v/>
      </c>
      <c r="AJ316" s="178" t="str">
        <f t="shared" si="87"/>
        <v/>
      </c>
      <c r="AK316" s="178" t="str">
        <f t="shared" si="88"/>
        <v/>
      </c>
      <c r="AN316" s="149" t="str">
        <f t="shared" si="89"/>
        <v/>
      </c>
      <c r="AQ316" s="178" t="str">
        <f t="shared" ca="1" si="90"/>
        <v/>
      </c>
      <c r="AR316" s="178" t="str">
        <f t="shared" ca="1" si="91"/>
        <v/>
      </c>
    </row>
    <row r="317" spans="1:44" x14ac:dyDescent="0.2">
      <c r="A317" t="str">
        <f>IF(B317="","",CONCATENATE("GBL",B317," - ",Mantenedor!E328))</f>
        <v/>
      </c>
      <c r="P317" t="str">
        <f t="shared" si="83"/>
        <v/>
      </c>
      <c r="Q317" s="266" t="str" cm="1">
        <f t="array" ref="Q317">+_xlfn.IFS(O317="Nacional","CLP",O317="Extranjero","USD",O317="","")</f>
        <v/>
      </c>
      <c r="R317" s="262" t="str">
        <f>IFERROR(IF(O317="Nacional",VLOOKUP(P317,PRICING!$D$4:$E$59,2,FALSE),VLOOKUP(P317,PRICING!$J$4:$K$59,2,FALSE)),"")</f>
        <v/>
      </c>
      <c r="S317"/>
      <c r="V317" s="262"/>
      <c r="W317" s="280">
        <f t="shared" si="84"/>
        <v>0</v>
      </c>
      <c r="X317" s="178" t="str">
        <f t="shared" si="77"/>
        <v/>
      </c>
      <c r="Y317" s="178" t="str">
        <f t="shared" si="78"/>
        <v/>
      </c>
      <c r="Z317" s="178" t="str">
        <f t="shared" si="79"/>
        <v/>
      </c>
      <c r="AA317" s="178" t="str">
        <f t="shared" si="80"/>
        <v/>
      </c>
      <c r="AB317" s="178" t="str">
        <f t="shared" si="81"/>
        <v/>
      </c>
      <c r="AC317" s="178" t="str">
        <f t="shared" si="82"/>
        <v/>
      </c>
      <c r="AD317" s="267" t="s">
        <v>316</v>
      </c>
      <c r="AF317" s="149" t="str">
        <f t="shared" si="92"/>
        <v/>
      </c>
      <c r="AH317" s="178" t="str">
        <f t="shared" si="85"/>
        <v/>
      </c>
      <c r="AI317" s="178" t="str">
        <f t="shared" si="86"/>
        <v/>
      </c>
      <c r="AJ317" s="178" t="str">
        <f t="shared" si="87"/>
        <v/>
      </c>
      <c r="AK317" s="178" t="str">
        <f t="shared" si="88"/>
        <v/>
      </c>
      <c r="AN317" s="149" t="str">
        <f t="shared" si="89"/>
        <v/>
      </c>
      <c r="AQ317" s="178" t="str">
        <f t="shared" ca="1" si="90"/>
        <v/>
      </c>
      <c r="AR317" s="178" t="str">
        <f t="shared" ca="1" si="91"/>
        <v/>
      </c>
    </row>
    <row r="318" spans="1:44" x14ac:dyDescent="0.2">
      <c r="A318" t="str">
        <f>IF(B318="","",CONCATENATE("GBL",B318," - ",Mantenedor!E329))</f>
        <v/>
      </c>
      <c r="P318" t="str">
        <f t="shared" si="83"/>
        <v/>
      </c>
      <c r="Q318" s="266" t="str" cm="1">
        <f t="array" ref="Q318">+_xlfn.IFS(O318="Nacional","CLP",O318="Extranjero","USD",O318="","")</f>
        <v/>
      </c>
      <c r="R318" s="262" t="str">
        <f>IFERROR(IF(O318="Nacional",VLOOKUP(P318,PRICING!$D$4:$E$59,2,FALSE),VLOOKUP(P318,PRICING!$J$4:$K$59,2,FALSE)),"")</f>
        <v/>
      </c>
      <c r="S318"/>
      <c r="V318" s="262"/>
      <c r="W318" s="280">
        <f t="shared" si="84"/>
        <v>0</v>
      </c>
      <c r="X318" s="178" t="str">
        <f t="shared" si="77"/>
        <v/>
      </c>
      <c r="Y318" s="178" t="str">
        <f t="shared" si="78"/>
        <v/>
      </c>
      <c r="Z318" s="178" t="str">
        <f t="shared" si="79"/>
        <v/>
      </c>
      <c r="AA318" s="178" t="str">
        <f t="shared" si="80"/>
        <v/>
      </c>
      <c r="AB318" s="178" t="str">
        <f t="shared" si="81"/>
        <v/>
      </c>
      <c r="AC318" s="178" t="str">
        <f t="shared" si="82"/>
        <v/>
      </c>
      <c r="AD318" s="267" t="s">
        <v>316</v>
      </c>
      <c r="AF318" s="149" t="str">
        <f t="shared" si="92"/>
        <v/>
      </c>
      <c r="AH318" s="178" t="str">
        <f t="shared" si="85"/>
        <v/>
      </c>
      <c r="AI318" s="178" t="str">
        <f t="shared" si="86"/>
        <v/>
      </c>
      <c r="AJ318" s="178" t="str">
        <f t="shared" si="87"/>
        <v/>
      </c>
      <c r="AK318" s="178" t="str">
        <f t="shared" si="88"/>
        <v/>
      </c>
      <c r="AN318" s="149" t="str">
        <f t="shared" si="89"/>
        <v/>
      </c>
      <c r="AQ318" s="178" t="str">
        <f t="shared" ca="1" si="90"/>
        <v/>
      </c>
      <c r="AR318" s="178" t="str">
        <f t="shared" ca="1" si="91"/>
        <v/>
      </c>
    </row>
    <row r="319" spans="1:44" x14ac:dyDescent="0.2">
      <c r="A319" t="str">
        <f>IF(B319="","",CONCATENATE("GBL",B319," - ",Mantenedor!E330))</f>
        <v/>
      </c>
      <c r="P319" t="str">
        <f t="shared" si="83"/>
        <v/>
      </c>
      <c r="Q319" s="266" t="str" cm="1">
        <f t="array" ref="Q319">+_xlfn.IFS(O319="Nacional","CLP",O319="Extranjero","USD",O319="","")</f>
        <v/>
      </c>
      <c r="R319" s="262" t="str">
        <f>IFERROR(IF(O319="Nacional",VLOOKUP(P319,PRICING!$D$4:$E$59,2,FALSE),VLOOKUP(P319,PRICING!$J$4:$K$59,2,FALSE)),"")</f>
        <v/>
      </c>
      <c r="S319"/>
      <c r="V319" s="262"/>
      <c r="W319" s="280">
        <f t="shared" si="84"/>
        <v>0</v>
      </c>
      <c r="X319" s="178" t="str">
        <f t="shared" si="77"/>
        <v/>
      </c>
      <c r="Y319" s="178" t="str">
        <f t="shared" si="78"/>
        <v/>
      </c>
      <c r="Z319" s="178" t="str">
        <f t="shared" si="79"/>
        <v/>
      </c>
      <c r="AA319" s="178" t="str">
        <f t="shared" si="80"/>
        <v/>
      </c>
      <c r="AB319" s="178" t="str">
        <f t="shared" si="81"/>
        <v/>
      </c>
      <c r="AC319" s="178" t="str">
        <f t="shared" si="82"/>
        <v/>
      </c>
      <c r="AD319" s="267" t="s">
        <v>316</v>
      </c>
      <c r="AF319" s="149" t="str">
        <f t="shared" si="92"/>
        <v/>
      </c>
      <c r="AH319" s="178" t="str">
        <f t="shared" si="85"/>
        <v/>
      </c>
      <c r="AI319" s="178" t="str">
        <f t="shared" si="86"/>
        <v/>
      </c>
      <c r="AJ319" s="178" t="str">
        <f t="shared" si="87"/>
        <v/>
      </c>
      <c r="AK319" s="178" t="str">
        <f t="shared" si="88"/>
        <v/>
      </c>
      <c r="AN319" s="149" t="str">
        <f t="shared" si="89"/>
        <v/>
      </c>
      <c r="AQ319" s="178" t="str">
        <f t="shared" ca="1" si="90"/>
        <v/>
      </c>
      <c r="AR319" s="178" t="str">
        <f t="shared" ca="1" si="91"/>
        <v/>
      </c>
    </row>
    <row r="320" spans="1:44" x14ac:dyDescent="0.2">
      <c r="A320" t="str">
        <f>IF(B320="","",CONCATENATE("GBL",B320," - ",Mantenedor!E331))</f>
        <v/>
      </c>
      <c r="P320" t="str">
        <f t="shared" si="83"/>
        <v/>
      </c>
      <c r="Q320" s="266" t="str" cm="1">
        <f t="array" ref="Q320">+_xlfn.IFS(O320="Nacional","CLP",O320="Extranjero","USD",O320="","")</f>
        <v/>
      </c>
      <c r="R320" s="262" t="str">
        <f>IFERROR(IF(O320="Nacional",VLOOKUP(P320,PRICING!$D$4:$E$59,2,FALSE),VLOOKUP(P320,PRICING!$J$4:$K$59,2,FALSE)),"")</f>
        <v/>
      </c>
      <c r="S320"/>
      <c r="V320" s="262"/>
      <c r="W320" s="280">
        <f t="shared" si="84"/>
        <v>0</v>
      </c>
      <c r="X320" s="178" t="str">
        <f t="shared" ref="X320:X383" si="93">IF($J320="","",$J320-105)</f>
        <v/>
      </c>
      <c r="Y320" s="178" t="str">
        <f t="shared" ref="Y320:Y383" si="94">IF($J320="","",$J320-90)</f>
        <v/>
      </c>
      <c r="Z320" s="178" t="str">
        <f t="shared" ref="Z320:Z383" si="95">IF($J320="","",$J320-75)</f>
        <v/>
      </c>
      <c r="AA320" s="178" t="str">
        <f t="shared" ref="AA320:AA383" si="96">IF($J320="","",$J320-60)</f>
        <v/>
      </c>
      <c r="AB320" s="178" t="str">
        <f t="shared" ref="AB320:AB383" si="97">IF($J320="","",$J320-45)</f>
        <v/>
      </c>
      <c r="AC320" s="178" t="str">
        <f t="shared" ref="AC320:AC383" si="98">IF($J320="","",$J320-30)</f>
        <v/>
      </c>
      <c r="AD320" s="267" t="s">
        <v>316</v>
      </c>
      <c r="AF320" s="149" t="str">
        <f t="shared" si="92"/>
        <v/>
      </c>
      <c r="AH320" s="178" t="str">
        <f t="shared" si="85"/>
        <v/>
      </c>
      <c r="AI320" s="178" t="str">
        <f t="shared" si="86"/>
        <v/>
      </c>
      <c r="AJ320" s="178" t="str">
        <f t="shared" si="87"/>
        <v/>
      </c>
      <c r="AK320" s="178" t="str">
        <f t="shared" si="88"/>
        <v/>
      </c>
      <c r="AN320" s="149" t="str">
        <f t="shared" si="89"/>
        <v/>
      </c>
      <c r="AQ320" s="178" t="str">
        <f t="shared" ca="1" si="90"/>
        <v/>
      </c>
      <c r="AR320" s="178" t="str">
        <f t="shared" ca="1" si="91"/>
        <v/>
      </c>
    </row>
    <row r="321" spans="1:44" x14ac:dyDescent="0.2">
      <c r="A321" t="str">
        <f>IF(B321="","",CONCATENATE("GBL",B321," - ",Mantenedor!E332))</f>
        <v/>
      </c>
      <c r="P321" t="str">
        <f t="shared" si="83"/>
        <v/>
      </c>
      <c r="Q321" s="266" t="str" cm="1">
        <f t="array" ref="Q321">+_xlfn.IFS(O321="Nacional","CLP",O321="Extranjero","USD",O321="","")</f>
        <v/>
      </c>
      <c r="R321" s="262" t="str">
        <f>IFERROR(IF(O321="Nacional",VLOOKUP(P321,PRICING!$D$4:$E$59,2,FALSE),VLOOKUP(P321,PRICING!$J$4:$K$59,2,FALSE)),"")</f>
        <v/>
      </c>
      <c r="S321"/>
      <c r="V321" s="262"/>
      <c r="W321" s="280">
        <f t="shared" si="84"/>
        <v>0</v>
      </c>
      <c r="X321" s="178" t="str">
        <f t="shared" si="93"/>
        <v/>
      </c>
      <c r="Y321" s="178" t="str">
        <f t="shared" si="94"/>
        <v/>
      </c>
      <c r="Z321" s="178" t="str">
        <f t="shared" si="95"/>
        <v/>
      </c>
      <c r="AA321" s="178" t="str">
        <f t="shared" si="96"/>
        <v/>
      </c>
      <c r="AB321" s="178" t="str">
        <f t="shared" si="97"/>
        <v/>
      </c>
      <c r="AC321" s="178" t="str">
        <f t="shared" si="98"/>
        <v/>
      </c>
      <c r="AD321" s="267" t="s">
        <v>316</v>
      </c>
      <c r="AF321" s="149" t="str">
        <f t="shared" si="92"/>
        <v/>
      </c>
      <c r="AH321" s="178" t="str">
        <f t="shared" si="85"/>
        <v/>
      </c>
      <c r="AI321" s="178" t="str">
        <f t="shared" si="86"/>
        <v/>
      </c>
      <c r="AJ321" s="178" t="str">
        <f t="shared" si="87"/>
        <v/>
      </c>
      <c r="AK321" s="178" t="str">
        <f t="shared" si="88"/>
        <v/>
      </c>
      <c r="AN321" s="149" t="str">
        <f t="shared" si="89"/>
        <v/>
      </c>
      <c r="AQ321" s="178" t="str">
        <f t="shared" ca="1" si="90"/>
        <v/>
      </c>
      <c r="AR321" s="178" t="str">
        <f t="shared" ca="1" si="91"/>
        <v/>
      </c>
    </row>
    <row r="322" spans="1:44" x14ac:dyDescent="0.2">
      <c r="A322" t="str">
        <f>IF(B322="","",CONCATENATE("GBL",B322," - ",Mantenedor!E333))</f>
        <v/>
      </c>
      <c r="P322" t="str">
        <f t="shared" si="83"/>
        <v/>
      </c>
      <c r="Q322" s="266" t="str" cm="1">
        <f t="array" ref="Q322">+_xlfn.IFS(O322="Nacional","CLP",O322="Extranjero","USD",O322="","")</f>
        <v/>
      </c>
      <c r="R322" s="262" t="str">
        <f>IFERROR(IF(O322="Nacional",VLOOKUP(P322,PRICING!$D$4:$E$59,2,FALSE),VLOOKUP(P322,PRICING!$J$4:$K$59,2,FALSE)),"")</f>
        <v/>
      </c>
      <c r="S322"/>
      <c r="V322" s="262"/>
      <c r="W322" s="280">
        <f t="shared" si="84"/>
        <v>0</v>
      </c>
      <c r="X322" s="178" t="str">
        <f t="shared" si="93"/>
        <v/>
      </c>
      <c r="Y322" s="178" t="str">
        <f t="shared" si="94"/>
        <v/>
      </c>
      <c r="Z322" s="178" t="str">
        <f t="shared" si="95"/>
        <v/>
      </c>
      <c r="AA322" s="178" t="str">
        <f t="shared" si="96"/>
        <v/>
      </c>
      <c r="AB322" s="178" t="str">
        <f t="shared" si="97"/>
        <v/>
      </c>
      <c r="AC322" s="178" t="str">
        <f t="shared" si="98"/>
        <v/>
      </c>
      <c r="AD322" s="267" t="s">
        <v>316</v>
      </c>
      <c r="AF322" s="149" t="str">
        <f t="shared" si="92"/>
        <v/>
      </c>
      <c r="AH322" s="178" t="str">
        <f t="shared" si="85"/>
        <v/>
      </c>
      <c r="AI322" s="178" t="str">
        <f t="shared" si="86"/>
        <v/>
      </c>
      <c r="AJ322" s="178" t="str">
        <f t="shared" si="87"/>
        <v/>
      </c>
      <c r="AK322" s="178" t="str">
        <f t="shared" si="88"/>
        <v/>
      </c>
      <c r="AN322" s="149" t="str">
        <f t="shared" si="89"/>
        <v/>
      </c>
      <c r="AQ322" s="178" t="str">
        <f t="shared" ca="1" si="90"/>
        <v/>
      </c>
      <c r="AR322" s="178" t="str">
        <f t="shared" ca="1" si="91"/>
        <v/>
      </c>
    </row>
    <row r="323" spans="1:44" x14ac:dyDescent="0.2">
      <c r="A323" t="str">
        <f>IF(B323="","",CONCATENATE("GBL",B323," - ",Mantenedor!E334))</f>
        <v/>
      </c>
      <c r="P323" t="str">
        <f t="shared" si="83"/>
        <v/>
      </c>
      <c r="Q323" s="266" t="str" cm="1">
        <f t="array" ref="Q323">+_xlfn.IFS(O323="Nacional","CLP",O323="Extranjero","USD",O323="","")</f>
        <v/>
      </c>
      <c r="R323" s="262" t="str">
        <f>IFERROR(IF(O323="Nacional",VLOOKUP(P323,PRICING!$D$4:$E$59,2,FALSE),VLOOKUP(P323,PRICING!$J$4:$K$59,2,FALSE)),"")</f>
        <v/>
      </c>
      <c r="S323"/>
      <c r="V323" s="262"/>
      <c r="W323" s="280">
        <f t="shared" si="84"/>
        <v>0</v>
      </c>
      <c r="X323" s="178" t="str">
        <f t="shared" si="93"/>
        <v/>
      </c>
      <c r="Y323" s="178" t="str">
        <f t="shared" si="94"/>
        <v/>
      </c>
      <c r="Z323" s="178" t="str">
        <f t="shared" si="95"/>
        <v/>
      </c>
      <c r="AA323" s="178" t="str">
        <f t="shared" si="96"/>
        <v/>
      </c>
      <c r="AB323" s="178" t="str">
        <f t="shared" si="97"/>
        <v/>
      </c>
      <c r="AC323" s="178" t="str">
        <f t="shared" si="98"/>
        <v/>
      </c>
      <c r="AD323" s="267" t="s">
        <v>316</v>
      </c>
      <c r="AF323" s="149" t="str">
        <f t="shared" si="92"/>
        <v/>
      </c>
      <c r="AH323" s="178" t="str">
        <f t="shared" si="85"/>
        <v/>
      </c>
      <c r="AI323" s="178" t="str">
        <f t="shared" si="86"/>
        <v/>
      </c>
      <c r="AJ323" s="178" t="str">
        <f t="shared" si="87"/>
        <v/>
      </c>
      <c r="AK323" s="178" t="str">
        <f t="shared" si="88"/>
        <v/>
      </c>
      <c r="AN323" s="149" t="str">
        <f t="shared" si="89"/>
        <v/>
      </c>
      <c r="AQ323" s="178" t="str">
        <f t="shared" ca="1" si="90"/>
        <v/>
      </c>
      <c r="AR323" s="178" t="str">
        <f t="shared" ca="1" si="91"/>
        <v/>
      </c>
    </row>
    <row r="324" spans="1:44" x14ac:dyDescent="0.2">
      <c r="A324" t="str">
        <f>IF(B324="","",CONCATENATE("GBL",B324," - ",Mantenedor!E335))</f>
        <v/>
      </c>
      <c r="P324" t="str">
        <f t="shared" si="83"/>
        <v/>
      </c>
      <c r="Q324" s="266" t="str" cm="1">
        <f t="array" ref="Q324">+_xlfn.IFS(O324="Nacional","CLP",O324="Extranjero","USD",O324="","")</f>
        <v/>
      </c>
      <c r="R324" s="262" t="str">
        <f>IFERROR(IF(O324="Nacional",VLOOKUP(P324,PRICING!$D$4:$E$59,2,FALSE),VLOOKUP(P324,PRICING!$J$4:$K$59,2,FALSE)),"")</f>
        <v/>
      </c>
      <c r="S324"/>
      <c r="V324" s="262"/>
      <c r="W324" s="280">
        <f t="shared" si="84"/>
        <v>0</v>
      </c>
      <c r="X324" s="178" t="str">
        <f t="shared" si="93"/>
        <v/>
      </c>
      <c r="Y324" s="178" t="str">
        <f t="shared" si="94"/>
        <v/>
      </c>
      <c r="Z324" s="178" t="str">
        <f t="shared" si="95"/>
        <v/>
      </c>
      <c r="AA324" s="178" t="str">
        <f t="shared" si="96"/>
        <v/>
      </c>
      <c r="AB324" s="178" t="str">
        <f t="shared" si="97"/>
        <v/>
      </c>
      <c r="AC324" s="178" t="str">
        <f t="shared" si="98"/>
        <v/>
      </c>
      <c r="AD324" s="267" t="s">
        <v>316</v>
      </c>
      <c r="AF324" s="149" t="str">
        <f t="shared" si="92"/>
        <v/>
      </c>
      <c r="AH324" s="178" t="str">
        <f t="shared" si="85"/>
        <v/>
      </c>
      <c r="AI324" s="178" t="str">
        <f t="shared" si="86"/>
        <v/>
      </c>
      <c r="AJ324" s="178" t="str">
        <f t="shared" si="87"/>
        <v/>
      </c>
      <c r="AK324" s="178" t="str">
        <f t="shared" si="88"/>
        <v/>
      </c>
      <c r="AN324" s="149" t="str">
        <f t="shared" si="89"/>
        <v/>
      </c>
      <c r="AQ324" s="178" t="str">
        <f t="shared" ca="1" si="90"/>
        <v/>
      </c>
      <c r="AR324" s="178" t="str">
        <f t="shared" ca="1" si="91"/>
        <v/>
      </c>
    </row>
    <row r="325" spans="1:44" x14ac:dyDescent="0.2">
      <c r="A325" t="str">
        <f>IF(B325="","",CONCATENATE("GBL",B325," - ",Mantenedor!E336))</f>
        <v/>
      </c>
      <c r="P325" t="str">
        <f t="shared" si="83"/>
        <v/>
      </c>
      <c r="Q325" s="266" t="str" cm="1">
        <f t="array" ref="Q325">+_xlfn.IFS(O325="Nacional","CLP",O325="Extranjero","USD",O325="","")</f>
        <v/>
      </c>
      <c r="R325" s="262" t="str">
        <f>IFERROR(IF(O325="Nacional",VLOOKUP(P325,PRICING!$D$4:$E$59,2,FALSE),VLOOKUP(P325,PRICING!$J$4:$K$59,2,FALSE)),"")</f>
        <v/>
      </c>
      <c r="S325"/>
      <c r="V325" s="262" t="str">
        <f t="shared" ref="V325:V376" si="99">IFERROR(R325*(1-T325),"")</f>
        <v/>
      </c>
      <c r="W325" s="280" t="str">
        <f t="shared" si="84"/>
        <v/>
      </c>
      <c r="X325" s="178" t="str">
        <f t="shared" si="93"/>
        <v/>
      </c>
      <c r="Y325" s="178" t="str">
        <f t="shared" si="94"/>
        <v/>
      </c>
      <c r="Z325" s="178" t="str">
        <f t="shared" si="95"/>
        <v/>
      </c>
      <c r="AA325" s="178" t="str">
        <f t="shared" si="96"/>
        <v/>
      </c>
      <c r="AB325" s="178" t="str">
        <f t="shared" si="97"/>
        <v/>
      </c>
      <c r="AC325" s="178" t="str">
        <f t="shared" si="98"/>
        <v/>
      </c>
      <c r="AD325" s="267" t="s">
        <v>316</v>
      </c>
      <c r="AF325" s="149" t="str">
        <f t="shared" si="92"/>
        <v/>
      </c>
      <c r="AH325" s="178" t="str">
        <f t="shared" si="85"/>
        <v/>
      </c>
      <c r="AI325" s="178" t="str">
        <f t="shared" si="86"/>
        <v/>
      </c>
      <c r="AJ325" s="178" t="str">
        <f t="shared" si="87"/>
        <v/>
      </c>
      <c r="AK325" s="178" t="str">
        <f t="shared" si="88"/>
        <v/>
      </c>
      <c r="AN325" s="149" t="str">
        <f t="shared" si="89"/>
        <v/>
      </c>
      <c r="AQ325" s="178" t="str">
        <f t="shared" ca="1" si="90"/>
        <v/>
      </c>
      <c r="AR325" s="178" t="str">
        <f t="shared" ca="1" si="91"/>
        <v/>
      </c>
    </row>
    <row r="326" spans="1:44" x14ac:dyDescent="0.2">
      <c r="A326" t="str">
        <f>IF(B326="","",CONCATENATE("GBL",B326," - ",Mantenedor!E337))</f>
        <v/>
      </c>
      <c r="P326" t="str">
        <f t="shared" si="83"/>
        <v/>
      </c>
      <c r="Q326" s="266" t="str" cm="1">
        <f t="array" ref="Q326">+_xlfn.IFS(O326="Nacional","CLP",O326="Extranjero","USD",O326="","")</f>
        <v/>
      </c>
      <c r="R326" s="262" t="str">
        <f>IFERROR(IF(O326="Nacional",VLOOKUP(P326,PRICING!$D$4:$E$59,2,FALSE),VLOOKUP(P326,PRICING!$J$4:$K$59,2,FALSE)),"")</f>
        <v/>
      </c>
      <c r="S326"/>
      <c r="V326" s="262" t="str">
        <f t="shared" si="99"/>
        <v/>
      </c>
      <c r="W326" s="280" t="str">
        <f t="shared" si="84"/>
        <v/>
      </c>
      <c r="X326" s="178" t="str">
        <f t="shared" si="93"/>
        <v/>
      </c>
      <c r="Y326" s="178" t="str">
        <f t="shared" si="94"/>
        <v/>
      </c>
      <c r="Z326" s="178" t="str">
        <f t="shared" si="95"/>
        <v/>
      </c>
      <c r="AA326" s="178" t="str">
        <f t="shared" si="96"/>
        <v/>
      </c>
      <c r="AB326" s="178" t="str">
        <f t="shared" si="97"/>
        <v/>
      </c>
      <c r="AC326" s="178" t="str">
        <f t="shared" si="98"/>
        <v/>
      </c>
      <c r="AD326" s="267" t="s">
        <v>316</v>
      </c>
      <c r="AF326" s="149" t="str">
        <f t="shared" si="92"/>
        <v/>
      </c>
      <c r="AH326" s="178" t="str">
        <f t="shared" si="85"/>
        <v/>
      </c>
      <c r="AI326" s="178" t="str">
        <f t="shared" si="86"/>
        <v/>
      </c>
      <c r="AJ326" s="178" t="str">
        <f t="shared" si="87"/>
        <v/>
      </c>
      <c r="AK326" s="178" t="str">
        <f t="shared" si="88"/>
        <v/>
      </c>
      <c r="AN326" s="149" t="str">
        <f t="shared" si="89"/>
        <v/>
      </c>
      <c r="AQ326" s="178" t="str">
        <f t="shared" ca="1" si="90"/>
        <v/>
      </c>
      <c r="AR326" s="178" t="str">
        <f t="shared" ca="1" si="91"/>
        <v/>
      </c>
    </row>
    <row r="327" spans="1:44" x14ac:dyDescent="0.2">
      <c r="A327" t="str">
        <f>IF(B327="","",CONCATENATE("GBL",B327," - ",Mantenedor!E338))</f>
        <v/>
      </c>
      <c r="P327" t="str">
        <f t="shared" si="83"/>
        <v/>
      </c>
      <c r="Q327" s="266" t="str" cm="1">
        <f t="array" ref="Q327">+_xlfn.IFS(O327="Nacional","CLP",O327="Extranjero","USD",O327="","")</f>
        <v/>
      </c>
      <c r="R327" s="262" t="str">
        <f>IFERROR(IF(O327="Nacional",VLOOKUP(P327,PRICING!$D$4:$E$59,2,FALSE),VLOOKUP(P327,PRICING!$J$4:$K$59,2,FALSE)),"")</f>
        <v/>
      </c>
      <c r="S327"/>
      <c r="V327" s="262" t="str">
        <f t="shared" si="99"/>
        <v/>
      </c>
      <c r="W327" s="280" t="str">
        <f t="shared" si="84"/>
        <v/>
      </c>
      <c r="X327" s="178" t="str">
        <f t="shared" si="93"/>
        <v/>
      </c>
      <c r="Y327" s="178" t="str">
        <f t="shared" si="94"/>
        <v/>
      </c>
      <c r="Z327" s="178" t="str">
        <f t="shared" si="95"/>
        <v/>
      </c>
      <c r="AA327" s="178" t="str">
        <f t="shared" si="96"/>
        <v/>
      </c>
      <c r="AB327" s="178" t="str">
        <f t="shared" si="97"/>
        <v/>
      </c>
      <c r="AC327" s="178" t="str">
        <f t="shared" si="98"/>
        <v/>
      </c>
      <c r="AD327" s="267" t="s">
        <v>316</v>
      </c>
      <c r="AF327" s="149" t="str">
        <f t="shared" si="92"/>
        <v/>
      </c>
      <c r="AH327" s="178" t="str">
        <f t="shared" si="85"/>
        <v/>
      </c>
      <c r="AI327" s="178" t="str">
        <f t="shared" si="86"/>
        <v/>
      </c>
      <c r="AJ327" s="178" t="str">
        <f t="shared" si="87"/>
        <v/>
      </c>
      <c r="AK327" s="178" t="str">
        <f t="shared" si="88"/>
        <v/>
      </c>
      <c r="AN327" s="149" t="str">
        <f t="shared" si="89"/>
        <v/>
      </c>
      <c r="AQ327" s="178" t="str">
        <f t="shared" ca="1" si="90"/>
        <v/>
      </c>
      <c r="AR327" s="178" t="str">
        <f t="shared" ca="1" si="91"/>
        <v/>
      </c>
    </row>
    <row r="328" spans="1:44" x14ac:dyDescent="0.2">
      <c r="A328" t="str">
        <f>IF(B328="","",CONCATENATE("GBL",B328," - ",Mantenedor!E339))</f>
        <v/>
      </c>
      <c r="P328" t="str">
        <f t="shared" si="83"/>
        <v/>
      </c>
      <c r="Q328" s="266" t="str" cm="1">
        <f t="array" ref="Q328">+_xlfn.IFS(O328="Nacional","CLP",O328="Extranjero","USD",O328="","")</f>
        <v/>
      </c>
      <c r="R328" s="262" t="str">
        <f>IFERROR(IF(O328="Nacional",VLOOKUP(P328,PRICING!$D$4:$E$59,2,FALSE),VLOOKUP(P328,PRICING!$J$4:$K$59,2,FALSE)),"")</f>
        <v/>
      </c>
      <c r="S328"/>
      <c r="V328" s="262" t="str">
        <f t="shared" si="99"/>
        <v/>
      </c>
      <c r="W328" s="280" t="str">
        <f t="shared" si="84"/>
        <v/>
      </c>
      <c r="X328" s="178" t="str">
        <f t="shared" si="93"/>
        <v/>
      </c>
      <c r="Y328" s="178" t="str">
        <f t="shared" si="94"/>
        <v/>
      </c>
      <c r="Z328" s="178" t="str">
        <f t="shared" si="95"/>
        <v/>
      </c>
      <c r="AA328" s="178" t="str">
        <f t="shared" si="96"/>
        <v/>
      </c>
      <c r="AB328" s="178" t="str">
        <f t="shared" si="97"/>
        <v/>
      </c>
      <c r="AC328" s="178" t="str">
        <f t="shared" si="98"/>
        <v/>
      </c>
      <c r="AD328" s="267" t="s">
        <v>316</v>
      </c>
      <c r="AF328" s="149" t="str">
        <f t="shared" si="92"/>
        <v/>
      </c>
      <c r="AH328" s="178" t="str">
        <f t="shared" si="85"/>
        <v/>
      </c>
      <c r="AI328" s="178" t="str">
        <f t="shared" si="86"/>
        <v/>
      </c>
      <c r="AJ328" s="178" t="str">
        <f t="shared" si="87"/>
        <v/>
      </c>
      <c r="AK328" s="178" t="str">
        <f t="shared" si="88"/>
        <v/>
      </c>
      <c r="AN328" s="149" t="str">
        <f t="shared" si="89"/>
        <v/>
      </c>
      <c r="AQ328" s="178" t="str">
        <f t="shared" ca="1" si="90"/>
        <v/>
      </c>
      <c r="AR328" s="178" t="str">
        <f t="shared" ca="1" si="91"/>
        <v/>
      </c>
    </row>
    <row r="329" spans="1:44" x14ac:dyDescent="0.2">
      <c r="A329" t="str">
        <f>IF(B329="","",CONCATENATE("GBL",B329," - ",Mantenedor!E340))</f>
        <v/>
      </c>
      <c r="P329" t="str">
        <f t="shared" si="83"/>
        <v/>
      </c>
      <c r="Q329" s="266" t="str" cm="1">
        <f t="array" ref="Q329">+_xlfn.IFS(O329="Nacional","CLP",O329="Extranjero","USD",O329="","")</f>
        <v/>
      </c>
      <c r="R329" s="262" t="str">
        <f>IFERROR(IF(O329="Nacional",VLOOKUP(P329,PRICING!$D$4:$E$59,2,FALSE),VLOOKUP(P329,PRICING!$J$4:$K$59,2,FALSE)),"")</f>
        <v/>
      </c>
      <c r="S329"/>
      <c r="V329" s="262" t="str">
        <f t="shared" si="99"/>
        <v/>
      </c>
      <c r="W329" s="280" t="str">
        <f t="shared" si="84"/>
        <v/>
      </c>
      <c r="X329" s="178" t="str">
        <f t="shared" si="93"/>
        <v/>
      </c>
      <c r="Y329" s="178" t="str">
        <f t="shared" si="94"/>
        <v/>
      </c>
      <c r="Z329" s="178" t="str">
        <f t="shared" si="95"/>
        <v/>
      </c>
      <c r="AA329" s="178" t="str">
        <f t="shared" si="96"/>
        <v/>
      </c>
      <c r="AB329" s="178" t="str">
        <f t="shared" si="97"/>
        <v/>
      </c>
      <c r="AC329" s="178" t="str">
        <f t="shared" si="98"/>
        <v/>
      </c>
      <c r="AD329" s="267" t="s">
        <v>316</v>
      </c>
      <c r="AF329" s="149" t="str">
        <f t="shared" si="92"/>
        <v/>
      </c>
      <c r="AH329" s="178" t="str">
        <f t="shared" si="85"/>
        <v/>
      </c>
      <c r="AI329" s="178" t="str">
        <f t="shared" si="86"/>
        <v/>
      </c>
      <c r="AJ329" s="178" t="str">
        <f t="shared" si="87"/>
        <v/>
      </c>
      <c r="AK329" s="178" t="str">
        <f t="shared" si="88"/>
        <v/>
      </c>
      <c r="AN329" s="149" t="str">
        <f t="shared" si="89"/>
        <v/>
      </c>
      <c r="AQ329" s="178" t="str">
        <f t="shared" ca="1" si="90"/>
        <v/>
      </c>
      <c r="AR329" s="178" t="str">
        <f t="shared" ca="1" si="91"/>
        <v/>
      </c>
    </row>
    <row r="330" spans="1:44" x14ac:dyDescent="0.2">
      <c r="A330" t="str">
        <f>IF(B330="","",CONCATENATE("GBL",B330," - ",Mantenedor!E341))</f>
        <v/>
      </c>
      <c r="P330" t="str">
        <f t="shared" si="83"/>
        <v/>
      </c>
      <c r="Q330" s="266" t="str" cm="1">
        <f t="array" ref="Q330">+_xlfn.IFS(O330="Nacional","CLP",O330="Extranjero","USD",O330="","")</f>
        <v/>
      </c>
      <c r="R330" s="262" t="str">
        <f>IFERROR(IF(O330="Nacional",VLOOKUP(P330,PRICING!$D$4:$E$59,2,FALSE),VLOOKUP(P330,PRICING!$J$4:$K$59,2,FALSE)),"")</f>
        <v/>
      </c>
      <c r="S330"/>
      <c r="V330" s="262" t="str">
        <f t="shared" si="99"/>
        <v/>
      </c>
      <c r="W330" s="280" t="str">
        <f t="shared" si="84"/>
        <v/>
      </c>
      <c r="X330" s="178" t="str">
        <f t="shared" si="93"/>
        <v/>
      </c>
      <c r="Y330" s="178" t="str">
        <f t="shared" si="94"/>
        <v/>
      </c>
      <c r="Z330" s="178" t="str">
        <f t="shared" si="95"/>
        <v/>
      </c>
      <c r="AA330" s="178" t="str">
        <f t="shared" si="96"/>
        <v/>
      </c>
      <c r="AB330" s="178" t="str">
        <f t="shared" si="97"/>
        <v/>
      </c>
      <c r="AC330" s="178" t="str">
        <f t="shared" si="98"/>
        <v/>
      </c>
      <c r="AD330" s="267" t="s">
        <v>316</v>
      </c>
      <c r="AF330" s="149" t="str">
        <f t="shared" si="92"/>
        <v/>
      </c>
      <c r="AH330" s="178" t="str">
        <f t="shared" si="85"/>
        <v/>
      </c>
      <c r="AI330" s="178" t="str">
        <f t="shared" si="86"/>
        <v/>
      </c>
      <c r="AJ330" s="178" t="str">
        <f t="shared" si="87"/>
        <v/>
      </c>
      <c r="AK330" s="178" t="str">
        <f t="shared" si="88"/>
        <v/>
      </c>
      <c r="AN330" s="149" t="str">
        <f t="shared" si="89"/>
        <v/>
      </c>
      <c r="AQ330" s="178" t="str">
        <f t="shared" ca="1" si="90"/>
        <v/>
      </c>
      <c r="AR330" s="178" t="str">
        <f t="shared" ca="1" si="91"/>
        <v/>
      </c>
    </row>
    <row r="331" spans="1:44" x14ac:dyDescent="0.2">
      <c r="A331" t="str">
        <f>IF(B331="","",CONCATENATE("GBL",B331," - ",Mantenedor!E342))</f>
        <v/>
      </c>
      <c r="P331" t="str">
        <f t="shared" si="83"/>
        <v/>
      </c>
      <c r="Q331" s="266" t="str" cm="1">
        <f t="array" ref="Q331">+_xlfn.IFS(O331="Nacional","CLP",O331="Extranjero","USD",O331="","")</f>
        <v/>
      </c>
      <c r="R331" s="262" t="str">
        <f>IFERROR(IF(O331="Nacional",VLOOKUP(P331,PRICING!$D$4:$E$59,2,FALSE),VLOOKUP(P331,PRICING!$J$4:$K$59,2,FALSE)),"")</f>
        <v/>
      </c>
      <c r="S331"/>
      <c r="V331" s="262" t="str">
        <f t="shared" si="99"/>
        <v/>
      </c>
      <c r="W331" s="280" t="str">
        <f t="shared" si="84"/>
        <v/>
      </c>
      <c r="X331" s="178" t="str">
        <f t="shared" si="93"/>
        <v/>
      </c>
      <c r="Y331" s="178" t="str">
        <f t="shared" si="94"/>
        <v/>
      </c>
      <c r="Z331" s="178" t="str">
        <f t="shared" si="95"/>
        <v/>
      </c>
      <c r="AA331" s="178" t="str">
        <f t="shared" si="96"/>
        <v/>
      </c>
      <c r="AB331" s="178" t="str">
        <f t="shared" si="97"/>
        <v/>
      </c>
      <c r="AC331" s="178" t="str">
        <f t="shared" si="98"/>
        <v/>
      </c>
      <c r="AD331" s="267" t="s">
        <v>316</v>
      </c>
      <c r="AF331" s="149" t="str">
        <f t="shared" si="92"/>
        <v/>
      </c>
      <c r="AH331" s="178" t="str">
        <f t="shared" si="85"/>
        <v/>
      </c>
      <c r="AI331" s="178" t="str">
        <f t="shared" si="86"/>
        <v/>
      </c>
      <c r="AJ331" s="178" t="str">
        <f t="shared" si="87"/>
        <v/>
      </c>
      <c r="AK331" s="178" t="str">
        <f t="shared" si="88"/>
        <v/>
      </c>
      <c r="AN331" s="149" t="str">
        <f t="shared" si="89"/>
        <v/>
      </c>
      <c r="AQ331" s="178" t="str">
        <f t="shared" ca="1" si="90"/>
        <v/>
      </c>
      <c r="AR331" s="178" t="str">
        <f t="shared" ca="1" si="91"/>
        <v/>
      </c>
    </row>
    <row r="332" spans="1:44" x14ac:dyDescent="0.2">
      <c r="A332" t="str">
        <f>IF(B332="","",CONCATENATE("GBL",B332," - ",Mantenedor!E343))</f>
        <v/>
      </c>
      <c r="P332" t="str">
        <f t="shared" si="83"/>
        <v/>
      </c>
      <c r="Q332" s="266" t="str" cm="1">
        <f t="array" ref="Q332">+_xlfn.IFS(O332="Nacional","CLP",O332="Extranjero","USD",O332="","")</f>
        <v/>
      </c>
      <c r="R332" s="262" t="str">
        <f>IFERROR(IF(O332="Nacional",VLOOKUP(P332,PRICING!$D$4:$E$59,2,FALSE),VLOOKUP(P332,PRICING!$J$4:$K$59,2,FALSE)),"")</f>
        <v/>
      </c>
      <c r="S332"/>
      <c r="V332" s="262" t="str">
        <f t="shared" si="99"/>
        <v/>
      </c>
      <c r="W332" s="280" t="str">
        <f t="shared" si="84"/>
        <v/>
      </c>
      <c r="X332" s="178" t="str">
        <f t="shared" si="93"/>
        <v/>
      </c>
      <c r="Y332" s="178" t="str">
        <f t="shared" si="94"/>
        <v/>
      </c>
      <c r="Z332" s="178" t="str">
        <f t="shared" si="95"/>
        <v/>
      </c>
      <c r="AA332" s="178" t="str">
        <f t="shared" si="96"/>
        <v/>
      </c>
      <c r="AB332" s="178" t="str">
        <f t="shared" si="97"/>
        <v/>
      </c>
      <c r="AC332" s="178" t="str">
        <f t="shared" si="98"/>
        <v/>
      </c>
      <c r="AD332" s="267" t="s">
        <v>316</v>
      </c>
      <c r="AF332" s="149" t="str">
        <f t="shared" si="92"/>
        <v/>
      </c>
      <c r="AH332" s="178" t="str">
        <f t="shared" si="85"/>
        <v/>
      </c>
      <c r="AI332" s="178" t="str">
        <f t="shared" si="86"/>
        <v/>
      </c>
      <c r="AJ332" s="178" t="str">
        <f t="shared" si="87"/>
        <v/>
      </c>
      <c r="AK332" s="178" t="str">
        <f t="shared" si="88"/>
        <v/>
      </c>
      <c r="AN332" s="149" t="str">
        <f t="shared" si="89"/>
        <v/>
      </c>
      <c r="AQ332" s="178" t="str">
        <f t="shared" ca="1" si="90"/>
        <v/>
      </c>
      <c r="AR332" s="178" t="str">
        <f t="shared" ca="1" si="91"/>
        <v/>
      </c>
    </row>
    <row r="333" spans="1:44" x14ac:dyDescent="0.2">
      <c r="A333" t="str">
        <f>IF(B333="","",CONCATENATE("GBL",B333," - ",Mantenedor!E344))</f>
        <v/>
      </c>
      <c r="P333" t="str">
        <f t="shared" si="83"/>
        <v/>
      </c>
      <c r="Q333" s="266" t="str" cm="1">
        <f t="array" ref="Q333">+_xlfn.IFS(O333="Nacional","CLP",O333="Extranjero","USD",O333="","")</f>
        <v/>
      </c>
      <c r="R333" s="262" t="str">
        <f>IFERROR(IF(O333="Nacional",VLOOKUP(P333,PRICING!$D$4:$E$59,2,FALSE),VLOOKUP(P333,PRICING!$J$4:$K$59,2,FALSE)),"")</f>
        <v/>
      </c>
      <c r="S333"/>
      <c r="V333" s="262" t="str">
        <f t="shared" si="99"/>
        <v/>
      </c>
      <c r="W333" s="280" t="str">
        <f t="shared" si="84"/>
        <v/>
      </c>
      <c r="X333" s="178" t="str">
        <f t="shared" si="93"/>
        <v/>
      </c>
      <c r="Y333" s="178" t="str">
        <f t="shared" si="94"/>
        <v/>
      </c>
      <c r="Z333" s="178" t="str">
        <f t="shared" si="95"/>
        <v/>
      </c>
      <c r="AA333" s="178" t="str">
        <f t="shared" si="96"/>
        <v/>
      </c>
      <c r="AB333" s="178" t="str">
        <f t="shared" si="97"/>
        <v/>
      </c>
      <c r="AC333" s="178" t="str">
        <f t="shared" si="98"/>
        <v/>
      </c>
      <c r="AD333" s="267" t="s">
        <v>316</v>
      </c>
      <c r="AF333" s="149" t="str">
        <f t="shared" si="92"/>
        <v/>
      </c>
      <c r="AH333" s="178" t="str">
        <f t="shared" si="85"/>
        <v/>
      </c>
      <c r="AI333" s="178" t="str">
        <f t="shared" si="86"/>
        <v/>
      </c>
      <c r="AJ333" s="178" t="str">
        <f t="shared" si="87"/>
        <v/>
      </c>
      <c r="AK333" s="178" t="str">
        <f t="shared" si="88"/>
        <v/>
      </c>
      <c r="AN333" s="149" t="str">
        <f t="shared" si="89"/>
        <v/>
      </c>
      <c r="AQ333" s="178" t="str">
        <f t="shared" ca="1" si="90"/>
        <v/>
      </c>
      <c r="AR333" s="178" t="str">
        <f t="shared" ca="1" si="91"/>
        <v/>
      </c>
    </row>
    <row r="334" spans="1:44" x14ac:dyDescent="0.2">
      <c r="A334" t="str">
        <f>IF(B334="","",CONCATENATE("GBL",B334," - ",Mantenedor!E345))</f>
        <v/>
      </c>
      <c r="P334" t="str">
        <f t="shared" si="83"/>
        <v/>
      </c>
      <c r="Q334" s="266" t="str" cm="1">
        <f t="array" ref="Q334">+_xlfn.IFS(O334="Nacional","CLP",O334="Extranjero","USD",O334="","")</f>
        <v/>
      </c>
      <c r="R334" s="262" t="str">
        <f>IFERROR(IF(O334="Nacional",VLOOKUP(P334,PRICING!$D$4:$E$59,2,FALSE),VLOOKUP(P334,PRICING!$J$4:$K$59,2,FALSE)),"")</f>
        <v/>
      </c>
      <c r="S334"/>
      <c r="V334" s="262" t="str">
        <f t="shared" si="99"/>
        <v/>
      </c>
      <c r="W334" s="280" t="str">
        <f t="shared" si="84"/>
        <v/>
      </c>
      <c r="X334" s="178" t="str">
        <f t="shared" si="93"/>
        <v/>
      </c>
      <c r="Y334" s="178" t="str">
        <f t="shared" si="94"/>
        <v/>
      </c>
      <c r="Z334" s="178" t="str">
        <f t="shared" si="95"/>
        <v/>
      </c>
      <c r="AA334" s="178" t="str">
        <f t="shared" si="96"/>
        <v/>
      </c>
      <c r="AB334" s="178" t="str">
        <f t="shared" si="97"/>
        <v/>
      </c>
      <c r="AC334" s="178" t="str">
        <f t="shared" si="98"/>
        <v/>
      </c>
      <c r="AD334" s="267" t="s">
        <v>316</v>
      </c>
      <c r="AF334" s="149" t="str">
        <f t="shared" si="92"/>
        <v/>
      </c>
      <c r="AH334" s="178" t="str">
        <f t="shared" si="85"/>
        <v/>
      </c>
      <c r="AI334" s="178" t="str">
        <f t="shared" si="86"/>
        <v/>
      </c>
      <c r="AJ334" s="178" t="str">
        <f t="shared" si="87"/>
        <v/>
      </c>
      <c r="AK334" s="178" t="str">
        <f t="shared" si="88"/>
        <v/>
      </c>
      <c r="AN334" s="149" t="str">
        <f t="shared" si="89"/>
        <v/>
      </c>
      <c r="AQ334" s="178" t="str">
        <f t="shared" ca="1" si="90"/>
        <v/>
      </c>
      <c r="AR334" s="178" t="str">
        <f t="shared" ca="1" si="91"/>
        <v/>
      </c>
    </row>
    <row r="335" spans="1:44" x14ac:dyDescent="0.2">
      <c r="A335" t="str">
        <f>IF(B335="","",CONCATENATE("GBL",B335," - ",Mantenedor!E346))</f>
        <v/>
      </c>
      <c r="P335" t="str">
        <f t="shared" si="83"/>
        <v/>
      </c>
      <c r="Q335" s="266" t="str" cm="1">
        <f t="array" ref="Q335">+_xlfn.IFS(O335="Nacional","CLP",O335="Extranjero","USD",O335="","")</f>
        <v/>
      </c>
      <c r="R335" s="262" t="str">
        <f>IFERROR(IF(O335="Nacional",VLOOKUP(P335,PRICING!$D$4:$E$59,2,FALSE),VLOOKUP(P335,PRICING!$J$4:$K$59,2,FALSE)),"")</f>
        <v/>
      </c>
      <c r="S335"/>
      <c r="V335" s="262" t="str">
        <f t="shared" si="99"/>
        <v/>
      </c>
      <c r="W335" s="280" t="str">
        <f t="shared" si="84"/>
        <v/>
      </c>
      <c r="X335" s="178" t="str">
        <f t="shared" si="93"/>
        <v/>
      </c>
      <c r="Y335" s="178" t="str">
        <f t="shared" si="94"/>
        <v/>
      </c>
      <c r="Z335" s="178" t="str">
        <f t="shared" si="95"/>
        <v/>
      </c>
      <c r="AA335" s="178" t="str">
        <f t="shared" si="96"/>
        <v/>
      </c>
      <c r="AB335" s="178" t="str">
        <f t="shared" si="97"/>
        <v/>
      </c>
      <c r="AC335" s="178" t="str">
        <f t="shared" si="98"/>
        <v/>
      </c>
      <c r="AD335" s="267" t="s">
        <v>316</v>
      </c>
      <c r="AF335" s="149" t="str">
        <f t="shared" si="92"/>
        <v/>
      </c>
      <c r="AH335" s="178" t="str">
        <f t="shared" si="85"/>
        <v/>
      </c>
      <c r="AI335" s="178" t="str">
        <f t="shared" si="86"/>
        <v/>
      </c>
      <c r="AJ335" s="178" t="str">
        <f t="shared" si="87"/>
        <v/>
      </c>
      <c r="AK335" s="178" t="str">
        <f t="shared" si="88"/>
        <v/>
      </c>
      <c r="AN335" s="149" t="str">
        <f t="shared" si="89"/>
        <v/>
      </c>
      <c r="AQ335" s="178" t="str">
        <f t="shared" ca="1" si="90"/>
        <v/>
      </c>
      <c r="AR335" s="178" t="str">
        <f t="shared" ca="1" si="91"/>
        <v/>
      </c>
    </row>
    <row r="336" spans="1:44" x14ac:dyDescent="0.2">
      <c r="A336" t="str">
        <f>IF(B336="","",CONCATENATE("GBL",B336," - ",Mantenedor!E347))</f>
        <v/>
      </c>
      <c r="P336" t="str">
        <f t="shared" si="83"/>
        <v/>
      </c>
      <c r="Q336" s="266" t="str" cm="1">
        <f t="array" ref="Q336">+_xlfn.IFS(O336="Nacional","CLP",O336="Extranjero","USD",O336="","")</f>
        <v/>
      </c>
      <c r="R336" s="262" t="str">
        <f>IFERROR(IF(O336="Nacional",VLOOKUP(P336,PRICING!$D$4:$E$59,2,FALSE),VLOOKUP(P336,PRICING!$J$4:$K$59,2,FALSE)),"")</f>
        <v/>
      </c>
      <c r="S336"/>
      <c r="V336" s="262" t="str">
        <f t="shared" si="99"/>
        <v/>
      </c>
      <c r="W336" s="280" t="str">
        <f t="shared" si="84"/>
        <v/>
      </c>
      <c r="X336" s="178" t="str">
        <f t="shared" si="93"/>
        <v/>
      </c>
      <c r="Y336" s="178" t="str">
        <f t="shared" si="94"/>
        <v/>
      </c>
      <c r="Z336" s="178" t="str">
        <f t="shared" si="95"/>
        <v/>
      </c>
      <c r="AA336" s="178" t="str">
        <f t="shared" si="96"/>
        <v/>
      </c>
      <c r="AB336" s="178" t="str">
        <f t="shared" si="97"/>
        <v/>
      </c>
      <c r="AC336" s="178" t="str">
        <f t="shared" si="98"/>
        <v/>
      </c>
      <c r="AD336" s="267" t="s">
        <v>316</v>
      </c>
      <c r="AF336" s="149" t="str">
        <f t="shared" si="92"/>
        <v/>
      </c>
      <c r="AH336" s="178" t="str">
        <f t="shared" si="85"/>
        <v/>
      </c>
      <c r="AI336" s="178" t="str">
        <f t="shared" si="86"/>
        <v/>
      </c>
      <c r="AJ336" s="178" t="str">
        <f t="shared" si="87"/>
        <v/>
      </c>
      <c r="AK336" s="178" t="str">
        <f t="shared" si="88"/>
        <v/>
      </c>
      <c r="AN336" s="149" t="str">
        <f t="shared" si="89"/>
        <v/>
      </c>
      <c r="AQ336" s="178" t="str">
        <f t="shared" ca="1" si="90"/>
        <v/>
      </c>
      <c r="AR336" s="178" t="str">
        <f t="shared" ca="1" si="91"/>
        <v/>
      </c>
    </row>
    <row r="337" spans="1:44" x14ac:dyDescent="0.2">
      <c r="A337" t="str">
        <f>IF(B337="","",CONCATENATE("GBL",B337," - ",Mantenedor!E348))</f>
        <v/>
      </c>
      <c r="P337" t="str">
        <f t="shared" si="83"/>
        <v/>
      </c>
      <c r="Q337" s="266" t="str" cm="1">
        <f t="array" ref="Q337">+_xlfn.IFS(O337="Nacional","CLP",O337="Extranjero","USD",O337="","")</f>
        <v/>
      </c>
      <c r="R337" s="262" t="str">
        <f>IFERROR(IF(O337="Nacional",VLOOKUP(P337,PRICING!$D$4:$E$59,2,FALSE),VLOOKUP(P337,PRICING!$J$4:$K$59,2,FALSE)),"")</f>
        <v/>
      </c>
      <c r="S337"/>
      <c r="V337" s="262" t="str">
        <f t="shared" si="99"/>
        <v/>
      </c>
      <c r="W337" s="280" t="str">
        <f t="shared" si="84"/>
        <v/>
      </c>
      <c r="X337" s="178" t="str">
        <f t="shared" si="93"/>
        <v/>
      </c>
      <c r="Y337" s="178" t="str">
        <f t="shared" si="94"/>
        <v/>
      </c>
      <c r="Z337" s="178" t="str">
        <f t="shared" si="95"/>
        <v/>
      </c>
      <c r="AA337" s="178" t="str">
        <f t="shared" si="96"/>
        <v/>
      </c>
      <c r="AB337" s="178" t="str">
        <f t="shared" si="97"/>
        <v/>
      </c>
      <c r="AC337" s="178" t="str">
        <f t="shared" si="98"/>
        <v/>
      </c>
      <c r="AD337" s="267" t="s">
        <v>316</v>
      </c>
      <c r="AF337" s="149" t="str">
        <f t="shared" si="92"/>
        <v/>
      </c>
      <c r="AH337" s="178" t="str">
        <f t="shared" si="85"/>
        <v/>
      </c>
      <c r="AI337" s="178" t="str">
        <f t="shared" si="86"/>
        <v/>
      </c>
      <c r="AJ337" s="178" t="str">
        <f t="shared" si="87"/>
        <v/>
      </c>
      <c r="AK337" s="178" t="str">
        <f t="shared" si="88"/>
        <v/>
      </c>
      <c r="AN337" s="149" t="str">
        <f t="shared" si="89"/>
        <v/>
      </c>
      <c r="AQ337" s="178" t="str">
        <f t="shared" ca="1" si="90"/>
        <v/>
      </c>
      <c r="AR337" s="178" t="str">
        <f t="shared" ca="1" si="91"/>
        <v/>
      </c>
    </row>
    <row r="338" spans="1:44" x14ac:dyDescent="0.2">
      <c r="A338" t="str">
        <f>IF(B338="","",CONCATENATE("GBL",B338," - ",Mantenedor!E349))</f>
        <v/>
      </c>
      <c r="P338" t="str">
        <f t="shared" si="83"/>
        <v/>
      </c>
      <c r="Q338" s="266" t="str" cm="1">
        <f t="array" ref="Q338">+_xlfn.IFS(O338="Nacional","CLP",O338="Extranjero","USD",O338="","")</f>
        <v/>
      </c>
      <c r="R338" s="262" t="str">
        <f>IFERROR(IF(O338="Nacional",VLOOKUP(P338,PRICING!$D$4:$E$59,2,FALSE),VLOOKUP(P338,PRICING!$J$4:$K$59,2,FALSE)),"")</f>
        <v/>
      </c>
      <c r="S338"/>
      <c r="V338" s="262" t="str">
        <f t="shared" si="99"/>
        <v/>
      </c>
      <c r="W338" s="280" t="str">
        <f t="shared" si="84"/>
        <v/>
      </c>
      <c r="X338" s="178" t="str">
        <f t="shared" si="93"/>
        <v/>
      </c>
      <c r="Y338" s="178" t="str">
        <f t="shared" si="94"/>
        <v/>
      </c>
      <c r="Z338" s="178" t="str">
        <f t="shared" si="95"/>
        <v/>
      </c>
      <c r="AA338" s="178" t="str">
        <f t="shared" si="96"/>
        <v/>
      </c>
      <c r="AB338" s="178" t="str">
        <f t="shared" si="97"/>
        <v/>
      </c>
      <c r="AC338" s="178" t="str">
        <f t="shared" si="98"/>
        <v/>
      </c>
      <c r="AD338" s="267" t="s">
        <v>316</v>
      </c>
      <c r="AF338" s="149" t="str">
        <f t="shared" si="92"/>
        <v/>
      </c>
      <c r="AH338" s="178" t="str">
        <f t="shared" si="85"/>
        <v/>
      </c>
      <c r="AI338" s="178" t="str">
        <f t="shared" si="86"/>
        <v/>
      </c>
      <c r="AJ338" s="178" t="str">
        <f t="shared" si="87"/>
        <v/>
      </c>
      <c r="AK338" s="178" t="str">
        <f t="shared" si="88"/>
        <v/>
      </c>
      <c r="AN338" s="149" t="str">
        <f t="shared" si="89"/>
        <v/>
      </c>
      <c r="AQ338" s="178" t="str">
        <f t="shared" ca="1" si="90"/>
        <v/>
      </c>
      <c r="AR338" s="178" t="str">
        <f t="shared" ca="1" si="91"/>
        <v/>
      </c>
    </row>
    <row r="339" spans="1:44" x14ac:dyDescent="0.2">
      <c r="A339" t="str">
        <f>IF(B339="","",CONCATENATE("GBL",B339," - ",Mantenedor!E350))</f>
        <v/>
      </c>
      <c r="P339" t="str">
        <f t="shared" si="83"/>
        <v/>
      </c>
      <c r="Q339" s="266" t="str" cm="1">
        <f t="array" ref="Q339">+_xlfn.IFS(O339="Nacional","CLP",O339="Extranjero","USD",O339="","")</f>
        <v/>
      </c>
      <c r="R339" s="262" t="str">
        <f>IFERROR(IF(O339="Nacional",VLOOKUP(P339,PRICING!$D$4:$E$59,2,FALSE),VLOOKUP(P339,PRICING!$J$4:$K$59,2,FALSE)),"")</f>
        <v/>
      </c>
      <c r="S339"/>
      <c r="V339" s="262" t="str">
        <f t="shared" si="99"/>
        <v/>
      </c>
      <c r="W339" s="280" t="str">
        <f t="shared" si="84"/>
        <v/>
      </c>
      <c r="X339" s="178" t="str">
        <f t="shared" si="93"/>
        <v/>
      </c>
      <c r="Y339" s="178" t="str">
        <f t="shared" si="94"/>
        <v/>
      </c>
      <c r="Z339" s="178" t="str">
        <f t="shared" si="95"/>
        <v/>
      </c>
      <c r="AA339" s="178" t="str">
        <f t="shared" si="96"/>
        <v/>
      </c>
      <c r="AB339" s="178" t="str">
        <f t="shared" si="97"/>
        <v/>
      </c>
      <c r="AC339" s="178" t="str">
        <f t="shared" si="98"/>
        <v/>
      </c>
      <c r="AD339" s="267" t="s">
        <v>316</v>
      </c>
      <c r="AF339" s="149" t="str">
        <f t="shared" si="92"/>
        <v/>
      </c>
      <c r="AH339" s="178" t="str">
        <f t="shared" si="85"/>
        <v/>
      </c>
      <c r="AI339" s="178" t="str">
        <f t="shared" si="86"/>
        <v/>
      </c>
      <c r="AJ339" s="178" t="str">
        <f t="shared" si="87"/>
        <v/>
      </c>
      <c r="AK339" s="178" t="str">
        <f t="shared" si="88"/>
        <v/>
      </c>
      <c r="AN339" s="149" t="str">
        <f t="shared" si="89"/>
        <v/>
      </c>
      <c r="AQ339" s="178" t="str">
        <f t="shared" ca="1" si="90"/>
        <v/>
      </c>
      <c r="AR339" s="178" t="str">
        <f t="shared" ca="1" si="91"/>
        <v/>
      </c>
    </row>
    <row r="340" spans="1:44" x14ac:dyDescent="0.2">
      <c r="A340" t="str">
        <f>IF(B340="","",CONCATENATE("GBL",B340," - ",Mantenedor!E351))</f>
        <v/>
      </c>
      <c r="P340" t="str">
        <f t="shared" si="83"/>
        <v/>
      </c>
      <c r="Q340" s="266" t="str" cm="1">
        <f t="array" ref="Q340">+_xlfn.IFS(O340="Nacional","CLP",O340="Extranjero","USD",O340="","")</f>
        <v/>
      </c>
      <c r="R340" s="262" t="str">
        <f>IFERROR(IF(O340="Nacional",VLOOKUP(P340,PRICING!$D$4:$E$59,2,FALSE),VLOOKUP(P340,PRICING!$J$4:$K$59,2,FALSE)),"")</f>
        <v/>
      </c>
      <c r="S340"/>
      <c r="V340" s="262" t="str">
        <f t="shared" si="99"/>
        <v/>
      </c>
      <c r="W340" s="280" t="str">
        <f t="shared" si="84"/>
        <v/>
      </c>
      <c r="X340" s="178" t="str">
        <f t="shared" si="93"/>
        <v/>
      </c>
      <c r="Y340" s="178" t="str">
        <f t="shared" si="94"/>
        <v/>
      </c>
      <c r="Z340" s="178" t="str">
        <f t="shared" si="95"/>
        <v/>
      </c>
      <c r="AA340" s="178" t="str">
        <f t="shared" si="96"/>
        <v/>
      </c>
      <c r="AB340" s="178" t="str">
        <f t="shared" si="97"/>
        <v/>
      </c>
      <c r="AC340" s="178" t="str">
        <f t="shared" si="98"/>
        <v/>
      </c>
      <c r="AD340" s="267" t="s">
        <v>316</v>
      </c>
      <c r="AF340" s="149" t="str">
        <f t="shared" si="92"/>
        <v/>
      </c>
      <c r="AH340" s="178" t="str">
        <f t="shared" si="85"/>
        <v/>
      </c>
      <c r="AI340" s="178" t="str">
        <f t="shared" si="86"/>
        <v/>
      </c>
      <c r="AJ340" s="178" t="str">
        <f t="shared" si="87"/>
        <v/>
      </c>
      <c r="AK340" s="178" t="str">
        <f t="shared" si="88"/>
        <v/>
      </c>
      <c r="AN340" s="149" t="str">
        <f t="shared" si="89"/>
        <v/>
      </c>
      <c r="AQ340" s="178" t="str">
        <f t="shared" ca="1" si="90"/>
        <v/>
      </c>
      <c r="AR340" s="178" t="str">
        <f t="shared" ca="1" si="91"/>
        <v/>
      </c>
    </row>
    <row r="341" spans="1:44" x14ac:dyDescent="0.2">
      <c r="A341" t="str">
        <f>IF(B341="","",CONCATENATE("GBL",B341," - ",Mantenedor!E352))</f>
        <v/>
      </c>
      <c r="P341" t="str">
        <f t="shared" si="83"/>
        <v/>
      </c>
      <c r="Q341" s="266" t="str" cm="1">
        <f t="array" ref="Q341">+_xlfn.IFS(O341="Nacional","CLP",O341="Extranjero","USD",O341="","")</f>
        <v/>
      </c>
      <c r="R341" s="262" t="str">
        <f>IFERROR(IF(O341="Nacional",VLOOKUP(P341,PRICING!$D$4:$E$59,2,FALSE),VLOOKUP(P341,PRICING!$J$4:$K$59,2,FALSE)),"")</f>
        <v/>
      </c>
      <c r="S341"/>
      <c r="V341" s="262" t="str">
        <f t="shared" si="99"/>
        <v/>
      </c>
      <c r="W341" s="280" t="str">
        <f t="shared" si="84"/>
        <v/>
      </c>
      <c r="X341" s="178" t="str">
        <f t="shared" si="93"/>
        <v/>
      </c>
      <c r="Y341" s="178" t="str">
        <f t="shared" si="94"/>
        <v/>
      </c>
      <c r="Z341" s="178" t="str">
        <f t="shared" si="95"/>
        <v/>
      </c>
      <c r="AA341" s="178" t="str">
        <f t="shared" si="96"/>
        <v/>
      </c>
      <c r="AB341" s="178" t="str">
        <f t="shared" si="97"/>
        <v/>
      </c>
      <c r="AC341" s="178" t="str">
        <f t="shared" si="98"/>
        <v/>
      </c>
      <c r="AD341" s="267" t="s">
        <v>316</v>
      </c>
      <c r="AF341" s="149" t="str">
        <f t="shared" si="92"/>
        <v/>
      </c>
      <c r="AH341" s="178" t="str">
        <f t="shared" si="85"/>
        <v/>
      </c>
      <c r="AI341" s="178" t="str">
        <f t="shared" si="86"/>
        <v/>
      </c>
      <c r="AJ341" s="178" t="str">
        <f t="shared" si="87"/>
        <v/>
      </c>
      <c r="AK341" s="178" t="str">
        <f t="shared" si="88"/>
        <v/>
      </c>
      <c r="AN341" s="149" t="str">
        <f t="shared" si="89"/>
        <v/>
      </c>
      <c r="AQ341" s="178" t="str">
        <f t="shared" ca="1" si="90"/>
        <v/>
      </c>
      <c r="AR341" s="178" t="str">
        <f t="shared" ca="1" si="91"/>
        <v/>
      </c>
    </row>
    <row r="342" spans="1:44" x14ac:dyDescent="0.2">
      <c r="A342" t="str">
        <f>IF(B342="","",CONCATENATE("GBL",B342," - ",Mantenedor!E353))</f>
        <v/>
      </c>
      <c r="P342" t="str">
        <f t="shared" si="83"/>
        <v/>
      </c>
      <c r="Q342" s="266" t="str" cm="1">
        <f t="array" ref="Q342">+_xlfn.IFS(O342="Nacional","CLP",O342="Extranjero","USD",O342="","")</f>
        <v/>
      </c>
      <c r="R342" s="262" t="str">
        <f>IFERROR(IF(O342="Nacional",VLOOKUP(P342,PRICING!$D$4:$E$59,2,FALSE),VLOOKUP(P342,PRICING!$J$4:$K$59,2,FALSE)),"")</f>
        <v/>
      </c>
      <c r="S342"/>
      <c r="V342" s="262" t="str">
        <f t="shared" si="99"/>
        <v/>
      </c>
      <c r="W342" s="280" t="str">
        <f t="shared" si="84"/>
        <v/>
      </c>
      <c r="X342" s="178" t="str">
        <f t="shared" si="93"/>
        <v/>
      </c>
      <c r="Y342" s="178" t="str">
        <f t="shared" si="94"/>
        <v/>
      </c>
      <c r="Z342" s="178" t="str">
        <f t="shared" si="95"/>
        <v/>
      </c>
      <c r="AA342" s="178" t="str">
        <f t="shared" si="96"/>
        <v/>
      </c>
      <c r="AB342" s="178" t="str">
        <f t="shared" si="97"/>
        <v/>
      </c>
      <c r="AC342" s="178" t="str">
        <f t="shared" si="98"/>
        <v/>
      </c>
      <c r="AD342" s="267" t="s">
        <v>316</v>
      </c>
      <c r="AF342" s="149" t="str">
        <f t="shared" si="92"/>
        <v/>
      </c>
      <c r="AH342" s="178" t="str">
        <f t="shared" si="85"/>
        <v/>
      </c>
      <c r="AI342" s="178" t="str">
        <f t="shared" si="86"/>
        <v/>
      </c>
      <c r="AJ342" s="178" t="str">
        <f t="shared" si="87"/>
        <v/>
      </c>
      <c r="AK342" s="178" t="str">
        <f t="shared" si="88"/>
        <v/>
      </c>
      <c r="AN342" s="149" t="str">
        <f t="shared" si="89"/>
        <v/>
      </c>
      <c r="AQ342" s="178" t="str">
        <f t="shared" ca="1" si="90"/>
        <v/>
      </c>
      <c r="AR342" s="178" t="str">
        <f t="shared" ca="1" si="91"/>
        <v/>
      </c>
    </row>
    <row r="343" spans="1:44" x14ac:dyDescent="0.2">
      <c r="A343" t="str">
        <f>IF(B343="","",CONCATENATE("GBL",B343," - ",Mantenedor!E354))</f>
        <v/>
      </c>
      <c r="P343" t="str">
        <f t="shared" si="83"/>
        <v/>
      </c>
      <c r="Q343" s="266" t="str" cm="1">
        <f t="array" ref="Q343">+_xlfn.IFS(O343="Nacional","CLP",O343="Extranjero","USD",O343="","")</f>
        <v/>
      </c>
      <c r="R343" s="262" t="str">
        <f>IFERROR(IF(O343="Nacional",VLOOKUP(P343,PRICING!$D$4:$E$59,2,FALSE),VLOOKUP(P343,PRICING!$J$4:$K$59,2,FALSE)),"")</f>
        <v/>
      </c>
      <c r="S343"/>
      <c r="V343" s="262" t="str">
        <f t="shared" si="99"/>
        <v/>
      </c>
      <c r="W343" s="280" t="str">
        <f t="shared" si="84"/>
        <v/>
      </c>
      <c r="X343" s="178" t="str">
        <f t="shared" si="93"/>
        <v/>
      </c>
      <c r="Y343" s="178" t="str">
        <f t="shared" si="94"/>
        <v/>
      </c>
      <c r="Z343" s="178" t="str">
        <f t="shared" si="95"/>
        <v/>
      </c>
      <c r="AA343" s="178" t="str">
        <f t="shared" si="96"/>
        <v/>
      </c>
      <c r="AB343" s="178" t="str">
        <f t="shared" si="97"/>
        <v/>
      </c>
      <c r="AC343" s="178" t="str">
        <f t="shared" si="98"/>
        <v/>
      </c>
      <c r="AD343" s="267" t="s">
        <v>316</v>
      </c>
      <c r="AF343" s="149" t="str">
        <f t="shared" si="92"/>
        <v/>
      </c>
      <c r="AH343" s="178" t="str">
        <f t="shared" si="85"/>
        <v/>
      </c>
      <c r="AI343" s="178" t="str">
        <f t="shared" si="86"/>
        <v/>
      </c>
      <c r="AJ343" s="178" t="str">
        <f t="shared" si="87"/>
        <v/>
      </c>
      <c r="AK343" s="178" t="str">
        <f t="shared" si="88"/>
        <v/>
      </c>
      <c r="AN343" s="149" t="str">
        <f t="shared" si="89"/>
        <v/>
      </c>
      <c r="AQ343" s="178" t="str">
        <f t="shared" ca="1" si="90"/>
        <v/>
      </c>
      <c r="AR343" s="178" t="str">
        <f t="shared" ca="1" si="91"/>
        <v/>
      </c>
    </row>
    <row r="344" spans="1:44" x14ac:dyDescent="0.2">
      <c r="A344" t="str">
        <f>IF(B344="","",CONCATENATE("GBL",B344," - ",Mantenedor!E355))</f>
        <v/>
      </c>
      <c r="P344" t="str">
        <f t="shared" si="83"/>
        <v/>
      </c>
      <c r="Q344" s="266" t="str" cm="1">
        <f t="array" ref="Q344">+_xlfn.IFS(O344="Nacional","CLP",O344="Extranjero","USD",O344="","")</f>
        <v/>
      </c>
      <c r="R344" s="262" t="str">
        <f>IFERROR(IF(O344="Nacional",VLOOKUP(P344,PRICING!$D$4:$E$59,2,FALSE),VLOOKUP(P344,PRICING!$J$4:$K$59,2,FALSE)),"")</f>
        <v/>
      </c>
      <c r="S344"/>
      <c r="V344" s="262" t="str">
        <f t="shared" si="99"/>
        <v/>
      </c>
      <c r="W344" s="280" t="str">
        <f t="shared" si="84"/>
        <v/>
      </c>
      <c r="X344" s="178" t="str">
        <f t="shared" si="93"/>
        <v/>
      </c>
      <c r="Y344" s="178" t="str">
        <f t="shared" si="94"/>
        <v/>
      </c>
      <c r="Z344" s="178" t="str">
        <f t="shared" si="95"/>
        <v/>
      </c>
      <c r="AA344" s="178" t="str">
        <f t="shared" si="96"/>
        <v/>
      </c>
      <c r="AB344" s="178" t="str">
        <f t="shared" si="97"/>
        <v/>
      </c>
      <c r="AC344" s="178" t="str">
        <f t="shared" si="98"/>
        <v/>
      </c>
      <c r="AD344" s="267" t="s">
        <v>316</v>
      </c>
      <c r="AF344" s="149" t="str">
        <f t="shared" si="92"/>
        <v/>
      </c>
      <c r="AH344" s="178" t="str">
        <f t="shared" si="85"/>
        <v/>
      </c>
      <c r="AI344" s="178" t="str">
        <f t="shared" si="86"/>
        <v/>
      </c>
      <c r="AJ344" s="178" t="str">
        <f t="shared" si="87"/>
        <v/>
      </c>
      <c r="AK344" s="178" t="str">
        <f t="shared" si="88"/>
        <v/>
      </c>
      <c r="AN344" s="149" t="str">
        <f t="shared" si="89"/>
        <v/>
      </c>
      <c r="AQ344" s="178" t="str">
        <f t="shared" ca="1" si="90"/>
        <v/>
      </c>
      <c r="AR344" s="178" t="str">
        <f t="shared" ca="1" si="91"/>
        <v/>
      </c>
    </row>
    <row r="345" spans="1:44" x14ac:dyDescent="0.2">
      <c r="A345" t="str">
        <f>IF(B345="","",CONCATENATE("GBL",B345," - ",Mantenedor!E356))</f>
        <v/>
      </c>
      <c r="P345" t="str">
        <f t="shared" si="83"/>
        <v/>
      </c>
      <c r="Q345" s="266" t="str" cm="1">
        <f t="array" ref="Q345">+_xlfn.IFS(O345="Nacional","CLP",O345="Extranjero","USD",O345="","")</f>
        <v/>
      </c>
      <c r="R345" s="262" t="str">
        <f>IFERROR(IF(O345="Nacional",VLOOKUP(P345,PRICING!$D$4:$E$59,2,FALSE),VLOOKUP(P345,PRICING!$J$4:$K$59,2,FALSE)),"")</f>
        <v/>
      </c>
      <c r="S345"/>
      <c r="V345" s="262" t="str">
        <f t="shared" si="99"/>
        <v/>
      </c>
      <c r="W345" s="280" t="str">
        <f t="shared" si="84"/>
        <v/>
      </c>
      <c r="X345" s="178" t="str">
        <f t="shared" si="93"/>
        <v/>
      </c>
      <c r="Y345" s="178" t="str">
        <f t="shared" si="94"/>
        <v/>
      </c>
      <c r="Z345" s="178" t="str">
        <f t="shared" si="95"/>
        <v/>
      </c>
      <c r="AA345" s="178" t="str">
        <f t="shared" si="96"/>
        <v/>
      </c>
      <c r="AB345" s="178" t="str">
        <f t="shared" si="97"/>
        <v/>
      </c>
      <c r="AC345" s="178" t="str">
        <f t="shared" si="98"/>
        <v/>
      </c>
      <c r="AD345" s="267" t="s">
        <v>316</v>
      </c>
      <c r="AF345" s="149" t="str">
        <f t="shared" si="92"/>
        <v/>
      </c>
      <c r="AH345" s="178" t="str">
        <f t="shared" si="85"/>
        <v/>
      </c>
      <c r="AI345" s="178" t="str">
        <f t="shared" si="86"/>
        <v/>
      </c>
      <c r="AJ345" s="178" t="str">
        <f t="shared" si="87"/>
        <v/>
      </c>
      <c r="AK345" s="178" t="str">
        <f t="shared" si="88"/>
        <v/>
      </c>
      <c r="AN345" s="149" t="str">
        <f t="shared" si="89"/>
        <v/>
      </c>
      <c r="AQ345" s="178" t="str">
        <f t="shared" ca="1" si="90"/>
        <v/>
      </c>
      <c r="AR345" s="178" t="str">
        <f t="shared" ca="1" si="91"/>
        <v/>
      </c>
    </row>
    <row r="346" spans="1:44" x14ac:dyDescent="0.2">
      <c r="A346" t="str">
        <f>IF(B346="","",CONCATENATE("GBL",B346," - ",Mantenedor!E357))</f>
        <v/>
      </c>
      <c r="P346" t="str">
        <f t="shared" si="83"/>
        <v/>
      </c>
      <c r="Q346" s="266" t="str" cm="1">
        <f t="array" ref="Q346">+_xlfn.IFS(O346="Nacional","CLP",O346="Extranjero","USD",O346="","")</f>
        <v/>
      </c>
      <c r="R346" s="262" t="str">
        <f>IFERROR(IF(O346="Nacional",VLOOKUP(P346,PRICING!$D$4:$E$59,2,FALSE),VLOOKUP(P346,PRICING!$J$4:$K$59,2,FALSE)),"")</f>
        <v/>
      </c>
      <c r="S346"/>
      <c r="V346" s="262" t="str">
        <f t="shared" si="99"/>
        <v/>
      </c>
      <c r="W346" s="280" t="str">
        <f t="shared" si="84"/>
        <v/>
      </c>
      <c r="X346" s="178" t="str">
        <f t="shared" si="93"/>
        <v/>
      </c>
      <c r="Y346" s="178" t="str">
        <f t="shared" si="94"/>
        <v/>
      </c>
      <c r="Z346" s="178" t="str">
        <f t="shared" si="95"/>
        <v/>
      </c>
      <c r="AA346" s="178" t="str">
        <f t="shared" si="96"/>
        <v/>
      </c>
      <c r="AB346" s="178" t="str">
        <f t="shared" si="97"/>
        <v/>
      </c>
      <c r="AC346" s="178" t="str">
        <f t="shared" si="98"/>
        <v/>
      </c>
      <c r="AD346" s="267" t="s">
        <v>316</v>
      </c>
      <c r="AF346" s="149" t="str">
        <f t="shared" si="92"/>
        <v/>
      </c>
      <c r="AH346" s="178" t="str">
        <f t="shared" si="85"/>
        <v/>
      </c>
      <c r="AI346" s="178" t="str">
        <f t="shared" si="86"/>
        <v/>
      </c>
      <c r="AJ346" s="178" t="str">
        <f t="shared" si="87"/>
        <v/>
      </c>
      <c r="AK346" s="178" t="str">
        <f t="shared" si="88"/>
        <v/>
      </c>
      <c r="AN346" s="149" t="str">
        <f t="shared" si="89"/>
        <v/>
      </c>
      <c r="AQ346" s="178" t="str">
        <f t="shared" ca="1" si="90"/>
        <v/>
      </c>
      <c r="AR346" s="178" t="str">
        <f t="shared" ca="1" si="91"/>
        <v/>
      </c>
    </row>
    <row r="347" spans="1:44" x14ac:dyDescent="0.2">
      <c r="A347" t="str">
        <f>IF(B347="","",CONCATENATE("GBL",B347," - ",Mantenedor!E358))</f>
        <v/>
      </c>
      <c r="P347" t="str">
        <f t="shared" si="83"/>
        <v/>
      </c>
      <c r="Q347" s="266" t="str" cm="1">
        <f t="array" ref="Q347">+_xlfn.IFS(O347="Nacional","CLP",O347="Extranjero","USD",O347="","")</f>
        <v/>
      </c>
      <c r="R347" s="262" t="str">
        <f>IFERROR(IF(O347="Nacional",VLOOKUP(P347,PRICING!$D$4:$E$59,2,FALSE),VLOOKUP(P347,PRICING!$J$4:$K$59,2,FALSE)),"")</f>
        <v/>
      </c>
      <c r="S347"/>
      <c r="V347" s="262" t="str">
        <f t="shared" si="99"/>
        <v/>
      </c>
      <c r="W347" s="280" t="str">
        <f t="shared" si="84"/>
        <v/>
      </c>
      <c r="X347" s="178" t="str">
        <f t="shared" si="93"/>
        <v/>
      </c>
      <c r="Y347" s="178" t="str">
        <f t="shared" si="94"/>
        <v/>
      </c>
      <c r="Z347" s="178" t="str">
        <f t="shared" si="95"/>
        <v/>
      </c>
      <c r="AA347" s="178" t="str">
        <f t="shared" si="96"/>
        <v/>
      </c>
      <c r="AB347" s="178" t="str">
        <f t="shared" si="97"/>
        <v/>
      </c>
      <c r="AC347" s="178" t="str">
        <f t="shared" si="98"/>
        <v/>
      </c>
      <c r="AD347" s="267" t="s">
        <v>316</v>
      </c>
      <c r="AF347" s="149" t="str">
        <f t="shared" si="92"/>
        <v/>
      </c>
      <c r="AH347" s="178" t="str">
        <f t="shared" si="85"/>
        <v/>
      </c>
      <c r="AI347" s="178" t="str">
        <f t="shared" si="86"/>
        <v/>
      </c>
      <c r="AJ347" s="178" t="str">
        <f t="shared" si="87"/>
        <v/>
      </c>
      <c r="AK347" s="178" t="str">
        <f t="shared" si="88"/>
        <v/>
      </c>
      <c r="AN347" s="149" t="str">
        <f t="shared" si="89"/>
        <v/>
      </c>
      <c r="AQ347" s="178" t="str">
        <f t="shared" ca="1" si="90"/>
        <v/>
      </c>
      <c r="AR347" s="178" t="str">
        <f t="shared" ca="1" si="91"/>
        <v/>
      </c>
    </row>
    <row r="348" spans="1:44" x14ac:dyDescent="0.2">
      <c r="A348" t="str">
        <f>IF(B348="","",CONCATENATE("GBL",B348," - ",Mantenedor!E359))</f>
        <v/>
      </c>
      <c r="P348" t="str">
        <f t="shared" si="83"/>
        <v/>
      </c>
      <c r="Q348" s="266" t="str" cm="1">
        <f t="array" ref="Q348">+_xlfn.IFS(O348="Nacional","CLP",O348="Extranjero","USD",O348="","")</f>
        <v/>
      </c>
      <c r="R348" s="262" t="str">
        <f>IFERROR(IF(O348="Nacional",VLOOKUP(P348,PRICING!$D$4:$E$59,2,FALSE),VLOOKUP(P348,PRICING!$J$4:$K$59,2,FALSE)),"")</f>
        <v/>
      </c>
      <c r="S348"/>
      <c r="V348" s="262" t="str">
        <f t="shared" si="99"/>
        <v/>
      </c>
      <c r="W348" s="280" t="str">
        <f t="shared" si="84"/>
        <v/>
      </c>
      <c r="X348" s="178" t="str">
        <f t="shared" si="93"/>
        <v/>
      </c>
      <c r="Y348" s="178" t="str">
        <f t="shared" si="94"/>
        <v/>
      </c>
      <c r="Z348" s="178" t="str">
        <f t="shared" si="95"/>
        <v/>
      </c>
      <c r="AA348" s="178" t="str">
        <f t="shared" si="96"/>
        <v/>
      </c>
      <c r="AB348" s="178" t="str">
        <f t="shared" si="97"/>
        <v/>
      </c>
      <c r="AC348" s="178" t="str">
        <f t="shared" si="98"/>
        <v/>
      </c>
      <c r="AD348" s="267" t="s">
        <v>316</v>
      </c>
      <c r="AF348" s="149" t="str">
        <f t="shared" si="92"/>
        <v/>
      </c>
      <c r="AH348" s="178" t="str">
        <f t="shared" si="85"/>
        <v/>
      </c>
      <c r="AI348" s="178" t="str">
        <f t="shared" si="86"/>
        <v/>
      </c>
      <c r="AJ348" s="178" t="str">
        <f t="shared" si="87"/>
        <v/>
      </c>
      <c r="AK348" s="178" t="str">
        <f t="shared" si="88"/>
        <v/>
      </c>
      <c r="AN348" s="149" t="str">
        <f t="shared" si="89"/>
        <v/>
      </c>
      <c r="AQ348" s="178" t="str">
        <f t="shared" ca="1" si="90"/>
        <v/>
      </c>
      <c r="AR348" s="178" t="str">
        <f t="shared" ca="1" si="91"/>
        <v/>
      </c>
    </row>
    <row r="349" spans="1:44" x14ac:dyDescent="0.2">
      <c r="A349" t="str">
        <f>IF(B349="","",CONCATENATE("GBL",B349," - ",Mantenedor!E360))</f>
        <v/>
      </c>
      <c r="P349" t="str">
        <f t="shared" si="83"/>
        <v/>
      </c>
      <c r="Q349" s="266" t="str" cm="1">
        <f t="array" ref="Q349">+_xlfn.IFS(O349="Nacional","CLP",O349="Extranjero","USD",O349="","")</f>
        <v/>
      </c>
      <c r="R349" s="262" t="str">
        <f>IFERROR(IF(O349="Nacional",VLOOKUP(P349,PRICING!$D$4:$E$59,2,FALSE),VLOOKUP(P349,PRICING!$J$4:$K$59,2,FALSE)),"")</f>
        <v/>
      </c>
      <c r="S349"/>
      <c r="V349" s="262" t="str">
        <f t="shared" si="99"/>
        <v/>
      </c>
      <c r="W349" s="280" t="str">
        <f t="shared" si="84"/>
        <v/>
      </c>
      <c r="X349" s="178" t="str">
        <f t="shared" si="93"/>
        <v/>
      </c>
      <c r="Y349" s="178" t="str">
        <f t="shared" si="94"/>
        <v/>
      </c>
      <c r="Z349" s="178" t="str">
        <f t="shared" si="95"/>
        <v/>
      </c>
      <c r="AA349" s="178" t="str">
        <f t="shared" si="96"/>
        <v/>
      </c>
      <c r="AB349" s="178" t="str">
        <f t="shared" si="97"/>
        <v/>
      </c>
      <c r="AC349" s="178" t="str">
        <f t="shared" si="98"/>
        <v/>
      </c>
      <c r="AD349" s="267" t="s">
        <v>316</v>
      </c>
      <c r="AF349" s="149" t="str">
        <f t="shared" si="92"/>
        <v/>
      </c>
      <c r="AH349" s="178" t="str">
        <f t="shared" si="85"/>
        <v/>
      </c>
      <c r="AI349" s="178" t="str">
        <f t="shared" si="86"/>
        <v/>
      </c>
      <c r="AJ349" s="178" t="str">
        <f t="shared" si="87"/>
        <v/>
      </c>
      <c r="AK349" s="178" t="str">
        <f t="shared" si="88"/>
        <v/>
      </c>
      <c r="AN349" s="149" t="str">
        <f t="shared" si="89"/>
        <v/>
      </c>
      <c r="AQ349" s="178" t="str">
        <f t="shared" ca="1" si="90"/>
        <v/>
      </c>
      <c r="AR349" s="178" t="str">
        <f t="shared" ca="1" si="91"/>
        <v/>
      </c>
    </row>
    <row r="350" spans="1:44" x14ac:dyDescent="0.2">
      <c r="A350" t="str">
        <f>IF(B350="","",CONCATENATE("GBL",B350," - ",Mantenedor!E361))</f>
        <v/>
      </c>
      <c r="P350" t="str">
        <f t="shared" si="83"/>
        <v/>
      </c>
      <c r="Q350" s="266" t="str" cm="1">
        <f t="array" ref="Q350">+_xlfn.IFS(O350="Nacional","CLP",O350="Extranjero","USD",O350="","")</f>
        <v/>
      </c>
      <c r="R350" s="262" t="str">
        <f>IFERROR(IF(O350="Nacional",VLOOKUP(P350,PRICING!$D$4:$E$59,2,FALSE),VLOOKUP(P350,PRICING!$J$4:$K$59,2,FALSE)),"")</f>
        <v/>
      </c>
      <c r="S350"/>
      <c r="V350" s="262" t="str">
        <f t="shared" si="99"/>
        <v/>
      </c>
      <c r="W350" s="280" t="str">
        <f t="shared" si="84"/>
        <v/>
      </c>
      <c r="X350" s="178" t="str">
        <f t="shared" si="93"/>
        <v/>
      </c>
      <c r="Y350" s="178" t="str">
        <f t="shared" si="94"/>
        <v/>
      </c>
      <c r="Z350" s="178" t="str">
        <f t="shared" si="95"/>
        <v/>
      </c>
      <c r="AA350" s="178" t="str">
        <f t="shared" si="96"/>
        <v/>
      </c>
      <c r="AB350" s="178" t="str">
        <f t="shared" si="97"/>
        <v/>
      </c>
      <c r="AC350" s="178" t="str">
        <f t="shared" si="98"/>
        <v/>
      </c>
      <c r="AD350" s="267" t="s">
        <v>316</v>
      </c>
      <c r="AF350" s="149" t="str">
        <f t="shared" si="92"/>
        <v/>
      </c>
      <c r="AH350" s="178" t="str">
        <f t="shared" si="85"/>
        <v/>
      </c>
      <c r="AI350" s="178" t="str">
        <f t="shared" si="86"/>
        <v/>
      </c>
      <c r="AJ350" s="178" t="str">
        <f t="shared" si="87"/>
        <v/>
      </c>
      <c r="AK350" s="178" t="str">
        <f t="shared" si="88"/>
        <v/>
      </c>
      <c r="AN350" s="149" t="str">
        <f t="shared" si="89"/>
        <v/>
      </c>
      <c r="AQ350" s="178" t="str">
        <f t="shared" ca="1" si="90"/>
        <v/>
      </c>
      <c r="AR350" s="178" t="str">
        <f t="shared" ca="1" si="91"/>
        <v/>
      </c>
    </row>
    <row r="351" spans="1:44" x14ac:dyDescent="0.2">
      <c r="A351" t="str">
        <f>IF(B351="","",CONCATENATE("GBL",B351," - ",Mantenedor!E362))</f>
        <v/>
      </c>
      <c r="P351" t="str">
        <f t="shared" si="83"/>
        <v/>
      </c>
      <c r="Q351" s="266" t="str" cm="1">
        <f t="array" ref="Q351">+_xlfn.IFS(O351="Nacional","CLP",O351="Extranjero","USD",O351="","")</f>
        <v/>
      </c>
      <c r="R351" s="262" t="str">
        <f>IFERROR(IF(O351="Nacional",VLOOKUP(P351,PRICING!$D$4:$E$59,2,FALSE),VLOOKUP(P351,PRICING!$J$4:$K$59,2,FALSE)),"")</f>
        <v/>
      </c>
      <c r="S351"/>
      <c r="V351" s="262" t="str">
        <f t="shared" si="99"/>
        <v/>
      </c>
      <c r="W351" s="280" t="str">
        <f t="shared" si="84"/>
        <v/>
      </c>
      <c r="X351" s="178" t="str">
        <f t="shared" si="93"/>
        <v/>
      </c>
      <c r="Y351" s="178" t="str">
        <f t="shared" si="94"/>
        <v/>
      </c>
      <c r="Z351" s="178" t="str">
        <f t="shared" si="95"/>
        <v/>
      </c>
      <c r="AA351" s="178" t="str">
        <f t="shared" si="96"/>
        <v/>
      </c>
      <c r="AB351" s="178" t="str">
        <f t="shared" si="97"/>
        <v/>
      </c>
      <c r="AC351" s="178" t="str">
        <f t="shared" si="98"/>
        <v/>
      </c>
      <c r="AD351" s="267" t="s">
        <v>316</v>
      </c>
      <c r="AF351" s="149" t="str">
        <f t="shared" si="92"/>
        <v/>
      </c>
      <c r="AH351" s="178" t="str">
        <f t="shared" si="85"/>
        <v/>
      </c>
      <c r="AI351" s="178" t="str">
        <f t="shared" si="86"/>
        <v/>
      </c>
      <c r="AJ351" s="178" t="str">
        <f t="shared" si="87"/>
        <v/>
      </c>
      <c r="AK351" s="178" t="str">
        <f t="shared" si="88"/>
        <v/>
      </c>
      <c r="AN351" s="149" t="str">
        <f t="shared" si="89"/>
        <v/>
      </c>
      <c r="AQ351" s="178" t="str">
        <f t="shared" ca="1" si="90"/>
        <v/>
      </c>
      <c r="AR351" s="178" t="str">
        <f t="shared" ca="1" si="91"/>
        <v/>
      </c>
    </row>
    <row r="352" spans="1:44" x14ac:dyDescent="0.2">
      <c r="A352" t="str">
        <f>IF(B352="","",CONCATENATE("GBL",B352," - ",Mantenedor!E363))</f>
        <v/>
      </c>
      <c r="P352" t="str">
        <f t="shared" si="83"/>
        <v/>
      </c>
      <c r="Q352" s="266" t="str" cm="1">
        <f t="array" ref="Q352">+_xlfn.IFS(O352="Nacional","CLP",O352="Extranjero","USD",O352="","")</f>
        <v/>
      </c>
      <c r="R352" s="262" t="str">
        <f>IFERROR(IF(O352="Nacional",VLOOKUP(P352,PRICING!$D$4:$E$59,2,FALSE),VLOOKUP(P352,PRICING!$J$4:$K$59,2,FALSE)),"")</f>
        <v/>
      </c>
      <c r="S352"/>
      <c r="V352" s="262" t="str">
        <f t="shared" si="99"/>
        <v/>
      </c>
      <c r="W352" s="280" t="str">
        <f t="shared" si="84"/>
        <v/>
      </c>
      <c r="X352" s="178" t="str">
        <f t="shared" si="93"/>
        <v/>
      </c>
      <c r="Y352" s="178" t="str">
        <f t="shared" si="94"/>
        <v/>
      </c>
      <c r="Z352" s="178" t="str">
        <f t="shared" si="95"/>
        <v/>
      </c>
      <c r="AA352" s="178" t="str">
        <f t="shared" si="96"/>
        <v/>
      </c>
      <c r="AB352" s="178" t="str">
        <f t="shared" si="97"/>
        <v/>
      </c>
      <c r="AC352" s="178" t="str">
        <f t="shared" si="98"/>
        <v/>
      </c>
      <c r="AD352" s="267" t="s">
        <v>316</v>
      </c>
      <c r="AF352" s="149" t="str">
        <f t="shared" si="92"/>
        <v/>
      </c>
      <c r="AH352" s="178" t="str">
        <f t="shared" si="85"/>
        <v/>
      </c>
      <c r="AI352" s="178" t="str">
        <f t="shared" si="86"/>
        <v/>
      </c>
      <c r="AJ352" s="178" t="str">
        <f t="shared" si="87"/>
        <v/>
      </c>
      <c r="AK352" s="178" t="str">
        <f t="shared" si="88"/>
        <v/>
      </c>
      <c r="AN352" s="149" t="str">
        <f t="shared" si="89"/>
        <v/>
      </c>
      <c r="AQ352" s="178" t="str">
        <f t="shared" ca="1" si="90"/>
        <v/>
      </c>
      <c r="AR352" s="178" t="str">
        <f t="shared" ca="1" si="91"/>
        <v/>
      </c>
    </row>
    <row r="353" spans="1:44" x14ac:dyDescent="0.2">
      <c r="A353" t="str">
        <f>IF(B353="","",CONCATENATE("GBL",B353," - ",Mantenedor!E364))</f>
        <v/>
      </c>
      <c r="P353" t="str">
        <f t="shared" si="83"/>
        <v/>
      </c>
      <c r="Q353" s="266" t="str" cm="1">
        <f t="array" ref="Q353">+_xlfn.IFS(O353="Nacional","CLP",O353="Extranjero","USD",O353="","")</f>
        <v/>
      </c>
      <c r="R353" s="262" t="str">
        <f>IFERROR(IF(O353="Nacional",VLOOKUP(P353,PRICING!$D$4:$E$59,2,FALSE),VLOOKUP(P353,PRICING!$J$4:$K$59,2,FALSE)),"")</f>
        <v/>
      </c>
      <c r="S353"/>
      <c r="V353" s="262" t="str">
        <f t="shared" si="99"/>
        <v/>
      </c>
      <c r="W353" s="280" t="str">
        <f t="shared" si="84"/>
        <v/>
      </c>
      <c r="X353" s="178" t="str">
        <f t="shared" si="93"/>
        <v/>
      </c>
      <c r="Y353" s="178" t="str">
        <f t="shared" si="94"/>
        <v/>
      </c>
      <c r="Z353" s="178" t="str">
        <f t="shared" si="95"/>
        <v/>
      </c>
      <c r="AA353" s="178" t="str">
        <f t="shared" si="96"/>
        <v/>
      </c>
      <c r="AB353" s="178" t="str">
        <f t="shared" si="97"/>
        <v/>
      </c>
      <c r="AC353" s="178" t="str">
        <f t="shared" si="98"/>
        <v/>
      </c>
      <c r="AD353" s="267" t="s">
        <v>316</v>
      </c>
      <c r="AF353" s="149" t="str">
        <f t="shared" si="92"/>
        <v/>
      </c>
      <c r="AH353" s="178" t="str">
        <f t="shared" si="85"/>
        <v/>
      </c>
      <c r="AI353" s="178" t="str">
        <f t="shared" si="86"/>
        <v/>
      </c>
      <c r="AJ353" s="178" t="str">
        <f t="shared" si="87"/>
        <v/>
      </c>
      <c r="AK353" s="178" t="str">
        <f t="shared" si="88"/>
        <v/>
      </c>
      <c r="AN353" s="149" t="str">
        <f t="shared" si="89"/>
        <v/>
      </c>
      <c r="AQ353" s="178" t="str">
        <f t="shared" ca="1" si="90"/>
        <v/>
      </c>
      <c r="AR353" s="178" t="str">
        <f t="shared" ca="1" si="91"/>
        <v/>
      </c>
    </row>
    <row r="354" spans="1:44" x14ac:dyDescent="0.2">
      <c r="A354" t="str">
        <f>IF(B354="","",CONCATENATE("GBL",B354," - ",Mantenedor!E365))</f>
        <v/>
      </c>
      <c r="P354" t="str">
        <f t="shared" si="83"/>
        <v/>
      </c>
      <c r="Q354" s="266" t="str" cm="1">
        <f t="array" ref="Q354">+_xlfn.IFS(O354="Nacional","CLP",O354="Extranjero","USD",O354="","")</f>
        <v/>
      </c>
      <c r="R354" s="262" t="str">
        <f>IFERROR(IF(O354="Nacional",VLOOKUP(P354,PRICING!$D$4:$E$59,2,FALSE),VLOOKUP(P354,PRICING!$J$4:$K$59,2,FALSE)),"")</f>
        <v/>
      </c>
      <c r="S354"/>
      <c r="V354" s="262" t="str">
        <f t="shared" si="99"/>
        <v/>
      </c>
      <c r="W354" s="280" t="str">
        <f t="shared" si="84"/>
        <v/>
      </c>
      <c r="X354" s="178" t="str">
        <f t="shared" si="93"/>
        <v/>
      </c>
      <c r="Y354" s="178" t="str">
        <f t="shared" si="94"/>
        <v/>
      </c>
      <c r="Z354" s="178" t="str">
        <f t="shared" si="95"/>
        <v/>
      </c>
      <c r="AA354" s="178" t="str">
        <f t="shared" si="96"/>
        <v/>
      </c>
      <c r="AB354" s="178" t="str">
        <f t="shared" si="97"/>
        <v/>
      </c>
      <c r="AC354" s="178" t="str">
        <f t="shared" si="98"/>
        <v/>
      </c>
      <c r="AD354" s="267" t="s">
        <v>316</v>
      </c>
      <c r="AF354" s="149" t="str">
        <f t="shared" si="92"/>
        <v/>
      </c>
      <c r="AH354" s="178" t="str">
        <f t="shared" si="85"/>
        <v/>
      </c>
      <c r="AI354" s="178" t="str">
        <f t="shared" si="86"/>
        <v/>
      </c>
      <c r="AJ354" s="178" t="str">
        <f t="shared" si="87"/>
        <v/>
      </c>
      <c r="AK354" s="178" t="str">
        <f t="shared" si="88"/>
        <v/>
      </c>
      <c r="AN354" s="149" t="str">
        <f t="shared" si="89"/>
        <v/>
      </c>
      <c r="AQ354" s="178" t="str">
        <f t="shared" ca="1" si="90"/>
        <v/>
      </c>
      <c r="AR354" s="178" t="str">
        <f t="shared" ca="1" si="91"/>
        <v/>
      </c>
    </row>
    <row r="355" spans="1:44" x14ac:dyDescent="0.2">
      <c r="A355" t="str">
        <f>IF(B355="","",CONCATENATE("GBL",B355," - ",Mantenedor!E366))</f>
        <v/>
      </c>
      <c r="P355" t="str">
        <f t="shared" si="83"/>
        <v/>
      </c>
      <c r="Q355" s="266" t="str" cm="1">
        <f t="array" ref="Q355">+_xlfn.IFS(O355="Nacional","CLP",O355="Extranjero","USD",O355="","")</f>
        <v/>
      </c>
      <c r="R355" s="262" t="str">
        <f>IFERROR(IF(O355="Nacional",VLOOKUP(P355,PRICING!$D$4:$E$59,2,FALSE),VLOOKUP(P355,PRICING!$J$4:$K$59,2,FALSE)),"")</f>
        <v/>
      </c>
      <c r="S355"/>
      <c r="V355" s="262" t="str">
        <f t="shared" si="99"/>
        <v/>
      </c>
      <c r="W355" s="280" t="str">
        <f t="shared" si="84"/>
        <v/>
      </c>
      <c r="X355" s="178" t="str">
        <f t="shared" si="93"/>
        <v/>
      </c>
      <c r="Y355" s="178" t="str">
        <f t="shared" si="94"/>
        <v/>
      </c>
      <c r="Z355" s="178" t="str">
        <f t="shared" si="95"/>
        <v/>
      </c>
      <c r="AA355" s="178" t="str">
        <f t="shared" si="96"/>
        <v/>
      </c>
      <c r="AB355" s="178" t="str">
        <f t="shared" si="97"/>
        <v/>
      </c>
      <c r="AC355" s="178" t="str">
        <f t="shared" si="98"/>
        <v/>
      </c>
      <c r="AD355" s="267" t="s">
        <v>316</v>
      </c>
      <c r="AF355" s="149" t="str">
        <f t="shared" si="92"/>
        <v/>
      </c>
      <c r="AH355" s="178" t="str">
        <f t="shared" si="85"/>
        <v/>
      </c>
      <c r="AI355" s="178" t="str">
        <f t="shared" si="86"/>
        <v/>
      </c>
      <c r="AJ355" s="178" t="str">
        <f t="shared" si="87"/>
        <v/>
      </c>
      <c r="AK355" s="178" t="str">
        <f t="shared" si="88"/>
        <v/>
      </c>
      <c r="AN355" s="149" t="str">
        <f t="shared" si="89"/>
        <v/>
      </c>
      <c r="AQ355" s="178" t="str">
        <f t="shared" ca="1" si="90"/>
        <v/>
      </c>
      <c r="AR355" s="178" t="str">
        <f t="shared" ca="1" si="91"/>
        <v/>
      </c>
    </row>
    <row r="356" spans="1:44" x14ac:dyDescent="0.2">
      <c r="A356" t="str">
        <f>IF(B356="","",CONCATENATE("GBL",B356," - ",Mantenedor!E367))</f>
        <v/>
      </c>
      <c r="P356" t="str">
        <f t="shared" si="83"/>
        <v/>
      </c>
      <c r="Q356" s="266" t="str" cm="1">
        <f t="array" ref="Q356">+_xlfn.IFS(O356="Nacional","CLP",O356="Extranjero","USD",O356="","")</f>
        <v/>
      </c>
      <c r="R356" s="262" t="str">
        <f>IFERROR(IF(O356="Nacional",VLOOKUP(P356,PRICING!$D$4:$E$59,2,FALSE),VLOOKUP(P356,PRICING!$J$4:$K$59,2,FALSE)),"")</f>
        <v/>
      </c>
      <c r="S356"/>
      <c r="V356" s="262" t="str">
        <f t="shared" si="99"/>
        <v/>
      </c>
      <c r="W356" s="280" t="str">
        <f t="shared" si="84"/>
        <v/>
      </c>
      <c r="X356" s="178" t="str">
        <f t="shared" si="93"/>
        <v/>
      </c>
      <c r="Y356" s="178" t="str">
        <f t="shared" si="94"/>
        <v/>
      </c>
      <c r="Z356" s="178" t="str">
        <f t="shared" si="95"/>
        <v/>
      </c>
      <c r="AA356" s="178" t="str">
        <f t="shared" si="96"/>
        <v/>
      </c>
      <c r="AB356" s="178" t="str">
        <f t="shared" si="97"/>
        <v/>
      </c>
      <c r="AC356" s="178" t="str">
        <f t="shared" si="98"/>
        <v/>
      </c>
      <c r="AD356" s="267" t="s">
        <v>316</v>
      </c>
      <c r="AF356" s="149" t="str">
        <f t="shared" si="92"/>
        <v/>
      </c>
      <c r="AH356" s="178" t="str">
        <f t="shared" si="85"/>
        <v/>
      </c>
      <c r="AI356" s="178" t="str">
        <f t="shared" si="86"/>
        <v/>
      </c>
      <c r="AJ356" s="178" t="str">
        <f t="shared" si="87"/>
        <v/>
      </c>
      <c r="AK356" s="178" t="str">
        <f t="shared" si="88"/>
        <v/>
      </c>
      <c r="AN356" s="149" t="str">
        <f t="shared" si="89"/>
        <v/>
      </c>
      <c r="AQ356" s="178" t="str">
        <f t="shared" ca="1" si="90"/>
        <v/>
      </c>
      <c r="AR356" s="178" t="str">
        <f t="shared" ca="1" si="91"/>
        <v/>
      </c>
    </row>
    <row r="357" spans="1:44" x14ac:dyDescent="0.2">
      <c r="A357" t="str">
        <f>IF(B357="","",CONCATENATE("GBL",B357," - ",Mantenedor!E368))</f>
        <v/>
      </c>
      <c r="P357" t="str">
        <f t="shared" si="83"/>
        <v/>
      </c>
      <c r="Q357" s="266" t="str" cm="1">
        <f t="array" ref="Q357">+_xlfn.IFS(O357="Nacional","CLP",O357="Extranjero","USD",O357="","")</f>
        <v/>
      </c>
      <c r="R357" s="262" t="str">
        <f>IFERROR(IF(O357="Nacional",VLOOKUP(P357,PRICING!$D$4:$E$59,2,FALSE),VLOOKUP(P357,PRICING!$J$4:$K$59,2,FALSE)),"")</f>
        <v/>
      </c>
      <c r="S357"/>
      <c r="V357" s="262" t="str">
        <f t="shared" si="99"/>
        <v/>
      </c>
      <c r="W357" s="280" t="str">
        <f t="shared" si="84"/>
        <v/>
      </c>
      <c r="X357" s="178" t="str">
        <f t="shared" si="93"/>
        <v/>
      </c>
      <c r="Y357" s="178" t="str">
        <f t="shared" si="94"/>
        <v/>
      </c>
      <c r="Z357" s="178" t="str">
        <f t="shared" si="95"/>
        <v/>
      </c>
      <c r="AA357" s="178" t="str">
        <f t="shared" si="96"/>
        <v/>
      </c>
      <c r="AB357" s="178" t="str">
        <f t="shared" si="97"/>
        <v/>
      </c>
      <c r="AC357" s="178" t="str">
        <f t="shared" si="98"/>
        <v/>
      </c>
      <c r="AD357" s="267" t="s">
        <v>316</v>
      </c>
      <c r="AF357" s="149" t="str">
        <f t="shared" si="92"/>
        <v/>
      </c>
      <c r="AH357" s="178" t="str">
        <f t="shared" si="85"/>
        <v/>
      </c>
      <c r="AI357" s="178" t="str">
        <f t="shared" si="86"/>
        <v/>
      </c>
      <c r="AJ357" s="178" t="str">
        <f t="shared" si="87"/>
        <v/>
      </c>
      <c r="AK357" s="178" t="str">
        <f t="shared" si="88"/>
        <v/>
      </c>
      <c r="AN357" s="149" t="str">
        <f t="shared" si="89"/>
        <v/>
      </c>
      <c r="AQ357" s="178" t="str">
        <f t="shared" ca="1" si="90"/>
        <v/>
      </c>
      <c r="AR357" s="178" t="str">
        <f t="shared" ca="1" si="91"/>
        <v/>
      </c>
    </row>
    <row r="358" spans="1:44" x14ac:dyDescent="0.2">
      <c r="A358" t="str">
        <f>IF(B358="","",CONCATENATE("GBL",B358," - ",Mantenedor!E369))</f>
        <v/>
      </c>
      <c r="P358" t="str">
        <f t="shared" si="83"/>
        <v/>
      </c>
      <c r="Q358" s="266" t="str" cm="1">
        <f t="array" ref="Q358">+_xlfn.IFS(O358="Nacional","CLP",O358="Extranjero","USD",O358="","")</f>
        <v/>
      </c>
      <c r="R358" s="262" t="str">
        <f>IFERROR(IF(O358="Nacional",VLOOKUP(P358,PRICING!$D$4:$E$59,2,FALSE),VLOOKUP(P358,PRICING!$J$4:$K$59,2,FALSE)),"")</f>
        <v/>
      </c>
      <c r="S358"/>
      <c r="V358" s="262" t="str">
        <f t="shared" si="99"/>
        <v/>
      </c>
      <c r="W358" s="280" t="str">
        <f t="shared" si="84"/>
        <v/>
      </c>
      <c r="X358" s="178" t="str">
        <f t="shared" si="93"/>
        <v/>
      </c>
      <c r="Y358" s="178" t="str">
        <f t="shared" si="94"/>
        <v/>
      </c>
      <c r="Z358" s="178" t="str">
        <f t="shared" si="95"/>
        <v/>
      </c>
      <c r="AA358" s="178" t="str">
        <f t="shared" si="96"/>
        <v/>
      </c>
      <c r="AB358" s="178" t="str">
        <f t="shared" si="97"/>
        <v/>
      </c>
      <c r="AC358" s="178" t="str">
        <f t="shared" si="98"/>
        <v/>
      </c>
      <c r="AD358" s="267" t="s">
        <v>316</v>
      </c>
      <c r="AF358" s="149" t="str">
        <f t="shared" si="92"/>
        <v/>
      </c>
      <c r="AH358" s="178" t="str">
        <f t="shared" si="85"/>
        <v/>
      </c>
      <c r="AI358" s="178" t="str">
        <f t="shared" si="86"/>
        <v/>
      </c>
      <c r="AJ358" s="178" t="str">
        <f t="shared" si="87"/>
        <v/>
      </c>
      <c r="AK358" s="178" t="str">
        <f t="shared" si="88"/>
        <v/>
      </c>
      <c r="AN358" s="149" t="str">
        <f t="shared" si="89"/>
        <v/>
      </c>
      <c r="AQ358" s="178" t="str">
        <f t="shared" ca="1" si="90"/>
        <v/>
      </c>
      <c r="AR358" s="178" t="str">
        <f t="shared" ca="1" si="91"/>
        <v/>
      </c>
    </row>
    <row r="359" spans="1:44" x14ac:dyDescent="0.2">
      <c r="A359" t="str">
        <f>IF(B359="","",CONCATENATE("GBL",B359," - ",Mantenedor!E370))</f>
        <v/>
      </c>
      <c r="P359" t="str">
        <f t="shared" si="83"/>
        <v/>
      </c>
      <c r="Q359" s="266" t="str" cm="1">
        <f t="array" ref="Q359">+_xlfn.IFS(O359="Nacional","CLP",O359="Extranjero","USD",O359="","")</f>
        <v/>
      </c>
      <c r="R359" s="262" t="str">
        <f>IFERROR(IF(O359="Nacional",VLOOKUP(P359,PRICING!$D$4:$E$59,2,FALSE),VLOOKUP(P359,PRICING!$J$4:$K$59,2,FALSE)),"")</f>
        <v/>
      </c>
      <c r="S359"/>
      <c r="V359" s="262" t="str">
        <f t="shared" si="99"/>
        <v/>
      </c>
      <c r="W359" s="280" t="str">
        <f t="shared" si="84"/>
        <v/>
      </c>
      <c r="X359" s="178" t="str">
        <f t="shared" si="93"/>
        <v/>
      </c>
      <c r="Y359" s="178" t="str">
        <f t="shared" si="94"/>
        <v/>
      </c>
      <c r="Z359" s="178" t="str">
        <f t="shared" si="95"/>
        <v/>
      </c>
      <c r="AA359" s="178" t="str">
        <f t="shared" si="96"/>
        <v/>
      </c>
      <c r="AB359" s="178" t="str">
        <f t="shared" si="97"/>
        <v/>
      </c>
      <c r="AC359" s="178" t="str">
        <f t="shared" si="98"/>
        <v/>
      </c>
      <c r="AD359" s="267" t="s">
        <v>316</v>
      </c>
      <c r="AF359" s="149" t="str">
        <f t="shared" si="92"/>
        <v/>
      </c>
      <c r="AH359" s="178" t="str">
        <f t="shared" si="85"/>
        <v/>
      </c>
      <c r="AI359" s="178" t="str">
        <f t="shared" si="86"/>
        <v/>
      </c>
      <c r="AJ359" s="178" t="str">
        <f t="shared" si="87"/>
        <v/>
      </c>
      <c r="AK359" s="178" t="str">
        <f t="shared" si="88"/>
        <v/>
      </c>
      <c r="AN359" s="149" t="str">
        <f t="shared" si="89"/>
        <v/>
      </c>
      <c r="AQ359" s="178" t="str">
        <f t="shared" ca="1" si="90"/>
        <v/>
      </c>
      <c r="AR359" s="178" t="str">
        <f t="shared" ca="1" si="91"/>
        <v/>
      </c>
    </row>
    <row r="360" spans="1:44" x14ac:dyDescent="0.2">
      <c r="A360" t="str">
        <f>IF(B360="","",CONCATENATE("GBL",B360," - ",Mantenedor!E371))</f>
        <v/>
      </c>
      <c r="P360" t="str">
        <f t="shared" si="83"/>
        <v/>
      </c>
      <c r="Q360" s="266" t="str" cm="1">
        <f t="array" ref="Q360">+_xlfn.IFS(O360="Nacional","CLP",O360="Extranjero","USD",O360="","")</f>
        <v/>
      </c>
      <c r="R360" s="262" t="str">
        <f>IFERROR(IF(O360="Nacional",VLOOKUP(P360,PRICING!$D$4:$E$59,2,FALSE),VLOOKUP(P360,PRICING!$J$4:$K$59,2,FALSE)),"")</f>
        <v/>
      </c>
      <c r="S360"/>
      <c r="V360" s="262" t="str">
        <f t="shared" si="99"/>
        <v/>
      </c>
      <c r="W360" s="280" t="str">
        <f t="shared" si="84"/>
        <v/>
      </c>
      <c r="X360" s="178" t="str">
        <f t="shared" si="93"/>
        <v/>
      </c>
      <c r="Y360" s="178" t="str">
        <f t="shared" si="94"/>
        <v/>
      </c>
      <c r="Z360" s="178" t="str">
        <f t="shared" si="95"/>
        <v/>
      </c>
      <c r="AA360" s="178" t="str">
        <f t="shared" si="96"/>
        <v/>
      </c>
      <c r="AB360" s="178" t="str">
        <f t="shared" si="97"/>
        <v/>
      </c>
      <c r="AC360" s="178" t="str">
        <f t="shared" si="98"/>
        <v/>
      </c>
      <c r="AD360" s="267" t="s">
        <v>316</v>
      </c>
      <c r="AF360" s="149" t="str">
        <f t="shared" si="92"/>
        <v/>
      </c>
      <c r="AH360" s="178" t="str">
        <f t="shared" si="85"/>
        <v/>
      </c>
      <c r="AI360" s="178" t="str">
        <f t="shared" si="86"/>
        <v/>
      </c>
      <c r="AJ360" s="178" t="str">
        <f t="shared" si="87"/>
        <v/>
      </c>
      <c r="AK360" s="178" t="str">
        <f t="shared" si="88"/>
        <v/>
      </c>
      <c r="AN360" s="149" t="str">
        <f t="shared" si="89"/>
        <v/>
      </c>
      <c r="AQ360" s="178" t="str">
        <f t="shared" ca="1" si="90"/>
        <v/>
      </c>
      <c r="AR360" s="178" t="str">
        <f t="shared" ca="1" si="91"/>
        <v/>
      </c>
    </row>
    <row r="361" spans="1:44" x14ac:dyDescent="0.2">
      <c r="A361" t="str">
        <f>IF(B361="","",CONCATENATE("GBL",B361," - ",Mantenedor!E372))</f>
        <v/>
      </c>
      <c r="P361" t="str">
        <f t="shared" si="83"/>
        <v/>
      </c>
      <c r="Q361" s="266" t="str" cm="1">
        <f t="array" ref="Q361">+_xlfn.IFS(O361="Nacional","CLP",O361="Extranjero","USD",O361="","")</f>
        <v/>
      </c>
      <c r="R361" s="262" t="str">
        <f>IFERROR(IF(O361="Nacional",VLOOKUP(P361,PRICING!$D$4:$E$59,2,FALSE),VLOOKUP(P361,PRICING!$J$4:$K$59,2,FALSE)),"")</f>
        <v/>
      </c>
      <c r="S361"/>
      <c r="V361" s="262" t="str">
        <f t="shared" si="99"/>
        <v/>
      </c>
      <c r="W361" s="280" t="str">
        <f t="shared" si="84"/>
        <v/>
      </c>
      <c r="X361" s="178" t="str">
        <f t="shared" si="93"/>
        <v/>
      </c>
      <c r="Y361" s="178" t="str">
        <f t="shared" si="94"/>
        <v/>
      </c>
      <c r="Z361" s="178" t="str">
        <f t="shared" si="95"/>
        <v/>
      </c>
      <c r="AA361" s="178" t="str">
        <f t="shared" si="96"/>
        <v/>
      </c>
      <c r="AB361" s="178" t="str">
        <f t="shared" si="97"/>
        <v/>
      </c>
      <c r="AC361" s="178" t="str">
        <f t="shared" si="98"/>
        <v/>
      </c>
      <c r="AD361" s="267" t="s">
        <v>316</v>
      </c>
      <c r="AF361" s="149" t="str">
        <f t="shared" si="92"/>
        <v/>
      </c>
      <c r="AH361" s="178" t="str">
        <f t="shared" si="85"/>
        <v/>
      </c>
      <c r="AI361" s="178" t="str">
        <f t="shared" si="86"/>
        <v/>
      </c>
      <c r="AJ361" s="178" t="str">
        <f t="shared" si="87"/>
        <v/>
      </c>
      <c r="AK361" s="178" t="str">
        <f t="shared" si="88"/>
        <v/>
      </c>
      <c r="AN361" s="149" t="str">
        <f t="shared" si="89"/>
        <v/>
      </c>
      <c r="AQ361" s="178" t="str">
        <f t="shared" ca="1" si="90"/>
        <v/>
      </c>
      <c r="AR361" s="178" t="str">
        <f t="shared" ca="1" si="91"/>
        <v/>
      </c>
    </row>
    <row r="362" spans="1:44" x14ac:dyDescent="0.2">
      <c r="A362" t="str">
        <f>IF(B362="","",CONCATENATE("GBL",B362," - ",Mantenedor!E373))</f>
        <v/>
      </c>
      <c r="P362" t="str">
        <f t="shared" si="83"/>
        <v/>
      </c>
      <c r="Q362" s="266" t="str" cm="1">
        <f t="array" ref="Q362">+_xlfn.IFS(O362="Nacional","CLP",O362="Extranjero","USD",O362="","")</f>
        <v/>
      </c>
      <c r="R362" s="262" t="str">
        <f>IFERROR(IF(O362="Nacional",VLOOKUP(P362,PRICING!$D$4:$E$59,2,FALSE),VLOOKUP(P362,PRICING!$J$4:$K$59,2,FALSE)),"")</f>
        <v/>
      </c>
      <c r="S362"/>
      <c r="V362" s="262" t="str">
        <f t="shared" si="99"/>
        <v/>
      </c>
      <c r="W362" s="280" t="str">
        <f t="shared" si="84"/>
        <v/>
      </c>
      <c r="X362" s="178" t="str">
        <f t="shared" si="93"/>
        <v/>
      </c>
      <c r="Y362" s="178" t="str">
        <f t="shared" si="94"/>
        <v/>
      </c>
      <c r="Z362" s="178" t="str">
        <f t="shared" si="95"/>
        <v/>
      </c>
      <c r="AA362" s="178" t="str">
        <f t="shared" si="96"/>
        <v/>
      </c>
      <c r="AB362" s="178" t="str">
        <f t="shared" si="97"/>
        <v/>
      </c>
      <c r="AC362" s="178" t="str">
        <f t="shared" si="98"/>
        <v/>
      </c>
      <c r="AD362" s="267" t="s">
        <v>316</v>
      </c>
      <c r="AF362" s="149" t="str">
        <f t="shared" si="92"/>
        <v/>
      </c>
      <c r="AH362" s="178" t="str">
        <f t="shared" si="85"/>
        <v/>
      </c>
      <c r="AI362" s="178" t="str">
        <f t="shared" si="86"/>
        <v/>
      </c>
      <c r="AJ362" s="178" t="str">
        <f t="shared" si="87"/>
        <v/>
      </c>
      <c r="AK362" s="178" t="str">
        <f t="shared" si="88"/>
        <v/>
      </c>
      <c r="AN362" s="149" t="str">
        <f t="shared" si="89"/>
        <v/>
      </c>
      <c r="AQ362" s="178" t="str">
        <f t="shared" ca="1" si="90"/>
        <v/>
      </c>
      <c r="AR362" s="178" t="str">
        <f t="shared" ca="1" si="91"/>
        <v/>
      </c>
    </row>
    <row r="363" spans="1:44" x14ac:dyDescent="0.2">
      <c r="A363" t="str">
        <f>IF(B363="","",CONCATENATE("GBL",B363," - ",Mantenedor!E374))</f>
        <v/>
      </c>
      <c r="P363" t="str">
        <f t="shared" si="83"/>
        <v/>
      </c>
      <c r="Q363" s="266" t="str" cm="1">
        <f t="array" ref="Q363">+_xlfn.IFS(O363="Nacional","CLP",O363="Extranjero","USD",O363="","")</f>
        <v/>
      </c>
      <c r="R363" s="262" t="str">
        <f>IFERROR(IF(O363="Nacional",VLOOKUP(P363,PRICING!$D$4:$E$59,2,FALSE),VLOOKUP(P363,PRICING!$J$4:$K$59,2,FALSE)),"")</f>
        <v/>
      </c>
      <c r="S363"/>
      <c r="V363" s="262" t="str">
        <f t="shared" si="99"/>
        <v/>
      </c>
      <c r="W363" s="280" t="str">
        <f t="shared" si="84"/>
        <v/>
      </c>
      <c r="X363" s="178" t="str">
        <f t="shared" si="93"/>
        <v/>
      </c>
      <c r="Y363" s="178" t="str">
        <f t="shared" si="94"/>
        <v/>
      </c>
      <c r="Z363" s="178" t="str">
        <f t="shared" si="95"/>
        <v/>
      </c>
      <c r="AA363" s="178" t="str">
        <f t="shared" si="96"/>
        <v/>
      </c>
      <c r="AB363" s="178" t="str">
        <f t="shared" si="97"/>
        <v/>
      </c>
      <c r="AC363" s="178" t="str">
        <f t="shared" si="98"/>
        <v/>
      </c>
      <c r="AD363" s="267" t="s">
        <v>316</v>
      </c>
      <c r="AF363" s="149" t="str">
        <f t="shared" si="92"/>
        <v/>
      </c>
      <c r="AH363" s="178" t="str">
        <f t="shared" si="85"/>
        <v/>
      </c>
      <c r="AI363" s="178" t="str">
        <f t="shared" si="86"/>
        <v/>
      </c>
      <c r="AJ363" s="178" t="str">
        <f t="shared" si="87"/>
        <v/>
      </c>
      <c r="AK363" s="178" t="str">
        <f t="shared" si="88"/>
        <v/>
      </c>
      <c r="AN363" s="149" t="str">
        <f t="shared" si="89"/>
        <v/>
      </c>
      <c r="AQ363" s="178" t="str">
        <f t="shared" ca="1" si="90"/>
        <v/>
      </c>
      <c r="AR363" s="178" t="str">
        <f t="shared" ca="1" si="91"/>
        <v/>
      </c>
    </row>
    <row r="364" spans="1:44" x14ac:dyDescent="0.2">
      <c r="A364" t="str">
        <f>IF(B364="","",CONCATENATE("GBL",B364," - ",Mantenedor!E375))</f>
        <v/>
      </c>
      <c r="P364" t="str">
        <f t="shared" si="83"/>
        <v/>
      </c>
      <c r="Q364" s="266" t="str" cm="1">
        <f t="array" ref="Q364">+_xlfn.IFS(O364="Nacional","CLP",O364="Extranjero","USD",O364="","")</f>
        <v/>
      </c>
      <c r="R364" s="262" t="str">
        <f>IFERROR(IF(O364="Nacional",VLOOKUP(P364,PRICING!$D$4:$E$59,2,FALSE),VLOOKUP(P364,PRICING!$J$4:$K$59,2,FALSE)),"")</f>
        <v/>
      </c>
      <c r="S364"/>
      <c r="V364" s="262" t="str">
        <f t="shared" si="99"/>
        <v/>
      </c>
      <c r="W364" s="280" t="str">
        <f t="shared" si="84"/>
        <v/>
      </c>
      <c r="X364" s="178" t="str">
        <f t="shared" si="93"/>
        <v/>
      </c>
      <c r="Y364" s="178" t="str">
        <f t="shared" si="94"/>
        <v/>
      </c>
      <c r="Z364" s="178" t="str">
        <f t="shared" si="95"/>
        <v/>
      </c>
      <c r="AA364" s="178" t="str">
        <f t="shared" si="96"/>
        <v/>
      </c>
      <c r="AB364" s="178" t="str">
        <f t="shared" si="97"/>
        <v/>
      </c>
      <c r="AC364" s="178" t="str">
        <f t="shared" si="98"/>
        <v/>
      </c>
      <c r="AD364" s="267" t="s">
        <v>316</v>
      </c>
      <c r="AF364" s="149" t="str">
        <f t="shared" si="92"/>
        <v/>
      </c>
      <c r="AH364" s="178" t="str">
        <f t="shared" si="85"/>
        <v/>
      </c>
      <c r="AI364" s="178" t="str">
        <f t="shared" si="86"/>
        <v/>
      </c>
      <c r="AJ364" s="178" t="str">
        <f t="shared" si="87"/>
        <v/>
      </c>
      <c r="AK364" s="178" t="str">
        <f t="shared" si="88"/>
        <v/>
      </c>
      <c r="AN364" s="149" t="str">
        <f t="shared" si="89"/>
        <v/>
      </c>
      <c r="AQ364" s="178" t="str">
        <f t="shared" ca="1" si="90"/>
        <v/>
      </c>
      <c r="AR364" s="178" t="str">
        <f t="shared" ca="1" si="91"/>
        <v/>
      </c>
    </row>
    <row r="365" spans="1:44" x14ac:dyDescent="0.2">
      <c r="A365" t="str">
        <f>IF(B365="","",CONCATENATE("GBL",B365," - ",Mantenedor!E376))</f>
        <v/>
      </c>
      <c r="P365" t="str">
        <f t="shared" si="83"/>
        <v/>
      </c>
      <c r="Q365" s="266" t="str" cm="1">
        <f t="array" ref="Q365">+_xlfn.IFS(O365="Nacional","CLP",O365="Extranjero","USD",O365="","")</f>
        <v/>
      </c>
      <c r="R365" s="262" t="str">
        <f>IFERROR(IF(O365="Nacional",VLOOKUP(P365,PRICING!$D$4:$E$59,2,FALSE),VLOOKUP(P365,PRICING!$J$4:$K$59,2,FALSE)),"")</f>
        <v/>
      </c>
      <c r="S365"/>
      <c r="V365" s="262" t="str">
        <f t="shared" si="99"/>
        <v/>
      </c>
      <c r="W365" s="280" t="str">
        <f t="shared" si="84"/>
        <v/>
      </c>
      <c r="X365" s="178" t="str">
        <f t="shared" si="93"/>
        <v/>
      </c>
      <c r="Y365" s="178" t="str">
        <f t="shared" si="94"/>
        <v/>
      </c>
      <c r="Z365" s="178" t="str">
        <f t="shared" si="95"/>
        <v/>
      </c>
      <c r="AA365" s="178" t="str">
        <f t="shared" si="96"/>
        <v/>
      </c>
      <c r="AB365" s="178" t="str">
        <f t="shared" si="97"/>
        <v/>
      </c>
      <c r="AC365" s="178" t="str">
        <f t="shared" si="98"/>
        <v/>
      </c>
      <c r="AD365" s="267" t="s">
        <v>316</v>
      </c>
      <c r="AF365" s="149" t="str">
        <f t="shared" si="92"/>
        <v/>
      </c>
      <c r="AH365" s="178" t="str">
        <f t="shared" si="85"/>
        <v/>
      </c>
      <c r="AI365" s="178" t="str">
        <f t="shared" si="86"/>
        <v/>
      </c>
      <c r="AJ365" s="178" t="str">
        <f t="shared" si="87"/>
        <v/>
      </c>
      <c r="AK365" s="178" t="str">
        <f t="shared" si="88"/>
        <v/>
      </c>
      <c r="AN365" s="149" t="str">
        <f t="shared" si="89"/>
        <v/>
      </c>
      <c r="AQ365" s="178" t="str">
        <f t="shared" ca="1" si="90"/>
        <v/>
      </c>
      <c r="AR365" s="178" t="str">
        <f t="shared" ca="1" si="91"/>
        <v/>
      </c>
    </row>
    <row r="366" spans="1:44" x14ac:dyDescent="0.2">
      <c r="A366" t="str">
        <f>IF(B366="","",CONCATENATE("GBL",B366," - ",Mantenedor!E377))</f>
        <v/>
      </c>
      <c r="P366" t="str">
        <f t="shared" si="83"/>
        <v/>
      </c>
      <c r="Q366" s="266" t="str" cm="1">
        <f t="array" ref="Q366">+_xlfn.IFS(O366="Nacional","CLP",O366="Extranjero","USD",O366="","")</f>
        <v/>
      </c>
      <c r="R366" s="262" t="str">
        <f>IFERROR(IF(O366="Nacional",VLOOKUP(P366,PRICING!$D$4:$E$59,2,FALSE),VLOOKUP(P366,PRICING!$J$4:$K$59,2,FALSE)),"")</f>
        <v/>
      </c>
      <c r="S366"/>
      <c r="V366" s="262" t="str">
        <f t="shared" si="99"/>
        <v/>
      </c>
      <c r="W366" s="280" t="str">
        <f t="shared" si="84"/>
        <v/>
      </c>
      <c r="X366" s="178" t="str">
        <f t="shared" si="93"/>
        <v/>
      </c>
      <c r="Y366" s="178" t="str">
        <f t="shared" si="94"/>
        <v/>
      </c>
      <c r="Z366" s="178" t="str">
        <f t="shared" si="95"/>
        <v/>
      </c>
      <c r="AA366" s="178" t="str">
        <f t="shared" si="96"/>
        <v/>
      </c>
      <c r="AB366" s="178" t="str">
        <f t="shared" si="97"/>
        <v/>
      </c>
      <c r="AC366" s="178" t="str">
        <f t="shared" si="98"/>
        <v/>
      </c>
      <c r="AD366" s="267" t="s">
        <v>316</v>
      </c>
      <c r="AF366" s="149" t="str">
        <f t="shared" si="92"/>
        <v/>
      </c>
      <c r="AH366" s="178" t="str">
        <f t="shared" si="85"/>
        <v/>
      </c>
      <c r="AI366" s="178" t="str">
        <f t="shared" si="86"/>
        <v/>
      </c>
      <c r="AJ366" s="178" t="str">
        <f t="shared" si="87"/>
        <v/>
      </c>
      <c r="AK366" s="178" t="str">
        <f t="shared" si="88"/>
        <v/>
      </c>
      <c r="AN366" s="149" t="str">
        <f t="shared" si="89"/>
        <v/>
      </c>
      <c r="AQ366" s="178" t="str">
        <f t="shared" ca="1" si="90"/>
        <v/>
      </c>
      <c r="AR366" s="178" t="str">
        <f t="shared" ca="1" si="91"/>
        <v/>
      </c>
    </row>
    <row r="367" spans="1:44" x14ac:dyDescent="0.2">
      <c r="A367" t="str">
        <f>IF(B367="","",CONCATENATE("GBL",B367," - ",Mantenedor!E378))</f>
        <v/>
      </c>
      <c r="P367" t="str">
        <f t="shared" si="83"/>
        <v/>
      </c>
      <c r="Q367" s="266" t="str" cm="1">
        <f t="array" ref="Q367">+_xlfn.IFS(O367="Nacional","CLP",O367="Extranjero","USD",O367="","")</f>
        <v/>
      </c>
      <c r="R367" s="262" t="str">
        <f>IFERROR(IF(O367="Nacional",VLOOKUP(P367,PRICING!$D$4:$E$59,2,FALSE),VLOOKUP(P367,PRICING!$J$4:$K$59,2,FALSE)),"")</f>
        <v/>
      </c>
      <c r="S367"/>
      <c r="V367" s="262" t="str">
        <f t="shared" si="99"/>
        <v/>
      </c>
      <c r="W367" s="280" t="str">
        <f t="shared" si="84"/>
        <v/>
      </c>
      <c r="X367" s="178" t="str">
        <f t="shared" si="93"/>
        <v/>
      </c>
      <c r="Y367" s="178" t="str">
        <f t="shared" si="94"/>
        <v/>
      </c>
      <c r="Z367" s="178" t="str">
        <f t="shared" si="95"/>
        <v/>
      </c>
      <c r="AA367" s="178" t="str">
        <f t="shared" si="96"/>
        <v/>
      </c>
      <c r="AB367" s="178" t="str">
        <f t="shared" si="97"/>
        <v/>
      </c>
      <c r="AC367" s="178" t="str">
        <f t="shared" si="98"/>
        <v/>
      </c>
      <c r="AD367" s="267" t="s">
        <v>316</v>
      </c>
      <c r="AF367" s="149" t="str">
        <f t="shared" si="92"/>
        <v/>
      </c>
      <c r="AH367" s="178" t="str">
        <f t="shared" si="85"/>
        <v/>
      </c>
      <c r="AI367" s="178" t="str">
        <f t="shared" si="86"/>
        <v/>
      </c>
      <c r="AJ367" s="178" t="str">
        <f t="shared" si="87"/>
        <v/>
      </c>
      <c r="AK367" s="178" t="str">
        <f t="shared" si="88"/>
        <v/>
      </c>
      <c r="AN367" s="149" t="str">
        <f t="shared" si="89"/>
        <v/>
      </c>
      <c r="AQ367" s="178" t="str">
        <f t="shared" ca="1" si="90"/>
        <v/>
      </c>
      <c r="AR367" s="178" t="str">
        <f t="shared" ca="1" si="91"/>
        <v/>
      </c>
    </row>
    <row r="368" spans="1:44" x14ac:dyDescent="0.2">
      <c r="A368" t="str">
        <f>IF(B368="","",CONCATENATE("GBL",B368," - ",Mantenedor!E379))</f>
        <v/>
      </c>
      <c r="P368" t="str">
        <f t="shared" si="83"/>
        <v/>
      </c>
      <c r="Q368" s="266" t="str" cm="1">
        <f t="array" ref="Q368">+_xlfn.IFS(O368="Nacional","CLP",O368="Extranjero","USD",O368="","")</f>
        <v/>
      </c>
      <c r="R368" s="262" t="str">
        <f>IFERROR(IF(O368="Nacional",VLOOKUP(P368,PRICING!$D$4:$E$59,2,FALSE),VLOOKUP(P368,PRICING!$J$4:$K$59,2,FALSE)),"")</f>
        <v/>
      </c>
      <c r="S368"/>
      <c r="V368" s="262" t="str">
        <f t="shared" si="99"/>
        <v/>
      </c>
      <c r="W368" s="280" t="str">
        <f t="shared" si="84"/>
        <v/>
      </c>
      <c r="X368" s="178" t="str">
        <f t="shared" si="93"/>
        <v/>
      </c>
      <c r="Y368" s="178" t="str">
        <f t="shared" si="94"/>
        <v/>
      </c>
      <c r="Z368" s="178" t="str">
        <f t="shared" si="95"/>
        <v/>
      </c>
      <c r="AA368" s="178" t="str">
        <f t="shared" si="96"/>
        <v/>
      </c>
      <c r="AB368" s="178" t="str">
        <f t="shared" si="97"/>
        <v/>
      </c>
      <c r="AC368" s="178" t="str">
        <f t="shared" si="98"/>
        <v/>
      </c>
      <c r="AD368" s="267" t="s">
        <v>316</v>
      </c>
      <c r="AF368" s="149" t="str">
        <f t="shared" si="92"/>
        <v/>
      </c>
      <c r="AH368" s="178" t="str">
        <f t="shared" si="85"/>
        <v/>
      </c>
      <c r="AI368" s="178" t="str">
        <f t="shared" si="86"/>
        <v/>
      </c>
      <c r="AJ368" s="178" t="str">
        <f t="shared" si="87"/>
        <v/>
      </c>
      <c r="AK368" s="178" t="str">
        <f t="shared" si="88"/>
        <v/>
      </c>
      <c r="AN368" s="149" t="str">
        <f t="shared" si="89"/>
        <v/>
      </c>
      <c r="AQ368" s="178" t="str">
        <f t="shared" ca="1" si="90"/>
        <v/>
      </c>
      <c r="AR368" s="178" t="str">
        <f t="shared" ca="1" si="91"/>
        <v/>
      </c>
    </row>
    <row r="369" spans="1:44" x14ac:dyDescent="0.2">
      <c r="A369" t="str">
        <f>IF(B369="","",CONCATENATE("GBL",B369," - ",Mantenedor!E380))</f>
        <v/>
      </c>
      <c r="P369" t="str">
        <f t="shared" si="83"/>
        <v/>
      </c>
      <c r="Q369" s="266" t="str" cm="1">
        <f t="array" ref="Q369">+_xlfn.IFS(O369="Nacional","CLP",O369="Extranjero","USD",O369="","")</f>
        <v/>
      </c>
      <c r="R369" s="262" t="str">
        <f>IFERROR(IF(O369="Nacional",VLOOKUP(P369,PRICING!$D$4:$E$59,2,FALSE),VLOOKUP(P369,PRICING!$J$4:$K$59,2,FALSE)),"")</f>
        <v/>
      </c>
      <c r="S369"/>
      <c r="V369" s="262" t="str">
        <f t="shared" si="99"/>
        <v/>
      </c>
      <c r="W369" s="280" t="str">
        <f t="shared" si="84"/>
        <v/>
      </c>
      <c r="X369" s="178" t="str">
        <f t="shared" si="93"/>
        <v/>
      </c>
      <c r="Y369" s="178" t="str">
        <f t="shared" si="94"/>
        <v/>
      </c>
      <c r="Z369" s="178" t="str">
        <f t="shared" si="95"/>
        <v/>
      </c>
      <c r="AA369" s="178" t="str">
        <f t="shared" si="96"/>
        <v/>
      </c>
      <c r="AB369" s="178" t="str">
        <f t="shared" si="97"/>
        <v/>
      </c>
      <c r="AC369" s="178" t="str">
        <f t="shared" si="98"/>
        <v/>
      </c>
      <c r="AD369" s="267" t="s">
        <v>316</v>
      </c>
      <c r="AF369" s="149" t="str">
        <f t="shared" si="92"/>
        <v/>
      </c>
      <c r="AH369" s="178" t="str">
        <f t="shared" si="85"/>
        <v/>
      </c>
      <c r="AI369" s="178" t="str">
        <f t="shared" si="86"/>
        <v/>
      </c>
      <c r="AJ369" s="178" t="str">
        <f t="shared" si="87"/>
        <v/>
      </c>
      <c r="AK369" s="178" t="str">
        <f t="shared" si="88"/>
        <v/>
      </c>
      <c r="AN369" s="149" t="str">
        <f t="shared" si="89"/>
        <v/>
      </c>
      <c r="AQ369" s="178" t="str">
        <f t="shared" ca="1" si="90"/>
        <v/>
      </c>
      <c r="AR369" s="178" t="str">
        <f t="shared" ca="1" si="91"/>
        <v/>
      </c>
    </row>
    <row r="370" spans="1:44" x14ac:dyDescent="0.2">
      <c r="A370" t="str">
        <f>IF(B370="","",CONCATENATE("GBL",B370," - ",Mantenedor!E381))</f>
        <v/>
      </c>
      <c r="P370" t="str">
        <f t="shared" si="83"/>
        <v/>
      </c>
      <c r="Q370" s="266" t="str" cm="1">
        <f t="array" ref="Q370">+_xlfn.IFS(O370="Nacional","CLP",O370="Extranjero","USD",O370="","")</f>
        <v/>
      </c>
      <c r="R370" s="262" t="str">
        <f>IFERROR(IF(O370="Nacional",VLOOKUP(P370,PRICING!$D$4:$E$59,2,FALSE),VLOOKUP(P370,PRICING!$J$4:$K$59,2,FALSE)),"")</f>
        <v/>
      </c>
      <c r="S370"/>
      <c r="V370" s="262" t="str">
        <f t="shared" si="99"/>
        <v/>
      </c>
      <c r="W370" s="280" t="str">
        <f t="shared" si="84"/>
        <v/>
      </c>
      <c r="X370" s="178" t="str">
        <f t="shared" si="93"/>
        <v/>
      </c>
      <c r="Y370" s="178" t="str">
        <f t="shared" si="94"/>
        <v/>
      </c>
      <c r="Z370" s="178" t="str">
        <f t="shared" si="95"/>
        <v/>
      </c>
      <c r="AA370" s="178" t="str">
        <f t="shared" si="96"/>
        <v/>
      </c>
      <c r="AB370" s="178" t="str">
        <f t="shared" si="97"/>
        <v/>
      </c>
      <c r="AC370" s="178" t="str">
        <f t="shared" si="98"/>
        <v/>
      </c>
      <c r="AD370" s="267" t="s">
        <v>316</v>
      </c>
      <c r="AF370" s="149" t="str">
        <f t="shared" si="92"/>
        <v/>
      </c>
      <c r="AH370" s="178" t="str">
        <f t="shared" si="85"/>
        <v/>
      </c>
      <c r="AI370" s="178" t="str">
        <f t="shared" si="86"/>
        <v/>
      </c>
      <c r="AJ370" s="178" t="str">
        <f t="shared" si="87"/>
        <v/>
      </c>
      <c r="AK370" s="178" t="str">
        <f t="shared" si="88"/>
        <v/>
      </c>
      <c r="AN370" s="149" t="str">
        <f t="shared" si="89"/>
        <v/>
      </c>
      <c r="AQ370" s="178" t="str">
        <f t="shared" ca="1" si="90"/>
        <v/>
      </c>
      <c r="AR370" s="178" t="str">
        <f t="shared" ca="1" si="91"/>
        <v/>
      </c>
    </row>
    <row r="371" spans="1:44" x14ac:dyDescent="0.2">
      <c r="A371" t="str">
        <f>IF(B371="","",CONCATENATE("GBL",B371," - ",Mantenedor!E382))</f>
        <v/>
      </c>
      <c r="P371" t="str">
        <f t="shared" si="83"/>
        <v/>
      </c>
      <c r="Q371" s="266" t="str" cm="1">
        <f t="array" ref="Q371">+_xlfn.IFS(O371="Nacional","CLP",O371="Extranjero","USD",O371="","")</f>
        <v/>
      </c>
      <c r="R371" s="262" t="str">
        <f>IFERROR(IF(O371="Nacional",VLOOKUP(P371,PRICING!$D$4:$E$59,2,FALSE),VLOOKUP(P371,PRICING!$J$4:$K$59,2,FALSE)),"")</f>
        <v/>
      </c>
      <c r="S371"/>
      <c r="V371" s="262" t="str">
        <f t="shared" si="99"/>
        <v/>
      </c>
      <c r="W371" s="280" t="str">
        <f t="shared" si="84"/>
        <v/>
      </c>
      <c r="X371" s="178" t="str">
        <f t="shared" si="93"/>
        <v/>
      </c>
      <c r="Y371" s="178" t="str">
        <f t="shared" si="94"/>
        <v/>
      </c>
      <c r="Z371" s="178" t="str">
        <f t="shared" si="95"/>
        <v/>
      </c>
      <c r="AA371" s="178" t="str">
        <f t="shared" si="96"/>
        <v/>
      </c>
      <c r="AB371" s="178" t="str">
        <f t="shared" si="97"/>
        <v/>
      </c>
      <c r="AC371" s="178" t="str">
        <f t="shared" si="98"/>
        <v/>
      </c>
      <c r="AD371" s="267" t="s">
        <v>316</v>
      </c>
      <c r="AF371" s="149" t="str">
        <f t="shared" si="92"/>
        <v/>
      </c>
      <c r="AH371" s="178" t="str">
        <f t="shared" si="85"/>
        <v/>
      </c>
      <c r="AI371" s="178" t="str">
        <f t="shared" si="86"/>
        <v/>
      </c>
      <c r="AJ371" s="178" t="str">
        <f t="shared" si="87"/>
        <v/>
      </c>
      <c r="AK371" s="178" t="str">
        <f t="shared" si="88"/>
        <v/>
      </c>
      <c r="AN371" s="149" t="str">
        <f t="shared" si="89"/>
        <v/>
      </c>
      <c r="AQ371" s="178" t="str">
        <f t="shared" ca="1" si="90"/>
        <v/>
      </c>
      <c r="AR371" s="178" t="str">
        <f t="shared" ca="1" si="91"/>
        <v/>
      </c>
    </row>
    <row r="372" spans="1:44" x14ac:dyDescent="0.2">
      <c r="A372" t="str">
        <f>IF(B372="","",CONCATENATE("GBL",B372," - ",Mantenedor!E383))</f>
        <v/>
      </c>
      <c r="P372" t="str">
        <f t="shared" si="83"/>
        <v/>
      </c>
      <c r="Q372" s="266" t="str" cm="1">
        <f t="array" ref="Q372">+_xlfn.IFS(O372="Nacional","CLP",O372="Extranjero","USD",O372="","")</f>
        <v/>
      </c>
      <c r="R372" s="262" t="str">
        <f>IFERROR(IF(O372="Nacional",VLOOKUP(P372,PRICING!$D$4:$E$59,2,FALSE),VLOOKUP(P372,PRICING!$J$4:$K$59,2,FALSE)),"")</f>
        <v/>
      </c>
      <c r="S372"/>
      <c r="V372" s="262" t="str">
        <f t="shared" si="99"/>
        <v/>
      </c>
      <c r="W372" s="280" t="str">
        <f t="shared" si="84"/>
        <v/>
      </c>
      <c r="X372" s="178" t="str">
        <f t="shared" si="93"/>
        <v/>
      </c>
      <c r="Y372" s="178" t="str">
        <f t="shared" si="94"/>
        <v/>
      </c>
      <c r="Z372" s="178" t="str">
        <f t="shared" si="95"/>
        <v/>
      </c>
      <c r="AA372" s="178" t="str">
        <f t="shared" si="96"/>
        <v/>
      </c>
      <c r="AB372" s="178" t="str">
        <f t="shared" si="97"/>
        <v/>
      </c>
      <c r="AC372" s="178" t="str">
        <f t="shared" si="98"/>
        <v/>
      </c>
      <c r="AD372" s="267" t="s">
        <v>316</v>
      </c>
      <c r="AF372" s="149" t="str">
        <f t="shared" si="92"/>
        <v/>
      </c>
      <c r="AH372" s="178" t="str">
        <f t="shared" si="85"/>
        <v/>
      </c>
      <c r="AI372" s="178" t="str">
        <f t="shared" si="86"/>
        <v/>
      </c>
      <c r="AJ372" s="178" t="str">
        <f t="shared" si="87"/>
        <v/>
      </c>
      <c r="AK372" s="178" t="str">
        <f t="shared" si="88"/>
        <v/>
      </c>
      <c r="AN372" s="149" t="str">
        <f t="shared" si="89"/>
        <v/>
      </c>
      <c r="AQ372" s="178" t="str">
        <f t="shared" ca="1" si="90"/>
        <v/>
      </c>
      <c r="AR372" s="178" t="str">
        <f t="shared" ca="1" si="91"/>
        <v/>
      </c>
    </row>
    <row r="373" spans="1:44" x14ac:dyDescent="0.2">
      <c r="A373" t="str">
        <f>IF(B373="","",CONCATENATE("GBL",B373," - ",Mantenedor!E384))</f>
        <v/>
      </c>
      <c r="P373" t="str">
        <f t="shared" si="83"/>
        <v/>
      </c>
      <c r="Q373" s="266" t="str" cm="1">
        <f t="array" ref="Q373">+_xlfn.IFS(O373="Nacional","CLP",O373="Extranjero","USD",O373="","")</f>
        <v/>
      </c>
      <c r="R373" s="262" t="str">
        <f>IFERROR(IF(O373="Nacional",VLOOKUP(P373,PRICING!$D$4:$E$59,2,FALSE),VLOOKUP(P373,PRICING!$J$4:$K$59,2,FALSE)),"")</f>
        <v/>
      </c>
      <c r="S373"/>
      <c r="V373" s="262" t="str">
        <f t="shared" si="99"/>
        <v/>
      </c>
      <c r="W373" s="280" t="str">
        <f t="shared" si="84"/>
        <v/>
      </c>
      <c r="X373" s="178" t="str">
        <f t="shared" si="93"/>
        <v/>
      </c>
      <c r="Y373" s="178" t="str">
        <f t="shared" si="94"/>
        <v/>
      </c>
      <c r="Z373" s="178" t="str">
        <f t="shared" si="95"/>
        <v/>
      </c>
      <c r="AA373" s="178" t="str">
        <f t="shared" si="96"/>
        <v/>
      </c>
      <c r="AB373" s="178" t="str">
        <f t="shared" si="97"/>
        <v/>
      </c>
      <c r="AC373" s="178" t="str">
        <f t="shared" si="98"/>
        <v/>
      </c>
      <c r="AD373" s="267" t="s">
        <v>316</v>
      </c>
      <c r="AF373" s="149" t="str">
        <f t="shared" si="92"/>
        <v/>
      </c>
      <c r="AH373" s="178" t="str">
        <f t="shared" si="85"/>
        <v/>
      </c>
      <c r="AI373" s="178" t="str">
        <f t="shared" si="86"/>
        <v/>
      </c>
      <c r="AJ373" s="178" t="str">
        <f t="shared" si="87"/>
        <v/>
      </c>
      <c r="AK373" s="178" t="str">
        <f t="shared" si="88"/>
        <v/>
      </c>
      <c r="AN373" s="149" t="str">
        <f t="shared" si="89"/>
        <v/>
      </c>
      <c r="AQ373" s="178" t="str">
        <f t="shared" ca="1" si="90"/>
        <v/>
      </c>
      <c r="AR373" s="178" t="str">
        <f t="shared" ca="1" si="91"/>
        <v/>
      </c>
    </row>
    <row r="374" spans="1:44" x14ac:dyDescent="0.2">
      <c r="A374" t="str">
        <f>IF(B374="","",CONCATENATE("GBL",B374," - ",Mantenedor!E385))</f>
        <v/>
      </c>
      <c r="P374" t="str">
        <f t="shared" si="83"/>
        <v/>
      </c>
      <c r="Q374" s="266" t="str" cm="1">
        <f t="array" ref="Q374">+_xlfn.IFS(O374="Nacional","CLP",O374="Extranjero","USD",O374="","")</f>
        <v/>
      </c>
      <c r="R374" s="262" t="str">
        <f>IFERROR(IF(O374="Nacional",VLOOKUP(P374,PRICING!$D$4:$E$59,2,FALSE),VLOOKUP(P374,PRICING!$J$4:$K$59,2,FALSE)),"")</f>
        <v/>
      </c>
      <c r="S374"/>
      <c r="V374" s="262" t="str">
        <f t="shared" si="99"/>
        <v/>
      </c>
      <c r="W374" s="280" t="str">
        <f t="shared" si="84"/>
        <v/>
      </c>
      <c r="X374" s="178" t="str">
        <f t="shared" si="93"/>
        <v/>
      </c>
      <c r="Y374" s="178" t="str">
        <f t="shared" si="94"/>
        <v/>
      </c>
      <c r="Z374" s="178" t="str">
        <f t="shared" si="95"/>
        <v/>
      </c>
      <c r="AA374" s="178" t="str">
        <f t="shared" si="96"/>
        <v/>
      </c>
      <c r="AB374" s="178" t="str">
        <f t="shared" si="97"/>
        <v/>
      </c>
      <c r="AC374" s="178" t="str">
        <f t="shared" si="98"/>
        <v/>
      </c>
      <c r="AD374" s="267" t="s">
        <v>316</v>
      </c>
      <c r="AF374" s="149" t="str">
        <f t="shared" si="92"/>
        <v/>
      </c>
      <c r="AH374" s="178" t="str">
        <f t="shared" si="85"/>
        <v/>
      </c>
      <c r="AI374" s="178" t="str">
        <f t="shared" si="86"/>
        <v/>
      </c>
      <c r="AJ374" s="178" t="str">
        <f t="shared" si="87"/>
        <v/>
      </c>
      <c r="AK374" s="178" t="str">
        <f t="shared" si="88"/>
        <v/>
      </c>
      <c r="AN374" s="149" t="str">
        <f t="shared" si="89"/>
        <v/>
      </c>
      <c r="AQ374" s="178" t="str">
        <f t="shared" ca="1" si="90"/>
        <v/>
      </c>
      <c r="AR374" s="178" t="str">
        <f t="shared" ca="1" si="91"/>
        <v/>
      </c>
    </row>
    <row r="375" spans="1:44" x14ac:dyDescent="0.2">
      <c r="A375" t="str">
        <f>IF(B375="","",CONCATENATE("GBL",B375," - ",Mantenedor!E386))</f>
        <v/>
      </c>
      <c r="P375" t="str">
        <f t="shared" si="83"/>
        <v/>
      </c>
      <c r="Q375" s="266" t="str" cm="1">
        <f t="array" ref="Q375">+_xlfn.IFS(O375="Nacional","CLP",O375="Extranjero","USD",O375="","")</f>
        <v/>
      </c>
      <c r="R375" s="262" t="str">
        <f>IFERROR(IF(O375="Nacional",VLOOKUP(P375,PRICING!$D$4:$E$59,2,FALSE),VLOOKUP(P375,PRICING!$J$4:$K$59,2,FALSE)),"")</f>
        <v/>
      </c>
      <c r="S375"/>
      <c r="V375" s="262" t="str">
        <f t="shared" si="99"/>
        <v/>
      </c>
      <c r="W375" s="280" t="str">
        <f t="shared" si="84"/>
        <v/>
      </c>
      <c r="X375" s="178" t="str">
        <f t="shared" si="93"/>
        <v/>
      </c>
      <c r="Y375" s="178" t="str">
        <f t="shared" si="94"/>
        <v/>
      </c>
      <c r="Z375" s="178" t="str">
        <f t="shared" si="95"/>
        <v/>
      </c>
      <c r="AA375" s="178" t="str">
        <f t="shared" si="96"/>
        <v/>
      </c>
      <c r="AB375" s="178" t="str">
        <f t="shared" si="97"/>
        <v/>
      </c>
      <c r="AC375" s="178" t="str">
        <f t="shared" si="98"/>
        <v/>
      </c>
      <c r="AD375" s="267" t="s">
        <v>316</v>
      </c>
      <c r="AF375" s="149" t="str">
        <f t="shared" si="92"/>
        <v/>
      </c>
      <c r="AH375" s="178" t="str">
        <f t="shared" si="85"/>
        <v/>
      </c>
      <c r="AI375" s="178" t="str">
        <f t="shared" si="86"/>
        <v/>
      </c>
      <c r="AJ375" s="178" t="str">
        <f t="shared" si="87"/>
        <v/>
      </c>
      <c r="AK375" s="178" t="str">
        <f t="shared" si="88"/>
        <v/>
      </c>
      <c r="AN375" s="149" t="str">
        <f t="shared" si="89"/>
        <v/>
      </c>
      <c r="AQ375" s="178" t="str">
        <f t="shared" ca="1" si="90"/>
        <v/>
      </c>
      <c r="AR375" s="178" t="str">
        <f t="shared" ca="1" si="91"/>
        <v/>
      </c>
    </row>
    <row r="376" spans="1:44" x14ac:dyDescent="0.2">
      <c r="A376" t="str">
        <f>IF(B376="","",CONCATENATE("GBL",B376," - ",Mantenedor!E387))</f>
        <v/>
      </c>
      <c r="P376" t="str">
        <f t="shared" ref="P376:P433" si="100">IF(N376="","",(IF(L376=1,(CONCATENATE("Base ",N376," ",L376," noche")),(CONCATENATE("Base ",N376," ",L376," noches")))))</f>
        <v/>
      </c>
      <c r="Q376" s="266" t="str" cm="1">
        <f t="array" ref="Q376">+_xlfn.IFS(O376="Nacional","CLP",O376="Extranjero","USD",O376="","")</f>
        <v/>
      </c>
      <c r="R376" s="262" t="str">
        <f>IFERROR(IF(O376="Nacional",VLOOKUP(P376,PRICING!$D$4:$E$59,2,FALSE),VLOOKUP(P376,PRICING!$J$4:$K$59,2,FALSE)),"")</f>
        <v/>
      </c>
      <c r="S376"/>
      <c r="V376" s="262" t="str">
        <f t="shared" si="99"/>
        <v/>
      </c>
      <c r="W376" s="280" t="str">
        <f t="shared" ref="W376:W433" si="101">IFERROR(+V376*(1-T376),"")</f>
        <v/>
      </c>
      <c r="X376" s="178" t="str">
        <f t="shared" si="93"/>
        <v/>
      </c>
      <c r="Y376" s="178" t="str">
        <f t="shared" si="94"/>
        <v/>
      </c>
      <c r="Z376" s="178" t="str">
        <f t="shared" si="95"/>
        <v/>
      </c>
      <c r="AA376" s="178" t="str">
        <f t="shared" si="96"/>
        <v/>
      </c>
      <c r="AB376" s="178" t="str">
        <f t="shared" si="97"/>
        <v/>
      </c>
      <c r="AC376" s="178" t="str">
        <f t="shared" si="98"/>
        <v/>
      </c>
      <c r="AD376" s="267" t="s">
        <v>316</v>
      </c>
      <c r="AF376" s="149" t="str">
        <f t="shared" si="92"/>
        <v/>
      </c>
      <c r="AH376" s="178" t="str">
        <f t="shared" ref="AH376:AH433" si="102">+IF($M376="","",$M376-45)</f>
        <v/>
      </c>
      <c r="AI376" s="178" t="str">
        <f t="shared" ref="AI376:AI433" si="103">+IF($M376="","",$M376-30)</f>
        <v/>
      </c>
      <c r="AJ376" s="178" t="str">
        <f t="shared" ref="AJ376:AJ433" si="104">+IF($M376="","",$M376-15)</f>
        <v/>
      </c>
      <c r="AK376" s="178" t="str">
        <f t="shared" ref="AK376:AK433" si="105">+IF($M376="","",$M376-7)</f>
        <v/>
      </c>
      <c r="AN376" s="149" t="str">
        <f t="shared" ref="AN376:AN433" si="106">+IF(AM376="","",W376*0.5)</f>
        <v/>
      </c>
      <c r="AQ376" s="178" t="str">
        <f t="shared" ref="AQ376:AQ433" ca="1" si="107">IF(A375="","",+TODAY())</f>
        <v/>
      </c>
      <c r="AR376" s="178" t="str">
        <f t="shared" ref="AR376:AR433" ca="1" si="108">IF(A375="","",+TODAY())</f>
        <v/>
      </c>
    </row>
    <row r="377" spans="1:44" x14ac:dyDescent="0.2">
      <c r="A377" t="str">
        <f>IF(B377="","",CONCATENATE("GBL",B377," - ",Mantenedor!E388))</f>
        <v/>
      </c>
      <c r="P377" t="str">
        <f t="shared" si="100"/>
        <v/>
      </c>
      <c r="Q377" s="266" t="str" cm="1">
        <f t="array" ref="Q377">+_xlfn.IFS(O377="Nacional","CLP",O377="Extranjero","USD",O377="","")</f>
        <v/>
      </c>
      <c r="R377" s="262" t="str">
        <f>IFERROR(IF(O377="Nacional",VLOOKUP(P377,PRICING!$D$4:$E$59,2,FALSE),VLOOKUP(P377,PRICING!$J$4:$K$59,2,FALSE)),"")</f>
        <v/>
      </c>
      <c r="S377"/>
      <c r="V377" s="262" t="str">
        <f t="shared" ref="V377:V433" si="109">IFERROR(R377*(1-T377),"")</f>
        <v/>
      </c>
      <c r="W377" s="280" t="str">
        <f t="shared" si="101"/>
        <v/>
      </c>
      <c r="X377" s="178" t="str">
        <f t="shared" si="93"/>
        <v/>
      </c>
      <c r="Y377" s="178" t="str">
        <f t="shared" si="94"/>
        <v/>
      </c>
      <c r="Z377" s="178" t="str">
        <f t="shared" si="95"/>
        <v/>
      </c>
      <c r="AA377" s="178" t="str">
        <f t="shared" si="96"/>
        <v/>
      </c>
      <c r="AB377" s="178" t="str">
        <f t="shared" si="97"/>
        <v/>
      </c>
      <c r="AC377" s="178" t="str">
        <f t="shared" si="98"/>
        <v/>
      </c>
      <c r="AD377" s="267" t="s">
        <v>316</v>
      </c>
      <c r="AF377" s="149" t="str">
        <f t="shared" ref="AF377:AF433" si="110">+IF(AE377="","",W377*0.5)</f>
        <v/>
      </c>
      <c r="AH377" s="178" t="str">
        <f t="shared" si="102"/>
        <v/>
      </c>
      <c r="AI377" s="178" t="str">
        <f t="shared" si="103"/>
        <v/>
      </c>
      <c r="AJ377" s="178" t="str">
        <f t="shared" si="104"/>
        <v/>
      </c>
      <c r="AK377" s="178" t="str">
        <f t="shared" si="105"/>
        <v/>
      </c>
      <c r="AN377" s="149" t="str">
        <f t="shared" si="106"/>
        <v/>
      </c>
      <c r="AQ377" s="178" t="str">
        <f t="shared" ca="1" si="107"/>
        <v/>
      </c>
      <c r="AR377" s="178" t="str">
        <f t="shared" ca="1" si="108"/>
        <v/>
      </c>
    </row>
    <row r="378" spans="1:44" x14ac:dyDescent="0.2">
      <c r="A378" t="str">
        <f>IF(B378="","",CONCATENATE("GBL",B378," - ",Mantenedor!E389))</f>
        <v/>
      </c>
      <c r="P378" t="str">
        <f t="shared" si="100"/>
        <v/>
      </c>
      <c r="Q378" s="266" t="str" cm="1">
        <f t="array" ref="Q378">+_xlfn.IFS(O378="Nacional","CLP",O378="Extranjero","USD",O378="","")</f>
        <v/>
      </c>
      <c r="R378" s="262" t="str">
        <f>IFERROR(IF(O378="Nacional",VLOOKUP(P378,PRICING!$D$4:$E$59,2,FALSE),VLOOKUP(P378,PRICING!$J$4:$K$59,2,FALSE)),"")</f>
        <v/>
      </c>
      <c r="S378"/>
      <c r="V378" s="262" t="str">
        <f t="shared" si="109"/>
        <v/>
      </c>
      <c r="W378" s="280" t="str">
        <f t="shared" si="101"/>
        <v/>
      </c>
      <c r="X378" s="178" t="str">
        <f t="shared" si="93"/>
        <v/>
      </c>
      <c r="Y378" s="178" t="str">
        <f t="shared" si="94"/>
        <v/>
      </c>
      <c r="Z378" s="178" t="str">
        <f t="shared" si="95"/>
        <v/>
      </c>
      <c r="AA378" s="178" t="str">
        <f t="shared" si="96"/>
        <v/>
      </c>
      <c r="AB378" s="178" t="str">
        <f t="shared" si="97"/>
        <v/>
      </c>
      <c r="AC378" s="178" t="str">
        <f t="shared" si="98"/>
        <v/>
      </c>
      <c r="AD378" s="267" t="s">
        <v>316</v>
      </c>
      <c r="AF378" s="149" t="str">
        <f t="shared" si="110"/>
        <v/>
      </c>
      <c r="AH378" s="178" t="str">
        <f t="shared" si="102"/>
        <v/>
      </c>
      <c r="AI378" s="178" t="str">
        <f t="shared" si="103"/>
        <v/>
      </c>
      <c r="AJ378" s="178" t="str">
        <f t="shared" si="104"/>
        <v/>
      </c>
      <c r="AK378" s="178" t="str">
        <f t="shared" si="105"/>
        <v/>
      </c>
      <c r="AN378" s="149" t="str">
        <f t="shared" si="106"/>
        <v/>
      </c>
      <c r="AQ378" s="178" t="str">
        <f t="shared" ca="1" si="107"/>
        <v/>
      </c>
      <c r="AR378" s="178" t="str">
        <f t="shared" ca="1" si="108"/>
        <v/>
      </c>
    </row>
    <row r="379" spans="1:44" x14ac:dyDescent="0.2">
      <c r="A379" t="str">
        <f>IF(B379="","",CONCATENATE("GBL",B379," - ",Mantenedor!E390))</f>
        <v/>
      </c>
      <c r="P379" t="str">
        <f t="shared" si="100"/>
        <v/>
      </c>
      <c r="Q379" s="266" t="str" cm="1">
        <f t="array" ref="Q379">+_xlfn.IFS(O379="Nacional","CLP",O379="Extranjero","USD",O379="","")</f>
        <v/>
      </c>
      <c r="R379" s="262" t="str">
        <f>IFERROR(IF(O379="Nacional",VLOOKUP(P379,PRICING!$D$4:$E$59,2,FALSE),VLOOKUP(P379,PRICING!$J$4:$K$59,2,FALSE)),"")</f>
        <v/>
      </c>
      <c r="S379"/>
      <c r="V379" s="262" t="str">
        <f t="shared" si="109"/>
        <v/>
      </c>
      <c r="W379" s="280" t="str">
        <f t="shared" si="101"/>
        <v/>
      </c>
      <c r="X379" s="178" t="str">
        <f t="shared" si="93"/>
        <v/>
      </c>
      <c r="Y379" s="178" t="str">
        <f t="shared" si="94"/>
        <v/>
      </c>
      <c r="Z379" s="178" t="str">
        <f t="shared" si="95"/>
        <v/>
      </c>
      <c r="AA379" s="178" t="str">
        <f t="shared" si="96"/>
        <v/>
      </c>
      <c r="AB379" s="178" t="str">
        <f t="shared" si="97"/>
        <v/>
      </c>
      <c r="AC379" s="178" t="str">
        <f t="shared" si="98"/>
        <v/>
      </c>
      <c r="AD379" s="267" t="s">
        <v>316</v>
      </c>
      <c r="AF379" s="149" t="str">
        <f t="shared" si="110"/>
        <v/>
      </c>
      <c r="AH379" s="178" t="str">
        <f t="shared" si="102"/>
        <v/>
      </c>
      <c r="AI379" s="178" t="str">
        <f t="shared" si="103"/>
        <v/>
      </c>
      <c r="AJ379" s="178" t="str">
        <f t="shared" si="104"/>
        <v/>
      </c>
      <c r="AK379" s="178" t="str">
        <f t="shared" si="105"/>
        <v/>
      </c>
      <c r="AN379" s="149" t="str">
        <f t="shared" si="106"/>
        <v/>
      </c>
      <c r="AQ379" s="178" t="str">
        <f t="shared" ca="1" si="107"/>
        <v/>
      </c>
      <c r="AR379" s="178" t="str">
        <f t="shared" ca="1" si="108"/>
        <v/>
      </c>
    </row>
    <row r="380" spans="1:44" x14ac:dyDescent="0.2">
      <c r="A380" t="str">
        <f>IF(B380="","",CONCATENATE("GBL",B380," - ",Mantenedor!E391))</f>
        <v/>
      </c>
      <c r="P380" t="str">
        <f t="shared" si="100"/>
        <v/>
      </c>
      <c r="Q380" s="266" t="str" cm="1">
        <f t="array" ref="Q380">+_xlfn.IFS(O380="Nacional","CLP",O380="Extranjero","USD",O380="","")</f>
        <v/>
      </c>
      <c r="R380" s="262" t="str">
        <f>IFERROR(IF(O380="Nacional",VLOOKUP(P380,PRICING!$D$4:$E$59,2,FALSE),VLOOKUP(P380,PRICING!$J$4:$K$59,2,FALSE)),"")</f>
        <v/>
      </c>
      <c r="S380"/>
      <c r="V380" s="262" t="str">
        <f t="shared" si="109"/>
        <v/>
      </c>
      <c r="W380" s="280" t="str">
        <f t="shared" si="101"/>
        <v/>
      </c>
      <c r="X380" s="178" t="str">
        <f t="shared" si="93"/>
        <v/>
      </c>
      <c r="Y380" s="178" t="str">
        <f t="shared" si="94"/>
        <v/>
      </c>
      <c r="Z380" s="178" t="str">
        <f t="shared" si="95"/>
        <v/>
      </c>
      <c r="AA380" s="178" t="str">
        <f t="shared" si="96"/>
        <v/>
      </c>
      <c r="AB380" s="178" t="str">
        <f t="shared" si="97"/>
        <v/>
      </c>
      <c r="AC380" s="178" t="str">
        <f t="shared" si="98"/>
        <v/>
      </c>
      <c r="AD380" s="267" t="s">
        <v>316</v>
      </c>
      <c r="AF380" s="149" t="str">
        <f t="shared" si="110"/>
        <v/>
      </c>
      <c r="AH380" s="178" t="str">
        <f t="shared" si="102"/>
        <v/>
      </c>
      <c r="AI380" s="178" t="str">
        <f t="shared" si="103"/>
        <v/>
      </c>
      <c r="AJ380" s="178" t="str">
        <f t="shared" si="104"/>
        <v/>
      </c>
      <c r="AK380" s="178" t="str">
        <f t="shared" si="105"/>
        <v/>
      </c>
      <c r="AN380" s="149" t="str">
        <f t="shared" si="106"/>
        <v/>
      </c>
      <c r="AQ380" s="178" t="str">
        <f t="shared" ca="1" si="107"/>
        <v/>
      </c>
      <c r="AR380" s="178" t="str">
        <f t="shared" ca="1" si="108"/>
        <v/>
      </c>
    </row>
    <row r="381" spans="1:44" x14ac:dyDescent="0.2">
      <c r="A381" t="str">
        <f>IF(B381="","",CONCATENATE("GBL",B381," - ",Mantenedor!E392))</f>
        <v/>
      </c>
      <c r="P381" t="str">
        <f t="shared" si="100"/>
        <v/>
      </c>
      <c r="Q381" s="266" t="str" cm="1">
        <f t="array" ref="Q381">+_xlfn.IFS(O381="Nacional","CLP",O381="Extranjero","USD",O381="","")</f>
        <v/>
      </c>
      <c r="R381" s="262" t="str">
        <f>IFERROR(IF(O381="Nacional",VLOOKUP(P381,PRICING!$D$4:$E$59,2,FALSE),VLOOKUP(P381,PRICING!$J$4:$K$59,2,FALSE)),"")</f>
        <v/>
      </c>
      <c r="S381"/>
      <c r="V381" s="262" t="str">
        <f t="shared" si="109"/>
        <v/>
      </c>
      <c r="W381" s="280" t="str">
        <f t="shared" si="101"/>
        <v/>
      </c>
      <c r="X381" s="178" t="str">
        <f t="shared" si="93"/>
        <v/>
      </c>
      <c r="Y381" s="178" t="str">
        <f t="shared" si="94"/>
        <v/>
      </c>
      <c r="Z381" s="178" t="str">
        <f t="shared" si="95"/>
        <v/>
      </c>
      <c r="AA381" s="178" t="str">
        <f t="shared" si="96"/>
        <v/>
      </c>
      <c r="AB381" s="178" t="str">
        <f t="shared" si="97"/>
        <v/>
      </c>
      <c r="AC381" s="178" t="str">
        <f t="shared" si="98"/>
        <v/>
      </c>
      <c r="AD381" s="267" t="s">
        <v>316</v>
      </c>
      <c r="AF381" s="149" t="str">
        <f t="shared" si="110"/>
        <v/>
      </c>
      <c r="AH381" s="178" t="str">
        <f t="shared" si="102"/>
        <v/>
      </c>
      <c r="AI381" s="178" t="str">
        <f t="shared" si="103"/>
        <v/>
      </c>
      <c r="AJ381" s="178" t="str">
        <f t="shared" si="104"/>
        <v/>
      </c>
      <c r="AK381" s="178" t="str">
        <f t="shared" si="105"/>
        <v/>
      </c>
      <c r="AN381" s="149" t="str">
        <f t="shared" si="106"/>
        <v/>
      </c>
      <c r="AQ381" s="178" t="str">
        <f t="shared" ca="1" si="107"/>
        <v/>
      </c>
      <c r="AR381" s="178" t="str">
        <f t="shared" ca="1" si="108"/>
        <v/>
      </c>
    </row>
    <row r="382" spans="1:44" x14ac:dyDescent="0.2">
      <c r="A382" t="str">
        <f>IF(B382="","",CONCATENATE("GBL",B382," - ",Mantenedor!E393))</f>
        <v/>
      </c>
      <c r="P382" t="str">
        <f t="shared" si="100"/>
        <v/>
      </c>
      <c r="Q382" s="266" t="str" cm="1">
        <f t="array" ref="Q382">+_xlfn.IFS(O382="Nacional","CLP",O382="Extranjero","USD",O382="","")</f>
        <v/>
      </c>
      <c r="R382" s="262" t="str">
        <f>IFERROR(IF(O382="Nacional",VLOOKUP(P382,PRICING!$D$4:$E$59,2,FALSE),VLOOKUP(P382,PRICING!$J$4:$K$59,2,FALSE)),"")</f>
        <v/>
      </c>
      <c r="S382"/>
      <c r="V382" s="262" t="str">
        <f t="shared" si="109"/>
        <v/>
      </c>
      <c r="W382" s="280" t="str">
        <f t="shared" si="101"/>
        <v/>
      </c>
      <c r="X382" s="178" t="str">
        <f t="shared" si="93"/>
        <v/>
      </c>
      <c r="Y382" s="178" t="str">
        <f t="shared" si="94"/>
        <v/>
      </c>
      <c r="Z382" s="178" t="str">
        <f t="shared" si="95"/>
        <v/>
      </c>
      <c r="AA382" s="178" t="str">
        <f t="shared" si="96"/>
        <v/>
      </c>
      <c r="AB382" s="178" t="str">
        <f t="shared" si="97"/>
        <v/>
      </c>
      <c r="AC382" s="178" t="str">
        <f t="shared" si="98"/>
        <v/>
      </c>
      <c r="AD382" s="267" t="s">
        <v>316</v>
      </c>
      <c r="AF382" s="149" t="str">
        <f t="shared" si="110"/>
        <v/>
      </c>
      <c r="AH382" s="178" t="str">
        <f t="shared" si="102"/>
        <v/>
      </c>
      <c r="AI382" s="178" t="str">
        <f t="shared" si="103"/>
        <v/>
      </c>
      <c r="AJ382" s="178" t="str">
        <f t="shared" si="104"/>
        <v/>
      </c>
      <c r="AK382" s="178" t="str">
        <f t="shared" si="105"/>
        <v/>
      </c>
      <c r="AN382" s="149" t="str">
        <f t="shared" si="106"/>
        <v/>
      </c>
      <c r="AQ382" s="178" t="str">
        <f t="shared" ca="1" si="107"/>
        <v/>
      </c>
      <c r="AR382" s="178" t="str">
        <f t="shared" ca="1" si="108"/>
        <v/>
      </c>
    </row>
    <row r="383" spans="1:44" x14ac:dyDescent="0.2">
      <c r="A383" t="str">
        <f>IF(B383="","",CONCATENATE("GBL",B383," - ",Mantenedor!E394))</f>
        <v/>
      </c>
      <c r="P383" t="str">
        <f t="shared" si="100"/>
        <v/>
      </c>
      <c r="Q383" s="266" t="str" cm="1">
        <f t="array" ref="Q383">+_xlfn.IFS(O383="Nacional","CLP",O383="Extranjero","USD",O383="","")</f>
        <v/>
      </c>
      <c r="R383" s="262" t="str">
        <f>IFERROR(IF(O383="Nacional",VLOOKUP(P383,PRICING!$D$4:$E$59,2,FALSE),VLOOKUP(P383,PRICING!$J$4:$K$59,2,FALSE)),"")</f>
        <v/>
      </c>
      <c r="S383"/>
      <c r="V383" s="262" t="str">
        <f t="shared" si="109"/>
        <v/>
      </c>
      <c r="W383" s="280" t="str">
        <f t="shared" si="101"/>
        <v/>
      </c>
      <c r="X383" s="178" t="str">
        <f t="shared" si="93"/>
        <v/>
      </c>
      <c r="Y383" s="178" t="str">
        <f t="shared" si="94"/>
        <v/>
      </c>
      <c r="Z383" s="178" t="str">
        <f t="shared" si="95"/>
        <v/>
      </c>
      <c r="AA383" s="178" t="str">
        <f t="shared" si="96"/>
        <v/>
      </c>
      <c r="AB383" s="178" t="str">
        <f t="shared" si="97"/>
        <v/>
      </c>
      <c r="AC383" s="178" t="str">
        <f t="shared" si="98"/>
        <v/>
      </c>
      <c r="AD383" s="267" t="s">
        <v>316</v>
      </c>
      <c r="AF383" s="149" t="str">
        <f t="shared" si="110"/>
        <v/>
      </c>
      <c r="AH383" s="178" t="str">
        <f t="shared" si="102"/>
        <v/>
      </c>
      <c r="AI383" s="178" t="str">
        <f t="shared" si="103"/>
        <v/>
      </c>
      <c r="AJ383" s="178" t="str">
        <f t="shared" si="104"/>
        <v/>
      </c>
      <c r="AK383" s="178" t="str">
        <f t="shared" si="105"/>
        <v/>
      </c>
      <c r="AN383" s="149" t="str">
        <f t="shared" si="106"/>
        <v/>
      </c>
      <c r="AQ383" s="178" t="str">
        <f t="shared" ca="1" si="107"/>
        <v/>
      </c>
      <c r="AR383" s="178" t="str">
        <f t="shared" ca="1" si="108"/>
        <v/>
      </c>
    </row>
    <row r="384" spans="1:44" x14ac:dyDescent="0.2">
      <c r="A384" t="str">
        <f>IF(B384="","",CONCATENATE("GBL",B384," - ",Mantenedor!E395))</f>
        <v/>
      </c>
      <c r="P384" t="str">
        <f t="shared" si="100"/>
        <v/>
      </c>
      <c r="Q384" s="266" t="str" cm="1">
        <f t="array" ref="Q384">+_xlfn.IFS(O384="Nacional","CLP",O384="Extranjero","USD",O384="","")</f>
        <v/>
      </c>
      <c r="R384" s="262" t="str">
        <f>IFERROR(IF(O384="Nacional",VLOOKUP(P384,PRICING!$D$4:$E$59,2,FALSE),VLOOKUP(P384,PRICING!$J$4:$K$59,2,FALSE)),"")</f>
        <v/>
      </c>
      <c r="S384"/>
      <c r="V384" s="262" t="str">
        <f t="shared" si="109"/>
        <v/>
      </c>
      <c r="W384" s="280" t="str">
        <f t="shared" si="101"/>
        <v/>
      </c>
      <c r="X384" s="178" t="str">
        <f t="shared" ref="X384:X433" si="111">IF($J384="","",$J384-105)</f>
        <v/>
      </c>
      <c r="Y384" s="178" t="str">
        <f t="shared" ref="Y384:Y433" si="112">IF($J384="","",$J384-90)</f>
        <v/>
      </c>
      <c r="Z384" s="178" t="str">
        <f t="shared" ref="Z384:Z433" si="113">IF($J384="","",$J384-75)</f>
        <v/>
      </c>
      <c r="AA384" s="178" t="str">
        <f t="shared" ref="AA384:AA433" si="114">IF($J384="","",$J384-60)</f>
        <v/>
      </c>
      <c r="AB384" s="178" t="str">
        <f t="shared" ref="AB384:AB433" si="115">IF($J384="","",$J384-45)</f>
        <v/>
      </c>
      <c r="AC384" s="178" t="str">
        <f t="shared" ref="AC384:AC433" si="116">IF($J384="","",$J384-30)</f>
        <v/>
      </c>
      <c r="AD384" s="267" t="s">
        <v>316</v>
      </c>
      <c r="AF384" s="149" t="str">
        <f t="shared" si="110"/>
        <v/>
      </c>
      <c r="AH384" s="178" t="str">
        <f t="shared" si="102"/>
        <v/>
      </c>
      <c r="AI384" s="178" t="str">
        <f t="shared" si="103"/>
        <v/>
      </c>
      <c r="AJ384" s="178" t="str">
        <f t="shared" si="104"/>
        <v/>
      </c>
      <c r="AK384" s="178" t="str">
        <f t="shared" si="105"/>
        <v/>
      </c>
      <c r="AN384" s="149" t="str">
        <f t="shared" si="106"/>
        <v/>
      </c>
      <c r="AQ384" s="178" t="str">
        <f t="shared" ca="1" si="107"/>
        <v/>
      </c>
      <c r="AR384" s="178" t="str">
        <f t="shared" ca="1" si="108"/>
        <v/>
      </c>
    </row>
    <row r="385" spans="1:44" x14ac:dyDescent="0.2">
      <c r="A385" t="str">
        <f>IF(B385="","",CONCATENATE("GBL",B385," - ",Mantenedor!E396))</f>
        <v/>
      </c>
      <c r="P385" t="str">
        <f t="shared" si="100"/>
        <v/>
      </c>
      <c r="Q385" s="266" t="str" cm="1">
        <f t="array" ref="Q385">+_xlfn.IFS(O385="Nacional","CLP",O385="Extranjero","USD",O385="","")</f>
        <v/>
      </c>
      <c r="R385" s="262" t="str">
        <f>IFERROR(IF(O385="Nacional",VLOOKUP(P385,PRICING!$D$4:$E$59,2,FALSE),VLOOKUP(P385,PRICING!$J$4:$K$59,2,FALSE)),"")</f>
        <v/>
      </c>
      <c r="S385"/>
      <c r="V385" s="262" t="str">
        <f t="shared" si="109"/>
        <v/>
      </c>
      <c r="W385" s="280" t="str">
        <f t="shared" si="101"/>
        <v/>
      </c>
      <c r="X385" s="178" t="str">
        <f t="shared" si="111"/>
        <v/>
      </c>
      <c r="Y385" s="178" t="str">
        <f t="shared" si="112"/>
        <v/>
      </c>
      <c r="Z385" s="178" t="str">
        <f t="shared" si="113"/>
        <v/>
      </c>
      <c r="AA385" s="178" t="str">
        <f t="shared" si="114"/>
        <v/>
      </c>
      <c r="AB385" s="178" t="str">
        <f t="shared" si="115"/>
        <v/>
      </c>
      <c r="AC385" s="178" t="str">
        <f t="shared" si="116"/>
        <v/>
      </c>
      <c r="AD385" s="267" t="s">
        <v>316</v>
      </c>
      <c r="AF385" s="149" t="str">
        <f t="shared" si="110"/>
        <v/>
      </c>
      <c r="AH385" s="178" t="str">
        <f t="shared" si="102"/>
        <v/>
      </c>
      <c r="AI385" s="178" t="str">
        <f t="shared" si="103"/>
        <v/>
      </c>
      <c r="AJ385" s="178" t="str">
        <f t="shared" si="104"/>
        <v/>
      </c>
      <c r="AK385" s="178" t="str">
        <f t="shared" si="105"/>
        <v/>
      </c>
      <c r="AN385" s="149" t="str">
        <f t="shared" si="106"/>
        <v/>
      </c>
      <c r="AQ385" s="178" t="str">
        <f t="shared" ca="1" si="107"/>
        <v/>
      </c>
      <c r="AR385" s="178" t="str">
        <f t="shared" ca="1" si="108"/>
        <v/>
      </c>
    </row>
    <row r="386" spans="1:44" x14ac:dyDescent="0.2">
      <c r="A386" t="str">
        <f>IF(B386="","",CONCATENATE("GBL",B386," - ",Mantenedor!E397))</f>
        <v/>
      </c>
      <c r="P386" t="str">
        <f t="shared" si="100"/>
        <v/>
      </c>
      <c r="Q386" s="266" t="str" cm="1">
        <f t="array" ref="Q386">+_xlfn.IFS(O386="Nacional","CLP",O386="Extranjero","USD",O386="","")</f>
        <v/>
      </c>
      <c r="R386" s="262" t="str">
        <f>IFERROR(IF(O386="Nacional",VLOOKUP(P386,PRICING!$D$4:$E$59,2,FALSE),VLOOKUP(P386,PRICING!$J$4:$K$59,2,FALSE)),"")</f>
        <v/>
      </c>
      <c r="S386"/>
      <c r="V386" s="262" t="str">
        <f t="shared" si="109"/>
        <v/>
      </c>
      <c r="W386" s="280" t="str">
        <f t="shared" si="101"/>
        <v/>
      </c>
      <c r="X386" s="178" t="str">
        <f t="shared" si="111"/>
        <v/>
      </c>
      <c r="Y386" s="178" t="str">
        <f t="shared" si="112"/>
        <v/>
      </c>
      <c r="Z386" s="178" t="str">
        <f t="shared" si="113"/>
        <v/>
      </c>
      <c r="AA386" s="178" t="str">
        <f t="shared" si="114"/>
        <v/>
      </c>
      <c r="AB386" s="178" t="str">
        <f t="shared" si="115"/>
        <v/>
      </c>
      <c r="AC386" s="178" t="str">
        <f t="shared" si="116"/>
        <v/>
      </c>
      <c r="AD386" s="267" t="s">
        <v>316</v>
      </c>
      <c r="AF386" s="149" t="str">
        <f t="shared" si="110"/>
        <v/>
      </c>
      <c r="AH386" s="178" t="str">
        <f t="shared" si="102"/>
        <v/>
      </c>
      <c r="AI386" s="178" t="str">
        <f t="shared" si="103"/>
        <v/>
      </c>
      <c r="AJ386" s="178" t="str">
        <f t="shared" si="104"/>
        <v/>
      </c>
      <c r="AK386" s="178" t="str">
        <f t="shared" si="105"/>
        <v/>
      </c>
      <c r="AN386" s="149" t="str">
        <f t="shared" si="106"/>
        <v/>
      </c>
      <c r="AQ386" s="178" t="str">
        <f t="shared" ca="1" si="107"/>
        <v/>
      </c>
      <c r="AR386" s="178" t="str">
        <f t="shared" ca="1" si="108"/>
        <v/>
      </c>
    </row>
    <row r="387" spans="1:44" x14ac:dyDescent="0.2">
      <c r="A387" t="str">
        <f>IF(B387="","",CONCATENATE("GBL",B387," - ",Mantenedor!E398))</f>
        <v/>
      </c>
      <c r="P387" t="str">
        <f t="shared" si="100"/>
        <v/>
      </c>
      <c r="Q387" s="266" t="str" cm="1">
        <f t="array" ref="Q387">+_xlfn.IFS(O387="Nacional","CLP",O387="Extranjero","USD",O387="","")</f>
        <v/>
      </c>
      <c r="R387" s="262" t="str">
        <f>IFERROR(IF(O387="Nacional",VLOOKUP(P387,PRICING!$D$4:$E$59,2,FALSE),VLOOKUP(P387,PRICING!$J$4:$K$59,2,FALSE)),"")</f>
        <v/>
      </c>
      <c r="S387"/>
      <c r="V387" s="262" t="str">
        <f t="shared" si="109"/>
        <v/>
      </c>
      <c r="W387" s="280" t="str">
        <f t="shared" si="101"/>
        <v/>
      </c>
      <c r="X387" s="178" t="str">
        <f t="shared" si="111"/>
        <v/>
      </c>
      <c r="Y387" s="178" t="str">
        <f t="shared" si="112"/>
        <v/>
      </c>
      <c r="Z387" s="178" t="str">
        <f t="shared" si="113"/>
        <v/>
      </c>
      <c r="AA387" s="178" t="str">
        <f t="shared" si="114"/>
        <v/>
      </c>
      <c r="AB387" s="178" t="str">
        <f t="shared" si="115"/>
        <v/>
      </c>
      <c r="AC387" s="178" t="str">
        <f t="shared" si="116"/>
        <v/>
      </c>
      <c r="AD387" s="267" t="s">
        <v>316</v>
      </c>
      <c r="AF387" s="149" t="str">
        <f t="shared" si="110"/>
        <v/>
      </c>
      <c r="AH387" s="178" t="str">
        <f t="shared" si="102"/>
        <v/>
      </c>
      <c r="AI387" s="178" t="str">
        <f t="shared" si="103"/>
        <v/>
      </c>
      <c r="AJ387" s="178" t="str">
        <f t="shared" si="104"/>
        <v/>
      </c>
      <c r="AK387" s="178" t="str">
        <f t="shared" si="105"/>
        <v/>
      </c>
      <c r="AN387" s="149" t="str">
        <f t="shared" si="106"/>
        <v/>
      </c>
      <c r="AQ387" s="178" t="str">
        <f t="shared" ca="1" si="107"/>
        <v/>
      </c>
      <c r="AR387" s="178" t="str">
        <f t="shared" ca="1" si="108"/>
        <v/>
      </c>
    </row>
    <row r="388" spans="1:44" x14ac:dyDescent="0.2">
      <c r="A388" t="str">
        <f>IF(B388="","",CONCATENATE("GBL",B388," - ",Mantenedor!E399))</f>
        <v/>
      </c>
      <c r="P388" t="str">
        <f t="shared" si="100"/>
        <v/>
      </c>
      <c r="Q388" s="266" t="str" cm="1">
        <f t="array" ref="Q388">+_xlfn.IFS(O388="Nacional","CLP",O388="Extranjero","USD",O388="","")</f>
        <v/>
      </c>
      <c r="R388" s="262" t="str">
        <f>IFERROR(IF(O388="Nacional",VLOOKUP(P388,PRICING!$D$4:$E$59,2,FALSE),VLOOKUP(P388,PRICING!$J$4:$K$59,2,FALSE)),"")</f>
        <v/>
      </c>
      <c r="S388"/>
      <c r="V388" s="262" t="str">
        <f t="shared" si="109"/>
        <v/>
      </c>
      <c r="W388" s="280" t="str">
        <f t="shared" si="101"/>
        <v/>
      </c>
      <c r="X388" s="178" t="str">
        <f t="shared" si="111"/>
        <v/>
      </c>
      <c r="Y388" s="178" t="str">
        <f t="shared" si="112"/>
        <v/>
      </c>
      <c r="Z388" s="178" t="str">
        <f t="shared" si="113"/>
        <v/>
      </c>
      <c r="AA388" s="178" t="str">
        <f t="shared" si="114"/>
        <v/>
      </c>
      <c r="AB388" s="178" t="str">
        <f t="shared" si="115"/>
        <v/>
      </c>
      <c r="AC388" s="178" t="str">
        <f t="shared" si="116"/>
        <v/>
      </c>
      <c r="AD388" s="267" t="s">
        <v>316</v>
      </c>
      <c r="AF388" s="149" t="str">
        <f t="shared" si="110"/>
        <v/>
      </c>
      <c r="AH388" s="178" t="str">
        <f t="shared" si="102"/>
        <v/>
      </c>
      <c r="AI388" s="178" t="str">
        <f t="shared" si="103"/>
        <v/>
      </c>
      <c r="AJ388" s="178" t="str">
        <f t="shared" si="104"/>
        <v/>
      </c>
      <c r="AK388" s="178" t="str">
        <f t="shared" si="105"/>
        <v/>
      </c>
      <c r="AN388" s="149" t="str">
        <f t="shared" si="106"/>
        <v/>
      </c>
      <c r="AQ388" s="178" t="str">
        <f t="shared" ca="1" si="107"/>
        <v/>
      </c>
      <c r="AR388" s="178" t="str">
        <f t="shared" ca="1" si="108"/>
        <v/>
      </c>
    </row>
    <row r="389" spans="1:44" x14ac:dyDescent="0.2">
      <c r="A389" t="str">
        <f>IF(B389="","",CONCATENATE("GBL",B389," - ",Mantenedor!E400))</f>
        <v/>
      </c>
      <c r="P389" t="str">
        <f t="shared" si="100"/>
        <v/>
      </c>
      <c r="Q389" s="266" t="str" cm="1">
        <f t="array" ref="Q389">+_xlfn.IFS(O389="Nacional","CLP",O389="Extranjero","USD",O389="","")</f>
        <v/>
      </c>
      <c r="R389" s="262" t="str">
        <f>IFERROR(IF(O389="Nacional",VLOOKUP(P389,PRICING!$D$4:$E$59,2,FALSE),VLOOKUP(P389,PRICING!$J$4:$K$59,2,FALSE)),"")</f>
        <v/>
      </c>
      <c r="S389"/>
      <c r="V389" s="262" t="str">
        <f t="shared" si="109"/>
        <v/>
      </c>
      <c r="W389" s="280" t="str">
        <f t="shared" si="101"/>
        <v/>
      </c>
      <c r="X389" s="178" t="str">
        <f t="shared" si="111"/>
        <v/>
      </c>
      <c r="Y389" s="178" t="str">
        <f t="shared" si="112"/>
        <v/>
      </c>
      <c r="Z389" s="178" t="str">
        <f t="shared" si="113"/>
        <v/>
      </c>
      <c r="AA389" s="178" t="str">
        <f t="shared" si="114"/>
        <v/>
      </c>
      <c r="AB389" s="178" t="str">
        <f t="shared" si="115"/>
        <v/>
      </c>
      <c r="AC389" s="178" t="str">
        <f t="shared" si="116"/>
        <v/>
      </c>
      <c r="AD389" s="267" t="s">
        <v>316</v>
      </c>
      <c r="AF389" s="149" t="str">
        <f t="shared" si="110"/>
        <v/>
      </c>
      <c r="AH389" s="178" t="str">
        <f t="shared" si="102"/>
        <v/>
      </c>
      <c r="AI389" s="178" t="str">
        <f t="shared" si="103"/>
        <v/>
      </c>
      <c r="AJ389" s="178" t="str">
        <f t="shared" si="104"/>
        <v/>
      </c>
      <c r="AK389" s="178" t="str">
        <f t="shared" si="105"/>
        <v/>
      </c>
      <c r="AN389" s="149" t="str">
        <f t="shared" si="106"/>
        <v/>
      </c>
      <c r="AQ389" s="178" t="str">
        <f t="shared" ca="1" si="107"/>
        <v/>
      </c>
      <c r="AR389" s="178" t="str">
        <f t="shared" ca="1" si="108"/>
        <v/>
      </c>
    </row>
    <row r="390" spans="1:44" x14ac:dyDescent="0.2">
      <c r="A390" t="str">
        <f>IF(B390="","",CONCATENATE("GBL",B390," - ",Mantenedor!E401))</f>
        <v/>
      </c>
      <c r="P390" t="str">
        <f t="shared" si="100"/>
        <v/>
      </c>
      <c r="Q390" s="266" t="str" cm="1">
        <f t="array" ref="Q390">+_xlfn.IFS(O390="Nacional","CLP",O390="Extranjero","USD",O390="","")</f>
        <v/>
      </c>
      <c r="R390" s="262" t="str">
        <f>IFERROR(IF(O390="Nacional",VLOOKUP(P390,PRICING!$D$4:$E$59,2,FALSE),VLOOKUP(P390,PRICING!$J$4:$K$59,2,FALSE)),"")</f>
        <v/>
      </c>
      <c r="S390"/>
      <c r="V390" s="262" t="str">
        <f t="shared" si="109"/>
        <v/>
      </c>
      <c r="W390" s="280" t="str">
        <f t="shared" si="101"/>
        <v/>
      </c>
      <c r="X390" s="178" t="str">
        <f t="shared" si="111"/>
        <v/>
      </c>
      <c r="Y390" s="178" t="str">
        <f t="shared" si="112"/>
        <v/>
      </c>
      <c r="Z390" s="178" t="str">
        <f t="shared" si="113"/>
        <v/>
      </c>
      <c r="AA390" s="178" t="str">
        <f t="shared" si="114"/>
        <v/>
      </c>
      <c r="AB390" s="178" t="str">
        <f t="shared" si="115"/>
        <v/>
      </c>
      <c r="AC390" s="178" t="str">
        <f t="shared" si="116"/>
        <v/>
      </c>
      <c r="AD390" s="267" t="s">
        <v>316</v>
      </c>
      <c r="AF390" s="149" t="str">
        <f t="shared" si="110"/>
        <v/>
      </c>
      <c r="AH390" s="178" t="str">
        <f t="shared" si="102"/>
        <v/>
      </c>
      <c r="AI390" s="178" t="str">
        <f t="shared" si="103"/>
        <v/>
      </c>
      <c r="AJ390" s="178" t="str">
        <f t="shared" si="104"/>
        <v/>
      </c>
      <c r="AK390" s="178" t="str">
        <f t="shared" si="105"/>
        <v/>
      </c>
      <c r="AN390" s="149" t="str">
        <f t="shared" si="106"/>
        <v/>
      </c>
      <c r="AQ390" s="178" t="str">
        <f t="shared" ca="1" si="107"/>
        <v/>
      </c>
      <c r="AR390" s="178" t="str">
        <f t="shared" ca="1" si="108"/>
        <v/>
      </c>
    </row>
    <row r="391" spans="1:44" x14ac:dyDescent="0.2">
      <c r="A391" t="str">
        <f>IF(B391="","",CONCATENATE("GBL",B391," - ",Mantenedor!E402))</f>
        <v/>
      </c>
      <c r="P391" t="str">
        <f t="shared" si="100"/>
        <v/>
      </c>
      <c r="Q391" s="266" t="str" cm="1">
        <f t="array" ref="Q391">+_xlfn.IFS(O391="Nacional","CLP",O391="Extranjero","USD",O391="","")</f>
        <v/>
      </c>
      <c r="R391" s="262" t="str">
        <f>IFERROR(IF(O391="Nacional",VLOOKUP(P391,PRICING!$D$4:$E$59,2,FALSE),VLOOKUP(P391,PRICING!$J$4:$K$59,2,FALSE)),"")</f>
        <v/>
      </c>
      <c r="S391"/>
      <c r="V391" s="262" t="str">
        <f t="shared" si="109"/>
        <v/>
      </c>
      <c r="W391" s="280" t="str">
        <f t="shared" si="101"/>
        <v/>
      </c>
      <c r="X391" s="178" t="str">
        <f t="shared" si="111"/>
        <v/>
      </c>
      <c r="Y391" s="178" t="str">
        <f t="shared" si="112"/>
        <v/>
      </c>
      <c r="Z391" s="178" t="str">
        <f t="shared" si="113"/>
        <v/>
      </c>
      <c r="AA391" s="178" t="str">
        <f t="shared" si="114"/>
        <v/>
      </c>
      <c r="AB391" s="178" t="str">
        <f t="shared" si="115"/>
        <v/>
      </c>
      <c r="AC391" s="178" t="str">
        <f t="shared" si="116"/>
        <v/>
      </c>
      <c r="AD391" s="267" t="s">
        <v>316</v>
      </c>
      <c r="AF391" s="149" t="str">
        <f t="shared" si="110"/>
        <v/>
      </c>
      <c r="AH391" s="178" t="str">
        <f t="shared" si="102"/>
        <v/>
      </c>
      <c r="AI391" s="178" t="str">
        <f t="shared" si="103"/>
        <v/>
      </c>
      <c r="AJ391" s="178" t="str">
        <f t="shared" si="104"/>
        <v/>
      </c>
      <c r="AK391" s="178" t="str">
        <f t="shared" si="105"/>
        <v/>
      </c>
      <c r="AN391" s="149" t="str">
        <f t="shared" si="106"/>
        <v/>
      </c>
      <c r="AQ391" s="178" t="str">
        <f t="shared" ca="1" si="107"/>
        <v/>
      </c>
      <c r="AR391" s="178" t="str">
        <f t="shared" ca="1" si="108"/>
        <v/>
      </c>
    </row>
    <row r="392" spans="1:44" x14ac:dyDescent="0.2">
      <c r="A392" t="str">
        <f>IF(B392="","",CONCATENATE("GBL",B392," - ",Mantenedor!E403))</f>
        <v/>
      </c>
      <c r="P392" t="str">
        <f t="shared" si="100"/>
        <v/>
      </c>
      <c r="Q392" s="266" t="str" cm="1">
        <f t="array" ref="Q392">+_xlfn.IFS(O392="Nacional","CLP",O392="Extranjero","USD",O392="","")</f>
        <v/>
      </c>
      <c r="R392" s="262" t="str">
        <f>IFERROR(IF(O392="Nacional",VLOOKUP(P392,PRICING!$D$4:$E$59,2,FALSE),VLOOKUP(P392,PRICING!$J$4:$K$59,2,FALSE)),"")</f>
        <v/>
      </c>
      <c r="S392"/>
      <c r="V392" s="262" t="str">
        <f t="shared" si="109"/>
        <v/>
      </c>
      <c r="W392" s="280" t="str">
        <f t="shared" si="101"/>
        <v/>
      </c>
      <c r="X392" s="178" t="str">
        <f t="shared" si="111"/>
        <v/>
      </c>
      <c r="Y392" s="178" t="str">
        <f t="shared" si="112"/>
        <v/>
      </c>
      <c r="Z392" s="178" t="str">
        <f t="shared" si="113"/>
        <v/>
      </c>
      <c r="AA392" s="178" t="str">
        <f t="shared" si="114"/>
        <v/>
      </c>
      <c r="AB392" s="178" t="str">
        <f t="shared" si="115"/>
        <v/>
      </c>
      <c r="AC392" s="178" t="str">
        <f t="shared" si="116"/>
        <v/>
      </c>
      <c r="AD392" s="267" t="s">
        <v>316</v>
      </c>
      <c r="AF392" s="149" t="str">
        <f t="shared" si="110"/>
        <v/>
      </c>
      <c r="AH392" s="178" t="str">
        <f t="shared" si="102"/>
        <v/>
      </c>
      <c r="AI392" s="178" t="str">
        <f t="shared" si="103"/>
        <v/>
      </c>
      <c r="AJ392" s="178" t="str">
        <f t="shared" si="104"/>
        <v/>
      </c>
      <c r="AK392" s="178" t="str">
        <f t="shared" si="105"/>
        <v/>
      </c>
      <c r="AN392" s="149" t="str">
        <f t="shared" si="106"/>
        <v/>
      </c>
      <c r="AQ392" s="178" t="str">
        <f t="shared" ca="1" si="107"/>
        <v/>
      </c>
      <c r="AR392" s="178" t="str">
        <f t="shared" ca="1" si="108"/>
        <v/>
      </c>
    </row>
    <row r="393" spans="1:44" x14ac:dyDescent="0.2">
      <c r="A393" t="str">
        <f>IF(B393="","",CONCATENATE("GBL",B393," - ",Mantenedor!E404))</f>
        <v/>
      </c>
      <c r="P393" t="str">
        <f t="shared" si="100"/>
        <v/>
      </c>
      <c r="Q393" s="266" t="str" cm="1">
        <f t="array" ref="Q393">+_xlfn.IFS(O393="Nacional","CLP",O393="Extranjero","USD",O393="","")</f>
        <v/>
      </c>
      <c r="R393" s="262" t="str">
        <f>IFERROR(IF(O393="Nacional",VLOOKUP(P393,PRICING!$D$4:$E$59,2,FALSE),VLOOKUP(P393,PRICING!$J$4:$K$59,2,FALSE)),"")</f>
        <v/>
      </c>
      <c r="S393"/>
      <c r="V393" s="262" t="str">
        <f t="shared" si="109"/>
        <v/>
      </c>
      <c r="W393" s="280" t="str">
        <f t="shared" si="101"/>
        <v/>
      </c>
      <c r="X393" s="178" t="str">
        <f t="shared" si="111"/>
        <v/>
      </c>
      <c r="Y393" s="178" t="str">
        <f t="shared" si="112"/>
        <v/>
      </c>
      <c r="Z393" s="178" t="str">
        <f t="shared" si="113"/>
        <v/>
      </c>
      <c r="AA393" s="178" t="str">
        <f t="shared" si="114"/>
        <v/>
      </c>
      <c r="AB393" s="178" t="str">
        <f t="shared" si="115"/>
        <v/>
      </c>
      <c r="AC393" s="178" t="str">
        <f t="shared" si="116"/>
        <v/>
      </c>
      <c r="AD393" s="267" t="s">
        <v>316</v>
      </c>
      <c r="AF393" s="149" t="str">
        <f t="shared" si="110"/>
        <v/>
      </c>
      <c r="AH393" s="178" t="str">
        <f t="shared" si="102"/>
        <v/>
      </c>
      <c r="AI393" s="178" t="str">
        <f t="shared" si="103"/>
        <v/>
      </c>
      <c r="AJ393" s="178" t="str">
        <f t="shared" si="104"/>
        <v/>
      </c>
      <c r="AK393" s="178" t="str">
        <f t="shared" si="105"/>
        <v/>
      </c>
      <c r="AN393" s="149" t="str">
        <f t="shared" si="106"/>
        <v/>
      </c>
      <c r="AQ393" s="178" t="str">
        <f t="shared" ca="1" si="107"/>
        <v/>
      </c>
      <c r="AR393" s="178" t="str">
        <f t="shared" ca="1" si="108"/>
        <v/>
      </c>
    </row>
    <row r="394" spans="1:44" x14ac:dyDescent="0.2">
      <c r="A394" t="str">
        <f>IF(B394="","",CONCATENATE("GBL",B394," - ",Mantenedor!E405))</f>
        <v/>
      </c>
      <c r="P394" t="str">
        <f t="shared" si="100"/>
        <v/>
      </c>
      <c r="Q394" s="266" t="str" cm="1">
        <f t="array" ref="Q394">+_xlfn.IFS(O394="Nacional","CLP",O394="Extranjero","USD",O394="","")</f>
        <v/>
      </c>
      <c r="R394" s="262" t="str">
        <f>IFERROR(IF(O394="Nacional",VLOOKUP(P394,PRICING!$D$4:$E$59,2,FALSE),VLOOKUP(P394,PRICING!$J$4:$K$59,2,FALSE)),"")</f>
        <v/>
      </c>
      <c r="S394"/>
      <c r="V394" s="262" t="str">
        <f t="shared" si="109"/>
        <v/>
      </c>
      <c r="W394" s="280" t="str">
        <f t="shared" si="101"/>
        <v/>
      </c>
      <c r="X394" s="178" t="str">
        <f t="shared" si="111"/>
        <v/>
      </c>
      <c r="Y394" s="178" t="str">
        <f t="shared" si="112"/>
        <v/>
      </c>
      <c r="Z394" s="178" t="str">
        <f t="shared" si="113"/>
        <v/>
      </c>
      <c r="AA394" s="178" t="str">
        <f t="shared" si="114"/>
        <v/>
      </c>
      <c r="AB394" s="178" t="str">
        <f t="shared" si="115"/>
        <v/>
      </c>
      <c r="AC394" s="178" t="str">
        <f t="shared" si="116"/>
        <v/>
      </c>
      <c r="AD394" s="267" t="s">
        <v>316</v>
      </c>
      <c r="AF394" s="149" t="str">
        <f t="shared" si="110"/>
        <v/>
      </c>
      <c r="AH394" s="178" t="str">
        <f t="shared" si="102"/>
        <v/>
      </c>
      <c r="AI394" s="178" t="str">
        <f t="shared" si="103"/>
        <v/>
      </c>
      <c r="AJ394" s="178" t="str">
        <f t="shared" si="104"/>
        <v/>
      </c>
      <c r="AK394" s="178" t="str">
        <f t="shared" si="105"/>
        <v/>
      </c>
      <c r="AN394" s="149" t="str">
        <f t="shared" si="106"/>
        <v/>
      </c>
      <c r="AQ394" s="178" t="str">
        <f t="shared" ca="1" si="107"/>
        <v/>
      </c>
      <c r="AR394" s="178" t="str">
        <f t="shared" ca="1" si="108"/>
        <v/>
      </c>
    </row>
    <row r="395" spans="1:44" x14ac:dyDescent="0.2">
      <c r="A395" t="str">
        <f>IF(B395="","",CONCATENATE("GBL",B395," - ",Mantenedor!E406))</f>
        <v/>
      </c>
      <c r="P395" t="str">
        <f t="shared" si="100"/>
        <v/>
      </c>
      <c r="Q395" s="266" t="str" cm="1">
        <f t="array" ref="Q395">+_xlfn.IFS(O395="Nacional","CLP",O395="Extranjero","USD",O395="","")</f>
        <v/>
      </c>
      <c r="R395" s="262" t="str">
        <f>IFERROR(IF(O395="Nacional",VLOOKUP(P395,PRICING!$D$4:$E$59,2,FALSE),VLOOKUP(P395,PRICING!$J$4:$K$59,2,FALSE)),"")</f>
        <v/>
      </c>
      <c r="S395"/>
      <c r="V395" s="262" t="str">
        <f t="shared" si="109"/>
        <v/>
      </c>
      <c r="W395" s="280" t="str">
        <f t="shared" si="101"/>
        <v/>
      </c>
      <c r="X395" s="178" t="str">
        <f t="shared" si="111"/>
        <v/>
      </c>
      <c r="Y395" s="178" t="str">
        <f t="shared" si="112"/>
        <v/>
      </c>
      <c r="Z395" s="178" t="str">
        <f t="shared" si="113"/>
        <v/>
      </c>
      <c r="AA395" s="178" t="str">
        <f t="shared" si="114"/>
        <v/>
      </c>
      <c r="AB395" s="178" t="str">
        <f t="shared" si="115"/>
        <v/>
      </c>
      <c r="AC395" s="178" t="str">
        <f t="shared" si="116"/>
        <v/>
      </c>
      <c r="AD395" s="267" t="s">
        <v>316</v>
      </c>
      <c r="AF395" s="149" t="str">
        <f t="shared" si="110"/>
        <v/>
      </c>
      <c r="AH395" s="178" t="str">
        <f t="shared" si="102"/>
        <v/>
      </c>
      <c r="AI395" s="178" t="str">
        <f t="shared" si="103"/>
        <v/>
      </c>
      <c r="AJ395" s="178" t="str">
        <f t="shared" si="104"/>
        <v/>
      </c>
      <c r="AK395" s="178" t="str">
        <f t="shared" si="105"/>
        <v/>
      </c>
      <c r="AN395" s="149" t="str">
        <f t="shared" si="106"/>
        <v/>
      </c>
      <c r="AQ395" s="178" t="str">
        <f t="shared" ca="1" si="107"/>
        <v/>
      </c>
      <c r="AR395" s="178" t="str">
        <f t="shared" ca="1" si="108"/>
        <v/>
      </c>
    </row>
    <row r="396" spans="1:44" x14ac:dyDescent="0.2">
      <c r="A396" t="str">
        <f>IF(B396="","",CONCATENATE("GBL",B396," - ",Mantenedor!E407))</f>
        <v/>
      </c>
      <c r="P396" t="str">
        <f t="shared" si="100"/>
        <v/>
      </c>
      <c r="Q396" s="266" t="str" cm="1">
        <f t="array" ref="Q396">+_xlfn.IFS(O396="Nacional","CLP",O396="Extranjero","USD",O396="","")</f>
        <v/>
      </c>
      <c r="R396" s="262" t="str">
        <f>IFERROR(IF(O396="Nacional",VLOOKUP(P396,PRICING!$D$4:$E$59,2,FALSE),VLOOKUP(P396,PRICING!$J$4:$K$59,2,FALSE)),"")</f>
        <v/>
      </c>
      <c r="S396"/>
      <c r="V396" s="262" t="str">
        <f t="shared" si="109"/>
        <v/>
      </c>
      <c r="W396" s="280" t="str">
        <f t="shared" si="101"/>
        <v/>
      </c>
      <c r="X396" s="178" t="str">
        <f t="shared" si="111"/>
        <v/>
      </c>
      <c r="Y396" s="178" t="str">
        <f t="shared" si="112"/>
        <v/>
      </c>
      <c r="Z396" s="178" t="str">
        <f t="shared" si="113"/>
        <v/>
      </c>
      <c r="AA396" s="178" t="str">
        <f t="shared" si="114"/>
        <v/>
      </c>
      <c r="AB396" s="178" t="str">
        <f t="shared" si="115"/>
        <v/>
      </c>
      <c r="AC396" s="178" t="str">
        <f t="shared" si="116"/>
        <v/>
      </c>
      <c r="AD396" s="267" t="s">
        <v>316</v>
      </c>
      <c r="AF396" s="149" t="str">
        <f t="shared" si="110"/>
        <v/>
      </c>
      <c r="AH396" s="178" t="str">
        <f t="shared" si="102"/>
        <v/>
      </c>
      <c r="AI396" s="178" t="str">
        <f t="shared" si="103"/>
        <v/>
      </c>
      <c r="AJ396" s="178" t="str">
        <f t="shared" si="104"/>
        <v/>
      </c>
      <c r="AK396" s="178" t="str">
        <f t="shared" si="105"/>
        <v/>
      </c>
      <c r="AN396" s="149" t="str">
        <f t="shared" si="106"/>
        <v/>
      </c>
      <c r="AQ396" s="178" t="str">
        <f t="shared" ca="1" si="107"/>
        <v/>
      </c>
      <c r="AR396" s="178" t="str">
        <f t="shared" ca="1" si="108"/>
        <v/>
      </c>
    </row>
    <row r="397" spans="1:44" x14ac:dyDescent="0.2">
      <c r="A397" t="str">
        <f>IF(B397="","",CONCATENATE("GBL",B397," - ",Mantenedor!E408))</f>
        <v/>
      </c>
      <c r="P397" t="str">
        <f t="shared" si="100"/>
        <v/>
      </c>
      <c r="Q397" s="266" t="str" cm="1">
        <f t="array" ref="Q397">+_xlfn.IFS(O397="Nacional","CLP",O397="Extranjero","USD",O397="","")</f>
        <v/>
      </c>
      <c r="R397" s="262" t="str">
        <f>IFERROR(IF(O397="Nacional",VLOOKUP(P397,PRICING!$D$4:$E$59,2,FALSE),VLOOKUP(P397,PRICING!$J$4:$K$59,2,FALSE)),"")</f>
        <v/>
      </c>
      <c r="S397"/>
      <c r="V397" s="262" t="str">
        <f t="shared" si="109"/>
        <v/>
      </c>
      <c r="W397" s="280" t="str">
        <f t="shared" si="101"/>
        <v/>
      </c>
      <c r="X397" s="178" t="str">
        <f t="shared" si="111"/>
        <v/>
      </c>
      <c r="Y397" s="178" t="str">
        <f t="shared" si="112"/>
        <v/>
      </c>
      <c r="Z397" s="178" t="str">
        <f t="shared" si="113"/>
        <v/>
      </c>
      <c r="AA397" s="178" t="str">
        <f t="shared" si="114"/>
        <v/>
      </c>
      <c r="AB397" s="178" t="str">
        <f t="shared" si="115"/>
        <v/>
      </c>
      <c r="AC397" s="178" t="str">
        <f t="shared" si="116"/>
        <v/>
      </c>
      <c r="AD397" s="267" t="s">
        <v>316</v>
      </c>
      <c r="AF397" s="149" t="str">
        <f t="shared" si="110"/>
        <v/>
      </c>
      <c r="AH397" s="178" t="str">
        <f t="shared" si="102"/>
        <v/>
      </c>
      <c r="AI397" s="178" t="str">
        <f t="shared" si="103"/>
        <v/>
      </c>
      <c r="AJ397" s="178" t="str">
        <f t="shared" si="104"/>
        <v/>
      </c>
      <c r="AK397" s="178" t="str">
        <f t="shared" si="105"/>
        <v/>
      </c>
      <c r="AN397" s="149" t="str">
        <f t="shared" si="106"/>
        <v/>
      </c>
      <c r="AQ397" s="178" t="str">
        <f t="shared" ca="1" si="107"/>
        <v/>
      </c>
      <c r="AR397" s="178" t="str">
        <f t="shared" ca="1" si="108"/>
        <v/>
      </c>
    </row>
    <row r="398" spans="1:44" x14ac:dyDescent="0.2">
      <c r="A398" t="str">
        <f>IF(B398="","",CONCATENATE("GBL",B398," - ",Mantenedor!E409))</f>
        <v/>
      </c>
      <c r="P398" t="str">
        <f t="shared" si="100"/>
        <v/>
      </c>
      <c r="Q398" s="266" t="str" cm="1">
        <f t="array" ref="Q398">+_xlfn.IFS(O398="Nacional","CLP",O398="Extranjero","USD",O398="","")</f>
        <v/>
      </c>
      <c r="R398" s="262" t="str">
        <f>IFERROR(IF(O398="Nacional",VLOOKUP(P398,PRICING!$D$4:$E$59,2,FALSE),VLOOKUP(P398,PRICING!$J$4:$K$59,2,FALSE)),"")</f>
        <v/>
      </c>
      <c r="S398"/>
      <c r="V398" s="262" t="str">
        <f t="shared" si="109"/>
        <v/>
      </c>
      <c r="W398" s="280" t="str">
        <f t="shared" si="101"/>
        <v/>
      </c>
      <c r="X398" s="178" t="str">
        <f t="shared" si="111"/>
        <v/>
      </c>
      <c r="Y398" s="178" t="str">
        <f t="shared" si="112"/>
        <v/>
      </c>
      <c r="Z398" s="178" t="str">
        <f t="shared" si="113"/>
        <v/>
      </c>
      <c r="AA398" s="178" t="str">
        <f t="shared" si="114"/>
        <v/>
      </c>
      <c r="AB398" s="178" t="str">
        <f t="shared" si="115"/>
        <v/>
      </c>
      <c r="AC398" s="178" t="str">
        <f t="shared" si="116"/>
        <v/>
      </c>
      <c r="AD398" s="267" t="s">
        <v>316</v>
      </c>
      <c r="AF398" s="149" t="str">
        <f t="shared" si="110"/>
        <v/>
      </c>
      <c r="AH398" s="178" t="str">
        <f t="shared" si="102"/>
        <v/>
      </c>
      <c r="AI398" s="178" t="str">
        <f t="shared" si="103"/>
        <v/>
      </c>
      <c r="AJ398" s="178" t="str">
        <f t="shared" si="104"/>
        <v/>
      </c>
      <c r="AK398" s="178" t="str">
        <f t="shared" si="105"/>
        <v/>
      </c>
      <c r="AN398" s="149" t="str">
        <f t="shared" si="106"/>
        <v/>
      </c>
      <c r="AQ398" s="178" t="str">
        <f t="shared" ca="1" si="107"/>
        <v/>
      </c>
      <c r="AR398" s="178" t="str">
        <f t="shared" ca="1" si="108"/>
        <v/>
      </c>
    </row>
    <row r="399" spans="1:44" x14ac:dyDescent="0.2">
      <c r="A399" t="str">
        <f>IF(B399="","",CONCATENATE("GBL",B399," - ",Mantenedor!E410))</f>
        <v/>
      </c>
      <c r="P399" t="str">
        <f t="shared" si="100"/>
        <v/>
      </c>
      <c r="Q399" s="266" t="str" cm="1">
        <f t="array" ref="Q399">+_xlfn.IFS(O399="Nacional","CLP",O399="Extranjero","USD",O399="","")</f>
        <v/>
      </c>
      <c r="R399" s="262" t="str">
        <f>IFERROR(IF(O399="Nacional",VLOOKUP(P399,PRICING!$D$4:$E$59,2,FALSE),VLOOKUP(P399,PRICING!$J$4:$K$59,2,FALSE)),"")</f>
        <v/>
      </c>
      <c r="S399"/>
      <c r="V399" s="262" t="str">
        <f t="shared" si="109"/>
        <v/>
      </c>
      <c r="W399" s="280" t="str">
        <f t="shared" si="101"/>
        <v/>
      </c>
      <c r="X399" s="178" t="str">
        <f t="shared" si="111"/>
        <v/>
      </c>
      <c r="Y399" s="178" t="str">
        <f t="shared" si="112"/>
        <v/>
      </c>
      <c r="Z399" s="178" t="str">
        <f t="shared" si="113"/>
        <v/>
      </c>
      <c r="AA399" s="178" t="str">
        <f t="shared" si="114"/>
        <v/>
      </c>
      <c r="AB399" s="178" t="str">
        <f t="shared" si="115"/>
        <v/>
      </c>
      <c r="AC399" s="178" t="str">
        <f t="shared" si="116"/>
        <v/>
      </c>
      <c r="AD399" s="267" t="s">
        <v>316</v>
      </c>
      <c r="AF399" s="149" t="str">
        <f t="shared" si="110"/>
        <v/>
      </c>
      <c r="AH399" s="178" t="str">
        <f t="shared" si="102"/>
        <v/>
      </c>
      <c r="AI399" s="178" t="str">
        <f t="shared" si="103"/>
        <v/>
      </c>
      <c r="AJ399" s="178" t="str">
        <f t="shared" si="104"/>
        <v/>
      </c>
      <c r="AK399" s="178" t="str">
        <f t="shared" si="105"/>
        <v/>
      </c>
      <c r="AN399" s="149" t="str">
        <f t="shared" si="106"/>
        <v/>
      </c>
      <c r="AQ399" s="178" t="str">
        <f t="shared" ca="1" si="107"/>
        <v/>
      </c>
      <c r="AR399" s="178" t="str">
        <f t="shared" ca="1" si="108"/>
        <v/>
      </c>
    </row>
    <row r="400" spans="1:44" x14ac:dyDescent="0.2">
      <c r="A400" t="str">
        <f>IF(B400="","",CONCATENATE("GBL",B400," - ",Mantenedor!E411))</f>
        <v/>
      </c>
      <c r="P400" t="str">
        <f t="shared" si="100"/>
        <v/>
      </c>
      <c r="Q400" s="266" t="str" cm="1">
        <f t="array" ref="Q400">+_xlfn.IFS(O400="Nacional","CLP",O400="Extranjero","USD",O400="","")</f>
        <v/>
      </c>
      <c r="R400" s="262" t="str">
        <f>IFERROR(IF(O400="Nacional",VLOOKUP(P400,PRICING!$D$4:$E$59,2,FALSE),VLOOKUP(P400,PRICING!$J$4:$K$59,2,FALSE)),"")</f>
        <v/>
      </c>
      <c r="S400"/>
      <c r="V400" s="262" t="str">
        <f t="shared" si="109"/>
        <v/>
      </c>
      <c r="W400" s="280" t="str">
        <f t="shared" si="101"/>
        <v/>
      </c>
      <c r="X400" s="178" t="str">
        <f t="shared" si="111"/>
        <v/>
      </c>
      <c r="Y400" s="178" t="str">
        <f t="shared" si="112"/>
        <v/>
      </c>
      <c r="Z400" s="178" t="str">
        <f t="shared" si="113"/>
        <v/>
      </c>
      <c r="AA400" s="178" t="str">
        <f t="shared" si="114"/>
        <v/>
      </c>
      <c r="AB400" s="178" t="str">
        <f t="shared" si="115"/>
        <v/>
      </c>
      <c r="AC400" s="178" t="str">
        <f t="shared" si="116"/>
        <v/>
      </c>
      <c r="AD400" s="267" t="s">
        <v>316</v>
      </c>
      <c r="AF400" s="149" t="str">
        <f t="shared" si="110"/>
        <v/>
      </c>
      <c r="AH400" s="178" t="str">
        <f t="shared" si="102"/>
        <v/>
      </c>
      <c r="AI400" s="178" t="str">
        <f t="shared" si="103"/>
        <v/>
      </c>
      <c r="AJ400" s="178" t="str">
        <f t="shared" si="104"/>
        <v/>
      </c>
      <c r="AK400" s="178" t="str">
        <f t="shared" si="105"/>
        <v/>
      </c>
      <c r="AN400" s="149" t="str">
        <f t="shared" si="106"/>
        <v/>
      </c>
      <c r="AQ400" s="178" t="str">
        <f t="shared" ca="1" si="107"/>
        <v/>
      </c>
      <c r="AR400" s="178" t="str">
        <f t="shared" ca="1" si="108"/>
        <v/>
      </c>
    </row>
    <row r="401" spans="1:44" x14ac:dyDescent="0.2">
      <c r="A401" t="str">
        <f>IF(B401="","",CONCATENATE("GBL",B401," - ",Mantenedor!E412))</f>
        <v/>
      </c>
      <c r="P401" t="str">
        <f t="shared" si="100"/>
        <v/>
      </c>
      <c r="Q401" s="266" t="str" cm="1">
        <f t="array" ref="Q401">+_xlfn.IFS(O401="Nacional","CLP",O401="Extranjero","USD",O401="","")</f>
        <v/>
      </c>
      <c r="R401" s="262" t="str">
        <f>IFERROR(IF(O401="Nacional",VLOOKUP(P401,PRICING!$D$4:$E$59,2,FALSE),VLOOKUP(P401,PRICING!$J$4:$K$59,2,FALSE)),"")</f>
        <v/>
      </c>
      <c r="S401"/>
      <c r="V401" s="262" t="str">
        <f t="shared" si="109"/>
        <v/>
      </c>
      <c r="W401" s="280" t="str">
        <f t="shared" si="101"/>
        <v/>
      </c>
      <c r="X401" s="178" t="str">
        <f t="shared" si="111"/>
        <v/>
      </c>
      <c r="Y401" s="178" t="str">
        <f t="shared" si="112"/>
        <v/>
      </c>
      <c r="Z401" s="178" t="str">
        <f t="shared" si="113"/>
        <v/>
      </c>
      <c r="AA401" s="178" t="str">
        <f t="shared" si="114"/>
        <v/>
      </c>
      <c r="AB401" s="178" t="str">
        <f t="shared" si="115"/>
        <v/>
      </c>
      <c r="AC401" s="178" t="str">
        <f t="shared" si="116"/>
        <v/>
      </c>
      <c r="AD401" s="267" t="s">
        <v>316</v>
      </c>
      <c r="AF401" s="149" t="str">
        <f t="shared" si="110"/>
        <v/>
      </c>
      <c r="AH401" s="178" t="str">
        <f t="shared" si="102"/>
        <v/>
      </c>
      <c r="AI401" s="178" t="str">
        <f t="shared" si="103"/>
        <v/>
      </c>
      <c r="AJ401" s="178" t="str">
        <f t="shared" si="104"/>
        <v/>
      </c>
      <c r="AK401" s="178" t="str">
        <f t="shared" si="105"/>
        <v/>
      </c>
      <c r="AN401" s="149" t="str">
        <f t="shared" si="106"/>
        <v/>
      </c>
      <c r="AQ401" s="178" t="str">
        <f t="shared" ca="1" si="107"/>
        <v/>
      </c>
      <c r="AR401" s="178" t="str">
        <f t="shared" ca="1" si="108"/>
        <v/>
      </c>
    </row>
    <row r="402" spans="1:44" x14ac:dyDescent="0.2">
      <c r="A402" t="str">
        <f>IF(B402="","",CONCATENATE("GBL",B402," - ",Mantenedor!E413))</f>
        <v/>
      </c>
      <c r="P402" t="str">
        <f t="shared" si="100"/>
        <v/>
      </c>
      <c r="Q402" s="266" t="str" cm="1">
        <f t="array" ref="Q402">+_xlfn.IFS(O402="Nacional","CLP",O402="Extranjero","USD",O402="","")</f>
        <v/>
      </c>
      <c r="R402" s="262" t="str">
        <f>IFERROR(IF(O402="Nacional",VLOOKUP(P402,PRICING!$D$4:$E$59,2,FALSE),VLOOKUP(P402,PRICING!$J$4:$K$59,2,FALSE)),"")</f>
        <v/>
      </c>
      <c r="S402"/>
      <c r="V402" s="262" t="str">
        <f t="shared" si="109"/>
        <v/>
      </c>
      <c r="W402" s="280" t="str">
        <f t="shared" si="101"/>
        <v/>
      </c>
      <c r="X402" s="178" t="str">
        <f t="shared" si="111"/>
        <v/>
      </c>
      <c r="Y402" s="178" t="str">
        <f t="shared" si="112"/>
        <v/>
      </c>
      <c r="Z402" s="178" t="str">
        <f t="shared" si="113"/>
        <v/>
      </c>
      <c r="AA402" s="178" t="str">
        <f t="shared" si="114"/>
        <v/>
      </c>
      <c r="AB402" s="178" t="str">
        <f t="shared" si="115"/>
        <v/>
      </c>
      <c r="AC402" s="178" t="str">
        <f t="shared" si="116"/>
        <v/>
      </c>
      <c r="AD402" s="267" t="s">
        <v>316</v>
      </c>
      <c r="AF402" s="149" t="str">
        <f t="shared" si="110"/>
        <v/>
      </c>
      <c r="AH402" s="178" t="str">
        <f t="shared" si="102"/>
        <v/>
      </c>
      <c r="AI402" s="178" t="str">
        <f t="shared" si="103"/>
        <v/>
      </c>
      <c r="AJ402" s="178" t="str">
        <f t="shared" si="104"/>
        <v/>
      </c>
      <c r="AK402" s="178" t="str">
        <f t="shared" si="105"/>
        <v/>
      </c>
      <c r="AN402" s="149" t="str">
        <f t="shared" si="106"/>
        <v/>
      </c>
      <c r="AQ402" s="178" t="str">
        <f t="shared" ca="1" si="107"/>
        <v/>
      </c>
      <c r="AR402" s="178" t="str">
        <f t="shared" ca="1" si="108"/>
        <v/>
      </c>
    </row>
    <row r="403" spans="1:44" x14ac:dyDescent="0.2">
      <c r="A403" t="str">
        <f>IF(B403="","",CONCATENATE("GBL",B403," - ",Mantenedor!E414))</f>
        <v/>
      </c>
      <c r="P403" t="str">
        <f t="shared" si="100"/>
        <v/>
      </c>
      <c r="Q403" s="266" t="str" cm="1">
        <f t="array" ref="Q403">+_xlfn.IFS(O403="Nacional","CLP",O403="Extranjero","USD",O403="","")</f>
        <v/>
      </c>
      <c r="R403" s="262" t="str">
        <f>IFERROR(IF(O403="Nacional",VLOOKUP(P403,PRICING!$D$4:$E$59,2,FALSE),VLOOKUP(P403,PRICING!$J$4:$K$59,2,FALSE)),"")</f>
        <v/>
      </c>
      <c r="S403"/>
      <c r="V403" s="262" t="str">
        <f t="shared" si="109"/>
        <v/>
      </c>
      <c r="W403" s="280" t="str">
        <f t="shared" si="101"/>
        <v/>
      </c>
      <c r="X403" s="178" t="str">
        <f t="shared" si="111"/>
        <v/>
      </c>
      <c r="Y403" s="178" t="str">
        <f t="shared" si="112"/>
        <v/>
      </c>
      <c r="Z403" s="178" t="str">
        <f t="shared" si="113"/>
        <v/>
      </c>
      <c r="AA403" s="178" t="str">
        <f t="shared" si="114"/>
        <v/>
      </c>
      <c r="AB403" s="178" t="str">
        <f t="shared" si="115"/>
        <v/>
      </c>
      <c r="AC403" s="178" t="str">
        <f t="shared" si="116"/>
        <v/>
      </c>
      <c r="AD403" s="267" t="s">
        <v>316</v>
      </c>
      <c r="AF403" s="149" t="str">
        <f t="shared" si="110"/>
        <v/>
      </c>
      <c r="AH403" s="178" t="str">
        <f t="shared" si="102"/>
        <v/>
      </c>
      <c r="AI403" s="178" t="str">
        <f t="shared" si="103"/>
        <v/>
      </c>
      <c r="AJ403" s="178" t="str">
        <f t="shared" si="104"/>
        <v/>
      </c>
      <c r="AK403" s="178" t="str">
        <f t="shared" si="105"/>
        <v/>
      </c>
      <c r="AN403" s="149" t="str">
        <f t="shared" si="106"/>
        <v/>
      </c>
      <c r="AQ403" s="178" t="str">
        <f t="shared" ca="1" si="107"/>
        <v/>
      </c>
      <c r="AR403" s="178" t="str">
        <f t="shared" ca="1" si="108"/>
        <v/>
      </c>
    </row>
    <row r="404" spans="1:44" x14ac:dyDescent="0.2">
      <c r="A404" t="str">
        <f>IF(B404="","",CONCATENATE("GBL",B404," - ",Mantenedor!E415))</f>
        <v/>
      </c>
      <c r="P404" t="str">
        <f t="shared" si="100"/>
        <v/>
      </c>
      <c r="Q404" s="266" t="str" cm="1">
        <f t="array" ref="Q404">+_xlfn.IFS(O404="Nacional","CLP",O404="Extranjero","USD",O404="","")</f>
        <v/>
      </c>
      <c r="R404" s="262" t="str">
        <f>IFERROR(IF(O404="Nacional",VLOOKUP(P404,PRICING!$D$4:$E$59,2,FALSE),VLOOKUP(P404,PRICING!$J$4:$K$59,2,FALSE)),"")</f>
        <v/>
      </c>
      <c r="S404"/>
      <c r="V404" s="262" t="str">
        <f t="shared" si="109"/>
        <v/>
      </c>
      <c r="W404" s="280" t="str">
        <f t="shared" si="101"/>
        <v/>
      </c>
      <c r="X404" s="178" t="str">
        <f t="shared" si="111"/>
        <v/>
      </c>
      <c r="Y404" s="178" t="str">
        <f t="shared" si="112"/>
        <v/>
      </c>
      <c r="Z404" s="178" t="str">
        <f t="shared" si="113"/>
        <v/>
      </c>
      <c r="AA404" s="178" t="str">
        <f t="shared" si="114"/>
        <v/>
      </c>
      <c r="AB404" s="178" t="str">
        <f t="shared" si="115"/>
        <v/>
      </c>
      <c r="AC404" s="178" t="str">
        <f t="shared" si="116"/>
        <v/>
      </c>
      <c r="AD404" s="267" t="s">
        <v>316</v>
      </c>
      <c r="AF404" s="149" t="str">
        <f t="shared" si="110"/>
        <v/>
      </c>
      <c r="AH404" s="178" t="str">
        <f t="shared" si="102"/>
        <v/>
      </c>
      <c r="AI404" s="178" t="str">
        <f t="shared" si="103"/>
        <v/>
      </c>
      <c r="AJ404" s="178" t="str">
        <f t="shared" si="104"/>
        <v/>
      </c>
      <c r="AK404" s="178" t="str">
        <f t="shared" si="105"/>
        <v/>
      </c>
      <c r="AN404" s="149" t="str">
        <f t="shared" si="106"/>
        <v/>
      </c>
      <c r="AQ404" s="178" t="str">
        <f t="shared" ca="1" si="107"/>
        <v/>
      </c>
      <c r="AR404" s="178" t="str">
        <f t="shared" ca="1" si="108"/>
        <v/>
      </c>
    </row>
    <row r="405" spans="1:44" x14ac:dyDescent="0.2">
      <c r="A405" t="str">
        <f>IF(B405="","",CONCATENATE("GBL",B405," - ",Mantenedor!E416))</f>
        <v/>
      </c>
      <c r="P405" t="str">
        <f t="shared" si="100"/>
        <v/>
      </c>
      <c r="Q405" s="266" t="str" cm="1">
        <f t="array" ref="Q405">+_xlfn.IFS(O405="Nacional","CLP",O405="Extranjero","USD",O405="","")</f>
        <v/>
      </c>
      <c r="R405" s="262" t="str">
        <f>IFERROR(IF(O405="Nacional",VLOOKUP(P405,PRICING!$D$4:$E$59,2,FALSE),VLOOKUP(P405,PRICING!$J$4:$K$59,2,FALSE)),"")</f>
        <v/>
      </c>
      <c r="S405"/>
      <c r="V405" s="262" t="str">
        <f t="shared" si="109"/>
        <v/>
      </c>
      <c r="W405" s="280" t="str">
        <f t="shared" si="101"/>
        <v/>
      </c>
      <c r="X405" s="178" t="str">
        <f t="shared" si="111"/>
        <v/>
      </c>
      <c r="Y405" s="178" t="str">
        <f t="shared" si="112"/>
        <v/>
      </c>
      <c r="Z405" s="178" t="str">
        <f t="shared" si="113"/>
        <v/>
      </c>
      <c r="AA405" s="178" t="str">
        <f t="shared" si="114"/>
        <v/>
      </c>
      <c r="AB405" s="178" t="str">
        <f t="shared" si="115"/>
        <v/>
      </c>
      <c r="AC405" s="178" t="str">
        <f t="shared" si="116"/>
        <v/>
      </c>
      <c r="AD405" s="267" t="s">
        <v>316</v>
      </c>
      <c r="AF405" s="149" t="str">
        <f t="shared" si="110"/>
        <v/>
      </c>
      <c r="AH405" s="178" t="str">
        <f t="shared" si="102"/>
        <v/>
      </c>
      <c r="AI405" s="178" t="str">
        <f t="shared" si="103"/>
        <v/>
      </c>
      <c r="AJ405" s="178" t="str">
        <f t="shared" si="104"/>
        <v/>
      </c>
      <c r="AK405" s="178" t="str">
        <f t="shared" si="105"/>
        <v/>
      </c>
      <c r="AN405" s="149" t="str">
        <f t="shared" si="106"/>
        <v/>
      </c>
      <c r="AQ405" s="178" t="str">
        <f t="shared" ca="1" si="107"/>
        <v/>
      </c>
      <c r="AR405" s="178" t="str">
        <f t="shared" ca="1" si="108"/>
        <v/>
      </c>
    </row>
    <row r="406" spans="1:44" x14ac:dyDescent="0.2">
      <c r="A406" t="str">
        <f>IF(B406="","",CONCATENATE("GBL",B406," - ",Mantenedor!E417))</f>
        <v/>
      </c>
      <c r="P406" t="str">
        <f t="shared" si="100"/>
        <v/>
      </c>
      <c r="Q406" s="266" t="str" cm="1">
        <f t="array" ref="Q406">+_xlfn.IFS(O406="Nacional","CLP",O406="Extranjero","USD",O406="","")</f>
        <v/>
      </c>
      <c r="R406" s="262" t="str">
        <f>IFERROR(IF(O406="Nacional",VLOOKUP(P406,PRICING!$D$4:$E$59,2,FALSE),VLOOKUP(P406,PRICING!$J$4:$K$59,2,FALSE)),"")</f>
        <v/>
      </c>
      <c r="S406"/>
      <c r="V406" s="262" t="str">
        <f t="shared" si="109"/>
        <v/>
      </c>
      <c r="W406" s="280" t="str">
        <f t="shared" si="101"/>
        <v/>
      </c>
      <c r="X406" s="178" t="str">
        <f t="shared" si="111"/>
        <v/>
      </c>
      <c r="Y406" s="178" t="str">
        <f t="shared" si="112"/>
        <v/>
      </c>
      <c r="Z406" s="178" t="str">
        <f t="shared" si="113"/>
        <v/>
      </c>
      <c r="AA406" s="178" t="str">
        <f t="shared" si="114"/>
        <v/>
      </c>
      <c r="AB406" s="178" t="str">
        <f t="shared" si="115"/>
        <v/>
      </c>
      <c r="AC406" s="178" t="str">
        <f t="shared" si="116"/>
        <v/>
      </c>
      <c r="AD406" s="267" t="s">
        <v>316</v>
      </c>
      <c r="AF406" s="149" t="str">
        <f t="shared" si="110"/>
        <v/>
      </c>
      <c r="AH406" s="178" t="str">
        <f t="shared" si="102"/>
        <v/>
      </c>
      <c r="AI406" s="178" t="str">
        <f t="shared" si="103"/>
        <v/>
      </c>
      <c r="AJ406" s="178" t="str">
        <f t="shared" si="104"/>
        <v/>
      </c>
      <c r="AK406" s="178" t="str">
        <f t="shared" si="105"/>
        <v/>
      </c>
      <c r="AN406" s="149" t="str">
        <f t="shared" si="106"/>
        <v/>
      </c>
      <c r="AQ406" s="178" t="str">
        <f t="shared" ca="1" si="107"/>
        <v/>
      </c>
      <c r="AR406" s="178" t="str">
        <f t="shared" ca="1" si="108"/>
        <v/>
      </c>
    </row>
    <row r="407" spans="1:44" x14ac:dyDescent="0.2">
      <c r="A407" t="str">
        <f>IF(B407="","",CONCATENATE("GBL",B407," - ",Mantenedor!E418))</f>
        <v/>
      </c>
      <c r="P407" t="str">
        <f t="shared" si="100"/>
        <v/>
      </c>
      <c r="Q407" s="266" t="str" cm="1">
        <f t="array" ref="Q407">+_xlfn.IFS(O407="Nacional","CLP",O407="Extranjero","USD",O407="","")</f>
        <v/>
      </c>
      <c r="R407" s="262" t="str">
        <f>IFERROR(IF(O407="Nacional",VLOOKUP(P407,PRICING!$D$4:$E$59,2,FALSE),VLOOKUP(P407,PRICING!$J$4:$K$59,2,FALSE)),"")</f>
        <v/>
      </c>
      <c r="S407"/>
      <c r="V407" s="262" t="str">
        <f t="shared" si="109"/>
        <v/>
      </c>
      <c r="W407" s="280" t="str">
        <f t="shared" si="101"/>
        <v/>
      </c>
      <c r="X407" s="178" t="str">
        <f t="shared" si="111"/>
        <v/>
      </c>
      <c r="Y407" s="178" t="str">
        <f t="shared" si="112"/>
        <v/>
      </c>
      <c r="Z407" s="178" t="str">
        <f t="shared" si="113"/>
        <v/>
      </c>
      <c r="AA407" s="178" t="str">
        <f t="shared" si="114"/>
        <v/>
      </c>
      <c r="AB407" s="178" t="str">
        <f t="shared" si="115"/>
        <v/>
      </c>
      <c r="AC407" s="178" t="str">
        <f t="shared" si="116"/>
        <v/>
      </c>
      <c r="AD407" s="267" t="s">
        <v>316</v>
      </c>
      <c r="AF407" s="149" t="str">
        <f t="shared" si="110"/>
        <v/>
      </c>
      <c r="AH407" s="178" t="str">
        <f t="shared" si="102"/>
        <v/>
      </c>
      <c r="AI407" s="178" t="str">
        <f t="shared" si="103"/>
        <v/>
      </c>
      <c r="AJ407" s="178" t="str">
        <f t="shared" si="104"/>
        <v/>
      </c>
      <c r="AK407" s="178" t="str">
        <f t="shared" si="105"/>
        <v/>
      </c>
      <c r="AN407" s="149" t="str">
        <f t="shared" si="106"/>
        <v/>
      </c>
      <c r="AQ407" s="178" t="str">
        <f t="shared" ca="1" si="107"/>
        <v/>
      </c>
      <c r="AR407" s="178" t="str">
        <f t="shared" ca="1" si="108"/>
        <v/>
      </c>
    </row>
    <row r="408" spans="1:44" x14ac:dyDescent="0.2">
      <c r="A408" t="str">
        <f>IF(B408="","",CONCATENATE("GBL",B408," - ",Mantenedor!E419))</f>
        <v/>
      </c>
      <c r="P408" t="str">
        <f t="shared" si="100"/>
        <v/>
      </c>
      <c r="Q408" s="266" t="str" cm="1">
        <f t="array" ref="Q408">+_xlfn.IFS(O408="Nacional","CLP",O408="Extranjero","USD",O408="","")</f>
        <v/>
      </c>
      <c r="R408" s="262" t="str">
        <f>IFERROR(IF(O408="Nacional",VLOOKUP(P408,PRICING!$D$4:$E$59,2,FALSE),VLOOKUP(P408,PRICING!$J$4:$K$59,2,FALSE)),"")</f>
        <v/>
      </c>
      <c r="S408"/>
      <c r="V408" s="262" t="str">
        <f t="shared" si="109"/>
        <v/>
      </c>
      <c r="W408" s="280" t="str">
        <f t="shared" si="101"/>
        <v/>
      </c>
      <c r="X408" s="178" t="str">
        <f t="shared" si="111"/>
        <v/>
      </c>
      <c r="Y408" s="178" t="str">
        <f t="shared" si="112"/>
        <v/>
      </c>
      <c r="Z408" s="178" t="str">
        <f t="shared" si="113"/>
        <v/>
      </c>
      <c r="AA408" s="178" t="str">
        <f t="shared" si="114"/>
        <v/>
      </c>
      <c r="AB408" s="178" t="str">
        <f t="shared" si="115"/>
        <v/>
      </c>
      <c r="AC408" s="178" t="str">
        <f t="shared" si="116"/>
        <v/>
      </c>
      <c r="AD408" s="267" t="s">
        <v>316</v>
      </c>
      <c r="AF408" s="149" t="str">
        <f t="shared" si="110"/>
        <v/>
      </c>
      <c r="AH408" s="178" t="str">
        <f t="shared" si="102"/>
        <v/>
      </c>
      <c r="AI408" s="178" t="str">
        <f t="shared" si="103"/>
        <v/>
      </c>
      <c r="AJ408" s="178" t="str">
        <f t="shared" si="104"/>
        <v/>
      </c>
      <c r="AK408" s="178" t="str">
        <f t="shared" si="105"/>
        <v/>
      </c>
      <c r="AN408" s="149" t="str">
        <f t="shared" si="106"/>
        <v/>
      </c>
      <c r="AQ408" s="178" t="str">
        <f t="shared" ca="1" si="107"/>
        <v/>
      </c>
      <c r="AR408" s="178" t="str">
        <f t="shared" ca="1" si="108"/>
        <v/>
      </c>
    </row>
    <row r="409" spans="1:44" x14ac:dyDescent="0.2">
      <c r="A409" t="str">
        <f>IF(B409="","",CONCATENATE("GBL",B409," - ",Mantenedor!E420))</f>
        <v/>
      </c>
      <c r="P409" t="str">
        <f t="shared" si="100"/>
        <v/>
      </c>
      <c r="Q409" s="266" t="str" cm="1">
        <f t="array" ref="Q409">+_xlfn.IFS(O409="Nacional","CLP",O409="Extranjero","USD",O409="","")</f>
        <v/>
      </c>
      <c r="R409" s="262" t="str">
        <f>IFERROR(IF(O409="Nacional",VLOOKUP(P409,PRICING!$D$4:$E$59,2,FALSE),VLOOKUP(P409,PRICING!$J$4:$K$59,2,FALSE)),"")</f>
        <v/>
      </c>
      <c r="S409"/>
      <c r="V409" s="262" t="str">
        <f t="shared" si="109"/>
        <v/>
      </c>
      <c r="W409" s="280" t="str">
        <f t="shared" si="101"/>
        <v/>
      </c>
      <c r="X409" s="178" t="str">
        <f t="shared" si="111"/>
        <v/>
      </c>
      <c r="Y409" s="178" t="str">
        <f t="shared" si="112"/>
        <v/>
      </c>
      <c r="Z409" s="178" t="str">
        <f t="shared" si="113"/>
        <v/>
      </c>
      <c r="AA409" s="178" t="str">
        <f t="shared" si="114"/>
        <v/>
      </c>
      <c r="AB409" s="178" t="str">
        <f t="shared" si="115"/>
        <v/>
      </c>
      <c r="AC409" s="178" t="str">
        <f t="shared" si="116"/>
        <v/>
      </c>
      <c r="AD409" s="267" t="s">
        <v>316</v>
      </c>
      <c r="AF409" s="149" t="str">
        <f t="shared" si="110"/>
        <v/>
      </c>
      <c r="AH409" s="178" t="str">
        <f t="shared" si="102"/>
        <v/>
      </c>
      <c r="AI409" s="178" t="str">
        <f t="shared" si="103"/>
        <v/>
      </c>
      <c r="AJ409" s="178" t="str">
        <f t="shared" si="104"/>
        <v/>
      </c>
      <c r="AK409" s="178" t="str">
        <f t="shared" si="105"/>
        <v/>
      </c>
      <c r="AN409" s="149" t="str">
        <f t="shared" si="106"/>
        <v/>
      </c>
      <c r="AQ409" s="178" t="str">
        <f t="shared" ca="1" si="107"/>
        <v/>
      </c>
      <c r="AR409" s="178" t="str">
        <f t="shared" ca="1" si="108"/>
        <v/>
      </c>
    </row>
    <row r="410" spans="1:44" x14ac:dyDescent="0.2">
      <c r="A410" t="str">
        <f>IF(B410="","",CONCATENATE("GBL",B410," - ",Mantenedor!E421))</f>
        <v/>
      </c>
      <c r="P410" t="str">
        <f t="shared" si="100"/>
        <v/>
      </c>
      <c r="Q410" s="266" t="str" cm="1">
        <f t="array" ref="Q410">+_xlfn.IFS(O410="Nacional","CLP",O410="Extranjero","USD",O410="","")</f>
        <v/>
      </c>
      <c r="R410" s="262" t="str">
        <f>IFERROR(IF(O410="Nacional",VLOOKUP(P410,PRICING!$D$4:$E$59,2,FALSE),VLOOKUP(P410,PRICING!$J$4:$K$59,2,FALSE)),"")</f>
        <v/>
      </c>
      <c r="S410"/>
      <c r="V410" s="262" t="str">
        <f t="shared" si="109"/>
        <v/>
      </c>
      <c r="W410" s="280" t="str">
        <f t="shared" si="101"/>
        <v/>
      </c>
      <c r="X410" s="178" t="str">
        <f t="shared" si="111"/>
        <v/>
      </c>
      <c r="Y410" s="178" t="str">
        <f t="shared" si="112"/>
        <v/>
      </c>
      <c r="Z410" s="178" t="str">
        <f t="shared" si="113"/>
        <v/>
      </c>
      <c r="AA410" s="178" t="str">
        <f t="shared" si="114"/>
        <v/>
      </c>
      <c r="AB410" s="178" t="str">
        <f t="shared" si="115"/>
        <v/>
      </c>
      <c r="AC410" s="178" t="str">
        <f t="shared" si="116"/>
        <v/>
      </c>
      <c r="AD410" s="267" t="s">
        <v>316</v>
      </c>
      <c r="AF410" s="149" t="str">
        <f t="shared" si="110"/>
        <v/>
      </c>
      <c r="AH410" s="178" t="str">
        <f t="shared" si="102"/>
        <v/>
      </c>
      <c r="AI410" s="178" t="str">
        <f t="shared" si="103"/>
        <v/>
      </c>
      <c r="AJ410" s="178" t="str">
        <f t="shared" si="104"/>
        <v/>
      </c>
      <c r="AK410" s="178" t="str">
        <f t="shared" si="105"/>
        <v/>
      </c>
      <c r="AN410" s="149" t="str">
        <f t="shared" si="106"/>
        <v/>
      </c>
      <c r="AQ410" s="178" t="str">
        <f t="shared" ca="1" si="107"/>
        <v/>
      </c>
      <c r="AR410" s="178" t="str">
        <f t="shared" ca="1" si="108"/>
        <v/>
      </c>
    </row>
    <row r="411" spans="1:44" x14ac:dyDescent="0.2">
      <c r="A411" t="str">
        <f>IF(B411="","",CONCATENATE("GBL",B411," - ",Mantenedor!E422))</f>
        <v/>
      </c>
      <c r="P411" t="str">
        <f t="shared" si="100"/>
        <v/>
      </c>
      <c r="Q411" s="266" t="str" cm="1">
        <f t="array" ref="Q411">+_xlfn.IFS(O411="Nacional","CLP",O411="Extranjero","USD",O411="","")</f>
        <v/>
      </c>
      <c r="R411" s="262" t="str">
        <f>IFERROR(IF(O411="Nacional",VLOOKUP(P411,PRICING!$D$4:$E$59,2,FALSE),VLOOKUP(P411,PRICING!$J$4:$K$59,2,FALSE)),"")</f>
        <v/>
      </c>
      <c r="S411"/>
      <c r="V411" s="262" t="str">
        <f t="shared" si="109"/>
        <v/>
      </c>
      <c r="W411" s="280" t="str">
        <f t="shared" si="101"/>
        <v/>
      </c>
      <c r="X411" s="178" t="str">
        <f t="shared" si="111"/>
        <v/>
      </c>
      <c r="Y411" s="178" t="str">
        <f t="shared" si="112"/>
        <v/>
      </c>
      <c r="Z411" s="178" t="str">
        <f t="shared" si="113"/>
        <v/>
      </c>
      <c r="AA411" s="178" t="str">
        <f t="shared" si="114"/>
        <v/>
      </c>
      <c r="AB411" s="178" t="str">
        <f t="shared" si="115"/>
        <v/>
      </c>
      <c r="AC411" s="178" t="str">
        <f t="shared" si="116"/>
        <v/>
      </c>
      <c r="AD411" s="267" t="s">
        <v>316</v>
      </c>
      <c r="AF411" s="149" t="str">
        <f t="shared" si="110"/>
        <v/>
      </c>
      <c r="AH411" s="178" t="str">
        <f t="shared" si="102"/>
        <v/>
      </c>
      <c r="AI411" s="178" t="str">
        <f t="shared" si="103"/>
        <v/>
      </c>
      <c r="AJ411" s="178" t="str">
        <f t="shared" si="104"/>
        <v/>
      </c>
      <c r="AK411" s="178" t="str">
        <f t="shared" si="105"/>
        <v/>
      </c>
      <c r="AN411" s="149" t="str">
        <f t="shared" si="106"/>
        <v/>
      </c>
      <c r="AQ411" s="178" t="str">
        <f t="shared" ca="1" si="107"/>
        <v/>
      </c>
      <c r="AR411" s="178" t="str">
        <f t="shared" ca="1" si="108"/>
        <v/>
      </c>
    </row>
    <row r="412" spans="1:44" x14ac:dyDescent="0.2">
      <c r="A412" t="str">
        <f>IF(B412="","",CONCATENATE("GBL",B412," - ",Mantenedor!E423))</f>
        <v/>
      </c>
      <c r="P412" t="str">
        <f t="shared" si="100"/>
        <v/>
      </c>
      <c r="Q412" s="266" t="str" cm="1">
        <f t="array" ref="Q412">+_xlfn.IFS(O412="Nacional","CLP",O412="Extranjero","USD",O412="","")</f>
        <v/>
      </c>
      <c r="R412" s="262" t="str">
        <f>IFERROR(IF(O412="Nacional",VLOOKUP(P412,PRICING!$D$4:$E$59,2,FALSE),VLOOKUP(P412,PRICING!$J$4:$K$59,2,FALSE)),"")</f>
        <v/>
      </c>
      <c r="S412"/>
      <c r="V412" s="262" t="str">
        <f t="shared" si="109"/>
        <v/>
      </c>
      <c r="W412" s="280" t="str">
        <f t="shared" si="101"/>
        <v/>
      </c>
      <c r="X412" s="178" t="str">
        <f t="shared" si="111"/>
        <v/>
      </c>
      <c r="Y412" s="178" t="str">
        <f t="shared" si="112"/>
        <v/>
      </c>
      <c r="Z412" s="178" t="str">
        <f t="shared" si="113"/>
        <v/>
      </c>
      <c r="AA412" s="178" t="str">
        <f t="shared" si="114"/>
        <v/>
      </c>
      <c r="AB412" s="178" t="str">
        <f t="shared" si="115"/>
        <v/>
      </c>
      <c r="AC412" s="178" t="str">
        <f t="shared" si="116"/>
        <v/>
      </c>
      <c r="AD412" s="267" t="s">
        <v>316</v>
      </c>
      <c r="AF412" s="149" t="str">
        <f t="shared" si="110"/>
        <v/>
      </c>
      <c r="AH412" s="178" t="str">
        <f t="shared" si="102"/>
        <v/>
      </c>
      <c r="AI412" s="178" t="str">
        <f t="shared" si="103"/>
        <v/>
      </c>
      <c r="AJ412" s="178" t="str">
        <f t="shared" si="104"/>
        <v/>
      </c>
      <c r="AK412" s="178" t="str">
        <f t="shared" si="105"/>
        <v/>
      </c>
      <c r="AN412" s="149" t="str">
        <f t="shared" si="106"/>
        <v/>
      </c>
      <c r="AQ412" s="178" t="str">
        <f t="shared" ca="1" si="107"/>
        <v/>
      </c>
      <c r="AR412" s="178" t="str">
        <f t="shared" ca="1" si="108"/>
        <v/>
      </c>
    </row>
    <row r="413" spans="1:44" x14ac:dyDescent="0.2">
      <c r="A413" t="str">
        <f>IF(B413="","",CONCATENATE("GBL",B413," - ",Mantenedor!E424))</f>
        <v/>
      </c>
      <c r="P413" t="str">
        <f t="shared" si="100"/>
        <v/>
      </c>
      <c r="Q413" s="266" t="str" cm="1">
        <f t="array" ref="Q413">+_xlfn.IFS(O413="Nacional","CLP",O413="Extranjero","USD",O413="","")</f>
        <v/>
      </c>
      <c r="R413" s="262" t="str">
        <f>IFERROR(IF(O413="Nacional",VLOOKUP(P413,PRICING!$D$4:$E$59,2,FALSE),VLOOKUP(P413,PRICING!$J$4:$K$59,2,FALSE)),"")</f>
        <v/>
      </c>
      <c r="S413"/>
      <c r="V413" s="262" t="str">
        <f t="shared" si="109"/>
        <v/>
      </c>
      <c r="W413" s="280" t="str">
        <f t="shared" si="101"/>
        <v/>
      </c>
      <c r="X413" s="178" t="str">
        <f t="shared" si="111"/>
        <v/>
      </c>
      <c r="Y413" s="178" t="str">
        <f t="shared" si="112"/>
        <v/>
      </c>
      <c r="Z413" s="178" t="str">
        <f t="shared" si="113"/>
        <v/>
      </c>
      <c r="AA413" s="178" t="str">
        <f t="shared" si="114"/>
        <v/>
      </c>
      <c r="AB413" s="178" t="str">
        <f t="shared" si="115"/>
        <v/>
      </c>
      <c r="AC413" s="178" t="str">
        <f t="shared" si="116"/>
        <v/>
      </c>
      <c r="AD413" s="267" t="s">
        <v>316</v>
      </c>
      <c r="AF413" s="149" t="str">
        <f t="shared" si="110"/>
        <v/>
      </c>
      <c r="AH413" s="178" t="str">
        <f t="shared" si="102"/>
        <v/>
      </c>
      <c r="AI413" s="178" t="str">
        <f t="shared" si="103"/>
        <v/>
      </c>
      <c r="AJ413" s="178" t="str">
        <f t="shared" si="104"/>
        <v/>
      </c>
      <c r="AK413" s="178" t="str">
        <f t="shared" si="105"/>
        <v/>
      </c>
      <c r="AN413" s="149" t="str">
        <f t="shared" si="106"/>
        <v/>
      </c>
      <c r="AQ413" s="178" t="str">
        <f t="shared" ca="1" si="107"/>
        <v/>
      </c>
      <c r="AR413" s="178" t="str">
        <f t="shared" ca="1" si="108"/>
        <v/>
      </c>
    </row>
    <row r="414" spans="1:44" x14ac:dyDescent="0.2">
      <c r="A414" t="str">
        <f>IF(B414="","",CONCATENATE("GBL",B414," - ",Mantenedor!E425))</f>
        <v/>
      </c>
      <c r="P414" t="str">
        <f t="shared" si="100"/>
        <v/>
      </c>
      <c r="Q414" s="266" t="str" cm="1">
        <f t="array" ref="Q414">+_xlfn.IFS(O414="Nacional","CLP",O414="Extranjero","USD",O414="","")</f>
        <v/>
      </c>
      <c r="R414" s="262" t="str">
        <f>IFERROR(IF(O414="Nacional",VLOOKUP(P414,PRICING!$D$4:$E$59,2,FALSE),VLOOKUP(P414,PRICING!$J$4:$K$59,2,FALSE)),"")</f>
        <v/>
      </c>
      <c r="S414"/>
      <c r="V414" s="262" t="str">
        <f t="shared" si="109"/>
        <v/>
      </c>
      <c r="W414" s="280" t="str">
        <f t="shared" si="101"/>
        <v/>
      </c>
      <c r="X414" s="178" t="str">
        <f t="shared" si="111"/>
        <v/>
      </c>
      <c r="Y414" s="178" t="str">
        <f t="shared" si="112"/>
        <v/>
      </c>
      <c r="Z414" s="178" t="str">
        <f t="shared" si="113"/>
        <v/>
      </c>
      <c r="AA414" s="178" t="str">
        <f t="shared" si="114"/>
        <v/>
      </c>
      <c r="AB414" s="178" t="str">
        <f t="shared" si="115"/>
        <v/>
      </c>
      <c r="AC414" s="178" t="str">
        <f t="shared" si="116"/>
        <v/>
      </c>
      <c r="AD414" s="267" t="s">
        <v>316</v>
      </c>
      <c r="AF414" s="149" t="str">
        <f t="shared" si="110"/>
        <v/>
      </c>
      <c r="AH414" s="178" t="str">
        <f t="shared" si="102"/>
        <v/>
      </c>
      <c r="AI414" s="178" t="str">
        <f t="shared" si="103"/>
        <v/>
      </c>
      <c r="AJ414" s="178" t="str">
        <f t="shared" si="104"/>
        <v/>
      </c>
      <c r="AK414" s="178" t="str">
        <f t="shared" si="105"/>
        <v/>
      </c>
      <c r="AN414" s="149" t="str">
        <f t="shared" si="106"/>
        <v/>
      </c>
      <c r="AQ414" s="178" t="str">
        <f t="shared" ca="1" si="107"/>
        <v/>
      </c>
      <c r="AR414" s="178" t="str">
        <f t="shared" ca="1" si="108"/>
        <v/>
      </c>
    </row>
    <row r="415" spans="1:44" x14ac:dyDescent="0.2">
      <c r="A415" t="str">
        <f>IF(B415="","",CONCATENATE("GBL",B415," - ",Mantenedor!E426))</f>
        <v/>
      </c>
      <c r="P415" t="str">
        <f t="shared" si="100"/>
        <v/>
      </c>
      <c r="Q415" s="266" t="str" cm="1">
        <f t="array" ref="Q415">+_xlfn.IFS(O415="Nacional","CLP",O415="Extranjero","USD",O415="","")</f>
        <v/>
      </c>
      <c r="R415" s="262" t="str">
        <f>IFERROR(IF(O415="Nacional",VLOOKUP(P415,PRICING!$D$4:$E$59,2,FALSE),VLOOKUP(P415,PRICING!$J$4:$K$59,2,FALSE)),"")</f>
        <v/>
      </c>
      <c r="S415"/>
      <c r="V415" s="262" t="str">
        <f t="shared" si="109"/>
        <v/>
      </c>
      <c r="W415" s="280" t="str">
        <f t="shared" si="101"/>
        <v/>
      </c>
      <c r="X415" s="178" t="str">
        <f t="shared" si="111"/>
        <v/>
      </c>
      <c r="Y415" s="178" t="str">
        <f t="shared" si="112"/>
        <v/>
      </c>
      <c r="Z415" s="178" t="str">
        <f t="shared" si="113"/>
        <v/>
      </c>
      <c r="AA415" s="178" t="str">
        <f t="shared" si="114"/>
        <v/>
      </c>
      <c r="AB415" s="178" t="str">
        <f t="shared" si="115"/>
        <v/>
      </c>
      <c r="AC415" s="178" t="str">
        <f t="shared" si="116"/>
        <v/>
      </c>
      <c r="AD415" s="267" t="s">
        <v>316</v>
      </c>
      <c r="AF415" s="149" t="str">
        <f t="shared" si="110"/>
        <v/>
      </c>
      <c r="AH415" s="178" t="str">
        <f t="shared" si="102"/>
        <v/>
      </c>
      <c r="AI415" s="178" t="str">
        <f t="shared" si="103"/>
        <v/>
      </c>
      <c r="AJ415" s="178" t="str">
        <f t="shared" si="104"/>
        <v/>
      </c>
      <c r="AK415" s="178" t="str">
        <f t="shared" si="105"/>
        <v/>
      </c>
      <c r="AN415" s="149" t="str">
        <f t="shared" si="106"/>
        <v/>
      </c>
      <c r="AQ415" s="178" t="str">
        <f t="shared" ca="1" si="107"/>
        <v/>
      </c>
      <c r="AR415" s="178" t="str">
        <f t="shared" ca="1" si="108"/>
        <v/>
      </c>
    </row>
    <row r="416" spans="1:44" x14ac:dyDescent="0.2">
      <c r="A416" t="str">
        <f>IF(B416="","",CONCATENATE("GBL",B416," - ",Mantenedor!E427))</f>
        <v/>
      </c>
      <c r="P416" t="str">
        <f t="shared" si="100"/>
        <v/>
      </c>
      <c r="Q416" s="266" t="str" cm="1">
        <f t="array" ref="Q416">+_xlfn.IFS(O416="Nacional","CLP",O416="Extranjero","USD",O416="","")</f>
        <v/>
      </c>
      <c r="R416" s="262" t="str">
        <f>IFERROR(IF(O416="Nacional",VLOOKUP(P416,PRICING!$D$4:$E$59,2,FALSE),VLOOKUP(P416,PRICING!$J$4:$K$59,2,FALSE)),"")</f>
        <v/>
      </c>
      <c r="S416"/>
      <c r="V416" s="262" t="str">
        <f t="shared" si="109"/>
        <v/>
      </c>
      <c r="W416" s="280" t="str">
        <f t="shared" si="101"/>
        <v/>
      </c>
      <c r="X416" s="178" t="str">
        <f t="shared" si="111"/>
        <v/>
      </c>
      <c r="Y416" s="178" t="str">
        <f t="shared" si="112"/>
        <v/>
      </c>
      <c r="Z416" s="178" t="str">
        <f t="shared" si="113"/>
        <v/>
      </c>
      <c r="AA416" s="178" t="str">
        <f t="shared" si="114"/>
        <v/>
      </c>
      <c r="AB416" s="178" t="str">
        <f t="shared" si="115"/>
        <v/>
      </c>
      <c r="AC416" s="178" t="str">
        <f t="shared" si="116"/>
        <v/>
      </c>
      <c r="AD416" s="267" t="s">
        <v>316</v>
      </c>
      <c r="AF416" s="149" t="str">
        <f t="shared" si="110"/>
        <v/>
      </c>
      <c r="AH416" s="178" t="str">
        <f t="shared" si="102"/>
        <v/>
      </c>
      <c r="AI416" s="178" t="str">
        <f t="shared" si="103"/>
        <v/>
      </c>
      <c r="AJ416" s="178" t="str">
        <f t="shared" si="104"/>
        <v/>
      </c>
      <c r="AK416" s="178" t="str">
        <f t="shared" si="105"/>
        <v/>
      </c>
      <c r="AN416" s="149" t="str">
        <f t="shared" si="106"/>
        <v/>
      </c>
      <c r="AQ416" s="178" t="str">
        <f t="shared" ca="1" si="107"/>
        <v/>
      </c>
      <c r="AR416" s="178" t="str">
        <f t="shared" ca="1" si="108"/>
        <v/>
      </c>
    </row>
    <row r="417" spans="1:44" x14ac:dyDescent="0.2">
      <c r="A417" t="str">
        <f>IF(B417="","",CONCATENATE("GBL",B417," - ",Mantenedor!E428))</f>
        <v/>
      </c>
      <c r="P417" t="str">
        <f t="shared" si="100"/>
        <v/>
      </c>
      <c r="Q417" s="266" t="str" cm="1">
        <f t="array" ref="Q417">+_xlfn.IFS(O417="Nacional","CLP",O417="Extranjero","USD",O417="","")</f>
        <v/>
      </c>
      <c r="R417" s="262" t="str">
        <f>IFERROR(IF(O417="Nacional",VLOOKUP(P417,PRICING!$D$4:$E$59,2,FALSE),VLOOKUP(P417,PRICING!$J$4:$K$59,2,FALSE)),"")</f>
        <v/>
      </c>
      <c r="S417"/>
      <c r="V417" s="262" t="str">
        <f t="shared" si="109"/>
        <v/>
      </c>
      <c r="W417" s="280" t="str">
        <f t="shared" si="101"/>
        <v/>
      </c>
      <c r="X417" s="178" t="str">
        <f t="shared" si="111"/>
        <v/>
      </c>
      <c r="Y417" s="178" t="str">
        <f t="shared" si="112"/>
        <v/>
      </c>
      <c r="Z417" s="178" t="str">
        <f t="shared" si="113"/>
        <v/>
      </c>
      <c r="AA417" s="178" t="str">
        <f t="shared" si="114"/>
        <v/>
      </c>
      <c r="AB417" s="178" t="str">
        <f t="shared" si="115"/>
        <v/>
      </c>
      <c r="AC417" s="178" t="str">
        <f t="shared" si="116"/>
        <v/>
      </c>
      <c r="AD417" s="267" t="s">
        <v>316</v>
      </c>
      <c r="AF417" s="149" t="str">
        <f t="shared" si="110"/>
        <v/>
      </c>
      <c r="AH417" s="178" t="str">
        <f t="shared" si="102"/>
        <v/>
      </c>
      <c r="AI417" s="178" t="str">
        <f t="shared" si="103"/>
        <v/>
      </c>
      <c r="AJ417" s="178" t="str">
        <f t="shared" si="104"/>
        <v/>
      </c>
      <c r="AK417" s="178" t="str">
        <f t="shared" si="105"/>
        <v/>
      </c>
      <c r="AN417" s="149" t="str">
        <f t="shared" si="106"/>
        <v/>
      </c>
      <c r="AQ417" s="178" t="str">
        <f t="shared" ca="1" si="107"/>
        <v/>
      </c>
      <c r="AR417" s="178" t="str">
        <f t="shared" ca="1" si="108"/>
        <v/>
      </c>
    </row>
    <row r="418" spans="1:44" x14ac:dyDescent="0.2">
      <c r="A418" t="str">
        <f>IF(B418="","",CONCATENATE("GBL",B418," - ",Mantenedor!E429))</f>
        <v/>
      </c>
      <c r="P418" t="str">
        <f t="shared" si="100"/>
        <v/>
      </c>
      <c r="Q418" s="266" t="str" cm="1">
        <f t="array" ref="Q418">+_xlfn.IFS(O418="Nacional","CLP",O418="Extranjero","USD",O418="","")</f>
        <v/>
      </c>
      <c r="R418" s="262" t="str">
        <f>IFERROR(IF(O418="Nacional",VLOOKUP(P418,PRICING!$D$4:$E$59,2,FALSE),VLOOKUP(P418,PRICING!$J$4:$K$59,2,FALSE)),"")</f>
        <v/>
      </c>
      <c r="S418"/>
      <c r="V418" s="262" t="str">
        <f t="shared" si="109"/>
        <v/>
      </c>
      <c r="W418" s="280" t="str">
        <f t="shared" si="101"/>
        <v/>
      </c>
      <c r="X418" s="178" t="str">
        <f t="shared" si="111"/>
        <v/>
      </c>
      <c r="Y418" s="178" t="str">
        <f t="shared" si="112"/>
        <v/>
      </c>
      <c r="Z418" s="178" t="str">
        <f t="shared" si="113"/>
        <v/>
      </c>
      <c r="AA418" s="178" t="str">
        <f t="shared" si="114"/>
        <v/>
      </c>
      <c r="AB418" s="178" t="str">
        <f t="shared" si="115"/>
        <v/>
      </c>
      <c r="AC418" s="178" t="str">
        <f t="shared" si="116"/>
        <v/>
      </c>
      <c r="AD418" s="267" t="s">
        <v>316</v>
      </c>
      <c r="AF418" s="149" t="str">
        <f t="shared" si="110"/>
        <v/>
      </c>
      <c r="AH418" s="178" t="str">
        <f t="shared" si="102"/>
        <v/>
      </c>
      <c r="AI418" s="178" t="str">
        <f t="shared" si="103"/>
        <v/>
      </c>
      <c r="AJ418" s="178" t="str">
        <f t="shared" si="104"/>
        <v/>
      </c>
      <c r="AK418" s="178" t="str">
        <f t="shared" si="105"/>
        <v/>
      </c>
      <c r="AN418" s="149" t="str">
        <f t="shared" si="106"/>
        <v/>
      </c>
      <c r="AQ418" s="178" t="str">
        <f t="shared" ca="1" si="107"/>
        <v/>
      </c>
      <c r="AR418" s="178" t="str">
        <f t="shared" ca="1" si="108"/>
        <v/>
      </c>
    </row>
    <row r="419" spans="1:44" x14ac:dyDescent="0.2">
      <c r="A419" t="str">
        <f>IF(B419="","",CONCATENATE("GBL",B419," - ",Mantenedor!E430))</f>
        <v/>
      </c>
      <c r="P419" t="str">
        <f t="shared" si="100"/>
        <v/>
      </c>
      <c r="Q419" s="266" t="str" cm="1">
        <f t="array" ref="Q419">+_xlfn.IFS(O419="Nacional","CLP",O419="Extranjero","USD",O419="","")</f>
        <v/>
      </c>
      <c r="R419" s="262" t="str">
        <f>IFERROR(IF(O419="Nacional",VLOOKUP(P419,PRICING!$D$4:$E$59,2,FALSE),VLOOKUP(P419,PRICING!$J$4:$K$59,2,FALSE)),"")</f>
        <v/>
      </c>
      <c r="S419"/>
      <c r="V419" s="262" t="str">
        <f t="shared" si="109"/>
        <v/>
      </c>
      <c r="W419" s="280" t="str">
        <f t="shared" si="101"/>
        <v/>
      </c>
      <c r="X419" s="178" t="str">
        <f t="shared" si="111"/>
        <v/>
      </c>
      <c r="Y419" s="178" t="str">
        <f t="shared" si="112"/>
        <v/>
      </c>
      <c r="Z419" s="178" t="str">
        <f t="shared" si="113"/>
        <v/>
      </c>
      <c r="AA419" s="178" t="str">
        <f t="shared" si="114"/>
        <v/>
      </c>
      <c r="AB419" s="178" t="str">
        <f t="shared" si="115"/>
        <v/>
      </c>
      <c r="AC419" s="178" t="str">
        <f t="shared" si="116"/>
        <v/>
      </c>
      <c r="AD419" s="267" t="s">
        <v>316</v>
      </c>
      <c r="AF419" s="149" t="str">
        <f t="shared" si="110"/>
        <v/>
      </c>
      <c r="AH419" s="178" t="str">
        <f t="shared" si="102"/>
        <v/>
      </c>
      <c r="AI419" s="178" t="str">
        <f t="shared" si="103"/>
        <v/>
      </c>
      <c r="AJ419" s="178" t="str">
        <f t="shared" si="104"/>
        <v/>
      </c>
      <c r="AK419" s="178" t="str">
        <f t="shared" si="105"/>
        <v/>
      </c>
      <c r="AN419" s="149" t="str">
        <f t="shared" si="106"/>
        <v/>
      </c>
      <c r="AQ419" s="178" t="str">
        <f t="shared" ca="1" si="107"/>
        <v/>
      </c>
      <c r="AR419" s="178" t="str">
        <f t="shared" ca="1" si="108"/>
        <v/>
      </c>
    </row>
    <row r="420" spans="1:44" x14ac:dyDescent="0.2">
      <c r="A420" t="str">
        <f>IF(B420="","",CONCATENATE("GBL",B420," - ",Mantenedor!E431))</f>
        <v/>
      </c>
      <c r="P420" t="str">
        <f t="shared" si="100"/>
        <v/>
      </c>
      <c r="Q420" s="266" t="str" cm="1">
        <f t="array" ref="Q420">+_xlfn.IFS(O420="Nacional","CLP",O420="Extranjero","USD",O420="","")</f>
        <v/>
      </c>
      <c r="R420" s="262" t="str">
        <f>IFERROR(IF(O420="Nacional",VLOOKUP(P420,PRICING!$D$4:$E$59,2,FALSE),VLOOKUP(P420,PRICING!$J$4:$K$59,2,FALSE)),"")</f>
        <v/>
      </c>
      <c r="S420"/>
      <c r="V420" s="262" t="str">
        <f t="shared" si="109"/>
        <v/>
      </c>
      <c r="W420" s="280" t="str">
        <f t="shared" si="101"/>
        <v/>
      </c>
      <c r="X420" s="178" t="str">
        <f t="shared" si="111"/>
        <v/>
      </c>
      <c r="Y420" s="178" t="str">
        <f t="shared" si="112"/>
        <v/>
      </c>
      <c r="Z420" s="178" t="str">
        <f t="shared" si="113"/>
        <v/>
      </c>
      <c r="AA420" s="178" t="str">
        <f t="shared" si="114"/>
        <v/>
      </c>
      <c r="AB420" s="178" t="str">
        <f t="shared" si="115"/>
        <v/>
      </c>
      <c r="AC420" s="178" t="str">
        <f t="shared" si="116"/>
        <v/>
      </c>
      <c r="AD420" s="267" t="s">
        <v>316</v>
      </c>
      <c r="AF420" s="149" t="str">
        <f t="shared" si="110"/>
        <v/>
      </c>
      <c r="AH420" s="178" t="str">
        <f t="shared" si="102"/>
        <v/>
      </c>
      <c r="AI420" s="178" t="str">
        <f t="shared" si="103"/>
        <v/>
      </c>
      <c r="AJ420" s="178" t="str">
        <f t="shared" si="104"/>
        <v/>
      </c>
      <c r="AK420" s="178" t="str">
        <f t="shared" si="105"/>
        <v/>
      </c>
      <c r="AN420" s="149" t="str">
        <f t="shared" si="106"/>
        <v/>
      </c>
      <c r="AQ420" s="178" t="str">
        <f t="shared" ca="1" si="107"/>
        <v/>
      </c>
      <c r="AR420" s="178" t="str">
        <f t="shared" ca="1" si="108"/>
        <v/>
      </c>
    </row>
    <row r="421" spans="1:44" x14ac:dyDescent="0.2">
      <c r="A421" t="str">
        <f>IF(B421="","",CONCATENATE("GBL",B421," - ",Mantenedor!E432))</f>
        <v/>
      </c>
      <c r="P421" t="str">
        <f t="shared" si="100"/>
        <v/>
      </c>
      <c r="Q421" s="266" t="str" cm="1">
        <f t="array" ref="Q421">+_xlfn.IFS(O421="Nacional","CLP",O421="Extranjero","USD",O421="","")</f>
        <v/>
      </c>
      <c r="R421" s="262" t="str">
        <f>IFERROR(IF(O421="Nacional",VLOOKUP(P421,PRICING!$D$4:$E$59,2,FALSE),VLOOKUP(P421,PRICING!$J$4:$K$59,2,FALSE)),"")</f>
        <v/>
      </c>
      <c r="S421"/>
      <c r="V421" s="262" t="str">
        <f t="shared" si="109"/>
        <v/>
      </c>
      <c r="W421" s="280" t="str">
        <f t="shared" si="101"/>
        <v/>
      </c>
      <c r="X421" s="178" t="str">
        <f t="shared" si="111"/>
        <v/>
      </c>
      <c r="Y421" s="178" t="str">
        <f t="shared" si="112"/>
        <v/>
      </c>
      <c r="Z421" s="178" t="str">
        <f t="shared" si="113"/>
        <v/>
      </c>
      <c r="AA421" s="178" t="str">
        <f t="shared" si="114"/>
        <v/>
      </c>
      <c r="AB421" s="178" t="str">
        <f t="shared" si="115"/>
        <v/>
      </c>
      <c r="AC421" s="178" t="str">
        <f t="shared" si="116"/>
        <v/>
      </c>
      <c r="AD421" s="267" t="s">
        <v>316</v>
      </c>
      <c r="AF421" s="149" t="str">
        <f t="shared" si="110"/>
        <v/>
      </c>
      <c r="AH421" s="178" t="str">
        <f t="shared" si="102"/>
        <v/>
      </c>
      <c r="AI421" s="178" t="str">
        <f t="shared" si="103"/>
        <v/>
      </c>
      <c r="AJ421" s="178" t="str">
        <f t="shared" si="104"/>
        <v/>
      </c>
      <c r="AK421" s="178" t="str">
        <f t="shared" si="105"/>
        <v/>
      </c>
      <c r="AN421" s="149" t="str">
        <f t="shared" si="106"/>
        <v/>
      </c>
      <c r="AQ421" s="178" t="str">
        <f t="shared" ca="1" si="107"/>
        <v/>
      </c>
      <c r="AR421" s="178" t="str">
        <f t="shared" ca="1" si="108"/>
        <v/>
      </c>
    </row>
    <row r="422" spans="1:44" x14ac:dyDescent="0.2">
      <c r="A422" t="str">
        <f>IF(B422="","",CONCATENATE("GBL",B422," - ",Mantenedor!E433))</f>
        <v/>
      </c>
      <c r="P422" t="str">
        <f t="shared" si="100"/>
        <v/>
      </c>
      <c r="Q422" s="266" t="str" cm="1">
        <f t="array" ref="Q422">+_xlfn.IFS(O422="Nacional","CLP",O422="Extranjero","USD",O422="","")</f>
        <v/>
      </c>
      <c r="R422" s="262" t="str">
        <f>IFERROR(IF(O422="Nacional",VLOOKUP(P422,PRICING!$D$4:$E$59,2,FALSE),VLOOKUP(P422,PRICING!$J$4:$K$59,2,FALSE)),"")</f>
        <v/>
      </c>
      <c r="S422"/>
      <c r="V422" s="262" t="str">
        <f t="shared" si="109"/>
        <v/>
      </c>
      <c r="W422" s="280" t="str">
        <f t="shared" si="101"/>
        <v/>
      </c>
      <c r="X422" s="178" t="str">
        <f t="shared" si="111"/>
        <v/>
      </c>
      <c r="Y422" s="178" t="str">
        <f t="shared" si="112"/>
        <v/>
      </c>
      <c r="Z422" s="178" t="str">
        <f t="shared" si="113"/>
        <v/>
      </c>
      <c r="AA422" s="178" t="str">
        <f t="shared" si="114"/>
        <v/>
      </c>
      <c r="AB422" s="178" t="str">
        <f t="shared" si="115"/>
        <v/>
      </c>
      <c r="AC422" s="178" t="str">
        <f t="shared" si="116"/>
        <v/>
      </c>
      <c r="AD422" s="267" t="s">
        <v>316</v>
      </c>
      <c r="AF422" s="149" t="str">
        <f t="shared" si="110"/>
        <v/>
      </c>
      <c r="AH422" s="178" t="str">
        <f t="shared" si="102"/>
        <v/>
      </c>
      <c r="AI422" s="178" t="str">
        <f t="shared" si="103"/>
        <v/>
      </c>
      <c r="AJ422" s="178" t="str">
        <f t="shared" si="104"/>
        <v/>
      </c>
      <c r="AK422" s="178" t="str">
        <f t="shared" si="105"/>
        <v/>
      </c>
      <c r="AN422" s="149" t="str">
        <f t="shared" si="106"/>
        <v/>
      </c>
      <c r="AQ422" s="178" t="str">
        <f t="shared" ca="1" si="107"/>
        <v/>
      </c>
      <c r="AR422" s="178" t="str">
        <f t="shared" ca="1" si="108"/>
        <v/>
      </c>
    </row>
    <row r="423" spans="1:44" x14ac:dyDescent="0.2">
      <c r="A423" t="str">
        <f>IF(B423="","",CONCATENATE("GBL",B423," - ",Mantenedor!E434))</f>
        <v/>
      </c>
      <c r="P423" t="str">
        <f t="shared" si="100"/>
        <v/>
      </c>
      <c r="Q423" s="266" t="str" cm="1">
        <f t="array" ref="Q423">+_xlfn.IFS(O423="Nacional","CLP",O423="Extranjero","USD",O423="","")</f>
        <v/>
      </c>
      <c r="R423" s="262" t="str">
        <f>IFERROR(IF(O423="Nacional",VLOOKUP(P423,PRICING!$D$4:$E$59,2,FALSE),VLOOKUP(P423,PRICING!$J$4:$K$59,2,FALSE)),"")</f>
        <v/>
      </c>
      <c r="S423"/>
      <c r="V423" s="262" t="str">
        <f t="shared" si="109"/>
        <v/>
      </c>
      <c r="W423" s="280" t="str">
        <f t="shared" si="101"/>
        <v/>
      </c>
      <c r="X423" s="178" t="str">
        <f t="shared" si="111"/>
        <v/>
      </c>
      <c r="Y423" s="178" t="str">
        <f t="shared" si="112"/>
        <v/>
      </c>
      <c r="Z423" s="178" t="str">
        <f t="shared" si="113"/>
        <v/>
      </c>
      <c r="AA423" s="178" t="str">
        <f t="shared" si="114"/>
        <v/>
      </c>
      <c r="AB423" s="178" t="str">
        <f t="shared" si="115"/>
        <v/>
      </c>
      <c r="AC423" s="178" t="str">
        <f t="shared" si="116"/>
        <v/>
      </c>
      <c r="AD423" s="267" t="s">
        <v>316</v>
      </c>
      <c r="AF423" s="149" t="str">
        <f t="shared" si="110"/>
        <v/>
      </c>
      <c r="AH423" s="178" t="str">
        <f t="shared" si="102"/>
        <v/>
      </c>
      <c r="AI423" s="178" t="str">
        <f t="shared" si="103"/>
        <v/>
      </c>
      <c r="AJ423" s="178" t="str">
        <f t="shared" si="104"/>
        <v/>
      </c>
      <c r="AK423" s="178" t="str">
        <f t="shared" si="105"/>
        <v/>
      </c>
      <c r="AN423" s="149" t="str">
        <f t="shared" si="106"/>
        <v/>
      </c>
      <c r="AQ423" s="178" t="str">
        <f t="shared" ca="1" si="107"/>
        <v/>
      </c>
      <c r="AR423" s="178" t="str">
        <f t="shared" ca="1" si="108"/>
        <v/>
      </c>
    </row>
    <row r="424" spans="1:44" x14ac:dyDescent="0.2">
      <c r="A424" t="str">
        <f>IF(B424="","",CONCATENATE("GBL",B424," - ",Mantenedor!E435))</f>
        <v/>
      </c>
      <c r="P424" t="str">
        <f t="shared" si="100"/>
        <v/>
      </c>
      <c r="Q424" s="266" t="str" cm="1">
        <f t="array" ref="Q424">+_xlfn.IFS(O424="Nacional","CLP",O424="Extranjero","USD",O424="","")</f>
        <v/>
      </c>
      <c r="R424" s="262" t="str">
        <f>IFERROR(IF(O424="Nacional",VLOOKUP(P424,PRICING!$D$4:$E$59,2,FALSE),VLOOKUP(P424,PRICING!$J$4:$K$59,2,FALSE)),"")</f>
        <v/>
      </c>
      <c r="S424"/>
      <c r="V424" s="262" t="str">
        <f t="shared" si="109"/>
        <v/>
      </c>
      <c r="W424" s="280" t="str">
        <f t="shared" si="101"/>
        <v/>
      </c>
      <c r="X424" s="178" t="str">
        <f t="shared" si="111"/>
        <v/>
      </c>
      <c r="Y424" s="178" t="str">
        <f t="shared" si="112"/>
        <v/>
      </c>
      <c r="Z424" s="178" t="str">
        <f t="shared" si="113"/>
        <v/>
      </c>
      <c r="AA424" s="178" t="str">
        <f t="shared" si="114"/>
        <v/>
      </c>
      <c r="AB424" s="178" t="str">
        <f t="shared" si="115"/>
        <v/>
      </c>
      <c r="AC424" s="178" t="str">
        <f t="shared" si="116"/>
        <v/>
      </c>
      <c r="AD424" s="267" t="s">
        <v>316</v>
      </c>
      <c r="AF424" s="149" t="str">
        <f t="shared" si="110"/>
        <v/>
      </c>
      <c r="AH424" s="178" t="str">
        <f t="shared" si="102"/>
        <v/>
      </c>
      <c r="AI424" s="178" t="str">
        <f t="shared" si="103"/>
        <v/>
      </c>
      <c r="AJ424" s="178" t="str">
        <f t="shared" si="104"/>
        <v/>
      </c>
      <c r="AK424" s="178" t="str">
        <f t="shared" si="105"/>
        <v/>
      </c>
      <c r="AN424" s="149" t="str">
        <f t="shared" si="106"/>
        <v/>
      </c>
      <c r="AQ424" s="178" t="str">
        <f t="shared" ca="1" si="107"/>
        <v/>
      </c>
      <c r="AR424" s="178" t="str">
        <f t="shared" ca="1" si="108"/>
        <v/>
      </c>
    </row>
    <row r="425" spans="1:44" x14ac:dyDescent="0.2">
      <c r="A425" t="str">
        <f>IF(B425="","",CONCATENATE("GBL",B425," - ",Mantenedor!E436))</f>
        <v/>
      </c>
      <c r="P425" t="str">
        <f t="shared" si="100"/>
        <v/>
      </c>
      <c r="Q425" s="266" t="str" cm="1">
        <f t="array" ref="Q425">+_xlfn.IFS(O425="Nacional","CLP",O425="Extranjero","USD",O425="","")</f>
        <v/>
      </c>
      <c r="R425" s="262" t="str">
        <f>IFERROR(IF(O425="Nacional",VLOOKUP(P425,PRICING!$D$4:$E$59,2,FALSE),VLOOKUP(P425,PRICING!$J$4:$K$59,2,FALSE)),"")</f>
        <v/>
      </c>
      <c r="S425"/>
      <c r="V425" s="262" t="str">
        <f t="shared" si="109"/>
        <v/>
      </c>
      <c r="W425" s="280" t="str">
        <f t="shared" si="101"/>
        <v/>
      </c>
      <c r="X425" s="178" t="str">
        <f t="shared" si="111"/>
        <v/>
      </c>
      <c r="Y425" s="178" t="str">
        <f t="shared" si="112"/>
        <v/>
      </c>
      <c r="Z425" s="178" t="str">
        <f t="shared" si="113"/>
        <v/>
      </c>
      <c r="AA425" s="178" t="str">
        <f t="shared" si="114"/>
        <v/>
      </c>
      <c r="AB425" s="178" t="str">
        <f t="shared" si="115"/>
        <v/>
      </c>
      <c r="AC425" s="178" t="str">
        <f t="shared" si="116"/>
        <v/>
      </c>
      <c r="AD425" s="267" t="s">
        <v>316</v>
      </c>
      <c r="AF425" s="149" t="str">
        <f t="shared" si="110"/>
        <v/>
      </c>
      <c r="AH425" s="178" t="str">
        <f t="shared" si="102"/>
        <v/>
      </c>
      <c r="AI425" s="178" t="str">
        <f t="shared" si="103"/>
        <v/>
      </c>
      <c r="AJ425" s="178" t="str">
        <f t="shared" si="104"/>
        <v/>
      </c>
      <c r="AK425" s="178" t="str">
        <f t="shared" si="105"/>
        <v/>
      </c>
      <c r="AN425" s="149" t="str">
        <f t="shared" si="106"/>
        <v/>
      </c>
      <c r="AQ425" s="178" t="str">
        <f t="shared" ca="1" si="107"/>
        <v/>
      </c>
      <c r="AR425" s="178" t="str">
        <f t="shared" ca="1" si="108"/>
        <v/>
      </c>
    </row>
    <row r="426" spans="1:44" x14ac:dyDescent="0.2">
      <c r="A426" t="str">
        <f>IF(B426="","",CONCATENATE("GBL",B426," - ",Mantenedor!E437))</f>
        <v/>
      </c>
      <c r="P426" t="str">
        <f t="shared" si="100"/>
        <v/>
      </c>
      <c r="Q426" s="266" t="str" cm="1">
        <f t="array" ref="Q426">+_xlfn.IFS(O426="Nacional","CLP",O426="Extranjero","USD",O426="","")</f>
        <v/>
      </c>
      <c r="R426" s="262" t="str">
        <f>IFERROR(IF(O426="Nacional",VLOOKUP(P426,PRICING!$D$4:$E$59,2,FALSE),VLOOKUP(P426,PRICING!$J$4:$K$59,2,FALSE)),"")</f>
        <v/>
      </c>
      <c r="S426"/>
      <c r="V426" s="262" t="str">
        <f t="shared" si="109"/>
        <v/>
      </c>
      <c r="W426" s="280" t="str">
        <f t="shared" si="101"/>
        <v/>
      </c>
      <c r="X426" s="178" t="str">
        <f t="shared" si="111"/>
        <v/>
      </c>
      <c r="Y426" s="178" t="str">
        <f t="shared" si="112"/>
        <v/>
      </c>
      <c r="Z426" s="178" t="str">
        <f t="shared" si="113"/>
        <v/>
      </c>
      <c r="AA426" s="178" t="str">
        <f t="shared" si="114"/>
        <v/>
      </c>
      <c r="AB426" s="178" t="str">
        <f t="shared" si="115"/>
        <v/>
      </c>
      <c r="AC426" s="178" t="str">
        <f t="shared" si="116"/>
        <v/>
      </c>
      <c r="AD426" s="267" t="s">
        <v>316</v>
      </c>
      <c r="AF426" s="149" t="str">
        <f t="shared" si="110"/>
        <v/>
      </c>
      <c r="AH426" s="178" t="str">
        <f t="shared" si="102"/>
        <v/>
      </c>
      <c r="AI426" s="178" t="str">
        <f t="shared" si="103"/>
        <v/>
      </c>
      <c r="AJ426" s="178" t="str">
        <f t="shared" si="104"/>
        <v/>
      </c>
      <c r="AK426" s="178" t="str">
        <f t="shared" si="105"/>
        <v/>
      </c>
      <c r="AN426" s="149" t="str">
        <f t="shared" si="106"/>
        <v/>
      </c>
      <c r="AQ426" s="178" t="str">
        <f t="shared" ca="1" si="107"/>
        <v/>
      </c>
      <c r="AR426" s="178" t="str">
        <f t="shared" ca="1" si="108"/>
        <v/>
      </c>
    </row>
    <row r="427" spans="1:44" x14ac:dyDescent="0.2">
      <c r="A427" t="str">
        <f>IF(B427="","",CONCATENATE("GBL",B427," - ",Mantenedor!E438))</f>
        <v/>
      </c>
      <c r="P427" t="str">
        <f t="shared" si="100"/>
        <v/>
      </c>
      <c r="Q427" s="266" t="str" cm="1">
        <f t="array" ref="Q427">+_xlfn.IFS(O427="Nacional","CLP",O427="Extranjero","USD",O427="","")</f>
        <v/>
      </c>
      <c r="R427" s="262" t="str">
        <f>IFERROR(IF(O427="Nacional",VLOOKUP(P427,PRICING!$D$4:$E$59,2,FALSE),VLOOKUP(P427,PRICING!$J$4:$K$59,2,FALSE)),"")</f>
        <v/>
      </c>
      <c r="S427"/>
      <c r="V427" s="262" t="str">
        <f t="shared" si="109"/>
        <v/>
      </c>
      <c r="W427" s="280" t="str">
        <f t="shared" si="101"/>
        <v/>
      </c>
      <c r="X427" s="178" t="str">
        <f t="shared" si="111"/>
        <v/>
      </c>
      <c r="Y427" s="178" t="str">
        <f t="shared" si="112"/>
        <v/>
      </c>
      <c r="Z427" s="178" t="str">
        <f t="shared" si="113"/>
        <v/>
      </c>
      <c r="AA427" s="178" t="str">
        <f t="shared" si="114"/>
        <v/>
      </c>
      <c r="AB427" s="178" t="str">
        <f t="shared" si="115"/>
        <v/>
      </c>
      <c r="AC427" s="178" t="str">
        <f t="shared" si="116"/>
        <v/>
      </c>
      <c r="AD427" s="267" t="s">
        <v>316</v>
      </c>
      <c r="AF427" s="149" t="str">
        <f t="shared" si="110"/>
        <v/>
      </c>
      <c r="AH427" s="178" t="str">
        <f t="shared" si="102"/>
        <v/>
      </c>
      <c r="AI427" s="178" t="str">
        <f t="shared" si="103"/>
        <v/>
      </c>
      <c r="AJ427" s="178" t="str">
        <f t="shared" si="104"/>
        <v/>
      </c>
      <c r="AK427" s="178" t="str">
        <f t="shared" si="105"/>
        <v/>
      </c>
      <c r="AN427" s="149" t="str">
        <f t="shared" si="106"/>
        <v/>
      </c>
      <c r="AQ427" s="178" t="str">
        <f t="shared" ca="1" si="107"/>
        <v/>
      </c>
      <c r="AR427" s="178" t="str">
        <f t="shared" ca="1" si="108"/>
        <v/>
      </c>
    </row>
    <row r="428" spans="1:44" x14ac:dyDescent="0.2">
      <c r="A428" t="str">
        <f>IF(B428="","",CONCATENATE("GBL",B428," - ",Mantenedor!E439))</f>
        <v/>
      </c>
      <c r="P428" t="str">
        <f t="shared" si="100"/>
        <v/>
      </c>
      <c r="Q428" s="266" t="str" cm="1">
        <f t="array" ref="Q428">+_xlfn.IFS(O428="Nacional","CLP",O428="Extranjero","USD",O428="","")</f>
        <v/>
      </c>
      <c r="R428" s="262" t="str">
        <f>IFERROR(IF(O428="Nacional",VLOOKUP(P428,PRICING!$D$4:$E$59,2,FALSE),VLOOKUP(P428,PRICING!$J$4:$K$59,2,FALSE)),"")</f>
        <v/>
      </c>
      <c r="S428"/>
      <c r="V428" s="262" t="str">
        <f t="shared" si="109"/>
        <v/>
      </c>
      <c r="W428" s="280" t="str">
        <f t="shared" si="101"/>
        <v/>
      </c>
      <c r="X428" s="178" t="str">
        <f t="shared" si="111"/>
        <v/>
      </c>
      <c r="Y428" s="178" t="str">
        <f t="shared" si="112"/>
        <v/>
      </c>
      <c r="Z428" s="178" t="str">
        <f t="shared" si="113"/>
        <v/>
      </c>
      <c r="AA428" s="178" t="str">
        <f t="shared" si="114"/>
        <v/>
      </c>
      <c r="AB428" s="178" t="str">
        <f t="shared" si="115"/>
        <v/>
      </c>
      <c r="AC428" s="178" t="str">
        <f t="shared" si="116"/>
        <v/>
      </c>
      <c r="AD428" s="267" t="s">
        <v>316</v>
      </c>
      <c r="AF428" s="149" t="str">
        <f t="shared" si="110"/>
        <v/>
      </c>
      <c r="AH428" s="178" t="str">
        <f t="shared" si="102"/>
        <v/>
      </c>
      <c r="AI428" s="178" t="str">
        <f t="shared" si="103"/>
        <v/>
      </c>
      <c r="AJ428" s="178" t="str">
        <f t="shared" si="104"/>
        <v/>
      </c>
      <c r="AK428" s="178" t="str">
        <f t="shared" si="105"/>
        <v/>
      </c>
      <c r="AN428" s="149" t="str">
        <f t="shared" si="106"/>
        <v/>
      </c>
      <c r="AQ428" s="178" t="str">
        <f t="shared" ca="1" si="107"/>
        <v/>
      </c>
      <c r="AR428" s="178" t="str">
        <f t="shared" ca="1" si="108"/>
        <v/>
      </c>
    </row>
    <row r="429" spans="1:44" x14ac:dyDescent="0.2">
      <c r="A429" t="str">
        <f>IF(B429="","",CONCATENATE("GBL",B429," - ",Mantenedor!E440))</f>
        <v/>
      </c>
      <c r="P429" t="str">
        <f t="shared" si="100"/>
        <v/>
      </c>
      <c r="Q429" s="266" t="str" cm="1">
        <f t="array" ref="Q429">+_xlfn.IFS(O429="Nacional","CLP",O429="Extranjero","USD",O429="","")</f>
        <v/>
      </c>
      <c r="R429" s="262" t="str">
        <f>IFERROR(IF(O429="Nacional",VLOOKUP(P429,PRICING!$D$4:$E$59,2,FALSE),VLOOKUP(P429,PRICING!$J$4:$K$59,2,FALSE)),"")</f>
        <v/>
      </c>
      <c r="S429"/>
      <c r="V429" s="262" t="str">
        <f t="shared" si="109"/>
        <v/>
      </c>
      <c r="W429" s="280" t="str">
        <f t="shared" si="101"/>
        <v/>
      </c>
      <c r="X429" s="178" t="str">
        <f t="shared" si="111"/>
        <v/>
      </c>
      <c r="Y429" s="178" t="str">
        <f t="shared" si="112"/>
        <v/>
      </c>
      <c r="Z429" s="178" t="str">
        <f t="shared" si="113"/>
        <v/>
      </c>
      <c r="AA429" s="178" t="str">
        <f t="shared" si="114"/>
        <v/>
      </c>
      <c r="AB429" s="178" t="str">
        <f t="shared" si="115"/>
        <v/>
      </c>
      <c r="AC429" s="178" t="str">
        <f t="shared" si="116"/>
        <v/>
      </c>
      <c r="AD429" s="267" t="s">
        <v>316</v>
      </c>
      <c r="AF429" s="149" t="str">
        <f t="shared" si="110"/>
        <v/>
      </c>
      <c r="AH429" s="178" t="str">
        <f t="shared" si="102"/>
        <v/>
      </c>
      <c r="AI429" s="178" t="str">
        <f t="shared" si="103"/>
        <v/>
      </c>
      <c r="AJ429" s="178" t="str">
        <f t="shared" si="104"/>
        <v/>
      </c>
      <c r="AK429" s="178" t="str">
        <f t="shared" si="105"/>
        <v/>
      </c>
      <c r="AN429" s="149" t="str">
        <f t="shared" si="106"/>
        <v/>
      </c>
      <c r="AQ429" s="178" t="str">
        <f t="shared" ca="1" si="107"/>
        <v/>
      </c>
      <c r="AR429" s="178" t="str">
        <f t="shared" ca="1" si="108"/>
        <v/>
      </c>
    </row>
    <row r="430" spans="1:44" x14ac:dyDescent="0.2">
      <c r="A430" t="str">
        <f>IF(B430="","",CONCATENATE("GBL",B430," - ",Mantenedor!E441))</f>
        <v/>
      </c>
      <c r="P430" t="str">
        <f t="shared" si="100"/>
        <v/>
      </c>
      <c r="Q430" s="266" t="str" cm="1">
        <f t="array" ref="Q430">+_xlfn.IFS(O430="Nacional","CLP",O430="Extranjero","USD",O430="","")</f>
        <v/>
      </c>
      <c r="R430" s="262" t="str">
        <f>IFERROR(IF(O430="Nacional",VLOOKUP(P430,PRICING!$D$4:$E$59,2,FALSE),VLOOKUP(P430,PRICING!$J$4:$K$59,2,FALSE)),"")</f>
        <v/>
      </c>
      <c r="S430"/>
      <c r="V430" s="262" t="str">
        <f t="shared" si="109"/>
        <v/>
      </c>
      <c r="W430" s="280" t="str">
        <f t="shared" si="101"/>
        <v/>
      </c>
      <c r="X430" s="178" t="str">
        <f t="shared" si="111"/>
        <v/>
      </c>
      <c r="Y430" s="178" t="str">
        <f t="shared" si="112"/>
        <v/>
      </c>
      <c r="Z430" s="178" t="str">
        <f t="shared" si="113"/>
        <v/>
      </c>
      <c r="AA430" s="178" t="str">
        <f t="shared" si="114"/>
        <v/>
      </c>
      <c r="AB430" s="178" t="str">
        <f t="shared" si="115"/>
        <v/>
      </c>
      <c r="AC430" s="178" t="str">
        <f t="shared" si="116"/>
        <v/>
      </c>
      <c r="AD430" s="267" t="s">
        <v>316</v>
      </c>
      <c r="AF430" s="149" t="str">
        <f t="shared" si="110"/>
        <v/>
      </c>
      <c r="AH430" s="178" t="str">
        <f t="shared" si="102"/>
        <v/>
      </c>
      <c r="AI430" s="178" t="str">
        <f t="shared" si="103"/>
        <v/>
      </c>
      <c r="AJ430" s="178" t="str">
        <f t="shared" si="104"/>
        <v/>
      </c>
      <c r="AK430" s="178" t="str">
        <f t="shared" si="105"/>
        <v/>
      </c>
      <c r="AN430" s="149" t="str">
        <f t="shared" si="106"/>
        <v/>
      </c>
      <c r="AQ430" s="178" t="str">
        <f t="shared" ca="1" si="107"/>
        <v/>
      </c>
      <c r="AR430" s="178" t="str">
        <f t="shared" ca="1" si="108"/>
        <v/>
      </c>
    </row>
    <row r="431" spans="1:44" x14ac:dyDescent="0.2">
      <c r="A431" t="str">
        <f>IF(B431="","",CONCATENATE("GBL",B431," - ",Mantenedor!E442))</f>
        <v/>
      </c>
      <c r="P431" t="str">
        <f t="shared" si="100"/>
        <v/>
      </c>
      <c r="Q431" s="266" t="str" cm="1">
        <f t="array" ref="Q431">+_xlfn.IFS(O431="Nacional","CLP",O431="Extranjero","USD",O431="","")</f>
        <v/>
      </c>
      <c r="R431" s="262" t="str">
        <f>IFERROR(IF(O431="Nacional",VLOOKUP(P431,PRICING!$D$4:$E$59,2,FALSE),VLOOKUP(P431,PRICING!$J$4:$K$59,2,FALSE)),"")</f>
        <v/>
      </c>
      <c r="S431"/>
      <c r="V431" s="262" t="str">
        <f t="shared" si="109"/>
        <v/>
      </c>
      <c r="W431" s="280" t="str">
        <f t="shared" si="101"/>
        <v/>
      </c>
      <c r="X431" s="178" t="str">
        <f t="shared" si="111"/>
        <v/>
      </c>
      <c r="Y431" s="178" t="str">
        <f t="shared" si="112"/>
        <v/>
      </c>
      <c r="Z431" s="178" t="str">
        <f t="shared" si="113"/>
        <v/>
      </c>
      <c r="AA431" s="178" t="str">
        <f t="shared" si="114"/>
        <v/>
      </c>
      <c r="AB431" s="178" t="str">
        <f t="shared" si="115"/>
        <v/>
      </c>
      <c r="AC431" s="178" t="str">
        <f t="shared" si="116"/>
        <v/>
      </c>
      <c r="AD431" s="267" t="s">
        <v>316</v>
      </c>
      <c r="AF431" s="149" t="str">
        <f t="shared" si="110"/>
        <v/>
      </c>
      <c r="AH431" s="178" t="str">
        <f t="shared" si="102"/>
        <v/>
      </c>
      <c r="AI431" s="178" t="str">
        <f t="shared" si="103"/>
        <v/>
      </c>
      <c r="AJ431" s="178" t="str">
        <f t="shared" si="104"/>
        <v/>
      </c>
      <c r="AK431" s="178" t="str">
        <f t="shared" si="105"/>
        <v/>
      </c>
      <c r="AN431" s="149" t="str">
        <f t="shared" si="106"/>
        <v/>
      </c>
      <c r="AQ431" s="178" t="str">
        <f t="shared" ca="1" si="107"/>
        <v/>
      </c>
      <c r="AR431" s="178" t="str">
        <f t="shared" ca="1" si="108"/>
        <v/>
      </c>
    </row>
    <row r="432" spans="1:44" x14ac:dyDescent="0.2">
      <c r="A432" t="str">
        <f>IF(B432="","",CONCATENATE("GBL",B432," - ",Mantenedor!E443))</f>
        <v/>
      </c>
      <c r="P432" t="str">
        <f t="shared" si="100"/>
        <v/>
      </c>
      <c r="Q432" s="266" t="str" cm="1">
        <f t="array" ref="Q432">+_xlfn.IFS(O432="Nacional","CLP",O432="Extranjero","USD",O432="","")</f>
        <v/>
      </c>
      <c r="R432" s="262" t="str">
        <f>IFERROR(IF(O432="Nacional",VLOOKUP(P432,PRICING!$D$4:$E$59,2,FALSE),VLOOKUP(P432,PRICING!$J$4:$K$59,2,FALSE)),"")</f>
        <v/>
      </c>
      <c r="S432"/>
      <c r="V432" s="262" t="str">
        <f t="shared" si="109"/>
        <v/>
      </c>
      <c r="W432" s="280" t="str">
        <f t="shared" si="101"/>
        <v/>
      </c>
      <c r="X432" s="178" t="str">
        <f t="shared" si="111"/>
        <v/>
      </c>
      <c r="Y432" s="178" t="str">
        <f t="shared" si="112"/>
        <v/>
      </c>
      <c r="Z432" s="178" t="str">
        <f t="shared" si="113"/>
        <v/>
      </c>
      <c r="AA432" s="178" t="str">
        <f t="shared" si="114"/>
        <v/>
      </c>
      <c r="AB432" s="178" t="str">
        <f t="shared" si="115"/>
        <v/>
      </c>
      <c r="AC432" s="178" t="str">
        <f t="shared" si="116"/>
        <v/>
      </c>
      <c r="AD432" s="267" t="s">
        <v>316</v>
      </c>
      <c r="AF432" s="149" t="str">
        <f t="shared" si="110"/>
        <v/>
      </c>
      <c r="AH432" s="178" t="str">
        <f t="shared" si="102"/>
        <v/>
      </c>
      <c r="AI432" s="178" t="str">
        <f t="shared" si="103"/>
        <v/>
      </c>
      <c r="AJ432" s="178" t="str">
        <f t="shared" si="104"/>
        <v/>
      </c>
      <c r="AK432" s="178" t="str">
        <f t="shared" si="105"/>
        <v/>
      </c>
      <c r="AN432" s="149" t="str">
        <f t="shared" si="106"/>
        <v/>
      </c>
      <c r="AQ432" s="178" t="str">
        <f t="shared" ca="1" si="107"/>
        <v/>
      </c>
      <c r="AR432" s="178" t="str">
        <f t="shared" ca="1" si="108"/>
        <v/>
      </c>
    </row>
    <row r="433" spans="1:44" x14ac:dyDescent="0.2">
      <c r="A433" t="str">
        <f>IF(B433="","",CONCATENATE("GBL",B433," - ",Mantenedor!E444))</f>
        <v/>
      </c>
      <c r="P433" t="str">
        <f t="shared" si="100"/>
        <v/>
      </c>
      <c r="Q433" s="266" t="str" cm="1">
        <f t="array" ref="Q433">+_xlfn.IFS(O433="Nacional","CLP",O433="Extranjero","USD",O433="","")</f>
        <v/>
      </c>
      <c r="R433" s="262" t="str">
        <f>IFERROR(IF(O433="Nacional",VLOOKUP(P433,PRICING!$D$4:$E$59,2,FALSE),VLOOKUP(P433,PRICING!$J$4:$K$59,2,FALSE)),"")</f>
        <v/>
      </c>
      <c r="S433"/>
      <c r="V433" s="262" t="str">
        <f t="shared" si="109"/>
        <v/>
      </c>
      <c r="W433" s="280" t="str">
        <f t="shared" si="101"/>
        <v/>
      </c>
      <c r="X433" s="178" t="str">
        <f t="shared" si="111"/>
        <v/>
      </c>
      <c r="Y433" s="178" t="str">
        <f t="shared" si="112"/>
        <v/>
      </c>
      <c r="Z433" s="178" t="str">
        <f t="shared" si="113"/>
        <v/>
      </c>
      <c r="AA433" s="178" t="str">
        <f t="shared" si="114"/>
        <v/>
      </c>
      <c r="AB433" s="178" t="str">
        <f t="shared" si="115"/>
        <v/>
      </c>
      <c r="AC433" s="178" t="str">
        <f t="shared" si="116"/>
        <v/>
      </c>
      <c r="AD433" s="267" t="s">
        <v>316</v>
      </c>
      <c r="AF433" s="149" t="str">
        <f t="shared" si="110"/>
        <v/>
      </c>
      <c r="AH433" s="178" t="str">
        <f t="shared" si="102"/>
        <v/>
      </c>
      <c r="AI433" s="178" t="str">
        <f t="shared" si="103"/>
        <v/>
      </c>
      <c r="AJ433" s="178" t="str">
        <f t="shared" si="104"/>
        <v/>
      </c>
      <c r="AK433" s="178" t="str">
        <f t="shared" si="105"/>
        <v/>
      </c>
      <c r="AN433" s="149" t="str">
        <f t="shared" si="106"/>
        <v/>
      </c>
      <c r="AQ433" s="178" t="str">
        <f t="shared" ca="1" si="107"/>
        <v/>
      </c>
      <c r="AR433" s="178" t="str">
        <f t="shared" ca="1" si="108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9FA6F8-3AEC-EA43-8ED6-92FBCD76D9E9}">
          <x14:formula1>
            <xm:f>Mantenedor!$H$2:$H$4</xm:f>
          </x14:formula1>
          <xm:sqref>U3:U324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EE5BE-0C67-A044-B72A-9DAC1F94EC0D}">
  <sheetPr codeName="Hoja3">
    <tabColor theme="9" tint="0.79998168889431442"/>
  </sheetPr>
  <dimension ref="A1:L33"/>
  <sheetViews>
    <sheetView topLeftCell="F1" zoomScale="113" zoomScaleNormal="113" workbookViewId="0">
      <selection activeCell="C8" sqref="C8"/>
    </sheetView>
  </sheetViews>
  <sheetFormatPr baseColWidth="10" defaultRowHeight="15" x14ac:dyDescent="0.2"/>
  <cols>
    <col min="1" max="1" width="4" customWidth="1"/>
    <col min="2" max="2" width="22.5" customWidth="1"/>
    <col min="3" max="3" width="16.83203125" customWidth="1"/>
    <col min="4" max="4" width="17.6640625" bestFit="1" customWidth="1"/>
    <col min="5" max="10" width="19.6640625" customWidth="1"/>
    <col min="11" max="11" width="19.1640625" customWidth="1"/>
    <col min="12" max="12" width="14.83203125" customWidth="1"/>
  </cols>
  <sheetData>
    <row r="1" spans="1:12" ht="87" customHeight="1" x14ac:dyDescent="0.2">
      <c r="D1" s="406"/>
      <c r="E1" s="406"/>
      <c r="F1" s="154"/>
      <c r="G1" s="154"/>
      <c r="H1" s="154"/>
      <c r="I1" s="154"/>
      <c r="J1" s="154"/>
      <c r="K1" s="155"/>
      <c r="L1" s="155"/>
    </row>
    <row r="2" spans="1:12" ht="80" customHeight="1" x14ac:dyDescent="0.2"/>
    <row r="3" spans="1:12" ht="44" customHeight="1" x14ac:dyDescent="0.2">
      <c r="B3" s="175" t="s">
        <v>188</v>
      </c>
    </row>
    <row r="4" spans="1:12" ht="30" customHeight="1" thickBot="1" x14ac:dyDescent="0.25"/>
    <row r="5" spans="1:12" ht="23" thickBot="1" x14ac:dyDescent="0.35">
      <c r="B5" s="398" t="s">
        <v>165</v>
      </c>
      <c r="C5" s="399"/>
      <c r="D5" s="399"/>
      <c r="E5" s="399"/>
      <c r="F5" s="399"/>
      <c r="G5" s="399"/>
      <c r="H5" s="399"/>
      <c r="I5" s="399"/>
      <c r="J5" s="399"/>
      <c r="K5" s="400"/>
    </row>
    <row r="6" spans="1:12" ht="22" x14ac:dyDescent="0.3">
      <c r="B6" s="401" t="s">
        <v>186</v>
      </c>
      <c r="C6" s="402"/>
      <c r="D6" s="402"/>
      <c r="E6" s="402"/>
      <c r="F6" s="402"/>
      <c r="G6" s="403" t="s">
        <v>185</v>
      </c>
      <c r="H6" s="404"/>
      <c r="I6" s="404"/>
      <c r="J6" s="404"/>
      <c r="K6" s="405"/>
    </row>
    <row r="7" spans="1:12" ht="17" thickBot="1" x14ac:dyDescent="0.25">
      <c r="B7" s="165" t="s">
        <v>180</v>
      </c>
      <c r="C7" s="166" t="s">
        <v>163</v>
      </c>
      <c r="D7" s="166" t="s">
        <v>164</v>
      </c>
      <c r="E7" s="166" t="s">
        <v>136</v>
      </c>
      <c r="F7" s="166" t="s">
        <v>184</v>
      </c>
      <c r="G7" s="169" t="s">
        <v>138</v>
      </c>
      <c r="H7" s="170" t="s">
        <v>182</v>
      </c>
      <c r="I7" s="170" t="s">
        <v>177</v>
      </c>
      <c r="J7" s="170" t="s">
        <v>183</v>
      </c>
      <c r="K7" s="171" t="s">
        <v>178</v>
      </c>
    </row>
    <row r="8" spans="1:12" x14ac:dyDescent="0.2">
      <c r="B8" s="167" t="s">
        <v>166</v>
      </c>
      <c r="C8" s="168" t="s">
        <v>181</v>
      </c>
      <c r="D8" s="168">
        <v>12312413</v>
      </c>
      <c r="E8" s="168" t="e" cm="1">
        <f t="array" ref="E8">IF(#REF!="","",(_xlfn.IFS(#REF!="No",#REF!="",#REF!="Si",#REF!="")))</f>
        <v>#REF!</v>
      </c>
      <c r="F8" s="168"/>
      <c r="G8" s="172" t="s">
        <v>143</v>
      </c>
      <c r="H8" s="173"/>
      <c r="I8" s="173"/>
      <c r="J8" s="173">
        <f>+H8+I8</f>
        <v>0</v>
      </c>
      <c r="K8" s="174" t="s">
        <v>142</v>
      </c>
    </row>
    <row r="9" spans="1:12" x14ac:dyDescent="0.2">
      <c r="B9" s="157" t="s">
        <v>167</v>
      </c>
      <c r="C9" s="158"/>
      <c r="D9" s="158"/>
      <c r="E9" s="158"/>
      <c r="F9" s="158"/>
      <c r="G9" s="163" t="s">
        <v>143</v>
      </c>
      <c r="H9" s="159"/>
      <c r="I9" s="159"/>
      <c r="J9" s="159">
        <f t="shared" ref="J9:J12" si="0">+H9+I9</f>
        <v>0</v>
      </c>
      <c r="K9" s="160" t="s">
        <v>142</v>
      </c>
    </row>
    <row r="10" spans="1:12" x14ac:dyDescent="0.2">
      <c r="B10" s="157" t="s">
        <v>168</v>
      </c>
      <c r="C10" s="158"/>
      <c r="D10" s="158"/>
      <c r="E10" s="158"/>
      <c r="F10" s="158"/>
      <c r="G10" s="163" t="s">
        <v>144</v>
      </c>
      <c r="H10" s="159"/>
      <c r="I10" s="159"/>
      <c r="J10" s="159">
        <f t="shared" si="0"/>
        <v>0</v>
      </c>
      <c r="K10" s="160" t="s">
        <v>142</v>
      </c>
    </row>
    <row r="11" spans="1:12" x14ac:dyDescent="0.2">
      <c r="A11" t="s">
        <v>140</v>
      </c>
      <c r="B11" s="157" t="s">
        <v>169</v>
      </c>
      <c r="C11" s="158"/>
      <c r="D11" s="158"/>
      <c r="E11" s="158"/>
      <c r="F11" s="158"/>
      <c r="G11" s="163" t="s">
        <v>144</v>
      </c>
      <c r="H11" s="159"/>
      <c r="I11" s="159"/>
      <c r="J11" s="159">
        <f t="shared" si="0"/>
        <v>0</v>
      </c>
      <c r="K11" s="160" t="s">
        <v>142</v>
      </c>
    </row>
    <row r="12" spans="1:12" x14ac:dyDescent="0.2">
      <c r="A12" t="s">
        <v>140</v>
      </c>
      <c r="B12" s="157" t="s">
        <v>170</v>
      </c>
      <c r="C12" s="158"/>
      <c r="D12" s="158"/>
      <c r="E12" s="158"/>
      <c r="F12" s="158"/>
      <c r="G12" s="163" t="s">
        <v>143</v>
      </c>
      <c r="H12" s="159"/>
      <c r="I12" s="159"/>
      <c r="J12" s="159">
        <f t="shared" si="0"/>
        <v>0</v>
      </c>
      <c r="K12" s="160" t="s">
        <v>142</v>
      </c>
    </row>
    <row r="13" spans="1:12" x14ac:dyDescent="0.2">
      <c r="A13" t="s">
        <v>140</v>
      </c>
      <c r="B13" s="157" t="s">
        <v>171</v>
      </c>
      <c r="C13" s="158"/>
      <c r="D13" s="158"/>
      <c r="E13" s="158"/>
      <c r="F13" s="158"/>
      <c r="G13" s="163"/>
      <c r="H13" s="159"/>
      <c r="I13" s="159"/>
      <c r="J13" s="159"/>
      <c r="K13" s="160" t="s">
        <v>142</v>
      </c>
    </row>
    <row r="14" spans="1:12" hidden="1" x14ac:dyDescent="0.2">
      <c r="A14" t="s">
        <v>141</v>
      </c>
      <c r="B14" s="157" t="s">
        <v>172</v>
      </c>
      <c r="C14" s="158"/>
      <c r="D14" s="158"/>
      <c r="E14" s="158"/>
      <c r="F14" s="158"/>
      <c r="G14" s="163"/>
      <c r="H14" s="159"/>
      <c r="I14" s="159"/>
      <c r="J14" s="159"/>
      <c r="K14" s="160" t="s">
        <v>142</v>
      </c>
    </row>
    <row r="15" spans="1:12" hidden="1" x14ac:dyDescent="0.2">
      <c r="A15" t="s">
        <v>141</v>
      </c>
      <c r="B15" s="157" t="s">
        <v>173</v>
      </c>
      <c r="C15" s="158"/>
      <c r="D15" s="158"/>
      <c r="E15" s="158"/>
      <c r="F15" s="158"/>
      <c r="G15" s="163"/>
      <c r="H15" s="159"/>
      <c r="I15" s="159"/>
      <c r="J15" s="159"/>
      <c r="K15" s="160" t="s">
        <v>142</v>
      </c>
    </row>
    <row r="16" spans="1:12" hidden="1" x14ac:dyDescent="0.2">
      <c r="A16" t="s">
        <v>141</v>
      </c>
      <c r="B16" s="157" t="s">
        <v>174</v>
      </c>
      <c r="C16" s="158"/>
      <c r="D16" s="158"/>
      <c r="E16" s="158"/>
      <c r="F16" s="158"/>
      <c r="G16" s="163"/>
      <c r="H16" s="159"/>
      <c r="I16" s="159"/>
      <c r="J16" s="159"/>
      <c r="K16" s="160" t="s">
        <v>142</v>
      </c>
    </row>
    <row r="17" spans="2:12" ht="16" thickBot="1" x14ac:dyDescent="0.25">
      <c r="B17" s="151" t="s">
        <v>175</v>
      </c>
      <c r="C17" s="150"/>
      <c r="D17" s="150"/>
      <c r="E17" s="150"/>
      <c r="F17" s="150"/>
      <c r="G17" s="164"/>
      <c r="H17" s="161"/>
      <c r="I17" s="161"/>
      <c r="J17" s="161"/>
      <c r="K17" s="162" t="s">
        <v>142</v>
      </c>
    </row>
    <row r="23" spans="2:12" ht="16" x14ac:dyDescent="0.2">
      <c r="L23" s="156"/>
    </row>
    <row r="29" spans="2:12" hidden="1" x14ac:dyDescent="0.2"/>
    <row r="30" spans="2:12" hidden="1" x14ac:dyDescent="0.2"/>
    <row r="31" spans="2:12" hidden="1" x14ac:dyDescent="0.2"/>
    <row r="32" spans="2:12" hidden="1" x14ac:dyDescent="0.2"/>
    <row r="33" hidden="1" x14ac:dyDescent="0.2"/>
  </sheetData>
  <mergeCells count="4">
    <mergeCell ref="B5:K5"/>
    <mergeCell ref="B6:F6"/>
    <mergeCell ref="G6:K6"/>
    <mergeCell ref="D1:E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6888E1-2F3A-8D4B-947F-E745CF4E9F71}">
          <x14:formula1>
            <xm:f>Mantenedor!$G$2:$G$3</xm:f>
          </x14:formula1>
          <xm:sqref>F8:F12</xm:sqref>
        </x14:dataValidation>
        <x14:dataValidation type="list" allowBlank="1" showInputMessage="1" showErrorMessage="1" xr:uid="{1EC49A17-30B3-0E45-A849-653DAF12CD79}">
          <x14:formula1>
            <xm:f>Mantenedor!$B$2:$B$11</xm:f>
          </x14:formula1>
          <xm:sqref>I8:I12</xm:sqref>
        </x14:dataValidation>
        <x14:dataValidation type="list" allowBlank="1" showInputMessage="1" showErrorMessage="1" xr:uid="{8604F1EA-3695-FD4C-BAC9-0B4F9CC1F9F6}">
          <x14:formula1>
            <xm:f>Mantenedor!$D$2:$D$4</xm:f>
          </x14:formula1>
          <xm:sqref>G8:H16 I13:J16</xm:sqref>
        </x14:dataValidation>
        <x14:dataValidation type="list" allowBlank="1" showInputMessage="1" showErrorMessage="1" xr:uid="{81F792F5-931B-6040-A282-DB4D34BBECE3}">
          <x14:formula1>
            <xm:f>Mantenedor!$C$2:$C$3</xm:f>
          </x14:formula1>
          <xm:sqref>K8:K17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ED35-24B6-4724-99F4-EBC7C1271275}">
  <sheetPr codeName="Hoja5"/>
  <dimension ref="A1:T55"/>
  <sheetViews>
    <sheetView zoomScale="80" zoomScaleNormal="80" workbookViewId="0">
      <selection activeCell="H59" sqref="H59"/>
    </sheetView>
  </sheetViews>
  <sheetFormatPr baseColWidth="10" defaultRowHeight="15" customHeight="1" x14ac:dyDescent="0.2"/>
  <cols>
    <col min="1" max="1" width="7.1640625" customWidth="1"/>
    <col min="2" max="2" width="28.83203125" customWidth="1"/>
    <col min="3" max="3" width="35.83203125" customWidth="1"/>
    <col min="4" max="4" width="7.5" bestFit="1" customWidth="1"/>
    <col min="5" max="5" width="13.5" customWidth="1"/>
    <col min="6" max="6" width="9.83203125" customWidth="1"/>
    <col min="7" max="7" width="12" customWidth="1"/>
    <col min="8" max="8" width="15.1640625" customWidth="1"/>
    <col min="9" max="9" width="8.83203125" customWidth="1"/>
    <col min="10" max="10" width="12.5" customWidth="1"/>
    <col min="11" max="14" width="12.83203125" customWidth="1"/>
    <col min="20" max="20" width="41.83203125" customWidth="1"/>
  </cols>
  <sheetData>
    <row r="1" spans="1:11" ht="15" customHeight="1" x14ac:dyDescent="0.2">
      <c r="A1" s="27" t="s">
        <v>37</v>
      </c>
      <c r="C1" s="119">
        <v>45929</v>
      </c>
      <c r="F1" s="3" t="s">
        <v>110</v>
      </c>
      <c r="G1" s="3"/>
      <c r="H1" s="121"/>
      <c r="I1" t="s">
        <v>111</v>
      </c>
    </row>
    <row r="2" spans="1:11" ht="15" customHeight="1" x14ac:dyDescent="0.2">
      <c r="A2" s="27" t="s">
        <v>38</v>
      </c>
      <c r="F2" s="3" t="s">
        <v>110</v>
      </c>
      <c r="G2" s="3"/>
      <c r="H2" s="120"/>
      <c r="I2" t="s">
        <v>111</v>
      </c>
    </row>
    <row r="3" spans="1:11" ht="15" customHeight="1" x14ac:dyDescent="0.2">
      <c r="A3" s="27" t="s">
        <v>192</v>
      </c>
      <c r="B3" s="2"/>
      <c r="C3" s="2"/>
      <c r="D3" s="2"/>
      <c r="E3" s="2"/>
      <c r="F3" s="2"/>
      <c r="G3" s="2"/>
      <c r="H3" s="2"/>
      <c r="I3" s="2"/>
    </row>
    <row r="4" spans="1:11" ht="15" customHeight="1" thickBot="1" x14ac:dyDescent="0.25">
      <c r="B4" s="2"/>
      <c r="C4" s="2"/>
      <c r="D4" s="2"/>
      <c r="E4" s="2"/>
      <c r="F4" s="2"/>
      <c r="G4" s="2"/>
      <c r="H4" s="2"/>
      <c r="I4" s="2"/>
    </row>
    <row r="5" spans="1:11" ht="15" customHeight="1" thickBot="1" x14ac:dyDescent="0.25">
      <c r="A5" s="4" t="s">
        <v>10</v>
      </c>
      <c r="B5" s="415" t="s">
        <v>0</v>
      </c>
      <c r="C5" s="416"/>
      <c r="D5" s="416"/>
      <c r="E5" s="416"/>
      <c r="F5" s="416"/>
      <c r="G5" s="416"/>
      <c r="H5" s="416"/>
      <c r="I5" s="417"/>
    </row>
    <row r="6" spans="1:11" ht="15" customHeight="1" x14ac:dyDescent="0.2">
      <c r="A6" s="10"/>
      <c r="B6" s="29" t="s">
        <v>19</v>
      </c>
      <c r="C6" s="52">
        <v>45853</v>
      </c>
      <c r="D6" s="53"/>
      <c r="E6" s="53"/>
      <c r="F6" s="53"/>
      <c r="G6" s="53"/>
      <c r="H6" s="53"/>
      <c r="I6" s="54"/>
    </row>
    <row r="7" spans="1:11" ht="15" customHeight="1" x14ac:dyDescent="0.2">
      <c r="A7" s="15"/>
      <c r="B7" s="14" t="s">
        <v>3</v>
      </c>
      <c r="C7" s="39" t="s">
        <v>40</v>
      </c>
      <c r="D7" s="1"/>
      <c r="E7" s="116" t="s">
        <v>106</v>
      </c>
      <c r="F7" s="117" t="s">
        <v>102</v>
      </c>
      <c r="G7" s="117"/>
      <c r="H7" s="118"/>
      <c r="I7" s="141" t="s">
        <v>108</v>
      </c>
    </row>
    <row r="8" spans="1:11" ht="15" customHeight="1" x14ac:dyDescent="0.2">
      <c r="A8" s="15"/>
      <c r="B8" s="14" t="s">
        <v>1</v>
      </c>
      <c r="C8" s="40" t="s">
        <v>41</v>
      </c>
      <c r="D8" s="1"/>
      <c r="E8" s="116" t="s">
        <v>106</v>
      </c>
      <c r="F8" s="117" t="s">
        <v>107</v>
      </c>
      <c r="G8" s="117"/>
      <c r="H8" s="118"/>
      <c r="I8" s="141"/>
    </row>
    <row r="9" spans="1:11" ht="15" customHeight="1" x14ac:dyDescent="0.2">
      <c r="A9" s="15"/>
      <c r="B9" s="14" t="s">
        <v>2</v>
      </c>
      <c r="C9" s="39" t="s">
        <v>42</v>
      </c>
      <c r="D9" s="1"/>
      <c r="E9" s="116" t="s">
        <v>106</v>
      </c>
      <c r="F9" s="117" t="s">
        <v>107</v>
      </c>
      <c r="G9" s="117"/>
      <c r="H9" s="118"/>
      <c r="I9" s="141"/>
    </row>
    <row r="10" spans="1:11" ht="15" customHeight="1" x14ac:dyDescent="0.2">
      <c r="A10" s="15"/>
      <c r="B10" s="14" t="s">
        <v>9</v>
      </c>
      <c r="C10" s="33">
        <f>+precio!B6</f>
        <v>0</v>
      </c>
      <c r="D10" s="1"/>
      <c r="E10" s="1"/>
      <c r="F10" s="1"/>
      <c r="G10" s="1"/>
      <c r="H10" s="1"/>
      <c r="I10" s="31">
        <f>COUNT(I7:I9)</f>
        <v>0</v>
      </c>
    </row>
    <row r="11" spans="1:11" ht="15" customHeight="1" x14ac:dyDescent="0.2">
      <c r="A11" s="15"/>
      <c r="B11" s="36" t="s">
        <v>4</v>
      </c>
      <c r="C11" s="41">
        <v>46006</v>
      </c>
      <c r="D11" s="1"/>
      <c r="E11" s="1"/>
      <c r="F11" s="1"/>
      <c r="G11" s="1"/>
      <c r="H11" s="1"/>
      <c r="I11" s="31"/>
    </row>
    <row r="12" spans="1:11" ht="15" customHeight="1" x14ac:dyDescent="0.2">
      <c r="A12" s="15"/>
      <c r="B12" s="14" t="s">
        <v>5</v>
      </c>
      <c r="C12" s="38">
        <f>+C11+C13</f>
        <v>46012</v>
      </c>
      <c r="D12" s="1"/>
      <c r="E12" s="1"/>
      <c r="F12" s="1"/>
      <c r="G12" s="1"/>
      <c r="H12" s="1"/>
      <c r="I12" s="31"/>
    </row>
    <row r="13" spans="1:11" ht="15" customHeight="1" x14ac:dyDescent="0.2">
      <c r="A13" s="15"/>
      <c r="B13" s="14" t="s">
        <v>47</v>
      </c>
      <c r="C13" s="43">
        <v>6</v>
      </c>
      <c r="D13" s="1"/>
      <c r="E13" s="1"/>
      <c r="F13" s="1"/>
      <c r="G13" s="1"/>
      <c r="H13" s="1"/>
      <c r="I13" s="31"/>
    </row>
    <row r="14" spans="1:11" ht="15" customHeight="1" x14ac:dyDescent="0.2">
      <c r="A14" s="32"/>
      <c r="B14" s="15"/>
      <c r="D14" s="407" t="s">
        <v>109</v>
      </c>
      <c r="E14" s="407"/>
      <c r="F14" s="407"/>
      <c r="G14" s="407"/>
      <c r="H14" s="407"/>
      <c r="I14" s="408"/>
    </row>
    <row r="15" spans="1:11" ht="15" customHeight="1" x14ac:dyDescent="0.2">
      <c r="A15" s="15"/>
      <c r="B15" s="16" t="s">
        <v>18</v>
      </c>
      <c r="C15" s="12" t="s">
        <v>14</v>
      </c>
      <c r="D15" s="6" t="s">
        <v>15</v>
      </c>
      <c r="E15" s="6" t="s">
        <v>99</v>
      </c>
      <c r="F15" s="6" t="s">
        <v>100</v>
      </c>
      <c r="G15" s="6"/>
      <c r="H15" s="6" t="s">
        <v>101</v>
      </c>
      <c r="I15" s="17" t="s">
        <v>39</v>
      </c>
    </row>
    <row r="16" spans="1:11" ht="15" customHeight="1" x14ac:dyDescent="0.2">
      <c r="A16" s="11">
        <v>0</v>
      </c>
      <c r="B16" s="56" t="s">
        <v>119</v>
      </c>
      <c r="C16" s="39"/>
      <c r="D16" s="34">
        <f>+C13</f>
        <v>6</v>
      </c>
      <c r="E16" s="34">
        <f>+precio!B6</f>
        <v>0</v>
      </c>
      <c r="F16" s="44">
        <v>0.2</v>
      </c>
      <c r="G16" s="44"/>
      <c r="H16" s="34">
        <f>+E16*(1-F16)</f>
        <v>0</v>
      </c>
      <c r="I16" s="45" t="s">
        <v>46</v>
      </c>
      <c r="K16">
        <f>17*200</f>
        <v>3400</v>
      </c>
    </row>
    <row r="17" spans="1:20" ht="15" customHeight="1" x14ac:dyDescent="0.2">
      <c r="A17" s="11">
        <v>0</v>
      </c>
      <c r="B17" s="111" t="s">
        <v>43</v>
      </c>
      <c r="C17" s="112"/>
      <c r="D17" s="113">
        <f>+D16</f>
        <v>6</v>
      </c>
      <c r="E17" s="113">
        <f>+precio!B6</f>
        <v>0</v>
      </c>
      <c r="F17" s="114">
        <v>1</v>
      </c>
      <c r="G17" s="114"/>
      <c r="H17" s="113">
        <v>0</v>
      </c>
      <c r="I17" s="115" t="str">
        <f>+I16</f>
        <v>FSN</v>
      </c>
    </row>
    <row r="18" spans="1:20" ht="15" customHeight="1" x14ac:dyDescent="0.2">
      <c r="A18" s="11"/>
      <c r="B18" s="56" t="s">
        <v>44</v>
      </c>
      <c r="C18" s="39"/>
      <c r="D18" s="34">
        <f>+D17</f>
        <v>6</v>
      </c>
      <c r="E18" s="34">
        <f>+precio!B6</f>
        <v>0</v>
      </c>
      <c r="F18" s="44">
        <v>0.2</v>
      </c>
      <c r="G18" s="44"/>
      <c r="H18" s="34">
        <f>+E18*(1-F18)</f>
        <v>0</v>
      </c>
      <c r="I18" s="45" t="str">
        <f t="shared" ref="I18:I20" si="0">+I17</f>
        <v>FSN</v>
      </c>
    </row>
    <row r="19" spans="1:20" ht="15" customHeight="1" x14ac:dyDescent="0.2">
      <c r="A19" s="11"/>
      <c r="B19" s="105" t="s">
        <v>102</v>
      </c>
      <c r="C19" s="106"/>
      <c r="D19" s="107">
        <f t="shared" ref="D19:D20" si="1">+D18</f>
        <v>6</v>
      </c>
      <c r="E19" s="107">
        <f>+precio!B7</f>
        <v>0</v>
      </c>
      <c r="F19" s="108">
        <v>0.2</v>
      </c>
      <c r="G19" s="108"/>
      <c r="H19" s="107"/>
      <c r="I19" s="109" t="str">
        <f t="shared" si="0"/>
        <v>FSN</v>
      </c>
    </row>
    <row r="20" spans="1:20" ht="15" customHeight="1" x14ac:dyDescent="0.2">
      <c r="A20" s="11"/>
      <c r="B20" s="56" t="s">
        <v>103</v>
      </c>
      <c r="C20" s="39"/>
      <c r="D20" s="34">
        <f t="shared" si="1"/>
        <v>6</v>
      </c>
      <c r="E20" s="34">
        <f>+precio!B8</f>
        <v>0</v>
      </c>
      <c r="F20" s="44">
        <v>0.2</v>
      </c>
      <c r="G20" s="44"/>
      <c r="H20" s="34"/>
      <c r="I20" s="45" t="str">
        <f t="shared" si="0"/>
        <v>FSN</v>
      </c>
    </row>
    <row r="21" spans="1:20" ht="15" customHeight="1" x14ac:dyDescent="0.2">
      <c r="A21" s="11"/>
      <c r="B21" s="56" t="s">
        <v>45</v>
      </c>
      <c r="C21" s="39"/>
      <c r="D21" s="34">
        <f>+D18</f>
        <v>6</v>
      </c>
      <c r="E21" s="34">
        <f>+precio!B6</f>
        <v>0</v>
      </c>
      <c r="F21" s="44">
        <f t="shared" ref="F21" si="2">+F18</f>
        <v>0.2</v>
      </c>
      <c r="G21" s="44"/>
      <c r="H21" s="34">
        <f>+E21*(1-F21)</f>
        <v>0</v>
      </c>
      <c r="I21" s="45" t="str">
        <f>+I18</f>
        <v>FSN</v>
      </c>
    </row>
    <row r="22" spans="1:20" ht="15" customHeight="1" thickBot="1" x14ac:dyDescent="0.25">
      <c r="A22" s="15"/>
      <c r="B22" s="177" t="s">
        <v>105</v>
      </c>
      <c r="C22" s="8"/>
      <c r="D22" s="35">
        <f>SUM(D16:D21)</f>
        <v>36</v>
      </c>
      <c r="E22" s="55">
        <f>+(D22-F22)/D22</f>
        <v>1</v>
      </c>
      <c r="F22" s="35">
        <f>SUM(H16:H21)</f>
        <v>0</v>
      </c>
      <c r="G22" s="137"/>
      <c r="H22" s="9"/>
      <c r="I22" s="9"/>
    </row>
    <row r="24" spans="1:20" ht="15" hidden="1" customHeight="1" thickBot="1" x14ac:dyDescent="0.25">
      <c r="B24" s="2"/>
      <c r="C24" s="2"/>
      <c r="D24" s="2"/>
      <c r="E24" s="2"/>
      <c r="F24" s="2"/>
      <c r="G24" s="2"/>
      <c r="H24" s="2"/>
      <c r="I24" s="2"/>
      <c r="J24" s="13" t="s">
        <v>6</v>
      </c>
      <c r="K24" s="411" t="s">
        <v>34</v>
      </c>
      <c r="L24" s="413"/>
      <c r="M24" s="411" t="s">
        <v>35</v>
      </c>
      <c r="N24" s="412"/>
      <c r="O24" s="83" t="s">
        <v>16</v>
      </c>
      <c r="P24" s="85" t="s">
        <v>7</v>
      </c>
      <c r="Q24" s="85" t="s">
        <v>33</v>
      </c>
      <c r="R24" s="85" t="s">
        <v>8</v>
      </c>
      <c r="S24" s="84" t="s">
        <v>8</v>
      </c>
      <c r="T24" s="131" t="s">
        <v>20</v>
      </c>
    </row>
    <row r="25" spans="1:20" ht="15" hidden="1" customHeight="1" thickBot="1" x14ac:dyDescent="0.25">
      <c r="A25" s="4" t="s">
        <v>10</v>
      </c>
      <c r="B25" s="415" t="s">
        <v>0</v>
      </c>
      <c r="C25" s="416"/>
      <c r="D25" s="416"/>
      <c r="E25" s="416"/>
      <c r="F25" s="416"/>
      <c r="G25" s="416"/>
      <c r="H25" s="416"/>
      <c r="I25" s="417"/>
      <c r="J25" s="75" t="s">
        <v>13</v>
      </c>
      <c r="K25" s="7" t="s">
        <v>28</v>
      </c>
      <c r="L25" s="9" t="s">
        <v>16</v>
      </c>
      <c r="M25" s="7" t="s">
        <v>28</v>
      </c>
      <c r="N25" s="28" t="s">
        <v>16</v>
      </c>
      <c r="O25" s="7" t="s">
        <v>12</v>
      </c>
      <c r="P25" s="8" t="s">
        <v>17</v>
      </c>
      <c r="Q25" s="8" t="s">
        <v>12</v>
      </c>
      <c r="R25" s="8" t="s">
        <v>11</v>
      </c>
      <c r="S25" s="9" t="s">
        <v>49</v>
      </c>
      <c r="T25" s="132"/>
    </row>
    <row r="26" spans="1:20" ht="15" hidden="1" customHeight="1" thickBot="1" x14ac:dyDescent="0.25">
      <c r="A26" s="10"/>
      <c r="B26" s="29" t="s">
        <v>19</v>
      </c>
      <c r="C26" s="52"/>
      <c r="D26" s="53"/>
      <c r="E26" s="53"/>
      <c r="F26" s="126" t="s">
        <v>120</v>
      </c>
      <c r="G26" s="147"/>
      <c r="H26" s="409" t="s">
        <v>133</v>
      </c>
      <c r="I26" s="410"/>
      <c r="J26" s="146"/>
      <c r="K26" s="25" t="s">
        <v>125</v>
      </c>
      <c r="L26" s="130"/>
      <c r="M26" s="25" t="s">
        <v>29</v>
      </c>
      <c r="N26" s="78">
        <f>+C31-45</f>
        <v>45950</v>
      </c>
      <c r="O26" s="57"/>
      <c r="P26" s="59"/>
      <c r="Q26" s="46"/>
      <c r="R26" s="65" t="e">
        <f>+(F41/2)-P26</f>
        <v>#DIV/0!</v>
      </c>
      <c r="S26" s="58" t="e">
        <f>+F41-P26</f>
        <v>#DIV/0!</v>
      </c>
      <c r="T26" s="22"/>
    </row>
    <row r="27" spans="1:20" ht="15" hidden="1" customHeight="1" thickBot="1" x14ac:dyDescent="0.25">
      <c r="A27" s="15"/>
      <c r="B27" s="14" t="s">
        <v>3</v>
      </c>
      <c r="C27" s="122" t="s">
        <v>113</v>
      </c>
      <c r="D27" s="1"/>
      <c r="E27" s="116" t="s">
        <v>106</v>
      </c>
      <c r="F27" s="116"/>
      <c r="G27" s="117"/>
      <c r="H27" s="118"/>
      <c r="I27" s="141"/>
      <c r="K27" s="18" t="s">
        <v>126</v>
      </c>
      <c r="L27" s="77"/>
      <c r="M27" s="18" t="s">
        <v>30</v>
      </c>
      <c r="N27" s="79">
        <f>+C31-30</f>
        <v>45965</v>
      </c>
      <c r="O27" s="47"/>
      <c r="P27" s="60"/>
      <c r="Q27" s="48"/>
      <c r="R27" s="66"/>
      <c r="S27" s="67"/>
      <c r="T27" s="23"/>
    </row>
    <row r="28" spans="1:20" ht="15" hidden="1" customHeight="1" thickBot="1" x14ac:dyDescent="0.25">
      <c r="A28" s="15"/>
      <c r="B28" s="14" t="s">
        <v>1</v>
      </c>
      <c r="C28" s="123" t="s">
        <v>114</v>
      </c>
      <c r="D28" s="1"/>
      <c r="E28" s="116" t="s">
        <v>106</v>
      </c>
      <c r="F28" s="116"/>
      <c r="G28" s="117"/>
      <c r="H28" s="118"/>
      <c r="I28" s="141"/>
      <c r="K28" s="18" t="s">
        <v>127</v>
      </c>
      <c r="L28" s="77"/>
      <c r="M28" s="18" t="s">
        <v>31</v>
      </c>
      <c r="N28" s="79">
        <f>+C31-15</f>
        <v>45980</v>
      </c>
      <c r="O28" s="47"/>
      <c r="P28" s="60"/>
      <c r="Q28" s="48"/>
      <c r="R28" s="66"/>
      <c r="S28" s="67"/>
      <c r="T28" s="23"/>
    </row>
    <row r="29" spans="1:20" ht="15" hidden="1" customHeight="1" x14ac:dyDescent="0.2">
      <c r="A29" s="15"/>
      <c r="B29" s="14" t="s">
        <v>2</v>
      </c>
      <c r="C29" s="39"/>
      <c r="D29" s="1"/>
      <c r="E29" s="116" t="s">
        <v>106</v>
      </c>
      <c r="F29" s="116"/>
      <c r="G29" s="117"/>
      <c r="H29" s="118"/>
      <c r="I29" s="141"/>
      <c r="K29" s="18" t="s">
        <v>128</v>
      </c>
      <c r="L29" s="77"/>
      <c r="M29" s="18" t="s">
        <v>32</v>
      </c>
      <c r="N29" s="79">
        <f>+C31-7</f>
        <v>45988</v>
      </c>
      <c r="O29" s="47"/>
      <c r="P29" s="60"/>
      <c r="Q29" s="48"/>
      <c r="R29" s="66"/>
      <c r="S29" s="67"/>
      <c r="T29" s="23"/>
    </row>
    <row r="30" spans="1:20" ht="15" hidden="1" customHeight="1" thickBot="1" x14ac:dyDescent="0.25">
      <c r="A30" s="15"/>
      <c r="B30" s="14" t="s">
        <v>9</v>
      </c>
      <c r="C30" s="33"/>
      <c r="D30" s="1"/>
      <c r="H30" s="129" t="s">
        <v>122</v>
      </c>
      <c r="I30" s="142"/>
      <c r="K30" s="18" t="s">
        <v>129</v>
      </c>
      <c r="L30" s="77"/>
      <c r="M30" s="7" t="s">
        <v>27</v>
      </c>
      <c r="N30" s="20"/>
      <c r="O30" s="49"/>
      <c r="P30" s="61"/>
      <c r="Q30" s="50"/>
      <c r="R30" s="68"/>
      <c r="S30" s="69"/>
      <c r="T30" s="37"/>
    </row>
    <row r="31" spans="1:20" ht="15" hidden="1" customHeight="1" thickBot="1" x14ac:dyDescent="0.25">
      <c r="A31" s="15"/>
      <c r="B31" s="36" t="s">
        <v>4</v>
      </c>
      <c r="C31" s="125">
        <v>45995</v>
      </c>
      <c r="D31" s="1"/>
      <c r="E31" s="127" t="s">
        <v>121</v>
      </c>
      <c r="F31" s="127"/>
      <c r="G31" s="127"/>
      <c r="H31" s="127"/>
      <c r="I31" s="128"/>
      <c r="K31" s="18" t="s">
        <v>130</v>
      </c>
      <c r="L31" s="77"/>
      <c r="O31" s="51"/>
      <c r="P31" s="62"/>
      <c r="Q31" s="42"/>
      <c r="R31" s="70"/>
      <c r="S31" s="71"/>
      <c r="T31" s="24"/>
    </row>
    <row r="32" spans="1:20" ht="15" hidden="1" customHeight="1" thickBot="1" x14ac:dyDescent="0.25">
      <c r="A32" s="15"/>
      <c r="B32" s="14" t="s">
        <v>5</v>
      </c>
      <c r="C32" s="135">
        <f>+C31+C33</f>
        <v>45999</v>
      </c>
      <c r="D32" s="1"/>
      <c r="E32" s="1"/>
      <c r="F32" s="1"/>
      <c r="G32" s="1"/>
      <c r="H32" s="1"/>
      <c r="I32" s="31"/>
      <c r="K32" s="7" t="s">
        <v>27</v>
      </c>
      <c r="L32" s="19"/>
    </row>
    <row r="33" spans="1:12" ht="15" hidden="1" customHeight="1" thickBot="1" x14ac:dyDescent="0.25">
      <c r="A33" s="15"/>
      <c r="B33" s="14" t="s">
        <v>47</v>
      </c>
      <c r="C33" s="124">
        <v>4</v>
      </c>
      <c r="D33" s="1"/>
      <c r="E33" s="1"/>
      <c r="F33" s="1"/>
      <c r="G33" s="1"/>
      <c r="H33" s="1"/>
      <c r="I33" s="31"/>
    </row>
    <row r="34" spans="1:12" ht="15" hidden="1" customHeight="1" x14ac:dyDescent="0.2">
      <c r="A34" s="32"/>
      <c r="B34" s="15"/>
      <c r="D34" s="407" t="s">
        <v>124</v>
      </c>
      <c r="E34" s="407"/>
      <c r="F34" s="407"/>
      <c r="G34" s="407"/>
      <c r="H34" s="407"/>
      <c r="I34" s="408"/>
    </row>
    <row r="35" spans="1:12" ht="15" hidden="1" customHeight="1" thickBot="1" x14ac:dyDescent="0.25">
      <c r="A35" s="15"/>
      <c r="B35" s="133" t="s">
        <v>18</v>
      </c>
      <c r="C35" s="134" t="s">
        <v>14</v>
      </c>
      <c r="D35" s="6" t="s">
        <v>15</v>
      </c>
      <c r="E35" s="6" t="s">
        <v>132</v>
      </c>
      <c r="F35" s="6" t="s">
        <v>123</v>
      </c>
      <c r="G35" s="6" t="s">
        <v>131</v>
      </c>
      <c r="H35" s="6" t="s">
        <v>101</v>
      </c>
      <c r="I35" s="17" t="s">
        <v>39</v>
      </c>
    </row>
    <row r="36" spans="1:12" ht="15" hidden="1" customHeight="1" thickBot="1" x14ac:dyDescent="0.25">
      <c r="A36" s="139">
        <v>1</v>
      </c>
      <c r="B36" s="143" t="s">
        <v>113</v>
      </c>
      <c r="C36" s="48"/>
      <c r="D36" s="34" t="e">
        <f>+#REF!</f>
        <v>#REF!</v>
      </c>
      <c r="E36" s="34">
        <f>+C30</f>
        <v>0</v>
      </c>
      <c r="F36" s="136">
        <v>0</v>
      </c>
      <c r="G36" s="136">
        <v>0</v>
      </c>
      <c r="H36" s="34"/>
      <c r="I36" s="17"/>
    </row>
    <row r="37" spans="1:12" ht="15" hidden="1" customHeight="1" thickBot="1" x14ac:dyDescent="0.25">
      <c r="A37" s="139">
        <f>+A36+1</f>
        <v>2</v>
      </c>
      <c r="B37" s="143" t="s">
        <v>115</v>
      </c>
      <c r="C37" s="48"/>
      <c r="D37" s="34" t="e">
        <f>+#REF!</f>
        <v>#REF!</v>
      </c>
      <c r="E37" s="34"/>
      <c r="F37" s="136">
        <f>+F36</f>
        <v>0</v>
      </c>
      <c r="G37" s="136"/>
      <c r="H37" s="34"/>
      <c r="I37" s="17"/>
    </row>
    <row r="38" spans="1:12" ht="15" hidden="1" customHeight="1" thickBot="1" x14ac:dyDescent="0.25">
      <c r="A38" s="139">
        <f t="shared" ref="A38:A40" si="3">+A37+1</f>
        <v>3</v>
      </c>
      <c r="B38" s="143" t="s">
        <v>116</v>
      </c>
      <c r="C38" s="48"/>
      <c r="D38" s="34" t="e">
        <f>+#REF!</f>
        <v>#REF!</v>
      </c>
      <c r="E38" s="34"/>
      <c r="F38" s="136">
        <f t="shared" ref="F38:F40" si="4">+F37</f>
        <v>0</v>
      </c>
      <c r="G38" s="136"/>
      <c r="H38" s="34"/>
      <c r="I38" s="17"/>
    </row>
    <row r="39" spans="1:12" ht="15" hidden="1" customHeight="1" thickBot="1" x14ac:dyDescent="0.25">
      <c r="A39" s="139">
        <f t="shared" si="3"/>
        <v>4</v>
      </c>
      <c r="B39" s="143" t="s">
        <v>117</v>
      </c>
      <c r="C39" s="48"/>
      <c r="D39" s="34" t="e">
        <f>+#REF!</f>
        <v>#REF!</v>
      </c>
      <c r="E39" s="34"/>
      <c r="F39" s="136">
        <f t="shared" si="4"/>
        <v>0</v>
      </c>
      <c r="G39" s="136"/>
      <c r="H39" s="34"/>
      <c r="I39" s="17"/>
    </row>
    <row r="40" spans="1:12" ht="15" hidden="1" customHeight="1" thickBot="1" x14ac:dyDescent="0.25">
      <c r="A40" s="140">
        <f t="shared" si="3"/>
        <v>5</v>
      </c>
      <c r="B40" s="144" t="s">
        <v>118</v>
      </c>
      <c r="C40" s="48"/>
      <c r="D40" s="34" t="e">
        <f>+#REF!</f>
        <v>#REF!</v>
      </c>
      <c r="E40" s="34"/>
      <c r="F40" s="136">
        <f t="shared" si="4"/>
        <v>0</v>
      </c>
      <c r="G40" s="148"/>
      <c r="H40" s="138"/>
      <c r="I40" s="21"/>
    </row>
    <row r="41" spans="1:12" ht="15" hidden="1" customHeight="1" thickBot="1" x14ac:dyDescent="0.25">
      <c r="A41" s="15"/>
      <c r="B41" s="145" t="s">
        <v>105</v>
      </c>
      <c r="C41" s="26"/>
      <c r="D41" s="35" t="e">
        <f>SUM(D36:D40)</f>
        <v>#REF!</v>
      </c>
      <c r="E41" s="55"/>
      <c r="F41" s="137" t="e">
        <f>+(E41-H41)/E41</f>
        <v>#DIV/0!</v>
      </c>
      <c r="G41" s="137"/>
      <c r="H41" s="8"/>
      <c r="I41" s="9"/>
    </row>
    <row r="44" spans="1:12" ht="15" customHeight="1" x14ac:dyDescent="0.2">
      <c r="A44" s="27" t="s">
        <v>191</v>
      </c>
    </row>
    <row r="45" spans="1:12" ht="15" customHeight="1" thickBot="1" x14ac:dyDescent="0.25"/>
    <row r="46" spans="1:12" ht="15" customHeight="1" thickBot="1" x14ac:dyDescent="0.25">
      <c r="G46" s="411" t="s">
        <v>36</v>
      </c>
      <c r="H46" s="414"/>
      <c r="I46" s="414"/>
      <c r="J46" s="414"/>
      <c r="K46" s="413"/>
    </row>
    <row r="47" spans="1:12" ht="15" customHeight="1" x14ac:dyDescent="0.2">
      <c r="B47" s="13" t="s">
        <v>6</v>
      </c>
      <c r="C47" s="411" t="s">
        <v>34</v>
      </c>
      <c r="D47" s="413"/>
      <c r="E47" s="411" t="s">
        <v>35</v>
      </c>
      <c r="F47" s="412"/>
      <c r="G47" s="30" t="s">
        <v>16</v>
      </c>
      <c r="H47" s="3" t="s">
        <v>7</v>
      </c>
      <c r="I47" s="3" t="s">
        <v>33</v>
      </c>
      <c r="J47" s="3" t="s">
        <v>8</v>
      </c>
      <c r="K47" s="72" t="s">
        <v>8</v>
      </c>
      <c r="L47" s="63" t="s">
        <v>20</v>
      </c>
    </row>
    <row r="48" spans="1:12" ht="15" customHeight="1" thickBot="1" x14ac:dyDescent="0.25">
      <c r="B48" s="75" t="s">
        <v>13</v>
      </c>
      <c r="C48" s="7" t="s">
        <v>28</v>
      </c>
      <c r="D48" s="9" t="s">
        <v>16</v>
      </c>
      <c r="E48" s="7" t="s">
        <v>28</v>
      </c>
      <c r="F48" s="28" t="s">
        <v>16</v>
      </c>
      <c r="G48" s="73" t="s">
        <v>12</v>
      </c>
      <c r="H48" s="74" t="s">
        <v>17</v>
      </c>
      <c r="I48" s="74" t="s">
        <v>12</v>
      </c>
      <c r="J48" s="74" t="s">
        <v>11</v>
      </c>
      <c r="K48" s="75" t="s">
        <v>49</v>
      </c>
      <c r="L48" s="64"/>
    </row>
    <row r="49" spans="2:12" ht="15" customHeight="1" thickBot="1" x14ac:dyDescent="0.25">
      <c r="B49" s="76">
        <v>45855</v>
      </c>
      <c r="C49" s="25" t="s">
        <v>21</v>
      </c>
      <c r="D49" s="81">
        <f>+C6+30</f>
        <v>45883</v>
      </c>
      <c r="E49" s="25" t="s">
        <v>29</v>
      </c>
      <c r="F49" s="78">
        <f>+C11-45</f>
        <v>45961</v>
      </c>
      <c r="G49" s="57">
        <v>45912</v>
      </c>
      <c r="H49" s="59">
        <v>3500000</v>
      </c>
      <c r="I49" s="46" t="s">
        <v>48</v>
      </c>
      <c r="J49" s="65">
        <f>+(F22/2)-H49</f>
        <v>-3500000</v>
      </c>
      <c r="K49" s="58">
        <f>+F22-H49</f>
        <v>-3500000</v>
      </c>
      <c r="L49" s="22" t="s">
        <v>50</v>
      </c>
    </row>
    <row r="50" spans="2:12" ht="15" customHeight="1" x14ac:dyDescent="0.2">
      <c r="C50" s="18" t="s">
        <v>22</v>
      </c>
      <c r="D50" s="82">
        <f>+C6+45</f>
        <v>45898</v>
      </c>
      <c r="E50" s="18" t="s">
        <v>30</v>
      </c>
      <c r="F50" s="79">
        <f>+C11-30</f>
        <v>45976</v>
      </c>
      <c r="G50" s="47"/>
      <c r="H50" s="60"/>
      <c r="I50" s="48"/>
      <c r="J50" s="66"/>
      <c r="K50" s="67"/>
      <c r="L50" s="110" t="s">
        <v>104</v>
      </c>
    </row>
    <row r="51" spans="2:12" ht="15" customHeight="1" x14ac:dyDescent="0.2">
      <c r="C51" s="18" t="s">
        <v>23</v>
      </c>
      <c r="D51" s="77">
        <f>+C6+60</f>
        <v>45913</v>
      </c>
      <c r="E51" s="18" t="s">
        <v>31</v>
      </c>
      <c r="F51" s="79">
        <f>+C11-15</f>
        <v>45991</v>
      </c>
      <c r="G51" s="47"/>
      <c r="H51" s="60"/>
      <c r="I51" s="48"/>
      <c r="J51" s="66"/>
      <c r="K51" s="67"/>
      <c r="L51" s="23"/>
    </row>
    <row r="52" spans="2:12" ht="15" customHeight="1" x14ac:dyDescent="0.2">
      <c r="C52" s="18" t="s">
        <v>24</v>
      </c>
      <c r="D52" s="77">
        <f>+C6+75</f>
        <v>45928</v>
      </c>
      <c r="E52" s="18" t="s">
        <v>32</v>
      </c>
      <c r="F52" s="79">
        <f>+C11-7</f>
        <v>45999</v>
      </c>
      <c r="G52" s="47"/>
      <c r="H52" s="60"/>
      <c r="I52" s="48"/>
      <c r="J52" s="66"/>
      <c r="K52" s="67"/>
      <c r="L52" s="23"/>
    </row>
    <row r="53" spans="2:12" ht="15" customHeight="1" thickBot="1" x14ac:dyDescent="0.25">
      <c r="C53" s="18" t="s">
        <v>25</v>
      </c>
      <c r="D53" s="77">
        <f>+C6+90</f>
        <v>45943</v>
      </c>
      <c r="E53" s="7" t="s">
        <v>27</v>
      </c>
      <c r="F53" s="20"/>
      <c r="G53" s="49"/>
      <c r="H53" s="61"/>
      <c r="I53" s="50"/>
      <c r="J53" s="68"/>
      <c r="K53" s="69"/>
      <c r="L53" s="37"/>
    </row>
    <row r="54" spans="2:12" ht="15" customHeight="1" thickBot="1" x14ac:dyDescent="0.25">
      <c r="C54" s="18" t="s">
        <v>26</v>
      </c>
      <c r="D54" s="77">
        <f>+C6+105</f>
        <v>45958</v>
      </c>
      <c r="G54" s="51"/>
      <c r="H54" s="62"/>
      <c r="I54" s="42"/>
      <c r="J54" s="70"/>
      <c r="K54" s="71"/>
      <c r="L54" s="24"/>
    </row>
    <row r="55" spans="2:12" ht="15" customHeight="1" thickBot="1" x14ac:dyDescent="0.25">
      <c r="C55" s="7" t="s">
        <v>27</v>
      </c>
      <c r="D55" s="19"/>
    </row>
  </sheetData>
  <mergeCells count="10">
    <mergeCell ref="B5:I5"/>
    <mergeCell ref="D14:I14"/>
    <mergeCell ref="K24:L24"/>
    <mergeCell ref="M24:N24"/>
    <mergeCell ref="B25:I25"/>
    <mergeCell ref="D34:I34"/>
    <mergeCell ref="H26:I26"/>
    <mergeCell ref="E47:F47"/>
    <mergeCell ref="C47:D47"/>
    <mergeCell ref="G46:K46"/>
  </mergeCells>
  <phoneticPr fontId="3" type="noConversion"/>
  <hyperlinks>
    <hyperlink ref="C8" r:id="rId1" xr:uid="{BAD73A44-485D-4653-81D1-5BCD03D25E1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23E4-6C45-491E-A519-E2AD8A0A56EC}">
  <sheetPr codeName="Hoja6"/>
  <dimension ref="A1:K59"/>
  <sheetViews>
    <sheetView topLeftCell="A4" zoomScale="80" zoomScaleNormal="80" workbookViewId="0">
      <selection activeCell="B4" sqref="B4"/>
    </sheetView>
  </sheetViews>
  <sheetFormatPr baseColWidth="10" defaultRowHeight="15" x14ac:dyDescent="0.2"/>
  <cols>
    <col min="1" max="1" width="17" bestFit="1" customWidth="1"/>
    <col min="4" max="4" width="26.5" bestFit="1" customWidth="1"/>
    <col min="5" max="5" width="17.5" bestFit="1" customWidth="1"/>
    <col min="11" max="11" width="17.83203125" bestFit="1" customWidth="1"/>
  </cols>
  <sheetData>
    <row r="1" spans="1:11" ht="16" thickBot="1" x14ac:dyDescent="0.25"/>
    <row r="2" spans="1:11" ht="27" x14ac:dyDescent="0.35">
      <c r="A2" s="418" t="s">
        <v>309</v>
      </c>
      <c r="B2" s="419"/>
      <c r="C2" s="419"/>
      <c r="D2" s="419"/>
      <c r="E2" s="420"/>
      <c r="G2" s="418" t="s">
        <v>310</v>
      </c>
      <c r="H2" s="419"/>
      <c r="I2" s="419"/>
      <c r="J2" s="419"/>
      <c r="K2" s="420"/>
    </row>
    <row r="3" spans="1:11" ht="16" thickBot="1" x14ac:dyDescent="0.25">
      <c r="A3" s="260" t="s">
        <v>236</v>
      </c>
      <c r="B3" s="261" t="s">
        <v>249</v>
      </c>
      <c r="C3" s="261" t="s">
        <v>223</v>
      </c>
      <c r="D3" s="261" t="s">
        <v>250</v>
      </c>
      <c r="E3" s="259" t="s">
        <v>251</v>
      </c>
      <c r="G3" s="252" t="s">
        <v>236</v>
      </c>
      <c r="H3" s="257" t="s">
        <v>249</v>
      </c>
      <c r="I3" s="257" t="s">
        <v>223</v>
      </c>
      <c r="J3" s="257" t="s">
        <v>250</v>
      </c>
      <c r="K3" s="259" t="s">
        <v>252</v>
      </c>
    </row>
    <row r="4" spans="1:11" x14ac:dyDescent="0.2">
      <c r="A4" s="249" t="s">
        <v>83</v>
      </c>
      <c r="B4" s="3">
        <v>1</v>
      </c>
      <c r="C4" s="250" t="s">
        <v>69</v>
      </c>
      <c r="D4" s="250" t="str">
        <f>+CONCATENATE(A4," ",C4)</f>
        <v>Base single 1 noche</v>
      </c>
      <c r="E4" s="251">
        <v>770000</v>
      </c>
      <c r="G4" s="249" t="s">
        <v>83</v>
      </c>
      <c r="H4">
        <v>1</v>
      </c>
      <c r="I4" t="s">
        <v>69</v>
      </c>
      <c r="J4" t="s">
        <v>253</v>
      </c>
      <c r="K4" s="256">
        <v>1889.9999999999998</v>
      </c>
    </row>
    <row r="5" spans="1:11" x14ac:dyDescent="0.2">
      <c r="A5" s="249" t="s">
        <v>84</v>
      </c>
      <c r="B5" s="3">
        <v>1</v>
      </c>
      <c r="C5" s="250" t="s">
        <v>69</v>
      </c>
      <c r="D5" s="250" t="str">
        <f t="shared" ref="D5:D59" si="0">+CONCATENATE(A5," ",C5)</f>
        <v>Base doble 1 noche</v>
      </c>
      <c r="E5" s="251">
        <v>550000</v>
      </c>
      <c r="G5" s="249" t="s">
        <v>84</v>
      </c>
      <c r="H5">
        <v>1</v>
      </c>
      <c r="I5" t="s">
        <v>69</v>
      </c>
      <c r="J5" t="s">
        <v>254</v>
      </c>
      <c r="K5" s="256">
        <v>1350</v>
      </c>
    </row>
    <row r="6" spans="1:11" x14ac:dyDescent="0.2">
      <c r="A6" s="249" t="s">
        <v>85</v>
      </c>
      <c r="B6" s="3">
        <v>1</v>
      </c>
      <c r="C6" s="250" t="s">
        <v>69</v>
      </c>
      <c r="D6" s="250" t="str">
        <f t="shared" si="0"/>
        <v>Non angler nacional 1 noche</v>
      </c>
      <c r="E6" s="251">
        <v>550000</v>
      </c>
      <c r="G6" s="249" t="s">
        <v>85</v>
      </c>
      <c r="H6">
        <v>1</v>
      </c>
      <c r="I6" t="s">
        <v>69</v>
      </c>
      <c r="J6" t="s">
        <v>255</v>
      </c>
      <c r="K6" s="256">
        <v>944.99999999999989</v>
      </c>
    </row>
    <row r="7" spans="1:11" x14ac:dyDescent="0.2">
      <c r="A7" s="249" t="s">
        <v>83</v>
      </c>
      <c r="B7" s="3">
        <f>+B4+1</f>
        <v>2</v>
      </c>
      <c r="C7" s="250" t="s">
        <v>70</v>
      </c>
      <c r="D7" s="250" t="str">
        <f t="shared" si="0"/>
        <v>Base single 2 noches</v>
      </c>
      <c r="E7" s="251">
        <v>1330000</v>
      </c>
      <c r="G7" s="249" t="s">
        <v>83</v>
      </c>
      <c r="H7">
        <v>2</v>
      </c>
      <c r="I7" t="s">
        <v>70</v>
      </c>
      <c r="J7" t="s">
        <v>256</v>
      </c>
      <c r="K7" s="256">
        <v>3150</v>
      </c>
    </row>
    <row r="8" spans="1:11" x14ac:dyDescent="0.2">
      <c r="A8" s="249" t="s">
        <v>84</v>
      </c>
      <c r="B8" s="3">
        <f t="shared" ref="B8:B45" si="1">+B5+1</f>
        <v>2</v>
      </c>
      <c r="C8" s="250" t="s">
        <v>70</v>
      </c>
      <c r="D8" s="250" t="str">
        <f t="shared" si="0"/>
        <v>Base doble 2 noches</v>
      </c>
      <c r="E8" s="251">
        <v>950000</v>
      </c>
      <c r="G8" s="249" t="s">
        <v>84</v>
      </c>
      <c r="H8">
        <v>2</v>
      </c>
      <c r="I8" t="s">
        <v>70</v>
      </c>
      <c r="J8" t="s">
        <v>257</v>
      </c>
      <c r="K8" s="256">
        <v>2250</v>
      </c>
    </row>
    <row r="9" spans="1:11" x14ac:dyDescent="0.2">
      <c r="A9" s="249" t="s">
        <v>85</v>
      </c>
      <c r="B9" s="3">
        <f t="shared" si="1"/>
        <v>2</v>
      </c>
      <c r="C9" s="250" t="s">
        <v>70</v>
      </c>
      <c r="D9" s="250" t="str">
        <f t="shared" si="0"/>
        <v>Non angler nacional 2 noches</v>
      </c>
      <c r="E9" s="251">
        <v>950000</v>
      </c>
      <c r="G9" s="249" t="s">
        <v>85</v>
      </c>
      <c r="H9">
        <v>2</v>
      </c>
      <c r="I9" t="s">
        <v>70</v>
      </c>
      <c r="J9" t="s">
        <v>258</v>
      </c>
      <c r="K9" s="256">
        <v>1575</v>
      </c>
    </row>
    <row r="10" spans="1:11" x14ac:dyDescent="0.2">
      <c r="A10" s="249" t="s">
        <v>83</v>
      </c>
      <c r="B10" s="3">
        <f t="shared" si="1"/>
        <v>3</v>
      </c>
      <c r="C10" s="250" t="s">
        <v>71</v>
      </c>
      <c r="D10" s="250" t="str">
        <f t="shared" si="0"/>
        <v>Base single 3 noches</v>
      </c>
      <c r="E10" s="251">
        <v>1889999.9999999998</v>
      </c>
      <c r="G10" s="249" t="s">
        <v>83</v>
      </c>
      <c r="H10">
        <v>3</v>
      </c>
      <c r="I10" t="s">
        <v>71</v>
      </c>
      <c r="J10" t="s">
        <v>259</v>
      </c>
      <c r="K10" s="256">
        <v>4410</v>
      </c>
    </row>
    <row r="11" spans="1:11" x14ac:dyDescent="0.2">
      <c r="A11" s="249" t="s">
        <v>84</v>
      </c>
      <c r="B11" s="3">
        <f t="shared" si="1"/>
        <v>3</v>
      </c>
      <c r="C11" s="250" t="s">
        <v>71</v>
      </c>
      <c r="D11" s="250" t="str">
        <f t="shared" si="0"/>
        <v>Base doble 3 noches</v>
      </c>
      <c r="E11" s="251">
        <v>1350000</v>
      </c>
      <c r="G11" s="249" t="s">
        <v>84</v>
      </c>
      <c r="H11">
        <v>3</v>
      </c>
      <c r="I11" t="s">
        <v>71</v>
      </c>
      <c r="J11" t="s">
        <v>260</v>
      </c>
      <c r="K11" s="256">
        <v>3150</v>
      </c>
    </row>
    <row r="12" spans="1:11" x14ac:dyDescent="0.2">
      <c r="A12" s="249" t="s">
        <v>85</v>
      </c>
      <c r="B12" s="3">
        <f t="shared" si="1"/>
        <v>3</v>
      </c>
      <c r="C12" s="250" t="s">
        <v>71</v>
      </c>
      <c r="D12" s="250" t="str">
        <f t="shared" si="0"/>
        <v>Non angler nacional 3 noches</v>
      </c>
      <c r="E12" s="251">
        <v>1350000</v>
      </c>
      <c r="G12" s="249" t="s">
        <v>85</v>
      </c>
      <c r="H12">
        <v>3</v>
      </c>
      <c r="I12" t="s">
        <v>71</v>
      </c>
      <c r="J12" t="s">
        <v>261</v>
      </c>
      <c r="K12" s="256">
        <v>2205</v>
      </c>
    </row>
    <row r="13" spans="1:11" x14ac:dyDescent="0.2">
      <c r="A13" s="249" t="s">
        <v>83</v>
      </c>
      <c r="B13" s="3">
        <f t="shared" si="1"/>
        <v>4</v>
      </c>
      <c r="C13" s="250" t="s">
        <v>72</v>
      </c>
      <c r="D13" s="250" t="str">
        <f t="shared" si="0"/>
        <v>Base single 4 noches</v>
      </c>
      <c r="E13" s="251">
        <v>2450000</v>
      </c>
      <c r="G13" s="249" t="s">
        <v>83</v>
      </c>
      <c r="H13">
        <v>4</v>
      </c>
      <c r="I13" t="s">
        <v>72</v>
      </c>
      <c r="J13" t="s">
        <v>262</v>
      </c>
      <c r="K13" s="256">
        <v>5670</v>
      </c>
    </row>
    <row r="14" spans="1:11" x14ac:dyDescent="0.2">
      <c r="A14" s="249" t="s">
        <v>84</v>
      </c>
      <c r="B14" s="3">
        <f t="shared" si="1"/>
        <v>4</v>
      </c>
      <c r="C14" s="250" t="s">
        <v>72</v>
      </c>
      <c r="D14" s="250" t="str">
        <f t="shared" si="0"/>
        <v>Base doble 4 noches</v>
      </c>
      <c r="E14" s="251">
        <v>1750000</v>
      </c>
      <c r="G14" s="249" t="s">
        <v>84</v>
      </c>
      <c r="H14">
        <v>4</v>
      </c>
      <c r="I14" t="s">
        <v>72</v>
      </c>
      <c r="J14" t="s">
        <v>263</v>
      </c>
      <c r="K14" s="256">
        <v>4050</v>
      </c>
    </row>
    <row r="15" spans="1:11" x14ac:dyDescent="0.2">
      <c r="A15" s="249" t="s">
        <v>85</v>
      </c>
      <c r="B15" s="3">
        <f t="shared" si="1"/>
        <v>4</v>
      </c>
      <c r="C15" s="250" t="s">
        <v>72</v>
      </c>
      <c r="D15" s="250" t="str">
        <f t="shared" si="0"/>
        <v>Non angler nacional 4 noches</v>
      </c>
      <c r="E15" s="251">
        <v>1750000</v>
      </c>
      <c r="G15" s="249" t="s">
        <v>85</v>
      </c>
      <c r="H15">
        <v>4</v>
      </c>
      <c r="I15" t="s">
        <v>72</v>
      </c>
      <c r="J15" t="s">
        <v>264</v>
      </c>
      <c r="K15" s="256">
        <v>2835</v>
      </c>
    </row>
    <row r="16" spans="1:11" x14ac:dyDescent="0.2">
      <c r="A16" s="249" t="s">
        <v>83</v>
      </c>
      <c r="B16" s="3">
        <f t="shared" si="1"/>
        <v>5</v>
      </c>
      <c r="C16" s="250" t="s">
        <v>73</v>
      </c>
      <c r="D16" s="250" t="str">
        <f t="shared" si="0"/>
        <v>Base single 5 noches</v>
      </c>
      <c r="E16" s="251">
        <v>3010000</v>
      </c>
      <c r="G16" s="249" t="s">
        <v>83</v>
      </c>
      <c r="H16">
        <v>5</v>
      </c>
      <c r="I16" t="s">
        <v>73</v>
      </c>
      <c r="J16" t="s">
        <v>265</v>
      </c>
      <c r="K16" s="256">
        <v>6930</v>
      </c>
    </row>
    <row r="17" spans="1:11" x14ac:dyDescent="0.2">
      <c r="A17" s="249" t="s">
        <v>84</v>
      </c>
      <c r="B17" s="3">
        <f t="shared" si="1"/>
        <v>5</v>
      </c>
      <c r="C17" s="250" t="s">
        <v>73</v>
      </c>
      <c r="D17" s="250" t="str">
        <f t="shared" si="0"/>
        <v>Base doble 5 noches</v>
      </c>
      <c r="E17" s="251">
        <v>2150000</v>
      </c>
      <c r="G17" s="249" t="s">
        <v>84</v>
      </c>
      <c r="H17">
        <v>5</v>
      </c>
      <c r="I17" t="s">
        <v>73</v>
      </c>
      <c r="J17" t="s">
        <v>266</v>
      </c>
      <c r="K17" s="256">
        <v>4950</v>
      </c>
    </row>
    <row r="18" spans="1:11" x14ac:dyDescent="0.2">
      <c r="A18" s="249" t="s">
        <v>85</v>
      </c>
      <c r="B18" s="3">
        <f t="shared" si="1"/>
        <v>5</v>
      </c>
      <c r="C18" s="250" t="s">
        <v>73</v>
      </c>
      <c r="D18" s="250" t="str">
        <f t="shared" si="0"/>
        <v>Non angler nacional 5 noches</v>
      </c>
      <c r="E18" s="251">
        <v>2150000</v>
      </c>
      <c r="G18" s="249" t="s">
        <v>85</v>
      </c>
      <c r="H18">
        <v>5</v>
      </c>
      <c r="I18" t="s">
        <v>73</v>
      </c>
      <c r="J18" t="s">
        <v>267</v>
      </c>
      <c r="K18" s="256">
        <v>3465</v>
      </c>
    </row>
    <row r="19" spans="1:11" x14ac:dyDescent="0.2">
      <c r="A19" s="249" t="s">
        <v>83</v>
      </c>
      <c r="B19" s="3">
        <f t="shared" si="1"/>
        <v>6</v>
      </c>
      <c r="C19" s="250" t="s">
        <v>74</v>
      </c>
      <c r="D19" s="250" t="str">
        <f t="shared" si="0"/>
        <v>Base single 6 noches</v>
      </c>
      <c r="E19" s="251">
        <v>3570000</v>
      </c>
      <c r="G19" s="249" t="s">
        <v>83</v>
      </c>
      <c r="H19">
        <v>6</v>
      </c>
      <c r="I19" t="s">
        <v>74</v>
      </c>
      <c r="J19" t="s">
        <v>268</v>
      </c>
      <c r="K19" s="256">
        <v>8189.9999999999991</v>
      </c>
    </row>
    <row r="20" spans="1:11" x14ac:dyDescent="0.2">
      <c r="A20" s="249" t="s">
        <v>84</v>
      </c>
      <c r="B20" s="3">
        <f t="shared" si="1"/>
        <v>6</v>
      </c>
      <c r="C20" s="250" t="s">
        <v>74</v>
      </c>
      <c r="D20" s="250" t="str">
        <f t="shared" si="0"/>
        <v>Base doble 6 noches</v>
      </c>
      <c r="E20" s="251">
        <v>2550000</v>
      </c>
      <c r="G20" s="249" t="s">
        <v>84</v>
      </c>
      <c r="H20">
        <v>6</v>
      </c>
      <c r="I20" t="s">
        <v>74</v>
      </c>
      <c r="J20" t="s">
        <v>269</v>
      </c>
      <c r="K20" s="256">
        <v>5850</v>
      </c>
    </row>
    <row r="21" spans="1:11" x14ac:dyDescent="0.2">
      <c r="A21" s="249" t="s">
        <v>85</v>
      </c>
      <c r="B21" s="3">
        <f t="shared" si="1"/>
        <v>6</v>
      </c>
      <c r="C21" s="250" t="s">
        <v>74</v>
      </c>
      <c r="D21" s="250" t="str">
        <f t="shared" si="0"/>
        <v>Non angler nacional 6 noches</v>
      </c>
      <c r="E21" s="251">
        <v>2550000</v>
      </c>
      <c r="G21" s="249" t="s">
        <v>85</v>
      </c>
      <c r="H21">
        <v>6</v>
      </c>
      <c r="I21" t="s">
        <v>74</v>
      </c>
      <c r="J21" t="s">
        <v>270</v>
      </c>
      <c r="K21" s="256">
        <v>4094.9999999999995</v>
      </c>
    </row>
    <row r="22" spans="1:11" x14ac:dyDescent="0.2">
      <c r="A22" s="249" t="s">
        <v>83</v>
      </c>
      <c r="B22" s="3">
        <f t="shared" si="1"/>
        <v>7</v>
      </c>
      <c r="C22" s="250" t="s">
        <v>75</v>
      </c>
      <c r="D22" s="250" t="str">
        <f t="shared" si="0"/>
        <v>Base single 7 noches</v>
      </c>
      <c r="E22" s="251">
        <v>4129999.9999999995</v>
      </c>
      <c r="G22" s="249" t="s">
        <v>83</v>
      </c>
      <c r="H22">
        <v>7</v>
      </c>
      <c r="I22" t="s">
        <v>75</v>
      </c>
      <c r="J22" t="s">
        <v>271</v>
      </c>
      <c r="K22" s="256">
        <v>9450</v>
      </c>
    </row>
    <row r="23" spans="1:11" x14ac:dyDescent="0.2">
      <c r="A23" s="249" t="s">
        <v>84</v>
      </c>
      <c r="B23" s="3">
        <f t="shared" si="1"/>
        <v>7</v>
      </c>
      <c r="C23" s="250" t="s">
        <v>75</v>
      </c>
      <c r="D23" s="250" t="str">
        <f t="shared" si="0"/>
        <v>Base doble 7 noches</v>
      </c>
      <c r="E23" s="251">
        <v>2950000</v>
      </c>
      <c r="G23" s="249" t="s">
        <v>84</v>
      </c>
      <c r="H23">
        <v>7</v>
      </c>
      <c r="I23" t="s">
        <v>75</v>
      </c>
      <c r="J23" t="s">
        <v>272</v>
      </c>
      <c r="K23" s="256">
        <v>6750</v>
      </c>
    </row>
    <row r="24" spans="1:11" x14ac:dyDescent="0.2">
      <c r="A24" s="249" t="s">
        <v>85</v>
      </c>
      <c r="B24" s="3">
        <f t="shared" si="1"/>
        <v>7</v>
      </c>
      <c r="C24" s="250" t="s">
        <v>75</v>
      </c>
      <c r="D24" s="250" t="str">
        <f t="shared" si="0"/>
        <v>Non angler nacional 7 noches</v>
      </c>
      <c r="E24" s="251">
        <v>2950000</v>
      </c>
      <c r="G24" s="249" t="s">
        <v>85</v>
      </c>
      <c r="H24">
        <v>7</v>
      </c>
      <c r="I24" t="s">
        <v>75</v>
      </c>
      <c r="J24" t="s">
        <v>273</v>
      </c>
      <c r="K24" s="256">
        <v>4725</v>
      </c>
    </row>
    <row r="25" spans="1:11" x14ac:dyDescent="0.2">
      <c r="A25" s="249" t="s">
        <v>83</v>
      </c>
      <c r="B25" s="3">
        <f t="shared" si="1"/>
        <v>8</v>
      </c>
      <c r="C25" s="250" t="s">
        <v>76</v>
      </c>
      <c r="D25" s="250" t="str">
        <f t="shared" si="0"/>
        <v>Base single 8 noches</v>
      </c>
      <c r="E25" s="251">
        <v>4690000</v>
      </c>
      <c r="G25" s="249" t="s">
        <v>83</v>
      </c>
      <c r="H25">
        <v>8</v>
      </c>
      <c r="I25" t="s">
        <v>76</v>
      </c>
      <c r="J25" t="s">
        <v>274</v>
      </c>
      <c r="K25" s="256">
        <v>10710</v>
      </c>
    </row>
    <row r="26" spans="1:11" x14ac:dyDescent="0.2">
      <c r="A26" s="249" t="s">
        <v>84</v>
      </c>
      <c r="B26" s="3">
        <f t="shared" si="1"/>
        <v>8</v>
      </c>
      <c r="C26" s="250" t="s">
        <v>76</v>
      </c>
      <c r="D26" s="250" t="str">
        <f t="shared" si="0"/>
        <v>Base doble 8 noches</v>
      </c>
      <c r="E26" s="251">
        <v>3350000</v>
      </c>
      <c r="G26" s="249" t="s">
        <v>84</v>
      </c>
      <c r="H26">
        <v>8</v>
      </c>
      <c r="I26" t="s">
        <v>76</v>
      </c>
      <c r="J26" t="s">
        <v>275</v>
      </c>
      <c r="K26" s="256">
        <v>7650</v>
      </c>
    </row>
    <row r="27" spans="1:11" x14ac:dyDescent="0.2">
      <c r="A27" s="249" t="s">
        <v>85</v>
      </c>
      <c r="B27" s="3">
        <f t="shared" si="1"/>
        <v>8</v>
      </c>
      <c r="C27" s="250" t="s">
        <v>76</v>
      </c>
      <c r="D27" s="250" t="str">
        <f t="shared" si="0"/>
        <v>Non angler nacional 8 noches</v>
      </c>
      <c r="E27" s="251">
        <v>3350000</v>
      </c>
      <c r="G27" s="249" t="s">
        <v>85</v>
      </c>
      <c r="H27">
        <v>8</v>
      </c>
      <c r="I27" t="s">
        <v>76</v>
      </c>
      <c r="J27" t="s">
        <v>276</v>
      </c>
      <c r="K27" s="256">
        <v>5355</v>
      </c>
    </row>
    <row r="28" spans="1:11" x14ac:dyDescent="0.2">
      <c r="A28" s="249" t="s">
        <v>83</v>
      </c>
      <c r="B28" s="3">
        <f t="shared" si="1"/>
        <v>9</v>
      </c>
      <c r="C28" s="250" t="s">
        <v>77</v>
      </c>
      <c r="D28" s="250" t="str">
        <f t="shared" si="0"/>
        <v>Base single 9 noches</v>
      </c>
      <c r="E28" s="251">
        <v>5250000</v>
      </c>
      <c r="G28" s="249" t="s">
        <v>83</v>
      </c>
      <c r="H28">
        <v>9</v>
      </c>
      <c r="I28" t="s">
        <v>77</v>
      </c>
      <c r="J28" t="s">
        <v>277</v>
      </c>
      <c r="K28" s="256">
        <v>11970</v>
      </c>
    </row>
    <row r="29" spans="1:11" x14ac:dyDescent="0.2">
      <c r="A29" s="249" t="s">
        <v>84</v>
      </c>
      <c r="B29" s="3">
        <f t="shared" si="1"/>
        <v>9</v>
      </c>
      <c r="C29" s="250" t="s">
        <v>77</v>
      </c>
      <c r="D29" s="250" t="str">
        <f t="shared" si="0"/>
        <v>Base doble 9 noches</v>
      </c>
      <c r="E29" s="251">
        <v>3750000</v>
      </c>
      <c r="G29" s="249" t="s">
        <v>84</v>
      </c>
      <c r="H29">
        <v>9</v>
      </c>
      <c r="I29" t="s">
        <v>77</v>
      </c>
      <c r="J29" t="s">
        <v>278</v>
      </c>
      <c r="K29" s="256">
        <v>8550</v>
      </c>
    </row>
    <row r="30" spans="1:11" x14ac:dyDescent="0.2">
      <c r="A30" s="249" t="s">
        <v>85</v>
      </c>
      <c r="B30" s="3">
        <f t="shared" si="1"/>
        <v>9</v>
      </c>
      <c r="C30" s="250" t="s">
        <v>77</v>
      </c>
      <c r="D30" s="250" t="str">
        <f t="shared" si="0"/>
        <v>Non angler nacional 9 noches</v>
      </c>
      <c r="E30" s="251">
        <v>3750000</v>
      </c>
      <c r="G30" s="249" t="s">
        <v>85</v>
      </c>
      <c r="H30">
        <v>9</v>
      </c>
      <c r="I30" t="s">
        <v>77</v>
      </c>
      <c r="J30" t="s">
        <v>279</v>
      </c>
      <c r="K30" s="256">
        <v>5985</v>
      </c>
    </row>
    <row r="31" spans="1:11" x14ac:dyDescent="0.2">
      <c r="A31" s="249" t="s">
        <v>83</v>
      </c>
      <c r="B31" s="3">
        <f t="shared" si="1"/>
        <v>10</v>
      </c>
      <c r="C31" s="250" t="s">
        <v>78</v>
      </c>
      <c r="D31" s="250" t="str">
        <f t="shared" si="0"/>
        <v>Base single 10 noches</v>
      </c>
      <c r="E31" s="251">
        <v>5810000</v>
      </c>
      <c r="G31" s="249" t="s">
        <v>83</v>
      </c>
      <c r="H31">
        <v>10</v>
      </c>
      <c r="I31" t="s">
        <v>78</v>
      </c>
      <c r="J31" t="s">
        <v>280</v>
      </c>
      <c r="K31" s="256">
        <v>13230</v>
      </c>
    </row>
    <row r="32" spans="1:11" x14ac:dyDescent="0.2">
      <c r="A32" s="249" t="s">
        <v>84</v>
      </c>
      <c r="B32" s="3">
        <f t="shared" si="1"/>
        <v>10</v>
      </c>
      <c r="C32" s="250" t="s">
        <v>78</v>
      </c>
      <c r="D32" s="250" t="str">
        <f t="shared" si="0"/>
        <v>Base doble 10 noches</v>
      </c>
      <c r="E32" s="251">
        <v>4150000</v>
      </c>
      <c r="G32" s="249" t="s">
        <v>84</v>
      </c>
      <c r="H32">
        <v>10</v>
      </c>
      <c r="I32" t="s">
        <v>78</v>
      </c>
      <c r="J32" t="s">
        <v>281</v>
      </c>
      <c r="K32" s="256">
        <v>9450</v>
      </c>
    </row>
    <row r="33" spans="1:11" x14ac:dyDescent="0.2">
      <c r="A33" s="249" t="s">
        <v>85</v>
      </c>
      <c r="B33" s="3">
        <f t="shared" si="1"/>
        <v>10</v>
      </c>
      <c r="C33" s="250" t="s">
        <v>78</v>
      </c>
      <c r="D33" s="250" t="str">
        <f t="shared" si="0"/>
        <v>Non angler nacional 10 noches</v>
      </c>
      <c r="E33" s="251">
        <v>4150000</v>
      </c>
      <c r="G33" s="249" t="s">
        <v>85</v>
      </c>
      <c r="H33">
        <v>10</v>
      </c>
      <c r="I33" t="s">
        <v>78</v>
      </c>
      <c r="J33" t="s">
        <v>282</v>
      </c>
      <c r="K33" s="256">
        <v>6615</v>
      </c>
    </row>
    <row r="34" spans="1:11" x14ac:dyDescent="0.2">
      <c r="A34" s="249" t="s">
        <v>83</v>
      </c>
      <c r="B34" s="3">
        <f t="shared" si="1"/>
        <v>11</v>
      </c>
      <c r="C34" s="250" t="s">
        <v>79</v>
      </c>
      <c r="D34" s="250" t="str">
        <f t="shared" si="0"/>
        <v>Base single 11 noches</v>
      </c>
      <c r="E34" s="251">
        <v>6370000</v>
      </c>
      <c r="G34" s="249" t="s">
        <v>83</v>
      </c>
      <c r="H34">
        <v>11</v>
      </c>
      <c r="I34" t="s">
        <v>79</v>
      </c>
      <c r="J34" t="s">
        <v>283</v>
      </c>
      <c r="K34" s="256">
        <v>14489.999999999998</v>
      </c>
    </row>
    <row r="35" spans="1:11" x14ac:dyDescent="0.2">
      <c r="A35" s="249" t="s">
        <v>84</v>
      </c>
      <c r="B35" s="3">
        <f t="shared" si="1"/>
        <v>11</v>
      </c>
      <c r="C35" s="250" t="s">
        <v>79</v>
      </c>
      <c r="D35" s="250" t="str">
        <f t="shared" si="0"/>
        <v>Base doble 11 noches</v>
      </c>
      <c r="E35" s="251">
        <v>4550000</v>
      </c>
      <c r="G35" s="249" t="s">
        <v>84</v>
      </c>
      <c r="H35">
        <v>11</v>
      </c>
      <c r="I35" t="s">
        <v>79</v>
      </c>
      <c r="J35" t="s">
        <v>284</v>
      </c>
      <c r="K35" s="256">
        <v>10350</v>
      </c>
    </row>
    <row r="36" spans="1:11" x14ac:dyDescent="0.2">
      <c r="A36" s="249" t="s">
        <v>85</v>
      </c>
      <c r="B36" s="3">
        <f t="shared" si="1"/>
        <v>11</v>
      </c>
      <c r="C36" s="250" t="s">
        <v>79</v>
      </c>
      <c r="D36" s="250" t="str">
        <f t="shared" si="0"/>
        <v>Non angler nacional 11 noches</v>
      </c>
      <c r="E36" s="251">
        <v>4550000</v>
      </c>
      <c r="G36" s="249" t="s">
        <v>85</v>
      </c>
      <c r="H36">
        <v>11</v>
      </c>
      <c r="I36" t="s">
        <v>79</v>
      </c>
      <c r="J36" t="s">
        <v>285</v>
      </c>
      <c r="K36" s="256">
        <v>7244.9999999999991</v>
      </c>
    </row>
    <row r="37" spans="1:11" x14ac:dyDescent="0.2">
      <c r="A37" s="249" t="s">
        <v>83</v>
      </c>
      <c r="B37" s="3">
        <f t="shared" si="1"/>
        <v>12</v>
      </c>
      <c r="C37" s="250" t="s">
        <v>80</v>
      </c>
      <c r="D37" s="250" t="str">
        <f t="shared" si="0"/>
        <v>Base single 12 noches</v>
      </c>
      <c r="E37" s="251">
        <v>6930000</v>
      </c>
      <c r="G37" s="249" t="s">
        <v>83</v>
      </c>
      <c r="H37">
        <v>12</v>
      </c>
      <c r="I37" t="s">
        <v>80</v>
      </c>
      <c r="J37" t="s">
        <v>286</v>
      </c>
      <c r="K37" s="256">
        <v>15749.999999999998</v>
      </c>
    </row>
    <row r="38" spans="1:11" x14ac:dyDescent="0.2">
      <c r="A38" s="249" t="s">
        <v>84</v>
      </c>
      <c r="B38" s="3">
        <f t="shared" si="1"/>
        <v>12</v>
      </c>
      <c r="C38" s="250" t="s">
        <v>80</v>
      </c>
      <c r="D38" s="250" t="str">
        <f t="shared" si="0"/>
        <v>Base doble 12 noches</v>
      </c>
      <c r="E38" s="251">
        <v>4950000</v>
      </c>
      <c r="G38" s="249" t="s">
        <v>84</v>
      </c>
      <c r="H38">
        <v>12</v>
      </c>
      <c r="I38" t="s">
        <v>80</v>
      </c>
      <c r="J38" t="s">
        <v>287</v>
      </c>
      <c r="K38" s="256">
        <v>11250</v>
      </c>
    </row>
    <row r="39" spans="1:11" x14ac:dyDescent="0.2">
      <c r="A39" s="249" t="s">
        <v>85</v>
      </c>
      <c r="B39" s="3">
        <f t="shared" si="1"/>
        <v>12</v>
      </c>
      <c r="C39" s="250" t="s">
        <v>80</v>
      </c>
      <c r="D39" s="250" t="str">
        <f t="shared" si="0"/>
        <v>Non angler nacional 12 noches</v>
      </c>
      <c r="E39" s="251">
        <v>4950000</v>
      </c>
      <c r="G39" s="249" t="s">
        <v>85</v>
      </c>
      <c r="H39">
        <v>12</v>
      </c>
      <c r="I39" t="s">
        <v>80</v>
      </c>
      <c r="J39" t="s">
        <v>288</v>
      </c>
      <c r="K39" s="256">
        <v>7874.9999999999991</v>
      </c>
    </row>
    <row r="40" spans="1:11" x14ac:dyDescent="0.2">
      <c r="A40" s="249" t="s">
        <v>83</v>
      </c>
      <c r="B40" s="3">
        <f t="shared" si="1"/>
        <v>13</v>
      </c>
      <c r="C40" s="250" t="s">
        <v>81</v>
      </c>
      <c r="D40" s="250" t="str">
        <f t="shared" si="0"/>
        <v>Base single 13 noches</v>
      </c>
      <c r="E40" s="251">
        <v>7489999.9999999991</v>
      </c>
      <c r="G40" s="249" t="s">
        <v>83</v>
      </c>
      <c r="H40">
        <v>13</v>
      </c>
      <c r="I40" t="s">
        <v>81</v>
      </c>
      <c r="J40" t="s">
        <v>289</v>
      </c>
      <c r="K40" s="256">
        <v>17010</v>
      </c>
    </row>
    <row r="41" spans="1:11" x14ac:dyDescent="0.2">
      <c r="A41" s="249" t="s">
        <v>84</v>
      </c>
      <c r="B41" s="3">
        <f t="shared" si="1"/>
        <v>13</v>
      </c>
      <c r="C41" s="250" t="s">
        <v>81</v>
      </c>
      <c r="D41" s="250" t="str">
        <f t="shared" si="0"/>
        <v>Base doble 13 noches</v>
      </c>
      <c r="E41" s="251">
        <v>5350000</v>
      </c>
      <c r="G41" s="249" t="s">
        <v>84</v>
      </c>
      <c r="H41">
        <v>13</v>
      </c>
      <c r="I41" t="s">
        <v>81</v>
      </c>
      <c r="J41" t="s">
        <v>290</v>
      </c>
      <c r="K41" s="256">
        <v>12150</v>
      </c>
    </row>
    <row r="42" spans="1:11" x14ac:dyDescent="0.2">
      <c r="A42" s="249" t="s">
        <v>85</v>
      </c>
      <c r="B42" s="3">
        <f t="shared" si="1"/>
        <v>13</v>
      </c>
      <c r="C42" s="250" t="s">
        <v>81</v>
      </c>
      <c r="D42" s="250" t="str">
        <f t="shared" si="0"/>
        <v>Non angler nacional 13 noches</v>
      </c>
      <c r="E42" s="251">
        <v>5350000</v>
      </c>
      <c r="G42" s="249" t="s">
        <v>85</v>
      </c>
      <c r="H42">
        <v>13</v>
      </c>
      <c r="I42" t="s">
        <v>81</v>
      </c>
      <c r="J42" t="s">
        <v>291</v>
      </c>
      <c r="K42" s="256">
        <v>8505</v>
      </c>
    </row>
    <row r="43" spans="1:11" x14ac:dyDescent="0.2">
      <c r="A43" s="249" t="s">
        <v>83</v>
      </c>
      <c r="B43" s="3">
        <f t="shared" si="1"/>
        <v>14</v>
      </c>
      <c r="C43" s="250" t="s">
        <v>82</v>
      </c>
      <c r="D43" s="250" t="str">
        <f t="shared" si="0"/>
        <v>Base single 14 noches</v>
      </c>
      <c r="E43" s="251">
        <v>8049999.9999999991</v>
      </c>
      <c r="G43" s="249" t="s">
        <v>83</v>
      </c>
      <c r="H43">
        <v>14</v>
      </c>
      <c r="I43" t="s">
        <v>82</v>
      </c>
      <c r="J43" t="s">
        <v>292</v>
      </c>
      <c r="K43" s="256">
        <v>18270</v>
      </c>
    </row>
    <row r="44" spans="1:11" x14ac:dyDescent="0.2">
      <c r="A44" s="249" t="s">
        <v>84</v>
      </c>
      <c r="B44" s="3">
        <f t="shared" si="1"/>
        <v>14</v>
      </c>
      <c r="C44" s="250" t="s">
        <v>82</v>
      </c>
      <c r="D44" s="250" t="str">
        <f t="shared" si="0"/>
        <v>Base doble 14 noches</v>
      </c>
      <c r="E44" s="251">
        <v>5750000</v>
      </c>
      <c r="G44" s="249" t="s">
        <v>84</v>
      </c>
      <c r="H44">
        <v>14</v>
      </c>
      <c r="I44" t="s">
        <v>82</v>
      </c>
      <c r="J44" t="s">
        <v>293</v>
      </c>
      <c r="K44" s="256">
        <v>13050</v>
      </c>
    </row>
    <row r="45" spans="1:11" x14ac:dyDescent="0.2">
      <c r="A45" s="249" t="s">
        <v>85</v>
      </c>
      <c r="B45" s="3">
        <f t="shared" si="1"/>
        <v>14</v>
      </c>
      <c r="C45" s="250" t="s">
        <v>82</v>
      </c>
      <c r="D45" s="250" t="str">
        <f t="shared" si="0"/>
        <v>Non angler nacional 14 noches</v>
      </c>
      <c r="E45" s="251">
        <v>5750000</v>
      </c>
      <c r="G45" s="249" t="s">
        <v>85</v>
      </c>
      <c r="H45">
        <v>14</v>
      </c>
      <c r="I45" t="s">
        <v>82</v>
      </c>
      <c r="J45" t="s">
        <v>294</v>
      </c>
      <c r="K45" s="256">
        <v>9135</v>
      </c>
    </row>
    <row r="46" spans="1:11" x14ac:dyDescent="0.2">
      <c r="A46" s="249" t="s">
        <v>149</v>
      </c>
      <c r="B46" s="3">
        <v>1</v>
      </c>
      <c r="C46" s="250" t="s">
        <v>69</v>
      </c>
      <c r="D46" s="250" t="str">
        <f t="shared" si="0"/>
        <v>Host 1 noche</v>
      </c>
      <c r="E46" s="251">
        <v>0</v>
      </c>
      <c r="G46" s="249" t="s">
        <v>149</v>
      </c>
      <c r="H46">
        <v>1</v>
      </c>
      <c r="I46" t="s">
        <v>69</v>
      </c>
      <c r="J46" t="s">
        <v>295</v>
      </c>
      <c r="K46" s="256">
        <v>0</v>
      </c>
    </row>
    <row r="47" spans="1:11" x14ac:dyDescent="0.2">
      <c r="A47" s="249" t="s">
        <v>149</v>
      </c>
      <c r="B47" s="3">
        <v>2</v>
      </c>
      <c r="C47" s="250" t="s">
        <v>150</v>
      </c>
      <c r="D47" s="250" t="str">
        <f t="shared" si="0"/>
        <v>Host 2 Noches</v>
      </c>
      <c r="E47" s="251">
        <v>0</v>
      </c>
      <c r="G47" s="249" t="s">
        <v>149</v>
      </c>
      <c r="H47">
        <v>2</v>
      </c>
      <c r="I47" t="s">
        <v>150</v>
      </c>
      <c r="J47" t="s">
        <v>296</v>
      </c>
      <c r="K47" s="256">
        <v>0</v>
      </c>
    </row>
    <row r="48" spans="1:11" x14ac:dyDescent="0.2">
      <c r="A48" s="249" t="s">
        <v>149</v>
      </c>
      <c r="B48" s="3">
        <v>3</v>
      </c>
      <c r="C48" s="250" t="s">
        <v>151</v>
      </c>
      <c r="D48" s="250" t="str">
        <f t="shared" si="0"/>
        <v>Host 3 Noches</v>
      </c>
      <c r="E48" s="251">
        <v>0</v>
      </c>
      <c r="G48" s="249" t="s">
        <v>149</v>
      </c>
      <c r="H48">
        <v>3</v>
      </c>
      <c r="I48" t="s">
        <v>151</v>
      </c>
      <c r="J48" t="s">
        <v>297</v>
      </c>
      <c r="K48" s="256">
        <v>0</v>
      </c>
    </row>
    <row r="49" spans="1:11" x14ac:dyDescent="0.2">
      <c r="A49" s="249" t="s">
        <v>149</v>
      </c>
      <c r="B49" s="3">
        <v>4</v>
      </c>
      <c r="C49" s="250" t="s">
        <v>152</v>
      </c>
      <c r="D49" s="250" t="str">
        <f t="shared" si="0"/>
        <v>Host 4 Noches</v>
      </c>
      <c r="E49" s="251">
        <v>0</v>
      </c>
      <c r="G49" s="249" t="s">
        <v>149</v>
      </c>
      <c r="H49">
        <v>4</v>
      </c>
      <c r="I49" t="s">
        <v>152</v>
      </c>
      <c r="J49" t="s">
        <v>298</v>
      </c>
      <c r="K49" s="256">
        <v>0</v>
      </c>
    </row>
    <row r="50" spans="1:11" x14ac:dyDescent="0.2">
      <c r="A50" s="249" t="s">
        <v>149</v>
      </c>
      <c r="B50" s="3">
        <v>5</v>
      </c>
      <c r="C50" s="250" t="s">
        <v>153</v>
      </c>
      <c r="D50" s="250" t="str">
        <f t="shared" si="0"/>
        <v>Host 5 Noches</v>
      </c>
      <c r="E50" s="251">
        <v>0</v>
      </c>
      <c r="G50" s="249" t="s">
        <v>149</v>
      </c>
      <c r="H50">
        <v>5</v>
      </c>
      <c r="I50" t="s">
        <v>153</v>
      </c>
      <c r="J50" t="s">
        <v>299</v>
      </c>
      <c r="K50" s="256">
        <v>0</v>
      </c>
    </row>
    <row r="51" spans="1:11" x14ac:dyDescent="0.2">
      <c r="A51" s="249" t="s">
        <v>149</v>
      </c>
      <c r="B51" s="3">
        <v>6</v>
      </c>
      <c r="C51" s="250" t="s">
        <v>154</v>
      </c>
      <c r="D51" s="250" t="str">
        <f t="shared" si="0"/>
        <v>Host 6 Noches</v>
      </c>
      <c r="E51" s="251">
        <v>0</v>
      </c>
      <c r="G51" s="249" t="s">
        <v>149</v>
      </c>
      <c r="H51">
        <v>6</v>
      </c>
      <c r="I51" t="s">
        <v>154</v>
      </c>
      <c r="J51" t="s">
        <v>300</v>
      </c>
      <c r="K51" s="256">
        <v>0</v>
      </c>
    </row>
    <row r="52" spans="1:11" x14ac:dyDescent="0.2">
      <c r="A52" s="249" t="s">
        <v>149</v>
      </c>
      <c r="B52" s="3">
        <v>7</v>
      </c>
      <c r="C52" s="250" t="s">
        <v>155</v>
      </c>
      <c r="D52" s="250" t="str">
        <f t="shared" si="0"/>
        <v>Host 7 Noches</v>
      </c>
      <c r="E52" s="251">
        <v>0</v>
      </c>
      <c r="G52" s="249" t="s">
        <v>149</v>
      </c>
      <c r="H52">
        <v>7</v>
      </c>
      <c r="I52" t="s">
        <v>155</v>
      </c>
      <c r="J52" t="s">
        <v>301</v>
      </c>
      <c r="K52" s="256">
        <v>0</v>
      </c>
    </row>
    <row r="53" spans="1:11" x14ac:dyDescent="0.2">
      <c r="A53" s="249" t="s">
        <v>149</v>
      </c>
      <c r="B53" s="3">
        <v>8</v>
      </c>
      <c r="C53" s="250" t="s">
        <v>156</v>
      </c>
      <c r="D53" s="250" t="str">
        <f t="shared" si="0"/>
        <v>Host 8 Noches</v>
      </c>
      <c r="E53" s="251">
        <v>0</v>
      </c>
      <c r="G53" s="249" t="s">
        <v>149</v>
      </c>
      <c r="H53">
        <v>8</v>
      </c>
      <c r="I53" t="s">
        <v>156</v>
      </c>
      <c r="J53" t="s">
        <v>302</v>
      </c>
      <c r="K53" s="256">
        <v>0</v>
      </c>
    </row>
    <row r="54" spans="1:11" x14ac:dyDescent="0.2">
      <c r="A54" s="249" t="s">
        <v>149</v>
      </c>
      <c r="B54" s="3">
        <v>9</v>
      </c>
      <c r="C54" s="250" t="s">
        <v>157</v>
      </c>
      <c r="D54" s="250" t="str">
        <f t="shared" si="0"/>
        <v>Host 9 Noches</v>
      </c>
      <c r="E54" s="251">
        <v>0</v>
      </c>
      <c r="G54" s="249" t="s">
        <v>149</v>
      </c>
      <c r="H54">
        <v>9</v>
      </c>
      <c r="I54" t="s">
        <v>157</v>
      </c>
      <c r="J54" t="s">
        <v>303</v>
      </c>
      <c r="K54" s="256">
        <v>0</v>
      </c>
    </row>
    <row r="55" spans="1:11" x14ac:dyDescent="0.2">
      <c r="A55" s="249" t="s">
        <v>149</v>
      </c>
      <c r="B55" s="3">
        <v>10</v>
      </c>
      <c r="C55" s="250" t="s">
        <v>158</v>
      </c>
      <c r="D55" s="250" t="str">
        <f t="shared" si="0"/>
        <v>Host 10 Noches</v>
      </c>
      <c r="E55" s="251">
        <v>0</v>
      </c>
      <c r="G55" s="249" t="s">
        <v>149</v>
      </c>
      <c r="H55">
        <v>10</v>
      </c>
      <c r="I55" t="s">
        <v>158</v>
      </c>
      <c r="J55" t="s">
        <v>304</v>
      </c>
      <c r="K55" s="256">
        <v>0</v>
      </c>
    </row>
    <row r="56" spans="1:11" x14ac:dyDescent="0.2">
      <c r="A56" s="249" t="s">
        <v>149</v>
      </c>
      <c r="B56" s="3">
        <v>11</v>
      </c>
      <c r="C56" s="250" t="s">
        <v>159</v>
      </c>
      <c r="D56" s="250" t="str">
        <f t="shared" si="0"/>
        <v>Host 11 Noches</v>
      </c>
      <c r="E56" s="251">
        <v>0</v>
      </c>
      <c r="G56" s="249" t="s">
        <v>149</v>
      </c>
      <c r="H56">
        <v>11</v>
      </c>
      <c r="I56" t="s">
        <v>159</v>
      </c>
      <c r="J56" t="s">
        <v>305</v>
      </c>
      <c r="K56" s="256">
        <v>0</v>
      </c>
    </row>
    <row r="57" spans="1:11" x14ac:dyDescent="0.2">
      <c r="A57" s="249" t="s">
        <v>149</v>
      </c>
      <c r="B57" s="3">
        <v>12</v>
      </c>
      <c r="C57" s="250" t="s">
        <v>160</v>
      </c>
      <c r="D57" s="250" t="str">
        <f t="shared" si="0"/>
        <v>Host 12 Noches</v>
      </c>
      <c r="E57" s="251">
        <v>0</v>
      </c>
      <c r="G57" s="249" t="s">
        <v>149</v>
      </c>
      <c r="H57">
        <v>12</v>
      </c>
      <c r="I57" t="s">
        <v>160</v>
      </c>
      <c r="J57" t="s">
        <v>306</v>
      </c>
      <c r="K57" s="256">
        <v>0</v>
      </c>
    </row>
    <row r="58" spans="1:11" x14ac:dyDescent="0.2">
      <c r="A58" s="249" t="s">
        <v>149</v>
      </c>
      <c r="B58" s="3">
        <v>13</v>
      </c>
      <c r="C58" s="250" t="s">
        <v>161</v>
      </c>
      <c r="D58" s="250" t="str">
        <f t="shared" si="0"/>
        <v>Host 13 Noches</v>
      </c>
      <c r="E58" s="251">
        <v>0</v>
      </c>
      <c r="G58" s="249" t="s">
        <v>149</v>
      </c>
      <c r="H58">
        <v>13</v>
      </c>
      <c r="I58" t="s">
        <v>161</v>
      </c>
      <c r="J58" t="s">
        <v>307</v>
      </c>
      <c r="K58" s="256">
        <v>0</v>
      </c>
    </row>
    <row r="59" spans="1:11" ht="16" thickBot="1" x14ac:dyDescent="0.25">
      <c r="A59" s="252" t="s">
        <v>149</v>
      </c>
      <c r="B59" s="253">
        <v>14</v>
      </c>
      <c r="C59" s="254" t="s">
        <v>162</v>
      </c>
      <c r="D59" s="254" t="str">
        <f t="shared" si="0"/>
        <v>Host 14 Noches</v>
      </c>
      <c r="E59" s="255">
        <v>0</v>
      </c>
      <c r="G59" s="252" t="s">
        <v>149</v>
      </c>
      <c r="H59" s="257">
        <v>14</v>
      </c>
      <c r="I59" s="257" t="s">
        <v>162</v>
      </c>
      <c r="J59" s="257" t="s">
        <v>308</v>
      </c>
      <c r="K59" s="258">
        <v>0</v>
      </c>
    </row>
  </sheetData>
  <mergeCells count="2">
    <mergeCell ref="A2:E2"/>
    <mergeCell ref="G2:K2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51E4-F1BF-4703-91E7-76D10F11D1AC}">
  <sheetPr codeName="Hoja7"/>
  <dimension ref="A1:P41"/>
  <sheetViews>
    <sheetView workbookViewId="0">
      <selection activeCell="A3" sqref="A3:P27"/>
    </sheetView>
  </sheetViews>
  <sheetFormatPr baseColWidth="10" defaultRowHeight="15" x14ac:dyDescent="0.2"/>
  <cols>
    <col min="1" max="1" width="19.6640625" customWidth="1"/>
    <col min="2" max="2" width="13.33203125" customWidth="1"/>
    <col min="3" max="5" width="12.5" bestFit="1" customWidth="1"/>
    <col min="6" max="6" width="12.5" style="27" bestFit="1" customWidth="1"/>
    <col min="7" max="8" width="12.5" bestFit="1" customWidth="1"/>
    <col min="9" max="9" width="12.5" style="27" bestFit="1" customWidth="1"/>
    <col min="10" max="16" width="12.83203125" customWidth="1"/>
  </cols>
  <sheetData>
    <row r="1" spans="1:16" x14ac:dyDescent="0.2">
      <c r="A1" s="27" t="s">
        <v>51</v>
      </c>
      <c r="B1" s="27" t="s">
        <v>52</v>
      </c>
    </row>
    <row r="2" spans="1:16" x14ac:dyDescent="0.2">
      <c r="A2" s="3"/>
      <c r="B2" s="3"/>
    </row>
    <row r="3" spans="1:16" x14ac:dyDescent="0.2">
      <c r="A3" s="6" t="s">
        <v>53</v>
      </c>
      <c r="B3" s="86" t="s">
        <v>54</v>
      </c>
      <c r="C3" s="6" t="s">
        <v>55</v>
      </c>
      <c r="D3" s="6" t="s">
        <v>56</v>
      </c>
      <c r="E3" s="6" t="s">
        <v>57</v>
      </c>
      <c r="F3" s="6" t="s">
        <v>58</v>
      </c>
      <c r="G3" s="6" t="s">
        <v>59</v>
      </c>
      <c r="H3" s="6" t="s">
        <v>60</v>
      </c>
      <c r="I3" s="6" t="s">
        <v>61</v>
      </c>
      <c r="J3" s="6" t="s">
        <v>62</v>
      </c>
      <c r="K3" s="6" t="s">
        <v>63</v>
      </c>
      <c r="L3" s="6" t="s">
        <v>64</v>
      </c>
      <c r="M3" s="6" t="s">
        <v>65</v>
      </c>
      <c r="N3" s="6" t="s">
        <v>66</v>
      </c>
      <c r="O3" s="6" t="s">
        <v>67</v>
      </c>
      <c r="P3" s="6" t="s">
        <v>68</v>
      </c>
    </row>
    <row r="4" spans="1:16" x14ac:dyDescent="0.2">
      <c r="A4" s="87">
        <v>200000</v>
      </c>
      <c r="B4" s="87">
        <v>350000</v>
      </c>
      <c r="C4" s="87">
        <v>400000</v>
      </c>
      <c r="D4" s="87">
        <f>+C4</f>
        <v>400000</v>
      </c>
      <c r="E4" s="88">
        <f t="shared" ref="E4:O4" si="0">+D4</f>
        <v>400000</v>
      </c>
      <c r="F4" s="88">
        <f t="shared" si="0"/>
        <v>400000</v>
      </c>
      <c r="G4" s="88">
        <f t="shared" si="0"/>
        <v>400000</v>
      </c>
      <c r="H4" s="88">
        <f t="shared" si="0"/>
        <v>400000</v>
      </c>
      <c r="I4" s="88">
        <f t="shared" si="0"/>
        <v>400000</v>
      </c>
      <c r="J4" s="88">
        <f t="shared" si="0"/>
        <v>400000</v>
      </c>
      <c r="K4" s="88">
        <f t="shared" si="0"/>
        <v>400000</v>
      </c>
      <c r="L4" s="88">
        <f t="shared" si="0"/>
        <v>400000</v>
      </c>
      <c r="M4" s="88">
        <f t="shared" si="0"/>
        <v>400000</v>
      </c>
      <c r="N4" s="88">
        <f t="shared" si="0"/>
        <v>400000</v>
      </c>
      <c r="O4" s="88">
        <f t="shared" si="0"/>
        <v>400000</v>
      </c>
      <c r="P4" s="88">
        <v>200000</v>
      </c>
    </row>
    <row r="5" spans="1:16" x14ac:dyDescent="0.2">
      <c r="A5" s="87"/>
      <c r="B5" s="87"/>
      <c r="C5" s="6" t="s">
        <v>69</v>
      </c>
      <c r="D5" s="6" t="s">
        <v>70</v>
      </c>
      <c r="E5" s="6" t="s">
        <v>71</v>
      </c>
      <c r="F5" s="80" t="s">
        <v>72</v>
      </c>
      <c r="G5" s="6" t="s">
        <v>73</v>
      </c>
      <c r="H5" s="6" t="s">
        <v>74</v>
      </c>
      <c r="I5" s="80" t="s">
        <v>75</v>
      </c>
      <c r="J5" s="6" t="s">
        <v>76</v>
      </c>
      <c r="K5" s="6" t="s">
        <v>77</v>
      </c>
      <c r="L5" s="80" t="s">
        <v>78</v>
      </c>
      <c r="M5" s="80" t="s">
        <v>79</v>
      </c>
      <c r="N5" s="6" t="s">
        <v>80</v>
      </c>
      <c r="O5" s="6" t="s">
        <v>81</v>
      </c>
      <c r="P5" s="80" t="s">
        <v>82</v>
      </c>
    </row>
    <row r="6" spans="1:16" x14ac:dyDescent="0.2">
      <c r="A6" s="5" t="s">
        <v>83</v>
      </c>
      <c r="B6" s="89"/>
      <c r="C6" s="89">
        <f>+C7*1.4</f>
        <v>770000</v>
      </c>
      <c r="D6" s="89">
        <f t="shared" ref="D6:P6" si="1">+D7*1.4</f>
        <v>1330000</v>
      </c>
      <c r="E6" s="89">
        <f t="shared" si="1"/>
        <v>1889999.9999999998</v>
      </c>
      <c r="F6" s="90">
        <f t="shared" si="1"/>
        <v>2450000</v>
      </c>
      <c r="G6" s="89">
        <f t="shared" si="1"/>
        <v>3010000</v>
      </c>
      <c r="H6" s="89">
        <f t="shared" si="1"/>
        <v>3570000</v>
      </c>
      <c r="I6" s="90">
        <f t="shared" si="1"/>
        <v>4129999.9999999995</v>
      </c>
      <c r="J6" s="91">
        <f t="shared" si="1"/>
        <v>4690000</v>
      </c>
      <c r="K6" s="91">
        <f t="shared" si="1"/>
        <v>5250000</v>
      </c>
      <c r="L6" s="90">
        <f t="shared" si="1"/>
        <v>5810000</v>
      </c>
      <c r="M6" s="90">
        <f t="shared" si="1"/>
        <v>6370000</v>
      </c>
      <c r="N6" s="91">
        <f t="shared" si="1"/>
        <v>6930000</v>
      </c>
      <c r="O6" s="91">
        <f t="shared" si="1"/>
        <v>7489999.9999999991</v>
      </c>
      <c r="P6" s="90">
        <f t="shared" si="1"/>
        <v>8049999.9999999991</v>
      </c>
    </row>
    <row r="7" spans="1:16" x14ac:dyDescent="0.2">
      <c r="A7" s="5" t="s">
        <v>84</v>
      </c>
      <c r="B7" s="89"/>
      <c r="C7" s="89">
        <f>($A4/2)+B4+($P4/2)</f>
        <v>550000</v>
      </c>
      <c r="D7" s="89">
        <f>($A4/2)+C4+B4+($P4/2)</f>
        <v>950000</v>
      </c>
      <c r="E7" s="89">
        <f>($A4/2)+B4+D4+C4+($P4/2)</f>
        <v>1350000</v>
      </c>
      <c r="F7" s="90">
        <f>($A4/2)+B4+C4+E4+D4+($P4/2)</f>
        <v>1750000</v>
      </c>
      <c r="G7" s="89">
        <f>($A4/2)+B4+C4+D4+F4+E4+($P4/2)</f>
        <v>2150000</v>
      </c>
      <c r="H7" s="89">
        <f>($A4/2)+B4+C4+D4+E4+G4+F4+($P4/2)</f>
        <v>2550000</v>
      </c>
      <c r="I7" s="90">
        <f>($A4/2)+B4+C4+D4+E4+F4+H4+G4+($P4/2)</f>
        <v>2950000</v>
      </c>
      <c r="J7" s="89">
        <f>($A4/2)+B4+C4+D4+E4+F4+G4+I4+H4+($P4/2)</f>
        <v>3350000</v>
      </c>
      <c r="K7" s="89">
        <f>($A4/2)+B4+C4+D4+E4+F4+G4+H4+J4+I4+($P4/2)</f>
        <v>3750000</v>
      </c>
      <c r="L7" s="90">
        <f>($A4/2)+B4+C4+D4+E4+F4+G4+H4+I4+K4+J4+($P4/2)</f>
        <v>4150000</v>
      </c>
      <c r="M7" s="90">
        <f>($A4/2)+B4+C4+D4+E4+F4+G4+H4+I4+J4+L4+K4+($P4/2)</f>
        <v>4550000</v>
      </c>
      <c r="N7" s="89">
        <f>($A4/2)+B4+C4+D4+E4+F4+G4+H4+I4+J4+K4+M4+L4+($P4/2)</f>
        <v>4950000</v>
      </c>
      <c r="O7" s="89">
        <f>($A4/2)+B4+C4+D4+E4+F4+G4+H4+I4+J4+K4+L4+N4+M4+($P4/2)</f>
        <v>5350000</v>
      </c>
      <c r="P7" s="90">
        <f>($A4/2)+B4+C4+D4+E4+F4+G4+H4+I4+J4+K4+L4+M4+O4+N4+($P4/2)</f>
        <v>5750000</v>
      </c>
    </row>
    <row r="8" spans="1:16" x14ac:dyDescent="0.2">
      <c r="A8" s="5" t="s">
        <v>85</v>
      </c>
      <c r="B8" s="89"/>
      <c r="C8" s="89">
        <f>+C7</f>
        <v>550000</v>
      </c>
      <c r="D8" s="89">
        <f t="shared" ref="D8:P8" si="2">+D7</f>
        <v>950000</v>
      </c>
      <c r="E8" s="89">
        <f t="shared" si="2"/>
        <v>1350000</v>
      </c>
      <c r="F8" s="90">
        <f t="shared" si="2"/>
        <v>1750000</v>
      </c>
      <c r="G8" s="89">
        <f t="shared" si="2"/>
        <v>2150000</v>
      </c>
      <c r="H8" s="89">
        <f t="shared" si="2"/>
        <v>2550000</v>
      </c>
      <c r="I8" s="90">
        <f t="shared" si="2"/>
        <v>2950000</v>
      </c>
      <c r="J8" s="89">
        <f t="shared" si="2"/>
        <v>3350000</v>
      </c>
      <c r="K8" s="89">
        <f t="shared" si="2"/>
        <v>3750000</v>
      </c>
      <c r="L8" s="90">
        <f t="shared" si="2"/>
        <v>4150000</v>
      </c>
      <c r="M8" s="90">
        <f t="shared" si="2"/>
        <v>4550000</v>
      </c>
      <c r="N8" s="89">
        <f t="shared" si="2"/>
        <v>4950000</v>
      </c>
      <c r="O8" s="89">
        <f t="shared" si="2"/>
        <v>5350000</v>
      </c>
      <c r="P8" s="90">
        <f t="shared" si="2"/>
        <v>5750000</v>
      </c>
    </row>
    <row r="9" spans="1:16" x14ac:dyDescent="0.2">
      <c r="A9" s="92"/>
      <c r="B9" s="92"/>
      <c r="C9" s="92"/>
      <c r="D9" s="92"/>
      <c r="E9" s="92"/>
      <c r="F9" s="93">
        <v>9.375E-2</v>
      </c>
      <c r="G9" s="92"/>
      <c r="H9" s="92"/>
      <c r="I9" s="94"/>
    </row>
    <row r="10" spans="1:16" x14ac:dyDescent="0.2">
      <c r="A10" s="27" t="s">
        <v>51</v>
      </c>
      <c r="B10" s="27" t="s">
        <v>86</v>
      </c>
    </row>
    <row r="11" spans="1:16" x14ac:dyDescent="0.2">
      <c r="A11" s="6"/>
      <c r="B11" s="6"/>
      <c r="C11" s="6" t="s">
        <v>69</v>
      </c>
      <c r="D11" s="6" t="s">
        <v>70</v>
      </c>
      <c r="E11" s="6" t="s">
        <v>71</v>
      </c>
      <c r="F11" s="6" t="s">
        <v>72</v>
      </c>
      <c r="G11" s="6" t="s">
        <v>73</v>
      </c>
      <c r="H11" s="6" t="s">
        <v>74</v>
      </c>
      <c r="I11" s="6" t="s">
        <v>75</v>
      </c>
      <c r="J11" s="6" t="s">
        <v>76</v>
      </c>
      <c r="K11" s="6" t="s">
        <v>77</v>
      </c>
      <c r="L11" s="6" t="s">
        <v>78</v>
      </c>
      <c r="M11" s="6" t="s">
        <v>79</v>
      </c>
      <c r="N11" s="6" t="s">
        <v>80</v>
      </c>
      <c r="O11" s="6" t="s">
        <v>81</v>
      </c>
      <c r="P11" s="6" t="s">
        <v>82</v>
      </c>
    </row>
    <row r="12" spans="1:16" x14ac:dyDescent="0.2">
      <c r="A12" s="6" t="s">
        <v>87</v>
      </c>
      <c r="B12" s="95" t="s">
        <v>88</v>
      </c>
      <c r="C12" s="6" t="s">
        <v>55</v>
      </c>
      <c r="D12" s="6" t="s">
        <v>56</v>
      </c>
      <c r="E12" s="6" t="s">
        <v>57</v>
      </c>
      <c r="F12" s="6" t="s">
        <v>58</v>
      </c>
      <c r="G12" s="6" t="s">
        <v>59</v>
      </c>
      <c r="H12" s="6" t="s">
        <v>60</v>
      </c>
      <c r="I12" s="6" t="s">
        <v>61</v>
      </c>
      <c r="J12" s="6" t="s">
        <v>62</v>
      </c>
      <c r="K12" s="6" t="s">
        <v>63</v>
      </c>
      <c r="L12" s="6" t="s">
        <v>64</v>
      </c>
      <c r="M12" s="6" t="s">
        <v>65</v>
      </c>
      <c r="N12" s="6" t="s">
        <v>66</v>
      </c>
      <c r="O12" s="6" t="s">
        <v>67</v>
      </c>
      <c r="P12" s="6" t="s">
        <v>68</v>
      </c>
    </row>
    <row r="13" spans="1:16" x14ac:dyDescent="0.2">
      <c r="A13" s="96">
        <v>350</v>
      </c>
      <c r="B13" s="96">
        <v>1000</v>
      </c>
      <c r="C13" s="97">
        <v>900</v>
      </c>
      <c r="D13" s="97">
        <f>+C13</f>
        <v>900</v>
      </c>
      <c r="E13" s="97">
        <f t="shared" ref="E13:H13" si="3">+D13</f>
        <v>900</v>
      </c>
      <c r="F13" s="97">
        <f t="shared" si="3"/>
        <v>900</v>
      </c>
      <c r="G13" s="97">
        <f t="shared" si="3"/>
        <v>900</v>
      </c>
      <c r="H13" s="97">
        <f t="shared" si="3"/>
        <v>900</v>
      </c>
      <c r="I13" s="97">
        <f>+H13</f>
        <v>900</v>
      </c>
      <c r="J13" s="97">
        <f t="shared" ref="J13:O13" si="4">+I13</f>
        <v>900</v>
      </c>
      <c r="K13" s="97">
        <f t="shared" si="4"/>
        <v>900</v>
      </c>
      <c r="L13" s="97">
        <f t="shared" si="4"/>
        <v>900</v>
      </c>
      <c r="M13" s="97">
        <f t="shared" si="4"/>
        <v>900</v>
      </c>
      <c r="N13" s="97">
        <f t="shared" si="4"/>
        <v>900</v>
      </c>
      <c r="O13" s="97">
        <f t="shared" si="4"/>
        <v>900</v>
      </c>
      <c r="P13" s="97">
        <f>+A13</f>
        <v>350</v>
      </c>
    </row>
    <row r="14" spans="1:16" x14ac:dyDescent="0.2">
      <c r="A14" s="96"/>
      <c r="B14" s="96"/>
      <c r="C14" s="6" t="s">
        <v>69</v>
      </c>
      <c r="D14" s="6" t="s">
        <v>70</v>
      </c>
      <c r="E14" s="6" t="s">
        <v>71</v>
      </c>
      <c r="F14" s="80" t="s">
        <v>72</v>
      </c>
      <c r="G14" s="6" t="s">
        <v>73</v>
      </c>
      <c r="H14" s="6" t="s">
        <v>74</v>
      </c>
      <c r="I14" s="80" t="s">
        <v>75</v>
      </c>
      <c r="J14" s="6" t="s">
        <v>76</v>
      </c>
      <c r="K14" s="6" t="s">
        <v>77</v>
      </c>
      <c r="L14" s="80" t="s">
        <v>78</v>
      </c>
      <c r="M14" s="80" t="s">
        <v>79</v>
      </c>
      <c r="N14" s="6" t="s">
        <v>80</v>
      </c>
      <c r="O14" s="6" t="s">
        <v>81</v>
      </c>
      <c r="P14" s="80" t="s">
        <v>82</v>
      </c>
    </row>
    <row r="15" spans="1:16" x14ac:dyDescent="0.2">
      <c r="A15" s="5" t="s">
        <v>83</v>
      </c>
      <c r="B15" s="96"/>
      <c r="C15" s="96">
        <f>+C16*1.4</f>
        <v>1889.9999999999998</v>
      </c>
      <c r="D15" s="96">
        <f t="shared" ref="D15:P15" si="5">+D16*1.4</f>
        <v>3150</v>
      </c>
      <c r="E15" s="96">
        <f t="shared" si="5"/>
        <v>4410</v>
      </c>
      <c r="F15" s="98">
        <f t="shared" si="5"/>
        <v>5670</v>
      </c>
      <c r="G15" s="96">
        <f t="shared" si="5"/>
        <v>6930</v>
      </c>
      <c r="H15" s="96">
        <f t="shared" si="5"/>
        <v>8189.9999999999991</v>
      </c>
      <c r="I15" s="98">
        <f t="shared" si="5"/>
        <v>9450</v>
      </c>
      <c r="J15" s="97">
        <f t="shared" si="5"/>
        <v>10710</v>
      </c>
      <c r="K15" s="97">
        <f t="shared" si="5"/>
        <v>11970</v>
      </c>
      <c r="L15" s="98">
        <f t="shared" si="5"/>
        <v>13230</v>
      </c>
      <c r="M15" s="98">
        <f t="shared" si="5"/>
        <v>14489.999999999998</v>
      </c>
      <c r="N15" s="97">
        <f t="shared" si="5"/>
        <v>15749.999999999998</v>
      </c>
      <c r="O15" s="97">
        <f t="shared" si="5"/>
        <v>17010</v>
      </c>
      <c r="P15" s="98">
        <f t="shared" si="5"/>
        <v>18270</v>
      </c>
    </row>
    <row r="16" spans="1:16" x14ac:dyDescent="0.2">
      <c r="A16" s="5" t="s">
        <v>84</v>
      </c>
      <c r="B16" s="89"/>
      <c r="C16" s="96">
        <f>($A13/2)+B13+($P13/2)</f>
        <v>1350</v>
      </c>
      <c r="D16" s="96">
        <f>($A13/2)+C13+B13+($P13/2)</f>
        <v>2250</v>
      </c>
      <c r="E16" s="96">
        <f>($A13/2)+B13+D13+C13+($P13/2)</f>
        <v>3150</v>
      </c>
      <c r="F16" s="98">
        <f>($A13/2)+B13+C13+E13+D13+($P13/2)</f>
        <v>4050</v>
      </c>
      <c r="G16" s="96">
        <f>($A13/2)+B13+C13+D13+F13+E13+($P13/2)</f>
        <v>4950</v>
      </c>
      <c r="H16" s="96">
        <f>($A13/2)+B13+C13+D13+E13+G13+F13+($P13/2)</f>
        <v>5850</v>
      </c>
      <c r="I16" s="98">
        <f>($A13/2)+B13+C13+D13+E13+F13+H13+G13+($P13/2)</f>
        <v>6750</v>
      </c>
      <c r="J16" s="97">
        <f>($A13/2)+B13+C13+D13+E13+F13+G13+I13+H13+($P13/2)</f>
        <v>7650</v>
      </c>
      <c r="K16" s="97">
        <f>($A13/2)+B13+C13+D13+E13+F13+G13+H13+J13+I13+($P13/2)</f>
        <v>8550</v>
      </c>
      <c r="L16" s="98">
        <f>($A13/2)+B13+C13+D13+E13+F13+G13+H13+I13+K13+J13+($P13/2)</f>
        <v>9450</v>
      </c>
      <c r="M16" s="98">
        <f>($A13/2)+B13+C13+D13+E13+F13+G13+H13+I13+J13+L13+K13+($P13/2)</f>
        <v>10350</v>
      </c>
      <c r="N16" s="97">
        <f>($A13/2)+B13+C13+D13+E13+F13+G13+H13+I13+J13+K13+M13+L13+($P13/2)</f>
        <v>11250</v>
      </c>
      <c r="O16" s="97">
        <f>($A13/2)+B13+C13+D13+E13+F13+G13+H13+I13+J13+K13+L13+N13+M13+($P13/2)</f>
        <v>12150</v>
      </c>
      <c r="P16" s="98">
        <f>($A13/2)+B13+C13+D13+E13+F13+G13+H13+I13+J13+K13+L13+M13+O13+N13+($P13/2)</f>
        <v>13050</v>
      </c>
    </row>
    <row r="17" spans="1:16" x14ac:dyDescent="0.2">
      <c r="A17" s="5" t="s">
        <v>89</v>
      </c>
      <c r="B17" s="89"/>
      <c r="C17" s="96">
        <f>+C16*0.7</f>
        <v>944.99999999999989</v>
      </c>
      <c r="D17" s="96">
        <f t="shared" ref="D17:P17" si="6">+D16*0.7</f>
        <v>1575</v>
      </c>
      <c r="E17" s="96">
        <f t="shared" si="6"/>
        <v>2205</v>
      </c>
      <c r="F17" s="98">
        <f t="shared" si="6"/>
        <v>2835</v>
      </c>
      <c r="G17" s="96">
        <f t="shared" si="6"/>
        <v>3465</v>
      </c>
      <c r="H17" s="96">
        <f t="shared" si="6"/>
        <v>4094.9999999999995</v>
      </c>
      <c r="I17" s="98">
        <f t="shared" si="6"/>
        <v>4725</v>
      </c>
      <c r="J17" s="97">
        <f t="shared" si="6"/>
        <v>5355</v>
      </c>
      <c r="K17" s="97">
        <f t="shared" si="6"/>
        <v>5985</v>
      </c>
      <c r="L17" s="98">
        <f t="shared" si="6"/>
        <v>6615</v>
      </c>
      <c r="M17" s="98">
        <f t="shared" si="6"/>
        <v>7244.9999999999991</v>
      </c>
      <c r="N17" s="97">
        <f t="shared" si="6"/>
        <v>7874.9999999999991</v>
      </c>
      <c r="O17" s="97">
        <f t="shared" si="6"/>
        <v>8505</v>
      </c>
      <c r="P17" s="98">
        <f t="shared" si="6"/>
        <v>9135</v>
      </c>
    </row>
    <row r="18" spans="1:16" x14ac:dyDescent="0.2">
      <c r="A18" s="92"/>
      <c r="B18" s="92"/>
      <c r="C18" s="92"/>
      <c r="D18" s="92"/>
      <c r="E18" s="92"/>
      <c r="F18" s="94"/>
      <c r="G18" s="92"/>
      <c r="H18" s="92"/>
      <c r="I18" s="93">
        <v>0.10655737704918034</v>
      </c>
    </row>
    <row r="19" spans="1:16" x14ac:dyDescent="0.2">
      <c r="A19" s="27" t="s">
        <v>90</v>
      </c>
      <c r="C19" s="92"/>
      <c r="D19" s="92"/>
      <c r="E19" s="92"/>
      <c r="F19" s="94"/>
      <c r="G19" s="92"/>
      <c r="H19" s="92"/>
    </row>
    <row r="20" spans="1:16" x14ac:dyDescent="0.2">
      <c r="C20" s="99" t="s">
        <v>52</v>
      </c>
      <c r="D20" s="99" t="s">
        <v>86</v>
      </c>
      <c r="E20" s="92"/>
      <c r="F20" s="94"/>
      <c r="G20" s="92"/>
      <c r="H20" s="92"/>
    </row>
    <row r="21" spans="1:16" x14ac:dyDescent="0.2">
      <c r="A21" t="s">
        <v>91</v>
      </c>
      <c r="B21" s="100"/>
      <c r="C21" s="101">
        <v>350000</v>
      </c>
      <c r="D21" s="102">
        <v>390</v>
      </c>
      <c r="E21" s="93">
        <v>0.16666666666666674</v>
      </c>
      <c r="F21" s="102" t="s">
        <v>92</v>
      </c>
      <c r="G21" s="100"/>
      <c r="H21" s="100"/>
      <c r="I21" s="102"/>
    </row>
    <row r="22" spans="1:16" x14ac:dyDescent="0.2">
      <c r="A22" t="s">
        <v>93</v>
      </c>
      <c r="B22" s="100"/>
      <c r="C22" s="101">
        <v>500000</v>
      </c>
      <c r="D22" s="102">
        <v>550</v>
      </c>
      <c r="E22" s="93">
        <v>0.11111111111111116</v>
      </c>
      <c r="F22" s="102" t="s">
        <v>94</v>
      </c>
      <c r="G22" s="100"/>
      <c r="H22" s="100"/>
      <c r="I22" s="102"/>
    </row>
    <row r="23" spans="1:16" x14ac:dyDescent="0.2">
      <c r="A23" s="103"/>
      <c r="B23" s="103"/>
      <c r="C23" s="103"/>
      <c r="D23" s="103"/>
      <c r="E23" s="103"/>
      <c r="F23" s="104"/>
      <c r="G23" s="103"/>
      <c r="H23" s="103"/>
      <c r="I23" s="104"/>
    </row>
    <row r="24" spans="1:16" x14ac:dyDescent="0.2">
      <c r="A24" s="102" t="s">
        <v>95</v>
      </c>
      <c r="B24" s="100"/>
      <c r="C24" s="103"/>
      <c r="D24" s="103"/>
      <c r="E24" s="103"/>
      <c r="F24" s="104"/>
      <c r="G24" s="103"/>
      <c r="H24" s="103"/>
      <c r="I24" s="104"/>
    </row>
    <row r="25" spans="1:16" x14ac:dyDescent="0.2">
      <c r="A25" s="102" t="s">
        <v>96</v>
      </c>
      <c r="B25" s="100"/>
      <c r="C25" s="103"/>
      <c r="D25" s="103"/>
      <c r="E25" s="103"/>
      <c r="F25" s="104"/>
      <c r="G25" s="103"/>
      <c r="H25" s="103"/>
      <c r="I25" s="104"/>
    </row>
    <row r="26" spans="1:16" x14ac:dyDescent="0.2">
      <c r="A26" s="103"/>
      <c r="B26" s="103"/>
      <c r="C26" s="103"/>
      <c r="D26" s="103"/>
      <c r="E26" s="103"/>
      <c r="F26" s="104"/>
      <c r="G26" s="103"/>
      <c r="H26" s="103"/>
      <c r="I26" s="104"/>
    </row>
    <row r="27" spans="1:16" x14ac:dyDescent="0.2">
      <c r="A27" s="102" t="s">
        <v>97</v>
      </c>
      <c r="B27" s="102" t="s">
        <v>98</v>
      </c>
      <c r="C27" s="103"/>
      <c r="D27" s="103"/>
      <c r="E27" s="103"/>
      <c r="F27" s="104"/>
      <c r="G27" s="103"/>
      <c r="H27" s="103"/>
      <c r="I27" s="104"/>
    </row>
    <row r="28" spans="1:16" x14ac:dyDescent="0.2">
      <c r="A28" s="103"/>
      <c r="B28" s="103"/>
      <c r="C28" s="103"/>
      <c r="D28" s="103"/>
      <c r="E28" s="103"/>
      <c r="F28" s="104"/>
      <c r="G28" s="103"/>
      <c r="H28" s="103"/>
      <c r="I28" s="104"/>
    </row>
    <row r="29" spans="1:16" x14ac:dyDescent="0.2">
      <c r="C29" s="103"/>
      <c r="D29" s="103"/>
      <c r="E29" s="103"/>
      <c r="F29" s="104"/>
      <c r="G29" s="103"/>
      <c r="H29" s="103"/>
      <c r="I29" s="104"/>
    </row>
    <row r="30" spans="1:16" x14ac:dyDescent="0.2">
      <c r="C30" s="103"/>
      <c r="D30" s="103"/>
      <c r="E30" s="103"/>
      <c r="F30" s="104"/>
      <c r="G30" s="103"/>
      <c r="H30" s="103"/>
      <c r="I30" s="104"/>
    </row>
    <row r="40" customFormat="1" x14ac:dyDescent="0.2"/>
    <row r="41" customFormat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B527-E72B-4C6C-934F-66A65A6A46D2}">
  <sheetPr codeName="Hoja8">
    <tabColor theme="1"/>
  </sheetPr>
  <dimension ref="A1:M501"/>
  <sheetViews>
    <sheetView workbookViewId="0">
      <selection activeCell="H5" sqref="H5"/>
    </sheetView>
  </sheetViews>
  <sheetFormatPr baseColWidth="10" defaultRowHeight="15" x14ac:dyDescent="0.2"/>
  <cols>
    <col min="2" max="2" width="10.83203125" style="3"/>
    <col min="5" max="5" width="10.83203125" style="3"/>
    <col min="8" max="8" width="12.33203125" bestFit="1" customWidth="1"/>
    <col min="10" max="10" width="12.83203125" bestFit="1" customWidth="1"/>
  </cols>
  <sheetData>
    <row r="1" spans="1:13" s="152" customFormat="1" ht="32" x14ac:dyDescent="0.2">
      <c r="A1" s="152" t="s">
        <v>135</v>
      </c>
      <c r="B1" s="153" t="s">
        <v>176</v>
      </c>
      <c r="C1" s="152" t="s">
        <v>137</v>
      </c>
      <c r="D1" s="152" t="s">
        <v>138</v>
      </c>
      <c r="E1" s="152" t="s">
        <v>145</v>
      </c>
      <c r="F1" s="152" t="s">
        <v>179</v>
      </c>
      <c r="G1" s="152" t="s">
        <v>184</v>
      </c>
      <c r="H1" s="152" t="s">
        <v>318</v>
      </c>
      <c r="I1" s="152" t="s">
        <v>193</v>
      </c>
      <c r="J1" s="152" t="s">
        <v>321</v>
      </c>
      <c r="K1" s="152" t="s">
        <v>325</v>
      </c>
    </row>
    <row r="2" spans="1:13" x14ac:dyDescent="0.2">
      <c r="A2" t="s">
        <v>238</v>
      </c>
      <c r="B2" s="3">
        <v>1</v>
      </c>
      <c r="C2" t="s">
        <v>240</v>
      </c>
      <c r="D2" t="s">
        <v>242</v>
      </c>
      <c r="E2" s="3">
        <v>1</v>
      </c>
      <c r="F2" t="s">
        <v>245</v>
      </c>
      <c r="G2" t="s">
        <v>247</v>
      </c>
      <c r="H2" t="s">
        <v>320</v>
      </c>
      <c r="I2" s="278">
        <v>0.01</v>
      </c>
      <c r="J2" t="s">
        <v>322</v>
      </c>
      <c r="K2" s="298" t="str" cm="1">
        <f t="array" ref="K2:K17">_xlfn.LET(_xlpm.l, _xlfn.UNIQUE(_xlfn._xlws.FILTER(BBDD!$B$3:$B$1988, BBDD!$B$3:$B$1988&lt;&gt;"")),_xlfn.SORTBY(_xlpm.l, VALUE(SUBSTITUTE(_xlpm.l, "Grupo ", "")), 1))</f>
        <v>Grupo 3</v>
      </c>
      <c r="M2" t="str" cm="1">
        <f t="array" ref="M2:M17">_xlfn._xlws.SORT(_xlfn.UNIQUE(_xlfn._xlws.FILTER(BBDD!$B$3:$B$1988,BBDD!$B$3:$B$1988&lt;&gt;"")))</f>
        <v>Grupo 10</v>
      </c>
    </row>
    <row r="3" spans="1:13" x14ac:dyDescent="0.2">
      <c r="A3" t="s">
        <v>239</v>
      </c>
      <c r="B3" s="3">
        <v>2</v>
      </c>
      <c r="C3" t="s">
        <v>241</v>
      </c>
      <c r="D3" t="s">
        <v>243</v>
      </c>
      <c r="E3" s="3">
        <v>2</v>
      </c>
      <c r="F3" t="s">
        <v>246</v>
      </c>
      <c r="G3" t="s">
        <v>248</v>
      </c>
      <c r="H3" t="s">
        <v>343</v>
      </c>
      <c r="I3" s="278">
        <f>+I2+1%</f>
        <v>0.02</v>
      </c>
      <c r="J3" t="s">
        <v>323</v>
      </c>
      <c r="K3" s="299" t="str">
        <v>Grupo 4</v>
      </c>
      <c r="M3" t="str">
        <v>Grupo 11</v>
      </c>
    </row>
    <row r="4" spans="1:13" x14ac:dyDescent="0.2">
      <c r="B4" s="3">
        <v>3</v>
      </c>
      <c r="D4" t="s">
        <v>244</v>
      </c>
      <c r="E4" s="3">
        <v>3</v>
      </c>
      <c r="H4" t="s">
        <v>399</v>
      </c>
      <c r="I4" s="278">
        <f t="shared" ref="I4:I67" si="0">+I3+1%</f>
        <v>0.03</v>
      </c>
      <c r="J4" t="s">
        <v>324</v>
      </c>
      <c r="K4" t="str">
        <v>Grupo 5</v>
      </c>
      <c r="M4" t="str">
        <v>Grupo 12</v>
      </c>
    </row>
    <row r="5" spans="1:13" x14ac:dyDescent="0.2">
      <c r="B5" s="3">
        <v>4</v>
      </c>
      <c r="E5" s="3">
        <v>4</v>
      </c>
      <c r="I5" s="278">
        <f t="shared" si="0"/>
        <v>0.04</v>
      </c>
      <c r="K5" t="str">
        <v>Grupo 6</v>
      </c>
      <c r="M5" t="str">
        <v>Grupo 13</v>
      </c>
    </row>
    <row r="6" spans="1:13" x14ac:dyDescent="0.2">
      <c r="B6" s="3">
        <v>5</v>
      </c>
      <c r="E6" s="3">
        <v>5</v>
      </c>
      <c r="I6" s="278">
        <f t="shared" si="0"/>
        <v>0.05</v>
      </c>
      <c r="K6" t="str">
        <v>Grupo 7</v>
      </c>
      <c r="M6" t="str">
        <v>Grupo 14</v>
      </c>
    </row>
    <row r="7" spans="1:13" x14ac:dyDescent="0.2">
      <c r="B7" s="3">
        <v>6</v>
      </c>
      <c r="E7" s="3">
        <v>6</v>
      </c>
      <c r="I7" s="278">
        <f t="shared" si="0"/>
        <v>6.0000000000000005E-2</v>
      </c>
      <c r="K7" t="str">
        <v>Grupo 8</v>
      </c>
      <c r="M7" t="str">
        <v>Grupo 15</v>
      </c>
    </row>
    <row r="8" spans="1:13" x14ac:dyDescent="0.2">
      <c r="B8" s="3">
        <v>7</v>
      </c>
      <c r="E8" s="3">
        <v>7</v>
      </c>
      <c r="I8" s="278">
        <f t="shared" si="0"/>
        <v>7.0000000000000007E-2</v>
      </c>
      <c r="K8" t="str">
        <v>Grupo 9</v>
      </c>
      <c r="M8" t="str">
        <v>Grupo 16</v>
      </c>
    </row>
    <row r="9" spans="1:13" x14ac:dyDescent="0.2">
      <c r="B9" s="3">
        <v>8</v>
      </c>
      <c r="E9" s="3">
        <v>8</v>
      </c>
      <c r="I9" s="278">
        <f t="shared" si="0"/>
        <v>0.08</v>
      </c>
      <c r="K9" t="str">
        <v>Grupo 10</v>
      </c>
      <c r="M9" t="str">
        <v>Grupo 3</v>
      </c>
    </row>
    <row r="10" spans="1:13" x14ac:dyDescent="0.2">
      <c r="B10" s="3">
        <v>9</v>
      </c>
      <c r="E10" s="3">
        <v>9</v>
      </c>
      <c r="I10" s="278">
        <f t="shared" si="0"/>
        <v>0.09</v>
      </c>
      <c r="K10" t="str">
        <v>Grupo 11</v>
      </c>
      <c r="M10" t="str">
        <v>Grupo 4</v>
      </c>
    </row>
    <row r="11" spans="1:13" x14ac:dyDescent="0.2">
      <c r="B11" s="3">
        <v>10</v>
      </c>
      <c r="E11" s="3">
        <v>10</v>
      </c>
      <c r="I11" s="278">
        <f t="shared" si="0"/>
        <v>9.9999999999999992E-2</v>
      </c>
      <c r="K11" t="str">
        <v>Grupo 12</v>
      </c>
      <c r="M11" t="str">
        <v>Grupo 5</v>
      </c>
    </row>
    <row r="12" spans="1:13" x14ac:dyDescent="0.2">
      <c r="B12" s="3">
        <v>11</v>
      </c>
      <c r="E12" s="3">
        <v>11</v>
      </c>
      <c r="I12" s="278">
        <f t="shared" si="0"/>
        <v>0.10999999999999999</v>
      </c>
      <c r="K12" t="str">
        <v>Grupo 13</v>
      </c>
      <c r="M12" t="str">
        <v>Grupo 6</v>
      </c>
    </row>
    <row r="13" spans="1:13" x14ac:dyDescent="0.2">
      <c r="B13" s="3">
        <v>12</v>
      </c>
      <c r="E13" s="3">
        <v>12</v>
      </c>
      <c r="I13" s="278">
        <f t="shared" si="0"/>
        <v>0.11999999999999998</v>
      </c>
      <c r="K13" t="str">
        <v>Grupo 14</v>
      </c>
      <c r="M13" t="str">
        <v>Grupo 7</v>
      </c>
    </row>
    <row r="14" spans="1:13" x14ac:dyDescent="0.2">
      <c r="B14" s="3">
        <v>13</v>
      </c>
      <c r="E14" s="3">
        <v>13</v>
      </c>
      <c r="I14" s="278">
        <f t="shared" si="0"/>
        <v>0.12999999999999998</v>
      </c>
      <c r="K14" t="str">
        <v>Grupo 15</v>
      </c>
      <c r="M14" t="str">
        <v>Grupo 8</v>
      </c>
    </row>
    <row r="15" spans="1:13" x14ac:dyDescent="0.2">
      <c r="B15" s="3">
        <v>14</v>
      </c>
      <c r="E15" s="3">
        <v>14</v>
      </c>
      <c r="I15" s="278">
        <f t="shared" si="0"/>
        <v>0.13999999999999999</v>
      </c>
      <c r="K15" t="str">
        <v>Grupo 16</v>
      </c>
      <c r="M15" t="str">
        <v>Grupo 9</v>
      </c>
    </row>
    <row r="16" spans="1:13" x14ac:dyDescent="0.2">
      <c r="B16" s="3">
        <v>15</v>
      </c>
      <c r="E16" s="3">
        <v>15</v>
      </c>
      <c r="I16" s="278">
        <f t="shared" si="0"/>
        <v>0.15</v>
      </c>
      <c r="K16" t="str">
        <v>Grupo N˚10</v>
      </c>
      <c r="M16" t="str">
        <v>Grupo N˚10</v>
      </c>
    </row>
    <row r="17" spans="2:13" x14ac:dyDescent="0.2">
      <c r="B17" s="3">
        <v>16</v>
      </c>
      <c r="E17" s="3">
        <v>16</v>
      </c>
      <c r="I17" s="278">
        <f t="shared" si="0"/>
        <v>0.16</v>
      </c>
      <c r="K17" t="str">
        <v>Grupo N10</v>
      </c>
      <c r="M17" t="str">
        <v>Grupo N10</v>
      </c>
    </row>
    <row r="18" spans="2:13" x14ac:dyDescent="0.2">
      <c r="B18" s="3">
        <v>17</v>
      </c>
      <c r="E18" s="3">
        <v>17</v>
      </c>
      <c r="I18" s="278">
        <f t="shared" si="0"/>
        <v>0.17</v>
      </c>
    </row>
    <row r="19" spans="2:13" x14ac:dyDescent="0.2">
      <c r="B19" s="3">
        <v>18</v>
      </c>
      <c r="E19" s="3">
        <v>18</v>
      </c>
      <c r="I19" s="278">
        <f t="shared" si="0"/>
        <v>0.18000000000000002</v>
      </c>
    </row>
    <row r="20" spans="2:13" x14ac:dyDescent="0.2">
      <c r="B20" s="3">
        <v>19</v>
      </c>
      <c r="E20" s="3">
        <v>19</v>
      </c>
      <c r="I20" s="278">
        <f t="shared" si="0"/>
        <v>0.19000000000000003</v>
      </c>
    </row>
    <row r="21" spans="2:13" x14ac:dyDescent="0.2">
      <c r="B21" s="3">
        <v>20</v>
      </c>
      <c r="E21" s="3">
        <v>20</v>
      </c>
      <c r="I21" s="278">
        <f t="shared" si="0"/>
        <v>0.20000000000000004</v>
      </c>
    </row>
    <row r="22" spans="2:13" x14ac:dyDescent="0.2">
      <c r="E22" s="3">
        <v>21</v>
      </c>
      <c r="I22" s="278">
        <f t="shared" si="0"/>
        <v>0.21000000000000005</v>
      </c>
    </row>
    <row r="23" spans="2:13" x14ac:dyDescent="0.2">
      <c r="E23" s="3">
        <v>22</v>
      </c>
      <c r="I23" s="278">
        <f t="shared" si="0"/>
        <v>0.22000000000000006</v>
      </c>
    </row>
    <row r="24" spans="2:13" x14ac:dyDescent="0.2">
      <c r="E24" s="3">
        <v>23</v>
      </c>
      <c r="I24" s="278">
        <f t="shared" si="0"/>
        <v>0.23000000000000007</v>
      </c>
    </row>
    <row r="25" spans="2:13" x14ac:dyDescent="0.2">
      <c r="E25" s="3">
        <v>24</v>
      </c>
      <c r="I25" s="278">
        <f t="shared" si="0"/>
        <v>0.24000000000000007</v>
      </c>
    </row>
    <row r="26" spans="2:13" x14ac:dyDescent="0.2">
      <c r="E26" s="3">
        <v>25</v>
      </c>
      <c r="I26" s="278">
        <f t="shared" si="0"/>
        <v>0.25000000000000006</v>
      </c>
    </row>
    <row r="27" spans="2:13" x14ac:dyDescent="0.2">
      <c r="E27" s="3">
        <v>26</v>
      </c>
      <c r="I27" s="278">
        <f t="shared" si="0"/>
        <v>0.26000000000000006</v>
      </c>
    </row>
    <row r="28" spans="2:13" x14ac:dyDescent="0.2">
      <c r="E28" s="3">
        <v>27</v>
      </c>
      <c r="I28" s="278">
        <f t="shared" si="0"/>
        <v>0.27000000000000007</v>
      </c>
    </row>
    <row r="29" spans="2:13" x14ac:dyDescent="0.2">
      <c r="E29" s="3">
        <v>28</v>
      </c>
      <c r="I29" s="278">
        <f t="shared" si="0"/>
        <v>0.28000000000000008</v>
      </c>
    </row>
    <row r="30" spans="2:13" x14ac:dyDescent="0.2">
      <c r="E30" s="3">
        <v>29</v>
      </c>
      <c r="I30" s="278">
        <f t="shared" si="0"/>
        <v>0.29000000000000009</v>
      </c>
    </row>
    <row r="31" spans="2:13" x14ac:dyDescent="0.2">
      <c r="E31" s="3">
        <v>30</v>
      </c>
      <c r="I31" s="278">
        <f t="shared" si="0"/>
        <v>0.3000000000000001</v>
      </c>
    </row>
    <row r="32" spans="2:13" x14ac:dyDescent="0.2">
      <c r="E32" s="3">
        <v>31</v>
      </c>
      <c r="I32" s="278">
        <f t="shared" si="0"/>
        <v>0.31000000000000011</v>
      </c>
    </row>
    <row r="33" spans="5:9" x14ac:dyDescent="0.2">
      <c r="E33" s="3">
        <v>32</v>
      </c>
      <c r="I33" s="278">
        <f t="shared" si="0"/>
        <v>0.32000000000000012</v>
      </c>
    </row>
    <row r="34" spans="5:9" x14ac:dyDescent="0.2">
      <c r="E34" s="3">
        <v>33</v>
      </c>
      <c r="I34" s="278">
        <f t="shared" si="0"/>
        <v>0.33000000000000013</v>
      </c>
    </row>
    <row r="35" spans="5:9" x14ac:dyDescent="0.2">
      <c r="E35" s="3">
        <v>34</v>
      </c>
      <c r="I35" s="278">
        <f t="shared" si="0"/>
        <v>0.34000000000000014</v>
      </c>
    </row>
    <row r="36" spans="5:9" x14ac:dyDescent="0.2">
      <c r="E36" s="3">
        <v>35</v>
      </c>
      <c r="I36" s="278">
        <f t="shared" si="0"/>
        <v>0.35000000000000014</v>
      </c>
    </row>
    <row r="37" spans="5:9" x14ac:dyDescent="0.2">
      <c r="E37" s="3">
        <v>36</v>
      </c>
      <c r="I37" s="278">
        <f t="shared" si="0"/>
        <v>0.36000000000000015</v>
      </c>
    </row>
    <row r="38" spans="5:9" x14ac:dyDescent="0.2">
      <c r="E38" s="3">
        <v>37</v>
      </c>
      <c r="I38" s="278">
        <f t="shared" si="0"/>
        <v>0.37000000000000016</v>
      </c>
    </row>
    <row r="39" spans="5:9" x14ac:dyDescent="0.2">
      <c r="E39" s="3">
        <v>38</v>
      </c>
      <c r="I39" s="278">
        <f t="shared" si="0"/>
        <v>0.38000000000000017</v>
      </c>
    </row>
    <row r="40" spans="5:9" x14ac:dyDescent="0.2">
      <c r="E40" s="3">
        <v>39</v>
      </c>
      <c r="I40" s="278">
        <f t="shared" si="0"/>
        <v>0.39000000000000018</v>
      </c>
    </row>
    <row r="41" spans="5:9" x14ac:dyDescent="0.2">
      <c r="E41" s="3">
        <v>40</v>
      </c>
      <c r="I41" s="278">
        <f t="shared" si="0"/>
        <v>0.40000000000000019</v>
      </c>
    </row>
    <row r="42" spans="5:9" x14ac:dyDescent="0.2">
      <c r="E42" s="3">
        <v>41</v>
      </c>
      <c r="I42" s="278">
        <f t="shared" si="0"/>
        <v>0.4100000000000002</v>
      </c>
    </row>
    <row r="43" spans="5:9" x14ac:dyDescent="0.2">
      <c r="E43" s="3">
        <v>42</v>
      </c>
      <c r="I43" s="278">
        <f t="shared" si="0"/>
        <v>0.42000000000000021</v>
      </c>
    </row>
    <row r="44" spans="5:9" x14ac:dyDescent="0.2">
      <c r="E44" s="3">
        <v>43</v>
      </c>
      <c r="I44" s="278">
        <f t="shared" si="0"/>
        <v>0.43000000000000022</v>
      </c>
    </row>
    <row r="45" spans="5:9" x14ac:dyDescent="0.2">
      <c r="E45" s="3">
        <v>44</v>
      </c>
      <c r="I45" s="278">
        <f t="shared" si="0"/>
        <v>0.44000000000000022</v>
      </c>
    </row>
    <row r="46" spans="5:9" x14ac:dyDescent="0.2">
      <c r="E46" s="3">
        <v>45</v>
      </c>
      <c r="I46" s="278">
        <f t="shared" si="0"/>
        <v>0.45000000000000023</v>
      </c>
    </row>
    <row r="47" spans="5:9" x14ac:dyDescent="0.2">
      <c r="E47" s="3">
        <v>46</v>
      </c>
      <c r="I47" s="278">
        <f t="shared" si="0"/>
        <v>0.46000000000000024</v>
      </c>
    </row>
    <row r="48" spans="5:9" x14ac:dyDescent="0.2">
      <c r="E48" s="3">
        <v>47</v>
      </c>
      <c r="I48" s="278">
        <f t="shared" si="0"/>
        <v>0.47000000000000025</v>
      </c>
    </row>
    <row r="49" spans="5:9" x14ac:dyDescent="0.2">
      <c r="E49" s="3">
        <v>48</v>
      </c>
      <c r="I49" s="278">
        <f t="shared" si="0"/>
        <v>0.48000000000000026</v>
      </c>
    </row>
    <row r="50" spans="5:9" x14ac:dyDescent="0.2">
      <c r="E50" s="3">
        <v>49</v>
      </c>
      <c r="I50" s="278">
        <f t="shared" si="0"/>
        <v>0.49000000000000027</v>
      </c>
    </row>
    <row r="51" spans="5:9" x14ac:dyDescent="0.2">
      <c r="E51" s="3">
        <v>50</v>
      </c>
      <c r="I51" s="278">
        <f t="shared" si="0"/>
        <v>0.50000000000000022</v>
      </c>
    </row>
    <row r="52" spans="5:9" x14ac:dyDescent="0.2">
      <c r="E52" s="3">
        <v>51</v>
      </c>
      <c r="I52" s="278">
        <f t="shared" si="0"/>
        <v>0.51000000000000023</v>
      </c>
    </row>
    <row r="53" spans="5:9" x14ac:dyDescent="0.2">
      <c r="E53" s="3">
        <v>52</v>
      </c>
      <c r="I53" s="278">
        <f t="shared" si="0"/>
        <v>0.52000000000000024</v>
      </c>
    </row>
    <row r="54" spans="5:9" x14ac:dyDescent="0.2">
      <c r="E54" s="3">
        <v>53</v>
      </c>
      <c r="I54" s="278">
        <f t="shared" si="0"/>
        <v>0.53000000000000025</v>
      </c>
    </row>
    <row r="55" spans="5:9" x14ac:dyDescent="0.2">
      <c r="E55" s="3">
        <v>54</v>
      </c>
      <c r="I55" s="278">
        <f t="shared" si="0"/>
        <v>0.54000000000000026</v>
      </c>
    </row>
    <row r="56" spans="5:9" x14ac:dyDescent="0.2">
      <c r="E56" s="3">
        <v>55</v>
      </c>
      <c r="I56" s="278">
        <f t="shared" si="0"/>
        <v>0.55000000000000027</v>
      </c>
    </row>
    <row r="57" spans="5:9" x14ac:dyDescent="0.2">
      <c r="E57" s="3">
        <v>56</v>
      </c>
      <c r="I57" s="278">
        <f t="shared" si="0"/>
        <v>0.56000000000000028</v>
      </c>
    </row>
    <row r="58" spans="5:9" x14ac:dyDescent="0.2">
      <c r="E58" s="3">
        <v>57</v>
      </c>
      <c r="I58" s="278">
        <f t="shared" si="0"/>
        <v>0.57000000000000028</v>
      </c>
    </row>
    <row r="59" spans="5:9" x14ac:dyDescent="0.2">
      <c r="E59" s="3">
        <v>58</v>
      </c>
      <c r="I59" s="278">
        <f t="shared" si="0"/>
        <v>0.58000000000000029</v>
      </c>
    </row>
    <row r="60" spans="5:9" x14ac:dyDescent="0.2">
      <c r="E60" s="3">
        <v>59</v>
      </c>
      <c r="I60" s="278">
        <f t="shared" si="0"/>
        <v>0.5900000000000003</v>
      </c>
    </row>
    <row r="61" spans="5:9" x14ac:dyDescent="0.2">
      <c r="E61" s="3">
        <v>60</v>
      </c>
      <c r="I61" s="278">
        <f t="shared" si="0"/>
        <v>0.60000000000000031</v>
      </c>
    </row>
    <row r="62" spans="5:9" x14ac:dyDescent="0.2">
      <c r="E62" s="3">
        <v>61</v>
      </c>
      <c r="I62" s="278">
        <f t="shared" si="0"/>
        <v>0.61000000000000032</v>
      </c>
    </row>
    <row r="63" spans="5:9" x14ac:dyDescent="0.2">
      <c r="E63" s="3">
        <v>62</v>
      </c>
      <c r="I63" s="278">
        <f t="shared" si="0"/>
        <v>0.62000000000000033</v>
      </c>
    </row>
    <row r="64" spans="5:9" x14ac:dyDescent="0.2">
      <c r="E64" s="3">
        <v>63</v>
      </c>
      <c r="I64" s="278">
        <f t="shared" si="0"/>
        <v>0.63000000000000034</v>
      </c>
    </row>
    <row r="65" spans="5:9" x14ac:dyDescent="0.2">
      <c r="E65" s="3">
        <v>64</v>
      </c>
      <c r="I65" s="278">
        <f t="shared" si="0"/>
        <v>0.64000000000000035</v>
      </c>
    </row>
    <row r="66" spans="5:9" x14ac:dyDescent="0.2">
      <c r="E66" s="3">
        <v>65</v>
      </c>
      <c r="I66" s="278">
        <f t="shared" si="0"/>
        <v>0.65000000000000036</v>
      </c>
    </row>
    <row r="67" spans="5:9" x14ac:dyDescent="0.2">
      <c r="E67" s="3">
        <v>66</v>
      </c>
      <c r="I67" s="278">
        <f t="shared" si="0"/>
        <v>0.66000000000000036</v>
      </c>
    </row>
    <row r="68" spans="5:9" x14ac:dyDescent="0.2">
      <c r="E68" s="3">
        <v>67</v>
      </c>
      <c r="I68" s="278">
        <f t="shared" ref="I68:I101" si="1">+I67+1%</f>
        <v>0.67000000000000037</v>
      </c>
    </row>
    <row r="69" spans="5:9" x14ac:dyDescent="0.2">
      <c r="E69" s="3">
        <v>68</v>
      </c>
      <c r="I69" s="278">
        <f t="shared" si="1"/>
        <v>0.68000000000000038</v>
      </c>
    </row>
    <row r="70" spans="5:9" x14ac:dyDescent="0.2">
      <c r="E70" s="3">
        <v>69</v>
      </c>
      <c r="I70" s="278">
        <f t="shared" si="1"/>
        <v>0.69000000000000039</v>
      </c>
    </row>
    <row r="71" spans="5:9" x14ac:dyDescent="0.2">
      <c r="E71" s="3">
        <v>70</v>
      </c>
      <c r="I71" s="278">
        <f t="shared" si="1"/>
        <v>0.7000000000000004</v>
      </c>
    </row>
    <row r="72" spans="5:9" x14ac:dyDescent="0.2">
      <c r="E72" s="3">
        <v>71</v>
      </c>
      <c r="I72" s="278">
        <f t="shared" si="1"/>
        <v>0.71000000000000041</v>
      </c>
    </row>
    <row r="73" spans="5:9" x14ac:dyDescent="0.2">
      <c r="E73" s="3">
        <v>72</v>
      </c>
      <c r="I73" s="278">
        <f t="shared" si="1"/>
        <v>0.72000000000000042</v>
      </c>
    </row>
    <row r="74" spans="5:9" x14ac:dyDescent="0.2">
      <c r="E74" s="3">
        <v>73</v>
      </c>
      <c r="I74" s="278">
        <f t="shared" si="1"/>
        <v>0.73000000000000043</v>
      </c>
    </row>
    <row r="75" spans="5:9" x14ac:dyDescent="0.2">
      <c r="E75" s="3">
        <v>74</v>
      </c>
      <c r="I75" s="278">
        <f t="shared" si="1"/>
        <v>0.74000000000000044</v>
      </c>
    </row>
    <row r="76" spans="5:9" x14ac:dyDescent="0.2">
      <c r="E76" s="3">
        <v>75</v>
      </c>
      <c r="I76" s="278">
        <f t="shared" si="1"/>
        <v>0.75000000000000044</v>
      </c>
    </row>
    <row r="77" spans="5:9" x14ac:dyDescent="0.2">
      <c r="E77" s="3">
        <v>76</v>
      </c>
      <c r="I77" s="278">
        <f t="shared" si="1"/>
        <v>0.76000000000000045</v>
      </c>
    </row>
    <row r="78" spans="5:9" x14ac:dyDescent="0.2">
      <c r="E78" s="3">
        <v>77</v>
      </c>
      <c r="I78" s="278">
        <f t="shared" si="1"/>
        <v>0.77000000000000046</v>
      </c>
    </row>
    <row r="79" spans="5:9" x14ac:dyDescent="0.2">
      <c r="E79" s="3">
        <v>78</v>
      </c>
      <c r="I79" s="278">
        <f t="shared" si="1"/>
        <v>0.78000000000000047</v>
      </c>
    </row>
    <row r="80" spans="5:9" x14ac:dyDescent="0.2">
      <c r="E80" s="3">
        <v>79</v>
      </c>
      <c r="I80" s="278">
        <f t="shared" si="1"/>
        <v>0.79000000000000048</v>
      </c>
    </row>
    <row r="81" spans="5:9" x14ac:dyDescent="0.2">
      <c r="E81" s="3">
        <v>80</v>
      </c>
      <c r="I81" s="278">
        <f t="shared" si="1"/>
        <v>0.80000000000000049</v>
      </c>
    </row>
    <row r="82" spans="5:9" x14ac:dyDescent="0.2">
      <c r="E82" s="3">
        <v>81</v>
      </c>
      <c r="I82" s="278">
        <f t="shared" si="1"/>
        <v>0.8100000000000005</v>
      </c>
    </row>
    <row r="83" spans="5:9" x14ac:dyDescent="0.2">
      <c r="E83" s="3">
        <v>82</v>
      </c>
      <c r="I83" s="278">
        <f t="shared" si="1"/>
        <v>0.82000000000000051</v>
      </c>
    </row>
    <row r="84" spans="5:9" x14ac:dyDescent="0.2">
      <c r="E84" s="3">
        <v>83</v>
      </c>
      <c r="I84" s="278">
        <f t="shared" si="1"/>
        <v>0.83000000000000052</v>
      </c>
    </row>
    <row r="85" spans="5:9" x14ac:dyDescent="0.2">
      <c r="E85" s="3">
        <v>84</v>
      </c>
      <c r="I85" s="278">
        <f t="shared" si="1"/>
        <v>0.84000000000000052</v>
      </c>
    </row>
    <row r="86" spans="5:9" x14ac:dyDescent="0.2">
      <c r="E86" s="3">
        <v>85</v>
      </c>
      <c r="I86" s="278">
        <f t="shared" si="1"/>
        <v>0.85000000000000053</v>
      </c>
    </row>
    <row r="87" spans="5:9" x14ac:dyDescent="0.2">
      <c r="E87" s="3">
        <v>86</v>
      </c>
      <c r="I87" s="278">
        <f t="shared" si="1"/>
        <v>0.86000000000000054</v>
      </c>
    </row>
    <row r="88" spans="5:9" x14ac:dyDescent="0.2">
      <c r="E88" s="3">
        <v>87</v>
      </c>
      <c r="I88" s="278">
        <f t="shared" si="1"/>
        <v>0.87000000000000055</v>
      </c>
    </row>
    <row r="89" spans="5:9" x14ac:dyDescent="0.2">
      <c r="E89" s="3">
        <v>88</v>
      </c>
      <c r="I89" s="278">
        <f t="shared" si="1"/>
        <v>0.88000000000000056</v>
      </c>
    </row>
    <row r="90" spans="5:9" x14ac:dyDescent="0.2">
      <c r="E90" s="3">
        <v>89</v>
      </c>
      <c r="I90" s="278">
        <f t="shared" si="1"/>
        <v>0.89000000000000057</v>
      </c>
    </row>
    <row r="91" spans="5:9" x14ac:dyDescent="0.2">
      <c r="E91" s="3">
        <v>90</v>
      </c>
      <c r="I91" s="278">
        <f t="shared" si="1"/>
        <v>0.90000000000000058</v>
      </c>
    </row>
    <row r="92" spans="5:9" x14ac:dyDescent="0.2">
      <c r="E92" s="3">
        <v>91</v>
      </c>
      <c r="I92" s="278">
        <f t="shared" si="1"/>
        <v>0.91000000000000059</v>
      </c>
    </row>
    <row r="93" spans="5:9" x14ac:dyDescent="0.2">
      <c r="E93" s="3">
        <v>92</v>
      </c>
      <c r="I93" s="278">
        <f t="shared" si="1"/>
        <v>0.9200000000000006</v>
      </c>
    </row>
    <row r="94" spans="5:9" x14ac:dyDescent="0.2">
      <c r="E94" s="3">
        <v>93</v>
      </c>
      <c r="I94" s="278">
        <f t="shared" si="1"/>
        <v>0.9300000000000006</v>
      </c>
    </row>
    <row r="95" spans="5:9" x14ac:dyDescent="0.2">
      <c r="E95" s="3">
        <v>94</v>
      </c>
      <c r="I95" s="278">
        <f t="shared" si="1"/>
        <v>0.94000000000000061</v>
      </c>
    </row>
    <row r="96" spans="5:9" x14ac:dyDescent="0.2">
      <c r="E96" s="3">
        <v>95</v>
      </c>
      <c r="I96" s="278">
        <f t="shared" si="1"/>
        <v>0.95000000000000062</v>
      </c>
    </row>
    <row r="97" spans="5:9" x14ac:dyDescent="0.2">
      <c r="E97" s="3">
        <v>96</v>
      </c>
      <c r="I97" s="278">
        <f t="shared" si="1"/>
        <v>0.96000000000000063</v>
      </c>
    </row>
    <row r="98" spans="5:9" x14ac:dyDescent="0.2">
      <c r="E98" s="3">
        <v>97</v>
      </c>
      <c r="I98" s="278">
        <f t="shared" si="1"/>
        <v>0.97000000000000064</v>
      </c>
    </row>
    <row r="99" spans="5:9" x14ac:dyDescent="0.2">
      <c r="E99" s="3">
        <v>98</v>
      </c>
      <c r="I99" s="278">
        <f t="shared" si="1"/>
        <v>0.98000000000000065</v>
      </c>
    </row>
    <row r="100" spans="5:9" x14ac:dyDescent="0.2">
      <c r="E100" s="3">
        <v>99</v>
      </c>
      <c r="I100" s="278">
        <f t="shared" si="1"/>
        <v>0.99000000000000066</v>
      </c>
    </row>
    <row r="101" spans="5:9" x14ac:dyDescent="0.2">
      <c r="E101" s="3">
        <v>100</v>
      </c>
      <c r="I101" s="278">
        <f t="shared" si="1"/>
        <v>1.0000000000000007</v>
      </c>
    </row>
    <row r="102" spans="5:9" x14ac:dyDescent="0.2">
      <c r="E102" s="3">
        <v>101</v>
      </c>
      <c r="I102" s="278"/>
    </row>
    <row r="103" spans="5:9" x14ac:dyDescent="0.2">
      <c r="E103" s="3">
        <v>102</v>
      </c>
    </row>
    <row r="104" spans="5:9" x14ac:dyDescent="0.2">
      <c r="E104" s="3">
        <v>103</v>
      </c>
    </row>
    <row r="105" spans="5:9" x14ac:dyDescent="0.2">
      <c r="E105" s="3">
        <v>104</v>
      </c>
    </row>
    <row r="106" spans="5:9" x14ac:dyDescent="0.2">
      <c r="E106" s="3">
        <v>105</v>
      </c>
    </row>
    <row r="107" spans="5:9" x14ac:dyDescent="0.2">
      <c r="E107" s="3">
        <v>106</v>
      </c>
    </row>
    <row r="108" spans="5:9" x14ac:dyDescent="0.2">
      <c r="E108" s="3">
        <v>107</v>
      </c>
    </row>
    <row r="109" spans="5:9" x14ac:dyDescent="0.2">
      <c r="E109" s="3">
        <v>108</v>
      </c>
    </row>
    <row r="110" spans="5:9" x14ac:dyDescent="0.2">
      <c r="E110" s="3">
        <v>109</v>
      </c>
    </row>
    <row r="111" spans="5:9" x14ac:dyDescent="0.2">
      <c r="E111" s="3">
        <v>110</v>
      </c>
    </row>
    <row r="112" spans="5:9" x14ac:dyDescent="0.2">
      <c r="E112" s="3">
        <v>111</v>
      </c>
    </row>
    <row r="113" spans="5:5" x14ac:dyDescent="0.2">
      <c r="E113" s="3">
        <v>112</v>
      </c>
    </row>
    <row r="114" spans="5:5" x14ac:dyDescent="0.2">
      <c r="E114" s="3">
        <v>113</v>
      </c>
    </row>
    <row r="115" spans="5:5" x14ac:dyDescent="0.2">
      <c r="E115" s="3">
        <v>114</v>
      </c>
    </row>
    <row r="116" spans="5:5" x14ac:dyDescent="0.2">
      <c r="E116" s="3">
        <v>115</v>
      </c>
    </row>
    <row r="117" spans="5:5" x14ac:dyDescent="0.2">
      <c r="E117" s="3">
        <v>116</v>
      </c>
    </row>
    <row r="118" spans="5:5" x14ac:dyDescent="0.2">
      <c r="E118" s="3">
        <v>117</v>
      </c>
    </row>
    <row r="119" spans="5:5" x14ac:dyDescent="0.2">
      <c r="E119" s="3">
        <v>118</v>
      </c>
    </row>
    <row r="120" spans="5:5" x14ac:dyDescent="0.2">
      <c r="E120" s="3">
        <v>119</v>
      </c>
    </row>
    <row r="121" spans="5:5" x14ac:dyDescent="0.2">
      <c r="E121" s="3">
        <v>120</v>
      </c>
    </row>
    <row r="122" spans="5:5" x14ac:dyDescent="0.2">
      <c r="E122" s="3">
        <v>121</v>
      </c>
    </row>
    <row r="123" spans="5:5" x14ac:dyDescent="0.2">
      <c r="E123" s="3">
        <v>122</v>
      </c>
    </row>
    <row r="124" spans="5:5" x14ac:dyDescent="0.2">
      <c r="E124" s="3">
        <v>123</v>
      </c>
    </row>
    <row r="125" spans="5:5" x14ac:dyDescent="0.2">
      <c r="E125" s="3">
        <v>124</v>
      </c>
    </row>
    <row r="126" spans="5:5" x14ac:dyDescent="0.2">
      <c r="E126" s="3">
        <v>125</v>
      </c>
    </row>
    <row r="127" spans="5:5" x14ac:dyDescent="0.2">
      <c r="E127" s="3">
        <v>126</v>
      </c>
    </row>
    <row r="128" spans="5:5" x14ac:dyDescent="0.2">
      <c r="E128" s="3">
        <v>127</v>
      </c>
    </row>
    <row r="129" spans="5:5" x14ac:dyDescent="0.2">
      <c r="E129" s="3">
        <v>128</v>
      </c>
    </row>
    <row r="130" spans="5:5" x14ac:dyDescent="0.2">
      <c r="E130" s="3">
        <v>129</v>
      </c>
    </row>
    <row r="131" spans="5:5" x14ac:dyDescent="0.2">
      <c r="E131" s="3">
        <v>130</v>
      </c>
    </row>
    <row r="132" spans="5:5" x14ac:dyDescent="0.2">
      <c r="E132" s="3">
        <v>131</v>
      </c>
    </row>
    <row r="133" spans="5:5" x14ac:dyDescent="0.2">
      <c r="E133" s="3">
        <v>132</v>
      </c>
    </row>
    <row r="134" spans="5:5" x14ac:dyDescent="0.2">
      <c r="E134" s="3">
        <v>133</v>
      </c>
    </row>
    <row r="135" spans="5:5" x14ac:dyDescent="0.2">
      <c r="E135" s="3">
        <v>134</v>
      </c>
    </row>
    <row r="136" spans="5:5" x14ac:dyDescent="0.2">
      <c r="E136" s="3">
        <v>135</v>
      </c>
    </row>
    <row r="137" spans="5:5" x14ac:dyDescent="0.2">
      <c r="E137" s="3">
        <v>136</v>
      </c>
    </row>
    <row r="138" spans="5:5" x14ac:dyDescent="0.2">
      <c r="E138" s="3">
        <v>137</v>
      </c>
    </row>
    <row r="139" spans="5:5" x14ac:dyDescent="0.2">
      <c r="E139" s="3">
        <v>138</v>
      </c>
    </row>
    <row r="140" spans="5:5" x14ac:dyDescent="0.2">
      <c r="E140" s="3">
        <v>139</v>
      </c>
    </row>
    <row r="141" spans="5:5" x14ac:dyDescent="0.2">
      <c r="E141" s="3">
        <v>140</v>
      </c>
    </row>
    <row r="142" spans="5:5" x14ac:dyDescent="0.2">
      <c r="E142" s="3">
        <v>141</v>
      </c>
    </row>
    <row r="143" spans="5:5" x14ac:dyDescent="0.2">
      <c r="E143" s="3">
        <v>142</v>
      </c>
    </row>
    <row r="144" spans="5:5" x14ac:dyDescent="0.2">
      <c r="E144" s="3">
        <v>143</v>
      </c>
    </row>
    <row r="145" spans="5:5" x14ac:dyDescent="0.2">
      <c r="E145" s="3">
        <v>144</v>
      </c>
    </row>
    <row r="146" spans="5:5" x14ac:dyDescent="0.2">
      <c r="E146" s="3">
        <v>145</v>
      </c>
    </row>
    <row r="147" spans="5:5" x14ac:dyDescent="0.2">
      <c r="E147" s="3">
        <v>146</v>
      </c>
    </row>
    <row r="148" spans="5:5" x14ac:dyDescent="0.2">
      <c r="E148" s="3">
        <v>147</v>
      </c>
    </row>
    <row r="149" spans="5:5" x14ac:dyDescent="0.2">
      <c r="E149" s="3">
        <v>148</v>
      </c>
    </row>
    <row r="150" spans="5:5" x14ac:dyDescent="0.2">
      <c r="E150" s="3">
        <v>149</v>
      </c>
    </row>
    <row r="151" spans="5:5" x14ac:dyDescent="0.2">
      <c r="E151" s="3">
        <v>150</v>
      </c>
    </row>
    <row r="152" spans="5:5" x14ac:dyDescent="0.2">
      <c r="E152" s="3">
        <v>151</v>
      </c>
    </row>
    <row r="153" spans="5:5" x14ac:dyDescent="0.2">
      <c r="E153" s="3">
        <v>152</v>
      </c>
    </row>
    <row r="154" spans="5:5" x14ac:dyDescent="0.2">
      <c r="E154" s="3">
        <v>153</v>
      </c>
    </row>
    <row r="155" spans="5:5" x14ac:dyDescent="0.2">
      <c r="E155" s="3">
        <v>154</v>
      </c>
    </row>
    <row r="156" spans="5:5" x14ac:dyDescent="0.2">
      <c r="E156" s="3">
        <v>155</v>
      </c>
    </row>
    <row r="157" spans="5:5" x14ac:dyDescent="0.2">
      <c r="E157" s="3">
        <v>156</v>
      </c>
    </row>
    <row r="158" spans="5:5" x14ac:dyDescent="0.2">
      <c r="E158" s="3">
        <v>157</v>
      </c>
    </row>
    <row r="159" spans="5:5" x14ac:dyDescent="0.2">
      <c r="E159" s="3">
        <v>158</v>
      </c>
    </row>
    <row r="160" spans="5:5" x14ac:dyDescent="0.2">
      <c r="E160" s="3">
        <v>159</v>
      </c>
    </row>
    <row r="161" spans="5:5" x14ac:dyDescent="0.2">
      <c r="E161" s="3">
        <v>160</v>
      </c>
    </row>
    <row r="162" spans="5:5" x14ac:dyDescent="0.2">
      <c r="E162" s="3">
        <v>161</v>
      </c>
    </row>
    <row r="163" spans="5:5" x14ac:dyDescent="0.2">
      <c r="E163" s="3">
        <v>162</v>
      </c>
    </row>
    <row r="164" spans="5:5" x14ac:dyDescent="0.2">
      <c r="E164" s="3">
        <v>163</v>
      </c>
    </row>
    <row r="165" spans="5:5" x14ac:dyDescent="0.2">
      <c r="E165" s="3">
        <v>164</v>
      </c>
    </row>
    <row r="166" spans="5:5" x14ac:dyDescent="0.2">
      <c r="E166" s="3">
        <v>165</v>
      </c>
    </row>
    <row r="167" spans="5:5" x14ac:dyDescent="0.2">
      <c r="E167" s="3">
        <v>166</v>
      </c>
    </row>
    <row r="168" spans="5:5" x14ac:dyDescent="0.2">
      <c r="E168" s="3">
        <v>167</v>
      </c>
    </row>
    <row r="169" spans="5:5" x14ac:dyDescent="0.2">
      <c r="E169" s="3">
        <v>168</v>
      </c>
    </row>
    <row r="170" spans="5:5" x14ac:dyDescent="0.2">
      <c r="E170" s="3">
        <v>169</v>
      </c>
    </row>
    <row r="171" spans="5:5" x14ac:dyDescent="0.2">
      <c r="E171" s="3">
        <v>170</v>
      </c>
    </row>
    <row r="172" spans="5:5" x14ac:dyDescent="0.2">
      <c r="E172" s="3">
        <v>171</v>
      </c>
    </row>
    <row r="173" spans="5:5" x14ac:dyDescent="0.2">
      <c r="E173" s="3">
        <v>172</v>
      </c>
    </row>
    <row r="174" spans="5:5" x14ac:dyDescent="0.2">
      <c r="E174" s="3">
        <v>173</v>
      </c>
    </row>
    <row r="175" spans="5:5" x14ac:dyDescent="0.2">
      <c r="E175" s="3">
        <v>174</v>
      </c>
    </row>
    <row r="176" spans="5:5" x14ac:dyDescent="0.2">
      <c r="E176" s="3">
        <v>175</v>
      </c>
    </row>
    <row r="177" spans="5:5" x14ac:dyDescent="0.2">
      <c r="E177" s="3">
        <v>176</v>
      </c>
    </row>
    <row r="178" spans="5:5" x14ac:dyDescent="0.2">
      <c r="E178" s="3">
        <v>177</v>
      </c>
    </row>
    <row r="179" spans="5:5" x14ac:dyDescent="0.2">
      <c r="E179" s="3">
        <v>178</v>
      </c>
    </row>
    <row r="180" spans="5:5" x14ac:dyDescent="0.2">
      <c r="E180" s="3">
        <v>179</v>
      </c>
    </row>
    <row r="181" spans="5:5" x14ac:dyDescent="0.2">
      <c r="E181" s="3">
        <v>180</v>
      </c>
    </row>
    <row r="182" spans="5:5" x14ac:dyDescent="0.2">
      <c r="E182" s="3">
        <v>181</v>
      </c>
    </row>
    <row r="183" spans="5:5" x14ac:dyDescent="0.2">
      <c r="E183" s="3">
        <v>182</v>
      </c>
    </row>
    <row r="184" spans="5:5" x14ac:dyDescent="0.2">
      <c r="E184" s="3">
        <v>183</v>
      </c>
    </row>
    <row r="185" spans="5:5" x14ac:dyDescent="0.2">
      <c r="E185" s="3">
        <v>184</v>
      </c>
    </row>
    <row r="186" spans="5:5" x14ac:dyDescent="0.2">
      <c r="E186" s="3">
        <v>185</v>
      </c>
    </row>
    <row r="187" spans="5:5" x14ac:dyDescent="0.2">
      <c r="E187" s="3">
        <v>186</v>
      </c>
    </row>
    <row r="188" spans="5:5" x14ac:dyDescent="0.2">
      <c r="E188" s="3">
        <v>187</v>
      </c>
    </row>
    <row r="189" spans="5:5" x14ac:dyDescent="0.2">
      <c r="E189" s="3">
        <v>188</v>
      </c>
    </row>
    <row r="190" spans="5:5" x14ac:dyDescent="0.2">
      <c r="E190" s="3">
        <v>189</v>
      </c>
    </row>
    <row r="191" spans="5:5" x14ac:dyDescent="0.2">
      <c r="E191" s="3">
        <v>190</v>
      </c>
    </row>
    <row r="192" spans="5:5" x14ac:dyDescent="0.2">
      <c r="E192" s="3">
        <v>191</v>
      </c>
    </row>
    <row r="193" spans="5:5" x14ac:dyDescent="0.2">
      <c r="E193" s="3">
        <v>192</v>
      </c>
    </row>
    <row r="194" spans="5:5" x14ac:dyDescent="0.2">
      <c r="E194" s="3">
        <v>193</v>
      </c>
    </row>
    <row r="195" spans="5:5" x14ac:dyDescent="0.2">
      <c r="E195" s="3">
        <v>194</v>
      </c>
    </row>
    <row r="196" spans="5:5" x14ac:dyDescent="0.2">
      <c r="E196" s="3">
        <v>195</v>
      </c>
    </row>
    <row r="197" spans="5:5" x14ac:dyDescent="0.2">
      <c r="E197" s="3">
        <v>196</v>
      </c>
    </row>
    <row r="198" spans="5:5" x14ac:dyDescent="0.2">
      <c r="E198" s="3">
        <v>197</v>
      </c>
    </row>
    <row r="199" spans="5:5" x14ac:dyDescent="0.2">
      <c r="E199" s="3">
        <v>198</v>
      </c>
    </row>
    <row r="200" spans="5:5" x14ac:dyDescent="0.2">
      <c r="E200" s="3">
        <v>199</v>
      </c>
    </row>
    <row r="201" spans="5:5" x14ac:dyDescent="0.2">
      <c r="E201" s="3">
        <v>200</v>
      </c>
    </row>
    <row r="202" spans="5:5" x14ac:dyDescent="0.2">
      <c r="E202" s="3">
        <v>201</v>
      </c>
    </row>
    <row r="203" spans="5:5" x14ac:dyDescent="0.2">
      <c r="E203" s="3">
        <v>202</v>
      </c>
    </row>
    <row r="204" spans="5:5" x14ac:dyDescent="0.2">
      <c r="E204" s="3">
        <v>203</v>
      </c>
    </row>
    <row r="205" spans="5:5" x14ac:dyDescent="0.2">
      <c r="E205" s="3">
        <v>204</v>
      </c>
    </row>
    <row r="206" spans="5:5" x14ac:dyDescent="0.2">
      <c r="E206" s="3">
        <v>205</v>
      </c>
    </row>
    <row r="207" spans="5:5" x14ac:dyDescent="0.2">
      <c r="E207" s="3">
        <v>206</v>
      </c>
    </row>
    <row r="208" spans="5:5" x14ac:dyDescent="0.2">
      <c r="E208" s="3">
        <v>207</v>
      </c>
    </row>
    <row r="209" spans="5:5" x14ac:dyDescent="0.2">
      <c r="E209" s="3">
        <v>208</v>
      </c>
    </row>
    <row r="210" spans="5:5" x14ac:dyDescent="0.2">
      <c r="E210" s="3">
        <v>209</v>
      </c>
    </row>
    <row r="211" spans="5:5" x14ac:dyDescent="0.2">
      <c r="E211" s="3">
        <v>210</v>
      </c>
    </row>
    <row r="212" spans="5:5" x14ac:dyDescent="0.2">
      <c r="E212" s="3">
        <v>211</v>
      </c>
    </row>
    <row r="213" spans="5:5" x14ac:dyDescent="0.2">
      <c r="E213" s="3">
        <v>212</v>
      </c>
    </row>
    <row r="214" spans="5:5" x14ac:dyDescent="0.2">
      <c r="E214" s="3">
        <v>213</v>
      </c>
    </row>
    <row r="215" spans="5:5" x14ac:dyDescent="0.2">
      <c r="E215" s="3">
        <v>214</v>
      </c>
    </row>
    <row r="216" spans="5:5" x14ac:dyDescent="0.2">
      <c r="E216" s="3">
        <v>215</v>
      </c>
    </row>
    <row r="217" spans="5:5" x14ac:dyDescent="0.2">
      <c r="E217" s="3">
        <v>216</v>
      </c>
    </row>
    <row r="218" spans="5:5" x14ac:dyDescent="0.2">
      <c r="E218" s="3">
        <v>217</v>
      </c>
    </row>
    <row r="219" spans="5:5" x14ac:dyDescent="0.2">
      <c r="E219" s="3">
        <v>218</v>
      </c>
    </row>
    <row r="220" spans="5:5" x14ac:dyDescent="0.2">
      <c r="E220" s="3">
        <v>219</v>
      </c>
    </row>
    <row r="221" spans="5:5" x14ac:dyDescent="0.2">
      <c r="E221" s="3">
        <v>220</v>
      </c>
    </row>
    <row r="222" spans="5:5" x14ac:dyDescent="0.2">
      <c r="E222" s="3">
        <v>221</v>
      </c>
    </row>
    <row r="223" spans="5:5" x14ac:dyDescent="0.2">
      <c r="E223" s="3">
        <v>222</v>
      </c>
    </row>
    <row r="224" spans="5:5" x14ac:dyDescent="0.2">
      <c r="E224" s="3">
        <v>223</v>
      </c>
    </row>
    <row r="225" spans="5:5" x14ac:dyDescent="0.2">
      <c r="E225" s="3">
        <v>224</v>
      </c>
    </row>
    <row r="226" spans="5:5" x14ac:dyDescent="0.2">
      <c r="E226" s="3">
        <v>225</v>
      </c>
    </row>
    <row r="227" spans="5:5" x14ac:dyDescent="0.2">
      <c r="E227" s="3">
        <v>226</v>
      </c>
    </row>
    <row r="228" spans="5:5" x14ac:dyDescent="0.2">
      <c r="E228" s="3">
        <v>227</v>
      </c>
    </row>
    <row r="229" spans="5:5" x14ac:dyDescent="0.2">
      <c r="E229" s="3">
        <v>228</v>
      </c>
    </row>
    <row r="230" spans="5:5" x14ac:dyDescent="0.2">
      <c r="E230" s="3">
        <v>229</v>
      </c>
    </row>
    <row r="231" spans="5:5" x14ac:dyDescent="0.2">
      <c r="E231" s="3">
        <v>230</v>
      </c>
    </row>
    <row r="232" spans="5:5" x14ac:dyDescent="0.2">
      <c r="E232" s="3">
        <v>231</v>
      </c>
    </row>
    <row r="233" spans="5:5" x14ac:dyDescent="0.2">
      <c r="E233" s="3">
        <v>232</v>
      </c>
    </row>
    <row r="234" spans="5:5" x14ac:dyDescent="0.2">
      <c r="E234" s="3">
        <v>233</v>
      </c>
    </row>
    <row r="235" spans="5:5" x14ac:dyDescent="0.2">
      <c r="E235" s="3">
        <v>234</v>
      </c>
    </row>
    <row r="236" spans="5:5" x14ac:dyDescent="0.2">
      <c r="E236" s="3">
        <v>235</v>
      </c>
    </row>
    <row r="237" spans="5:5" x14ac:dyDescent="0.2">
      <c r="E237" s="3">
        <v>236</v>
      </c>
    </row>
    <row r="238" spans="5:5" x14ac:dyDescent="0.2">
      <c r="E238" s="3">
        <v>237</v>
      </c>
    </row>
    <row r="239" spans="5:5" x14ac:dyDescent="0.2">
      <c r="E239" s="3">
        <v>238</v>
      </c>
    </row>
    <row r="240" spans="5:5" x14ac:dyDescent="0.2">
      <c r="E240" s="3">
        <v>239</v>
      </c>
    </row>
    <row r="241" spans="5:5" x14ac:dyDescent="0.2">
      <c r="E241" s="3">
        <v>240</v>
      </c>
    </row>
    <row r="242" spans="5:5" x14ac:dyDescent="0.2">
      <c r="E242" s="3">
        <v>241</v>
      </c>
    </row>
    <row r="243" spans="5:5" x14ac:dyDescent="0.2">
      <c r="E243" s="3">
        <v>242</v>
      </c>
    </row>
    <row r="244" spans="5:5" x14ac:dyDescent="0.2">
      <c r="E244" s="3">
        <v>243</v>
      </c>
    </row>
    <row r="245" spans="5:5" x14ac:dyDescent="0.2">
      <c r="E245" s="3">
        <v>244</v>
      </c>
    </row>
    <row r="246" spans="5:5" x14ac:dyDescent="0.2">
      <c r="E246" s="3">
        <v>245</v>
      </c>
    </row>
    <row r="247" spans="5:5" x14ac:dyDescent="0.2">
      <c r="E247" s="3">
        <v>246</v>
      </c>
    </row>
    <row r="248" spans="5:5" x14ac:dyDescent="0.2">
      <c r="E248" s="3">
        <v>247</v>
      </c>
    </row>
    <row r="249" spans="5:5" x14ac:dyDescent="0.2">
      <c r="E249" s="3">
        <v>248</v>
      </c>
    </row>
    <row r="250" spans="5:5" x14ac:dyDescent="0.2">
      <c r="E250" s="3">
        <v>249</v>
      </c>
    </row>
    <row r="251" spans="5:5" x14ac:dyDescent="0.2">
      <c r="E251" s="3">
        <v>250</v>
      </c>
    </row>
    <row r="252" spans="5:5" x14ac:dyDescent="0.2">
      <c r="E252" s="3">
        <v>251</v>
      </c>
    </row>
    <row r="253" spans="5:5" x14ac:dyDescent="0.2">
      <c r="E253" s="3">
        <v>252</v>
      </c>
    </row>
    <row r="254" spans="5:5" x14ac:dyDescent="0.2">
      <c r="E254" s="3">
        <v>253</v>
      </c>
    </row>
    <row r="255" spans="5:5" x14ac:dyDescent="0.2">
      <c r="E255" s="3">
        <v>254</v>
      </c>
    </row>
    <row r="256" spans="5:5" x14ac:dyDescent="0.2">
      <c r="E256" s="3">
        <v>255</v>
      </c>
    </row>
    <row r="257" spans="5:5" x14ac:dyDescent="0.2">
      <c r="E257" s="3">
        <v>256</v>
      </c>
    </row>
    <row r="258" spans="5:5" x14ac:dyDescent="0.2">
      <c r="E258" s="3">
        <v>257</v>
      </c>
    </row>
    <row r="259" spans="5:5" x14ac:dyDescent="0.2">
      <c r="E259" s="3">
        <v>258</v>
      </c>
    </row>
    <row r="260" spans="5:5" x14ac:dyDescent="0.2">
      <c r="E260" s="3">
        <v>259</v>
      </c>
    </row>
    <row r="261" spans="5:5" x14ac:dyDescent="0.2">
      <c r="E261" s="3">
        <v>260</v>
      </c>
    </row>
    <row r="262" spans="5:5" x14ac:dyDescent="0.2">
      <c r="E262" s="3">
        <v>261</v>
      </c>
    </row>
    <row r="263" spans="5:5" x14ac:dyDescent="0.2">
      <c r="E263" s="3">
        <v>262</v>
      </c>
    </row>
    <row r="264" spans="5:5" x14ac:dyDescent="0.2">
      <c r="E264" s="3">
        <v>263</v>
      </c>
    </row>
    <row r="265" spans="5:5" x14ac:dyDescent="0.2">
      <c r="E265" s="3">
        <v>264</v>
      </c>
    </row>
    <row r="266" spans="5:5" x14ac:dyDescent="0.2">
      <c r="E266" s="3">
        <v>265</v>
      </c>
    </row>
    <row r="267" spans="5:5" x14ac:dyDescent="0.2">
      <c r="E267" s="3">
        <v>266</v>
      </c>
    </row>
    <row r="268" spans="5:5" x14ac:dyDescent="0.2">
      <c r="E268" s="3">
        <v>267</v>
      </c>
    </row>
    <row r="269" spans="5:5" x14ac:dyDescent="0.2">
      <c r="E269" s="3">
        <v>268</v>
      </c>
    </row>
    <row r="270" spans="5:5" x14ac:dyDescent="0.2">
      <c r="E270" s="3">
        <v>269</v>
      </c>
    </row>
    <row r="271" spans="5:5" x14ac:dyDescent="0.2">
      <c r="E271" s="3">
        <v>270</v>
      </c>
    </row>
    <row r="272" spans="5:5" x14ac:dyDescent="0.2">
      <c r="E272" s="3">
        <v>271</v>
      </c>
    </row>
    <row r="273" spans="5:5" x14ac:dyDescent="0.2">
      <c r="E273" s="3">
        <v>272</v>
      </c>
    </row>
    <row r="274" spans="5:5" x14ac:dyDescent="0.2">
      <c r="E274" s="3">
        <v>273</v>
      </c>
    </row>
    <row r="275" spans="5:5" x14ac:dyDescent="0.2">
      <c r="E275" s="3">
        <v>274</v>
      </c>
    </row>
    <row r="276" spans="5:5" x14ac:dyDescent="0.2">
      <c r="E276" s="3">
        <v>275</v>
      </c>
    </row>
    <row r="277" spans="5:5" x14ac:dyDescent="0.2">
      <c r="E277" s="3">
        <v>276</v>
      </c>
    </row>
    <row r="278" spans="5:5" x14ac:dyDescent="0.2">
      <c r="E278" s="3">
        <v>277</v>
      </c>
    </row>
    <row r="279" spans="5:5" x14ac:dyDescent="0.2">
      <c r="E279" s="3">
        <v>278</v>
      </c>
    </row>
    <row r="280" spans="5:5" x14ac:dyDescent="0.2">
      <c r="E280" s="3">
        <v>279</v>
      </c>
    </row>
    <row r="281" spans="5:5" x14ac:dyDescent="0.2">
      <c r="E281" s="3">
        <v>280</v>
      </c>
    </row>
    <row r="282" spans="5:5" x14ac:dyDescent="0.2">
      <c r="E282" s="3">
        <v>281</v>
      </c>
    </row>
    <row r="283" spans="5:5" x14ac:dyDescent="0.2">
      <c r="E283" s="3">
        <v>282</v>
      </c>
    </row>
    <row r="284" spans="5:5" x14ac:dyDescent="0.2">
      <c r="E284" s="3">
        <v>283</v>
      </c>
    </row>
    <row r="285" spans="5:5" x14ac:dyDescent="0.2">
      <c r="E285" s="3">
        <v>284</v>
      </c>
    </row>
    <row r="286" spans="5:5" x14ac:dyDescent="0.2">
      <c r="E286" s="3">
        <v>285</v>
      </c>
    </row>
    <row r="287" spans="5:5" x14ac:dyDescent="0.2">
      <c r="E287" s="3">
        <v>286</v>
      </c>
    </row>
    <row r="288" spans="5:5" x14ac:dyDescent="0.2">
      <c r="E288" s="3">
        <v>287</v>
      </c>
    </row>
    <row r="289" spans="5:5" x14ac:dyDescent="0.2">
      <c r="E289" s="3">
        <v>288</v>
      </c>
    </row>
    <row r="290" spans="5:5" x14ac:dyDescent="0.2">
      <c r="E290" s="3">
        <v>289</v>
      </c>
    </row>
    <row r="291" spans="5:5" x14ac:dyDescent="0.2">
      <c r="E291" s="3">
        <v>290</v>
      </c>
    </row>
    <row r="292" spans="5:5" x14ac:dyDescent="0.2">
      <c r="E292" s="3">
        <v>291</v>
      </c>
    </row>
    <row r="293" spans="5:5" x14ac:dyDescent="0.2">
      <c r="E293" s="3">
        <v>292</v>
      </c>
    </row>
    <row r="294" spans="5:5" x14ac:dyDescent="0.2">
      <c r="E294" s="3">
        <v>293</v>
      </c>
    </row>
    <row r="295" spans="5:5" x14ac:dyDescent="0.2">
      <c r="E295" s="3">
        <v>294</v>
      </c>
    </row>
    <row r="296" spans="5:5" x14ac:dyDescent="0.2">
      <c r="E296" s="3">
        <v>295</v>
      </c>
    </row>
    <row r="297" spans="5:5" x14ac:dyDescent="0.2">
      <c r="E297" s="3">
        <v>296</v>
      </c>
    </row>
    <row r="298" spans="5:5" x14ac:dyDescent="0.2">
      <c r="E298" s="3">
        <v>297</v>
      </c>
    </row>
    <row r="299" spans="5:5" x14ac:dyDescent="0.2">
      <c r="E299" s="3">
        <v>298</v>
      </c>
    </row>
    <row r="300" spans="5:5" x14ac:dyDescent="0.2">
      <c r="E300" s="3">
        <v>299</v>
      </c>
    </row>
    <row r="301" spans="5:5" x14ac:dyDescent="0.2">
      <c r="E301" s="3">
        <v>300</v>
      </c>
    </row>
    <row r="302" spans="5:5" x14ac:dyDescent="0.2">
      <c r="E302" s="3">
        <v>301</v>
      </c>
    </row>
    <row r="303" spans="5:5" x14ac:dyDescent="0.2">
      <c r="E303" s="3">
        <v>302</v>
      </c>
    </row>
    <row r="304" spans="5:5" x14ac:dyDescent="0.2">
      <c r="E304" s="3">
        <v>303</v>
      </c>
    </row>
    <row r="305" spans="5:5" x14ac:dyDescent="0.2">
      <c r="E305" s="3">
        <v>304</v>
      </c>
    </row>
    <row r="306" spans="5:5" x14ac:dyDescent="0.2">
      <c r="E306" s="3">
        <v>305</v>
      </c>
    </row>
    <row r="307" spans="5:5" x14ac:dyDescent="0.2">
      <c r="E307" s="3">
        <v>306</v>
      </c>
    </row>
    <row r="308" spans="5:5" x14ac:dyDescent="0.2">
      <c r="E308" s="3">
        <v>307</v>
      </c>
    </row>
    <row r="309" spans="5:5" x14ac:dyDescent="0.2">
      <c r="E309" s="3">
        <v>308</v>
      </c>
    </row>
    <row r="310" spans="5:5" x14ac:dyDescent="0.2">
      <c r="E310" s="3">
        <v>309</v>
      </c>
    </row>
    <row r="311" spans="5:5" x14ac:dyDescent="0.2">
      <c r="E311" s="3">
        <v>310</v>
      </c>
    </row>
    <row r="312" spans="5:5" x14ac:dyDescent="0.2">
      <c r="E312" s="3">
        <v>311</v>
      </c>
    </row>
    <row r="313" spans="5:5" x14ac:dyDescent="0.2">
      <c r="E313" s="3">
        <v>312</v>
      </c>
    </row>
    <row r="314" spans="5:5" x14ac:dyDescent="0.2">
      <c r="E314" s="3">
        <v>313</v>
      </c>
    </row>
    <row r="315" spans="5:5" x14ac:dyDescent="0.2">
      <c r="E315" s="3">
        <v>314</v>
      </c>
    </row>
    <row r="316" spans="5:5" x14ac:dyDescent="0.2">
      <c r="E316" s="3">
        <v>315</v>
      </c>
    </row>
    <row r="317" spans="5:5" x14ac:dyDescent="0.2">
      <c r="E317" s="3">
        <v>316</v>
      </c>
    </row>
    <row r="318" spans="5:5" x14ac:dyDescent="0.2">
      <c r="E318" s="3">
        <v>317</v>
      </c>
    </row>
    <row r="319" spans="5:5" x14ac:dyDescent="0.2">
      <c r="E319" s="3">
        <v>318</v>
      </c>
    </row>
    <row r="320" spans="5:5" x14ac:dyDescent="0.2">
      <c r="E320" s="3">
        <v>319</v>
      </c>
    </row>
    <row r="321" spans="5:5" x14ac:dyDescent="0.2">
      <c r="E321" s="3">
        <v>320</v>
      </c>
    </row>
    <row r="322" spans="5:5" x14ac:dyDescent="0.2">
      <c r="E322" s="3">
        <v>321</v>
      </c>
    </row>
    <row r="323" spans="5:5" x14ac:dyDescent="0.2">
      <c r="E323" s="3">
        <v>322</v>
      </c>
    </row>
    <row r="324" spans="5:5" x14ac:dyDescent="0.2">
      <c r="E324" s="3">
        <v>323</v>
      </c>
    </row>
    <row r="325" spans="5:5" x14ac:dyDescent="0.2">
      <c r="E325" s="3">
        <v>324</v>
      </c>
    </row>
    <row r="326" spans="5:5" x14ac:dyDescent="0.2">
      <c r="E326" s="3">
        <v>325</v>
      </c>
    </row>
    <row r="327" spans="5:5" x14ac:dyDescent="0.2">
      <c r="E327" s="3">
        <v>326</v>
      </c>
    </row>
    <row r="328" spans="5:5" x14ac:dyDescent="0.2">
      <c r="E328" s="3">
        <v>327</v>
      </c>
    </row>
    <row r="329" spans="5:5" x14ac:dyDescent="0.2">
      <c r="E329" s="3">
        <v>328</v>
      </c>
    </row>
    <row r="330" spans="5:5" x14ac:dyDescent="0.2">
      <c r="E330" s="3">
        <v>329</v>
      </c>
    </row>
    <row r="331" spans="5:5" x14ac:dyDescent="0.2">
      <c r="E331" s="3">
        <v>330</v>
      </c>
    </row>
    <row r="332" spans="5:5" x14ac:dyDescent="0.2">
      <c r="E332" s="3">
        <v>331</v>
      </c>
    </row>
    <row r="333" spans="5:5" x14ac:dyDescent="0.2">
      <c r="E333" s="3">
        <v>332</v>
      </c>
    </row>
    <row r="334" spans="5:5" x14ac:dyDescent="0.2">
      <c r="E334" s="3">
        <v>333</v>
      </c>
    </row>
    <row r="335" spans="5:5" x14ac:dyDescent="0.2">
      <c r="E335" s="3">
        <v>334</v>
      </c>
    </row>
    <row r="336" spans="5:5" x14ac:dyDescent="0.2">
      <c r="E336" s="3">
        <v>335</v>
      </c>
    </row>
    <row r="337" spans="5:5" x14ac:dyDescent="0.2">
      <c r="E337" s="3">
        <v>336</v>
      </c>
    </row>
    <row r="338" spans="5:5" x14ac:dyDescent="0.2">
      <c r="E338" s="3">
        <v>337</v>
      </c>
    </row>
    <row r="339" spans="5:5" x14ac:dyDescent="0.2">
      <c r="E339" s="3">
        <v>338</v>
      </c>
    </row>
    <row r="340" spans="5:5" x14ac:dyDescent="0.2">
      <c r="E340" s="3">
        <v>339</v>
      </c>
    </row>
    <row r="341" spans="5:5" x14ac:dyDescent="0.2">
      <c r="E341" s="3">
        <v>340</v>
      </c>
    </row>
    <row r="342" spans="5:5" x14ac:dyDescent="0.2">
      <c r="E342" s="3">
        <v>341</v>
      </c>
    </row>
    <row r="343" spans="5:5" x14ac:dyDescent="0.2">
      <c r="E343" s="3">
        <v>342</v>
      </c>
    </row>
    <row r="344" spans="5:5" x14ac:dyDescent="0.2">
      <c r="E344" s="3">
        <v>343</v>
      </c>
    </row>
    <row r="345" spans="5:5" x14ac:dyDescent="0.2">
      <c r="E345" s="3">
        <v>344</v>
      </c>
    </row>
    <row r="346" spans="5:5" x14ac:dyDescent="0.2">
      <c r="E346" s="3">
        <v>345</v>
      </c>
    </row>
    <row r="347" spans="5:5" x14ac:dyDescent="0.2">
      <c r="E347" s="3">
        <v>346</v>
      </c>
    </row>
    <row r="348" spans="5:5" x14ac:dyDescent="0.2">
      <c r="E348" s="3">
        <v>347</v>
      </c>
    </row>
    <row r="349" spans="5:5" x14ac:dyDescent="0.2">
      <c r="E349" s="3">
        <v>348</v>
      </c>
    </row>
    <row r="350" spans="5:5" x14ac:dyDescent="0.2">
      <c r="E350" s="3">
        <v>349</v>
      </c>
    </row>
    <row r="351" spans="5:5" x14ac:dyDescent="0.2">
      <c r="E351" s="3">
        <v>350</v>
      </c>
    </row>
    <row r="352" spans="5:5" x14ac:dyDescent="0.2">
      <c r="E352" s="3">
        <v>351</v>
      </c>
    </row>
    <row r="353" spans="5:5" x14ac:dyDescent="0.2">
      <c r="E353" s="3">
        <v>352</v>
      </c>
    </row>
    <row r="354" spans="5:5" x14ac:dyDescent="0.2">
      <c r="E354" s="3">
        <v>353</v>
      </c>
    </row>
    <row r="355" spans="5:5" x14ac:dyDescent="0.2">
      <c r="E355" s="3">
        <v>354</v>
      </c>
    </row>
    <row r="356" spans="5:5" x14ac:dyDescent="0.2">
      <c r="E356" s="3">
        <v>355</v>
      </c>
    </row>
    <row r="357" spans="5:5" x14ac:dyDescent="0.2">
      <c r="E357" s="3">
        <v>356</v>
      </c>
    </row>
    <row r="358" spans="5:5" x14ac:dyDescent="0.2">
      <c r="E358" s="3">
        <v>357</v>
      </c>
    </row>
    <row r="359" spans="5:5" x14ac:dyDescent="0.2">
      <c r="E359" s="3">
        <v>358</v>
      </c>
    </row>
    <row r="360" spans="5:5" x14ac:dyDescent="0.2">
      <c r="E360" s="3">
        <v>359</v>
      </c>
    </row>
    <row r="361" spans="5:5" x14ac:dyDescent="0.2">
      <c r="E361" s="3">
        <v>360</v>
      </c>
    </row>
    <row r="362" spans="5:5" x14ac:dyDescent="0.2">
      <c r="E362" s="3">
        <v>361</v>
      </c>
    </row>
    <row r="363" spans="5:5" x14ac:dyDescent="0.2">
      <c r="E363" s="3">
        <v>362</v>
      </c>
    </row>
    <row r="364" spans="5:5" x14ac:dyDescent="0.2">
      <c r="E364" s="3">
        <v>363</v>
      </c>
    </row>
    <row r="365" spans="5:5" x14ac:dyDescent="0.2">
      <c r="E365" s="3">
        <v>364</v>
      </c>
    </row>
    <row r="366" spans="5:5" x14ac:dyDescent="0.2">
      <c r="E366" s="3">
        <v>365</v>
      </c>
    </row>
    <row r="367" spans="5:5" x14ac:dyDescent="0.2">
      <c r="E367" s="3">
        <v>366</v>
      </c>
    </row>
    <row r="368" spans="5:5" x14ac:dyDescent="0.2">
      <c r="E368" s="3">
        <v>367</v>
      </c>
    </row>
    <row r="369" spans="5:5" x14ac:dyDescent="0.2">
      <c r="E369" s="3">
        <v>368</v>
      </c>
    </row>
    <row r="370" spans="5:5" x14ac:dyDescent="0.2">
      <c r="E370" s="3">
        <v>369</v>
      </c>
    </row>
    <row r="371" spans="5:5" x14ac:dyDescent="0.2">
      <c r="E371" s="3">
        <v>370</v>
      </c>
    </row>
    <row r="372" spans="5:5" x14ac:dyDescent="0.2">
      <c r="E372" s="3">
        <v>371</v>
      </c>
    </row>
    <row r="373" spans="5:5" x14ac:dyDescent="0.2">
      <c r="E373" s="3">
        <v>372</v>
      </c>
    </row>
    <row r="374" spans="5:5" x14ac:dyDescent="0.2">
      <c r="E374" s="3">
        <v>373</v>
      </c>
    </row>
    <row r="375" spans="5:5" x14ac:dyDescent="0.2">
      <c r="E375" s="3">
        <v>374</v>
      </c>
    </row>
    <row r="376" spans="5:5" x14ac:dyDescent="0.2">
      <c r="E376" s="3">
        <v>375</v>
      </c>
    </row>
    <row r="377" spans="5:5" x14ac:dyDescent="0.2">
      <c r="E377" s="3">
        <v>376</v>
      </c>
    </row>
    <row r="378" spans="5:5" x14ac:dyDescent="0.2">
      <c r="E378" s="3">
        <v>377</v>
      </c>
    </row>
    <row r="379" spans="5:5" x14ac:dyDescent="0.2">
      <c r="E379" s="3">
        <v>378</v>
      </c>
    </row>
    <row r="380" spans="5:5" x14ac:dyDescent="0.2">
      <c r="E380" s="3">
        <v>379</v>
      </c>
    </row>
    <row r="381" spans="5:5" x14ac:dyDescent="0.2">
      <c r="E381" s="3">
        <v>380</v>
      </c>
    </row>
    <row r="382" spans="5:5" x14ac:dyDescent="0.2">
      <c r="E382" s="3">
        <v>381</v>
      </c>
    </row>
    <row r="383" spans="5:5" x14ac:dyDescent="0.2">
      <c r="E383" s="3">
        <v>382</v>
      </c>
    </row>
    <row r="384" spans="5:5" x14ac:dyDescent="0.2">
      <c r="E384" s="3">
        <v>383</v>
      </c>
    </row>
    <row r="385" spans="5:5" x14ac:dyDescent="0.2">
      <c r="E385" s="3">
        <v>384</v>
      </c>
    </row>
    <row r="386" spans="5:5" x14ac:dyDescent="0.2">
      <c r="E386" s="3">
        <v>385</v>
      </c>
    </row>
    <row r="387" spans="5:5" x14ac:dyDescent="0.2">
      <c r="E387" s="3">
        <v>386</v>
      </c>
    </row>
    <row r="388" spans="5:5" x14ac:dyDescent="0.2">
      <c r="E388" s="3">
        <v>387</v>
      </c>
    </row>
    <row r="389" spans="5:5" x14ac:dyDescent="0.2">
      <c r="E389" s="3">
        <v>388</v>
      </c>
    </row>
    <row r="390" spans="5:5" x14ac:dyDescent="0.2">
      <c r="E390" s="3">
        <v>389</v>
      </c>
    </row>
    <row r="391" spans="5:5" x14ac:dyDescent="0.2">
      <c r="E391" s="3">
        <v>390</v>
      </c>
    </row>
    <row r="392" spans="5:5" x14ac:dyDescent="0.2">
      <c r="E392" s="3">
        <v>391</v>
      </c>
    </row>
    <row r="393" spans="5:5" x14ac:dyDescent="0.2">
      <c r="E393" s="3">
        <v>392</v>
      </c>
    </row>
    <row r="394" spans="5:5" x14ac:dyDescent="0.2">
      <c r="E394" s="3">
        <v>393</v>
      </c>
    </row>
    <row r="395" spans="5:5" x14ac:dyDescent="0.2">
      <c r="E395" s="3">
        <v>394</v>
      </c>
    </row>
    <row r="396" spans="5:5" x14ac:dyDescent="0.2">
      <c r="E396" s="3">
        <v>395</v>
      </c>
    </row>
    <row r="397" spans="5:5" x14ac:dyDescent="0.2">
      <c r="E397" s="3">
        <v>396</v>
      </c>
    </row>
    <row r="398" spans="5:5" x14ac:dyDescent="0.2">
      <c r="E398" s="3">
        <v>397</v>
      </c>
    </row>
    <row r="399" spans="5:5" x14ac:dyDescent="0.2">
      <c r="E399" s="3">
        <v>398</v>
      </c>
    </row>
    <row r="400" spans="5:5" x14ac:dyDescent="0.2">
      <c r="E400" s="3">
        <v>399</v>
      </c>
    </row>
    <row r="401" spans="5:5" x14ac:dyDescent="0.2">
      <c r="E401" s="3">
        <v>400</v>
      </c>
    </row>
    <row r="402" spans="5:5" x14ac:dyDescent="0.2">
      <c r="E402" s="3">
        <v>401</v>
      </c>
    </row>
    <row r="403" spans="5:5" x14ac:dyDescent="0.2">
      <c r="E403" s="3">
        <v>402</v>
      </c>
    </row>
    <row r="404" spans="5:5" x14ac:dyDescent="0.2">
      <c r="E404" s="3">
        <v>403</v>
      </c>
    </row>
    <row r="405" spans="5:5" x14ac:dyDescent="0.2">
      <c r="E405" s="3">
        <v>404</v>
      </c>
    </row>
    <row r="406" spans="5:5" x14ac:dyDescent="0.2">
      <c r="E406" s="3">
        <v>405</v>
      </c>
    </row>
    <row r="407" spans="5:5" x14ac:dyDescent="0.2">
      <c r="E407" s="3">
        <v>406</v>
      </c>
    </row>
    <row r="408" spans="5:5" x14ac:dyDescent="0.2">
      <c r="E408" s="3">
        <v>407</v>
      </c>
    </row>
    <row r="409" spans="5:5" x14ac:dyDescent="0.2">
      <c r="E409" s="3">
        <v>408</v>
      </c>
    </row>
    <row r="410" spans="5:5" x14ac:dyDescent="0.2">
      <c r="E410" s="3">
        <v>409</v>
      </c>
    </row>
    <row r="411" spans="5:5" x14ac:dyDescent="0.2">
      <c r="E411" s="3">
        <v>410</v>
      </c>
    </row>
    <row r="412" spans="5:5" x14ac:dyDescent="0.2">
      <c r="E412" s="3">
        <v>411</v>
      </c>
    </row>
    <row r="413" spans="5:5" x14ac:dyDescent="0.2">
      <c r="E413" s="3">
        <v>412</v>
      </c>
    </row>
    <row r="414" spans="5:5" x14ac:dyDescent="0.2">
      <c r="E414" s="3">
        <v>413</v>
      </c>
    </row>
    <row r="415" spans="5:5" x14ac:dyDescent="0.2">
      <c r="E415" s="3">
        <v>414</v>
      </c>
    </row>
    <row r="416" spans="5:5" x14ac:dyDescent="0.2">
      <c r="E416" s="3">
        <v>415</v>
      </c>
    </row>
    <row r="417" spans="5:5" x14ac:dyDescent="0.2">
      <c r="E417" s="3">
        <v>416</v>
      </c>
    </row>
    <row r="418" spans="5:5" x14ac:dyDescent="0.2">
      <c r="E418" s="3">
        <v>417</v>
      </c>
    </row>
    <row r="419" spans="5:5" x14ac:dyDescent="0.2">
      <c r="E419" s="3">
        <v>418</v>
      </c>
    </row>
    <row r="420" spans="5:5" x14ac:dyDescent="0.2">
      <c r="E420" s="3">
        <v>419</v>
      </c>
    </row>
    <row r="421" spans="5:5" x14ac:dyDescent="0.2">
      <c r="E421" s="3">
        <v>420</v>
      </c>
    </row>
    <row r="422" spans="5:5" x14ac:dyDescent="0.2">
      <c r="E422" s="3">
        <v>421</v>
      </c>
    </row>
    <row r="423" spans="5:5" x14ac:dyDescent="0.2">
      <c r="E423" s="3">
        <v>422</v>
      </c>
    </row>
    <row r="424" spans="5:5" x14ac:dyDescent="0.2">
      <c r="E424" s="3">
        <v>423</v>
      </c>
    </row>
    <row r="425" spans="5:5" x14ac:dyDescent="0.2">
      <c r="E425" s="3">
        <v>424</v>
      </c>
    </row>
    <row r="426" spans="5:5" x14ac:dyDescent="0.2">
      <c r="E426" s="3">
        <v>425</v>
      </c>
    </row>
    <row r="427" spans="5:5" x14ac:dyDescent="0.2">
      <c r="E427" s="3">
        <v>426</v>
      </c>
    </row>
    <row r="428" spans="5:5" x14ac:dyDescent="0.2">
      <c r="E428" s="3">
        <v>427</v>
      </c>
    </row>
    <row r="429" spans="5:5" x14ac:dyDescent="0.2">
      <c r="E429" s="3">
        <v>428</v>
      </c>
    </row>
    <row r="430" spans="5:5" x14ac:dyDescent="0.2">
      <c r="E430" s="3">
        <v>429</v>
      </c>
    </row>
    <row r="431" spans="5:5" x14ac:dyDescent="0.2">
      <c r="E431" s="3">
        <v>430</v>
      </c>
    </row>
    <row r="432" spans="5:5" x14ac:dyDescent="0.2">
      <c r="E432" s="3">
        <v>431</v>
      </c>
    </row>
    <row r="433" spans="5:5" x14ac:dyDescent="0.2">
      <c r="E433" s="3">
        <v>432</v>
      </c>
    </row>
    <row r="434" spans="5:5" x14ac:dyDescent="0.2">
      <c r="E434" s="3">
        <v>433</v>
      </c>
    </row>
    <row r="435" spans="5:5" x14ac:dyDescent="0.2">
      <c r="E435" s="3">
        <v>434</v>
      </c>
    </row>
    <row r="436" spans="5:5" x14ac:dyDescent="0.2">
      <c r="E436" s="3">
        <v>435</v>
      </c>
    </row>
    <row r="437" spans="5:5" x14ac:dyDescent="0.2">
      <c r="E437" s="3">
        <v>436</v>
      </c>
    </row>
    <row r="438" spans="5:5" x14ac:dyDescent="0.2">
      <c r="E438" s="3">
        <v>437</v>
      </c>
    </row>
    <row r="439" spans="5:5" x14ac:dyDescent="0.2">
      <c r="E439" s="3">
        <v>438</v>
      </c>
    </row>
    <row r="440" spans="5:5" x14ac:dyDescent="0.2">
      <c r="E440" s="3">
        <v>439</v>
      </c>
    </row>
    <row r="441" spans="5:5" x14ac:dyDescent="0.2">
      <c r="E441" s="3">
        <v>440</v>
      </c>
    </row>
    <row r="442" spans="5:5" x14ac:dyDescent="0.2">
      <c r="E442" s="3">
        <v>441</v>
      </c>
    </row>
    <row r="443" spans="5:5" x14ac:dyDescent="0.2">
      <c r="E443" s="3">
        <v>442</v>
      </c>
    </row>
    <row r="444" spans="5:5" x14ac:dyDescent="0.2">
      <c r="E444" s="3">
        <v>443</v>
      </c>
    </row>
    <row r="445" spans="5:5" x14ac:dyDescent="0.2">
      <c r="E445" s="3">
        <v>444</v>
      </c>
    </row>
    <row r="446" spans="5:5" x14ac:dyDescent="0.2">
      <c r="E446" s="3">
        <v>445</v>
      </c>
    </row>
    <row r="447" spans="5:5" x14ac:dyDescent="0.2">
      <c r="E447" s="3">
        <v>446</v>
      </c>
    </row>
    <row r="448" spans="5:5" x14ac:dyDescent="0.2">
      <c r="E448" s="3">
        <v>447</v>
      </c>
    </row>
    <row r="449" spans="5:5" x14ac:dyDescent="0.2">
      <c r="E449" s="3">
        <v>448</v>
      </c>
    </row>
    <row r="450" spans="5:5" x14ac:dyDescent="0.2">
      <c r="E450" s="3">
        <v>449</v>
      </c>
    </row>
    <row r="451" spans="5:5" x14ac:dyDescent="0.2">
      <c r="E451" s="3">
        <v>450</v>
      </c>
    </row>
    <row r="452" spans="5:5" x14ac:dyDescent="0.2">
      <c r="E452" s="3">
        <v>451</v>
      </c>
    </row>
    <row r="453" spans="5:5" x14ac:dyDescent="0.2">
      <c r="E453" s="3">
        <v>452</v>
      </c>
    </row>
    <row r="454" spans="5:5" x14ac:dyDescent="0.2">
      <c r="E454" s="3">
        <v>453</v>
      </c>
    </row>
    <row r="455" spans="5:5" x14ac:dyDescent="0.2">
      <c r="E455" s="3">
        <v>454</v>
      </c>
    </row>
    <row r="456" spans="5:5" x14ac:dyDescent="0.2">
      <c r="E456" s="3">
        <v>455</v>
      </c>
    </row>
    <row r="457" spans="5:5" x14ac:dyDescent="0.2">
      <c r="E457" s="3">
        <v>456</v>
      </c>
    </row>
    <row r="458" spans="5:5" x14ac:dyDescent="0.2">
      <c r="E458" s="3">
        <v>457</v>
      </c>
    </row>
    <row r="459" spans="5:5" x14ac:dyDescent="0.2">
      <c r="E459" s="3">
        <v>458</v>
      </c>
    </row>
    <row r="460" spans="5:5" x14ac:dyDescent="0.2">
      <c r="E460" s="3">
        <v>459</v>
      </c>
    </row>
    <row r="461" spans="5:5" x14ac:dyDescent="0.2">
      <c r="E461" s="3">
        <v>460</v>
      </c>
    </row>
    <row r="462" spans="5:5" x14ac:dyDescent="0.2">
      <c r="E462" s="3">
        <v>461</v>
      </c>
    </row>
    <row r="463" spans="5:5" x14ac:dyDescent="0.2">
      <c r="E463" s="3">
        <v>462</v>
      </c>
    </row>
    <row r="464" spans="5:5" x14ac:dyDescent="0.2">
      <c r="E464" s="3">
        <v>463</v>
      </c>
    </row>
    <row r="465" spans="5:5" x14ac:dyDescent="0.2">
      <c r="E465" s="3">
        <v>464</v>
      </c>
    </row>
    <row r="466" spans="5:5" x14ac:dyDescent="0.2">
      <c r="E466" s="3">
        <v>465</v>
      </c>
    </row>
    <row r="467" spans="5:5" x14ac:dyDescent="0.2">
      <c r="E467" s="3">
        <v>466</v>
      </c>
    </row>
    <row r="468" spans="5:5" x14ac:dyDescent="0.2">
      <c r="E468" s="3">
        <v>467</v>
      </c>
    </row>
    <row r="469" spans="5:5" x14ac:dyDescent="0.2">
      <c r="E469" s="3">
        <v>468</v>
      </c>
    </row>
    <row r="470" spans="5:5" x14ac:dyDescent="0.2">
      <c r="E470" s="3">
        <v>469</v>
      </c>
    </row>
    <row r="471" spans="5:5" x14ac:dyDescent="0.2">
      <c r="E471" s="3">
        <v>470</v>
      </c>
    </row>
    <row r="472" spans="5:5" x14ac:dyDescent="0.2">
      <c r="E472" s="3">
        <v>471</v>
      </c>
    </row>
    <row r="473" spans="5:5" x14ac:dyDescent="0.2">
      <c r="E473" s="3">
        <v>472</v>
      </c>
    </row>
    <row r="474" spans="5:5" x14ac:dyDescent="0.2">
      <c r="E474" s="3">
        <v>473</v>
      </c>
    </row>
    <row r="475" spans="5:5" x14ac:dyDescent="0.2">
      <c r="E475" s="3">
        <v>474</v>
      </c>
    </row>
    <row r="476" spans="5:5" x14ac:dyDescent="0.2">
      <c r="E476" s="3">
        <v>475</v>
      </c>
    </row>
    <row r="477" spans="5:5" x14ac:dyDescent="0.2">
      <c r="E477" s="3">
        <v>476</v>
      </c>
    </row>
    <row r="478" spans="5:5" x14ac:dyDescent="0.2">
      <c r="E478" s="3">
        <v>477</v>
      </c>
    </row>
    <row r="479" spans="5:5" x14ac:dyDescent="0.2">
      <c r="E479" s="3">
        <v>478</v>
      </c>
    </row>
    <row r="480" spans="5:5" x14ac:dyDescent="0.2">
      <c r="E480" s="3">
        <v>479</v>
      </c>
    </row>
    <row r="481" spans="5:5" x14ac:dyDescent="0.2">
      <c r="E481" s="3">
        <v>480</v>
      </c>
    </row>
    <row r="482" spans="5:5" x14ac:dyDescent="0.2">
      <c r="E482" s="3">
        <v>481</v>
      </c>
    </row>
    <row r="483" spans="5:5" x14ac:dyDescent="0.2">
      <c r="E483" s="3">
        <v>482</v>
      </c>
    </row>
    <row r="484" spans="5:5" x14ac:dyDescent="0.2">
      <c r="E484" s="3">
        <v>483</v>
      </c>
    </row>
    <row r="485" spans="5:5" x14ac:dyDescent="0.2">
      <c r="E485" s="3">
        <v>484</v>
      </c>
    </row>
    <row r="486" spans="5:5" x14ac:dyDescent="0.2">
      <c r="E486" s="3">
        <v>485</v>
      </c>
    </row>
    <row r="487" spans="5:5" x14ac:dyDescent="0.2">
      <c r="E487" s="3">
        <v>486</v>
      </c>
    </row>
    <row r="488" spans="5:5" x14ac:dyDescent="0.2">
      <c r="E488" s="3">
        <v>487</v>
      </c>
    </row>
    <row r="489" spans="5:5" x14ac:dyDescent="0.2">
      <c r="E489" s="3">
        <v>488</v>
      </c>
    </row>
    <row r="490" spans="5:5" x14ac:dyDescent="0.2">
      <c r="E490" s="3">
        <v>489</v>
      </c>
    </row>
    <row r="491" spans="5:5" x14ac:dyDescent="0.2">
      <c r="E491" s="3">
        <v>490</v>
      </c>
    </row>
    <row r="492" spans="5:5" x14ac:dyDescent="0.2">
      <c r="E492" s="3">
        <v>491</v>
      </c>
    </row>
    <row r="493" spans="5:5" x14ac:dyDescent="0.2">
      <c r="E493" s="3">
        <v>492</v>
      </c>
    </row>
    <row r="494" spans="5:5" x14ac:dyDescent="0.2">
      <c r="E494" s="3">
        <v>493</v>
      </c>
    </row>
    <row r="495" spans="5:5" x14ac:dyDescent="0.2">
      <c r="E495" s="3">
        <v>494</v>
      </c>
    </row>
    <row r="496" spans="5:5" x14ac:dyDescent="0.2">
      <c r="E496" s="3">
        <v>495</v>
      </c>
    </row>
    <row r="497" spans="5:5" x14ac:dyDescent="0.2">
      <c r="E497" s="3">
        <v>496</v>
      </c>
    </row>
    <row r="498" spans="5:5" x14ac:dyDescent="0.2">
      <c r="E498" s="3">
        <v>497</v>
      </c>
    </row>
    <row r="499" spans="5:5" x14ac:dyDescent="0.2">
      <c r="E499" s="3">
        <v>498</v>
      </c>
    </row>
    <row r="500" spans="5:5" x14ac:dyDescent="0.2">
      <c r="E500" s="3">
        <v>499</v>
      </c>
    </row>
    <row r="501" spans="5:5" x14ac:dyDescent="0.2">
      <c r="E501" s="3">
        <v>500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Dinámica</vt:lpstr>
      <vt:lpstr>RESERVAS</vt:lpstr>
      <vt:lpstr>COBRANZA</vt:lpstr>
      <vt:lpstr>BBDD</vt:lpstr>
      <vt:lpstr>CHECK-IN</vt:lpstr>
      <vt:lpstr>EJEMPLO JIP</vt:lpstr>
      <vt:lpstr>PRICING</vt:lpstr>
      <vt:lpstr>precio</vt:lpstr>
      <vt:lpstr>Mantenedor</vt:lpstr>
      <vt:lpstr>AnclaPasajeros</vt:lpstr>
      <vt:lpstr>ListaReal</vt:lpstr>
      <vt:lpstr>ListaVacia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Icaza</dc:creator>
  <cp:lastModifiedBy>Javier Icaza</cp:lastModifiedBy>
  <dcterms:created xsi:type="dcterms:W3CDTF">2025-09-29T16:19:36Z</dcterms:created>
  <dcterms:modified xsi:type="dcterms:W3CDTF">2025-10-10T18:05:12Z</dcterms:modified>
</cp:coreProperties>
</file>