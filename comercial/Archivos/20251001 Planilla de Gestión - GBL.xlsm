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ebbycosoi/Desktop/Astral/GBL/"/>
    </mc:Choice>
  </mc:AlternateContent>
  <xr:revisionPtr revIDLastSave="0" documentId="13_ncr:1_{7FE2AAFA-C080-6346-BE23-899809FAD396}" xr6:coauthVersionLast="47" xr6:coauthVersionMax="47" xr10:uidLastSave="{00000000-0000-0000-0000-000000000000}"/>
  <bookViews>
    <workbookView xWindow="1520" yWindow="2720" windowWidth="30240" windowHeight="18880" activeTab="1" xr2:uid="{24CAD798-F53C-4268-AD2A-9BCB5D759923}"/>
  </bookViews>
  <sheets>
    <sheet name="RESERVAS" sheetId="14" r:id="rId1"/>
    <sheet name="BBDD" sheetId="15" r:id="rId2"/>
    <sheet name="CHECK-IN" sheetId="17" r:id="rId3"/>
    <sheet name="COBRANZA" sheetId="19" r:id="rId4"/>
    <sheet name="EJEMPLO JIP" sheetId="1" state="hidden" r:id="rId5"/>
    <sheet name="Pricing" sheetId="11" r:id="rId6"/>
    <sheet name="precio" sheetId="5" r:id="rId7"/>
    <sheet name="Mantenedor" sheetId="12" r:id="rId8"/>
  </sheets>
  <definedNames>
    <definedName name="ListaCondicional">IF(RESERVAS!$C$14="No",BBDD!#REF!,"")</definedName>
    <definedName name="ListaCondicional2">IF(RESERVAS!$C1="No",ListaReal,ListaVacia)</definedName>
    <definedName name="ListaReal">BBDD!#REF!</definedName>
    <definedName name="ListaVacia">RESERVAS!$AA$1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" i="14" l="1"/>
  <c r="K15" i="14"/>
  <c r="K16" i="14"/>
  <c r="K17" i="14"/>
  <c r="K18" i="14"/>
  <c r="K19" i="14"/>
  <c r="K20" i="14"/>
  <c r="K21" i="14"/>
  <c r="K22" i="14"/>
  <c r="K23" i="14"/>
  <c r="J14" i="14"/>
  <c r="J15" i="14"/>
  <c r="J16" i="14"/>
  <c r="J17" i="14"/>
  <c r="J18" i="14"/>
  <c r="J19" i="14"/>
  <c r="J20" i="14"/>
  <c r="J21" i="14"/>
  <c r="J22" i="14"/>
  <c r="J23" i="14"/>
  <c r="I14" i="14"/>
  <c r="I15" i="14"/>
  <c r="I16" i="14"/>
  <c r="I17" i="14"/>
  <c r="I18" i="14"/>
  <c r="I19" i="14"/>
  <c r="I20" i="14"/>
  <c r="I21" i="14"/>
  <c r="I22" i="14"/>
  <c r="I23" i="14"/>
  <c r="C8" i="14"/>
  <c r="D8" i="14" l="1"/>
  <c r="J12" i="17"/>
  <c r="J11" i="17"/>
  <c r="J10" i="17"/>
  <c r="J9" i="17"/>
  <c r="J8" i="17"/>
  <c r="E8" i="17" a="1"/>
  <c r="E8" i="17" s="1"/>
  <c r="D47" i="11"/>
  <c r="D48" i="11"/>
  <c r="D49" i="11"/>
  <c r="D50" i="11"/>
  <c r="D51" i="11"/>
  <c r="D52" i="11"/>
  <c r="D53" i="11"/>
  <c r="D54" i="11"/>
  <c r="D55" i="11"/>
  <c r="D56" i="11"/>
  <c r="D57" i="11"/>
  <c r="D46" i="11"/>
  <c r="D45" i="11"/>
  <c r="D44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2" i="11"/>
  <c r="B6" i="11"/>
  <c r="B9" i="11" s="1"/>
  <c r="B12" i="11" s="1"/>
  <c r="B15" i="11" s="1"/>
  <c r="B18" i="11" s="1"/>
  <c r="B21" i="11" s="1"/>
  <c r="B24" i="11" s="1"/>
  <c r="B27" i="11" s="1"/>
  <c r="B30" i="11" s="1"/>
  <c r="B33" i="11" s="1"/>
  <c r="B36" i="11" s="1"/>
  <c r="B39" i="11" s="1"/>
  <c r="B42" i="11" s="1"/>
  <c r="B7" i="11"/>
  <c r="B10" i="11" s="1"/>
  <c r="B13" i="11" s="1"/>
  <c r="B16" i="11" s="1"/>
  <c r="B19" i="11" s="1"/>
  <c r="B22" i="11" s="1"/>
  <c r="B25" i="11" s="1"/>
  <c r="B28" i="11" s="1"/>
  <c r="B31" i="11" s="1"/>
  <c r="B34" i="11" s="1"/>
  <c r="B37" i="11" s="1"/>
  <c r="B40" i="11" s="1"/>
  <c r="B43" i="11" s="1"/>
  <c r="B5" i="11"/>
  <c r="B8" i="11" s="1"/>
  <c r="B11" i="11" s="1"/>
  <c r="B14" i="11" s="1"/>
  <c r="B17" i="11" s="1"/>
  <c r="B20" i="11" s="1"/>
  <c r="B23" i="11" s="1"/>
  <c r="B26" i="11" s="1"/>
  <c r="B29" i="11" s="1"/>
  <c r="B32" i="11" s="1"/>
  <c r="B35" i="11" s="1"/>
  <c r="B38" i="11" s="1"/>
  <c r="B41" i="11" s="1"/>
  <c r="K16" i="1"/>
  <c r="E36" i="1"/>
  <c r="N29" i="1"/>
  <c r="N28" i="1"/>
  <c r="N27" i="1"/>
  <c r="N26" i="1"/>
  <c r="F37" i="1"/>
  <c r="F38" i="1" s="1"/>
  <c r="F39" i="1" s="1"/>
  <c r="F40" i="1" s="1"/>
  <c r="C32" i="1"/>
  <c r="D37" i="1"/>
  <c r="D38" i="1"/>
  <c r="D39" i="1"/>
  <c r="D40" i="1"/>
  <c r="D36" i="1"/>
  <c r="D49" i="1"/>
  <c r="D50" i="1"/>
  <c r="D51" i="1"/>
  <c r="D52" i="1"/>
  <c r="D53" i="1"/>
  <c r="D54" i="1"/>
  <c r="A37" i="1"/>
  <c r="A38" i="1" s="1"/>
  <c r="A39" i="1" s="1"/>
  <c r="A40" i="1" s="1"/>
  <c r="F41" i="1"/>
  <c r="F21" i="1"/>
  <c r="E21" i="1"/>
  <c r="E20" i="1"/>
  <c r="E19" i="1"/>
  <c r="E18" i="1"/>
  <c r="H18" i="1" s="1"/>
  <c r="I17" i="1"/>
  <c r="I18" i="1" s="1"/>
  <c r="I19" i="1" s="1"/>
  <c r="I20" i="1" s="1"/>
  <c r="E17" i="1"/>
  <c r="E16" i="1"/>
  <c r="H16" i="1" s="1"/>
  <c r="D16" i="1"/>
  <c r="D17" i="1" s="1"/>
  <c r="D18" i="1" s="1"/>
  <c r="C12" i="1"/>
  <c r="I10" i="1"/>
  <c r="C10" i="1"/>
  <c r="F52" i="1"/>
  <c r="F51" i="1"/>
  <c r="F50" i="1"/>
  <c r="F49" i="1"/>
  <c r="C16" i="5"/>
  <c r="C17" i="5" s="1"/>
  <c r="P13" i="5"/>
  <c r="E16" i="5" s="1"/>
  <c r="D13" i="5"/>
  <c r="D7" i="5"/>
  <c r="D6" i="5" s="1"/>
  <c r="C7" i="5"/>
  <c r="C6" i="5" s="1"/>
  <c r="E4" i="5"/>
  <c r="F7" i="5" s="1"/>
  <c r="D4" i="5"/>
  <c r="D41" i="1" l="1"/>
  <c r="S26" i="1"/>
  <c r="R26" i="1"/>
  <c r="H21" i="1"/>
  <c r="F22" i="1" s="1"/>
  <c r="K49" i="1" s="1"/>
  <c r="D19" i="1"/>
  <c r="D20" i="1" s="1"/>
  <c r="D21" i="1"/>
  <c r="I21" i="1"/>
  <c r="F8" i="5"/>
  <c r="F6" i="5"/>
  <c r="E17" i="5"/>
  <c r="E15" i="5"/>
  <c r="C8" i="5"/>
  <c r="E13" i="5"/>
  <c r="D8" i="5"/>
  <c r="F4" i="5"/>
  <c r="D16" i="5"/>
  <c r="E7" i="5"/>
  <c r="C15" i="5"/>
  <c r="D22" i="1" l="1"/>
  <c r="E22" i="1"/>
  <c r="J49" i="1"/>
  <c r="F16" i="5"/>
  <c r="F13" i="5"/>
  <c r="E8" i="5"/>
  <c r="E6" i="5"/>
  <c r="G4" i="5"/>
  <c r="G7" i="5"/>
  <c r="D15" i="5"/>
  <c r="D17" i="5"/>
  <c r="H4" i="5" l="1"/>
  <c r="H7" i="5"/>
  <c r="G13" i="5"/>
  <c r="G16" i="5"/>
  <c r="G6" i="5"/>
  <c r="G8" i="5"/>
  <c r="F15" i="5"/>
  <c r="F17" i="5"/>
  <c r="G17" i="5" l="1"/>
  <c r="G15" i="5"/>
  <c r="H13" i="5"/>
  <c r="H16" i="5"/>
  <c r="H8" i="5"/>
  <c r="H6" i="5"/>
  <c r="I4" i="5"/>
  <c r="I7" i="5"/>
  <c r="J4" i="5" l="1"/>
  <c r="J7" i="5"/>
  <c r="I8" i="5"/>
  <c r="I6" i="5"/>
  <c r="H15" i="5"/>
  <c r="H17" i="5"/>
  <c r="I13" i="5"/>
  <c r="I16" i="5"/>
  <c r="I17" i="5" l="1"/>
  <c r="I15" i="5"/>
  <c r="J13" i="5"/>
  <c r="J16" i="5"/>
  <c r="J8" i="5"/>
  <c r="J6" i="5"/>
  <c r="K4" i="5"/>
  <c r="K7" i="5"/>
  <c r="L4" i="5" l="1"/>
  <c r="L7" i="5"/>
  <c r="K13" i="5"/>
  <c r="K16" i="5"/>
  <c r="K8" i="5"/>
  <c r="K6" i="5"/>
  <c r="J15" i="5"/>
  <c r="J17" i="5"/>
  <c r="L13" i="5" l="1"/>
  <c r="L16" i="5"/>
  <c r="K15" i="5"/>
  <c r="K17" i="5"/>
  <c r="L6" i="5"/>
  <c r="L8" i="5"/>
  <c r="M4" i="5"/>
  <c r="M7" i="5"/>
  <c r="M6" i="5" l="1"/>
  <c r="M8" i="5"/>
  <c r="L15" i="5"/>
  <c r="L17" i="5"/>
  <c r="N4" i="5"/>
  <c r="N7" i="5"/>
  <c r="M13" i="5"/>
  <c r="M16" i="5"/>
  <c r="N13" i="5" l="1"/>
  <c r="N16" i="5"/>
  <c r="N6" i="5"/>
  <c r="N8" i="5"/>
  <c r="M17" i="5"/>
  <c r="M15" i="5"/>
  <c r="O4" i="5"/>
  <c r="P7" i="5" s="1"/>
  <c r="O7" i="5"/>
  <c r="P8" i="5" l="1"/>
  <c r="P6" i="5"/>
  <c r="O6" i="5"/>
  <c r="O8" i="5"/>
  <c r="N17" i="5"/>
  <c r="N15" i="5"/>
  <c r="O13" i="5"/>
  <c r="P16" i="5" s="1"/>
  <c r="O16" i="5"/>
  <c r="P17" i="5" l="1"/>
  <c r="P15" i="5"/>
  <c r="O15" i="5"/>
  <c r="O1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<sst xmlns="http://schemas.openxmlformats.org/spreadsheetml/2006/main" count="637" uniqueCount="252">
  <si>
    <t>RESERVA</t>
  </si>
  <si>
    <t>- mail</t>
  </si>
  <si>
    <t>- telefono</t>
  </si>
  <si>
    <t>- nombre contacto</t>
  </si>
  <si>
    <t>- check in</t>
  </si>
  <si>
    <t>- check out</t>
  </si>
  <si>
    <t>ENVIO</t>
  </si>
  <si>
    <t>MONTO</t>
  </si>
  <si>
    <t>ADEUDADO</t>
  </si>
  <si>
    <t>- valor bruto programa</t>
  </si>
  <si>
    <t>GRUPO</t>
  </si>
  <si>
    <t>ABONO</t>
  </si>
  <si>
    <t>PAGO</t>
  </si>
  <si>
    <t>RESPUESTA</t>
  </si>
  <si>
    <t>Mail / Celular</t>
  </si>
  <si>
    <t>Noches</t>
  </si>
  <si>
    <t>FECHA</t>
  </si>
  <si>
    <t>BRUTO</t>
  </si>
  <si>
    <t>PASAJEROS</t>
  </si>
  <si>
    <t>- fecha reserva</t>
  </si>
  <si>
    <t>OBSERVACIONES</t>
  </si>
  <si>
    <t>reserva - 30</t>
  </si>
  <si>
    <t>reserva - 45</t>
  </si>
  <si>
    <t>reserva - 60</t>
  </si>
  <si>
    <t>reserva - 75</t>
  </si>
  <si>
    <t>reserva - 90</t>
  </si>
  <si>
    <t>reserva - 105</t>
  </si>
  <si>
    <t>llamar</t>
  </si>
  <si>
    <t>PLAZO</t>
  </si>
  <si>
    <t>check in - 45</t>
  </si>
  <si>
    <t>check in - 30</t>
  </si>
  <si>
    <t>check in - 15</t>
  </si>
  <si>
    <t>check in - 7</t>
  </si>
  <si>
    <t>MEDIO</t>
  </si>
  <si>
    <t>PAGO RESERVA (50%)</t>
  </si>
  <si>
    <t>PAGO SALDO (50%)</t>
  </si>
  <si>
    <t>TRANSACCIONES</t>
  </si>
  <si>
    <t>GREEN BAKER LODGE</t>
  </si>
  <si>
    <t>AREA PESCA</t>
  </si>
  <si>
    <t>V°B°</t>
  </si>
  <si>
    <t>Jorge Icaza Perez</t>
  </si>
  <si>
    <t>jicaza@vecta.cl</t>
  </si>
  <si>
    <t>9 9318 3704</t>
  </si>
  <si>
    <t>Alejandra Icaza Gana</t>
  </si>
  <si>
    <t>Javier Icaza Gana</t>
  </si>
  <si>
    <t>Anibal Icaza Gana</t>
  </si>
  <si>
    <t>FSN</t>
  </si>
  <si>
    <t>- numero de dias</t>
  </si>
  <si>
    <t>transbank</t>
  </si>
  <si>
    <t>TOTAL</t>
  </si>
  <si>
    <t>sin pago Alejandra Icaza. Es HOSTED</t>
  </si>
  <si>
    <t>TARIFA x PERSONA</t>
  </si>
  <si>
    <t>$</t>
  </si>
  <si>
    <t>Dia 1 traslado</t>
  </si>
  <si>
    <t>Dia 1 mediodia</t>
  </si>
  <si>
    <t>Día 2 full</t>
  </si>
  <si>
    <t>Día 3 full</t>
  </si>
  <si>
    <t>Día 4 full</t>
  </si>
  <si>
    <t>Día 5 full</t>
  </si>
  <si>
    <t>Día 6 full</t>
  </si>
  <si>
    <t>Día 7 full</t>
  </si>
  <si>
    <t>Día 8 full</t>
  </si>
  <si>
    <t>Día 9 full</t>
  </si>
  <si>
    <t>Día 10 full</t>
  </si>
  <si>
    <t>Día 11 full</t>
  </si>
  <si>
    <t>Día 12 full</t>
  </si>
  <si>
    <t>Día 13 full</t>
  </si>
  <si>
    <t>Día 14 full</t>
  </si>
  <si>
    <t>Día 15 traslado</t>
  </si>
  <si>
    <t>1 noche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</si>
  <si>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</si>
  <si>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</si>
  <si>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</si>
  <si>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</si>
  <si>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</si>
  <si>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</si>
  <si>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</si>
  <si>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</si>
  <si>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</si>
  <si>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</si>
  <si>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</si>
  <si>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</si>
  <si>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</si>
  <si>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Base single</t>
  </si>
  <si>
    <t>Base doble</t>
  </si>
  <si>
    <t>Non angler nacional</t>
  </si>
  <si>
    <t>USD</t>
  </si>
  <si>
    <t>Día 1 traslado</t>
  </si>
  <si>
    <t xml:space="preserve">Día 1; 1/2  dia </t>
  </si>
  <si>
    <t>Non angler</t>
  </si>
  <si>
    <t>TARIFAS DÍA DE PESCA (BASE DOBLE)</t>
  </si>
  <si>
    <t>1/2 DÍA</t>
  </si>
  <si>
    <t>* 4 HORAS DE PESCA. INCLUYE AGUA Y BEBIDAS NO ALCOHÓLICAS.</t>
  </si>
  <si>
    <t>DIA COMPLETO</t>
  </si>
  <si>
    <t>* 8 HORAS DE PESCA. INCLUYE BOX LUNCH.</t>
  </si>
  <si>
    <t>20% Comisión Venta Nacional</t>
  </si>
  <si>
    <t>20% Comisión Venta Internacional</t>
  </si>
  <si>
    <t>Hosted Trips</t>
  </si>
  <si>
    <t>Sobre 5 Clientes</t>
  </si>
  <si>
    <t>precio</t>
  </si>
  <si>
    <t>dcto</t>
  </si>
  <si>
    <t>a pagar</t>
  </si>
  <si>
    <t>Madi Vega</t>
  </si>
  <si>
    <t>Coni Osorio</t>
  </si>
  <si>
    <t>Madi Vega es non angler</t>
  </si>
  <si>
    <t>Total Cañas</t>
  </si>
  <si>
    <t>Non Angler</t>
  </si>
  <si>
    <t>NN</t>
  </si>
  <si>
    <t>NA</t>
  </si>
  <si>
    <t>VALOR DEL PROGRAMA NACIONAL</t>
  </si>
  <si>
    <t>CELDAS</t>
  </si>
  <si>
    <t>DEBEN SER LLENADAS MANUALMENTE</t>
  </si>
  <si>
    <t>Reserva</t>
  </si>
  <si>
    <t>Fecha</t>
  </si>
  <si>
    <t>Saldo</t>
  </si>
  <si>
    <t>Grupo</t>
  </si>
  <si>
    <t>Jose luis Rodriguez casanueva</t>
  </si>
  <si>
    <t>rafael.loyoladominguez@gmail.com</t>
  </si>
  <si>
    <t>Borja Rodriguez Rios</t>
  </si>
  <si>
    <t>Ignacio Rodiguez Rios</t>
  </si>
  <si>
    <t>Cristian Fabres Ruiz</t>
  </si>
  <si>
    <t>Rafael Loyola Dominguez</t>
  </si>
  <si>
    <t>Martin Icaza Gana</t>
  </si>
  <si>
    <t>nombre</t>
  </si>
  <si>
    <t>identificar NON ANGLER al final de lista de pasajeros</t>
  </si>
  <si>
    <t>Total</t>
  </si>
  <si>
    <t>dcto %</t>
  </si>
  <si>
    <t>VALOR DEL PROGRAMA NACIONAL (CON IVA)</t>
  </si>
  <si>
    <t>reserva + 30</t>
  </si>
  <si>
    <t>reserva + 45</t>
  </si>
  <si>
    <t>reserva + 60</t>
  </si>
  <si>
    <t>reserva + 75</t>
  </si>
  <si>
    <t>reserva + 90</t>
  </si>
  <si>
    <t>reserva + 105</t>
  </si>
  <si>
    <t>comision %</t>
  </si>
  <si>
    <t>precio lista</t>
  </si>
  <si>
    <r>
      <t xml:space="preserve">CODIGO                   </t>
    </r>
    <r>
      <rPr>
        <b/>
        <sz val="11"/>
        <color theme="1"/>
        <rFont val="Aptos Narrow"/>
        <family val="2"/>
        <scheme val="minor"/>
      </rPr>
      <t xml:space="preserve"> AA</t>
    </r>
  </si>
  <si>
    <t>Código interno</t>
  </si>
  <si>
    <t>Fecha de reserva</t>
  </si>
  <si>
    <t>Contacto</t>
  </si>
  <si>
    <t>Mail</t>
  </si>
  <si>
    <t>N° Días</t>
  </si>
  <si>
    <t>Tipo</t>
  </si>
  <si>
    <t>Base</t>
  </si>
  <si>
    <t>Pasajero</t>
  </si>
  <si>
    <t>Si</t>
  </si>
  <si>
    <t>No</t>
  </si>
  <si>
    <t>Pescador</t>
  </si>
  <si>
    <t>Single</t>
  </si>
  <si>
    <t>Doble</t>
  </si>
  <si>
    <t>N° Cliente</t>
  </si>
  <si>
    <t>Valor bruto</t>
  </si>
  <si>
    <t>Texto</t>
  </si>
  <si>
    <t>Información Pasajero</t>
  </si>
  <si>
    <t>Información Reserva</t>
  </si>
  <si>
    <t>Host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</si>
  <si>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</si>
  <si>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</si>
  <si>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</si>
  <si>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</si>
  <si>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</si>
  <si>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</si>
  <si>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</si>
  <si>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</si>
  <si>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</si>
  <si>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</si>
  <si>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</si>
  <si>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</si>
  <si>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</si>
  <si>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Nombre completo</t>
  </si>
  <si>
    <t>Número de contacto</t>
  </si>
  <si>
    <t>Información de Grupo</t>
  </si>
  <si>
    <t>Pasajero N˚1</t>
  </si>
  <si>
    <t>Pasajero N˚2</t>
  </si>
  <si>
    <t>Pasajero N˚3</t>
  </si>
  <si>
    <t>Pasajero N˚4</t>
  </si>
  <si>
    <t>Pasajero N˚5</t>
  </si>
  <si>
    <t>Pasajero N˚6</t>
  </si>
  <si>
    <t>Pasajero N˚7</t>
  </si>
  <si>
    <t>Pasajero N˚8</t>
  </si>
  <si>
    <t>Pasajero N˚9</t>
  </si>
  <si>
    <t>Pasajero N˚10</t>
  </si>
  <si>
    <t>Información de Estadía</t>
  </si>
  <si>
    <t>N° Días / Pasajero</t>
  </si>
  <si>
    <t>¿Primera vez que viene?</t>
  </si>
  <si>
    <t>N˚ Noches</t>
  </si>
  <si>
    <t>Pescador/Non Angles</t>
  </si>
  <si>
    <t>Extranjero</t>
  </si>
  <si>
    <t>Nacional</t>
  </si>
  <si>
    <t>N˚ Pasajero</t>
  </si>
  <si>
    <t>Francisco frias</t>
  </si>
  <si>
    <t>Check-In</t>
  </si>
  <si>
    <t>Check-Out</t>
  </si>
  <si>
    <t>Género</t>
  </si>
  <si>
    <t>Masculino</t>
  </si>
  <si>
    <t>Femenino</t>
  </si>
  <si>
    <t>Información del Programa</t>
  </si>
  <si>
    <t>Información Personal</t>
  </si>
  <si>
    <t>Grupo Extranjero/Nacional</t>
  </si>
  <si>
    <t>N˚ Grupo</t>
  </si>
  <si>
    <t>N° Noches</t>
  </si>
  <si>
    <t>Encargado</t>
  </si>
  <si>
    <t>GESTION DE  COBRANZA</t>
  </si>
  <si>
    <t>GESTION DE RESERVA</t>
  </si>
  <si>
    <t>N˚ 2</t>
  </si>
  <si>
    <t>N˚ 3</t>
  </si>
  <si>
    <t>N˚ 4</t>
  </si>
  <si>
    <t>N˚ 5</t>
  </si>
  <si>
    <t>N˚ 6</t>
  </si>
  <si>
    <t>N˚ 7</t>
  </si>
  <si>
    <t>N˚ 8</t>
  </si>
  <si>
    <t>N˚ 9</t>
  </si>
  <si>
    <t>N˚ 10</t>
  </si>
  <si>
    <t>Descuento</t>
  </si>
  <si>
    <t>Plazo</t>
  </si>
  <si>
    <t>Reserva - 30 días</t>
  </si>
  <si>
    <t>Reserva - 45 días</t>
  </si>
  <si>
    <t>Reserva - 60 días</t>
  </si>
  <si>
    <t>Reserva - 75 días</t>
  </si>
  <si>
    <t>Reserva - 90 días</t>
  </si>
  <si>
    <t>Reserva - 105 días</t>
  </si>
  <si>
    <t>Reserva - Llamar</t>
  </si>
  <si>
    <t>Saldo - Llamar</t>
  </si>
  <si>
    <t>Saldo - 45 días</t>
  </si>
  <si>
    <t>Saldo - 30 días</t>
  </si>
  <si>
    <t>Saldo - 15 días</t>
  </si>
  <si>
    <t>Saldo - 7 días</t>
  </si>
  <si>
    <t>Información Pricing</t>
  </si>
  <si>
    <t>Reserva - Monto Bruto</t>
  </si>
  <si>
    <t>Reserva - Medio de Pago</t>
  </si>
  <si>
    <t>Reserva - Fecha de Pago</t>
  </si>
  <si>
    <t>Nombre Completo</t>
  </si>
  <si>
    <t>Número de Contacto</t>
  </si>
  <si>
    <t>Fecha de Reserva</t>
  </si>
  <si>
    <t>Valor Bruto Programa</t>
  </si>
  <si>
    <t>Reserva - 105 Días</t>
  </si>
  <si>
    <t>Reserva - 90 Días</t>
  </si>
  <si>
    <t>Reserva - 75 Días</t>
  </si>
  <si>
    <t>Reserva - 60 Días</t>
  </si>
  <si>
    <t>Reserva - 45 Días</t>
  </si>
  <si>
    <t>Reserva - 30 Días</t>
  </si>
  <si>
    <t>Saldo - 45 Días</t>
  </si>
  <si>
    <t>Saldo - 30 Días</t>
  </si>
  <si>
    <t>Saldo - 15 Días</t>
  </si>
  <si>
    <t>Saldo - 7 Días</t>
  </si>
  <si>
    <t>Seguimiento Cobranza Reserva</t>
  </si>
  <si>
    <t>Seguimiento Cobranza Saldo</t>
  </si>
  <si>
    <t>Saldo - Fecha de Pago</t>
  </si>
  <si>
    <t>Saldo - Monto Bruto</t>
  </si>
  <si>
    <t>Saldo - Medio de Pago</t>
  </si>
  <si>
    <t>Observaciones</t>
  </si>
  <si>
    <t>Nacional/Extranjero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</si>
</sst>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 &quot;$&quot;* #,##0_ ;_ &quot;$&quot;* \-#,##0_ ;_ &quot;$&quot;* &quot;-&quot;_ ;_ @_ "/>
    <numFmt numFmtId="44" formatCode="_ &quot;$&quot;* #,##0.00_ ;_ &quot;$&quot;* \-#,##0.00_ ;_ &quot;$&quot;* &quot;-&quot;??_ ;_ @_ "/>
    <numFmt numFmtId="164" formatCode="_-&quot;$&quot;* #,##0_-;\-&quot;$&quot;* #,##0_-;_-&quot;$&quot;* &quot;-&quot;??_-;_-@_-"/>
    <numFmt numFmtId="165" formatCode="0.0%"/>
    <numFmt numFmtId="166" formatCode="[$USD]\ #,##0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ptos Narrow"/>
      <family val="2"/>
    </font>
    <font>
      <b/>
      <sz val="11"/>
      <color theme="3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36"/>
      <color theme="1"/>
      <name val="MS Reference Sans Serif"/>
      <family val="2"/>
    </font>
    <font>
      <b/>
      <sz val="16"/>
      <color theme="1"/>
      <name val="Aptos Narrow"/>
      <scheme val="minor"/>
    </font>
    <font>
      <b/>
      <sz val="20"/>
      <color theme="1"/>
      <name val="Aptos Narrow"/>
      <scheme val="minor"/>
    </font>
    <font>
      <b/>
      <sz val="11"/>
      <color theme="1"/>
      <name val="Aptos Narrow"/>
      <scheme val="minor"/>
    </font>
    <font>
      <b/>
      <sz val="24"/>
      <color theme="1"/>
      <name val="Aptos Narrow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0C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BCBA"/>
        <bgColor indexed="64"/>
      </patternFill>
    </fill>
    <fill>
      <patternFill patternType="solid">
        <fgColor theme="2" tint="-9.9978637043366805E-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2" fontId="5" fillId="0" borderId="0" applyFont="0" applyFill="0" applyBorder="0" applyAlignment="0" applyProtection="0"/>
  </cellStyleXfs>
  <cellXfs count="285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7" xfId="0" applyBorder="1"/>
    <xf numFmtId="0" fontId="0" fillId="0" borderId="5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quotePrefix="1" applyBorder="1"/>
    <xf numFmtId="0" fontId="0" fillId="0" borderId="1" xfId="0" applyBorder="1"/>
    <xf numFmtId="0" fontId="0" fillId="0" borderId="22" xfId="0" quotePrefix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/>
    <xf numFmtId="0" fontId="0" fillId="0" borderId="12" xfId="0" applyBorder="1"/>
    <xf numFmtId="0" fontId="0" fillId="0" borderId="28" xfId="0" applyBorder="1"/>
    <xf numFmtId="0" fontId="0" fillId="0" borderId="30" xfId="0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1" xfId="0" applyBorder="1"/>
    <xf numFmtId="0" fontId="0" fillId="0" borderId="37" xfId="0" applyBorder="1" applyAlignment="1">
      <alignment horizontal="center"/>
    </xf>
    <xf numFmtId="0" fontId="1" fillId="0" borderId="0" xfId="0" applyFont="1"/>
    <xf numFmtId="0" fontId="0" fillId="0" borderId="28" xfId="0" applyBorder="1" applyAlignment="1">
      <alignment horizontal="center"/>
    </xf>
    <xf numFmtId="0" fontId="0" fillId="0" borderId="25" xfId="0" quotePrefix="1" applyBorder="1"/>
    <xf numFmtId="0" fontId="0" fillId="0" borderId="1" xfId="0" applyBorder="1" applyAlignment="1">
      <alignment horizontal="center"/>
    </xf>
    <xf numFmtId="0" fontId="0" fillId="0" borderId="2" xfId="0" quotePrefix="1" applyBorder="1"/>
    <xf numFmtId="0" fontId="1" fillId="0" borderId="1" xfId="0" applyFont="1" applyBorder="1" applyAlignment="1">
      <alignment horizontal="center"/>
    </xf>
    <xf numFmtId="3" fontId="0" fillId="0" borderId="5" xfId="0" quotePrefix="1" applyNumberFormat="1" applyBorder="1"/>
    <xf numFmtId="3" fontId="0" fillId="0" borderId="5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0" borderId="1" xfId="0" quotePrefix="1" applyBorder="1"/>
    <xf numFmtId="0" fontId="0" fillId="0" borderId="40" xfId="0" applyBorder="1"/>
    <xf numFmtId="14" fontId="0" fillId="0" borderId="5" xfId="0" quotePrefix="1" applyNumberFormat="1" applyBorder="1"/>
    <xf numFmtId="0" fontId="0" fillId="2" borderId="5" xfId="0" quotePrefix="1" applyFill="1" applyBorder="1"/>
    <xf numFmtId="0" fontId="4" fillId="2" borderId="5" xfId="1" quotePrefix="1" applyFill="1" applyBorder="1"/>
    <xf numFmtId="14" fontId="0" fillId="2" borderId="16" xfId="0" quotePrefix="1" applyNumberFormat="1" applyFill="1" applyBorder="1"/>
    <xf numFmtId="0" fontId="0" fillId="2" borderId="11" xfId="0" applyFill="1" applyBorder="1"/>
    <xf numFmtId="3" fontId="0" fillId="2" borderId="5" xfId="0" quotePrefix="1" applyNumberFormat="1" applyFill="1" applyBorder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5" xfId="0" applyFill="1" applyBorder="1"/>
    <xf numFmtId="0" fontId="0" fillId="2" borderId="22" xfId="0" applyFill="1" applyBorder="1"/>
    <xf numFmtId="0" fontId="0" fillId="2" borderId="5" xfId="0" applyFill="1" applyBorder="1"/>
    <xf numFmtId="0" fontId="0" fillId="2" borderId="29" xfId="0" applyFill="1" applyBorder="1"/>
    <xf numFmtId="0" fontId="0" fillId="2" borderId="14" xfId="0" applyFill="1" applyBorder="1"/>
    <xf numFmtId="0" fontId="0" fillId="2" borderId="10" xfId="0" applyFill="1" applyBorder="1"/>
    <xf numFmtId="14" fontId="0" fillId="2" borderId="39" xfId="0" quotePrefix="1" applyNumberFormat="1" applyFill="1" applyBorder="1"/>
    <xf numFmtId="0" fontId="0" fillId="0" borderId="8" xfId="0" quotePrefix="1" applyBorder="1"/>
    <xf numFmtId="0" fontId="0" fillId="0" borderId="9" xfId="0" quotePrefix="1" applyBorder="1"/>
    <xf numFmtId="9" fontId="0" fillId="0" borderId="11" xfId="0" applyNumberFormat="1" applyBorder="1" applyAlignment="1">
      <alignment horizontal="center"/>
    </xf>
    <xf numFmtId="0" fontId="0" fillId="2" borderId="22" xfId="0" quotePrefix="1" applyFill="1" applyBorder="1"/>
    <xf numFmtId="14" fontId="0" fillId="2" borderId="31" xfId="0" applyNumberFormat="1" applyFill="1" applyBorder="1"/>
    <xf numFmtId="3" fontId="0" fillId="0" borderId="32" xfId="0" applyNumberFormat="1" applyBorder="1"/>
    <xf numFmtId="3" fontId="0" fillId="2" borderId="15" xfId="0" applyNumberFormat="1" applyFill="1" applyBorder="1"/>
    <xf numFmtId="3" fontId="0" fillId="2" borderId="5" xfId="0" applyNumberFormat="1" applyFill="1" applyBorder="1"/>
    <xf numFmtId="3" fontId="0" fillId="2" borderId="14" xfId="0" applyNumberFormat="1" applyFill="1" applyBorder="1"/>
    <xf numFmtId="3" fontId="0" fillId="2" borderId="11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38" xfId="0" applyFill="1" applyBorder="1"/>
    <xf numFmtId="3" fontId="0" fillId="3" borderId="18" xfId="0" applyNumberFormat="1" applyFill="1" applyBorder="1"/>
    <xf numFmtId="3" fontId="0" fillId="3" borderId="17" xfId="0" applyNumberFormat="1" applyFill="1" applyBorder="1"/>
    <xf numFmtId="3" fontId="0" fillId="0" borderId="23" xfId="0" applyNumberFormat="1" applyBorder="1"/>
    <xf numFmtId="3" fontId="0" fillId="3" borderId="19" xfId="0" applyNumberFormat="1" applyFill="1" applyBorder="1"/>
    <xf numFmtId="3" fontId="0" fillId="0" borderId="30" xfId="0" applyNumberFormat="1" applyBorder="1"/>
    <xf numFmtId="3" fontId="0" fillId="3" borderId="28" xfId="0" applyNumberFormat="1" applyFill="1" applyBorder="1"/>
    <xf numFmtId="3" fontId="0" fillId="0" borderId="12" xfId="0" applyNumberFormat="1" applyBorder="1"/>
    <xf numFmtId="0" fontId="0" fillId="0" borderId="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8" xfId="0" applyBorder="1" applyAlignment="1">
      <alignment horizontal="center"/>
    </xf>
    <xf numFmtId="14" fontId="0" fillId="0" borderId="4" xfId="0" quotePrefix="1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14" fontId="0" fillId="0" borderId="18" xfId="0" applyNumberForma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14" fontId="0" fillId="4" borderId="32" xfId="0" applyNumberForma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0" fillId="0" borderId="5" xfId="2" applyNumberFormat="1" applyFont="1" applyBorder="1"/>
    <xf numFmtId="164" fontId="5" fillId="0" borderId="5" xfId="2" applyNumberFormat="1" applyFont="1" applyBorder="1"/>
    <xf numFmtId="164" fontId="0" fillId="0" borderId="5" xfId="2" applyNumberFormat="1" applyFont="1" applyFill="1" applyBorder="1"/>
    <xf numFmtId="164" fontId="1" fillId="0" borderId="5" xfId="2" applyNumberFormat="1" applyFont="1" applyFill="1" applyBorder="1"/>
    <xf numFmtId="164" fontId="5" fillId="0" borderId="5" xfId="2" applyNumberFormat="1" applyFont="1" applyFill="1" applyBorder="1"/>
    <xf numFmtId="164" fontId="0" fillId="0" borderId="0" xfId="2" applyNumberFormat="1" applyFont="1"/>
    <xf numFmtId="165" fontId="1" fillId="0" borderId="0" xfId="3" applyNumberFormat="1" applyFont="1" applyFill="1"/>
    <xf numFmtId="164" fontId="1" fillId="0" borderId="0" xfId="2" applyNumberFormat="1" applyFont="1"/>
    <xf numFmtId="164" fontId="0" fillId="0" borderId="5" xfId="2" applyNumberFormat="1" applyFont="1" applyFill="1" applyBorder="1" applyAlignment="1">
      <alignment horizontal="center"/>
    </xf>
    <xf numFmtId="166" fontId="0" fillId="0" borderId="5" xfId="2" applyNumberFormat="1" applyFont="1" applyFill="1" applyBorder="1"/>
    <xf numFmtId="166" fontId="5" fillId="0" borderId="5" xfId="2" applyNumberFormat="1" applyFont="1" applyFill="1" applyBorder="1"/>
    <xf numFmtId="166" fontId="1" fillId="0" borderId="5" xfId="2" applyNumberFormat="1" applyFont="1" applyFill="1" applyBorder="1"/>
    <xf numFmtId="164" fontId="1" fillId="0" borderId="0" xfId="2" applyNumberFormat="1" applyFont="1" applyAlignment="1">
      <alignment horizontal="center"/>
    </xf>
    <xf numFmtId="166" fontId="0" fillId="0" borderId="0" xfId="2" applyNumberFormat="1" applyFont="1" applyFill="1"/>
    <xf numFmtId="164" fontId="1" fillId="0" borderId="0" xfId="2" applyNumberFormat="1" applyFont="1" applyFill="1"/>
    <xf numFmtId="166" fontId="1" fillId="0" borderId="0" xfId="2" applyNumberFormat="1" applyFont="1" applyFill="1"/>
    <xf numFmtId="166" fontId="0" fillId="0" borderId="0" xfId="2" applyNumberFormat="1" applyFont="1"/>
    <xf numFmtId="166" fontId="1" fillId="0" borderId="0" xfId="2" applyNumberFormat="1" applyFont="1"/>
    <xf numFmtId="0" fontId="0" fillId="5" borderId="22" xfId="0" quotePrefix="1" applyFill="1" applyBorder="1"/>
    <xf numFmtId="0" fontId="0" fillId="5" borderId="5" xfId="0" quotePrefix="1" applyFill="1" applyBorder="1"/>
    <xf numFmtId="3" fontId="0" fillId="5" borderId="5" xfId="0" applyNumberFormat="1" applyFill="1" applyBorder="1" applyAlignment="1">
      <alignment horizontal="center"/>
    </xf>
    <xf numFmtId="9" fontId="0" fillId="5" borderId="5" xfId="0" applyNumberForma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4" xfId="0" applyFill="1" applyBorder="1"/>
    <xf numFmtId="0" fontId="0" fillId="6" borderId="22" xfId="0" quotePrefix="1" applyFill="1" applyBorder="1"/>
    <xf numFmtId="0" fontId="0" fillId="6" borderId="5" xfId="0" quotePrefix="1" applyFill="1" applyBorder="1"/>
    <xf numFmtId="3" fontId="0" fillId="6" borderId="5" xfId="0" applyNumberFormat="1" applyFill="1" applyBorder="1" applyAlignment="1">
      <alignment horizontal="center"/>
    </xf>
    <xf numFmtId="9" fontId="0" fillId="6" borderId="5" xfId="0" applyNumberFormat="1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5" borderId="17" xfId="0" quotePrefix="1" applyFill="1" applyBorder="1"/>
    <xf numFmtId="0" fontId="0" fillId="5" borderId="41" xfId="0" quotePrefix="1" applyFill="1" applyBorder="1"/>
    <xf numFmtId="0" fontId="0" fillId="5" borderId="42" xfId="0" applyFill="1" applyBorder="1"/>
    <xf numFmtId="14" fontId="1" fillId="7" borderId="0" xfId="0" applyNumberFormat="1" applyFont="1" applyFill="1" applyAlignment="1">
      <alignment horizontal="center"/>
    </xf>
    <xf numFmtId="0" fontId="0" fillId="5" borderId="0" xfId="0" applyFill="1"/>
    <xf numFmtId="0" fontId="0" fillId="2" borderId="0" xfId="0" applyFill="1"/>
    <xf numFmtId="0" fontId="8" fillId="0" borderId="43" xfId="0" applyFont="1" applyBorder="1" applyAlignment="1">
      <alignment wrapText="1"/>
    </xf>
    <xf numFmtId="0" fontId="7" fillId="8" borderId="43" xfId="0" applyFont="1" applyFill="1" applyBorder="1" applyAlignment="1">
      <alignment wrapText="1"/>
    </xf>
    <xf numFmtId="0" fontId="6" fillId="0" borderId="43" xfId="0" applyFont="1" applyBorder="1" applyAlignment="1">
      <alignment horizontal="center" wrapText="1"/>
    </xf>
    <xf numFmtId="14" fontId="6" fillId="8" borderId="43" xfId="0" applyNumberFormat="1" applyFont="1" applyFill="1" applyBorder="1" applyAlignment="1">
      <alignment horizontal="center" wrapText="1"/>
    </xf>
    <xf numFmtId="0" fontId="0" fillId="5" borderId="41" xfId="0" quotePrefix="1" applyFill="1" applyBorder="1" applyAlignment="1">
      <alignment horizontal="center"/>
    </xf>
    <xf numFmtId="0" fontId="0" fillId="5" borderId="0" xfId="0" quotePrefix="1" applyFill="1"/>
    <xf numFmtId="0" fontId="0" fillId="5" borderId="2" xfId="0" quotePrefix="1" applyFill="1" applyBorder="1"/>
    <xf numFmtId="0" fontId="0" fillId="5" borderId="5" xfId="0" applyFill="1" applyBorder="1" applyAlignment="1">
      <alignment horizontal="right" indent="1"/>
    </xf>
    <xf numFmtId="14" fontId="0" fillId="0" borderId="32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/>
    <xf numFmtId="0" fontId="0" fillId="0" borderId="29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14" fontId="0" fillId="0" borderId="5" xfId="0" quotePrefix="1" applyNumberFormat="1" applyBorder="1" applyAlignment="1">
      <alignment horizontal="center"/>
    </xf>
    <xf numFmtId="9" fontId="0" fillId="0" borderId="5" xfId="0" applyNumberFormat="1" applyBorder="1" applyAlignment="1">
      <alignment horizontal="center"/>
    </xf>
    <xf numFmtId="3" fontId="0" fillId="0" borderId="28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5" borderId="48" xfId="0" quotePrefix="1" applyFont="1" applyFill="1" applyBorder="1" applyAlignment="1">
      <alignment horizontal="center"/>
    </xf>
    <xf numFmtId="0" fontId="0" fillId="5" borderId="23" xfId="0" applyFill="1" applyBorder="1"/>
    <xf numFmtId="0" fontId="8" fillId="0" borderId="49" xfId="0" applyFont="1" applyBorder="1" applyAlignment="1">
      <alignment wrapText="1"/>
    </xf>
    <xf numFmtId="0" fontId="8" fillId="0" borderId="50" xfId="0" applyFont="1" applyBorder="1" applyAlignment="1">
      <alignment wrapText="1"/>
    </xf>
    <xf numFmtId="0" fontId="0" fillId="3" borderId="36" xfId="0" applyFill="1" applyBorder="1" applyAlignment="1">
      <alignment horizontal="left"/>
    </xf>
    <xf numFmtId="14" fontId="0" fillId="2" borderId="4" xfId="0" quotePrefix="1" applyNumberFormat="1" applyFill="1" applyBorder="1" applyAlignment="1">
      <alignment horizontal="center"/>
    </xf>
    <xf numFmtId="0" fontId="0" fillId="5" borderId="51" xfId="0" quotePrefix="1" applyFill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42" fontId="0" fillId="0" borderId="0" xfId="4" applyFont="1"/>
    <xf numFmtId="0" fontId="0" fillId="11" borderId="13" xfId="0" applyFill="1" applyBorder="1"/>
    <xf numFmtId="0" fontId="0" fillId="11" borderId="24" xfId="0" applyFill="1" applyBorder="1"/>
    <xf numFmtId="0" fontId="0" fillId="0" borderId="0" xfId="0" applyAlignment="1">
      <alignment horizontal="left"/>
    </xf>
    <xf numFmtId="0" fontId="1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0" fillId="0" borderId="0" xfId="0" applyFont="1"/>
    <xf numFmtId="0" fontId="0" fillId="11" borderId="1" xfId="0" applyFill="1" applyBorder="1"/>
    <xf numFmtId="0" fontId="0" fillId="11" borderId="0" xfId="0" applyFill="1"/>
    <xf numFmtId="0" fontId="0" fillId="10" borderId="0" xfId="0" applyFill="1"/>
    <xf numFmtId="0" fontId="0" fillId="10" borderId="2" xfId="0" applyFill="1" applyBorder="1"/>
    <xf numFmtId="0" fontId="0" fillId="10" borderId="13" xfId="0" applyFill="1" applyBorder="1"/>
    <xf numFmtId="0" fontId="0" fillId="10" borderId="38" xfId="0" applyFill="1" applyBorder="1"/>
    <xf numFmtId="0" fontId="0" fillId="10" borderId="1" xfId="0" applyFill="1" applyBorder="1"/>
    <xf numFmtId="0" fontId="0" fillId="10" borderId="24" xfId="0" applyFill="1" applyBorder="1"/>
    <xf numFmtId="0" fontId="15" fillId="11" borderId="1" xfId="0" applyFont="1" applyFill="1" applyBorder="1"/>
    <xf numFmtId="0" fontId="10" fillId="11" borderId="0" xfId="0" applyFont="1" applyFill="1"/>
    <xf numFmtId="0" fontId="0" fillId="11" borderId="7" xfId="0" applyFill="1" applyBorder="1"/>
    <xf numFmtId="0" fontId="0" fillId="11" borderId="8" xfId="0" applyFill="1" applyBorder="1"/>
    <xf numFmtId="0" fontId="10" fillId="10" borderId="1" xfId="0" applyFont="1" applyFill="1" applyBorder="1"/>
    <xf numFmtId="0" fontId="10" fillId="10" borderId="0" xfId="0" applyFont="1" applyFill="1"/>
    <xf numFmtId="0" fontId="10" fillId="10" borderId="2" xfId="0" applyFont="1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16" fillId="0" borderId="0" xfId="0" applyFont="1" applyAlignment="1">
      <alignment horizontal="left" vertical="center"/>
    </xf>
    <xf numFmtId="0" fontId="9" fillId="9" borderId="53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7" fillId="0" borderId="0" xfId="0" applyFont="1" applyAlignment="1">
      <alignment vertical="center"/>
    </xf>
    <xf numFmtId="0" fontId="9" fillId="9" borderId="5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left"/>
    </xf>
    <xf numFmtId="0" fontId="11" fillId="13" borderId="1" xfId="0" applyFont="1" applyFill="1" applyBorder="1"/>
    <xf numFmtId="0" fontId="11" fillId="13" borderId="24" xfId="0" applyFont="1" applyFill="1" applyBorder="1"/>
    <xf numFmtId="0" fontId="16" fillId="0" borderId="0" xfId="0" applyFont="1"/>
    <xf numFmtId="0" fontId="11" fillId="11" borderId="1" xfId="0" applyFont="1" applyFill="1" applyBorder="1"/>
    <xf numFmtId="0" fontId="11" fillId="10" borderId="7" xfId="0" applyFont="1" applyFill="1" applyBorder="1"/>
    <xf numFmtId="0" fontId="11" fillId="10" borderId="8" xfId="0" applyFont="1" applyFill="1" applyBorder="1"/>
    <xf numFmtId="0" fontId="11" fillId="10" borderId="9" xfId="0" applyFont="1" applyFill="1" applyBorder="1"/>
    <xf numFmtId="0" fontId="11" fillId="10" borderId="1" xfId="0" applyFont="1" applyFill="1" applyBorder="1"/>
    <xf numFmtId="0" fontId="11" fillId="10" borderId="2" xfId="0" applyFont="1" applyFill="1" applyBorder="1"/>
    <xf numFmtId="0" fontId="11" fillId="11" borderId="24" xfId="0" applyFont="1" applyFill="1" applyBorder="1"/>
    <xf numFmtId="0" fontId="11" fillId="11" borderId="13" xfId="0" applyFont="1" applyFill="1" applyBorder="1"/>
    <xf numFmtId="0" fontId="11" fillId="10" borderId="24" xfId="0" applyFont="1" applyFill="1" applyBorder="1"/>
    <xf numFmtId="0" fontId="11" fillId="10" borderId="13" xfId="0" applyFont="1" applyFill="1" applyBorder="1"/>
    <xf numFmtId="0" fontId="11" fillId="10" borderId="38" xfId="0" applyFont="1" applyFill="1" applyBorder="1"/>
    <xf numFmtId="0" fontId="19" fillId="0" borderId="0" xfId="0" applyFont="1"/>
    <xf numFmtId="0" fontId="18" fillId="0" borderId="0" xfId="0" applyFont="1"/>
    <xf numFmtId="0" fontId="0" fillId="0" borderId="5" xfId="0" applyBorder="1" applyAlignment="1">
      <alignment horizontal="left"/>
    </xf>
    <xf numFmtId="164" fontId="0" fillId="0" borderId="5" xfId="2" applyNumberFormat="1" applyFont="1" applyBorder="1" applyAlignment="1">
      <alignment horizontal="left"/>
    </xf>
    <xf numFmtId="164" fontId="0" fillId="0" borderId="0" xfId="2" applyNumberFormat="1" applyFont="1" applyAlignment="1">
      <alignment horizontal="left"/>
    </xf>
    <xf numFmtId="0" fontId="1" fillId="0" borderId="0" xfId="0" applyFont="1" applyAlignment="1">
      <alignment horizontal="left"/>
    </xf>
    <xf numFmtId="166" fontId="0" fillId="0" borderId="5" xfId="2" applyNumberFormat="1" applyFont="1" applyFill="1" applyBorder="1" applyAlignment="1">
      <alignment horizontal="left"/>
    </xf>
    <xf numFmtId="166" fontId="0" fillId="0" borderId="0" xfId="2" applyNumberFormat="1" applyFont="1" applyAlignment="1">
      <alignment horizontal="left"/>
    </xf>
    <xf numFmtId="166" fontId="1" fillId="0" borderId="0" xfId="2" applyNumberFormat="1" applyFont="1" applyFill="1" applyAlignment="1">
      <alignment horizontal="left"/>
    </xf>
    <xf numFmtId="14" fontId="10" fillId="13" borderId="0" xfId="0" applyNumberFormat="1" applyFont="1" applyFill="1"/>
    <xf numFmtId="0" fontId="10" fillId="13" borderId="0" xfId="0" applyFont="1" applyFill="1"/>
    <xf numFmtId="0" fontId="10" fillId="13" borderId="2" xfId="0" applyFont="1" applyFill="1" applyBorder="1"/>
    <xf numFmtId="14" fontId="10" fillId="13" borderId="13" xfId="0" applyNumberFormat="1" applyFont="1" applyFill="1" applyBorder="1"/>
    <xf numFmtId="0" fontId="10" fillId="13" borderId="13" xfId="0" applyFont="1" applyFill="1" applyBorder="1"/>
    <xf numFmtId="0" fontId="10" fillId="13" borderId="38" xfId="0" applyFont="1" applyFill="1" applyBorder="1"/>
    <xf numFmtId="0" fontId="14" fillId="13" borderId="3" xfId="0" applyFont="1" applyFill="1" applyBorder="1"/>
    <xf numFmtId="0" fontId="14" fillId="13" borderId="6" xfId="0" applyFont="1" applyFill="1" applyBorder="1"/>
    <xf numFmtId="0" fontId="14" fillId="13" borderId="4" xfId="0" applyFont="1" applyFill="1" applyBorder="1"/>
    <xf numFmtId="0" fontId="11" fillId="13" borderId="0" xfId="0" applyFont="1" applyFill="1"/>
    <xf numFmtId="0" fontId="9" fillId="9" borderId="52" xfId="0" applyFont="1" applyFill="1" applyBorder="1" applyAlignment="1">
      <alignment horizontal="center"/>
    </xf>
    <xf numFmtId="0" fontId="9" fillId="10" borderId="53" xfId="0" applyFont="1" applyFill="1" applyBorder="1" applyAlignment="1">
      <alignment horizontal="center"/>
    </xf>
    <xf numFmtId="0" fontId="9" fillId="10" borderId="52" xfId="0" applyFont="1" applyFill="1" applyBorder="1" applyAlignment="1">
      <alignment horizontal="center"/>
    </xf>
    <xf numFmtId="0" fontId="9" fillId="11" borderId="24" xfId="0" applyFont="1" applyFill="1" applyBorder="1" applyAlignment="1">
      <alignment horizontal="center"/>
    </xf>
    <xf numFmtId="0" fontId="9" fillId="11" borderId="13" xfId="0" applyFont="1" applyFill="1" applyBorder="1" applyAlignment="1">
      <alignment horizontal="center"/>
    </xf>
    <xf numFmtId="0" fontId="9" fillId="11" borderId="38" xfId="0" applyFont="1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15" borderId="24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10" fillId="11" borderId="1" xfId="0" applyFont="1" applyFill="1" applyBorder="1"/>
    <xf numFmtId="0" fontId="10" fillId="11" borderId="7" xfId="0" applyFont="1" applyFill="1" applyBorder="1"/>
    <xf numFmtId="0" fontId="11" fillId="11" borderId="8" xfId="0" applyFont="1" applyFill="1" applyBorder="1"/>
    <xf numFmtId="0" fontId="13" fillId="0" borderId="3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14" fillId="0" borderId="3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13" fillId="11" borderId="1" xfId="0" applyFont="1" applyFill="1" applyBorder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1" borderId="2" xfId="0" applyFont="1" applyFill="1" applyBorder="1" applyAlignment="1">
      <alignment horizontal="center"/>
    </xf>
    <xf numFmtId="0" fontId="13" fillId="10" borderId="1" xfId="0" applyFont="1" applyFill="1" applyBorder="1" applyAlignment="1">
      <alignment horizontal="center"/>
    </xf>
    <xf numFmtId="0" fontId="13" fillId="10" borderId="0" xfId="0" applyFont="1" applyFill="1" applyAlignment="1">
      <alignment horizontal="center"/>
    </xf>
    <xf numFmtId="0" fontId="13" fillId="10" borderId="2" xfId="0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9" fillId="12" borderId="20" xfId="0" applyFont="1" applyFill="1" applyBorder="1" applyAlignment="1">
      <alignment horizontal="center" vertical="center" wrapText="1"/>
    </xf>
    <xf numFmtId="0" fontId="9" fillId="12" borderId="21" xfId="0" applyFont="1" applyFill="1" applyBorder="1" applyAlignment="1">
      <alignment horizontal="center" vertical="center" wrapText="1"/>
    </xf>
    <xf numFmtId="0" fontId="20" fillId="11" borderId="7" xfId="0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4" borderId="7" xfId="0" applyFont="1" applyFill="1" applyBorder="1" applyAlignment="1">
      <alignment horizontal="center" vertical="center"/>
    </xf>
    <xf numFmtId="0" fontId="20" fillId="14" borderId="8" xfId="0" applyFont="1" applyFill="1" applyBorder="1" applyAlignment="1">
      <alignment horizontal="center" vertical="center"/>
    </xf>
    <xf numFmtId="0" fontId="20" fillId="15" borderId="7" xfId="0" applyFont="1" applyFill="1" applyBorder="1" applyAlignment="1">
      <alignment horizontal="center" vertical="center"/>
    </xf>
    <xf numFmtId="0" fontId="20" fillId="15" borderId="8" xfId="0" applyFont="1" applyFill="1" applyBorder="1" applyAlignment="1">
      <alignment horizontal="center" vertical="center"/>
    </xf>
    <xf numFmtId="0" fontId="17" fillId="16" borderId="20" xfId="0" applyFont="1" applyFill="1" applyBorder="1" applyAlignment="1">
      <alignment horizontal="center" vertical="center"/>
    </xf>
    <xf numFmtId="0" fontId="17" fillId="16" borderId="21" xfId="0" applyFont="1" applyFill="1" applyBorder="1" applyAlignment="1">
      <alignment horizontal="center" vertical="center"/>
    </xf>
    <xf numFmtId="0" fontId="20" fillId="9" borderId="7" xfId="0" applyFont="1" applyFill="1" applyBorder="1" applyAlignment="1">
      <alignment horizontal="center" vertical="center"/>
    </xf>
    <xf numFmtId="0" fontId="20" fillId="9" borderId="8" xfId="0" applyFont="1" applyFill="1" applyBorder="1" applyAlignment="1">
      <alignment horizontal="center" vertical="center"/>
    </xf>
    <xf numFmtId="0" fontId="20" fillId="10" borderId="7" xfId="0" applyFont="1" applyFill="1" applyBorder="1" applyAlignment="1">
      <alignment horizontal="center" vertical="center"/>
    </xf>
    <xf numFmtId="0" fontId="20" fillId="10" borderId="8" xfId="0" applyFont="1" applyFill="1" applyBorder="1" applyAlignment="1">
      <alignment horizontal="center" vertical="center"/>
    </xf>
    <xf numFmtId="0" fontId="13" fillId="0" borderId="7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0" borderId="9" xfId="0" applyFont="1" applyBorder="1" applyAlignment="1">
      <alignment horizontal="left"/>
    </xf>
    <xf numFmtId="0" fontId="13" fillId="10" borderId="7" xfId="0" applyFont="1" applyFill="1" applyBorder="1" applyAlignment="1">
      <alignment horizontal="center"/>
    </xf>
    <xf numFmtId="0" fontId="13" fillId="10" borderId="8" xfId="0" applyFont="1" applyFill="1" applyBorder="1" applyAlignment="1">
      <alignment horizontal="center"/>
    </xf>
    <xf numFmtId="0" fontId="13" fillId="10" borderId="9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10" fillId="11" borderId="0" xfId="0" applyFont="1" applyFill="1" applyBorder="1"/>
    <xf numFmtId="0" fontId="11" fillId="11" borderId="0" xfId="0" applyFont="1" applyFill="1" applyBorder="1"/>
    <xf numFmtId="0" fontId="10" fillId="11" borderId="2" xfId="0" applyFont="1" applyFill="1" applyBorder="1"/>
    <xf numFmtId="14" fontId="11" fillId="13" borderId="0" xfId="0" applyNumberFormat="1" applyFont="1" applyFill="1"/>
    <xf numFmtId="14" fontId="11" fillId="13" borderId="13" xfId="0" applyNumberFormat="1" applyFont="1" applyFill="1" applyBorder="1"/>
    <xf numFmtId="0" fontId="4" fillId="11" borderId="8" xfId="1" applyFill="1" applyBorder="1"/>
    <xf numFmtId="14" fontId="11" fillId="10" borderId="8" xfId="0" applyNumberFormat="1" applyFont="1" applyFill="1" applyBorder="1"/>
    <xf numFmtId="0" fontId="4" fillId="11" borderId="0" xfId="1" applyFill="1" applyBorder="1"/>
    <xf numFmtId="0" fontId="11" fillId="10" borderId="0" xfId="0" applyFont="1" applyFill="1" applyBorder="1"/>
    <xf numFmtId="14" fontId="11" fillId="10" borderId="0" xfId="0" applyNumberFormat="1" applyFont="1" applyFill="1" applyBorder="1"/>
    <xf numFmtId="14" fontId="0" fillId="0" borderId="0" xfId="0" applyNumberFormat="1"/>
    <xf numFmtId="14" fontId="11" fillId="10" borderId="13" xfId="0" applyNumberFormat="1" applyFont="1" applyFill="1" applyBorder="1"/>
  </cellXfs>
  <cellStyles count="5">
    <cellStyle name="Hipervínculo" xfId="1" builtinId="8"/>
    <cellStyle name="Moneda" xfId="2" builtinId="4"/>
    <cellStyle name="Moneda [0]" xfId="4" builtinId="7"/>
    <cellStyle name="Normal" xfId="0" builtinId="0"/>
    <cellStyle name="Porcentaje" xfId="3" builtinId="5"/>
  </cellStyles>
  <dxfs count="0"/>
  <tableStyles count="0" defaultTableStyle="TableStyleMedium2" defaultPivotStyle="PivotStyleLight16"/>
  <colors>
    <mruColors>
      <color rgb="FFEFBCBA"/>
      <color rgb="FFEFF0C1"/>
      <color rgb="FFEBE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jpe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4.jpeg"/><Relationship Id="rId5" Type="http://schemas.openxmlformats.org/officeDocument/2006/relationships/image" Target="../media/image5.png"/><Relationship Id="rId4" Type="http://schemas.microsoft.com/office/2007/relationships/hdphoto" Target="../media/hdphoto2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173288</xdr:colOff>
      <xdr:row>0</xdr:row>
      <xdr:rowOff>135858</xdr:rowOff>
    </xdr:from>
    <xdr:to>
      <xdr:col>5</xdr:col>
      <xdr:colOff>216067</xdr:colOff>
      <xdr:row>0</xdr:row>
      <xdr:rowOff>671145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95F9910-0939-2161-7E5E-70CCC50F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2588" y="135858"/>
          <a:ext cx="2671679" cy="535287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0</xdr:row>
      <xdr:rowOff>1101725</xdr:rowOff>
    </xdr:from>
    <xdr:to>
      <xdr:col>4</xdr:col>
      <xdr:colOff>1315816</xdr:colOff>
      <xdr:row>1</xdr:row>
      <xdr:rowOff>851578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B4330D2-5472-51A5-C541-139AFA25A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950" y="1101725"/>
          <a:ext cx="5219700" cy="854753"/>
        </a:xfrm>
        <a:prstGeom prst="rect">
          <a:avLst/>
        </a:prstGeom>
      </xdr:spPr>
    </xdr:pic>
    <xdr:clientData/>
  </xdr:twoCellAnchor>
  <xdr:twoCellAnchor editAs="oneCell">
    <xdr:from>
      <xdr:col>11</xdr:col>
      <xdr:colOff>316493</xdr:colOff>
      <xdr:row>26</xdr:row>
      <xdr:rowOff>50812</xdr:rowOff>
    </xdr:from>
    <xdr:to>
      <xdr:col>12</xdr:col>
      <xdr:colOff>307376</xdr:colOff>
      <xdr:row>28</xdr:row>
      <xdr:rowOff>29895</xdr:rowOff>
    </xdr:to>
    <xdr:pic macro="[0]!GuardarReserva">
      <xdr:nvPicPr>
        <xdr:cNvPr id="10" name="Imagen 9">
          <a:extLst>
            <a:ext uri="{FF2B5EF4-FFF2-40B4-BE49-F238E27FC236}">
              <a16:creationId xmlns:a16="http://schemas.microsoft.com/office/drawing/2014/main" id="{C10147E0-7BB0-DD54-CCD0-CB80E3BDC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430" b="89693" l="752" r="95865">
                      <a14:foregroundMark x1="13695" y1="11404" x2="13695" y2="11404"/>
                      <a14:foregroundMark x1="16971" y1="21711" x2="26101" y2="21711"/>
                      <a14:foregroundMark x1="26101" y1="21711" x2="35338" y2="20175"/>
                      <a14:foregroundMark x1="9613" y1="27412" x2="9076" y2="55482"/>
                      <a14:foregroundMark x1="9076" y1="55482" x2="13050" y2="76974"/>
                      <a14:foregroundMark x1="13050" y1="76974" x2="20193" y2="81140"/>
                      <a14:foregroundMark x1="20193" y1="81140" x2="27820" y2="80702"/>
                      <a14:foregroundMark x1="27820" y1="80702" x2="47422" y2="82237"/>
                      <a14:foregroundMark x1="47422" y1="82237" x2="62137" y2="80702"/>
                      <a14:foregroundMark x1="62137" y1="80702" x2="68636" y2="80702"/>
                      <a14:foregroundMark x1="68636" y1="80702" x2="87701" y2="76754"/>
                      <a14:foregroundMark x1="87701" y1="76754" x2="91998" y2="57895"/>
                      <a14:foregroundMark x1="91998" y1="57895" x2="89581" y2="34211"/>
                      <a14:foregroundMark x1="89581" y1="34211" x2="75188" y2="26974"/>
                      <a14:foregroundMark x1="75188" y1="26974" x2="34586" y2="23684"/>
                      <a14:foregroundMark x1="39903" y1="31579" x2="44307" y2="52412"/>
                      <a14:foregroundMark x1="44307" y1="52412" x2="46992" y2="57456"/>
                      <a14:foregroundMark x1="7197" y1="44518" x2="4565" y2="43421"/>
                      <a14:foregroundMark x1="1128" y1="46491" x2="1128" y2="46491"/>
                      <a14:foregroundMark x1="752" y1="47588" x2="752" y2="47588"/>
                      <a14:foregroundMark x1="46509" y1="41447" x2="19871" y2="57018"/>
                      <a14:foregroundMark x1="19871" y1="57018" x2="13212" y2="54825"/>
                      <a14:foregroundMark x1="13212" y1="54825" x2="19012" y2="43421"/>
                      <a14:foregroundMark x1="19012" y1="43421" x2="64930" y2="47149"/>
                      <a14:foregroundMark x1="64930" y1="47149" x2="74436" y2="46711"/>
                      <a14:foregroundMark x1="74436" y1="46711" x2="88614" y2="47149"/>
                      <a14:foregroundMark x1="88614" y1="47149" x2="90816" y2="46491"/>
                      <a14:foregroundMark x1="88561" y1="20614" x2="88561" y2="20614"/>
                      <a14:foregroundMark x1="94092" y1="32018" x2="94092" y2="32018"/>
                      <a14:foregroundMark x1="95865" y1="48684" x2="92427" y2="27193"/>
                      <a14:foregroundMark x1="92427" y1="27193" x2="91461" y2="23684"/>
                      <a14:foregroundMark x1="86627" y1="55263" x2="86896" y2="58553"/>
                      <a14:foregroundMark x1="70569" y1="57895" x2="70569" y2="57895"/>
                      <a14:foregroundMark x1="74490" y1="54386" x2="74490" y2="54386"/>
                      <a14:foregroundMark x1="59291" y1="58991" x2="59291" y2="58991"/>
                      <a14:foregroundMark x1="62567" y1="56798" x2="62567" y2="56798"/>
                      <a14:foregroundMark x1="65091" y1="57895" x2="65091" y2="57895"/>
                      <a14:foregroundMark x1="42965" y1="62500" x2="42965" y2="62500"/>
                      <a14:foregroundMark x1="43824" y1="56798" x2="43824" y2="56798"/>
                      <a14:foregroundMark x1="25940" y1="62500" x2="25940" y2="62500"/>
                      <a14:foregroundMark x1="12299" y1="48684" x2="12299" y2="48684"/>
                      <a14:foregroundMark x1="13426" y1="38816" x2="13426" y2="38816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419934" y="12505006"/>
          <a:ext cx="1452065" cy="361449"/>
        </a:xfrm>
        <a:prstGeom prst="rect">
          <a:avLst/>
        </a:prstGeom>
      </xdr:spPr>
    </xdr:pic>
    <xdr:clientData/>
  </xdr:twoCellAnchor>
  <xdr:twoCellAnchor editAs="oneCell">
    <xdr:from>
      <xdr:col>1</xdr:col>
      <xdr:colOff>60561</xdr:colOff>
      <xdr:row>0</xdr:row>
      <xdr:rowOff>88547</xdr:rowOff>
    </xdr:from>
    <xdr:to>
      <xdr:col>2</xdr:col>
      <xdr:colOff>430581</xdr:colOff>
      <xdr:row>0</xdr:row>
      <xdr:rowOff>654807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10C36AB0-9831-6340-9F85-02124603F49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365361" y="88547"/>
          <a:ext cx="1448837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61685</xdr:colOff>
      <xdr:row>0</xdr:row>
      <xdr:rowOff>87085</xdr:rowOff>
    </xdr:from>
    <xdr:to>
      <xdr:col>1</xdr:col>
      <xdr:colOff>1499704</xdr:colOff>
      <xdr:row>0</xdr:row>
      <xdr:rowOff>660400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371FF2-99B3-6F48-8EE6-FB17B7300B4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366485" y="87085"/>
          <a:ext cx="1438019" cy="5733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172835</xdr:colOff>
      <xdr:row>0</xdr:row>
      <xdr:rowOff>139031</xdr:rowOff>
    </xdr:from>
    <xdr:to>
      <xdr:col>4</xdr:col>
      <xdr:colOff>215614</xdr:colOff>
      <xdr:row>0</xdr:row>
      <xdr:rowOff>674318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DC28A7-8B92-7943-8BF5-59D3BEC0D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3949" y="139031"/>
          <a:ext cx="2673494" cy="535287"/>
        </a:xfrm>
        <a:prstGeom prst="rect">
          <a:avLst/>
        </a:prstGeom>
      </xdr:spPr>
    </xdr:pic>
    <xdr:clientData/>
  </xdr:twoCellAnchor>
  <xdr:twoCellAnchor editAs="oneCell">
    <xdr:from>
      <xdr:col>10</xdr:col>
      <xdr:colOff>16062</xdr:colOff>
      <xdr:row>19</xdr:row>
      <xdr:rowOff>9845</xdr:rowOff>
    </xdr:from>
    <xdr:to>
      <xdr:col>11</xdr:col>
      <xdr:colOff>6944</xdr:colOff>
      <xdr:row>20</xdr:row>
      <xdr:rowOff>180111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903A8C7-1733-A24C-AB61-A445E157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430" b="89693" l="752" r="95865">
                      <a14:foregroundMark x1="13695" y1="11404" x2="13695" y2="11404"/>
                      <a14:foregroundMark x1="16971" y1="21711" x2="26101" y2="21711"/>
                      <a14:foregroundMark x1="26101" y1="21711" x2="35338" y2="20175"/>
                      <a14:foregroundMark x1="9613" y1="27412" x2="9076" y2="55482"/>
                      <a14:foregroundMark x1="9076" y1="55482" x2="13050" y2="76974"/>
                      <a14:foregroundMark x1="13050" y1="76974" x2="20193" y2="81140"/>
                      <a14:foregroundMark x1="20193" y1="81140" x2="27820" y2="80702"/>
                      <a14:foregroundMark x1="27820" y1="80702" x2="47422" y2="82237"/>
                      <a14:foregroundMark x1="47422" y1="82237" x2="62137" y2="80702"/>
                      <a14:foregroundMark x1="62137" y1="80702" x2="68636" y2="80702"/>
                      <a14:foregroundMark x1="68636" y1="80702" x2="87701" y2="76754"/>
                      <a14:foregroundMark x1="87701" y1="76754" x2="91998" y2="57895"/>
                      <a14:foregroundMark x1="91998" y1="57895" x2="89581" y2="34211"/>
                      <a14:foregroundMark x1="89581" y1="34211" x2="75188" y2="26974"/>
                      <a14:foregroundMark x1="75188" y1="26974" x2="34586" y2="23684"/>
                      <a14:foregroundMark x1="39903" y1="31579" x2="44307" y2="52412"/>
                      <a14:foregroundMark x1="44307" y1="52412" x2="46992" y2="57456"/>
                      <a14:foregroundMark x1="7197" y1="44518" x2="4565" y2="43421"/>
                      <a14:foregroundMark x1="1128" y1="46491" x2="1128" y2="46491"/>
                      <a14:foregroundMark x1="752" y1="47588" x2="752" y2="47588"/>
                      <a14:foregroundMark x1="46509" y1="41447" x2="19871" y2="57018"/>
                      <a14:foregroundMark x1="19871" y1="57018" x2="13212" y2="54825"/>
                      <a14:foregroundMark x1="13212" y1="54825" x2="19012" y2="43421"/>
                      <a14:foregroundMark x1="19012" y1="43421" x2="64930" y2="47149"/>
                      <a14:foregroundMark x1="64930" y1="47149" x2="74436" y2="46711"/>
                      <a14:foregroundMark x1="74436" y1="46711" x2="88614" y2="47149"/>
                      <a14:foregroundMark x1="88614" y1="47149" x2="90816" y2="46491"/>
                      <a14:foregroundMark x1="88561" y1="20614" x2="88561" y2="20614"/>
                      <a14:foregroundMark x1="94092" y1="32018" x2="94092" y2="32018"/>
                      <a14:foregroundMark x1="95865" y1="48684" x2="92427" y2="27193"/>
                      <a14:foregroundMark x1="92427" y1="27193" x2="91461" y2="23684"/>
                      <a14:foregroundMark x1="86627" y1="55263" x2="86896" y2="58553"/>
                      <a14:foregroundMark x1="70569" y1="57895" x2="70569" y2="57895"/>
                      <a14:foregroundMark x1="74490" y1="54386" x2="74490" y2="54386"/>
                      <a14:foregroundMark x1="59291" y1="58991" x2="59291" y2="58991"/>
                      <a14:foregroundMark x1="62567" y1="56798" x2="62567" y2="56798"/>
                      <a14:foregroundMark x1="65091" y1="57895" x2="65091" y2="57895"/>
                      <a14:foregroundMark x1="42965" y1="62500" x2="42965" y2="62500"/>
                      <a14:foregroundMark x1="43824" y1="56798" x2="43824" y2="56798"/>
                      <a14:foregroundMark x1="25940" y1="62500" x2="25940" y2="62500"/>
                      <a14:foregroundMark x1="12299" y1="48684" x2="12299" y2="48684"/>
                      <a14:foregroundMark x1="13426" y1="38816" x2="13426" y2="38816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655862" y="8887145"/>
          <a:ext cx="1451382" cy="360766"/>
        </a:xfrm>
        <a:prstGeom prst="rect">
          <a:avLst/>
        </a:prstGeom>
      </xdr:spPr>
    </xdr:pic>
    <xdr:clientData/>
  </xdr:twoCellAnchor>
  <xdr:twoCellAnchor editAs="oneCell">
    <xdr:from>
      <xdr:col>1</xdr:col>
      <xdr:colOff>65113</xdr:colOff>
      <xdr:row>0</xdr:row>
      <xdr:rowOff>1101142</xdr:rowOff>
    </xdr:from>
    <xdr:to>
      <xdr:col>2</xdr:col>
      <xdr:colOff>763885</xdr:colOff>
      <xdr:row>1</xdr:row>
      <xdr:rowOff>765581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3E9FC06-6FD3-1822-4550-E0A59A80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9913" y="1101142"/>
          <a:ext cx="2415086" cy="771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173288</xdr:colOff>
      <xdr:row>0</xdr:row>
      <xdr:rowOff>135858</xdr:rowOff>
    </xdr:from>
    <xdr:to>
      <xdr:col>4</xdr:col>
      <xdr:colOff>216067</xdr:colOff>
      <xdr:row>0</xdr:row>
      <xdr:rowOff>671145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C3A5BD6-A899-CA4B-AD4A-1BB8E21C3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4788" y="135858"/>
          <a:ext cx="2671679" cy="535287"/>
        </a:xfrm>
        <a:prstGeom prst="rect">
          <a:avLst/>
        </a:prstGeom>
      </xdr:spPr>
    </xdr:pic>
    <xdr:clientData/>
  </xdr:twoCellAnchor>
  <xdr:twoCellAnchor editAs="oneCell">
    <xdr:from>
      <xdr:col>1</xdr:col>
      <xdr:colOff>60561</xdr:colOff>
      <xdr:row>0</xdr:row>
      <xdr:rowOff>88547</xdr:rowOff>
    </xdr:from>
    <xdr:to>
      <xdr:col>1</xdr:col>
      <xdr:colOff>1509398</xdr:colOff>
      <xdr:row>0</xdr:row>
      <xdr:rowOff>654807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543A605-A0E6-2C49-8079-9DD67605BE3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365361" y="88547"/>
          <a:ext cx="1448837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34924</xdr:colOff>
      <xdr:row>0</xdr:row>
      <xdr:rowOff>1065162</xdr:rowOff>
    </xdr:from>
    <xdr:to>
      <xdr:col>4</xdr:col>
      <xdr:colOff>1463845</xdr:colOff>
      <xdr:row>1</xdr:row>
      <xdr:rowOff>863183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95BFD53-8A7A-C006-9080-82BA42E15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9724" y="1065162"/>
          <a:ext cx="5594521" cy="9029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jicaza@vecta.c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61A98-70BF-8F40-88CE-9EA2511650D7}">
  <sheetPr codeName="Hoja1">
    <tabColor theme="4" tint="0.79998168889431442"/>
  </sheetPr>
  <dimension ref="A1:M23"/>
  <sheetViews>
    <sheetView zoomScale="96" zoomScaleNormal="96" workbookViewId="0">
      <selection activeCell="I16" sqref="I16"/>
    </sheetView>
  </sheetViews>
  <sheetFormatPr baseColWidth="10" defaultRowHeight="15" x14ac:dyDescent="0.2"/>
  <cols>
    <col min="1" max="1" width="4" customWidth="1"/>
    <col min="2" max="2" width="14.1640625" customWidth="1"/>
    <col min="3" max="3" width="21.1640625" bestFit="1" customWidth="1"/>
    <col min="4" max="4" width="16.83203125" customWidth="1"/>
    <col min="5" max="5" width="17.6640625" bestFit="1" customWidth="1"/>
    <col min="6" max="7" width="19.6640625" customWidth="1"/>
    <col min="8" max="8" width="24.1640625" bestFit="1" customWidth="1"/>
    <col min="9" max="11" width="19.6640625" customWidth="1"/>
    <col min="12" max="12" width="19.1640625" customWidth="1"/>
    <col min="13" max="13" width="14.83203125" customWidth="1"/>
  </cols>
  <sheetData>
    <row r="1" spans="1:13" ht="87" customHeight="1" x14ac:dyDescent="0.2">
      <c r="E1" s="240"/>
      <c r="F1" s="240"/>
      <c r="G1" s="156"/>
      <c r="H1" s="156"/>
      <c r="I1" s="156"/>
      <c r="J1" s="156"/>
      <c r="K1" s="156"/>
      <c r="L1" s="157"/>
      <c r="M1" s="157"/>
    </row>
    <row r="2" spans="1:13" ht="80" customHeight="1" x14ac:dyDescent="0.2"/>
    <row r="3" spans="1:13" ht="30" customHeight="1" thickBot="1" x14ac:dyDescent="0.25"/>
    <row r="4" spans="1:13" ht="28" thickBot="1" x14ac:dyDescent="0.4">
      <c r="B4" s="212" t="s">
        <v>182</v>
      </c>
      <c r="C4" s="213"/>
      <c r="D4" s="213"/>
      <c r="E4" s="213"/>
      <c r="F4" s="213"/>
      <c r="G4" s="213"/>
      <c r="H4" s="213"/>
      <c r="I4" s="213"/>
      <c r="J4" s="213"/>
      <c r="K4" s="213"/>
      <c r="L4" s="214"/>
    </row>
    <row r="5" spans="1:13" s="153" customFormat="1" ht="16" x14ac:dyDescent="0.2">
      <c r="B5" s="183" t="s">
        <v>138</v>
      </c>
      <c r="C5" s="276"/>
      <c r="D5" s="206"/>
      <c r="E5" s="207"/>
      <c r="F5" s="207"/>
      <c r="G5" s="207"/>
      <c r="H5" s="207"/>
      <c r="I5" s="207"/>
      <c r="J5" s="207"/>
      <c r="K5" s="207"/>
      <c r="L5" s="208"/>
    </row>
    <row r="6" spans="1:13" s="153" customFormat="1" ht="16" x14ac:dyDescent="0.2">
      <c r="B6" s="183" t="s">
        <v>191</v>
      </c>
      <c r="C6" s="276"/>
      <c r="D6" s="206"/>
      <c r="E6" s="207"/>
      <c r="F6" s="207"/>
      <c r="G6" s="207"/>
      <c r="H6" s="207"/>
      <c r="I6" s="207"/>
      <c r="J6" s="207"/>
      <c r="K6" s="207"/>
      <c r="L6" s="208"/>
    </row>
    <row r="7" spans="1:13" s="153" customFormat="1" ht="16" x14ac:dyDescent="0.2">
      <c r="B7" s="183" t="s">
        <v>185</v>
      </c>
      <c r="C7" s="215"/>
      <c r="D7" s="207"/>
      <c r="E7" s="207"/>
      <c r="F7" s="207"/>
      <c r="G7" s="207"/>
      <c r="H7" s="207"/>
      <c r="I7" s="207"/>
      <c r="J7" s="207"/>
      <c r="K7" s="207"/>
      <c r="L7" s="208"/>
    </row>
    <row r="8" spans="1:13" s="153" customFormat="1" ht="17" thickBot="1" x14ac:dyDescent="0.25">
      <c r="B8" s="184" t="s">
        <v>192</v>
      </c>
      <c r="C8" s="277" t="str">
        <f>IF(C7="","",C6+C7)</f>
        <v/>
      </c>
      <c r="D8" s="209" t="str">
        <f>IF(D7="","",(D6+D7))</f>
        <v/>
      </c>
      <c r="E8" s="210"/>
      <c r="F8" s="210"/>
      <c r="G8" s="210"/>
      <c r="H8" s="210"/>
      <c r="I8" s="210"/>
      <c r="J8" s="210"/>
      <c r="K8" s="210"/>
      <c r="L8" s="211"/>
    </row>
    <row r="9" spans="1:13" ht="16" thickBot="1" x14ac:dyDescent="0.25"/>
    <row r="10" spans="1:13" s="179" customFormat="1" ht="45" customHeight="1" thickBot="1" x14ac:dyDescent="0.25">
      <c r="B10" s="232" t="s">
        <v>171</v>
      </c>
      <c r="C10" s="230"/>
      <c r="D10" s="230"/>
      <c r="E10" s="230"/>
      <c r="F10" s="230"/>
      <c r="G10" s="230"/>
      <c r="H10" s="233"/>
      <c r="I10" s="233"/>
      <c r="J10" s="230"/>
      <c r="K10" s="230"/>
      <c r="L10" s="230"/>
      <c r="M10" s="231"/>
    </row>
    <row r="11" spans="1:13" s="179" customFormat="1" ht="45" customHeight="1" thickBot="1" x14ac:dyDescent="0.25">
      <c r="B11" s="229" t="s">
        <v>251</v>
      </c>
      <c r="C11" s="233"/>
      <c r="D11" s="230"/>
      <c r="E11" s="230"/>
      <c r="F11" s="230"/>
      <c r="G11" s="230"/>
      <c r="H11" s="230"/>
      <c r="I11" s="230"/>
      <c r="J11" s="230"/>
      <c r="K11" s="230"/>
      <c r="L11" s="230"/>
      <c r="M11" s="231"/>
    </row>
    <row r="12" spans="1:13" ht="22" x14ac:dyDescent="0.3">
      <c r="B12" s="234" t="s">
        <v>197</v>
      </c>
      <c r="C12" s="235"/>
      <c r="D12" s="235"/>
      <c r="E12" s="235"/>
      <c r="F12" s="235"/>
      <c r="G12" s="236"/>
      <c r="H12" s="237" t="s">
        <v>196</v>
      </c>
      <c r="I12" s="238"/>
      <c r="J12" s="238"/>
      <c r="K12" s="238"/>
      <c r="L12" s="238"/>
      <c r="M12" s="239"/>
    </row>
    <row r="13" spans="1:13" s="153" customFormat="1" ht="17" thickBot="1" x14ac:dyDescent="0.25">
      <c r="B13" s="226" t="s">
        <v>144</v>
      </c>
      <c r="C13" s="273" t="s">
        <v>184</v>
      </c>
      <c r="D13" s="273" t="s">
        <v>169</v>
      </c>
      <c r="E13" s="273" t="s">
        <v>140</v>
      </c>
      <c r="F13" s="273" t="s">
        <v>170</v>
      </c>
      <c r="G13" s="275" t="s">
        <v>193</v>
      </c>
      <c r="H13" s="171" t="s">
        <v>143</v>
      </c>
      <c r="I13" s="172" t="s">
        <v>191</v>
      </c>
      <c r="J13" s="172" t="s">
        <v>185</v>
      </c>
      <c r="K13" s="172" t="s">
        <v>192</v>
      </c>
      <c r="L13" s="172" t="s">
        <v>142</v>
      </c>
      <c r="M13" s="173" t="s">
        <v>250</v>
      </c>
    </row>
    <row r="14" spans="1:13" s="153" customFormat="1" ht="17" thickBot="1" x14ac:dyDescent="0.25">
      <c r="A14" s="153" t="s">
        <v>145</v>
      </c>
      <c r="B14" s="227" t="s">
        <v>201</v>
      </c>
      <c r="C14" s="228"/>
      <c r="D14" s="228"/>
      <c r="E14" s="278"/>
      <c r="F14" s="228"/>
      <c r="G14" s="228"/>
      <c r="H14" s="187"/>
      <c r="I14" s="279" t="str">
        <f t="shared" ref="I14:I23" si="0">IF($C$6="","",$C$6)</f>
        <v/>
      </c>
      <c r="J14" s="188" t="str">
        <f t="shared" ref="J14:J23" si="1">IF($C$7="","",$C$7)</f>
        <v/>
      </c>
      <c r="K14" s="279" t="str">
        <f t="shared" ref="K14:K23" si="2">IF($C$7="","",$C$6+$C$7)</f>
        <v/>
      </c>
      <c r="L14" s="188"/>
      <c r="M14" s="189"/>
    </row>
    <row r="15" spans="1:13" s="153" customFormat="1" ht="17" thickBot="1" x14ac:dyDescent="0.25">
      <c r="A15" s="153" t="s">
        <v>145</v>
      </c>
      <c r="B15" s="186" t="s">
        <v>204</v>
      </c>
      <c r="C15" s="274"/>
      <c r="D15" s="274"/>
      <c r="E15" s="280"/>
      <c r="F15" s="274"/>
      <c r="G15" s="274"/>
      <c r="H15" s="190"/>
      <c r="I15" s="279" t="str">
        <f t="shared" si="0"/>
        <v/>
      </c>
      <c r="J15" s="281" t="str">
        <f t="shared" si="1"/>
        <v/>
      </c>
      <c r="K15" s="279" t="str">
        <f t="shared" si="2"/>
        <v/>
      </c>
      <c r="L15" s="281"/>
      <c r="M15" s="191"/>
    </row>
    <row r="16" spans="1:13" s="153" customFormat="1" ht="17" thickBot="1" x14ac:dyDescent="0.25">
      <c r="A16" s="153" t="s">
        <v>145</v>
      </c>
      <c r="B16" s="186" t="s">
        <v>205</v>
      </c>
      <c r="C16" s="274"/>
      <c r="D16" s="274"/>
      <c r="E16" s="280"/>
      <c r="F16" s="274"/>
      <c r="G16" s="274"/>
      <c r="H16" s="190"/>
      <c r="I16" s="279" t="str">
        <f t="shared" si="0"/>
        <v/>
      </c>
      <c r="J16" s="281" t="str">
        <f t="shared" si="1"/>
        <v/>
      </c>
      <c r="K16" s="279" t="str">
        <f t="shared" si="2"/>
        <v/>
      </c>
      <c r="L16" s="281"/>
      <c r="M16" s="191"/>
    </row>
    <row r="17" spans="1:13" s="153" customFormat="1" ht="17" thickBot="1" x14ac:dyDescent="0.25">
      <c r="A17" s="153" t="s">
        <v>145</v>
      </c>
      <c r="B17" s="186" t="s">
        <v>206</v>
      </c>
      <c r="C17" s="274"/>
      <c r="D17" s="274"/>
      <c r="E17" s="280"/>
      <c r="F17" s="274"/>
      <c r="G17" s="274"/>
      <c r="H17" s="190"/>
      <c r="I17" s="279" t="str">
        <f t="shared" si="0"/>
        <v/>
      </c>
      <c r="J17" s="281" t="str">
        <f t="shared" si="1"/>
        <v/>
      </c>
      <c r="K17" s="279" t="str">
        <f t="shared" si="2"/>
        <v/>
      </c>
      <c r="L17" s="281"/>
      <c r="M17" s="191"/>
    </row>
    <row r="18" spans="1:13" s="153" customFormat="1" ht="17" thickBot="1" x14ac:dyDescent="0.25">
      <c r="A18" s="153" t="s">
        <v>145</v>
      </c>
      <c r="B18" s="186" t="s">
        <v>207</v>
      </c>
      <c r="C18" s="274"/>
      <c r="D18" s="274"/>
      <c r="E18" s="280"/>
      <c r="F18" s="274"/>
      <c r="G18" s="274"/>
      <c r="H18" s="190"/>
      <c r="I18" s="279" t="str">
        <f t="shared" si="0"/>
        <v/>
      </c>
      <c r="J18" s="281" t="str">
        <f t="shared" si="1"/>
        <v/>
      </c>
      <c r="K18" s="279" t="str">
        <f t="shared" si="2"/>
        <v/>
      </c>
      <c r="L18" s="281"/>
      <c r="M18" s="191"/>
    </row>
    <row r="19" spans="1:13" s="153" customFormat="1" ht="17" thickBot="1" x14ac:dyDescent="0.25">
      <c r="A19" s="153" t="s">
        <v>145</v>
      </c>
      <c r="B19" s="186" t="s">
        <v>208</v>
      </c>
      <c r="C19" s="274"/>
      <c r="D19" s="274"/>
      <c r="E19" s="280"/>
      <c r="F19" s="274"/>
      <c r="G19" s="274"/>
      <c r="H19" s="190"/>
      <c r="I19" s="279" t="str">
        <f t="shared" si="0"/>
        <v/>
      </c>
      <c r="J19" s="281" t="str">
        <f t="shared" si="1"/>
        <v/>
      </c>
      <c r="K19" s="279" t="str">
        <f t="shared" si="2"/>
        <v/>
      </c>
      <c r="L19" s="281"/>
      <c r="M19" s="191"/>
    </row>
    <row r="20" spans="1:13" s="153" customFormat="1" ht="16" x14ac:dyDescent="0.2">
      <c r="A20" s="153" t="s">
        <v>145</v>
      </c>
      <c r="B20" s="186" t="s">
        <v>209</v>
      </c>
      <c r="C20" s="274"/>
      <c r="D20" s="274"/>
      <c r="E20" s="280"/>
      <c r="F20" s="274"/>
      <c r="G20" s="274"/>
      <c r="H20" s="190"/>
      <c r="I20" s="279" t="str">
        <f t="shared" si="0"/>
        <v/>
      </c>
      <c r="J20" s="281" t="str">
        <f t="shared" si="1"/>
        <v/>
      </c>
      <c r="K20" s="279" t="str">
        <f t="shared" si="2"/>
        <v/>
      </c>
      <c r="L20" s="281"/>
      <c r="M20" s="191"/>
    </row>
    <row r="21" spans="1:13" s="153" customFormat="1" ht="16" x14ac:dyDescent="0.2">
      <c r="A21" s="153" t="s">
        <v>145</v>
      </c>
      <c r="B21" s="186" t="s">
        <v>210</v>
      </c>
      <c r="C21" s="274"/>
      <c r="D21" s="274"/>
      <c r="E21" s="274"/>
      <c r="F21" s="274"/>
      <c r="G21" s="274"/>
      <c r="H21" s="190"/>
      <c r="I21" s="282" t="str">
        <f t="shared" si="0"/>
        <v/>
      </c>
      <c r="J21" s="281" t="str">
        <f t="shared" si="1"/>
        <v/>
      </c>
      <c r="K21" s="281" t="str">
        <f t="shared" si="2"/>
        <v/>
      </c>
      <c r="L21" s="281"/>
      <c r="M21" s="191"/>
    </row>
    <row r="22" spans="1:13" s="153" customFormat="1" ht="16" x14ac:dyDescent="0.2">
      <c r="A22" s="153" t="s">
        <v>145</v>
      </c>
      <c r="B22" s="186" t="s">
        <v>211</v>
      </c>
      <c r="C22" s="274"/>
      <c r="D22" s="274"/>
      <c r="E22" s="274"/>
      <c r="F22" s="274"/>
      <c r="G22" s="274"/>
      <c r="H22" s="190"/>
      <c r="I22" s="282" t="str">
        <f t="shared" si="0"/>
        <v/>
      </c>
      <c r="J22" s="281" t="str">
        <f t="shared" si="1"/>
        <v/>
      </c>
      <c r="K22" s="281" t="str">
        <f t="shared" si="2"/>
        <v/>
      </c>
      <c r="L22" s="281"/>
      <c r="M22" s="191"/>
    </row>
    <row r="23" spans="1:13" s="153" customFormat="1" ht="17" thickBot="1" x14ac:dyDescent="0.25">
      <c r="A23" s="153" t="s">
        <v>145</v>
      </c>
      <c r="B23" s="192" t="s">
        <v>212</v>
      </c>
      <c r="C23" s="193"/>
      <c r="D23" s="193"/>
      <c r="E23" s="193"/>
      <c r="F23" s="193"/>
      <c r="G23" s="193"/>
      <c r="H23" s="194"/>
      <c r="I23" s="284" t="str">
        <f t="shared" si="0"/>
        <v/>
      </c>
      <c r="J23" s="195" t="str">
        <f t="shared" si="1"/>
        <v/>
      </c>
      <c r="K23" s="195" t="str">
        <f t="shared" si="2"/>
        <v/>
      </c>
      <c r="L23" s="195"/>
      <c r="M23" s="196"/>
    </row>
  </sheetData>
  <mergeCells count="3">
    <mergeCell ref="B12:G12"/>
    <mergeCell ref="H12:M12"/>
    <mergeCell ref="E1:F1"/>
  </mergeCells>
  <phoneticPr fontId="3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2B439E-934E-BE44-BCDC-AFF5F0EC02F2}">
          <x14:formula1>
            <xm:f>Mantenedor!$C$2:$C$3</xm:f>
          </x14:formula1>
          <xm:sqref>L14:L23</xm:sqref>
        </x14:dataValidation>
        <x14:dataValidation type="list" allowBlank="1" showInputMessage="1" showErrorMessage="1" xr:uid="{A130B6CF-4023-5C4C-8FF4-5AEC9B4EC2C0}">
          <x14:formula1>
            <xm:f>Mantenedor!$D$2:$D$4</xm:f>
          </x14:formula1>
          <xm:sqref>H14:H23</xm:sqref>
        </x14:dataValidation>
        <x14:dataValidation type="list" allowBlank="1" showInputMessage="1" showErrorMessage="1" xr:uid="{7F661CEC-C46C-9745-B835-A5E6EA0B05A5}">
          <x14:formula1>
            <xm:f>Mantenedor!$A$2:$A$3</xm:f>
          </x14:formula1>
          <xm:sqref>C14:C23</xm:sqref>
        </x14:dataValidation>
        <x14:dataValidation type="list" allowBlank="1" showInputMessage="1" showErrorMessage="1" xr:uid="{6FDCDABA-D8A0-F044-B7AF-1824B9DBBB10}">
          <x14:formula1>
            <xm:f>Mantenedor!$F$2:$F$3</xm:f>
          </x14:formula1>
          <xm:sqref>I11 D11</xm:sqref>
        </x14:dataValidation>
        <x14:dataValidation type="list" allowBlank="1" showInputMessage="1" showErrorMessage="1" xr:uid="{55B0A008-B618-714C-A6A0-DE030867F605}">
          <x14:formula1>
            <xm:f>Mantenedor!$G$2:$G$3</xm:f>
          </x14:formula1>
          <xm:sqref>G21 G18 G17 G16 G14 G15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44466-5D82-944A-B77C-B183DE27830E}">
  <sheetPr codeName="Hoja2">
    <tabColor rgb="FFFFFF00"/>
  </sheetPr>
  <dimension ref="A1:AI12"/>
  <sheetViews>
    <sheetView tabSelected="1" zoomScale="58" zoomScaleNormal="58" workbookViewId="0">
      <selection activeCell="G585" sqref="G585"/>
    </sheetView>
  </sheetViews>
  <sheetFormatPr baseColWidth="10" defaultRowHeight="15" x14ac:dyDescent="0.2"/>
  <cols>
    <col min="1" max="1" width="12.83203125" bestFit="1" customWidth="1"/>
    <col min="2" max="2" width="6.1640625" bestFit="1" customWidth="1"/>
    <col min="3" max="3" width="12.5" customWidth="1"/>
    <col min="4" max="4" width="18" bestFit="1" customWidth="1"/>
    <col min="5" max="5" width="18" customWidth="1"/>
    <col min="6" max="6" width="23" customWidth="1"/>
    <col min="7" max="8" width="23.83203125" customWidth="1"/>
    <col min="9" max="9" width="16.83203125" customWidth="1"/>
    <col min="14" max="14" width="23.1640625" bestFit="1" customWidth="1"/>
    <col min="15" max="15" width="18.33203125" bestFit="1" customWidth="1"/>
    <col min="17" max="17" width="15.33203125" bestFit="1" customWidth="1"/>
    <col min="18" max="22" width="14.1640625" bestFit="1" customWidth="1"/>
    <col min="23" max="23" width="13.5" bestFit="1" customWidth="1"/>
    <col min="24" max="24" width="19.5" bestFit="1" customWidth="1"/>
    <col min="25" max="25" width="18" bestFit="1" customWidth="1"/>
    <col min="26" max="26" width="19.6640625" bestFit="1" customWidth="1"/>
    <col min="27" max="29" width="12.5" bestFit="1" customWidth="1"/>
    <col min="30" max="30" width="11.6640625" bestFit="1" customWidth="1"/>
    <col min="31" max="31" width="12.1640625" bestFit="1" customWidth="1"/>
    <col min="32" max="32" width="18" bestFit="1" customWidth="1"/>
    <col min="33" max="33" width="16.5" bestFit="1" customWidth="1"/>
    <col min="34" max="34" width="18.1640625" bestFit="1" customWidth="1"/>
    <col min="35" max="35" width="15" bestFit="1" customWidth="1"/>
  </cols>
  <sheetData>
    <row r="1" spans="1:35" s="180" customFormat="1" ht="25" customHeight="1" x14ac:dyDescent="0.2">
      <c r="A1" s="241" t="s">
        <v>137</v>
      </c>
      <c r="B1" s="252" t="s">
        <v>153</v>
      </c>
      <c r="C1" s="253"/>
      <c r="D1" s="253"/>
      <c r="E1" s="253"/>
      <c r="F1" s="253"/>
      <c r="G1" s="253"/>
      <c r="H1" s="253"/>
      <c r="I1" s="254" t="s">
        <v>154</v>
      </c>
      <c r="J1" s="255"/>
      <c r="K1" s="255"/>
      <c r="L1" s="255"/>
      <c r="M1" s="243" t="s">
        <v>227</v>
      </c>
      <c r="N1" s="244"/>
      <c r="O1" s="244"/>
      <c r="P1" s="245"/>
      <c r="Q1" s="246" t="s">
        <v>245</v>
      </c>
      <c r="R1" s="247"/>
      <c r="S1" s="247"/>
      <c r="T1" s="247"/>
      <c r="U1" s="247"/>
      <c r="V1" s="247"/>
      <c r="W1" s="247"/>
      <c r="X1" s="247"/>
      <c r="Y1" s="247"/>
      <c r="Z1" s="247"/>
      <c r="AA1" s="248" t="s">
        <v>246</v>
      </c>
      <c r="AB1" s="249"/>
      <c r="AC1" s="249"/>
      <c r="AD1" s="249"/>
      <c r="AE1" s="249"/>
      <c r="AF1" s="249"/>
      <c r="AG1" s="249"/>
      <c r="AH1" s="249"/>
      <c r="AI1" s="250" t="s">
        <v>250</v>
      </c>
    </row>
    <row r="2" spans="1:35" s="3" customFormat="1" ht="16" thickBot="1" x14ac:dyDescent="0.25">
      <c r="A2" s="242"/>
      <c r="B2" s="178" t="s">
        <v>115</v>
      </c>
      <c r="C2" s="181" t="s">
        <v>144</v>
      </c>
      <c r="D2" s="216" t="s">
        <v>231</v>
      </c>
      <c r="E2" s="216" t="s">
        <v>140</v>
      </c>
      <c r="F2" s="216" t="s">
        <v>232</v>
      </c>
      <c r="G2" s="216" t="s">
        <v>193</v>
      </c>
      <c r="H2" s="216" t="s">
        <v>142</v>
      </c>
      <c r="I2" s="217" t="s">
        <v>233</v>
      </c>
      <c r="J2" s="218" t="s">
        <v>191</v>
      </c>
      <c r="K2" s="218" t="s">
        <v>200</v>
      </c>
      <c r="L2" s="218" t="s">
        <v>192</v>
      </c>
      <c r="M2" s="219" t="s">
        <v>143</v>
      </c>
      <c r="N2" s="220" t="s">
        <v>198</v>
      </c>
      <c r="O2" s="220" t="s">
        <v>234</v>
      </c>
      <c r="P2" s="221" t="s">
        <v>213</v>
      </c>
      <c r="Q2" s="222" t="s">
        <v>235</v>
      </c>
      <c r="R2" s="223" t="s">
        <v>236</v>
      </c>
      <c r="S2" s="223" t="s">
        <v>237</v>
      </c>
      <c r="T2" s="223" t="s">
        <v>238</v>
      </c>
      <c r="U2" s="223" t="s">
        <v>239</v>
      </c>
      <c r="V2" s="223" t="s">
        <v>240</v>
      </c>
      <c r="W2" s="223" t="s">
        <v>221</v>
      </c>
      <c r="X2" s="223" t="s">
        <v>230</v>
      </c>
      <c r="Y2" s="223" t="s">
        <v>228</v>
      </c>
      <c r="Z2" s="223" t="s">
        <v>229</v>
      </c>
      <c r="AA2" s="224" t="s">
        <v>241</v>
      </c>
      <c r="AB2" s="225" t="s">
        <v>242</v>
      </c>
      <c r="AC2" s="225" t="s">
        <v>243</v>
      </c>
      <c r="AD2" s="225" t="s">
        <v>244</v>
      </c>
      <c r="AE2" s="225" t="s">
        <v>222</v>
      </c>
      <c r="AF2" s="225" t="s">
        <v>247</v>
      </c>
      <c r="AG2" s="225" t="s">
        <v>248</v>
      </c>
      <c r="AH2" s="225" t="s">
        <v>249</v>
      </c>
      <c r="AI2" s="251"/>
    </row>
    <row r="3" spans="1:35" x14ac:dyDescent="0.2">
      <c r="B3" t="s">
        <v>201</v>
      </c>
      <c r="I3" s="283">
        <v>45853</v>
      </c>
      <c r="J3" s="283">
        <v>46003</v>
      </c>
      <c r="K3">
        <v>6</v>
      </c>
      <c r="L3" s="283">
        <v>46009</v>
      </c>
      <c r="M3" t="s">
        <v>148</v>
      </c>
      <c r="N3" t="s">
        <v>188</v>
      </c>
    </row>
    <row r="4" spans="1:35" x14ac:dyDescent="0.2">
      <c r="B4" t="s">
        <v>204</v>
      </c>
      <c r="I4" s="283">
        <v>45853</v>
      </c>
      <c r="J4" s="283">
        <v>46003</v>
      </c>
      <c r="K4">
        <v>6</v>
      </c>
      <c r="L4" s="283">
        <v>46009</v>
      </c>
      <c r="M4" t="s">
        <v>148</v>
      </c>
      <c r="N4" t="s">
        <v>188</v>
      </c>
    </row>
    <row r="5" spans="1:35" x14ac:dyDescent="0.2">
      <c r="B5" t="s">
        <v>205</v>
      </c>
      <c r="I5" s="283">
        <v>45853</v>
      </c>
      <c r="J5" s="283">
        <v>46003</v>
      </c>
      <c r="K5">
        <v>6</v>
      </c>
      <c r="L5" s="283">
        <v>46009</v>
      </c>
      <c r="N5" t="s">
        <v>188</v>
      </c>
    </row>
    <row r="6" spans="1:35" x14ac:dyDescent="0.2">
      <c r="B6" t="s">
        <v>206</v>
      </c>
      <c r="I6" s="283">
        <v>45853</v>
      </c>
      <c r="J6" s="283">
        <v>46003</v>
      </c>
      <c r="K6">
        <v>6</v>
      </c>
      <c r="L6" s="283">
        <v>46009</v>
      </c>
      <c r="N6" t="s">
        <v>188</v>
      </c>
    </row>
    <row r="7" spans="1:35" x14ac:dyDescent="0.2">
      <c r="B7" t="s">
        <v>207</v>
      </c>
      <c r="I7" s="283">
        <v>45853</v>
      </c>
      <c r="J7" s="283">
        <v>46003</v>
      </c>
      <c r="K7">
        <v>6</v>
      </c>
      <c r="L7" s="283">
        <v>46009</v>
      </c>
      <c r="N7" t="s">
        <v>188</v>
      </c>
    </row>
    <row r="8" spans="1:35" x14ac:dyDescent="0.2">
      <c r="B8" t="s">
        <v>208</v>
      </c>
      <c r="I8" s="283">
        <v>45853</v>
      </c>
      <c r="J8" s="283">
        <v>46003</v>
      </c>
      <c r="K8">
        <v>6</v>
      </c>
      <c r="L8" s="283">
        <v>46009</v>
      </c>
      <c r="N8" t="s">
        <v>188</v>
      </c>
    </row>
    <row r="9" spans="1:35" x14ac:dyDescent="0.2">
      <c r="B9" t="s">
        <v>209</v>
      </c>
      <c r="I9" s="283">
        <v>45853</v>
      </c>
      <c r="J9" s="283">
        <v>46003</v>
      </c>
      <c r="K9">
        <v>6</v>
      </c>
      <c r="L9" s="283">
        <v>46009</v>
      </c>
      <c r="N9" t="s">
        <v>188</v>
      </c>
    </row>
    <row r="10" spans="1:35" x14ac:dyDescent="0.2">
      <c r="B10" t="s">
        <v>210</v>
      </c>
      <c r="I10" s="283">
        <v>45853</v>
      </c>
      <c r="J10" s="283">
        <v>46003</v>
      </c>
      <c r="K10">
        <v>6</v>
      </c>
      <c r="L10" s="283">
        <v>46009</v>
      </c>
      <c r="N10" t="s">
        <v>188</v>
      </c>
    </row>
    <row r="11" spans="1:35" x14ac:dyDescent="0.2">
      <c r="B11" t="s">
        <v>211</v>
      </c>
      <c r="I11" s="283">
        <v>45853</v>
      </c>
      <c r="J11" s="283">
        <v>46003</v>
      </c>
      <c r="K11">
        <v>6</v>
      </c>
      <c r="L11" s="283">
        <v>46009</v>
      </c>
      <c r="N11" t="s">
        <v>188</v>
      </c>
    </row>
    <row r="12" spans="1:35" x14ac:dyDescent="0.2">
      <c r="B12" t="s">
        <v>212</v>
      </c>
      <c r="I12" s="283">
        <v>45853</v>
      </c>
      <c r="J12" s="283">
        <v>46003</v>
      </c>
      <c r="K12">
        <v>6</v>
      </c>
      <c r="L12" s="283">
        <v>46009</v>
      </c>
      <c r="N12" t="s">
        <v>188</v>
      </c>
    </row>
  </sheetData>
  <mergeCells count="7">
    <mergeCell ref="A1:A2"/>
    <mergeCell ref="M1:P1"/>
    <mergeCell ref="Q1:Z1"/>
    <mergeCell ref="AA1:AH1"/>
    <mergeCell ref="AI1:AI2"/>
    <mergeCell ref="B1:H1"/>
    <mergeCell ref="I1:L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EE5BE-0C67-A044-B72A-9DAC1F94EC0D}">
  <sheetPr codeName="Hoja3">
    <tabColor theme="9" tint="0.79998168889431442"/>
  </sheetPr>
  <dimension ref="A1:L33"/>
  <sheetViews>
    <sheetView zoomScale="113" zoomScaleNormal="113" workbookViewId="0">
      <selection activeCell="C3" sqref="C3"/>
    </sheetView>
  </sheetViews>
  <sheetFormatPr baseColWidth="10" defaultRowHeight="15" x14ac:dyDescent="0.2"/>
  <cols>
    <col min="1" max="1" width="4" customWidth="1"/>
    <col min="2" max="2" width="22.5" customWidth="1"/>
    <col min="3" max="3" width="16.83203125" customWidth="1"/>
    <col min="4" max="4" width="17.6640625" bestFit="1" customWidth="1"/>
    <col min="5" max="10" width="19.6640625" customWidth="1"/>
    <col min="11" max="11" width="19.1640625" customWidth="1"/>
    <col min="12" max="12" width="14.83203125" customWidth="1"/>
  </cols>
  <sheetData>
    <row r="1" spans="1:12" ht="87" customHeight="1" x14ac:dyDescent="0.2">
      <c r="D1" s="240"/>
      <c r="E1" s="240"/>
      <c r="F1" s="156"/>
      <c r="G1" s="156"/>
      <c r="H1" s="156"/>
      <c r="I1" s="156"/>
      <c r="J1" s="156"/>
      <c r="K1" s="157"/>
      <c r="L1" s="157"/>
    </row>
    <row r="2" spans="1:12" ht="80" customHeight="1" x14ac:dyDescent="0.2"/>
    <row r="3" spans="1:12" ht="44" customHeight="1" x14ac:dyDescent="0.2">
      <c r="B3" s="177" t="s">
        <v>199</v>
      </c>
    </row>
    <row r="4" spans="1:12" ht="30" customHeight="1" thickBot="1" x14ac:dyDescent="0.25"/>
    <row r="5" spans="1:12" ht="23" thickBot="1" x14ac:dyDescent="0.35">
      <c r="B5" s="256" t="s">
        <v>171</v>
      </c>
      <c r="C5" s="257"/>
      <c r="D5" s="257"/>
      <c r="E5" s="257"/>
      <c r="F5" s="257"/>
      <c r="G5" s="257"/>
      <c r="H5" s="257"/>
      <c r="I5" s="257"/>
      <c r="J5" s="257"/>
      <c r="K5" s="258"/>
    </row>
    <row r="6" spans="1:12" ht="22" x14ac:dyDescent="0.3">
      <c r="B6" s="234" t="s">
        <v>197</v>
      </c>
      <c r="C6" s="235"/>
      <c r="D6" s="235"/>
      <c r="E6" s="235"/>
      <c r="F6" s="235"/>
      <c r="G6" s="259" t="s">
        <v>196</v>
      </c>
      <c r="H6" s="260"/>
      <c r="I6" s="260"/>
      <c r="J6" s="260"/>
      <c r="K6" s="261"/>
    </row>
    <row r="7" spans="1:12" ht="17" thickBot="1" x14ac:dyDescent="0.25">
      <c r="B7" s="167" t="s">
        <v>189</v>
      </c>
      <c r="C7" s="168" t="s">
        <v>169</v>
      </c>
      <c r="D7" s="168" t="s">
        <v>170</v>
      </c>
      <c r="E7" s="168" t="s">
        <v>140</v>
      </c>
      <c r="F7" s="168" t="s">
        <v>193</v>
      </c>
      <c r="G7" s="171" t="s">
        <v>143</v>
      </c>
      <c r="H7" s="172" t="s">
        <v>191</v>
      </c>
      <c r="I7" s="172" t="s">
        <v>185</v>
      </c>
      <c r="J7" s="172" t="s">
        <v>192</v>
      </c>
      <c r="K7" s="173" t="s">
        <v>186</v>
      </c>
    </row>
    <row r="8" spans="1:12" x14ac:dyDescent="0.2">
      <c r="B8" s="169" t="s">
        <v>172</v>
      </c>
      <c r="C8" s="170" t="s">
        <v>190</v>
      </c>
      <c r="D8" s="170">
        <v>12312413</v>
      </c>
      <c r="E8" s="170" t="e" cm="1">
        <f t="array" ref="E8">IF(#REF!="","",(_xlfn.IFS(#REF!="No",#REF!="",#REF!="Si",#REF!="")))</f>
        <v>#REF!</v>
      </c>
      <c r="F8" s="170"/>
      <c r="G8" s="174" t="s">
        <v>148</v>
      </c>
      <c r="H8" s="175"/>
      <c r="I8" s="175"/>
      <c r="J8" s="175">
        <f>+H8+I8</f>
        <v>0</v>
      </c>
      <c r="K8" s="176" t="s">
        <v>147</v>
      </c>
    </row>
    <row r="9" spans="1:12" x14ac:dyDescent="0.2">
      <c r="B9" s="159" t="s">
        <v>173</v>
      </c>
      <c r="C9" s="160"/>
      <c r="D9" s="160"/>
      <c r="E9" s="160"/>
      <c r="F9" s="160"/>
      <c r="G9" s="165" t="s">
        <v>148</v>
      </c>
      <c r="H9" s="161"/>
      <c r="I9" s="161"/>
      <c r="J9" s="161">
        <f t="shared" ref="J9:J12" si="0">+H9+I9</f>
        <v>0</v>
      </c>
      <c r="K9" s="162" t="s">
        <v>147</v>
      </c>
    </row>
    <row r="10" spans="1:12" x14ac:dyDescent="0.2">
      <c r="B10" s="159" t="s">
        <v>174</v>
      </c>
      <c r="C10" s="160"/>
      <c r="D10" s="160"/>
      <c r="E10" s="160"/>
      <c r="F10" s="160"/>
      <c r="G10" s="165" t="s">
        <v>149</v>
      </c>
      <c r="H10" s="161"/>
      <c r="I10" s="161"/>
      <c r="J10" s="161">
        <f t="shared" si="0"/>
        <v>0</v>
      </c>
      <c r="K10" s="162" t="s">
        <v>147</v>
      </c>
    </row>
    <row r="11" spans="1:12" x14ac:dyDescent="0.2">
      <c r="A11" t="s">
        <v>145</v>
      </c>
      <c r="B11" s="159" t="s">
        <v>175</v>
      </c>
      <c r="C11" s="160"/>
      <c r="D11" s="160"/>
      <c r="E11" s="160"/>
      <c r="F11" s="160"/>
      <c r="G11" s="165" t="s">
        <v>149</v>
      </c>
      <c r="H11" s="161"/>
      <c r="I11" s="161"/>
      <c r="J11" s="161">
        <f t="shared" si="0"/>
        <v>0</v>
      </c>
      <c r="K11" s="162" t="s">
        <v>147</v>
      </c>
    </row>
    <row r="12" spans="1:12" x14ac:dyDescent="0.2">
      <c r="A12" t="s">
        <v>145</v>
      </c>
      <c r="B12" s="159" t="s">
        <v>176</v>
      </c>
      <c r="C12" s="160"/>
      <c r="D12" s="160"/>
      <c r="E12" s="160"/>
      <c r="F12" s="160"/>
      <c r="G12" s="165" t="s">
        <v>148</v>
      </c>
      <c r="H12" s="161"/>
      <c r="I12" s="161"/>
      <c r="J12" s="161">
        <f t="shared" si="0"/>
        <v>0</v>
      </c>
      <c r="K12" s="162" t="s">
        <v>147</v>
      </c>
    </row>
    <row r="13" spans="1:12" x14ac:dyDescent="0.2">
      <c r="A13" t="s">
        <v>145</v>
      </c>
      <c r="B13" s="159" t="s">
        <v>177</v>
      </c>
      <c r="C13" s="160"/>
      <c r="D13" s="160"/>
      <c r="E13" s="160"/>
      <c r="F13" s="160"/>
      <c r="G13" s="165"/>
      <c r="H13" s="161"/>
      <c r="I13" s="161"/>
      <c r="J13" s="161"/>
      <c r="K13" s="162" t="s">
        <v>147</v>
      </c>
    </row>
    <row r="14" spans="1:12" hidden="1" x14ac:dyDescent="0.2">
      <c r="A14" t="s">
        <v>146</v>
      </c>
      <c r="B14" s="159" t="s">
        <v>178</v>
      </c>
      <c r="C14" s="160"/>
      <c r="D14" s="160"/>
      <c r="E14" s="160"/>
      <c r="F14" s="160"/>
      <c r="G14" s="165"/>
      <c r="H14" s="161"/>
      <c r="I14" s="161"/>
      <c r="J14" s="161"/>
      <c r="K14" s="162" t="s">
        <v>147</v>
      </c>
    </row>
    <row r="15" spans="1:12" hidden="1" x14ac:dyDescent="0.2">
      <c r="A15" t="s">
        <v>146</v>
      </c>
      <c r="B15" s="159" t="s">
        <v>179</v>
      </c>
      <c r="C15" s="160"/>
      <c r="D15" s="160"/>
      <c r="E15" s="160"/>
      <c r="F15" s="160"/>
      <c r="G15" s="165"/>
      <c r="H15" s="161"/>
      <c r="I15" s="161"/>
      <c r="J15" s="161"/>
      <c r="K15" s="162" t="s">
        <v>147</v>
      </c>
    </row>
    <row r="16" spans="1:12" hidden="1" x14ac:dyDescent="0.2">
      <c r="A16" t="s">
        <v>146</v>
      </c>
      <c r="B16" s="159" t="s">
        <v>180</v>
      </c>
      <c r="C16" s="160"/>
      <c r="D16" s="160"/>
      <c r="E16" s="160"/>
      <c r="F16" s="160"/>
      <c r="G16" s="165"/>
      <c r="H16" s="161"/>
      <c r="I16" s="161"/>
      <c r="J16" s="161"/>
      <c r="K16" s="162" t="s">
        <v>147</v>
      </c>
    </row>
    <row r="17" spans="2:12" ht="16" thickBot="1" x14ac:dyDescent="0.25">
      <c r="B17" s="151" t="s">
        <v>181</v>
      </c>
      <c r="C17" s="150"/>
      <c r="D17" s="150"/>
      <c r="E17" s="150"/>
      <c r="F17" s="150"/>
      <c r="G17" s="166"/>
      <c r="H17" s="163"/>
      <c r="I17" s="163"/>
      <c r="J17" s="163"/>
      <c r="K17" s="164" t="s">
        <v>147</v>
      </c>
    </row>
    <row r="23" spans="2:12" ht="16" x14ac:dyDescent="0.2">
      <c r="L23" s="158"/>
    </row>
    <row r="29" spans="2:12" hidden="1" x14ac:dyDescent="0.2"/>
    <row r="30" spans="2:12" hidden="1" x14ac:dyDescent="0.2"/>
    <row r="31" spans="2:12" hidden="1" x14ac:dyDescent="0.2"/>
    <row r="32" spans="2:12" hidden="1" x14ac:dyDescent="0.2"/>
    <row r="33" hidden="1" x14ac:dyDescent="0.2"/>
  </sheetData>
  <mergeCells count="4">
    <mergeCell ref="B5:K5"/>
    <mergeCell ref="B6:F6"/>
    <mergeCell ref="G6:K6"/>
    <mergeCell ref="D1:E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6888E1-2F3A-8D4B-947F-E745CF4E9F71}">
          <x14:formula1>
            <xm:f>Mantenedor!$G$2:$G$3</xm:f>
          </x14:formula1>
          <xm:sqref>F8:F12</xm:sqref>
        </x14:dataValidation>
        <x14:dataValidation type="list" allowBlank="1" showInputMessage="1" showErrorMessage="1" xr:uid="{1EC49A17-30B3-0E45-A849-653DAF12CD79}">
          <x14:formula1>
            <xm:f>Mantenedor!$B$2:$B$11</xm:f>
          </x14:formula1>
          <xm:sqref>I8:I12</xm:sqref>
        </x14:dataValidation>
        <x14:dataValidation type="list" allowBlank="1" showInputMessage="1" showErrorMessage="1" xr:uid="{8604F1EA-3695-FD4C-BAC9-0B4F9CC1F9F6}">
          <x14:formula1>
            <xm:f>Mantenedor!$D$2:$D$4</xm:f>
          </x14:formula1>
          <xm:sqref>G8:H16 I13:J16</xm:sqref>
        </x14:dataValidation>
        <x14:dataValidation type="list" allowBlank="1" showInputMessage="1" showErrorMessage="1" xr:uid="{81F792F5-931B-6040-A282-DB4D34BBECE3}">
          <x14:formula1>
            <xm:f>Mantenedor!$C$2:$C$3</xm:f>
          </x14:formula1>
          <xm:sqref>K8:K17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15BC4-2BF4-F545-9EE0-C1BEE5F29847}">
  <sheetPr codeName="Hoja4">
    <tabColor theme="5" tint="0.79998168889431442"/>
  </sheetPr>
  <dimension ref="B1:L24"/>
  <sheetViews>
    <sheetView zoomScale="95" zoomScaleNormal="95" workbookViewId="0">
      <selection activeCell="B24" sqref="B20:B24"/>
    </sheetView>
  </sheetViews>
  <sheetFormatPr baseColWidth="10" defaultRowHeight="15" x14ac:dyDescent="0.2"/>
  <cols>
    <col min="1" max="1" width="4" customWidth="1"/>
    <col min="2" max="2" width="20.1640625" customWidth="1"/>
    <col min="3" max="3" width="16.83203125" customWidth="1"/>
    <col min="4" max="4" width="17.6640625" bestFit="1" customWidth="1"/>
    <col min="5" max="10" width="19.6640625" customWidth="1"/>
    <col min="11" max="11" width="19.1640625" customWidth="1"/>
    <col min="12" max="12" width="14.83203125" customWidth="1"/>
  </cols>
  <sheetData>
    <row r="1" spans="2:12" ht="87" customHeight="1" x14ac:dyDescent="0.2">
      <c r="D1" s="240"/>
      <c r="E1" s="240"/>
      <c r="F1" s="156"/>
      <c r="G1" s="156"/>
      <c r="H1" s="156"/>
      <c r="I1" s="156"/>
      <c r="J1" s="156"/>
      <c r="K1" s="157"/>
      <c r="L1" s="157"/>
    </row>
    <row r="2" spans="2:12" ht="80" customHeight="1" x14ac:dyDescent="0.2"/>
    <row r="3" spans="2:12" ht="30" customHeight="1" x14ac:dyDescent="0.2"/>
    <row r="4" spans="2:12" ht="32" x14ac:dyDescent="0.4">
      <c r="B4" s="185" t="s">
        <v>199</v>
      </c>
      <c r="C4" s="185"/>
      <c r="D4" s="185"/>
      <c r="E4" s="185"/>
      <c r="F4" s="185"/>
      <c r="G4" s="185"/>
      <c r="H4" s="185"/>
      <c r="I4" s="185"/>
      <c r="J4" s="185"/>
      <c r="K4" s="185"/>
    </row>
    <row r="5" spans="2:12" x14ac:dyDescent="0.2">
      <c r="B5" t="s">
        <v>138</v>
      </c>
    </row>
    <row r="6" spans="2:12" x14ac:dyDescent="0.2">
      <c r="B6" t="s">
        <v>191</v>
      </c>
    </row>
    <row r="8" spans="2:12" ht="27" x14ac:dyDescent="0.35">
      <c r="B8" s="197" t="s">
        <v>112</v>
      </c>
    </row>
    <row r="9" spans="2:12" ht="22" x14ac:dyDescent="0.3">
      <c r="B9" s="198" t="s">
        <v>214</v>
      </c>
      <c r="C9" s="198" t="s">
        <v>113</v>
      </c>
    </row>
    <row r="10" spans="2:12" x14ac:dyDescent="0.2">
      <c r="B10" t="s">
        <v>220</v>
      </c>
    </row>
    <row r="11" spans="2:12" x14ac:dyDescent="0.2">
      <c r="B11" t="s">
        <v>219</v>
      </c>
    </row>
    <row r="12" spans="2:12" x14ac:dyDescent="0.2">
      <c r="B12" t="s">
        <v>218</v>
      </c>
    </row>
    <row r="13" spans="2:12" x14ac:dyDescent="0.2">
      <c r="B13" t="s">
        <v>217</v>
      </c>
    </row>
    <row r="14" spans="2:12" x14ac:dyDescent="0.2">
      <c r="B14" t="s">
        <v>216</v>
      </c>
    </row>
    <row r="15" spans="2:12" x14ac:dyDescent="0.2">
      <c r="B15" t="s">
        <v>215</v>
      </c>
    </row>
    <row r="16" spans="2:12" x14ac:dyDescent="0.2">
      <c r="B16" t="s">
        <v>221</v>
      </c>
    </row>
    <row r="18" spans="2:3" ht="27" x14ac:dyDescent="0.35">
      <c r="B18" s="197" t="s">
        <v>114</v>
      </c>
    </row>
    <row r="19" spans="2:3" ht="22" x14ac:dyDescent="0.3">
      <c r="B19" s="198" t="s">
        <v>214</v>
      </c>
      <c r="C19" s="198" t="s">
        <v>113</v>
      </c>
    </row>
    <row r="20" spans="2:3" x14ac:dyDescent="0.2">
      <c r="B20" t="s">
        <v>223</v>
      </c>
    </row>
    <row r="21" spans="2:3" x14ac:dyDescent="0.2">
      <c r="B21" t="s">
        <v>224</v>
      </c>
    </row>
    <row r="22" spans="2:3" x14ac:dyDescent="0.2">
      <c r="B22" t="s">
        <v>225</v>
      </c>
    </row>
    <row r="23" spans="2:3" x14ac:dyDescent="0.2">
      <c r="B23" t="s">
        <v>226</v>
      </c>
    </row>
    <row r="24" spans="2:3" x14ac:dyDescent="0.2">
      <c r="B24" t="s">
        <v>222</v>
      </c>
    </row>
  </sheetData>
  <mergeCells count="1">
    <mergeCell ref="D1:E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ED35-24B6-4724-99F4-EBC7C1271275}">
  <sheetPr codeName="Hoja5"/>
  <dimension ref="A1:T55"/>
  <sheetViews>
    <sheetView zoomScale="80" zoomScaleNormal="80" workbookViewId="0">
      <selection activeCell="B6" sqref="A1:XFD1048576"/>
    </sheetView>
  </sheetViews>
  <sheetFormatPr baseColWidth="10" defaultRowHeight="15" customHeight="1" x14ac:dyDescent="0.2"/>
  <cols>
    <col min="1" max="1" width="7.1640625" customWidth="1"/>
    <col min="2" max="2" width="28.83203125" customWidth="1"/>
    <col min="3" max="3" width="35.83203125" customWidth="1"/>
    <col min="4" max="4" width="7.5" bestFit="1" customWidth="1"/>
    <col min="5" max="5" width="13.5" customWidth="1"/>
    <col min="6" max="6" width="9.83203125" customWidth="1"/>
    <col min="7" max="7" width="12" customWidth="1"/>
    <col min="8" max="8" width="15.1640625" customWidth="1"/>
    <col min="9" max="9" width="8.83203125" customWidth="1"/>
    <col min="10" max="10" width="12.5" customWidth="1"/>
    <col min="11" max="14" width="12.83203125" customWidth="1"/>
    <col min="20" max="20" width="41.83203125" customWidth="1"/>
  </cols>
  <sheetData>
    <row r="1" spans="1:11" ht="15" customHeight="1" x14ac:dyDescent="0.2">
      <c r="A1" s="27" t="s">
        <v>37</v>
      </c>
      <c r="C1" s="119">
        <v>45929</v>
      </c>
      <c r="F1" s="3" t="s">
        <v>110</v>
      </c>
      <c r="G1" s="3"/>
      <c r="H1" s="121"/>
      <c r="I1" t="s">
        <v>111</v>
      </c>
    </row>
    <row r="2" spans="1:11" ht="15" customHeight="1" x14ac:dyDescent="0.2">
      <c r="A2" s="27" t="s">
        <v>38</v>
      </c>
      <c r="F2" s="3" t="s">
        <v>110</v>
      </c>
      <c r="G2" s="3"/>
      <c r="H2" s="120"/>
      <c r="I2" t="s">
        <v>111</v>
      </c>
    </row>
    <row r="3" spans="1:11" ht="15" customHeight="1" x14ac:dyDescent="0.2">
      <c r="A3" s="27" t="s">
        <v>203</v>
      </c>
      <c r="B3" s="2"/>
      <c r="C3" s="2"/>
      <c r="D3" s="2"/>
      <c r="E3" s="2"/>
      <c r="F3" s="2"/>
      <c r="G3" s="2"/>
      <c r="H3" s="2"/>
      <c r="I3" s="2"/>
    </row>
    <row r="4" spans="1:11" ht="15" customHeight="1" thickBot="1" x14ac:dyDescent="0.25">
      <c r="B4" s="2"/>
      <c r="C4" s="2"/>
      <c r="D4" s="2"/>
      <c r="E4" s="2"/>
      <c r="F4" s="2"/>
      <c r="G4" s="2"/>
      <c r="H4" s="2"/>
      <c r="I4" s="2"/>
    </row>
    <row r="5" spans="1:11" ht="15" customHeight="1" thickBot="1" x14ac:dyDescent="0.25">
      <c r="A5" s="4" t="s">
        <v>10</v>
      </c>
      <c r="B5" s="262" t="s">
        <v>0</v>
      </c>
      <c r="C5" s="263"/>
      <c r="D5" s="263"/>
      <c r="E5" s="263"/>
      <c r="F5" s="263"/>
      <c r="G5" s="263"/>
      <c r="H5" s="263"/>
      <c r="I5" s="264"/>
    </row>
    <row r="6" spans="1:11" ht="15" customHeight="1" x14ac:dyDescent="0.2">
      <c r="A6" s="10"/>
      <c r="B6" s="29" t="s">
        <v>19</v>
      </c>
      <c r="C6" s="52">
        <v>45853</v>
      </c>
      <c r="D6" s="53"/>
      <c r="E6" s="53"/>
      <c r="F6" s="53"/>
      <c r="G6" s="53"/>
      <c r="H6" s="53"/>
      <c r="I6" s="54"/>
    </row>
    <row r="7" spans="1:11" ht="15" customHeight="1" x14ac:dyDescent="0.2">
      <c r="A7" s="15"/>
      <c r="B7" s="14" t="s">
        <v>3</v>
      </c>
      <c r="C7" s="39" t="s">
        <v>40</v>
      </c>
      <c r="D7" s="1"/>
      <c r="E7" s="116" t="s">
        <v>106</v>
      </c>
      <c r="F7" s="117" t="s">
        <v>102</v>
      </c>
      <c r="G7" s="117"/>
      <c r="H7" s="118"/>
      <c r="I7" s="141" t="s">
        <v>108</v>
      </c>
    </row>
    <row r="8" spans="1:11" ht="15" customHeight="1" x14ac:dyDescent="0.2">
      <c r="A8" s="15"/>
      <c r="B8" s="14" t="s">
        <v>1</v>
      </c>
      <c r="C8" s="40" t="s">
        <v>41</v>
      </c>
      <c r="D8" s="1"/>
      <c r="E8" s="116" t="s">
        <v>106</v>
      </c>
      <c r="F8" s="117" t="s">
        <v>107</v>
      </c>
      <c r="G8" s="117"/>
      <c r="H8" s="118"/>
      <c r="I8" s="141"/>
    </row>
    <row r="9" spans="1:11" ht="15" customHeight="1" x14ac:dyDescent="0.2">
      <c r="A9" s="15"/>
      <c r="B9" s="14" t="s">
        <v>2</v>
      </c>
      <c r="C9" s="39" t="s">
        <v>42</v>
      </c>
      <c r="D9" s="1"/>
      <c r="E9" s="116" t="s">
        <v>106</v>
      </c>
      <c r="F9" s="117" t="s">
        <v>107</v>
      </c>
      <c r="G9" s="117"/>
      <c r="H9" s="118"/>
      <c r="I9" s="141"/>
    </row>
    <row r="10" spans="1:11" ht="15" customHeight="1" x14ac:dyDescent="0.2">
      <c r="A10" s="15"/>
      <c r="B10" s="14" t="s">
        <v>9</v>
      </c>
      <c r="C10" s="33">
        <f>+precio!B6</f>
        <v>0</v>
      </c>
      <c r="D10" s="1"/>
      <c r="E10" s="1"/>
      <c r="F10" s="1"/>
      <c r="G10" s="1"/>
      <c r="H10" s="1"/>
      <c r="I10" s="31">
        <f>COUNT(I7:I9)</f>
        <v>0</v>
      </c>
    </row>
    <row r="11" spans="1:11" ht="15" customHeight="1" x14ac:dyDescent="0.2">
      <c r="A11" s="15"/>
      <c r="B11" s="36" t="s">
        <v>4</v>
      </c>
      <c r="C11" s="41">
        <v>46006</v>
      </c>
      <c r="D11" s="1"/>
      <c r="E11" s="1"/>
      <c r="F11" s="1"/>
      <c r="G11" s="1"/>
      <c r="H11" s="1"/>
      <c r="I11" s="31"/>
    </row>
    <row r="12" spans="1:11" ht="15" customHeight="1" x14ac:dyDescent="0.2">
      <c r="A12" s="15"/>
      <c r="B12" s="14" t="s">
        <v>5</v>
      </c>
      <c r="C12" s="38">
        <f>+C11+C13</f>
        <v>46012</v>
      </c>
      <c r="D12" s="1"/>
      <c r="E12" s="1"/>
      <c r="F12" s="1"/>
      <c r="G12" s="1"/>
      <c r="H12" s="1"/>
      <c r="I12" s="31"/>
    </row>
    <row r="13" spans="1:11" ht="15" customHeight="1" x14ac:dyDescent="0.2">
      <c r="A13" s="15"/>
      <c r="B13" s="14" t="s">
        <v>47</v>
      </c>
      <c r="C13" s="43">
        <v>6</v>
      </c>
      <c r="D13" s="1"/>
      <c r="E13" s="1"/>
      <c r="F13" s="1"/>
      <c r="G13" s="1"/>
      <c r="H13" s="1"/>
      <c r="I13" s="31"/>
    </row>
    <row r="14" spans="1:11" ht="15" customHeight="1" x14ac:dyDescent="0.2">
      <c r="A14" s="32"/>
      <c r="B14" s="15"/>
      <c r="D14" s="265" t="s">
        <v>109</v>
      </c>
      <c r="E14" s="265"/>
      <c r="F14" s="265"/>
      <c r="G14" s="265"/>
      <c r="H14" s="265"/>
      <c r="I14" s="266"/>
    </row>
    <row r="15" spans="1:11" ht="15" customHeight="1" x14ac:dyDescent="0.2">
      <c r="A15" s="15"/>
      <c r="B15" s="16" t="s">
        <v>18</v>
      </c>
      <c r="C15" s="12" t="s">
        <v>14</v>
      </c>
      <c r="D15" s="6" t="s">
        <v>15</v>
      </c>
      <c r="E15" s="6" t="s">
        <v>99</v>
      </c>
      <c r="F15" s="6" t="s">
        <v>100</v>
      </c>
      <c r="G15" s="6"/>
      <c r="H15" s="6" t="s">
        <v>101</v>
      </c>
      <c r="I15" s="17" t="s">
        <v>39</v>
      </c>
    </row>
    <row r="16" spans="1:11" ht="15" customHeight="1" x14ac:dyDescent="0.2">
      <c r="A16" s="11">
        <v>0</v>
      </c>
      <c r="B16" s="56" t="s">
        <v>122</v>
      </c>
      <c r="C16" s="39"/>
      <c r="D16" s="34">
        <f>+C13</f>
        <v>6</v>
      </c>
      <c r="E16" s="34">
        <f>+precio!B6</f>
        <v>0</v>
      </c>
      <c r="F16" s="44">
        <v>0.2</v>
      </c>
      <c r="G16" s="44"/>
      <c r="H16" s="34">
        <f>+E16*(1-F16)</f>
        <v>0</v>
      </c>
      <c r="I16" s="45" t="s">
        <v>46</v>
      </c>
      <c r="K16">
        <f>17*200</f>
        <v>3400</v>
      </c>
    </row>
    <row r="17" spans="1:20" ht="15" customHeight="1" x14ac:dyDescent="0.2">
      <c r="A17" s="11">
        <v>0</v>
      </c>
      <c r="B17" s="111" t="s">
        <v>43</v>
      </c>
      <c r="C17" s="112"/>
      <c r="D17" s="113">
        <f>+D16</f>
        <v>6</v>
      </c>
      <c r="E17" s="113">
        <f>+precio!B6</f>
        <v>0</v>
      </c>
      <c r="F17" s="114">
        <v>1</v>
      </c>
      <c r="G17" s="114"/>
      <c r="H17" s="113">
        <v>0</v>
      </c>
      <c r="I17" s="115" t="str">
        <f>+I16</f>
        <v>FSN</v>
      </c>
    </row>
    <row r="18" spans="1:20" ht="15" customHeight="1" x14ac:dyDescent="0.2">
      <c r="A18" s="11"/>
      <c r="B18" s="56" t="s">
        <v>44</v>
      </c>
      <c r="C18" s="39"/>
      <c r="D18" s="34">
        <f>+D17</f>
        <v>6</v>
      </c>
      <c r="E18" s="34">
        <f>+precio!B6</f>
        <v>0</v>
      </c>
      <c r="F18" s="44">
        <v>0.2</v>
      </c>
      <c r="G18" s="44"/>
      <c r="H18" s="34">
        <f>+E18*(1-F18)</f>
        <v>0</v>
      </c>
      <c r="I18" s="45" t="str">
        <f t="shared" ref="I18:I20" si="0">+I17</f>
        <v>FSN</v>
      </c>
    </row>
    <row r="19" spans="1:20" ht="15" customHeight="1" x14ac:dyDescent="0.2">
      <c r="A19" s="11"/>
      <c r="B19" s="105" t="s">
        <v>102</v>
      </c>
      <c r="C19" s="106"/>
      <c r="D19" s="107">
        <f t="shared" ref="D19:D20" si="1">+D18</f>
        <v>6</v>
      </c>
      <c r="E19" s="107">
        <f>+precio!B7</f>
        <v>0</v>
      </c>
      <c r="F19" s="108">
        <v>0.2</v>
      </c>
      <c r="G19" s="108"/>
      <c r="H19" s="107"/>
      <c r="I19" s="109" t="str">
        <f t="shared" si="0"/>
        <v>FSN</v>
      </c>
    </row>
    <row r="20" spans="1:20" ht="15" customHeight="1" x14ac:dyDescent="0.2">
      <c r="A20" s="11"/>
      <c r="B20" s="56" t="s">
        <v>103</v>
      </c>
      <c r="C20" s="39"/>
      <c r="D20" s="34">
        <f t="shared" si="1"/>
        <v>6</v>
      </c>
      <c r="E20" s="34">
        <f>+precio!B8</f>
        <v>0</v>
      </c>
      <c r="F20" s="44">
        <v>0.2</v>
      </c>
      <c r="G20" s="44"/>
      <c r="H20" s="34"/>
      <c r="I20" s="45" t="str">
        <f t="shared" si="0"/>
        <v>FSN</v>
      </c>
    </row>
    <row r="21" spans="1:20" ht="15" customHeight="1" x14ac:dyDescent="0.2">
      <c r="A21" s="11"/>
      <c r="B21" s="56" t="s">
        <v>45</v>
      </c>
      <c r="C21" s="39"/>
      <c r="D21" s="34">
        <f>+D18</f>
        <v>6</v>
      </c>
      <c r="E21" s="34">
        <f>+precio!B6</f>
        <v>0</v>
      </c>
      <c r="F21" s="44">
        <f t="shared" ref="F21" si="2">+F18</f>
        <v>0.2</v>
      </c>
      <c r="G21" s="44"/>
      <c r="H21" s="34">
        <f>+E21*(1-F21)</f>
        <v>0</v>
      </c>
      <c r="I21" s="45" t="str">
        <f>+I18</f>
        <v>FSN</v>
      </c>
    </row>
    <row r="22" spans="1:20" ht="15" customHeight="1" thickBot="1" x14ac:dyDescent="0.25">
      <c r="A22" s="15"/>
      <c r="B22" s="182" t="s">
        <v>105</v>
      </c>
      <c r="C22" s="8"/>
      <c r="D22" s="35">
        <f>SUM(D16:D21)</f>
        <v>36</v>
      </c>
      <c r="E22" s="55">
        <f>+(D22-F22)/D22</f>
        <v>1</v>
      </c>
      <c r="F22" s="35">
        <f>SUM(H16:H21)</f>
        <v>0</v>
      </c>
      <c r="G22" s="137"/>
      <c r="H22" s="9"/>
      <c r="I22" s="9"/>
    </row>
    <row r="24" spans="1:20" ht="15" hidden="1" customHeight="1" thickBot="1" x14ac:dyDescent="0.25">
      <c r="B24" s="2"/>
      <c r="C24" s="2"/>
      <c r="D24" s="2"/>
      <c r="E24" s="2"/>
      <c r="F24" s="2"/>
      <c r="G24" s="2"/>
      <c r="H24" s="2"/>
      <c r="I24" s="2"/>
      <c r="J24" s="13" t="s">
        <v>6</v>
      </c>
      <c r="K24" s="267" t="s">
        <v>34</v>
      </c>
      <c r="L24" s="268"/>
      <c r="M24" s="267" t="s">
        <v>35</v>
      </c>
      <c r="N24" s="269"/>
      <c r="O24" s="83" t="s">
        <v>16</v>
      </c>
      <c r="P24" s="85" t="s">
        <v>7</v>
      </c>
      <c r="Q24" s="85" t="s">
        <v>33</v>
      </c>
      <c r="R24" s="85" t="s">
        <v>8</v>
      </c>
      <c r="S24" s="84" t="s">
        <v>8</v>
      </c>
      <c r="T24" s="131" t="s">
        <v>20</v>
      </c>
    </row>
    <row r="25" spans="1:20" ht="15" hidden="1" customHeight="1" thickBot="1" x14ac:dyDescent="0.25">
      <c r="A25" s="4" t="s">
        <v>10</v>
      </c>
      <c r="B25" s="262" t="s">
        <v>0</v>
      </c>
      <c r="C25" s="263"/>
      <c r="D25" s="263"/>
      <c r="E25" s="263"/>
      <c r="F25" s="263"/>
      <c r="G25" s="263"/>
      <c r="H25" s="263"/>
      <c r="I25" s="264"/>
      <c r="J25" s="75" t="s">
        <v>13</v>
      </c>
      <c r="K25" s="7" t="s">
        <v>28</v>
      </c>
      <c r="L25" s="9" t="s">
        <v>16</v>
      </c>
      <c r="M25" s="7" t="s">
        <v>28</v>
      </c>
      <c r="N25" s="28" t="s">
        <v>16</v>
      </c>
      <c r="O25" s="7" t="s">
        <v>12</v>
      </c>
      <c r="P25" s="8" t="s">
        <v>17</v>
      </c>
      <c r="Q25" s="8" t="s">
        <v>12</v>
      </c>
      <c r="R25" s="8" t="s">
        <v>11</v>
      </c>
      <c r="S25" s="9" t="s">
        <v>49</v>
      </c>
      <c r="T25" s="132"/>
    </row>
    <row r="26" spans="1:20" ht="15" hidden="1" customHeight="1" thickBot="1" x14ac:dyDescent="0.25">
      <c r="A26" s="10"/>
      <c r="B26" s="29" t="s">
        <v>19</v>
      </c>
      <c r="C26" s="52"/>
      <c r="D26" s="53"/>
      <c r="E26" s="53"/>
      <c r="F26" s="126" t="s">
        <v>123</v>
      </c>
      <c r="G26" s="147"/>
      <c r="H26" s="270" t="s">
        <v>136</v>
      </c>
      <c r="I26" s="271"/>
      <c r="J26" s="146"/>
      <c r="K26" s="25" t="s">
        <v>128</v>
      </c>
      <c r="L26" s="130"/>
      <c r="M26" s="25" t="s">
        <v>29</v>
      </c>
      <c r="N26" s="78">
        <f>+C31-45</f>
        <v>45950</v>
      </c>
      <c r="O26" s="57"/>
      <c r="P26" s="59"/>
      <c r="Q26" s="46"/>
      <c r="R26" s="65" t="e">
        <f>+(F41/2)-P26</f>
        <v>#DIV/0!</v>
      </c>
      <c r="S26" s="58" t="e">
        <f>+F41-P26</f>
        <v>#DIV/0!</v>
      </c>
      <c r="T26" s="22"/>
    </row>
    <row r="27" spans="1:20" ht="15" hidden="1" customHeight="1" thickBot="1" x14ac:dyDescent="0.25">
      <c r="A27" s="15"/>
      <c r="B27" s="14" t="s">
        <v>3</v>
      </c>
      <c r="C27" s="122" t="s">
        <v>116</v>
      </c>
      <c r="D27" s="1"/>
      <c r="E27" s="116" t="s">
        <v>106</v>
      </c>
      <c r="F27" s="116"/>
      <c r="G27" s="117"/>
      <c r="H27" s="118"/>
      <c r="I27" s="141"/>
      <c r="K27" s="18" t="s">
        <v>129</v>
      </c>
      <c r="L27" s="77"/>
      <c r="M27" s="18" t="s">
        <v>30</v>
      </c>
      <c r="N27" s="79">
        <f>+C31-30</f>
        <v>45965</v>
      </c>
      <c r="O27" s="47"/>
      <c r="P27" s="60"/>
      <c r="Q27" s="48"/>
      <c r="R27" s="66"/>
      <c r="S27" s="67"/>
      <c r="T27" s="23"/>
    </row>
    <row r="28" spans="1:20" ht="15" hidden="1" customHeight="1" thickBot="1" x14ac:dyDescent="0.25">
      <c r="A28" s="15"/>
      <c r="B28" s="14" t="s">
        <v>1</v>
      </c>
      <c r="C28" s="123" t="s">
        <v>117</v>
      </c>
      <c r="D28" s="1"/>
      <c r="E28" s="116" t="s">
        <v>106</v>
      </c>
      <c r="F28" s="116"/>
      <c r="G28" s="117"/>
      <c r="H28" s="118"/>
      <c r="I28" s="141"/>
      <c r="K28" s="18" t="s">
        <v>130</v>
      </c>
      <c r="L28" s="77"/>
      <c r="M28" s="18" t="s">
        <v>31</v>
      </c>
      <c r="N28" s="79">
        <f>+C31-15</f>
        <v>45980</v>
      </c>
      <c r="O28" s="47"/>
      <c r="P28" s="60"/>
      <c r="Q28" s="48"/>
      <c r="R28" s="66"/>
      <c r="S28" s="67"/>
      <c r="T28" s="23"/>
    </row>
    <row r="29" spans="1:20" ht="15" hidden="1" customHeight="1" x14ac:dyDescent="0.2">
      <c r="A29" s="15"/>
      <c r="B29" s="14" t="s">
        <v>2</v>
      </c>
      <c r="C29" s="39"/>
      <c r="D29" s="1"/>
      <c r="E29" s="116" t="s">
        <v>106</v>
      </c>
      <c r="F29" s="116"/>
      <c r="G29" s="117"/>
      <c r="H29" s="118"/>
      <c r="I29" s="141"/>
      <c r="K29" s="18" t="s">
        <v>131</v>
      </c>
      <c r="L29" s="77"/>
      <c r="M29" s="18" t="s">
        <v>32</v>
      </c>
      <c r="N29" s="79">
        <f>+C31-7</f>
        <v>45988</v>
      </c>
      <c r="O29" s="47"/>
      <c r="P29" s="60"/>
      <c r="Q29" s="48"/>
      <c r="R29" s="66"/>
      <c r="S29" s="67"/>
      <c r="T29" s="23"/>
    </row>
    <row r="30" spans="1:20" ht="15" hidden="1" customHeight="1" thickBot="1" x14ac:dyDescent="0.25">
      <c r="A30" s="15"/>
      <c r="B30" s="14" t="s">
        <v>9</v>
      </c>
      <c r="C30" s="33"/>
      <c r="D30" s="1"/>
      <c r="H30" s="129" t="s">
        <v>125</v>
      </c>
      <c r="I30" s="142"/>
      <c r="K30" s="18" t="s">
        <v>132</v>
      </c>
      <c r="L30" s="77"/>
      <c r="M30" s="7" t="s">
        <v>27</v>
      </c>
      <c r="N30" s="20"/>
      <c r="O30" s="49"/>
      <c r="P30" s="61"/>
      <c r="Q30" s="50"/>
      <c r="R30" s="68"/>
      <c r="S30" s="69"/>
      <c r="T30" s="37"/>
    </row>
    <row r="31" spans="1:20" ht="15" hidden="1" customHeight="1" thickBot="1" x14ac:dyDescent="0.25">
      <c r="A31" s="15"/>
      <c r="B31" s="36" t="s">
        <v>4</v>
      </c>
      <c r="C31" s="125">
        <v>45995</v>
      </c>
      <c r="D31" s="1"/>
      <c r="E31" s="127" t="s">
        <v>124</v>
      </c>
      <c r="F31" s="127"/>
      <c r="G31" s="127"/>
      <c r="H31" s="127"/>
      <c r="I31" s="128"/>
      <c r="K31" s="18" t="s">
        <v>133</v>
      </c>
      <c r="L31" s="77"/>
      <c r="O31" s="51"/>
      <c r="P31" s="62"/>
      <c r="Q31" s="42"/>
      <c r="R31" s="70"/>
      <c r="S31" s="71"/>
      <c r="T31" s="24"/>
    </row>
    <row r="32" spans="1:20" ht="15" hidden="1" customHeight="1" thickBot="1" x14ac:dyDescent="0.25">
      <c r="A32" s="15"/>
      <c r="B32" s="14" t="s">
        <v>5</v>
      </c>
      <c r="C32" s="135">
        <f>+C31+C33</f>
        <v>45999</v>
      </c>
      <c r="D32" s="1"/>
      <c r="E32" s="1"/>
      <c r="F32" s="1"/>
      <c r="G32" s="1"/>
      <c r="H32" s="1"/>
      <c r="I32" s="31"/>
      <c r="K32" s="7" t="s">
        <v>27</v>
      </c>
      <c r="L32" s="19"/>
    </row>
    <row r="33" spans="1:12" ht="15" hidden="1" customHeight="1" thickBot="1" x14ac:dyDescent="0.25">
      <c r="A33" s="15"/>
      <c r="B33" s="14" t="s">
        <v>47</v>
      </c>
      <c r="C33" s="124">
        <v>4</v>
      </c>
      <c r="D33" s="1"/>
      <c r="E33" s="1"/>
      <c r="F33" s="1"/>
      <c r="G33" s="1"/>
      <c r="H33" s="1"/>
      <c r="I33" s="31"/>
    </row>
    <row r="34" spans="1:12" ht="15" hidden="1" customHeight="1" x14ac:dyDescent="0.2">
      <c r="A34" s="32"/>
      <c r="B34" s="15"/>
      <c r="D34" s="265" t="s">
        <v>127</v>
      </c>
      <c r="E34" s="265"/>
      <c r="F34" s="265"/>
      <c r="G34" s="265"/>
      <c r="H34" s="265"/>
      <c r="I34" s="266"/>
    </row>
    <row r="35" spans="1:12" ht="15" hidden="1" customHeight="1" thickBot="1" x14ac:dyDescent="0.25">
      <c r="A35" s="15"/>
      <c r="B35" s="133" t="s">
        <v>18</v>
      </c>
      <c r="C35" s="134" t="s">
        <v>14</v>
      </c>
      <c r="D35" s="6" t="s">
        <v>15</v>
      </c>
      <c r="E35" s="6" t="s">
        <v>135</v>
      </c>
      <c r="F35" s="6" t="s">
        <v>126</v>
      </c>
      <c r="G35" s="6" t="s">
        <v>134</v>
      </c>
      <c r="H35" s="6" t="s">
        <v>101</v>
      </c>
      <c r="I35" s="17" t="s">
        <v>39</v>
      </c>
    </row>
    <row r="36" spans="1:12" ht="15" hidden="1" customHeight="1" thickBot="1" x14ac:dyDescent="0.25">
      <c r="A36" s="139">
        <v>1</v>
      </c>
      <c r="B36" s="143" t="s">
        <v>116</v>
      </c>
      <c r="C36" s="48"/>
      <c r="D36" s="34" t="e">
        <f>+#REF!</f>
        <v>#REF!</v>
      </c>
      <c r="E36" s="34">
        <f>+C30</f>
        <v>0</v>
      </c>
      <c r="F36" s="136">
        <v>0</v>
      </c>
      <c r="G36" s="136">
        <v>0</v>
      </c>
      <c r="H36" s="34"/>
      <c r="I36" s="17"/>
    </row>
    <row r="37" spans="1:12" ht="15" hidden="1" customHeight="1" thickBot="1" x14ac:dyDescent="0.25">
      <c r="A37" s="139">
        <f>+A36+1</f>
        <v>2</v>
      </c>
      <c r="B37" s="143" t="s">
        <v>118</v>
      </c>
      <c r="C37" s="48"/>
      <c r="D37" s="34" t="e">
        <f>+#REF!</f>
        <v>#REF!</v>
      </c>
      <c r="E37" s="34"/>
      <c r="F37" s="136">
        <f>+F36</f>
        <v>0</v>
      </c>
      <c r="G37" s="136"/>
      <c r="H37" s="34"/>
      <c r="I37" s="17"/>
    </row>
    <row r="38" spans="1:12" ht="15" hidden="1" customHeight="1" thickBot="1" x14ac:dyDescent="0.25">
      <c r="A38" s="139">
        <f t="shared" ref="A38:A40" si="3">+A37+1</f>
        <v>3</v>
      </c>
      <c r="B38" s="143" t="s">
        <v>119</v>
      </c>
      <c r="C38" s="48"/>
      <c r="D38" s="34" t="e">
        <f>+#REF!</f>
        <v>#REF!</v>
      </c>
      <c r="E38" s="34"/>
      <c r="F38" s="136">
        <f t="shared" ref="F38:F40" si="4">+F37</f>
        <v>0</v>
      </c>
      <c r="G38" s="136"/>
      <c r="H38" s="34"/>
      <c r="I38" s="17"/>
    </row>
    <row r="39" spans="1:12" ht="15" hidden="1" customHeight="1" thickBot="1" x14ac:dyDescent="0.25">
      <c r="A39" s="139">
        <f t="shared" si="3"/>
        <v>4</v>
      </c>
      <c r="B39" s="143" t="s">
        <v>120</v>
      </c>
      <c r="C39" s="48"/>
      <c r="D39" s="34" t="e">
        <f>+#REF!</f>
        <v>#REF!</v>
      </c>
      <c r="E39" s="34"/>
      <c r="F39" s="136">
        <f t="shared" si="4"/>
        <v>0</v>
      </c>
      <c r="G39" s="136"/>
      <c r="H39" s="34"/>
      <c r="I39" s="17"/>
    </row>
    <row r="40" spans="1:12" ht="15" hidden="1" customHeight="1" thickBot="1" x14ac:dyDescent="0.25">
      <c r="A40" s="140">
        <f t="shared" si="3"/>
        <v>5</v>
      </c>
      <c r="B40" s="144" t="s">
        <v>121</v>
      </c>
      <c r="C40" s="48"/>
      <c r="D40" s="34" t="e">
        <f>+#REF!</f>
        <v>#REF!</v>
      </c>
      <c r="E40" s="34"/>
      <c r="F40" s="136">
        <f t="shared" si="4"/>
        <v>0</v>
      </c>
      <c r="G40" s="148"/>
      <c r="H40" s="138"/>
      <c r="I40" s="21"/>
    </row>
    <row r="41" spans="1:12" ht="15" hidden="1" customHeight="1" thickBot="1" x14ac:dyDescent="0.25">
      <c r="A41" s="15"/>
      <c r="B41" s="145" t="s">
        <v>105</v>
      </c>
      <c r="C41" s="26"/>
      <c r="D41" s="35" t="e">
        <f>SUM(D36:D40)</f>
        <v>#REF!</v>
      </c>
      <c r="E41" s="55"/>
      <c r="F41" s="137" t="e">
        <f>+(E41-H41)/E41</f>
        <v>#DIV/0!</v>
      </c>
      <c r="G41" s="137"/>
      <c r="H41" s="8"/>
      <c r="I41" s="9"/>
    </row>
    <row r="44" spans="1:12" ht="15" customHeight="1" x14ac:dyDescent="0.2">
      <c r="A44" s="27" t="s">
        <v>202</v>
      </c>
    </row>
    <row r="45" spans="1:12" ht="15" customHeight="1" thickBot="1" x14ac:dyDescent="0.25"/>
    <row r="46" spans="1:12" ht="15" customHeight="1" thickBot="1" x14ac:dyDescent="0.25">
      <c r="G46" s="267" t="s">
        <v>36</v>
      </c>
      <c r="H46" s="272"/>
      <c r="I46" s="272"/>
      <c r="J46" s="272"/>
      <c r="K46" s="268"/>
    </row>
    <row r="47" spans="1:12" ht="15" customHeight="1" x14ac:dyDescent="0.2">
      <c r="B47" s="13" t="s">
        <v>6</v>
      </c>
      <c r="C47" s="267" t="s">
        <v>34</v>
      </c>
      <c r="D47" s="268"/>
      <c r="E47" s="267" t="s">
        <v>35</v>
      </c>
      <c r="F47" s="269"/>
      <c r="G47" s="30" t="s">
        <v>16</v>
      </c>
      <c r="H47" s="3" t="s">
        <v>7</v>
      </c>
      <c r="I47" s="3" t="s">
        <v>33</v>
      </c>
      <c r="J47" s="3" t="s">
        <v>8</v>
      </c>
      <c r="K47" s="72" t="s">
        <v>8</v>
      </c>
      <c r="L47" s="63" t="s">
        <v>20</v>
      </c>
    </row>
    <row r="48" spans="1:12" ht="15" customHeight="1" thickBot="1" x14ac:dyDescent="0.25">
      <c r="B48" s="75" t="s">
        <v>13</v>
      </c>
      <c r="C48" s="7" t="s">
        <v>28</v>
      </c>
      <c r="D48" s="9" t="s">
        <v>16</v>
      </c>
      <c r="E48" s="7" t="s">
        <v>28</v>
      </c>
      <c r="F48" s="28" t="s">
        <v>16</v>
      </c>
      <c r="G48" s="73" t="s">
        <v>12</v>
      </c>
      <c r="H48" s="74" t="s">
        <v>17</v>
      </c>
      <c r="I48" s="74" t="s">
        <v>12</v>
      </c>
      <c r="J48" s="74" t="s">
        <v>11</v>
      </c>
      <c r="K48" s="75" t="s">
        <v>49</v>
      </c>
      <c r="L48" s="64"/>
    </row>
    <row r="49" spans="2:12" ht="15" customHeight="1" thickBot="1" x14ac:dyDescent="0.25">
      <c r="B49" s="76">
        <v>45855</v>
      </c>
      <c r="C49" s="25" t="s">
        <v>21</v>
      </c>
      <c r="D49" s="81">
        <f>+C6+30</f>
        <v>45883</v>
      </c>
      <c r="E49" s="25" t="s">
        <v>29</v>
      </c>
      <c r="F49" s="78">
        <f>+C11-45</f>
        <v>45961</v>
      </c>
      <c r="G49" s="57">
        <v>45912</v>
      </c>
      <c r="H49" s="59">
        <v>3500000</v>
      </c>
      <c r="I49" s="46" t="s">
        <v>48</v>
      </c>
      <c r="J49" s="65">
        <f>+(F22/2)-H49</f>
        <v>-3500000</v>
      </c>
      <c r="K49" s="58">
        <f>+F22-H49</f>
        <v>-3500000</v>
      </c>
      <c r="L49" s="22" t="s">
        <v>50</v>
      </c>
    </row>
    <row r="50" spans="2:12" ht="15" customHeight="1" x14ac:dyDescent="0.2">
      <c r="C50" s="18" t="s">
        <v>22</v>
      </c>
      <c r="D50" s="82">
        <f>+C6+45</f>
        <v>45898</v>
      </c>
      <c r="E50" s="18" t="s">
        <v>30</v>
      </c>
      <c r="F50" s="79">
        <f>+C11-30</f>
        <v>45976</v>
      </c>
      <c r="G50" s="47"/>
      <c r="H50" s="60"/>
      <c r="I50" s="48"/>
      <c r="J50" s="66"/>
      <c r="K50" s="67"/>
      <c r="L50" s="110" t="s">
        <v>104</v>
      </c>
    </row>
    <row r="51" spans="2:12" ht="15" customHeight="1" x14ac:dyDescent="0.2">
      <c r="C51" s="18" t="s">
        <v>23</v>
      </c>
      <c r="D51" s="77">
        <f>+C6+60</f>
        <v>45913</v>
      </c>
      <c r="E51" s="18" t="s">
        <v>31</v>
      </c>
      <c r="F51" s="79">
        <f>+C11-15</f>
        <v>45991</v>
      </c>
      <c r="G51" s="47"/>
      <c r="H51" s="60"/>
      <c r="I51" s="48"/>
      <c r="J51" s="66"/>
      <c r="K51" s="67"/>
      <c r="L51" s="23"/>
    </row>
    <row r="52" spans="2:12" ht="15" customHeight="1" x14ac:dyDescent="0.2">
      <c r="C52" s="18" t="s">
        <v>24</v>
      </c>
      <c r="D52" s="77">
        <f>+C6+75</f>
        <v>45928</v>
      </c>
      <c r="E52" s="18" t="s">
        <v>32</v>
      </c>
      <c r="F52" s="79">
        <f>+C11-7</f>
        <v>45999</v>
      </c>
      <c r="G52" s="47"/>
      <c r="H52" s="60"/>
      <c r="I52" s="48"/>
      <c r="J52" s="66"/>
      <c r="K52" s="67"/>
      <c r="L52" s="23"/>
    </row>
    <row r="53" spans="2:12" ht="15" customHeight="1" thickBot="1" x14ac:dyDescent="0.25">
      <c r="C53" s="18" t="s">
        <v>25</v>
      </c>
      <c r="D53" s="77">
        <f>+C6+90</f>
        <v>45943</v>
      </c>
      <c r="E53" s="7" t="s">
        <v>27</v>
      </c>
      <c r="F53" s="20"/>
      <c r="G53" s="49"/>
      <c r="H53" s="61"/>
      <c r="I53" s="50"/>
      <c r="J53" s="68"/>
      <c r="K53" s="69"/>
      <c r="L53" s="37"/>
    </row>
    <row r="54" spans="2:12" ht="15" customHeight="1" thickBot="1" x14ac:dyDescent="0.25">
      <c r="C54" s="18" t="s">
        <v>26</v>
      </c>
      <c r="D54" s="77">
        <f>+C6+105</f>
        <v>45958</v>
      </c>
      <c r="G54" s="51"/>
      <c r="H54" s="62"/>
      <c r="I54" s="42"/>
      <c r="J54" s="70"/>
      <c r="K54" s="71"/>
      <c r="L54" s="24"/>
    </row>
    <row r="55" spans="2:12" ht="15" customHeight="1" thickBot="1" x14ac:dyDescent="0.25">
      <c r="C55" s="7" t="s">
        <v>27</v>
      </c>
      <c r="D55" s="19"/>
    </row>
  </sheetData>
  <mergeCells count="10">
    <mergeCell ref="D34:I34"/>
    <mergeCell ref="H26:I26"/>
    <mergeCell ref="E47:F47"/>
    <mergeCell ref="C47:D47"/>
    <mergeCell ref="G46:K46"/>
    <mergeCell ref="B5:I5"/>
    <mergeCell ref="D14:I14"/>
    <mergeCell ref="K24:L24"/>
    <mergeCell ref="M24:N24"/>
    <mergeCell ref="B25:I25"/>
  </mergeCells>
  <phoneticPr fontId="3" type="noConversion"/>
  <hyperlinks>
    <hyperlink ref="C8" r:id="rId1" xr:uid="{BAD73A44-485D-4653-81D1-5BCD03D25E1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23E4-6C45-491E-A519-E2AD8A0A56EC}">
  <sheetPr codeName="Hoja6"/>
  <dimension ref="A1:V57"/>
  <sheetViews>
    <sheetView workbookViewId="0">
      <selection activeCell="V1" sqref="G1:V1048576"/>
    </sheetView>
  </sheetViews>
  <sheetFormatPr baseColWidth="10" defaultRowHeight="15" x14ac:dyDescent="0.2"/>
  <cols>
    <col min="1" max="1" width="17" bestFit="1" customWidth="1"/>
    <col min="4" max="4" width="26.5" bestFit="1" customWidth="1"/>
    <col min="7" max="7" width="29.6640625" style="152" bestFit="1" customWidth="1"/>
    <col min="8" max="8" width="14.1640625" bestFit="1" customWidth="1"/>
    <col min="9" max="9" width="9.6640625" bestFit="1" customWidth="1"/>
    <col min="10" max="11" width="11.1640625" bestFit="1" customWidth="1"/>
    <col min="12" max="12" width="53.5" bestFit="1" customWidth="1"/>
    <col min="13" max="21" width="11.1640625" bestFit="1" customWidth="1"/>
    <col min="22" max="22" width="12.1640625" bestFit="1" customWidth="1"/>
  </cols>
  <sheetData>
    <row r="1" spans="1:22" x14ac:dyDescent="0.2">
      <c r="A1" s="27" t="s">
        <v>143</v>
      </c>
      <c r="B1" s="27" t="s">
        <v>141</v>
      </c>
      <c r="C1" s="27" t="s">
        <v>15</v>
      </c>
      <c r="D1" s="27" t="s">
        <v>152</v>
      </c>
      <c r="E1" s="27" t="s">
        <v>151</v>
      </c>
    </row>
    <row r="2" spans="1:22" x14ac:dyDescent="0.2">
      <c r="A2" t="s">
        <v>83</v>
      </c>
      <c r="B2">
        <v>1</v>
      </c>
      <c r="C2" s="149" t="s">
        <v>69</v>
      </c>
      <c r="D2" s="149" t="str">
        <f>+CONCATENATE(A2," ",C2)</f>
        <v>Base single 1 noche</v>
      </c>
      <c r="E2" s="149">
        <v>770000</v>
      </c>
    </row>
    <row r="3" spans="1:22" x14ac:dyDescent="0.2">
      <c r="A3" t="s">
        <v>84</v>
      </c>
      <c r="B3">
        <v>1</v>
      </c>
      <c r="C3" s="149" t="s">
        <v>69</v>
      </c>
      <c r="D3" s="149" t="str">
        <f t="shared" ref="D3:D57" si="0">+CONCATENATE(A3," ",C3)</f>
        <v>Base doble 1 noche</v>
      </c>
      <c r="E3" s="149">
        <v>550000</v>
      </c>
    </row>
    <row r="4" spans="1:22" x14ac:dyDescent="0.2">
      <c r="A4" t="s">
        <v>85</v>
      </c>
      <c r="B4">
        <v>1</v>
      </c>
      <c r="C4" s="149" t="s">
        <v>69</v>
      </c>
      <c r="D4" s="149" t="str">
        <f t="shared" si="0"/>
        <v>Non angler nacional 1 noche</v>
      </c>
      <c r="E4" s="149">
        <v>550000</v>
      </c>
      <c r="G4" s="199" t="s">
        <v>53</v>
      </c>
      <c r="H4" s="86" t="s">
        <v>54</v>
      </c>
      <c r="I4" s="6" t="s">
        <v>55</v>
      </c>
      <c r="J4" s="6" t="s">
        <v>56</v>
      </c>
      <c r="K4" s="6" t="s">
        <v>57</v>
      </c>
      <c r="L4" s="6" t="s">
        <v>58</v>
      </c>
      <c r="M4" s="6" t="s">
        <v>59</v>
      </c>
      <c r="N4" s="6" t="s">
        <v>60</v>
      </c>
      <c r="O4" s="6" t="s">
        <v>61</v>
      </c>
      <c r="P4" s="6" t="s">
        <v>62</v>
      </c>
      <c r="Q4" s="6" t="s">
        <v>63</v>
      </c>
      <c r="R4" s="6" t="s">
        <v>64</v>
      </c>
      <c r="S4" s="6" t="s">
        <v>65</v>
      </c>
      <c r="T4" s="6" t="s">
        <v>66</v>
      </c>
      <c r="U4" s="6" t="s">
        <v>67</v>
      </c>
      <c r="V4" s="6" t="s">
        <v>68</v>
      </c>
    </row>
    <row r="5" spans="1:22" x14ac:dyDescent="0.2">
      <c r="A5" t="s">
        <v>83</v>
      </c>
      <c r="B5">
        <f>+B2+1</f>
        <v>2</v>
      </c>
      <c r="C5" s="149" t="s">
        <v>70</v>
      </c>
      <c r="D5" s="149" t="str">
        <f t="shared" si="0"/>
        <v>Base single 2 noches</v>
      </c>
      <c r="E5" s="149">
        <v>1330000</v>
      </c>
      <c r="G5" s="200">
        <v>200000</v>
      </c>
      <c r="H5" s="87">
        <v>350000</v>
      </c>
      <c r="I5" s="87">
        <v>400000</v>
      </c>
      <c r="J5" s="87">
        <v>400000</v>
      </c>
      <c r="K5" s="88">
        <v>400000</v>
      </c>
      <c r="L5" s="88">
        <v>400000</v>
      </c>
      <c r="M5" s="88">
        <v>400000</v>
      </c>
      <c r="N5" s="88">
        <v>400000</v>
      </c>
      <c r="O5" s="88">
        <v>400000</v>
      </c>
      <c r="P5" s="88">
        <v>400000</v>
      </c>
      <c r="Q5" s="88">
        <v>400000</v>
      </c>
      <c r="R5" s="88">
        <v>400000</v>
      </c>
      <c r="S5" s="88">
        <v>400000</v>
      </c>
      <c r="T5" s="88">
        <v>400000</v>
      </c>
      <c r="U5" s="88">
        <v>400000</v>
      </c>
      <c r="V5" s="88">
        <v>200000</v>
      </c>
    </row>
    <row r="6" spans="1:22" x14ac:dyDescent="0.2">
      <c r="A6" t="s">
        <v>84</v>
      </c>
      <c r="B6">
        <f t="shared" ref="B6:B43" si="1">+B3+1</f>
        <v>2</v>
      </c>
      <c r="C6" s="149" t="s">
        <v>70</v>
      </c>
      <c r="D6" s="149" t="str">
        <f t="shared" si="0"/>
        <v>Base doble 2 noches</v>
      </c>
      <c r="E6" s="149">
        <v>950000</v>
      </c>
      <c r="F6" s="149"/>
      <c r="G6" s="200"/>
      <c r="H6" s="87"/>
      <c r="I6" s="6" t="s">
        <v>69</v>
      </c>
      <c r="J6" s="6" t="s">
        <v>70</v>
      </c>
      <c r="K6" s="6" t="s">
        <v>71</v>
      </c>
      <c r="L6" s="80" t="s">
        <v>72</v>
      </c>
      <c r="M6" s="6" t="s">
        <v>73</v>
      </c>
      <c r="N6" s="6" t="s">
        <v>74</v>
      </c>
      <c r="O6" s="80" t="s">
        <v>75</v>
      </c>
      <c r="P6" s="6" t="s">
        <v>76</v>
      </c>
      <c r="Q6" s="6" t="s">
        <v>77</v>
      </c>
      <c r="R6" s="80" t="s">
        <v>78</v>
      </c>
      <c r="S6" s="80" t="s">
        <v>79</v>
      </c>
      <c r="T6" s="6" t="s">
        <v>80</v>
      </c>
      <c r="U6" s="6" t="s">
        <v>81</v>
      </c>
      <c r="V6" s="80" t="s">
        <v>82</v>
      </c>
    </row>
    <row r="7" spans="1:22" x14ac:dyDescent="0.2">
      <c r="A7" t="s">
        <v>85</v>
      </c>
      <c r="B7">
        <f t="shared" si="1"/>
        <v>2</v>
      </c>
      <c r="C7" s="149" t="s">
        <v>70</v>
      </c>
      <c r="D7" s="149" t="str">
        <f t="shared" si="0"/>
        <v>Non angler nacional 2 noches</v>
      </c>
      <c r="E7" s="149">
        <v>950000</v>
      </c>
      <c r="G7" s="199" t="s">
        <v>83</v>
      </c>
      <c r="H7" s="89"/>
      <c r="I7" s="89">
        <v>770000</v>
      </c>
      <c r="J7" s="89">
        <v>1330000</v>
      </c>
      <c r="K7" s="89">
        <v>1889999.9999999998</v>
      </c>
      <c r="L7" s="90">
        <v>2450000</v>
      </c>
      <c r="M7" s="89">
        <v>3010000</v>
      </c>
      <c r="N7" s="89">
        <v>3570000</v>
      </c>
      <c r="O7" s="90">
        <v>4129999.9999999995</v>
      </c>
      <c r="P7" s="91">
        <v>4690000</v>
      </c>
      <c r="Q7" s="91">
        <v>5250000</v>
      </c>
      <c r="R7" s="90">
        <v>5810000</v>
      </c>
      <c r="S7" s="90">
        <v>6370000</v>
      </c>
      <c r="T7" s="91">
        <v>6930000</v>
      </c>
      <c r="U7" s="91">
        <v>7489999.9999999991</v>
      </c>
      <c r="V7" s="90">
        <v>8049999.9999999991</v>
      </c>
    </row>
    <row r="8" spans="1:22" x14ac:dyDescent="0.2">
      <c r="A8" t="s">
        <v>83</v>
      </c>
      <c r="B8">
        <f t="shared" si="1"/>
        <v>3</v>
      </c>
      <c r="C8" s="149" t="s">
        <v>71</v>
      </c>
      <c r="D8" s="149" t="str">
        <f t="shared" si="0"/>
        <v>Base single 3 noches</v>
      </c>
      <c r="E8" s="149">
        <v>1889999.9999999998</v>
      </c>
      <c r="G8" s="199" t="s">
        <v>84</v>
      </c>
      <c r="H8" s="89"/>
      <c r="I8" s="89">
        <v>550000</v>
      </c>
      <c r="J8" s="89">
        <v>950000</v>
      </c>
      <c r="K8" s="89">
        <v>1350000</v>
      </c>
      <c r="L8" s="90">
        <v>1750000</v>
      </c>
      <c r="M8" s="89">
        <v>2150000</v>
      </c>
      <c r="N8" s="89">
        <v>2550000</v>
      </c>
      <c r="O8" s="90">
        <v>2950000</v>
      </c>
      <c r="P8" s="89">
        <v>3350000</v>
      </c>
      <c r="Q8" s="89">
        <v>3750000</v>
      </c>
      <c r="R8" s="90">
        <v>4150000</v>
      </c>
      <c r="S8" s="90">
        <v>4550000</v>
      </c>
      <c r="T8" s="89">
        <v>4950000</v>
      </c>
      <c r="U8" s="89">
        <v>5350000</v>
      </c>
      <c r="V8" s="90">
        <v>5750000</v>
      </c>
    </row>
    <row r="9" spans="1:22" x14ac:dyDescent="0.2">
      <c r="A9" t="s">
        <v>84</v>
      </c>
      <c r="B9">
        <f t="shared" si="1"/>
        <v>3</v>
      </c>
      <c r="C9" s="149" t="s">
        <v>71</v>
      </c>
      <c r="D9" s="149" t="str">
        <f t="shared" si="0"/>
        <v>Base doble 3 noches</v>
      </c>
      <c r="E9" s="149">
        <v>1350000</v>
      </c>
      <c r="G9" s="199" t="s">
        <v>85</v>
      </c>
      <c r="H9" s="89"/>
      <c r="I9" s="89">
        <v>550000</v>
      </c>
      <c r="J9" s="89">
        <v>950000</v>
      </c>
      <c r="K9" s="89">
        <v>1350000</v>
      </c>
      <c r="L9" s="90">
        <v>1750000</v>
      </c>
      <c r="M9" s="89">
        <v>2150000</v>
      </c>
      <c r="N9" s="89">
        <v>2550000</v>
      </c>
      <c r="O9" s="90">
        <v>2950000</v>
      </c>
      <c r="P9" s="89">
        <v>3350000</v>
      </c>
      <c r="Q9" s="89">
        <v>3750000</v>
      </c>
      <c r="R9" s="90">
        <v>4150000</v>
      </c>
      <c r="S9" s="90">
        <v>4550000</v>
      </c>
      <c r="T9" s="89">
        <v>4950000</v>
      </c>
      <c r="U9" s="89">
        <v>5350000</v>
      </c>
      <c r="V9" s="90">
        <v>5750000</v>
      </c>
    </row>
    <row r="10" spans="1:22" x14ac:dyDescent="0.2">
      <c r="A10" t="s">
        <v>85</v>
      </c>
      <c r="B10">
        <f t="shared" si="1"/>
        <v>3</v>
      </c>
      <c r="C10" s="149" t="s">
        <v>71</v>
      </c>
      <c r="D10" s="149" t="str">
        <f t="shared" si="0"/>
        <v>Non angler nacional 3 noches</v>
      </c>
      <c r="E10" s="149">
        <v>1350000</v>
      </c>
      <c r="G10" s="201"/>
      <c r="H10" s="92"/>
      <c r="I10" s="92"/>
      <c r="J10" s="92"/>
      <c r="K10" s="92"/>
      <c r="L10" s="93">
        <v>9.375E-2</v>
      </c>
      <c r="M10" s="92"/>
      <c r="N10" s="92"/>
      <c r="O10" s="94"/>
    </row>
    <row r="11" spans="1:22" x14ac:dyDescent="0.2">
      <c r="A11" t="s">
        <v>83</v>
      </c>
      <c r="B11">
        <f t="shared" si="1"/>
        <v>4</v>
      </c>
      <c r="C11" s="149" t="s">
        <v>72</v>
      </c>
      <c r="D11" s="149" t="str">
        <f t="shared" si="0"/>
        <v>Base single 4 noches</v>
      </c>
      <c r="E11" s="149">
        <v>2450000</v>
      </c>
      <c r="G11" s="202" t="s">
        <v>51</v>
      </c>
      <c r="H11" s="27" t="s">
        <v>86</v>
      </c>
      <c r="L11" s="27"/>
      <c r="O11" s="27"/>
    </row>
    <row r="12" spans="1:22" x14ac:dyDescent="0.2">
      <c r="A12" t="s">
        <v>84</v>
      </c>
      <c r="B12">
        <f t="shared" si="1"/>
        <v>4</v>
      </c>
      <c r="C12" s="149" t="s">
        <v>72</v>
      </c>
      <c r="D12" s="149" t="str">
        <f t="shared" si="0"/>
        <v>Base doble 4 noches</v>
      </c>
      <c r="E12" s="149">
        <v>1750000</v>
      </c>
      <c r="G12" s="199"/>
      <c r="H12" s="6"/>
      <c r="I12" s="6" t="s">
        <v>69</v>
      </c>
      <c r="J12" s="6" t="s">
        <v>70</v>
      </c>
      <c r="K12" s="6" t="s">
        <v>71</v>
      </c>
      <c r="L12" s="6" t="s">
        <v>72</v>
      </c>
      <c r="M12" s="6" t="s">
        <v>73</v>
      </c>
      <c r="N12" s="6" t="s">
        <v>74</v>
      </c>
      <c r="O12" s="6" t="s">
        <v>75</v>
      </c>
      <c r="P12" s="6" t="s">
        <v>76</v>
      </c>
      <c r="Q12" s="6" t="s">
        <v>77</v>
      </c>
      <c r="R12" s="6" t="s">
        <v>78</v>
      </c>
      <c r="S12" s="6" t="s">
        <v>79</v>
      </c>
      <c r="T12" s="6" t="s">
        <v>80</v>
      </c>
      <c r="U12" s="6" t="s">
        <v>81</v>
      </c>
      <c r="V12" s="6" t="s">
        <v>82</v>
      </c>
    </row>
    <row r="13" spans="1:22" x14ac:dyDescent="0.2">
      <c r="A13" t="s">
        <v>85</v>
      </c>
      <c r="B13">
        <f t="shared" si="1"/>
        <v>4</v>
      </c>
      <c r="C13" s="149" t="s">
        <v>72</v>
      </c>
      <c r="D13" s="149" t="str">
        <f t="shared" si="0"/>
        <v>Non angler nacional 4 noches</v>
      </c>
      <c r="E13" s="149">
        <v>1750000</v>
      </c>
      <c r="G13" s="199" t="s">
        <v>87</v>
      </c>
      <c r="H13" s="95" t="s">
        <v>88</v>
      </c>
      <c r="I13" s="6" t="s">
        <v>55</v>
      </c>
      <c r="J13" s="6" t="s">
        <v>56</v>
      </c>
      <c r="K13" s="6" t="s">
        <v>57</v>
      </c>
      <c r="L13" s="6" t="s">
        <v>58</v>
      </c>
      <c r="M13" s="6" t="s">
        <v>59</v>
      </c>
      <c r="N13" s="6" t="s">
        <v>60</v>
      </c>
      <c r="O13" s="6" t="s">
        <v>61</v>
      </c>
      <c r="P13" s="6" t="s">
        <v>62</v>
      </c>
      <c r="Q13" s="6" t="s">
        <v>63</v>
      </c>
      <c r="R13" s="6" t="s">
        <v>64</v>
      </c>
      <c r="S13" s="6" t="s">
        <v>65</v>
      </c>
      <c r="T13" s="6" t="s">
        <v>66</v>
      </c>
      <c r="U13" s="6" t="s">
        <v>67</v>
      </c>
      <c r="V13" s="6" t="s">
        <v>68</v>
      </c>
    </row>
    <row r="14" spans="1:22" x14ac:dyDescent="0.2">
      <c r="A14" t="s">
        <v>83</v>
      </c>
      <c r="B14">
        <f t="shared" si="1"/>
        <v>5</v>
      </c>
      <c r="C14" s="149" t="s">
        <v>73</v>
      </c>
      <c r="D14" s="149" t="str">
        <f t="shared" si="0"/>
        <v>Base single 5 noches</v>
      </c>
      <c r="E14" s="149">
        <v>3010000</v>
      </c>
      <c r="G14" s="203">
        <v>350</v>
      </c>
      <c r="H14" s="96">
        <v>1000</v>
      </c>
      <c r="I14" s="97">
        <v>900</v>
      </c>
      <c r="J14" s="97">
        <v>900</v>
      </c>
      <c r="K14" s="97">
        <v>900</v>
      </c>
      <c r="L14" s="97">
        <v>900</v>
      </c>
      <c r="M14" s="97">
        <v>900</v>
      </c>
      <c r="N14" s="97">
        <v>900</v>
      </c>
      <c r="O14" s="97">
        <v>900</v>
      </c>
      <c r="P14" s="97">
        <v>900</v>
      </c>
      <c r="Q14" s="97">
        <v>900</v>
      </c>
      <c r="R14" s="97">
        <v>900</v>
      </c>
      <c r="S14" s="97">
        <v>900</v>
      </c>
      <c r="T14" s="97">
        <v>900</v>
      </c>
      <c r="U14" s="97">
        <v>900</v>
      </c>
      <c r="V14" s="97">
        <v>350</v>
      </c>
    </row>
    <row r="15" spans="1:22" x14ac:dyDescent="0.2">
      <c r="A15" t="s">
        <v>84</v>
      </c>
      <c r="B15">
        <f t="shared" si="1"/>
        <v>5</v>
      </c>
      <c r="C15" s="149" t="s">
        <v>73</v>
      </c>
      <c r="D15" s="149" t="str">
        <f t="shared" si="0"/>
        <v>Base doble 5 noches</v>
      </c>
      <c r="E15" s="149">
        <v>2150000</v>
      </c>
      <c r="G15" s="203"/>
      <c r="H15" s="96"/>
      <c r="I15" s="6" t="s">
        <v>69</v>
      </c>
      <c r="J15" s="6" t="s">
        <v>70</v>
      </c>
      <c r="K15" s="6" t="s">
        <v>71</v>
      </c>
      <c r="L15" s="80" t="s">
        <v>72</v>
      </c>
      <c r="M15" s="6" t="s">
        <v>73</v>
      </c>
      <c r="N15" s="6" t="s">
        <v>74</v>
      </c>
      <c r="O15" s="80" t="s">
        <v>75</v>
      </c>
      <c r="P15" s="6" t="s">
        <v>76</v>
      </c>
      <c r="Q15" s="6" t="s">
        <v>77</v>
      </c>
      <c r="R15" s="80" t="s">
        <v>78</v>
      </c>
      <c r="S15" s="80" t="s">
        <v>79</v>
      </c>
      <c r="T15" s="6" t="s">
        <v>80</v>
      </c>
      <c r="U15" s="6" t="s">
        <v>81</v>
      </c>
      <c r="V15" s="80" t="s">
        <v>82</v>
      </c>
    </row>
    <row r="16" spans="1:22" x14ac:dyDescent="0.2">
      <c r="A16" t="s">
        <v>85</v>
      </c>
      <c r="B16">
        <f t="shared" si="1"/>
        <v>5</v>
      </c>
      <c r="C16" s="149" t="s">
        <v>73</v>
      </c>
      <c r="D16" s="149" t="str">
        <f t="shared" si="0"/>
        <v>Non angler nacional 5 noches</v>
      </c>
      <c r="E16" s="149">
        <v>2150000</v>
      </c>
      <c r="G16" s="199" t="s">
        <v>83</v>
      </c>
      <c r="H16" s="96"/>
      <c r="I16" s="96">
        <v>1889.9999999999998</v>
      </c>
      <c r="J16" s="96">
        <v>3150</v>
      </c>
      <c r="K16" s="96">
        <v>4410</v>
      </c>
      <c r="L16" s="98">
        <v>5670</v>
      </c>
      <c r="M16" s="96">
        <v>6930</v>
      </c>
      <c r="N16" s="96">
        <v>8189.9999999999991</v>
      </c>
      <c r="O16" s="98">
        <v>9450</v>
      </c>
      <c r="P16" s="97">
        <v>10710</v>
      </c>
      <c r="Q16" s="97">
        <v>11970</v>
      </c>
      <c r="R16" s="98">
        <v>13230</v>
      </c>
      <c r="S16" s="98">
        <v>14489.999999999998</v>
      </c>
      <c r="T16" s="97">
        <v>15749.999999999998</v>
      </c>
      <c r="U16" s="97">
        <v>17010</v>
      </c>
      <c r="V16" s="98">
        <v>18270</v>
      </c>
    </row>
    <row r="17" spans="1:22" x14ac:dyDescent="0.2">
      <c r="A17" t="s">
        <v>83</v>
      </c>
      <c r="B17">
        <f t="shared" si="1"/>
        <v>6</v>
      </c>
      <c r="C17" s="149" t="s">
        <v>74</v>
      </c>
      <c r="D17" s="149" t="str">
        <f t="shared" si="0"/>
        <v>Base single 6 noches</v>
      </c>
      <c r="E17" s="149">
        <v>3570000</v>
      </c>
      <c r="G17" s="199" t="s">
        <v>84</v>
      </c>
      <c r="H17" s="89"/>
      <c r="I17" s="96">
        <v>1350</v>
      </c>
      <c r="J17" s="96">
        <v>2250</v>
      </c>
      <c r="K17" s="96">
        <v>3150</v>
      </c>
      <c r="L17" s="98">
        <v>4050</v>
      </c>
      <c r="M17" s="96">
        <v>4950</v>
      </c>
      <c r="N17" s="96">
        <v>5850</v>
      </c>
      <c r="O17" s="98">
        <v>6750</v>
      </c>
      <c r="P17" s="97">
        <v>7650</v>
      </c>
      <c r="Q17" s="97">
        <v>8550</v>
      </c>
      <c r="R17" s="98">
        <v>9450</v>
      </c>
      <c r="S17" s="98">
        <v>10350</v>
      </c>
      <c r="T17" s="97">
        <v>11250</v>
      </c>
      <c r="U17" s="97">
        <v>12150</v>
      </c>
      <c r="V17" s="98">
        <v>13050</v>
      </c>
    </row>
    <row r="18" spans="1:22" x14ac:dyDescent="0.2">
      <c r="A18" t="s">
        <v>84</v>
      </c>
      <c r="B18">
        <f t="shared" si="1"/>
        <v>6</v>
      </c>
      <c r="C18" s="149" t="s">
        <v>74</v>
      </c>
      <c r="D18" s="149" t="str">
        <f t="shared" si="0"/>
        <v>Base doble 6 noches</v>
      </c>
      <c r="E18" s="149">
        <v>2550000</v>
      </c>
      <c r="G18" s="199" t="s">
        <v>89</v>
      </c>
      <c r="H18" s="89"/>
      <c r="I18" s="96">
        <v>944.99999999999989</v>
      </c>
      <c r="J18" s="96">
        <v>1575</v>
      </c>
      <c r="K18" s="96">
        <v>2205</v>
      </c>
      <c r="L18" s="98">
        <v>2835</v>
      </c>
      <c r="M18" s="96">
        <v>3465</v>
      </c>
      <c r="N18" s="96">
        <v>4094.9999999999995</v>
      </c>
      <c r="O18" s="98">
        <v>4725</v>
      </c>
      <c r="P18" s="97">
        <v>5355</v>
      </c>
      <c r="Q18" s="97">
        <v>5985</v>
      </c>
      <c r="R18" s="98">
        <v>6615</v>
      </c>
      <c r="S18" s="98">
        <v>7244.9999999999991</v>
      </c>
      <c r="T18" s="97">
        <v>7874.9999999999991</v>
      </c>
      <c r="U18" s="97">
        <v>8505</v>
      </c>
      <c r="V18" s="98">
        <v>9135</v>
      </c>
    </row>
    <row r="19" spans="1:22" x14ac:dyDescent="0.2">
      <c r="A19" t="s">
        <v>85</v>
      </c>
      <c r="B19">
        <f t="shared" si="1"/>
        <v>6</v>
      </c>
      <c r="C19" s="149" t="s">
        <v>74</v>
      </c>
      <c r="D19" s="149" t="str">
        <f t="shared" si="0"/>
        <v>Non angler nacional 6 noches</v>
      </c>
      <c r="E19" s="149">
        <v>2550000</v>
      </c>
      <c r="G19" s="201"/>
      <c r="H19" s="92"/>
      <c r="I19" s="92"/>
      <c r="J19" s="92"/>
      <c r="K19" s="92"/>
      <c r="L19" s="94"/>
      <c r="M19" s="92"/>
      <c r="N19" s="92"/>
      <c r="O19" s="93">
        <v>0.10655737704918034</v>
      </c>
    </row>
    <row r="20" spans="1:22" x14ac:dyDescent="0.2">
      <c r="A20" t="s">
        <v>83</v>
      </c>
      <c r="B20">
        <f t="shared" si="1"/>
        <v>7</v>
      </c>
      <c r="C20" s="149" t="s">
        <v>75</v>
      </c>
      <c r="D20" s="149" t="str">
        <f t="shared" si="0"/>
        <v>Base single 7 noches</v>
      </c>
      <c r="E20" s="149">
        <v>4129999.9999999995</v>
      </c>
      <c r="G20" s="202" t="s">
        <v>90</v>
      </c>
      <c r="I20" s="92"/>
      <c r="J20" s="92"/>
      <c r="K20" s="92"/>
      <c r="L20" s="94"/>
      <c r="M20" s="92"/>
      <c r="N20" s="92"/>
      <c r="O20" s="27"/>
    </row>
    <row r="21" spans="1:22" x14ac:dyDescent="0.2">
      <c r="A21" t="s">
        <v>84</v>
      </c>
      <c r="B21">
        <f t="shared" si="1"/>
        <v>7</v>
      </c>
      <c r="C21" s="149" t="s">
        <v>75</v>
      </c>
      <c r="D21" s="149" t="str">
        <f t="shared" si="0"/>
        <v>Base doble 7 noches</v>
      </c>
      <c r="E21" s="149">
        <v>2950000</v>
      </c>
      <c r="I21" s="99" t="s">
        <v>52</v>
      </c>
      <c r="J21" s="99" t="s">
        <v>86</v>
      </c>
      <c r="K21" s="92"/>
      <c r="L21" s="94"/>
      <c r="M21" s="92"/>
      <c r="N21" s="92"/>
      <c r="O21" s="27"/>
    </row>
    <row r="22" spans="1:22" x14ac:dyDescent="0.2">
      <c r="A22" t="s">
        <v>85</v>
      </c>
      <c r="B22">
        <f t="shared" si="1"/>
        <v>7</v>
      </c>
      <c r="C22" s="149" t="s">
        <v>75</v>
      </c>
      <c r="D22" s="149" t="str">
        <f t="shared" si="0"/>
        <v>Non angler nacional 7 noches</v>
      </c>
      <c r="E22" s="149">
        <v>2950000</v>
      </c>
      <c r="G22" s="152" t="s">
        <v>91</v>
      </c>
      <c r="H22" s="100"/>
      <c r="I22" s="101">
        <v>350000</v>
      </c>
      <c r="J22" s="102">
        <v>390</v>
      </c>
      <c r="K22" s="93">
        <v>0.16666666666666674</v>
      </c>
      <c r="L22" s="102" t="s">
        <v>92</v>
      </c>
      <c r="M22" s="100"/>
      <c r="N22" s="100"/>
      <c r="O22" s="102"/>
    </row>
    <row r="23" spans="1:22" x14ac:dyDescent="0.2">
      <c r="A23" t="s">
        <v>83</v>
      </c>
      <c r="B23">
        <f t="shared" si="1"/>
        <v>8</v>
      </c>
      <c r="C23" s="149" t="s">
        <v>76</v>
      </c>
      <c r="D23" s="149" t="str">
        <f t="shared" si="0"/>
        <v>Base single 8 noches</v>
      </c>
      <c r="E23" s="149">
        <v>4690000</v>
      </c>
      <c r="G23" s="152" t="s">
        <v>93</v>
      </c>
      <c r="H23" s="100"/>
      <c r="I23" s="101">
        <v>500000</v>
      </c>
      <c r="J23" s="102">
        <v>550</v>
      </c>
      <c r="K23" s="93">
        <v>0.11111111111111116</v>
      </c>
      <c r="L23" s="102" t="s">
        <v>94</v>
      </c>
      <c r="M23" s="100"/>
      <c r="N23" s="100"/>
      <c r="O23" s="102"/>
    </row>
    <row r="24" spans="1:22" x14ac:dyDescent="0.2">
      <c r="A24" t="s">
        <v>84</v>
      </c>
      <c r="B24">
        <f t="shared" si="1"/>
        <v>8</v>
      </c>
      <c r="C24" s="149" t="s">
        <v>76</v>
      </c>
      <c r="D24" s="149" t="str">
        <f t="shared" si="0"/>
        <v>Base doble 8 noches</v>
      </c>
      <c r="E24" s="149">
        <v>3350000</v>
      </c>
      <c r="G24" s="204"/>
      <c r="H24" s="103"/>
      <c r="I24" s="103"/>
      <c r="J24" s="103"/>
      <c r="K24" s="103"/>
      <c r="L24" s="104"/>
      <c r="M24" s="103"/>
      <c r="N24" s="103"/>
      <c r="O24" s="104"/>
    </row>
    <row r="25" spans="1:22" x14ac:dyDescent="0.2">
      <c r="A25" t="s">
        <v>85</v>
      </c>
      <c r="B25">
        <f t="shared" si="1"/>
        <v>8</v>
      </c>
      <c r="C25" s="149" t="s">
        <v>76</v>
      </c>
      <c r="D25" s="149" t="str">
        <f t="shared" si="0"/>
        <v>Non angler nacional 8 noches</v>
      </c>
      <c r="E25" s="149">
        <v>3350000</v>
      </c>
      <c r="G25" s="205" t="s">
        <v>95</v>
      </c>
      <c r="H25" s="100"/>
      <c r="I25" s="103"/>
      <c r="J25" s="103"/>
      <c r="K25" s="103"/>
      <c r="L25" s="104"/>
      <c r="M25" s="103"/>
      <c r="N25" s="103"/>
      <c r="O25" s="104"/>
    </row>
    <row r="26" spans="1:22" x14ac:dyDescent="0.2">
      <c r="A26" t="s">
        <v>83</v>
      </c>
      <c r="B26">
        <f t="shared" si="1"/>
        <v>9</v>
      </c>
      <c r="C26" s="149" t="s">
        <v>77</v>
      </c>
      <c r="D26" s="149" t="str">
        <f t="shared" si="0"/>
        <v>Base single 9 noches</v>
      </c>
      <c r="E26" s="149">
        <v>5250000</v>
      </c>
      <c r="G26" s="205" t="s">
        <v>96</v>
      </c>
      <c r="H26" s="100"/>
      <c r="I26" s="103"/>
      <c r="J26" s="103"/>
      <c r="K26" s="103"/>
      <c r="L26" s="104"/>
      <c r="M26" s="103"/>
      <c r="N26" s="103"/>
      <c r="O26" s="104"/>
    </row>
    <row r="27" spans="1:22" x14ac:dyDescent="0.2">
      <c r="A27" t="s">
        <v>84</v>
      </c>
      <c r="B27">
        <f t="shared" si="1"/>
        <v>9</v>
      </c>
      <c r="C27" s="149" t="s">
        <v>77</v>
      </c>
      <c r="D27" s="149" t="str">
        <f t="shared" si="0"/>
        <v>Base doble 9 noches</v>
      </c>
      <c r="E27" s="149">
        <v>3750000</v>
      </c>
      <c r="G27" s="204"/>
      <c r="H27" s="103"/>
      <c r="I27" s="103"/>
      <c r="J27" s="103"/>
      <c r="K27" s="103"/>
      <c r="L27" s="104"/>
      <c r="M27" s="103"/>
      <c r="N27" s="103"/>
      <c r="O27" s="104"/>
    </row>
    <row r="28" spans="1:22" x14ac:dyDescent="0.2">
      <c r="A28" t="s">
        <v>85</v>
      </c>
      <c r="B28">
        <f t="shared" si="1"/>
        <v>9</v>
      </c>
      <c r="C28" s="149" t="s">
        <v>77</v>
      </c>
      <c r="D28" s="149" t="str">
        <f t="shared" si="0"/>
        <v>Non angler nacional 9 noches</v>
      </c>
      <c r="E28" s="149">
        <v>3750000</v>
      </c>
      <c r="G28" s="205" t="s">
        <v>97</v>
      </c>
      <c r="H28" s="102" t="s">
        <v>98</v>
      </c>
      <c r="I28" s="103"/>
      <c r="J28" s="103"/>
      <c r="K28" s="103"/>
      <c r="L28" s="104"/>
      <c r="M28" s="103"/>
      <c r="N28" s="103"/>
      <c r="O28" s="104"/>
    </row>
    <row r="29" spans="1:22" x14ac:dyDescent="0.2">
      <c r="A29" t="s">
        <v>83</v>
      </c>
      <c r="B29">
        <f t="shared" si="1"/>
        <v>10</v>
      </c>
      <c r="C29" s="149" t="s">
        <v>78</v>
      </c>
      <c r="D29" s="149" t="str">
        <f t="shared" si="0"/>
        <v>Base single 10 noches</v>
      </c>
      <c r="E29" s="149">
        <v>5810000</v>
      </c>
    </row>
    <row r="30" spans="1:22" x14ac:dyDescent="0.2">
      <c r="A30" t="s">
        <v>84</v>
      </c>
      <c r="B30">
        <f t="shared" si="1"/>
        <v>10</v>
      </c>
      <c r="C30" s="149" t="s">
        <v>78</v>
      </c>
      <c r="D30" s="149" t="str">
        <f t="shared" si="0"/>
        <v>Base doble 10 noches</v>
      </c>
      <c r="E30" s="149">
        <v>4150000</v>
      </c>
    </row>
    <row r="31" spans="1:22" x14ac:dyDescent="0.2">
      <c r="A31" t="s">
        <v>85</v>
      </c>
      <c r="B31">
        <f t="shared" si="1"/>
        <v>10</v>
      </c>
      <c r="C31" s="149" t="s">
        <v>78</v>
      </c>
      <c r="D31" s="149" t="str">
        <f t="shared" si="0"/>
        <v>Non angler nacional 10 noches</v>
      </c>
      <c r="E31" s="149">
        <v>4150000</v>
      </c>
    </row>
    <row r="32" spans="1:22" x14ac:dyDescent="0.2">
      <c r="A32" t="s">
        <v>83</v>
      </c>
      <c r="B32">
        <f t="shared" si="1"/>
        <v>11</v>
      </c>
      <c r="C32" s="149" t="s">
        <v>79</v>
      </c>
      <c r="D32" s="149" t="str">
        <f t="shared" si="0"/>
        <v>Base single 11 noches</v>
      </c>
      <c r="E32" s="149">
        <v>6370000</v>
      </c>
    </row>
    <row r="33" spans="1:5" x14ac:dyDescent="0.2">
      <c r="A33" t="s">
        <v>84</v>
      </c>
      <c r="B33">
        <f t="shared" si="1"/>
        <v>11</v>
      </c>
      <c r="C33" s="149" t="s">
        <v>79</v>
      </c>
      <c r="D33" s="149" t="str">
        <f t="shared" si="0"/>
        <v>Base doble 11 noches</v>
      </c>
      <c r="E33" s="149">
        <v>4550000</v>
      </c>
    </row>
    <row r="34" spans="1:5" x14ac:dyDescent="0.2">
      <c r="A34" t="s">
        <v>85</v>
      </c>
      <c r="B34">
        <f t="shared" si="1"/>
        <v>11</v>
      </c>
      <c r="C34" s="149" t="s">
        <v>79</v>
      </c>
      <c r="D34" s="149" t="str">
        <f t="shared" si="0"/>
        <v>Non angler nacional 11 noches</v>
      </c>
      <c r="E34" s="149">
        <v>4550000</v>
      </c>
    </row>
    <row r="35" spans="1:5" x14ac:dyDescent="0.2">
      <c r="A35" t="s">
        <v>83</v>
      </c>
      <c r="B35">
        <f t="shared" si="1"/>
        <v>12</v>
      </c>
      <c r="C35" s="149" t="s">
        <v>80</v>
      </c>
      <c r="D35" s="149" t="str">
        <f t="shared" si="0"/>
        <v>Base single 12 noches</v>
      </c>
      <c r="E35" s="149">
        <v>6930000</v>
      </c>
    </row>
    <row r="36" spans="1:5" x14ac:dyDescent="0.2">
      <c r="A36" t="s">
        <v>84</v>
      </c>
      <c r="B36">
        <f t="shared" si="1"/>
        <v>12</v>
      </c>
      <c r="C36" s="149" t="s">
        <v>80</v>
      </c>
      <c r="D36" s="149" t="str">
        <f t="shared" si="0"/>
        <v>Base doble 12 noches</v>
      </c>
      <c r="E36" s="149">
        <v>4950000</v>
      </c>
    </row>
    <row r="37" spans="1:5" x14ac:dyDescent="0.2">
      <c r="A37" t="s">
        <v>85</v>
      </c>
      <c r="B37">
        <f t="shared" si="1"/>
        <v>12</v>
      </c>
      <c r="C37" s="149" t="s">
        <v>80</v>
      </c>
      <c r="D37" s="149" t="str">
        <f t="shared" si="0"/>
        <v>Non angler nacional 12 noches</v>
      </c>
      <c r="E37" s="149">
        <v>4950000</v>
      </c>
    </row>
    <row r="38" spans="1:5" x14ac:dyDescent="0.2">
      <c r="A38" t="s">
        <v>83</v>
      </c>
      <c r="B38">
        <f t="shared" si="1"/>
        <v>13</v>
      </c>
      <c r="C38" s="149" t="s">
        <v>81</v>
      </c>
      <c r="D38" s="149" t="str">
        <f t="shared" si="0"/>
        <v>Base single 13 noches</v>
      </c>
      <c r="E38" s="149">
        <v>7489999.9999999991</v>
      </c>
    </row>
    <row r="39" spans="1:5" x14ac:dyDescent="0.2">
      <c r="A39" t="s">
        <v>84</v>
      </c>
      <c r="B39">
        <f t="shared" si="1"/>
        <v>13</v>
      </c>
      <c r="C39" s="149" t="s">
        <v>81</v>
      </c>
      <c r="D39" s="149" t="str">
        <f t="shared" si="0"/>
        <v>Base doble 13 noches</v>
      </c>
      <c r="E39" s="149">
        <v>5350000</v>
      </c>
    </row>
    <row r="40" spans="1:5" x14ac:dyDescent="0.2">
      <c r="A40" t="s">
        <v>85</v>
      </c>
      <c r="B40">
        <f t="shared" si="1"/>
        <v>13</v>
      </c>
      <c r="C40" s="149" t="s">
        <v>81</v>
      </c>
      <c r="D40" s="149" t="str">
        <f t="shared" si="0"/>
        <v>Non angler nacional 13 noches</v>
      </c>
      <c r="E40" s="149">
        <v>5350000</v>
      </c>
    </row>
    <row r="41" spans="1:5" x14ac:dyDescent="0.2">
      <c r="A41" t="s">
        <v>83</v>
      </c>
      <c r="B41">
        <f t="shared" si="1"/>
        <v>14</v>
      </c>
      <c r="C41" s="149" t="s">
        <v>82</v>
      </c>
      <c r="D41" s="149" t="str">
        <f t="shared" si="0"/>
        <v>Base single 14 noches</v>
      </c>
      <c r="E41" s="149">
        <v>8049999.9999999991</v>
      </c>
    </row>
    <row r="42" spans="1:5" x14ac:dyDescent="0.2">
      <c r="A42" t="s">
        <v>84</v>
      </c>
      <c r="B42">
        <f t="shared" si="1"/>
        <v>14</v>
      </c>
      <c r="C42" s="149" t="s">
        <v>82</v>
      </c>
      <c r="D42" s="149" t="str">
        <f t="shared" si="0"/>
        <v>Base doble 14 noches</v>
      </c>
      <c r="E42" s="149">
        <v>5750000</v>
      </c>
    </row>
    <row r="43" spans="1:5" x14ac:dyDescent="0.2">
      <c r="A43" t="s">
        <v>85</v>
      </c>
      <c r="B43">
        <f t="shared" si="1"/>
        <v>14</v>
      </c>
      <c r="C43" s="149" t="s">
        <v>82</v>
      </c>
      <c r="D43" s="149" t="str">
        <f t="shared" si="0"/>
        <v>Non angler nacional 14 noches</v>
      </c>
      <c r="E43" s="149">
        <v>5750000</v>
      </c>
    </row>
    <row r="44" spans="1:5" x14ac:dyDescent="0.2">
      <c r="A44" t="s">
        <v>155</v>
      </c>
      <c r="B44">
        <v>1</v>
      </c>
      <c r="C44" s="149" t="s">
        <v>69</v>
      </c>
      <c r="D44" s="149" t="str">
        <f t="shared" si="0"/>
        <v>Host 1 noche</v>
      </c>
      <c r="E44" s="149">
        <v>0</v>
      </c>
    </row>
    <row r="45" spans="1:5" x14ac:dyDescent="0.2">
      <c r="A45" t="s">
        <v>155</v>
      </c>
      <c r="B45">
        <v>2</v>
      </c>
      <c r="C45" s="149" t="s">
        <v>156</v>
      </c>
      <c r="D45" s="149" t="str">
        <f t="shared" si="0"/>
        <v>Host 2 Noches</v>
      </c>
      <c r="E45" s="149">
        <v>0</v>
      </c>
    </row>
    <row r="46" spans="1:5" x14ac:dyDescent="0.2">
      <c r="A46" t="s">
        <v>155</v>
      </c>
      <c r="B46">
        <v>3</v>
      </c>
      <c r="C46" s="149" t="s">
        <v>157</v>
      </c>
      <c r="D46" s="149" t="str">
        <f t="shared" si="0"/>
        <v>Host 3 Noches</v>
      </c>
      <c r="E46" s="149">
        <v>0</v>
      </c>
    </row>
    <row r="47" spans="1:5" x14ac:dyDescent="0.2">
      <c r="A47" t="s">
        <v>155</v>
      </c>
      <c r="B47">
        <v>4</v>
      </c>
      <c r="C47" s="149" t="s">
        <v>158</v>
      </c>
      <c r="D47" s="149" t="str">
        <f t="shared" si="0"/>
        <v>Host 4 Noches</v>
      </c>
      <c r="E47" s="149">
        <v>0</v>
      </c>
    </row>
    <row r="48" spans="1:5" x14ac:dyDescent="0.2">
      <c r="A48" t="s">
        <v>155</v>
      </c>
      <c r="B48">
        <v>5</v>
      </c>
      <c r="C48" s="149" t="s">
        <v>159</v>
      </c>
      <c r="D48" s="149" t="str">
        <f t="shared" si="0"/>
        <v>Host 5 Noches</v>
      </c>
      <c r="E48" s="149">
        <v>0</v>
      </c>
    </row>
    <row r="49" spans="1:5" x14ac:dyDescent="0.2">
      <c r="A49" t="s">
        <v>155</v>
      </c>
      <c r="B49">
        <v>6</v>
      </c>
      <c r="C49" s="149" t="s">
        <v>160</v>
      </c>
      <c r="D49" s="149" t="str">
        <f t="shared" si="0"/>
        <v>Host 6 Noches</v>
      </c>
      <c r="E49" s="149">
        <v>0</v>
      </c>
    </row>
    <row r="50" spans="1:5" x14ac:dyDescent="0.2">
      <c r="A50" t="s">
        <v>155</v>
      </c>
      <c r="B50">
        <v>7</v>
      </c>
      <c r="C50" s="149" t="s">
        <v>161</v>
      </c>
      <c r="D50" s="149" t="str">
        <f t="shared" si="0"/>
        <v>Host 7 Noches</v>
      </c>
      <c r="E50" s="149">
        <v>0</v>
      </c>
    </row>
    <row r="51" spans="1:5" x14ac:dyDescent="0.2">
      <c r="A51" t="s">
        <v>155</v>
      </c>
      <c r="B51">
        <v>8</v>
      </c>
      <c r="C51" s="149" t="s">
        <v>162</v>
      </c>
      <c r="D51" s="149" t="str">
        <f t="shared" si="0"/>
        <v>Host 8 Noches</v>
      </c>
      <c r="E51" s="149">
        <v>0</v>
      </c>
    </row>
    <row r="52" spans="1:5" x14ac:dyDescent="0.2">
      <c r="A52" t="s">
        <v>155</v>
      </c>
      <c r="B52">
        <v>9</v>
      </c>
      <c r="C52" s="149" t="s">
        <v>163</v>
      </c>
      <c r="D52" s="149" t="str">
        <f t="shared" si="0"/>
        <v>Host 9 Noches</v>
      </c>
      <c r="E52" s="149">
        <v>0</v>
      </c>
    </row>
    <row r="53" spans="1:5" x14ac:dyDescent="0.2">
      <c r="A53" t="s">
        <v>155</v>
      </c>
      <c r="B53">
        <v>10</v>
      </c>
      <c r="C53" s="149" t="s">
        <v>164</v>
      </c>
      <c r="D53" s="149" t="str">
        <f t="shared" si="0"/>
        <v>Host 10 Noches</v>
      </c>
      <c r="E53" s="149">
        <v>0</v>
      </c>
    </row>
    <row r="54" spans="1:5" x14ac:dyDescent="0.2">
      <c r="A54" t="s">
        <v>155</v>
      </c>
      <c r="B54">
        <v>11</v>
      </c>
      <c r="C54" s="149" t="s">
        <v>165</v>
      </c>
      <c r="D54" s="149" t="str">
        <f t="shared" si="0"/>
        <v>Host 11 Noches</v>
      </c>
      <c r="E54" s="149">
        <v>0</v>
      </c>
    </row>
    <row r="55" spans="1:5" x14ac:dyDescent="0.2">
      <c r="A55" t="s">
        <v>155</v>
      </c>
      <c r="B55">
        <v>12</v>
      </c>
      <c r="C55" s="149" t="s">
        <v>166</v>
      </c>
      <c r="D55" s="149" t="str">
        <f t="shared" si="0"/>
        <v>Host 12 Noches</v>
      </c>
      <c r="E55" s="149">
        <v>0</v>
      </c>
    </row>
    <row r="56" spans="1:5" x14ac:dyDescent="0.2">
      <c r="A56" t="s">
        <v>155</v>
      </c>
      <c r="B56">
        <v>13</v>
      </c>
      <c r="C56" s="149" t="s">
        <v>167</v>
      </c>
      <c r="D56" s="149" t="str">
        <f t="shared" si="0"/>
        <v>Host 13 Noches</v>
      </c>
      <c r="E56" s="149">
        <v>0</v>
      </c>
    </row>
    <row r="57" spans="1:5" x14ac:dyDescent="0.2">
      <c r="A57" t="s">
        <v>155</v>
      </c>
      <c r="B57">
        <v>14</v>
      </c>
      <c r="C57" s="149" t="s">
        <v>168</v>
      </c>
      <c r="D57" s="149" t="str">
        <f t="shared" si="0"/>
        <v>Host 14 Noches</v>
      </c>
      <c r="E57" s="149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51E4-F1BF-4703-91E7-76D10F11D1AC}">
  <sheetPr codeName="Hoja7"/>
  <dimension ref="A1:P41"/>
  <sheetViews>
    <sheetView workbookViewId="0">
      <selection activeCell="A3" sqref="A3:P27"/>
    </sheetView>
  </sheetViews>
  <sheetFormatPr baseColWidth="10" defaultRowHeight="15" x14ac:dyDescent="0.2"/>
  <cols>
    <col min="1" max="1" width="19.6640625" customWidth="1"/>
    <col min="2" max="2" width="13.33203125" customWidth="1"/>
    <col min="3" max="5" width="12.5" bestFit="1" customWidth="1"/>
    <col min="6" max="6" width="12.5" style="27" bestFit="1" customWidth="1"/>
    <col min="7" max="8" width="12.5" bestFit="1" customWidth="1"/>
    <col min="9" max="9" width="12.5" style="27" bestFit="1" customWidth="1"/>
    <col min="10" max="16" width="12.83203125" customWidth="1"/>
  </cols>
  <sheetData>
    <row r="1" spans="1:16" x14ac:dyDescent="0.2">
      <c r="A1" s="27" t="s">
        <v>51</v>
      </c>
      <c r="B1" s="27" t="s">
        <v>52</v>
      </c>
    </row>
    <row r="2" spans="1:16" x14ac:dyDescent="0.2">
      <c r="A2" s="3"/>
      <c r="B2" s="3"/>
    </row>
    <row r="3" spans="1:16" x14ac:dyDescent="0.2">
      <c r="A3" s="6" t="s">
        <v>53</v>
      </c>
      <c r="B3" s="86" t="s">
        <v>54</v>
      </c>
      <c r="C3" s="6" t="s">
        <v>55</v>
      </c>
      <c r="D3" s="6" t="s">
        <v>56</v>
      </c>
      <c r="E3" s="6" t="s">
        <v>57</v>
      </c>
      <c r="F3" s="6" t="s">
        <v>58</v>
      </c>
      <c r="G3" s="6" t="s">
        <v>59</v>
      </c>
      <c r="H3" s="6" t="s">
        <v>60</v>
      </c>
      <c r="I3" s="6" t="s">
        <v>61</v>
      </c>
      <c r="J3" s="6" t="s">
        <v>62</v>
      </c>
      <c r="K3" s="6" t="s">
        <v>63</v>
      </c>
      <c r="L3" s="6" t="s">
        <v>64</v>
      </c>
      <c r="M3" s="6" t="s">
        <v>65</v>
      </c>
      <c r="N3" s="6" t="s">
        <v>66</v>
      </c>
      <c r="O3" s="6" t="s">
        <v>67</v>
      </c>
      <c r="P3" s="6" t="s">
        <v>68</v>
      </c>
    </row>
    <row r="4" spans="1:16" x14ac:dyDescent="0.2">
      <c r="A4" s="87">
        <v>200000</v>
      </c>
      <c r="B4" s="87">
        <v>350000</v>
      </c>
      <c r="C4" s="87">
        <v>400000</v>
      </c>
      <c r="D4" s="87">
        <f>+C4</f>
        <v>400000</v>
      </c>
      <c r="E4" s="88">
        <f t="shared" ref="E4:O4" si="0">+D4</f>
        <v>400000</v>
      </c>
      <c r="F4" s="88">
        <f t="shared" si="0"/>
        <v>400000</v>
      </c>
      <c r="G4" s="88">
        <f t="shared" si="0"/>
        <v>400000</v>
      </c>
      <c r="H4" s="88">
        <f t="shared" si="0"/>
        <v>400000</v>
      </c>
      <c r="I4" s="88">
        <f t="shared" si="0"/>
        <v>400000</v>
      </c>
      <c r="J4" s="88">
        <f t="shared" si="0"/>
        <v>400000</v>
      </c>
      <c r="K4" s="88">
        <f t="shared" si="0"/>
        <v>400000</v>
      </c>
      <c r="L4" s="88">
        <f t="shared" si="0"/>
        <v>400000</v>
      </c>
      <c r="M4" s="88">
        <f t="shared" si="0"/>
        <v>400000</v>
      </c>
      <c r="N4" s="88">
        <f t="shared" si="0"/>
        <v>400000</v>
      </c>
      <c r="O4" s="88">
        <f t="shared" si="0"/>
        <v>400000</v>
      </c>
      <c r="P4" s="88">
        <v>200000</v>
      </c>
    </row>
    <row r="5" spans="1:16" x14ac:dyDescent="0.2">
      <c r="A5" s="87"/>
      <c r="B5" s="87"/>
      <c r="C5" s="6" t="s">
        <v>69</v>
      </c>
      <c r="D5" s="6" t="s">
        <v>70</v>
      </c>
      <c r="E5" s="6" t="s">
        <v>71</v>
      </c>
      <c r="F5" s="80" t="s">
        <v>72</v>
      </c>
      <c r="G5" s="6" t="s">
        <v>73</v>
      </c>
      <c r="H5" s="6" t="s">
        <v>74</v>
      </c>
      <c r="I5" s="80" t="s">
        <v>75</v>
      </c>
      <c r="J5" s="6" t="s">
        <v>76</v>
      </c>
      <c r="K5" s="6" t="s">
        <v>77</v>
      </c>
      <c r="L5" s="80" t="s">
        <v>78</v>
      </c>
      <c r="M5" s="80" t="s">
        <v>79</v>
      </c>
      <c r="N5" s="6" t="s">
        <v>80</v>
      </c>
      <c r="O5" s="6" t="s">
        <v>81</v>
      </c>
      <c r="P5" s="80" t="s">
        <v>82</v>
      </c>
    </row>
    <row r="6" spans="1:16" x14ac:dyDescent="0.2">
      <c r="A6" s="5" t="s">
        <v>83</v>
      </c>
      <c r="B6" s="89"/>
      <c r="C6" s="89">
        <f>+C7*1.4</f>
        <v>770000</v>
      </c>
      <c r="D6" s="89">
        <f t="shared" ref="D6:P6" si="1">+D7*1.4</f>
        <v>1330000</v>
      </c>
      <c r="E6" s="89">
        <f t="shared" si="1"/>
        <v>1889999.9999999998</v>
      </c>
      <c r="F6" s="90">
        <f t="shared" si="1"/>
        <v>2450000</v>
      </c>
      <c r="G6" s="89">
        <f t="shared" si="1"/>
        <v>3010000</v>
      </c>
      <c r="H6" s="89">
        <f t="shared" si="1"/>
        <v>3570000</v>
      </c>
      <c r="I6" s="90">
        <f t="shared" si="1"/>
        <v>4129999.9999999995</v>
      </c>
      <c r="J6" s="91">
        <f t="shared" si="1"/>
        <v>4690000</v>
      </c>
      <c r="K6" s="91">
        <f t="shared" si="1"/>
        <v>5250000</v>
      </c>
      <c r="L6" s="90">
        <f t="shared" si="1"/>
        <v>5810000</v>
      </c>
      <c r="M6" s="90">
        <f t="shared" si="1"/>
        <v>6370000</v>
      </c>
      <c r="N6" s="91">
        <f t="shared" si="1"/>
        <v>6930000</v>
      </c>
      <c r="O6" s="91">
        <f t="shared" si="1"/>
        <v>7489999.9999999991</v>
      </c>
      <c r="P6" s="90">
        <f t="shared" si="1"/>
        <v>8049999.9999999991</v>
      </c>
    </row>
    <row r="7" spans="1:16" x14ac:dyDescent="0.2">
      <c r="A7" s="5" t="s">
        <v>84</v>
      </c>
      <c r="B7" s="89"/>
      <c r="C7" s="89">
        <f>($A4/2)+B4+($P4/2)</f>
        <v>550000</v>
      </c>
      <c r="D7" s="89">
        <f>($A4/2)+C4+B4+($P4/2)</f>
        <v>950000</v>
      </c>
      <c r="E7" s="89">
        <f>($A4/2)+B4+D4+C4+($P4/2)</f>
        <v>1350000</v>
      </c>
      <c r="F7" s="90">
        <f>($A4/2)+B4+C4+E4+D4+($P4/2)</f>
        <v>1750000</v>
      </c>
      <c r="G7" s="89">
        <f>($A4/2)+B4+C4+D4+F4+E4+($P4/2)</f>
        <v>2150000</v>
      </c>
      <c r="H7" s="89">
        <f>($A4/2)+B4+C4+D4+E4+G4+F4+($P4/2)</f>
        <v>2550000</v>
      </c>
      <c r="I7" s="90">
        <f>($A4/2)+B4+C4+D4+E4+F4+H4+G4+($P4/2)</f>
        <v>2950000</v>
      </c>
      <c r="J7" s="89">
        <f>($A4/2)+B4+C4+D4+E4+F4+G4+I4+H4+($P4/2)</f>
        <v>3350000</v>
      </c>
      <c r="K7" s="89">
        <f>($A4/2)+B4+C4+D4+E4+F4+G4+H4+J4+I4+($P4/2)</f>
        <v>3750000</v>
      </c>
      <c r="L7" s="90">
        <f>($A4/2)+B4+C4+D4+E4+F4+G4+H4+I4+K4+J4+($P4/2)</f>
        <v>4150000</v>
      </c>
      <c r="M7" s="90">
        <f>($A4/2)+B4+C4+D4+E4+F4+G4+H4+I4+J4+L4+K4+($P4/2)</f>
        <v>4550000</v>
      </c>
      <c r="N7" s="89">
        <f>($A4/2)+B4+C4+D4+E4+F4+G4+H4+I4+J4+K4+M4+L4+($P4/2)</f>
        <v>4950000</v>
      </c>
      <c r="O7" s="89">
        <f>($A4/2)+B4+C4+D4+E4+F4+G4+H4+I4+J4+K4+L4+N4+M4+($P4/2)</f>
        <v>5350000</v>
      </c>
      <c r="P7" s="90">
        <f>($A4/2)+B4+C4+D4+E4+F4+G4+H4+I4+J4+K4+L4+M4+O4+N4+($P4/2)</f>
        <v>5750000</v>
      </c>
    </row>
    <row r="8" spans="1:16" x14ac:dyDescent="0.2">
      <c r="A8" s="5" t="s">
        <v>85</v>
      </c>
      <c r="B8" s="89"/>
      <c r="C8" s="89">
        <f>+C7</f>
        <v>550000</v>
      </c>
      <c r="D8" s="89">
        <f t="shared" ref="D8:P8" si="2">+D7</f>
        <v>950000</v>
      </c>
      <c r="E8" s="89">
        <f t="shared" si="2"/>
        <v>1350000</v>
      </c>
      <c r="F8" s="90">
        <f t="shared" si="2"/>
        <v>1750000</v>
      </c>
      <c r="G8" s="89">
        <f t="shared" si="2"/>
        <v>2150000</v>
      </c>
      <c r="H8" s="89">
        <f t="shared" si="2"/>
        <v>2550000</v>
      </c>
      <c r="I8" s="90">
        <f t="shared" si="2"/>
        <v>2950000</v>
      </c>
      <c r="J8" s="89">
        <f t="shared" si="2"/>
        <v>3350000</v>
      </c>
      <c r="K8" s="89">
        <f t="shared" si="2"/>
        <v>3750000</v>
      </c>
      <c r="L8" s="90">
        <f t="shared" si="2"/>
        <v>4150000</v>
      </c>
      <c r="M8" s="90">
        <f t="shared" si="2"/>
        <v>4550000</v>
      </c>
      <c r="N8" s="89">
        <f t="shared" si="2"/>
        <v>4950000</v>
      </c>
      <c r="O8" s="89">
        <f t="shared" si="2"/>
        <v>5350000</v>
      </c>
      <c r="P8" s="90">
        <f t="shared" si="2"/>
        <v>5750000</v>
      </c>
    </row>
    <row r="9" spans="1:16" x14ac:dyDescent="0.2">
      <c r="A9" s="92"/>
      <c r="B9" s="92"/>
      <c r="C9" s="92"/>
      <c r="D9" s="92"/>
      <c r="E9" s="92"/>
      <c r="F9" s="93">
        <v>9.375E-2</v>
      </c>
      <c r="G9" s="92"/>
      <c r="H9" s="92"/>
      <c r="I9" s="94"/>
    </row>
    <row r="10" spans="1:16" x14ac:dyDescent="0.2">
      <c r="A10" s="27" t="s">
        <v>51</v>
      </c>
      <c r="B10" s="27" t="s">
        <v>86</v>
      </c>
    </row>
    <row r="11" spans="1:16" x14ac:dyDescent="0.2">
      <c r="A11" s="6"/>
      <c r="B11" s="6"/>
      <c r="C11" s="6" t="s">
        <v>69</v>
      </c>
      <c r="D11" s="6" t="s">
        <v>70</v>
      </c>
      <c r="E11" s="6" t="s">
        <v>71</v>
      </c>
      <c r="F11" s="6" t="s">
        <v>72</v>
      </c>
      <c r="G11" s="6" t="s">
        <v>73</v>
      </c>
      <c r="H11" s="6" t="s">
        <v>74</v>
      </c>
      <c r="I11" s="6" t="s">
        <v>75</v>
      </c>
      <c r="J11" s="6" t="s">
        <v>76</v>
      </c>
      <c r="K11" s="6" t="s">
        <v>77</v>
      </c>
      <c r="L11" s="6" t="s">
        <v>78</v>
      </c>
      <c r="M11" s="6" t="s">
        <v>79</v>
      </c>
      <c r="N11" s="6" t="s">
        <v>80</v>
      </c>
      <c r="O11" s="6" t="s">
        <v>81</v>
      </c>
      <c r="P11" s="6" t="s">
        <v>82</v>
      </c>
    </row>
    <row r="12" spans="1:16" x14ac:dyDescent="0.2">
      <c r="A12" s="6" t="s">
        <v>87</v>
      </c>
      <c r="B12" s="95" t="s">
        <v>88</v>
      </c>
      <c r="C12" s="6" t="s">
        <v>55</v>
      </c>
      <c r="D12" s="6" t="s">
        <v>56</v>
      </c>
      <c r="E12" s="6" t="s">
        <v>57</v>
      </c>
      <c r="F12" s="6" t="s">
        <v>58</v>
      </c>
      <c r="G12" s="6" t="s">
        <v>59</v>
      </c>
      <c r="H12" s="6" t="s">
        <v>60</v>
      </c>
      <c r="I12" s="6" t="s">
        <v>61</v>
      </c>
      <c r="J12" s="6" t="s">
        <v>62</v>
      </c>
      <c r="K12" s="6" t="s">
        <v>63</v>
      </c>
      <c r="L12" s="6" t="s">
        <v>64</v>
      </c>
      <c r="M12" s="6" t="s">
        <v>65</v>
      </c>
      <c r="N12" s="6" t="s">
        <v>66</v>
      </c>
      <c r="O12" s="6" t="s">
        <v>67</v>
      </c>
      <c r="P12" s="6" t="s">
        <v>68</v>
      </c>
    </row>
    <row r="13" spans="1:16" x14ac:dyDescent="0.2">
      <c r="A13" s="96">
        <v>350</v>
      </c>
      <c r="B13" s="96">
        <v>1000</v>
      </c>
      <c r="C13" s="97">
        <v>900</v>
      </c>
      <c r="D13" s="97">
        <f>+C13</f>
        <v>900</v>
      </c>
      <c r="E13" s="97">
        <f t="shared" ref="E13:H13" si="3">+D13</f>
        <v>900</v>
      </c>
      <c r="F13" s="97">
        <f t="shared" si="3"/>
        <v>900</v>
      </c>
      <c r="G13" s="97">
        <f t="shared" si="3"/>
        <v>900</v>
      </c>
      <c r="H13" s="97">
        <f t="shared" si="3"/>
        <v>900</v>
      </c>
      <c r="I13" s="97">
        <f>+H13</f>
        <v>900</v>
      </c>
      <c r="J13" s="97">
        <f t="shared" ref="J13:O13" si="4">+I13</f>
        <v>900</v>
      </c>
      <c r="K13" s="97">
        <f t="shared" si="4"/>
        <v>900</v>
      </c>
      <c r="L13" s="97">
        <f t="shared" si="4"/>
        <v>900</v>
      </c>
      <c r="M13" s="97">
        <f t="shared" si="4"/>
        <v>900</v>
      </c>
      <c r="N13" s="97">
        <f t="shared" si="4"/>
        <v>900</v>
      </c>
      <c r="O13" s="97">
        <f t="shared" si="4"/>
        <v>900</v>
      </c>
      <c r="P13" s="97">
        <f>+A13</f>
        <v>350</v>
      </c>
    </row>
    <row r="14" spans="1:16" x14ac:dyDescent="0.2">
      <c r="A14" s="96"/>
      <c r="B14" s="96"/>
      <c r="C14" s="6" t="s">
        <v>69</v>
      </c>
      <c r="D14" s="6" t="s">
        <v>70</v>
      </c>
      <c r="E14" s="6" t="s">
        <v>71</v>
      </c>
      <c r="F14" s="80" t="s">
        <v>72</v>
      </c>
      <c r="G14" s="6" t="s">
        <v>73</v>
      </c>
      <c r="H14" s="6" t="s">
        <v>74</v>
      </c>
      <c r="I14" s="80" t="s">
        <v>75</v>
      </c>
      <c r="J14" s="6" t="s">
        <v>76</v>
      </c>
      <c r="K14" s="6" t="s">
        <v>77</v>
      </c>
      <c r="L14" s="80" t="s">
        <v>78</v>
      </c>
      <c r="M14" s="80" t="s">
        <v>79</v>
      </c>
      <c r="N14" s="6" t="s">
        <v>80</v>
      </c>
      <c r="O14" s="6" t="s">
        <v>81</v>
      </c>
      <c r="P14" s="80" t="s">
        <v>82</v>
      </c>
    </row>
    <row r="15" spans="1:16" x14ac:dyDescent="0.2">
      <c r="A15" s="5" t="s">
        <v>83</v>
      </c>
      <c r="B15" s="96"/>
      <c r="C15" s="96">
        <f>+C16*1.4</f>
        <v>1889.9999999999998</v>
      </c>
      <c r="D15" s="96">
        <f t="shared" ref="D15:P15" si="5">+D16*1.4</f>
        <v>3150</v>
      </c>
      <c r="E15" s="96">
        <f t="shared" si="5"/>
        <v>4410</v>
      </c>
      <c r="F15" s="98">
        <f t="shared" si="5"/>
        <v>5670</v>
      </c>
      <c r="G15" s="96">
        <f t="shared" si="5"/>
        <v>6930</v>
      </c>
      <c r="H15" s="96">
        <f t="shared" si="5"/>
        <v>8189.9999999999991</v>
      </c>
      <c r="I15" s="98">
        <f t="shared" si="5"/>
        <v>9450</v>
      </c>
      <c r="J15" s="97">
        <f t="shared" si="5"/>
        <v>10710</v>
      </c>
      <c r="K15" s="97">
        <f t="shared" si="5"/>
        <v>11970</v>
      </c>
      <c r="L15" s="98">
        <f t="shared" si="5"/>
        <v>13230</v>
      </c>
      <c r="M15" s="98">
        <f t="shared" si="5"/>
        <v>14489.999999999998</v>
      </c>
      <c r="N15" s="97">
        <f t="shared" si="5"/>
        <v>15749.999999999998</v>
      </c>
      <c r="O15" s="97">
        <f t="shared" si="5"/>
        <v>17010</v>
      </c>
      <c r="P15" s="98">
        <f t="shared" si="5"/>
        <v>18270</v>
      </c>
    </row>
    <row r="16" spans="1:16" x14ac:dyDescent="0.2">
      <c r="A16" s="5" t="s">
        <v>84</v>
      </c>
      <c r="B16" s="89"/>
      <c r="C16" s="96">
        <f>($A13/2)+B13+($P13/2)</f>
        <v>1350</v>
      </c>
      <c r="D16" s="96">
        <f>($A13/2)+C13+B13+($P13/2)</f>
        <v>2250</v>
      </c>
      <c r="E16" s="96">
        <f>($A13/2)+B13+D13+C13+($P13/2)</f>
        <v>3150</v>
      </c>
      <c r="F16" s="98">
        <f>($A13/2)+B13+C13+E13+D13+($P13/2)</f>
        <v>4050</v>
      </c>
      <c r="G16" s="96">
        <f>($A13/2)+B13+C13+D13+F13+E13+($P13/2)</f>
        <v>4950</v>
      </c>
      <c r="H16" s="96">
        <f>($A13/2)+B13+C13+D13+E13+G13+F13+($P13/2)</f>
        <v>5850</v>
      </c>
      <c r="I16" s="98">
        <f>($A13/2)+B13+C13+D13+E13+F13+H13+G13+($P13/2)</f>
        <v>6750</v>
      </c>
      <c r="J16" s="97">
        <f>($A13/2)+B13+C13+D13+E13+F13+G13+I13+H13+($P13/2)</f>
        <v>7650</v>
      </c>
      <c r="K16" s="97">
        <f>($A13/2)+B13+C13+D13+E13+F13+G13+H13+J13+I13+($P13/2)</f>
        <v>8550</v>
      </c>
      <c r="L16" s="98">
        <f>($A13/2)+B13+C13+D13+E13+F13+G13+H13+I13+K13+J13+($P13/2)</f>
        <v>9450</v>
      </c>
      <c r="M16" s="98">
        <f>($A13/2)+B13+C13+D13+E13+F13+G13+H13+I13+J13+L13+K13+($P13/2)</f>
        <v>10350</v>
      </c>
      <c r="N16" s="97">
        <f>($A13/2)+B13+C13+D13+E13+F13+G13+H13+I13+J13+K13+M13+L13+($P13/2)</f>
        <v>11250</v>
      </c>
      <c r="O16" s="97">
        <f>($A13/2)+B13+C13+D13+E13+F13+G13+H13+I13+J13+K13+L13+N13+M13+($P13/2)</f>
        <v>12150</v>
      </c>
      <c r="P16" s="98">
        <f>($A13/2)+B13+C13+D13+E13+F13+G13+H13+I13+J13+K13+L13+M13+O13+N13+($P13/2)</f>
        <v>13050</v>
      </c>
    </row>
    <row r="17" spans="1:16" x14ac:dyDescent="0.2">
      <c r="A17" s="5" t="s">
        <v>89</v>
      </c>
      <c r="B17" s="89"/>
      <c r="C17" s="96">
        <f>+C16*0.7</f>
        <v>944.99999999999989</v>
      </c>
      <c r="D17" s="96">
        <f t="shared" ref="D17:P17" si="6">+D16*0.7</f>
        <v>1575</v>
      </c>
      <c r="E17" s="96">
        <f t="shared" si="6"/>
        <v>2205</v>
      </c>
      <c r="F17" s="98">
        <f t="shared" si="6"/>
        <v>2835</v>
      </c>
      <c r="G17" s="96">
        <f t="shared" si="6"/>
        <v>3465</v>
      </c>
      <c r="H17" s="96">
        <f t="shared" si="6"/>
        <v>4094.9999999999995</v>
      </c>
      <c r="I17" s="98">
        <f t="shared" si="6"/>
        <v>4725</v>
      </c>
      <c r="J17" s="97">
        <f t="shared" si="6"/>
        <v>5355</v>
      </c>
      <c r="K17" s="97">
        <f t="shared" si="6"/>
        <v>5985</v>
      </c>
      <c r="L17" s="98">
        <f t="shared" si="6"/>
        <v>6615</v>
      </c>
      <c r="M17" s="98">
        <f t="shared" si="6"/>
        <v>7244.9999999999991</v>
      </c>
      <c r="N17" s="97">
        <f t="shared" si="6"/>
        <v>7874.9999999999991</v>
      </c>
      <c r="O17" s="97">
        <f t="shared" si="6"/>
        <v>8505</v>
      </c>
      <c r="P17" s="98">
        <f t="shared" si="6"/>
        <v>9135</v>
      </c>
    </row>
    <row r="18" spans="1:16" x14ac:dyDescent="0.2">
      <c r="A18" s="92"/>
      <c r="B18" s="92"/>
      <c r="C18" s="92"/>
      <c r="D18" s="92"/>
      <c r="E18" s="92"/>
      <c r="F18" s="94"/>
      <c r="G18" s="92"/>
      <c r="H18" s="92"/>
      <c r="I18" s="93">
        <v>0.10655737704918034</v>
      </c>
    </row>
    <row r="19" spans="1:16" x14ac:dyDescent="0.2">
      <c r="A19" s="27" t="s">
        <v>90</v>
      </c>
      <c r="C19" s="92"/>
      <c r="D19" s="92"/>
      <c r="E19" s="92"/>
      <c r="F19" s="94"/>
      <c r="G19" s="92"/>
      <c r="H19" s="92"/>
    </row>
    <row r="20" spans="1:16" x14ac:dyDescent="0.2">
      <c r="C20" s="99" t="s">
        <v>52</v>
      </c>
      <c r="D20" s="99" t="s">
        <v>86</v>
      </c>
      <c r="E20" s="92"/>
      <c r="F20" s="94"/>
      <c r="G20" s="92"/>
      <c r="H20" s="92"/>
    </row>
    <row r="21" spans="1:16" x14ac:dyDescent="0.2">
      <c r="A21" t="s">
        <v>91</v>
      </c>
      <c r="B21" s="100"/>
      <c r="C21" s="101">
        <v>350000</v>
      </c>
      <c r="D21" s="102">
        <v>390</v>
      </c>
      <c r="E21" s="93">
        <v>0.16666666666666674</v>
      </c>
      <c r="F21" s="102" t="s">
        <v>92</v>
      </c>
      <c r="G21" s="100"/>
      <c r="H21" s="100"/>
      <c r="I21" s="102"/>
    </row>
    <row r="22" spans="1:16" x14ac:dyDescent="0.2">
      <c r="A22" t="s">
        <v>93</v>
      </c>
      <c r="B22" s="100"/>
      <c r="C22" s="101">
        <v>500000</v>
      </c>
      <c r="D22" s="102">
        <v>550</v>
      </c>
      <c r="E22" s="93">
        <v>0.11111111111111116</v>
      </c>
      <c r="F22" s="102" t="s">
        <v>94</v>
      </c>
      <c r="G22" s="100"/>
      <c r="H22" s="100"/>
      <c r="I22" s="102"/>
    </row>
    <row r="23" spans="1:16" x14ac:dyDescent="0.2">
      <c r="A23" s="103"/>
      <c r="B23" s="103"/>
      <c r="C23" s="103"/>
      <c r="D23" s="103"/>
      <c r="E23" s="103"/>
      <c r="F23" s="104"/>
      <c r="G23" s="103"/>
      <c r="H23" s="103"/>
      <c r="I23" s="104"/>
    </row>
    <row r="24" spans="1:16" x14ac:dyDescent="0.2">
      <c r="A24" s="102" t="s">
        <v>95</v>
      </c>
      <c r="B24" s="100"/>
      <c r="C24" s="103"/>
      <c r="D24" s="103"/>
      <c r="E24" s="103"/>
      <c r="F24" s="104"/>
      <c r="G24" s="103"/>
      <c r="H24" s="103"/>
      <c r="I24" s="104"/>
    </row>
    <row r="25" spans="1:16" x14ac:dyDescent="0.2">
      <c r="A25" s="102" t="s">
        <v>96</v>
      </c>
      <c r="B25" s="100"/>
      <c r="C25" s="103"/>
      <c r="D25" s="103"/>
      <c r="E25" s="103"/>
      <c r="F25" s="104"/>
      <c r="G25" s="103"/>
      <c r="H25" s="103"/>
      <c r="I25" s="104"/>
    </row>
    <row r="26" spans="1:16" x14ac:dyDescent="0.2">
      <c r="A26" s="103"/>
      <c r="B26" s="103"/>
      <c r="C26" s="103"/>
      <c r="D26" s="103"/>
      <c r="E26" s="103"/>
      <c r="F26" s="104"/>
      <c r="G26" s="103"/>
      <c r="H26" s="103"/>
      <c r="I26" s="104"/>
    </row>
    <row r="27" spans="1:16" x14ac:dyDescent="0.2">
      <c r="A27" s="102" t="s">
        <v>97</v>
      </c>
      <c r="B27" s="102" t="s">
        <v>98</v>
      </c>
      <c r="C27" s="103"/>
      <c r="D27" s="103"/>
      <c r="E27" s="103"/>
      <c r="F27" s="104"/>
      <c r="G27" s="103"/>
      <c r="H27" s="103"/>
      <c r="I27" s="104"/>
    </row>
    <row r="28" spans="1:16" x14ac:dyDescent="0.2">
      <c r="A28" s="103"/>
      <c r="B28" s="103"/>
      <c r="C28" s="103"/>
      <c r="D28" s="103"/>
      <c r="E28" s="103"/>
      <c r="F28" s="104"/>
      <c r="G28" s="103"/>
      <c r="H28" s="103"/>
      <c r="I28" s="104"/>
    </row>
    <row r="29" spans="1:16" x14ac:dyDescent="0.2">
      <c r="C29" s="103"/>
      <c r="D29" s="103"/>
      <c r="E29" s="103"/>
      <c r="F29" s="104"/>
      <c r="G29" s="103"/>
      <c r="H29" s="103"/>
      <c r="I29" s="104"/>
    </row>
    <row r="30" spans="1:16" x14ac:dyDescent="0.2">
      <c r="C30" s="103"/>
      <c r="D30" s="103"/>
      <c r="E30" s="103"/>
      <c r="F30" s="104"/>
      <c r="G30" s="103"/>
      <c r="H30" s="103"/>
      <c r="I30" s="104"/>
    </row>
    <row r="40" customFormat="1" x14ac:dyDescent="0.2"/>
    <row r="41" customFormat="1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1B527-E72B-4C6C-934F-66A65A6A46D2}">
  <sheetPr codeName="Hoja8">
    <tabColor theme="1"/>
  </sheetPr>
  <dimension ref="A1:G501"/>
  <sheetViews>
    <sheetView workbookViewId="0">
      <selection activeCell="F4" sqref="F4"/>
    </sheetView>
  </sheetViews>
  <sheetFormatPr baseColWidth="10" defaultRowHeight="15" x14ac:dyDescent="0.2"/>
  <cols>
    <col min="2" max="2" width="10.83203125" style="3"/>
    <col min="5" max="5" width="10.83203125" style="3"/>
  </cols>
  <sheetData>
    <row r="1" spans="1:7" s="154" customFormat="1" ht="32" x14ac:dyDescent="0.2">
      <c r="A1" s="154" t="s">
        <v>139</v>
      </c>
      <c r="B1" s="155" t="s">
        <v>183</v>
      </c>
      <c r="C1" s="154" t="s">
        <v>142</v>
      </c>
      <c r="D1" s="154" t="s">
        <v>143</v>
      </c>
      <c r="E1" s="154" t="s">
        <v>150</v>
      </c>
      <c r="F1" s="154" t="s">
        <v>187</v>
      </c>
      <c r="G1" s="154" t="s">
        <v>193</v>
      </c>
    </row>
    <row r="2" spans="1:7" x14ac:dyDescent="0.2">
      <c r="A2" t="s">
        <v>145</v>
      </c>
      <c r="B2" s="3">
        <v>1</v>
      </c>
      <c r="C2" t="s">
        <v>147</v>
      </c>
      <c r="D2" t="s">
        <v>148</v>
      </c>
      <c r="E2" s="3">
        <v>1</v>
      </c>
      <c r="F2" t="s">
        <v>188</v>
      </c>
      <c r="G2" t="s">
        <v>194</v>
      </c>
    </row>
    <row r="3" spans="1:7" x14ac:dyDescent="0.2">
      <c r="A3" t="s">
        <v>146</v>
      </c>
      <c r="B3" s="3">
        <v>2</v>
      </c>
      <c r="C3" t="s">
        <v>106</v>
      </c>
      <c r="D3" t="s">
        <v>149</v>
      </c>
      <c r="E3" s="3">
        <v>2</v>
      </c>
      <c r="F3" t="s">
        <v>187</v>
      </c>
      <c r="G3" t="s">
        <v>195</v>
      </c>
    </row>
    <row r="4" spans="1:7" x14ac:dyDescent="0.2">
      <c r="B4" s="3">
        <v>3</v>
      </c>
      <c r="D4" t="s">
        <v>155</v>
      </c>
      <c r="E4" s="3">
        <v>3</v>
      </c>
    </row>
    <row r="5" spans="1:7" x14ac:dyDescent="0.2">
      <c r="B5" s="3">
        <v>4</v>
      </c>
      <c r="E5" s="3">
        <v>4</v>
      </c>
    </row>
    <row r="6" spans="1:7" x14ac:dyDescent="0.2">
      <c r="B6" s="3">
        <v>5</v>
      </c>
      <c r="E6" s="3">
        <v>5</v>
      </c>
    </row>
    <row r="7" spans="1:7" x14ac:dyDescent="0.2">
      <c r="B7" s="3">
        <v>6</v>
      </c>
      <c r="E7" s="3">
        <v>6</v>
      </c>
    </row>
    <row r="8" spans="1:7" x14ac:dyDescent="0.2">
      <c r="B8" s="3">
        <v>7</v>
      </c>
      <c r="E8" s="3">
        <v>7</v>
      </c>
    </row>
    <row r="9" spans="1:7" x14ac:dyDescent="0.2">
      <c r="B9" s="3">
        <v>8</v>
      </c>
      <c r="E9" s="3">
        <v>8</v>
      </c>
    </row>
    <row r="10" spans="1:7" x14ac:dyDescent="0.2">
      <c r="B10" s="3">
        <v>9</v>
      </c>
      <c r="E10" s="3">
        <v>9</v>
      </c>
    </row>
    <row r="11" spans="1:7" x14ac:dyDescent="0.2">
      <c r="B11" s="3">
        <v>10</v>
      </c>
      <c r="E11" s="3">
        <v>10</v>
      </c>
    </row>
    <row r="12" spans="1:7" x14ac:dyDescent="0.2">
      <c r="B12" s="3">
        <v>11</v>
      </c>
      <c r="E12" s="3">
        <v>11</v>
      </c>
    </row>
    <row r="13" spans="1:7" x14ac:dyDescent="0.2">
      <c r="B13" s="3">
        <v>12</v>
      </c>
      <c r="E13" s="3">
        <v>12</v>
      </c>
    </row>
    <row r="14" spans="1:7" x14ac:dyDescent="0.2">
      <c r="B14" s="3">
        <v>13</v>
      </c>
      <c r="E14" s="3">
        <v>13</v>
      </c>
    </row>
    <row r="15" spans="1:7" x14ac:dyDescent="0.2">
      <c r="B15" s="3">
        <v>14</v>
      </c>
      <c r="E15" s="3">
        <v>14</v>
      </c>
    </row>
    <row r="16" spans="1:7" x14ac:dyDescent="0.2">
      <c r="B16" s="3">
        <v>15</v>
      </c>
      <c r="E16" s="3">
        <v>15</v>
      </c>
    </row>
    <row r="17" spans="2:5" x14ac:dyDescent="0.2">
      <c r="B17" s="3">
        <v>16</v>
      </c>
      <c r="E17" s="3">
        <v>16</v>
      </c>
    </row>
    <row r="18" spans="2:5" x14ac:dyDescent="0.2">
      <c r="B18" s="3">
        <v>17</v>
      </c>
      <c r="E18" s="3">
        <v>17</v>
      </c>
    </row>
    <row r="19" spans="2:5" x14ac:dyDescent="0.2">
      <c r="B19" s="3">
        <v>18</v>
      </c>
      <c r="E19" s="3">
        <v>18</v>
      </c>
    </row>
    <row r="20" spans="2:5" x14ac:dyDescent="0.2">
      <c r="B20" s="3">
        <v>19</v>
      </c>
      <c r="E20" s="3">
        <v>19</v>
      </c>
    </row>
    <row r="21" spans="2:5" x14ac:dyDescent="0.2">
      <c r="B21" s="3">
        <v>20</v>
      </c>
      <c r="E21" s="3">
        <v>20</v>
      </c>
    </row>
    <row r="22" spans="2:5" x14ac:dyDescent="0.2">
      <c r="E22" s="3">
        <v>21</v>
      </c>
    </row>
    <row r="23" spans="2:5" x14ac:dyDescent="0.2">
      <c r="E23" s="3">
        <v>22</v>
      </c>
    </row>
    <row r="24" spans="2:5" x14ac:dyDescent="0.2">
      <c r="E24" s="3">
        <v>23</v>
      </c>
    </row>
    <row r="25" spans="2:5" x14ac:dyDescent="0.2">
      <c r="E25" s="3">
        <v>24</v>
      </c>
    </row>
    <row r="26" spans="2:5" x14ac:dyDescent="0.2">
      <c r="E26" s="3">
        <v>25</v>
      </c>
    </row>
    <row r="27" spans="2:5" x14ac:dyDescent="0.2">
      <c r="E27" s="3">
        <v>26</v>
      </c>
    </row>
    <row r="28" spans="2:5" x14ac:dyDescent="0.2">
      <c r="E28" s="3">
        <v>27</v>
      </c>
    </row>
    <row r="29" spans="2:5" x14ac:dyDescent="0.2">
      <c r="E29" s="3">
        <v>28</v>
      </c>
    </row>
    <row r="30" spans="2:5" x14ac:dyDescent="0.2">
      <c r="E30" s="3">
        <v>29</v>
      </c>
    </row>
    <row r="31" spans="2:5" x14ac:dyDescent="0.2">
      <c r="E31" s="3">
        <v>30</v>
      </c>
    </row>
    <row r="32" spans="2:5" x14ac:dyDescent="0.2">
      <c r="E32" s="3">
        <v>31</v>
      </c>
    </row>
    <row r="33" spans="5:5" x14ac:dyDescent="0.2">
      <c r="E33" s="3">
        <v>32</v>
      </c>
    </row>
    <row r="34" spans="5:5" x14ac:dyDescent="0.2">
      <c r="E34" s="3">
        <v>33</v>
      </c>
    </row>
    <row r="35" spans="5:5" x14ac:dyDescent="0.2">
      <c r="E35" s="3">
        <v>34</v>
      </c>
    </row>
    <row r="36" spans="5:5" x14ac:dyDescent="0.2">
      <c r="E36" s="3">
        <v>35</v>
      </c>
    </row>
    <row r="37" spans="5:5" x14ac:dyDescent="0.2">
      <c r="E37" s="3">
        <v>36</v>
      </c>
    </row>
    <row r="38" spans="5:5" x14ac:dyDescent="0.2">
      <c r="E38" s="3">
        <v>37</v>
      </c>
    </row>
    <row r="39" spans="5:5" x14ac:dyDescent="0.2">
      <c r="E39" s="3">
        <v>38</v>
      </c>
    </row>
    <row r="40" spans="5:5" x14ac:dyDescent="0.2">
      <c r="E40" s="3">
        <v>39</v>
      </c>
    </row>
    <row r="41" spans="5:5" x14ac:dyDescent="0.2">
      <c r="E41" s="3">
        <v>40</v>
      </c>
    </row>
    <row r="42" spans="5:5" x14ac:dyDescent="0.2">
      <c r="E42" s="3">
        <v>41</v>
      </c>
    </row>
    <row r="43" spans="5:5" x14ac:dyDescent="0.2">
      <c r="E43" s="3">
        <v>42</v>
      </c>
    </row>
    <row r="44" spans="5:5" x14ac:dyDescent="0.2">
      <c r="E44" s="3">
        <v>43</v>
      </c>
    </row>
    <row r="45" spans="5:5" x14ac:dyDescent="0.2">
      <c r="E45" s="3">
        <v>44</v>
      </c>
    </row>
    <row r="46" spans="5:5" x14ac:dyDescent="0.2">
      <c r="E46" s="3">
        <v>45</v>
      </c>
    </row>
    <row r="47" spans="5:5" x14ac:dyDescent="0.2">
      <c r="E47" s="3">
        <v>46</v>
      </c>
    </row>
    <row r="48" spans="5:5" x14ac:dyDescent="0.2">
      <c r="E48" s="3">
        <v>47</v>
      </c>
    </row>
    <row r="49" spans="5:5" x14ac:dyDescent="0.2">
      <c r="E49" s="3">
        <v>48</v>
      </c>
    </row>
    <row r="50" spans="5:5" x14ac:dyDescent="0.2">
      <c r="E50" s="3">
        <v>49</v>
      </c>
    </row>
    <row r="51" spans="5:5" x14ac:dyDescent="0.2">
      <c r="E51" s="3">
        <v>50</v>
      </c>
    </row>
    <row r="52" spans="5:5" x14ac:dyDescent="0.2">
      <c r="E52" s="3">
        <v>51</v>
      </c>
    </row>
    <row r="53" spans="5:5" x14ac:dyDescent="0.2">
      <c r="E53" s="3">
        <v>52</v>
      </c>
    </row>
    <row r="54" spans="5:5" x14ac:dyDescent="0.2">
      <c r="E54" s="3">
        <v>53</v>
      </c>
    </row>
    <row r="55" spans="5:5" x14ac:dyDescent="0.2">
      <c r="E55" s="3">
        <v>54</v>
      </c>
    </row>
    <row r="56" spans="5:5" x14ac:dyDescent="0.2">
      <c r="E56" s="3">
        <v>55</v>
      </c>
    </row>
    <row r="57" spans="5:5" x14ac:dyDescent="0.2">
      <c r="E57" s="3">
        <v>56</v>
      </c>
    </row>
    <row r="58" spans="5:5" x14ac:dyDescent="0.2">
      <c r="E58" s="3">
        <v>57</v>
      </c>
    </row>
    <row r="59" spans="5:5" x14ac:dyDescent="0.2">
      <c r="E59" s="3">
        <v>58</v>
      </c>
    </row>
    <row r="60" spans="5:5" x14ac:dyDescent="0.2">
      <c r="E60" s="3">
        <v>59</v>
      </c>
    </row>
    <row r="61" spans="5:5" x14ac:dyDescent="0.2">
      <c r="E61" s="3">
        <v>60</v>
      </c>
    </row>
    <row r="62" spans="5:5" x14ac:dyDescent="0.2">
      <c r="E62" s="3">
        <v>61</v>
      </c>
    </row>
    <row r="63" spans="5:5" x14ac:dyDescent="0.2">
      <c r="E63" s="3">
        <v>62</v>
      </c>
    </row>
    <row r="64" spans="5:5" x14ac:dyDescent="0.2">
      <c r="E64" s="3">
        <v>63</v>
      </c>
    </row>
    <row r="65" spans="5:5" x14ac:dyDescent="0.2">
      <c r="E65" s="3">
        <v>64</v>
      </c>
    </row>
    <row r="66" spans="5:5" x14ac:dyDescent="0.2">
      <c r="E66" s="3">
        <v>65</v>
      </c>
    </row>
    <row r="67" spans="5:5" x14ac:dyDescent="0.2">
      <c r="E67" s="3">
        <v>66</v>
      </c>
    </row>
    <row r="68" spans="5:5" x14ac:dyDescent="0.2">
      <c r="E68" s="3">
        <v>67</v>
      </c>
    </row>
    <row r="69" spans="5:5" x14ac:dyDescent="0.2">
      <c r="E69" s="3">
        <v>68</v>
      </c>
    </row>
    <row r="70" spans="5:5" x14ac:dyDescent="0.2">
      <c r="E70" s="3">
        <v>69</v>
      </c>
    </row>
    <row r="71" spans="5:5" x14ac:dyDescent="0.2">
      <c r="E71" s="3">
        <v>70</v>
      </c>
    </row>
    <row r="72" spans="5:5" x14ac:dyDescent="0.2">
      <c r="E72" s="3">
        <v>71</v>
      </c>
    </row>
    <row r="73" spans="5:5" x14ac:dyDescent="0.2">
      <c r="E73" s="3">
        <v>72</v>
      </c>
    </row>
    <row r="74" spans="5:5" x14ac:dyDescent="0.2">
      <c r="E74" s="3">
        <v>73</v>
      </c>
    </row>
    <row r="75" spans="5:5" x14ac:dyDescent="0.2">
      <c r="E75" s="3">
        <v>74</v>
      </c>
    </row>
    <row r="76" spans="5:5" x14ac:dyDescent="0.2">
      <c r="E76" s="3">
        <v>75</v>
      </c>
    </row>
    <row r="77" spans="5:5" x14ac:dyDescent="0.2">
      <c r="E77" s="3">
        <v>76</v>
      </c>
    </row>
    <row r="78" spans="5:5" x14ac:dyDescent="0.2">
      <c r="E78" s="3">
        <v>77</v>
      </c>
    </row>
    <row r="79" spans="5:5" x14ac:dyDescent="0.2">
      <c r="E79" s="3">
        <v>78</v>
      </c>
    </row>
    <row r="80" spans="5:5" x14ac:dyDescent="0.2">
      <c r="E80" s="3">
        <v>79</v>
      </c>
    </row>
    <row r="81" spans="5:5" x14ac:dyDescent="0.2">
      <c r="E81" s="3">
        <v>80</v>
      </c>
    </row>
    <row r="82" spans="5:5" x14ac:dyDescent="0.2">
      <c r="E82" s="3">
        <v>81</v>
      </c>
    </row>
    <row r="83" spans="5:5" x14ac:dyDescent="0.2">
      <c r="E83" s="3">
        <v>82</v>
      </c>
    </row>
    <row r="84" spans="5:5" x14ac:dyDescent="0.2">
      <c r="E84" s="3">
        <v>83</v>
      </c>
    </row>
    <row r="85" spans="5:5" x14ac:dyDescent="0.2">
      <c r="E85" s="3">
        <v>84</v>
      </c>
    </row>
    <row r="86" spans="5:5" x14ac:dyDescent="0.2">
      <c r="E86" s="3">
        <v>85</v>
      </c>
    </row>
    <row r="87" spans="5:5" x14ac:dyDescent="0.2">
      <c r="E87" s="3">
        <v>86</v>
      </c>
    </row>
    <row r="88" spans="5:5" x14ac:dyDescent="0.2">
      <c r="E88" s="3">
        <v>87</v>
      </c>
    </row>
    <row r="89" spans="5:5" x14ac:dyDescent="0.2">
      <c r="E89" s="3">
        <v>88</v>
      </c>
    </row>
    <row r="90" spans="5:5" x14ac:dyDescent="0.2">
      <c r="E90" s="3">
        <v>89</v>
      </c>
    </row>
    <row r="91" spans="5:5" x14ac:dyDescent="0.2">
      <c r="E91" s="3">
        <v>90</v>
      </c>
    </row>
    <row r="92" spans="5:5" x14ac:dyDescent="0.2">
      <c r="E92" s="3">
        <v>91</v>
      </c>
    </row>
    <row r="93" spans="5:5" x14ac:dyDescent="0.2">
      <c r="E93" s="3">
        <v>92</v>
      </c>
    </row>
    <row r="94" spans="5:5" x14ac:dyDescent="0.2">
      <c r="E94" s="3">
        <v>93</v>
      </c>
    </row>
    <row r="95" spans="5:5" x14ac:dyDescent="0.2">
      <c r="E95" s="3">
        <v>94</v>
      </c>
    </row>
    <row r="96" spans="5:5" x14ac:dyDescent="0.2">
      <c r="E96" s="3">
        <v>95</v>
      </c>
    </row>
    <row r="97" spans="5:5" x14ac:dyDescent="0.2">
      <c r="E97" s="3">
        <v>96</v>
      </c>
    </row>
    <row r="98" spans="5:5" x14ac:dyDescent="0.2">
      <c r="E98" s="3">
        <v>97</v>
      </c>
    </row>
    <row r="99" spans="5:5" x14ac:dyDescent="0.2">
      <c r="E99" s="3">
        <v>98</v>
      </c>
    </row>
    <row r="100" spans="5:5" x14ac:dyDescent="0.2">
      <c r="E100" s="3">
        <v>99</v>
      </c>
    </row>
    <row r="101" spans="5:5" x14ac:dyDescent="0.2">
      <c r="E101" s="3">
        <v>100</v>
      </c>
    </row>
    <row r="102" spans="5:5" x14ac:dyDescent="0.2">
      <c r="E102" s="3">
        <v>101</v>
      </c>
    </row>
    <row r="103" spans="5:5" x14ac:dyDescent="0.2">
      <c r="E103" s="3">
        <v>102</v>
      </c>
    </row>
    <row r="104" spans="5:5" x14ac:dyDescent="0.2">
      <c r="E104" s="3">
        <v>103</v>
      </c>
    </row>
    <row r="105" spans="5:5" x14ac:dyDescent="0.2">
      <c r="E105" s="3">
        <v>104</v>
      </c>
    </row>
    <row r="106" spans="5:5" x14ac:dyDescent="0.2">
      <c r="E106" s="3">
        <v>105</v>
      </c>
    </row>
    <row r="107" spans="5:5" x14ac:dyDescent="0.2">
      <c r="E107" s="3">
        <v>106</v>
      </c>
    </row>
    <row r="108" spans="5:5" x14ac:dyDescent="0.2">
      <c r="E108" s="3">
        <v>107</v>
      </c>
    </row>
    <row r="109" spans="5:5" x14ac:dyDescent="0.2">
      <c r="E109" s="3">
        <v>108</v>
      </c>
    </row>
    <row r="110" spans="5:5" x14ac:dyDescent="0.2">
      <c r="E110" s="3">
        <v>109</v>
      </c>
    </row>
    <row r="111" spans="5:5" x14ac:dyDescent="0.2">
      <c r="E111" s="3">
        <v>110</v>
      </c>
    </row>
    <row r="112" spans="5:5" x14ac:dyDescent="0.2">
      <c r="E112" s="3">
        <v>111</v>
      </c>
    </row>
    <row r="113" spans="5:5" x14ac:dyDescent="0.2">
      <c r="E113" s="3">
        <v>112</v>
      </c>
    </row>
    <row r="114" spans="5:5" x14ac:dyDescent="0.2">
      <c r="E114" s="3">
        <v>113</v>
      </c>
    </row>
    <row r="115" spans="5:5" x14ac:dyDescent="0.2">
      <c r="E115" s="3">
        <v>114</v>
      </c>
    </row>
    <row r="116" spans="5:5" x14ac:dyDescent="0.2">
      <c r="E116" s="3">
        <v>115</v>
      </c>
    </row>
    <row r="117" spans="5:5" x14ac:dyDescent="0.2">
      <c r="E117" s="3">
        <v>116</v>
      </c>
    </row>
    <row r="118" spans="5:5" x14ac:dyDescent="0.2">
      <c r="E118" s="3">
        <v>117</v>
      </c>
    </row>
    <row r="119" spans="5:5" x14ac:dyDescent="0.2">
      <c r="E119" s="3">
        <v>118</v>
      </c>
    </row>
    <row r="120" spans="5:5" x14ac:dyDescent="0.2">
      <c r="E120" s="3">
        <v>119</v>
      </c>
    </row>
    <row r="121" spans="5:5" x14ac:dyDescent="0.2">
      <c r="E121" s="3">
        <v>120</v>
      </c>
    </row>
    <row r="122" spans="5:5" x14ac:dyDescent="0.2">
      <c r="E122" s="3">
        <v>121</v>
      </c>
    </row>
    <row r="123" spans="5:5" x14ac:dyDescent="0.2">
      <c r="E123" s="3">
        <v>122</v>
      </c>
    </row>
    <row r="124" spans="5:5" x14ac:dyDescent="0.2">
      <c r="E124" s="3">
        <v>123</v>
      </c>
    </row>
    <row r="125" spans="5:5" x14ac:dyDescent="0.2">
      <c r="E125" s="3">
        <v>124</v>
      </c>
    </row>
    <row r="126" spans="5:5" x14ac:dyDescent="0.2">
      <c r="E126" s="3">
        <v>125</v>
      </c>
    </row>
    <row r="127" spans="5:5" x14ac:dyDescent="0.2">
      <c r="E127" s="3">
        <v>126</v>
      </c>
    </row>
    <row r="128" spans="5:5" x14ac:dyDescent="0.2">
      <c r="E128" s="3">
        <v>127</v>
      </c>
    </row>
    <row r="129" spans="5:5" x14ac:dyDescent="0.2">
      <c r="E129" s="3">
        <v>128</v>
      </c>
    </row>
    <row r="130" spans="5:5" x14ac:dyDescent="0.2">
      <c r="E130" s="3">
        <v>129</v>
      </c>
    </row>
    <row r="131" spans="5:5" x14ac:dyDescent="0.2">
      <c r="E131" s="3">
        <v>130</v>
      </c>
    </row>
    <row r="132" spans="5:5" x14ac:dyDescent="0.2">
      <c r="E132" s="3">
        <v>131</v>
      </c>
    </row>
    <row r="133" spans="5:5" x14ac:dyDescent="0.2">
      <c r="E133" s="3">
        <v>132</v>
      </c>
    </row>
    <row r="134" spans="5:5" x14ac:dyDescent="0.2">
      <c r="E134" s="3">
        <v>133</v>
      </c>
    </row>
    <row r="135" spans="5:5" x14ac:dyDescent="0.2">
      <c r="E135" s="3">
        <v>134</v>
      </c>
    </row>
    <row r="136" spans="5:5" x14ac:dyDescent="0.2">
      <c r="E136" s="3">
        <v>135</v>
      </c>
    </row>
    <row r="137" spans="5:5" x14ac:dyDescent="0.2">
      <c r="E137" s="3">
        <v>136</v>
      </c>
    </row>
    <row r="138" spans="5:5" x14ac:dyDescent="0.2">
      <c r="E138" s="3">
        <v>137</v>
      </c>
    </row>
    <row r="139" spans="5:5" x14ac:dyDescent="0.2">
      <c r="E139" s="3">
        <v>138</v>
      </c>
    </row>
    <row r="140" spans="5:5" x14ac:dyDescent="0.2">
      <c r="E140" s="3">
        <v>139</v>
      </c>
    </row>
    <row r="141" spans="5:5" x14ac:dyDescent="0.2">
      <c r="E141" s="3">
        <v>140</v>
      </c>
    </row>
    <row r="142" spans="5:5" x14ac:dyDescent="0.2">
      <c r="E142" s="3">
        <v>141</v>
      </c>
    </row>
    <row r="143" spans="5:5" x14ac:dyDescent="0.2">
      <c r="E143" s="3">
        <v>142</v>
      </c>
    </row>
    <row r="144" spans="5:5" x14ac:dyDescent="0.2">
      <c r="E144" s="3">
        <v>143</v>
      </c>
    </row>
    <row r="145" spans="5:5" x14ac:dyDescent="0.2">
      <c r="E145" s="3">
        <v>144</v>
      </c>
    </row>
    <row r="146" spans="5:5" x14ac:dyDescent="0.2">
      <c r="E146" s="3">
        <v>145</v>
      </c>
    </row>
    <row r="147" spans="5:5" x14ac:dyDescent="0.2">
      <c r="E147" s="3">
        <v>146</v>
      </c>
    </row>
    <row r="148" spans="5:5" x14ac:dyDescent="0.2">
      <c r="E148" s="3">
        <v>147</v>
      </c>
    </row>
    <row r="149" spans="5:5" x14ac:dyDescent="0.2">
      <c r="E149" s="3">
        <v>148</v>
      </c>
    </row>
    <row r="150" spans="5:5" x14ac:dyDescent="0.2">
      <c r="E150" s="3">
        <v>149</v>
      </c>
    </row>
    <row r="151" spans="5:5" x14ac:dyDescent="0.2">
      <c r="E151" s="3">
        <v>150</v>
      </c>
    </row>
    <row r="152" spans="5:5" x14ac:dyDescent="0.2">
      <c r="E152" s="3">
        <v>151</v>
      </c>
    </row>
    <row r="153" spans="5:5" x14ac:dyDescent="0.2">
      <c r="E153" s="3">
        <v>152</v>
      </c>
    </row>
    <row r="154" spans="5:5" x14ac:dyDescent="0.2">
      <c r="E154" s="3">
        <v>153</v>
      </c>
    </row>
    <row r="155" spans="5:5" x14ac:dyDescent="0.2">
      <c r="E155" s="3">
        <v>154</v>
      </c>
    </row>
    <row r="156" spans="5:5" x14ac:dyDescent="0.2">
      <c r="E156" s="3">
        <v>155</v>
      </c>
    </row>
    <row r="157" spans="5:5" x14ac:dyDescent="0.2">
      <c r="E157" s="3">
        <v>156</v>
      </c>
    </row>
    <row r="158" spans="5:5" x14ac:dyDescent="0.2">
      <c r="E158" s="3">
        <v>157</v>
      </c>
    </row>
    <row r="159" spans="5:5" x14ac:dyDescent="0.2">
      <c r="E159" s="3">
        <v>158</v>
      </c>
    </row>
    <row r="160" spans="5:5" x14ac:dyDescent="0.2">
      <c r="E160" s="3">
        <v>159</v>
      </c>
    </row>
    <row r="161" spans="5:5" x14ac:dyDescent="0.2">
      <c r="E161" s="3">
        <v>160</v>
      </c>
    </row>
    <row r="162" spans="5:5" x14ac:dyDescent="0.2">
      <c r="E162" s="3">
        <v>161</v>
      </c>
    </row>
    <row r="163" spans="5:5" x14ac:dyDescent="0.2">
      <c r="E163" s="3">
        <v>162</v>
      </c>
    </row>
    <row r="164" spans="5:5" x14ac:dyDescent="0.2">
      <c r="E164" s="3">
        <v>163</v>
      </c>
    </row>
    <row r="165" spans="5:5" x14ac:dyDescent="0.2">
      <c r="E165" s="3">
        <v>164</v>
      </c>
    </row>
    <row r="166" spans="5:5" x14ac:dyDescent="0.2">
      <c r="E166" s="3">
        <v>165</v>
      </c>
    </row>
    <row r="167" spans="5:5" x14ac:dyDescent="0.2">
      <c r="E167" s="3">
        <v>166</v>
      </c>
    </row>
    <row r="168" spans="5:5" x14ac:dyDescent="0.2">
      <c r="E168" s="3">
        <v>167</v>
      </c>
    </row>
    <row r="169" spans="5:5" x14ac:dyDescent="0.2">
      <c r="E169" s="3">
        <v>168</v>
      </c>
    </row>
    <row r="170" spans="5:5" x14ac:dyDescent="0.2">
      <c r="E170" s="3">
        <v>169</v>
      </c>
    </row>
    <row r="171" spans="5:5" x14ac:dyDescent="0.2">
      <c r="E171" s="3">
        <v>170</v>
      </c>
    </row>
    <row r="172" spans="5:5" x14ac:dyDescent="0.2">
      <c r="E172" s="3">
        <v>171</v>
      </c>
    </row>
    <row r="173" spans="5:5" x14ac:dyDescent="0.2">
      <c r="E173" s="3">
        <v>172</v>
      </c>
    </row>
    <row r="174" spans="5:5" x14ac:dyDescent="0.2">
      <c r="E174" s="3">
        <v>173</v>
      </c>
    </row>
    <row r="175" spans="5:5" x14ac:dyDescent="0.2">
      <c r="E175" s="3">
        <v>174</v>
      </c>
    </row>
    <row r="176" spans="5:5" x14ac:dyDescent="0.2">
      <c r="E176" s="3">
        <v>175</v>
      </c>
    </row>
    <row r="177" spans="5:5" x14ac:dyDescent="0.2">
      <c r="E177" s="3">
        <v>176</v>
      </c>
    </row>
    <row r="178" spans="5:5" x14ac:dyDescent="0.2">
      <c r="E178" s="3">
        <v>177</v>
      </c>
    </row>
    <row r="179" spans="5:5" x14ac:dyDescent="0.2">
      <c r="E179" s="3">
        <v>178</v>
      </c>
    </row>
    <row r="180" spans="5:5" x14ac:dyDescent="0.2">
      <c r="E180" s="3">
        <v>179</v>
      </c>
    </row>
    <row r="181" spans="5:5" x14ac:dyDescent="0.2">
      <c r="E181" s="3">
        <v>180</v>
      </c>
    </row>
    <row r="182" spans="5:5" x14ac:dyDescent="0.2">
      <c r="E182" s="3">
        <v>181</v>
      </c>
    </row>
    <row r="183" spans="5:5" x14ac:dyDescent="0.2">
      <c r="E183" s="3">
        <v>182</v>
      </c>
    </row>
    <row r="184" spans="5:5" x14ac:dyDescent="0.2">
      <c r="E184" s="3">
        <v>183</v>
      </c>
    </row>
    <row r="185" spans="5:5" x14ac:dyDescent="0.2">
      <c r="E185" s="3">
        <v>184</v>
      </c>
    </row>
    <row r="186" spans="5:5" x14ac:dyDescent="0.2">
      <c r="E186" s="3">
        <v>185</v>
      </c>
    </row>
    <row r="187" spans="5:5" x14ac:dyDescent="0.2">
      <c r="E187" s="3">
        <v>186</v>
      </c>
    </row>
    <row r="188" spans="5:5" x14ac:dyDescent="0.2">
      <c r="E188" s="3">
        <v>187</v>
      </c>
    </row>
    <row r="189" spans="5:5" x14ac:dyDescent="0.2">
      <c r="E189" s="3">
        <v>188</v>
      </c>
    </row>
    <row r="190" spans="5:5" x14ac:dyDescent="0.2">
      <c r="E190" s="3">
        <v>189</v>
      </c>
    </row>
    <row r="191" spans="5:5" x14ac:dyDescent="0.2">
      <c r="E191" s="3">
        <v>190</v>
      </c>
    </row>
    <row r="192" spans="5:5" x14ac:dyDescent="0.2">
      <c r="E192" s="3">
        <v>191</v>
      </c>
    </row>
    <row r="193" spans="5:5" x14ac:dyDescent="0.2">
      <c r="E193" s="3">
        <v>192</v>
      </c>
    </row>
    <row r="194" spans="5:5" x14ac:dyDescent="0.2">
      <c r="E194" s="3">
        <v>193</v>
      </c>
    </row>
    <row r="195" spans="5:5" x14ac:dyDescent="0.2">
      <c r="E195" s="3">
        <v>194</v>
      </c>
    </row>
    <row r="196" spans="5:5" x14ac:dyDescent="0.2">
      <c r="E196" s="3">
        <v>195</v>
      </c>
    </row>
    <row r="197" spans="5:5" x14ac:dyDescent="0.2">
      <c r="E197" s="3">
        <v>196</v>
      </c>
    </row>
    <row r="198" spans="5:5" x14ac:dyDescent="0.2">
      <c r="E198" s="3">
        <v>197</v>
      </c>
    </row>
    <row r="199" spans="5:5" x14ac:dyDescent="0.2">
      <c r="E199" s="3">
        <v>198</v>
      </c>
    </row>
    <row r="200" spans="5:5" x14ac:dyDescent="0.2">
      <c r="E200" s="3">
        <v>199</v>
      </c>
    </row>
    <row r="201" spans="5:5" x14ac:dyDescent="0.2">
      <c r="E201" s="3">
        <v>200</v>
      </c>
    </row>
    <row r="202" spans="5:5" x14ac:dyDescent="0.2">
      <c r="E202" s="3">
        <v>201</v>
      </c>
    </row>
    <row r="203" spans="5:5" x14ac:dyDescent="0.2">
      <c r="E203" s="3">
        <v>202</v>
      </c>
    </row>
    <row r="204" spans="5:5" x14ac:dyDescent="0.2">
      <c r="E204" s="3">
        <v>203</v>
      </c>
    </row>
    <row r="205" spans="5:5" x14ac:dyDescent="0.2">
      <c r="E205" s="3">
        <v>204</v>
      </c>
    </row>
    <row r="206" spans="5:5" x14ac:dyDescent="0.2">
      <c r="E206" s="3">
        <v>205</v>
      </c>
    </row>
    <row r="207" spans="5:5" x14ac:dyDescent="0.2">
      <c r="E207" s="3">
        <v>206</v>
      </c>
    </row>
    <row r="208" spans="5:5" x14ac:dyDescent="0.2">
      <c r="E208" s="3">
        <v>207</v>
      </c>
    </row>
    <row r="209" spans="5:5" x14ac:dyDescent="0.2">
      <c r="E209" s="3">
        <v>208</v>
      </c>
    </row>
    <row r="210" spans="5:5" x14ac:dyDescent="0.2">
      <c r="E210" s="3">
        <v>209</v>
      </c>
    </row>
    <row r="211" spans="5:5" x14ac:dyDescent="0.2">
      <c r="E211" s="3">
        <v>210</v>
      </c>
    </row>
    <row r="212" spans="5:5" x14ac:dyDescent="0.2">
      <c r="E212" s="3">
        <v>211</v>
      </c>
    </row>
    <row r="213" spans="5:5" x14ac:dyDescent="0.2">
      <c r="E213" s="3">
        <v>212</v>
      </c>
    </row>
    <row r="214" spans="5:5" x14ac:dyDescent="0.2">
      <c r="E214" s="3">
        <v>213</v>
      </c>
    </row>
    <row r="215" spans="5:5" x14ac:dyDescent="0.2">
      <c r="E215" s="3">
        <v>214</v>
      </c>
    </row>
    <row r="216" spans="5:5" x14ac:dyDescent="0.2">
      <c r="E216" s="3">
        <v>215</v>
      </c>
    </row>
    <row r="217" spans="5:5" x14ac:dyDescent="0.2">
      <c r="E217" s="3">
        <v>216</v>
      </c>
    </row>
    <row r="218" spans="5:5" x14ac:dyDescent="0.2">
      <c r="E218" s="3">
        <v>217</v>
      </c>
    </row>
    <row r="219" spans="5:5" x14ac:dyDescent="0.2">
      <c r="E219" s="3">
        <v>218</v>
      </c>
    </row>
    <row r="220" spans="5:5" x14ac:dyDescent="0.2">
      <c r="E220" s="3">
        <v>219</v>
      </c>
    </row>
    <row r="221" spans="5:5" x14ac:dyDescent="0.2">
      <c r="E221" s="3">
        <v>220</v>
      </c>
    </row>
    <row r="222" spans="5:5" x14ac:dyDescent="0.2">
      <c r="E222" s="3">
        <v>221</v>
      </c>
    </row>
    <row r="223" spans="5:5" x14ac:dyDescent="0.2">
      <c r="E223" s="3">
        <v>222</v>
      </c>
    </row>
    <row r="224" spans="5:5" x14ac:dyDescent="0.2">
      <c r="E224" s="3">
        <v>223</v>
      </c>
    </row>
    <row r="225" spans="5:5" x14ac:dyDescent="0.2">
      <c r="E225" s="3">
        <v>224</v>
      </c>
    </row>
    <row r="226" spans="5:5" x14ac:dyDescent="0.2">
      <c r="E226" s="3">
        <v>225</v>
      </c>
    </row>
    <row r="227" spans="5:5" x14ac:dyDescent="0.2">
      <c r="E227" s="3">
        <v>226</v>
      </c>
    </row>
    <row r="228" spans="5:5" x14ac:dyDescent="0.2">
      <c r="E228" s="3">
        <v>227</v>
      </c>
    </row>
    <row r="229" spans="5:5" x14ac:dyDescent="0.2">
      <c r="E229" s="3">
        <v>228</v>
      </c>
    </row>
    <row r="230" spans="5:5" x14ac:dyDescent="0.2">
      <c r="E230" s="3">
        <v>229</v>
      </c>
    </row>
    <row r="231" spans="5:5" x14ac:dyDescent="0.2">
      <c r="E231" s="3">
        <v>230</v>
      </c>
    </row>
    <row r="232" spans="5:5" x14ac:dyDescent="0.2">
      <c r="E232" s="3">
        <v>231</v>
      </c>
    </row>
    <row r="233" spans="5:5" x14ac:dyDescent="0.2">
      <c r="E233" s="3">
        <v>232</v>
      </c>
    </row>
    <row r="234" spans="5:5" x14ac:dyDescent="0.2">
      <c r="E234" s="3">
        <v>233</v>
      </c>
    </row>
    <row r="235" spans="5:5" x14ac:dyDescent="0.2">
      <c r="E235" s="3">
        <v>234</v>
      </c>
    </row>
    <row r="236" spans="5:5" x14ac:dyDescent="0.2">
      <c r="E236" s="3">
        <v>235</v>
      </c>
    </row>
    <row r="237" spans="5:5" x14ac:dyDescent="0.2">
      <c r="E237" s="3">
        <v>236</v>
      </c>
    </row>
    <row r="238" spans="5:5" x14ac:dyDescent="0.2">
      <c r="E238" s="3">
        <v>237</v>
      </c>
    </row>
    <row r="239" spans="5:5" x14ac:dyDescent="0.2">
      <c r="E239" s="3">
        <v>238</v>
      </c>
    </row>
    <row r="240" spans="5:5" x14ac:dyDescent="0.2">
      <c r="E240" s="3">
        <v>239</v>
      </c>
    </row>
    <row r="241" spans="5:5" x14ac:dyDescent="0.2">
      <c r="E241" s="3">
        <v>240</v>
      </c>
    </row>
    <row r="242" spans="5:5" x14ac:dyDescent="0.2">
      <c r="E242" s="3">
        <v>241</v>
      </c>
    </row>
    <row r="243" spans="5:5" x14ac:dyDescent="0.2">
      <c r="E243" s="3">
        <v>242</v>
      </c>
    </row>
    <row r="244" spans="5:5" x14ac:dyDescent="0.2">
      <c r="E244" s="3">
        <v>243</v>
      </c>
    </row>
    <row r="245" spans="5:5" x14ac:dyDescent="0.2">
      <c r="E245" s="3">
        <v>244</v>
      </c>
    </row>
    <row r="246" spans="5:5" x14ac:dyDescent="0.2">
      <c r="E246" s="3">
        <v>245</v>
      </c>
    </row>
    <row r="247" spans="5:5" x14ac:dyDescent="0.2">
      <c r="E247" s="3">
        <v>246</v>
      </c>
    </row>
    <row r="248" spans="5:5" x14ac:dyDescent="0.2">
      <c r="E248" s="3">
        <v>247</v>
      </c>
    </row>
    <row r="249" spans="5:5" x14ac:dyDescent="0.2">
      <c r="E249" s="3">
        <v>248</v>
      </c>
    </row>
    <row r="250" spans="5:5" x14ac:dyDescent="0.2">
      <c r="E250" s="3">
        <v>249</v>
      </c>
    </row>
    <row r="251" spans="5:5" x14ac:dyDescent="0.2">
      <c r="E251" s="3">
        <v>250</v>
      </c>
    </row>
    <row r="252" spans="5:5" x14ac:dyDescent="0.2">
      <c r="E252" s="3">
        <v>251</v>
      </c>
    </row>
    <row r="253" spans="5:5" x14ac:dyDescent="0.2">
      <c r="E253" s="3">
        <v>252</v>
      </c>
    </row>
    <row r="254" spans="5:5" x14ac:dyDescent="0.2">
      <c r="E254" s="3">
        <v>253</v>
      </c>
    </row>
    <row r="255" spans="5:5" x14ac:dyDescent="0.2">
      <c r="E255" s="3">
        <v>254</v>
      </c>
    </row>
    <row r="256" spans="5:5" x14ac:dyDescent="0.2">
      <c r="E256" s="3">
        <v>255</v>
      </c>
    </row>
    <row r="257" spans="5:5" x14ac:dyDescent="0.2">
      <c r="E257" s="3">
        <v>256</v>
      </c>
    </row>
    <row r="258" spans="5:5" x14ac:dyDescent="0.2">
      <c r="E258" s="3">
        <v>257</v>
      </c>
    </row>
    <row r="259" spans="5:5" x14ac:dyDescent="0.2">
      <c r="E259" s="3">
        <v>258</v>
      </c>
    </row>
    <row r="260" spans="5:5" x14ac:dyDescent="0.2">
      <c r="E260" s="3">
        <v>259</v>
      </c>
    </row>
    <row r="261" spans="5:5" x14ac:dyDescent="0.2">
      <c r="E261" s="3">
        <v>260</v>
      </c>
    </row>
    <row r="262" spans="5:5" x14ac:dyDescent="0.2">
      <c r="E262" s="3">
        <v>261</v>
      </c>
    </row>
    <row r="263" spans="5:5" x14ac:dyDescent="0.2">
      <c r="E263" s="3">
        <v>262</v>
      </c>
    </row>
    <row r="264" spans="5:5" x14ac:dyDescent="0.2">
      <c r="E264" s="3">
        <v>263</v>
      </c>
    </row>
    <row r="265" spans="5:5" x14ac:dyDescent="0.2">
      <c r="E265" s="3">
        <v>264</v>
      </c>
    </row>
    <row r="266" spans="5:5" x14ac:dyDescent="0.2">
      <c r="E266" s="3">
        <v>265</v>
      </c>
    </row>
    <row r="267" spans="5:5" x14ac:dyDescent="0.2">
      <c r="E267" s="3">
        <v>266</v>
      </c>
    </row>
    <row r="268" spans="5:5" x14ac:dyDescent="0.2">
      <c r="E268" s="3">
        <v>267</v>
      </c>
    </row>
    <row r="269" spans="5:5" x14ac:dyDescent="0.2">
      <c r="E269" s="3">
        <v>268</v>
      </c>
    </row>
    <row r="270" spans="5:5" x14ac:dyDescent="0.2">
      <c r="E270" s="3">
        <v>269</v>
      </c>
    </row>
    <row r="271" spans="5:5" x14ac:dyDescent="0.2">
      <c r="E271" s="3">
        <v>270</v>
      </c>
    </row>
    <row r="272" spans="5:5" x14ac:dyDescent="0.2">
      <c r="E272" s="3">
        <v>271</v>
      </c>
    </row>
    <row r="273" spans="5:5" x14ac:dyDescent="0.2">
      <c r="E273" s="3">
        <v>272</v>
      </c>
    </row>
    <row r="274" spans="5:5" x14ac:dyDescent="0.2">
      <c r="E274" s="3">
        <v>273</v>
      </c>
    </row>
    <row r="275" spans="5:5" x14ac:dyDescent="0.2">
      <c r="E275" s="3">
        <v>274</v>
      </c>
    </row>
    <row r="276" spans="5:5" x14ac:dyDescent="0.2">
      <c r="E276" s="3">
        <v>275</v>
      </c>
    </row>
    <row r="277" spans="5:5" x14ac:dyDescent="0.2">
      <c r="E277" s="3">
        <v>276</v>
      </c>
    </row>
    <row r="278" spans="5:5" x14ac:dyDescent="0.2">
      <c r="E278" s="3">
        <v>277</v>
      </c>
    </row>
    <row r="279" spans="5:5" x14ac:dyDescent="0.2">
      <c r="E279" s="3">
        <v>278</v>
      </c>
    </row>
    <row r="280" spans="5:5" x14ac:dyDescent="0.2">
      <c r="E280" s="3">
        <v>279</v>
      </c>
    </row>
    <row r="281" spans="5:5" x14ac:dyDescent="0.2">
      <c r="E281" s="3">
        <v>280</v>
      </c>
    </row>
    <row r="282" spans="5:5" x14ac:dyDescent="0.2">
      <c r="E282" s="3">
        <v>281</v>
      </c>
    </row>
    <row r="283" spans="5:5" x14ac:dyDescent="0.2">
      <c r="E283" s="3">
        <v>282</v>
      </c>
    </row>
    <row r="284" spans="5:5" x14ac:dyDescent="0.2">
      <c r="E284" s="3">
        <v>283</v>
      </c>
    </row>
    <row r="285" spans="5:5" x14ac:dyDescent="0.2">
      <c r="E285" s="3">
        <v>284</v>
      </c>
    </row>
    <row r="286" spans="5:5" x14ac:dyDescent="0.2">
      <c r="E286" s="3">
        <v>285</v>
      </c>
    </row>
    <row r="287" spans="5:5" x14ac:dyDescent="0.2">
      <c r="E287" s="3">
        <v>286</v>
      </c>
    </row>
    <row r="288" spans="5:5" x14ac:dyDescent="0.2">
      <c r="E288" s="3">
        <v>287</v>
      </c>
    </row>
    <row r="289" spans="5:5" x14ac:dyDescent="0.2">
      <c r="E289" s="3">
        <v>288</v>
      </c>
    </row>
    <row r="290" spans="5:5" x14ac:dyDescent="0.2">
      <c r="E290" s="3">
        <v>289</v>
      </c>
    </row>
    <row r="291" spans="5:5" x14ac:dyDescent="0.2">
      <c r="E291" s="3">
        <v>290</v>
      </c>
    </row>
    <row r="292" spans="5:5" x14ac:dyDescent="0.2">
      <c r="E292" s="3">
        <v>291</v>
      </c>
    </row>
    <row r="293" spans="5:5" x14ac:dyDescent="0.2">
      <c r="E293" s="3">
        <v>292</v>
      </c>
    </row>
    <row r="294" spans="5:5" x14ac:dyDescent="0.2">
      <c r="E294" s="3">
        <v>293</v>
      </c>
    </row>
    <row r="295" spans="5:5" x14ac:dyDescent="0.2">
      <c r="E295" s="3">
        <v>294</v>
      </c>
    </row>
    <row r="296" spans="5:5" x14ac:dyDescent="0.2">
      <c r="E296" s="3">
        <v>295</v>
      </c>
    </row>
    <row r="297" spans="5:5" x14ac:dyDescent="0.2">
      <c r="E297" s="3">
        <v>296</v>
      </c>
    </row>
    <row r="298" spans="5:5" x14ac:dyDescent="0.2">
      <c r="E298" s="3">
        <v>297</v>
      </c>
    </row>
    <row r="299" spans="5:5" x14ac:dyDescent="0.2">
      <c r="E299" s="3">
        <v>298</v>
      </c>
    </row>
    <row r="300" spans="5:5" x14ac:dyDescent="0.2">
      <c r="E300" s="3">
        <v>299</v>
      </c>
    </row>
    <row r="301" spans="5:5" x14ac:dyDescent="0.2">
      <c r="E301" s="3">
        <v>300</v>
      </c>
    </row>
    <row r="302" spans="5:5" x14ac:dyDescent="0.2">
      <c r="E302" s="3">
        <v>301</v>
      </c>
    </row>
    <row r="303" spans="5:5" x14ac:dyDescent="0.2">
      <c r="E303" s="3">
        <v>302</v>
      </c>
    </row>
    <row r="304" spans="5:5" x14ac:dyDescent="0.2">
      <c r="E304" s="3">
        <v>303</v>
      </c>
    </row>
    <row r="305" spans="5:5" x14ac:dyDescent="0.2">
      <c r="E305" s="3">
        <v>304</v>
      </c>
    </row>
    <row r="306" spans="5:5" x14ac:dyDescent="0.2">
      <c r="E306" s="3">
        <v>305</v>
      </c>
    </row>
    <row r="307" spans="5:5" x14ac:dyDescent="0.2">
      <c r="E307" s="3">
        <v>306</v>
      </c>
    </row>
    <row r="308" spans="5:5" x14ac:dyDescent="0.2">
      <c r="E308" s="3">
        <v>307</v>
      </c>
    </row>
    <row r="309" spans="5:5" x14ac:dyDescent="0.2">
      <c r="E309" s="3">
        <v>308</v>
      </c>
    </row>
    <row r="310" spans="5:5" x14ac:dyDescent="0.2">
      <c r="E310" s="3">
        <v>309</v>
      </c>
    </row>
    <row r="311" spans="5:5" x14ac:dyDescent="0.2">
      <c r="E311" s="3">
        <v>310</v>
      </c>
    </row>
    <row r="312" spans="5:5" x14ac:dyDescent="0.2">
      <c r="E312" s="3">
        <v>311</v>
      </c>
    </row>
    <row r="313" spans="5:5" x14ac:dyDescent="0.2">
      <c r="E313" s="3">
        <v>312</v>
      </c>
    </row>
    <row r="314" spans="5:5" x14ac:dyDescent="0.2">
      <c r="E314" s="3">
        <v>313</v>
      </c>
    </row>
    <row r="315" spans="5:5" x14ac:dyDescent="0.2">
      <c r="E315" s="3">
        <v>314</v>
      </c>
    </row>
    <row r="316" spans="5:5" x14ac:dyDescent="0.2">
      <c r="E316" s="3">
        <v>315</v>
      </c>
    </row>
    <row r="317" spans="5:5" x14ac:dyDescent="0.2">
      <c r="E317" s="3">
        <v>316</v>
      </c>
    </row>
    <row r="318" spans="5:5" x14ac:dyDescent="0.2">
      <c r="E318" s="3">
        <v>317</v>
      </c>
    </row>
    <row r="319" spans="5:5" x14ac:dyDescent="0.2">
      <c r="E319" s="3">
        <v>318</v>
      </c>
    </row>
    <row r="320" spans="5:5" x14ac:dyDescent="0.2">
      <c r="E320" s="3">
        <v>319</v>
      </c>
    </row>
    <row r="321" spans="5:5" x14ac:dyDescent="0.2">
      <c r="E321" s="3">
        <v>320</v>
      </c>
    </row>
    <row r="322" spans="5:5" x14ac:dyDescent="0.2">
      <c r="E322" s="3">
        <v>321</v>
      </c>
    </row>
    <row r="323" spans="5:5" x14ac:dyDescent="0.2">
      <c r="E323" s="3">
        <v>322</v>
      </c>
    </row>
    <row r="324" spans="5:5" x14ac:dyDescent="0.2">
      <c r="E324" s="3">
        <v>323</v>
      </c>
    </row>
    <row r="325" spans="5:5" x14ac:dyDescent="0.2">
      <c r="E325" s="3">
        <v>324</v>
      </c>
    </row>
    <row r="326" spans="5:5" x14ac:dyDescent="0.2">
      <c r="E326" s="3">
        <v>325</v>
      </c>
    </row>
    <row r="327" spans="5:5" x14ac:dyDescent="0.2">
      <c r="E327" s="3">
        <v>326</v>
      </c>
    </row>
    <row r="328" spans="5:5" x14ac:dyDescent="0.2">
      <c r="E328" s="3">
        <v>327</v>
      </c>
    </row>
    <row r="329" spans="5:5" x14ac:dyDescent="0.2">
      <c r="E329" s="3">
        <v>328</v>
      </c>
    </row>
    <row r="330" spans="5:5" x14ac:dyDescent="0.2">
      <c r="E330" s="3">
        <v>329</v>
      </c>
    </row>
    <row r="331" spans="5:5" x14ac:dyDescent="0.2">
      <c r="E331" s="3">
        <v>330</v>
      </c>
    </row>
    <row r="332" spans="5:5" x14ac:dyDescent="0.2">
      <c r="E332" s="3">
        <v>331</v>
      </c>
    </row>
    <row r="333" spans="5:5" x14ac:dyDescent="0.2">
      <c r="E333" s="3">
        <v>332</v>
      </c>
    </row>
    <row r="334" spans="5:5" x14ac:dyDescent="0.2">
      <c r="E334" s="3">
        <v>333</v>
      </c>
    </row>
    <row r="335" spans="5:5" x14ac:dyDescent="0.2">
      <c r="E335" s="3">
        <v>334</v>
      </c>
    </row>
    <row r="336" spans="5:5" x14ac:dyDescent="0.2">
      <c r="E336" s="3">
        <v>335</v>
      </c>
    </row>
    <row r="337" spans="5:5" x14ac:dyDescent="0.2">
      <c r="E337" s="3">
        <v>336</v>
      </c>
    </row>
    <row r="338" spans="5:5" x14ac:dyDescent="0.2">
      <c r="E338" s="3">
        <v>337</v>
      </c>
    </row>
    <row r="339" spans="5:5" x14ac:dyDescent="0.2">
      <c r="E339" s="3">
        <v>338</v>
      </c>
    </row>
    <row r="340" spans="5:5" x14ac:dyDescent="0.2">
      <c r="E340" s="3">
        <v>339</v>
      </c>
    </row>
    <row r="341" spans="5:5" x14ac:dyDescent="0.2">
      <c r="E341" s="3">
        <v>340</v>
      </c>
    </row>
    <row r="342" spans="5:5" x14ac:dyDescent="0.2">
      <c r="E342" s="3">
        <v>341</v>
      </c>
    </row>
    <row r="343" spans="5:5" x14ac:dyDescent="0.2">
      <c r="E343" s="3">
        <v>342</v>
      </c>
    </row>
    <row r="344" spans="5:5" x14ac:dyDescent="0.2">
      <c r="E344" s="3">
        <v>343</v>
      </c>
    </row>
    <row r="345" spans="5:5" x14ac:dyDescent="0.2">
      <c r="E345" s="3">
        <v>344</v>
      </c>
    </row>
    <row r="346" spans="5:5" x14ac:dyDescent="0.2">
      <c r="E346" s="3">
        <v>345</v>
      </c>
    </row>
    <row r="347" spans="5:5" x14ac:dyDescent="0.2">
      <c r="E347" s="3">
        <v>346</v>
      </c>
    </row>
    <row r="348" spans="5:5" x14ac:dyDescent="0.2">
      <c r="E348" s="3">
        <v>347</v>
      </c>
    </row>
    <row r="349" spans="5:5" x14ac:dyDescent="0.2">
      <c r="E349" s="3">
        <v>348</v>
      </c>
    </row>
    <row r="350" spans="5:5" x14ac:dyDescent="0.2">
      <c r="E350" s="3">
        <v>349</v>
      </c>
    </row>
    <row r="351" spans="5:5" x14ac:dyDescent="0.2">
      <c r="E351" s="3">
        <v>350</v>
      </c>
    </row>
    <row r="352" spans="5:5" x14ac:dyDescent="0.2">
      <c r="E352" s="3">
        <v>351</v>
      </c>
    </row>
    <row r="353" spans="5:5" x14ac:dyDescent="0.2">
      <c r="E353" s="3">
        <v>352</v>
      </c>
    </row>
    <row r="354" spans="5:5" x14ac:dyDescent="0.2">
      <c r="E354" s="3">
        <v>353</v>
      </c>
    </row>
    <row r="355" spans="5:5" x14ac:dyDescent="0.2">
      <c r="E355" s="3">
        <v>354</v>
      </c>
    </row>
    <row r="356" spans="5:5" x14ac:dyDescent="0.2">
      <c r="E356" s="3">
        <v>355</v>
      </c>
    </row>
    <row r="357" spans="5:5" x14ac:dyDescent="0.2">
      <c r="E357" s="3">
        <v>356</v>
      </c>
    </row>
    <row r="358" spans="5:5" x14ac:dyDescent="0.2">
      <c r="E358" s="3">
        <v>357</v>
      </c>
    </row>
    <row r="359" spans="5:5" x14ac:dyDescent="0.2">
      <c r="E359" s="3">
        <v>358</v>
      </c>
    </row>
    <row r="360" spans="5:5" x14ac:dyDescent="0.2">
      <c r="E360" s="3">
        <v>359</v>
      </c>
    </row>
    <row r="361" spans="5:5" x14ac:dyDescent="0.2">
      <c r="E361" s="3">
        <v>360</v>
      </c>
    </row>
    <row r="362" spans="5:5" x14ac:dyDescent="0.2">
      <c r="E362" s="3">
        <v>361</v>
      </c>
    </row>
    <row r="363" spans="5:5" x14ac:dyDescent="0.2">
      <c r="E363" s="3">
        <v>362</v>
      </c>
    </row>
    <row r="364" spans="5:5" x14ac:dyDescent="0.2">
      <c r="E364" s="3">
        <v>363</v>
      </c>
    </row>
    <row r="365" spans="5:5" x14ac:dyDescent="0.2">
      <c r="E365" s="3">
        <v>364</v>
      </c>
    </row>
    <row r="366" spans="5:5" x14ac:dyDescent="0.2">
      <c r="E366" s="3">
        <v>365</v>
      </c>
    </row>
    <row r="367" spans="5:5" x14ac:dyDescent="0.2">
      <c r="E367" s="3">
        <v>366</v>
      </c>
    </row>
    <row r="368" spans="5:5" x14ac:dyDescent="0.2">
      <c r="E368" s="3">
        <v>367</v>
      </c>
    </row>
    <row r="369" spans="5:5" x14ac:dyDescent="0.2">
      <c r="E369" s="3">
        <v>368</v>
      </c>
    </row>
    <row r="370" spans="5:5" x14ac:dyDescent="0.2">
      <c r="E370" s="3">
        <v>369</v>
      </c>
    </row>
    <row r="371" spans="5:5" x14ac:dyDescent="0.2">
      <c r="E371" s="3">
        <v>370</v>
      </c>
    </row>
    <row r="372" spans="5:5" x14ac:dyDescent="0.2">
      <c r="E372" s="3">
        <v>371</v>
      </c>
    </row>
    <row r="373" spans="5:5" x14ac:dyDescent="0.2">
      <c r="E373" s="3">
        <v>372</v>
      </c>
    </row>
    <row r="374" spans="5:5" x14ac:dyDescent="0.2">
      <c r="E374" s="3">
        <v>373</v>
      </c>
    </row>
    <row r="375" spans="5:5" x14ac:dyDescent="0.2">
      <c r="E375" s="3">
        <v>374</v>
      </c>
    </row>
    <row r="376" spans="5:5" x14ac:dyDescent="0.2">
      <c r="E376" s="3">
        <v>375</v>
      </c>
    </row>
    <row r="377" spans="5:5" x14ac:dyDescent="0.2">
      <c r="E377" s="3">
        <v>376</v>
      </c>
    </row>
    <row r="378" spans="5:5" x14ac:dyDescent="0.2">
      <c r="E378" s="3">
        <v>377</v>
      </c>
    </row>
    <row r="379" spans="5:5" x14ac:dyDescent="0.2">
      <c r="E379" s="3">
        <v>378</v>
      </c>
    </row>
    <row r="380" spans="5:5" x14ac:dyDescent="0.2">
      <c r="E380" s="3">
        <v>379</v>
      </c>
    </row>
    <row r="381" spans="5:5" x14ac:dyDescent="0.2">
      <c r="E381" s="3">
        <v>380</v>
      </c>
    </row>
    <row r="382" spans="5:5" x14ac:dyDescent="0.2">
      <c r="E382" s="3">
        <v>381</v>
      </c>
    </row>
    <row r="383" spans="5:5" x14ac:dyDescent="0.2">
      <c r="E383" s="3">
        <v>382</v>
      </c>
    </row>
    <row r="384" spans="5:5" x14ac:dyDescent="0.2">
      <c r="E384" s="3">
        <v>383</v>
      </c>
    </row>
    <row r="385" spans="5:5" x14ac:dyDescent="0.2">
      <c r="E385" s="3">
        <v>384</v>
      </c>
    </row>
    <row r="386" spans="5:5" x14ac:dyDescent="0.2">
      <c r="E386" s="3">
        <v>385</v>
      </c>
    </row>
    <row r="387" spans="5:5" x14ac:dyDescent="0.2">
      <c r="E387" s="3">
        <v>386</v>
      </c>
    </row>
    <row r="388" spans="5:5" x14ac:dyDescent="0.2">
      <c r="E388" s="3">
        <v>387</v>
      </c>
    </row>
    <row r="389" spans="5:5" x14ac:dyDescent="0.2">
      <c r="E389" s="3">
        <v>388</v>
      </c>
    </row>
    <row r="390" spans="5:5" x14ac:dyDescent="0.2">
      <c r="E390" s="3">
        <v>389</v>
      </c>
    </row>
    <row r="391" spans="5:5" x14ac:dyDescent="0.2">
      <c r="E391" s="3">
        <v>390</v>
      </c>
    </row>
    <row r="392" spans="5:5" x14ac:dyDescent="0.2">
      <c r="E392" s="3">
        <v>391</v>
      </c>
    </row>
    <row r="393" spans="5:5" x14ac:dyDescent="0.2">
      <c r="E393" s="3">
        <v>392</v>
      </c>
    </row>
    <row r="394" spans="5:5" x14ac:dyDescent="0.2">
      <c r="E394" s="3">
        <v>393</v>
      </c>
    </row>
    <row r="395" spans="5:5" x14ac:dyDescent="0.2">
      <c r="E395" s="3">
        <v>394</v>
      </c>
    </row>
    <row r="396" spans="5:5" x14ac:dyDescent="0.2">
      <c r="E396" s="3">
        <v>395</v>
      </c>
    </row>
    <row r="397" spans="5:5" x14ac:dyDescent="0.2">
      <c r="E397" s="3">
        <v>396</v>
      </c>
    </row>
    <row r="398" spans="5:5" x14ac:dyDescent="0.2">
      <c r="E398" s="3">
        <v>397</v>
      </c>
    </row>
    <row r="399" spans="5:5" x14ac:dyDescent="0.2">
      <c r="E399" s="3">
        <v>398</v>
      </c>
    </row>
    <row r="400" spans="5:5" x14ac:dyDescent="0.2">
      <c r="E400" s="3">
        <v>399</v>
      </c>
    </row>
    <row r="401" spans="5:5" x14ac:dyDescent="0.2">
      <c r="E401" s="3">
        <v>400</v>
      </c>
    </row>
    <row r="402" spans="5:5" x14ac:dyDescent="0.2">
      <c r="E402" s="3">
        <v>401</v>
      </c>
    </row>
    <row r="403" spans="5:5" x14ac:dyDescent="0.2">
      <c r="E403" s="3">
        <v>402</v>
      </c>
    </row>
    <row r="404" spans="5:5" x14ac:dyDescent="0.2">
      <c r="E404" s="3">
        <v>403</v>
      </c>
    </row>
    <row r="405" spans="5:5" x14ac:dyDescent="0.2">
      <c r="E405" s="3">
        <v>404</v>
      </c>
    </row>
    <row r="406" spans="5:5" x14ac:dyDescent="0.2">
      <c r="E406" s="3">
        <v>405</v>
      </c>
    </row>
    <row r="407" spans="5:5" x14ac:dyDescent="0.2">
      <c r="E407" s="3">
        <v>406</v>
      </c>
    </row>
    <row r="408" spans="5:5" x14ac:dyDescent="0.2">
      <c r="E408" s="3">
        <v>407</v>
      </c>
    </row>
    <row r="409" spans="5:5" x14ac:dyDescent="0.2">
      <c r="E409" s="3">
        <v>408</v>
      </c>
    </row>
    <row r="410" spans="5:5" x14ac:dyDescent="0.2">
      <c r="E410" s="3">
        <v>409</v>
      </c>
    </row>
    <row r="411" spans="5:5" x14ac:dyDescent="0.2">
      <c r="E411" s="3">
        <v>410</v>
      </c>
    </row>
    <row r="412" spans="5:5" x14ac:dyDescent="0.2">
      <c r="E412" s="3">
        <v>411</v>
      </c>
    </row>
    <row r="413" spans="5:5" x14ac:dyDescent="0.2">
      <c r="E413" s="3">
        <v>412</v>
      </c>
    </row>
    <row r="414" spans="5:5" x14ac:dyDescent="0.2">
      <c r="E414" s="3">
        <v>413</v>
      </c>
    </row>
    <row r="415" spans="5:5" x14ac:dyDescent="0.2">
      <c r="E415" s="3">
        <v>414</v>
      </c>
    </row>
    <row r="416" spans="5:5" x14ac:dyDescent="0.2">
      <c r="E416" s="3">
        <v>415</v>
      </c>
    </row>
    <row r="417" spans="5:5" x14ac:dyDescent="0.2">
      <c r="E417" s="3">
        <v>416</v>
      </c>
    </row>
    <row r="418" spans="5:5" x14ac:dyDescent="0.2">
      <c r="E418" s="3">
        <v>417</v>
      </c>
    </row>
    <row r="419" spans="5:5" x14ac:dyDescent="0.2">
      <c r="E419" s="3">
        <v>418</v>
      </c>
    </row>
    <row r="420" spans="5:5" x14ac:dyDescent="0.2">
      <c r="E420" s="3">
        <v>419</v>
      </c>
    </row>
    <row r="421" spans="5:5" x14ac:dyDescent="0.2">
      <c r="E421" s="3">
        <v>420</v>
      </c>
    </row>
    <row r="422" spans="5:5" x14ac:dyDescent="0.2">
      <c r="E422" s="3">
        <v>421</v>
      </c>
    </row>
    <row r="423" spans="5:5" x14ac:dyDescent="0.2">
      <c r="E423" s="3">
        <v>422</v>
      </c>
    </row>
    <row r="424" spans="5:5" x14ac:dyDescent="0.2">
      <c r="E424" s="3">
        <v>423</v>
      </c>
    </row>
    <row r="425" spans="5:5" x14ac:dyDescent="0.2">
      <c r="E425" s="3">
        <v>424</v>
      </c>
    </row>
    <row r="426" spans="5:5" x14ac:dyDescent="0.2">
      <c r="E426" s="3">
        <v>425</v>
      </c>
    </row>
    <row r="427" spans="5:5" x14ac:dyDescent="0.2">
      <c r="E427" s="3">
        <v>426</v>
      </c>
    </row>
    <row r="428" spans="5:5" x14ac:dyDescent="0.2">
      <c r="E428" s="3">
        <v>427</v>
      </c>
    </row>
    <row r="429" spans="5:5" x14ac:dyDescent="0.2">
      <c r="E429" s="3">
        <v>428</v>
      </c>
    </row>
    <row r="430" spans="5:5" x14ac:dyDescent="0.2">
      <c r="E430" s="3">
        <v>429</v>
      </c>
    </row>
    <row r="431" spans="5:5" x14ac:dyDescent="0.2">
      <c r="E431" s="3">
        <v>430</v>
      </c>
    </row>
    <row r="432" spans="5:5" x14ac:dyDescent="0.2">
      <c r="E432" s="3">
        <v>431</v>
      </c>
    </row>
    <row r="433" spans="5:5" x14ac:dyDescent="0.2">
      <c r="E433" s="3">
        <v>432</v>
      </c>
    </row>
    <row r="434" spans="5:5" x14ac:dyDescent="0.2">
      <c r="E434" s="3">
        <v>433</v>
      </c>
    </row>
    <row r="435" spans="5:5" x14ac:dyDescent="0.2">
      <c r="E435" s="3">
        <v>434</v>
      </c>
    </row>
    <row r="436" spans="5:5" x14ac:dyDescent="0.2">
      <c r="E436" s="3">
        <v>435</v>
      </c>
    </row>
    <row r="437" spans="5:5" x14ac:dyDescent="0.2">
      <c r="E437" s="3">
        <v>436</v>
      </c>
    </row>
    <row r="438" spans="5:5" x14ac:dyDescent="0.2">
      <c r="E438" s="3">
        <v>437</v>
      </c>
    </row>
    <row r="439" spans="5:5" x14ac:dyDescent="0.2">
      <c r="E439" s="3">
        <v>438</v>
      </c>
    </row>
    <row r="440" spans="5:5" x14ac:dyDescent="0.2">
      <c r="E440" s="3">
        <v>439</v>
      </c>
    </row>
    <row r="441" spans="5:5" x14ac:dyDescent="0.2">
      <c r="E441" s="3">
        <v>440</v>
      </c>
    </row>
    <row r="442" spans="5:5" x14ac:dyDescent="0.2">
      <c r="E442" s="3">
        <v>441</v>
      </c>
    </row>
    <row r="443" spans="5:5" x14ac:dyDescent="0.2">
      <c r="E443" s="3">
        <v>442</v>
      </c>
    </row>
    <row r="444" spans="5:5" x14ac:dyDescent="0.2">
      <c r="E444" s="3">
        <v>443</v>
      </c>
    </row>
    <row r="445" spans="5:5" x14ac:dyDescent="0.2">
      <c r="E445" s="3">
        <v>444</v>
      </c>
    </row>
    <row r="446" spans="5:5" x14ac:dyDescent="0.2">
      <c r="E446" s="3">
        <v>445</v>
      </c>
    </row>
    <row r="447" spans="5:5" x14ac:dyDescent="0.2">
      <c r="E447" s="3">
        <v>446</v>
      </c>
    </row>
    <row r="448" spans="5:5" x14ac:dyDescent="0.2">
      <c r="E448" s="3">
        <v>447</v>
      </c>
    </row>
    <row r="449" spans="5:5" x14ac:dyDescent="0.2">
      <c r="E449" s="3">
        <v>448</v>
      </c>
    </row>
    <row r="450" spans="5:5" x14ac:dyDescent="0.2">
      <c r="E450" s="3">
        <v>449</v>
      </c>
    </row>
    <row r="451" spans="5:5" x14ac:dyDescent="0.2">
      <c r="E451" s="3">
        <v>450</v>
      </c>
    </row>
    <row r="452" spans="5:5" x14ac:dyDescent="0.2">
      <c r="E452" s="3">
        <v>451</v>
      </c>
    </row>
    <row r="453" spans="5:5" x14ac:dyDescent="0.2">
      <c r="E453" s="3">
        <v>452</v>
      </c>
    </row>
    <row r="454" spans="5:5" x14ac:dyDescent="0.2">
      <c r="E454" s="3">
        <v>453</v>
      </c>
    </row>
    <row r="455" spans="5:5" x14ac:dyDescent="0.2">
      <c r="E455" s="3">
        <v>454</v>
      </c>
    </row>
    <row r="456" spans="5:5" x14ac:dyDescent="0.2">
      <c r="E456" s="3">
        <v>455</v>
      </c>
    </row>
    <row r="457" spans="5:5" x14ac:dyDescent="0.2">
      <c r="E457" s="3">
        <v>456</v>
      </c>
    </row>
    <row r="458" spans="5:5" x14ac:dyDescent="0.2">
      <c r="E458" s="3">
        <v>457</v>
      </c>
    </row>
    <row r="459" spans="5:5" x14ac:dyDescent="0.2">
      <c r="E459" s="3">
        <v>458</v>
      </c>
    </row>
    <row r="460" spans="5:5" x14ac:dyDescent="0.2">
      <c r="E460" s="3">
        <v>459</v>
      </c>
    </row>
    <row r="461" spans="5:5" x14ac:dyDescent="0.2">
      <c r="E461" s="3">
        <v>460</v>
      </c>
    </row>
    <row r="462" spans="5:5" x14ac:dyDescent="0.2">
      <c r="E462" s="3">
        <v>461</v>
      </c>
    </row>
    <row r="463" spans="5:5" x14ac:dyDescent="0.2">
      <c r="E463" s="3">
        <v>462</v>
      </c>
    </row>
    <row r="464" spans="5:5" x14ac:dyDescent="0.2">
      <c r="E464" s="3">
        <v>463</v>
      </c>
    </row>
    <row r="465" spans="5:5" x14ac:dyDescent="0.2">
      <c r="E465" s="3">
        <v>464</v>
      </c>
    </row>
    <row r="466" spans="5:5" x14ac:dyDescent="0.2">
      <c r="E466" s="3">
        <v>465</v>
      </c>
    </row>
    <row r="467" spans="5:5" x14ac:dyDescent="0.2">
      <c r="E467" s="3">
        <v>466</v>
      </c>
    </row>
    <row r="468" spans="5:5" x14ac:dyDescent="0.2">
      <c r="E468" s="3">
        <v>467</v>
      </c>
    </row>
    <row r="469" spans="5:5" x14ac:dyDescent="0.2">
      <c r="E469" s="3">
        <v>468</v>
      </c>
    </row>
    <row r="470" spans="5:5" x14ac:dyDescent="0.2">
      <c r="E470" s="3">
        <v>469</v>
      </c>
    </row>
    <row r="471" spans="5:5" x14ac:dyDescent="0.2">
      <c r="E471" s="3">
        <v>470</v>
      </c>
    </row>
    <row r="472" spans="5:5" x14ac:dyDescent="0.2">
      <c r="E472" s="3">
        <v>471</v>
      </c>
    </row>
    <row r="473" spans="5:5" x14ac:dyDescent="0.2">
      <c r="E473" s="3">
        <v>472</v>
      </c>
    </row>
    <row r="474" spans="5:5" x14ac:dyDescent="0.2">
      <c r="E474" s="3">
        <v>473</v>
      </c>
    </row>
    <row r="475" spans="5:5" x14ac:dyDescent="0.2">
      <c r="E475" s="3">
        <v>474</v>
      </c>
    </row>
    <row r="476" spans="5:5" x14ac:dyDescent="0.2">
      <c r="E476" s="3">
        <v>475</v>
      </c>
    </row>
    <row r="477" spans="5:5" x14ac:dyDescent="0.2">
      <c r="E477" s="3">
        <v>476</v>
      </c>
    </row>
    <row r="478" spans="5:5" x14ac:dyDescent="0.2">
      <c r="E478" s="3">
        <v>477</v>
      </c>
    </row>
    <row r="479" spans="5:5" x14ac:dyDescent="0.2">
      <c r="E479" s="3">
        <v>478</v>
      </c>
    </row>
    <row r="480" spans="5:5" x14ac:dyDescent="0.2">
      <c r="E480" s="3">
        <v>479</v>
      </c>
    </row>
    <row r="481" spans="5:5" x14ac:dyDescent="0.2">
      <c r="E481" s="3">
        <v>480</v>
      </c>
    </row>
    <row r="482" spans="5:5" x14ac:dyDescent="0.2">
      <c r="E482" s="3">
        <v>481</v>
      </c>
    </row>
    <row r="483" spans="5:5" x14ac:dyDescent="0.2">
      <c r="E483" s="3">
        <v>482</v>
      </c>
    </row>
    <row r="484" spans="5:5" x14ac:dyDescent="0.2">
      <c r="E484" s="3">
        <v>483</v>
      </c>
    </row>
    <row r="485" spans="5:5" x14ac:dyDescent="0.2">
      <c r="E485" s="3">
        <v>484</v>
      </c>
    </row>
    <row r="486" spans="5:5" x14ac:dyDescent="0.2">
      <c r="E486" s="3">
        <v>485</v>
      </c>
    </row>
    <row r="487" spans="5:5" x14ac:dyDescent="0.2">
      <c r="E487" s="3">
        <v>486</v>
      </c>
    </row>
    <row r="488" spans="5:5" x14ac:dyDescent="0.2">
      <c r="E488" s="3">
        <v>487</v>
      </c>
    </row>
    <row r="489" spans="5:5" x14ac:dyDescent="0.2">
      <c r="E489" s="3">
        <v>488</v>
      </c>
    </row>
    <row r="490" spans="5:5" x14ac:dyDescent="0.2">
      <c r="E490" s="3">
        <v>489</v>
      </c>
    </row>
    <row r="491" spans="5:5" x14ac:dyDescent="0.2">
      <c r="E491" s="3">
        <v>490</v>
      </c>
    </row>
    <row r="492" spans="5:5" x14ac:dyDescent="0.2">
      <c r="E492" s="3">
        <v>491</v>
      </c>
    </row>
    <row r="493" spans="5:5" x14ac:dyDescent="0.2">
      <c r="E493" s="3">
        <v>492</v>
      </c>
    </row>
    <row r="494" spans="5:5" x14ac:dyDescent="0.2">
      <c r="E494" s="3">
        <v>493</v>
      </c>
    </row>
    <row r="495" spans="5:5" x14ac:dyDescent="0.2">
      <c r="E495" s="3">
        <v>494</v>
      </c>
    </row>
    <row r="496" spans="5:5" x14ac:dyDescent="0.2">
      <c r="E496" s="3">
        <v>495</v>
      </c>
    </row>
    <row r="497" spans="5:5" x14ac:dyDescent="0.2">
      <c r="E497" s="3">
        <v>496</v>
      </c>
    </row>
    <row r="498" spans="5:5" x14ac:dyDescent="0.2">
      <c r="E498" s="3">
        <v>497</v>
      </c>
    </row>
    <row r="499" spans="5:5" x14ac:dyDescent="0.2">
      <c r="E499" s="3">
        <v>498</v>
      </c>
    </row>
    <row r="500" spans="5:5" x14ac:dyDescent="0.2">
      <c r="E500" s="3">
        <v>499</v>
      </c>
    </row>
    <row r="501" spans="5:5" x14ac:dyDescent="0.2">
      <c r="E501" s="3">
        <v>500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RESERVAS</vt:lpstr>
      <vt:lpstr>BBDD</vt:lpstr>
      <vt:lpstr>CHECK-IN</vt:lpstr>
      <vt:lpstr>COBRANZA</vt:lpstr>
      <vt:lpstr>EJEMPLO JIP</vt:lpstr>
      <vt:lpstr>Pricing</vt:lpstr>
      <vt:lpstr>precio</vt:lpstr>
      <vt:lpstr>Mantenedor</vt:lpstr>
      <vt:lpstr>ListaVacia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Icaza</dc:creator>
  <cp:lastModifiedBy>Javier Icaza</cp:lastModifiedBy>
  <dcterms:created xsi:type="dcterms:W3CDTF">2025-09-29T16:19:36Z</dcterms:created>
  <dcterms:modified xsi:type="dcterms:W3CDTF">2025-10-02T16:40:32Z</dcterms:modified>
</cp:coreProperties>
</file>