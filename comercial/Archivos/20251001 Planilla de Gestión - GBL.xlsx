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bycosoi/Desktop/Astral/GBL/"/>
    </mc:Choice>
  </mc:AlternateContent>
  <xr:revisionPtr revIDLastSave="0" documentId="8_{26ED68F5-9CDA-D045-9AF6-6B47BD83EB6B}" xr6:coauthVersionLast="47" xr6:coauthVersionMax="47" xr10:uidLastSave="{00000000-0000-0000-0000-000000000000}"/>
  <bookViews>
    <workbookView xWindow="0" yWindow="760" windowWidth="30240" windowHeight="18880" xr2:uid="{24CAD798-F53C-4268-AD2A-9BCB5D759923}"/>
  </bookViews>
  <sheets>
    <sheet name="RESERVAS" sheetId="14" r:id="rId1"/>
    <sheet name="BBDD" sheetId="15" r:id="rId2"/>
    <sheet name="CHECK-IN" sheetId="17" r:id="rId3"/>
    <sheet name="COBRANZA" sheetId="19" r:id="rId4"/>
    <sheet name="EJEMPLO JIP" sheetId="1" r:id="rId5"/>
    <sheet name="Pricing" sheetId="11" r:id="rId6"/>
    <sheet name="precio" sheetId="5" r:id="rId7"/>
    <sheet name="Mantenedor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/>
  <c r="K33" i="14"/>
  <c r="J33" i="14"/>
  <c r="K32" i="14"/>
  <c r="J32" i="14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K22" i="14"/>
  <c r="K21" i="14"/>
  <c r="K20" i="14"/>
  <c r="K19" i="14"/>
  <c r="K18" i="14"/>
  <c r="K17" i="14"/>
  <c r="K16" i="14"/>
  <c r="K15" i="14"/>
  <c r="K14" i="14"/>
  <c r="J23" i="14"/>
  <c r="J22" i="14"/>
  <c r="J21" i="14"/>
  <c r="J20" i="14"/>
  <c r="J19" i="14"/>
  <c r="J18" i="14"/>
  <c r="J17" i="14"/>
  <c r="J16" i="14"/>
  <c r="J15" i="14"/>
  <c r="J14" i="14"/>
  <c r="A3" i="15"/>
  <c r="A4" i="15"/>
  <c r="A5" i="15"/>
  <c r="A6" i="15"/>
  <c r="A7" i="15"/>
  <c r="A8" i="15"/>
  <c r="A9" i="15"/>
  <c r="A10" i="15"/>
  <c r="A11" i="15"/>
  <c r="J12" i="17"/>
  <c r="J11" i="17"/>
  <c r="J10" i="17"/>
  <c r="J9" i="17"/>
  <c r="J8" i="17"/>
  <c r="E8" i="17" a="1"/>
  <c r="E8" i="17" s="1"/>
  <c r="N502" i="15"/>
  <c r="L502" i="15"/>
  <c r="A502" i="15"/>
  <c r="N501" i="15"/>
  <c r="L501" i="15"/>
  <c r="A501" i="15"/>
  <c r="N500" i="15"/>
  <c r="L500" i="15"/>
  <c r="A500" i="15"/>
  <c r="N499" i="15"/>
  <c r="L499" i="15"/>
  <c r="A499" i="15"/>
  <c r="N498" i="15"/>
  <c r="L498" i="15"/>
  <c r="A498" i="15"/>
  <c r="N497" i="15"/>
  <c r="L497" i="15"/>
  <c r="A497" i="15"/>
  <c r="N496" i="15"/>
  <c r="L496" i="15"/>
  <c r="A496" i="15"/>
  <c r="N495" i="15"/>
  <c r="L495" i="15"/>
  <c r="A495" i="15"/>
  <c r="N494" i="15"/>
  <c r="L494" i="15"/>
  <c r="A494" i="15"/>
  <c r="N493" i="15"/>
  <c r="L493" i="15"/>
  <c r="A493" i="15"/>
  <c r="N492" i="15"/>
  <c r="L492" i="15"/>
  <c r="A492" i="15"/>
  <c r="N491" i="15"/>
  <c r="L491" i="15"/>
  <c r="A491" i="15"/>
  <c r="N490" i="15"/>
  <c r="L490" i="15"/>
  <c r="A490" i="15"/>
  <c r="N489" i="15"/>
  <c r="L489" i="15"/>
  <c r="A489" i="15"/>
  <c r="N488" i="15"/>
  <c r="L488" i="15"/>
  <c r="A488" i="15"/>
  <c r="N487" i="15"/>
  <c r="L487" i="15"/>
  <c r="A487" i="15"/>
  <c r="N486" i="15"/>
  <c r="L486" i="15"/>
  <c r="A486" i="15"/>
  <c r="N485" i="15"/>
  <c r="L485" i="15"/>
  <c r="A485" i="15"/>
  <c r="N484" i="15"/>
  <c r="L484" i="15"/>
  <c r="A484" i="15"/>
  <c r="N483" i="15"/>
  <c r="L483" i="15"/>
  <c r="A483" i="15"/>
  <c r="N482" i="15"/>
  <c r="L482" i="15"/>
  <c r="A482" i="15"/>
  <c r="N481" i="15"/>
  <c r="L481" i="15"/>
  <c r="A481" i="15"/>
  <c r="N480" i="15"/>
  <c r="L480" i="15"/>
  <c r="A480" i="15"/>
  <c r="N479" i="15"/>
  <c r="L479" i="15"/>
  <c r="A479" i="15"/>
  <c r="N478" i="15"/>
  <c r="L478" i="15"/>
  <c r="A478" i="15"/>
  <c r="N477" i="15"/>
  <c r="L477" i="15"/>
  <c r="A477" i="15"/>
  <c r="N476" i="15"/>
  <c r="L476" i="15"/>
  <c r="A476" i="15"/>
  <c r="N475" i="15"/>
  <c r="L475" i="15"/>
  <c r="A475" i="15"/>
  <c r="N474" i="15"/>
  <c r="L474" i="15"/>
  <c r="A474" i="15"/>
  <c r="N473" i="15"/>
  <c r="L473" i="15"/>
  <c r="A473" i="15"/>
  <c r="N472" i="15"/>
  <c r="L472" i="15"/>
  <c r="A472" i="15"/>
  <c r="N471" i="15"/>
  <c r="L471" i="15"/>
  <c r="A471" i="15"/>
  <c r="N470" i="15"/>
  <c r="L470" i="15"/>
  <c r="A470" i="15"/>
  <c r="N469" i="15"/>
  <c r="L469" i="15"/>
  <c r="A469" i="15"/>
  <c r="N468" i="15"/>
  <c r="L468" i="15"/>
  <c r="A468" i="15"/>
  <c r="N467" i="15"/>
  <c r="L467" i="15"/>
  <c r="A467" i="15"/>
  <c r="N466" i="15"/>
  <c r="L466" i="15"/>
  <c r="A466" i="15"/>
  <c r="N465" i="15"/>
  <c r="L465" i="15"/>
  <c r="A465" i="15"/>
  <c r="N464" i="15"/>
  <c r="L464" i="15"/>
  <c r="A464" i="15"/>
  <c r="N463" i="15"/>
  <c r="L463" i="15"/>
  <c r="A463" i="15"/>
  <c r="N462" i="15"/>
  <c r="L462" i="15"/>
  <c r="A462" i="15"/>
  <c r="N461" i="15"/>
  <c r="L461" i="15"/>
  <c r="A461" i="15"/>
  <c r="N460" i="15"/>
  <c r="L460" i="15"/>
  <c r="A460" i="15"/>
  <c r="N459" i="15"/>
  <c r="L459" i="15"/>
  <c r="A459" i="15"/>
  <c r="N458" i="15"/>
  <c r="L458" i="15"/>
  <c r="A458" i="15"/>
  <c r="N457" i="15"/>
  <c r="L457" i="15"/>
  <c r="A457" i="15"/>
  <c r="N456" i="15"/>
  <c r="L456" i="15"/>
  <c r="A456" i="15"/>
  <c r="N455" i="15"/>
  <c r="L455" i="15"/>
  <c r="A455" i="15"/>
  <c r="N454" i="15"/>
  <c r="L454" i="15"/>
  <c r="A454" i="15"/>
  <c r="N453" i="15"/>
  <c r="L453" i="15"/>
  <c r="A453" i="15"/>
  <c r="N452" i="15"/>
  <c r="L452" i="15"/>
  <c r="A452" i="15"/>
  <c r="N451" i="15"/>
  <c r="L451" i="15"/>
  <c r="A451" i="15"/>
  <c r="N450" i="15"/>
  <c r="L450" i="15"/>
  <c r="A450" i="15"/>
  <c r="N449" i="15"/>
  <c r="L449" i="15"/>
  <c r="A449" i="15"/>
  <c r="N448" i="15"/>
  <c r="L448" i="15"/>
  <c r="A448" i="15"/>
  <c r="N447" i="15"/>
  <c r="L447" i="15"/>
  <c r="A447" i="15"/>
  <c r="N446" i="15"/>
  <c r="L446" i="15"/>
  <c r="A446" i="15"/>
  <c r="N445" i="15"/>
  <c r="L445" i="15"/>
  <c r="A445" i="15"/>
  <c r="N444" i="15"/>
  <c r="L444" i="15"/>
  <c r="A444" i="15"/>
  <c r="N443" i="15"/>
  <c r="L443" i="15"/>
  <c r="A443" i="15"/>
  <c r="N442" i="15"/>
  <c r="L442" i="15"/>
  <c r="A442" i="15"/>
  <c r="N441" i="15"/>
  <c r="L441" i="15"/>
  <c r="A441" i="15"/>
  <c r="N440" i="15"/>
  <c r="L440" i="15"/>
  <c r="A440" i="15"/>
  <c r="N439" i="15"/>
  <c r="L439" i="15"/>
  <c r="A439" i="15"/>
  <c r="N438" i="15"/>
  <c r="L438" i="15"/>
  <c r="A438" i="15"/>
  <c r="N437" i="15"/>
  <c r="L437" i="15"/>
  <c r="A437" i="15"/>
  <c r="N436" i="15"/>
  <c r="L436" i="15"/>
  <c r="A436" i="15"/>
  <c r="N435" i="15"/>
  <c r="L435" i="15"/>
  <c r="A435" i="15"/>
  <c r="N434" i="15"/>
  <c r="L434" i="15"/>
  <c r="A434" i="15"/>
  <c r="N433" i="15"/>
  <c r="L433" i="15"/>
  <c r="A433" i="15"/>
  <c r="N432" i="15"/>
  <c r="L432" i="15"/>
  <c r="A432" i="15"/>
  <c r="N431" i="15"/>
  <c r="L431" i="15"/>
  <c r="A431" i="15"/>
  <c r="N430" i="15"/>
  <c r="L430" i="15"/>
  <c r="A430" i="15"/>
  <c r="N429" i="15"/>
  <c r="L429" i="15"/>
  <c r="A429" i="15"/>
  <c r="N428" i="15"/>
  <c r="L428" i="15"/>
  <c r="A428" i="15"/>
  <c r="N427" i="15"/>
  <c r="L427" i="15"/>
  <c r="A427" i="15"/>
  <c r="N426" i="15"/>
  <c r="L426" i="15"/>
  <c r="A426" i="15"/>
  <c r="N425" i="15"/>
  <c r="L425" i="15"/>
  <c r="A425" i="15"/>
  <c r="N424" i="15"/>
  <c r="L424" i="15"/>
  <c r="A424" i="15"/>
  <c r="N423" i="15"/>
  <c r="L423" i="15"/>
  <c r="A423" i="15"/>
  <c r="N422" i="15"/>
  <c r="L422" i="15"/>
  <c r="A422" i="15"/>
  <c r="N421" i="15"/>
  <c r="L421" i="15"/>
  <c r="A421" i="15"/>
  <c r="N420" i="15"/>
  <c r="L420" i="15"/>
  <c r="A420" i="15"/>
  <c r="N419" i="15"/>
  <c r="L419" i="15"/>
  <c r="A419" i="15"/>
  <c r="N418" i="15"/>
  <c r="L418" i="15"/>
  <c r="A418" i="15"/>
  <c r="N417" i="15"/>
  <c r="L417" i="15"/>
  <c r="A417" i="15"/>
  <c r="N416" i="15"/>
  <c r="L416" i="15"/>
  <c r="A416" i="15"/>
  <c r="N415" i="15"/>
  <c r="L415" i="15"/>
  <c r="A415" i="15"/>
  <c r="N414" i="15"/>
  <c r="L414" i="15"/>
  <c r="A414" i="15"/>
  <c r="N413" i="15"/>
  <c r="L413" i="15"/>
  <c r="A413" i="15"/>
  <c r="N412" i="15"/>
  <c r="L412" i="15"/>
  <c r="A412" i="15"/>
  <c r="N411" i="15"/>
  <c r="L411" i="15"/>
  <c r="A411" i="15"/>
  <c r="N410" i="15"/>
  <c r="L410" i="15"/>
  <c r="A410" i="15"/>
  <c r="N409" i="15"/>
  <c r="L409" i="15"/>
  <c r="A409" i="15"/>
  <c r="N408" i="15"/>
  <c r="L408" i="15"/>
  <c r="A408" i="15"/>
  <c r="N407" i="15"/>
  <c r="L407" i="15"/>
  <c r="A407" i="15"/>
  <c r="N406" i="15"/>
  <c r="L406" i="15"/>
  <c r="A406" i="15"/>
  <c r="N405" i="15"/>
  <c r="L405" i="15"/>
  <c r="A405" i="15"/>
  <c r="N404" i="15"/>
  <c r="L404" i="15"/>
  <c r="A404" i="15"/>
  <c r="N403" i="15"/>
  <c r="L403" i="15"/>
  <c r="A403" i="15"/>
  <c r="N402" i="15"/>
  <c r="L402" i="15"/>
  <c r="A402" i="15"/>
  <c r="N401" i="15"/>
  <c r="L401" i="15"/>
  <c r="A401" i="15"/>
  <c r="N400" i="15"/>
  <c r="L400" i="15"/>
  <c r="A400" i="15"/>
  <c r="N399" i="15"/>
  <c r="L399" i="15"/>
  <c r="A399" i="15"/>
  <c r="N398" i="15"/>
  <c r="L398" i="15"/>
  <c r="A398" i="15"/>
  <c r="N397" i="15"/>
  <c r="L397" i="15"/>
  <c r="A397" i="15"/>
  <c r="N396" i="15"/>
  <c r="L396" i="15"/>
  <c r="A396" i="15"/>
  <c r="N395" i="15"/>
  <c r="L395" i="15"/>
  <c r="A395" i="15"/>
  <c r="N394" i="15"/>
  <c r="L394" i="15"/>
  <c r="A394" i="15"/>
  <c r="N393" i="15"/>
  <c r="L393" i="15"/>
  <c r="A393" i="15"/>
  <c r="N392" i="15"/>
  <c r="L392" i="15"/>
  <c r="A392" i="15"/>
  <c r="N391" i="15"/>
  <c r="L391" i="15"/>
  <c r="A391" i="15"/>
  <c r="N390" i="15"/>
  <c r="L390" i="15"/>
  <c r="A390" i="15"/>
  <c r="N389" i="15"/>
  <c r="L389" i="15"/>
  <c r="A389" i="15"/>
  <c r="N388" i="15"/>
  <c r="L388" i="15"/>
  <c r="A388" i="15"/>
  <c r="N387" i="15"/>
  <c r="L387" i="15"/>
  <c r="A387" i="15"/>
  <c r="N386" i="15"/>
  <c r="L386" i="15"/>
  <c r="A386" i="15"/>
  <c r="N385" i="15"/>
  <c r="L385" i="15"/>
  <c r="A385" i="15"/>
  <c r="N384" i="15"/>
  <c r="L384" i="15"/>
  <c r="A384" i="15"/>
  <c r="N383" i="15"/>
  <c r="L383" i="15"/>
  <c r="A383" i="15"/>
  <c r="N382" i="15"/>
  <c r="L382" i="15"/>
  <c r="A382" i="15"/>
  <c r="N381" i="15"/>
  <c r="L381" i="15"/>
  <c r="A381" i="15"/>
  <c r="N380" i="15"/>
  <c r="L380" i="15"/>
  <c r="A380" i="15"/>
  <c r="N379" i="15"/>
  <c r="L379" i="15"/>
  <c r="A379" i="15"/>
  <c r="N378" i="15"/>
  <c r="L378" i="15"/>
  <c r="A378" i="15"/>
  <c r="N377" i="15"/>
  <c r="L377" i="15"/>
  <c r="A377" i="15"/>
  <c r="N376" i="15"/>
  <c r="L376" i="15"/>
  <c r="A376" i="15"/>
  <c r="N375" i="15"/>
  <c r="L375" i="15"/>
  <c r="A375" i="15"/>
  <c r="N374" i="15"/>
  <c r="L374" i="15"/>
  <c r="A374" i="15"/>
  <c r="N373" i="15"/>
  <c r="L373" i="15"/>
  <c r="A373" i="15"/>
  <c r="N372" i="15"/>
  <c r="L372" i="15"/>
  <c r="A372" i="15"/>
  <c r="N371" i="15"/>
  <c r="L371" i="15"/>
  <c r="A371" i="15"/>
  <c r="N370" i="15"/>
  <c r="L370" i="15"/>
  <c r="A370" i="15"/>
  <c r="N369" i="15"/>
  <c r="L369" i="15"/>
  <c r="A369" i="15"/>
  <c r="N368" i="15"/>
  <c r="L368" i="15"/>
  <c r="A368" i="15"/>
  <c r="N367" i="15"/>
  <c r="L367" i="15"/>
  <c r="A367" i="15"/>
  <c r="N366" i="15"/>
  <c r="L366" i="15"/>
  <c r="A366" i="15"/>
  <c r="N365" i="15"/>
  <c r="L365" i="15"/>
  <c r="A365" i="15"/>
  <c r="N364" i="15"/>
  <c r="L364" i="15"/>
  <c r="A364" i="15"/>
  <c r="N363" i="15"/>
  <c r="L363" i="15"/>
  <c r="A363" i="15"/>
  <c r="N362" i="15"/>
  <c r="L362" i="15"/>
  <c r="A362" i="15"/>
  <c r="N361" i="15"/>
  <c r="L361" i="15"/>
  <c r="A361" i="15"/>
  <c r="N360" i="15"/>
  <c r="L360" i="15"/>
  <c r="A360" i="15"/>
  <c r="N359" i="15"/>
  <c r="L359" i="15"/>
  <c r="A359" i="15"/>
  <c r="N358" i="15"/>
  <c r="L358" i="15"/>
  <c r="A358" i="15"/>
  <c r="N357" i="15"/>
  <c r="L357" i="15"/>
  <c r="A357" i="15"/>
  <c r="N356" i="15"/>
  <c r="L356" i="15"/>
  <c r="A356" i="15"/>
  <c r="N355" i="15"/>
  <c r="L355" i="15"/>
  <c r="A355" i="15"/>
  <c r="N354" i="15"/>
  <c r="L354" i="15"/>
  <c r="A354" i="15"/>
  <c r="N353" i="15"/>
  <c r="L353" i="15"/>
  <c r="A353" i="15"/>
  <c r="N352" i="15"/>
  <c r="L352" i="15"/>
  <c r="A352" i="15"/>
  <c r="N351" i="15"/>
  <c r="L351" i="15"/>
  <c r="A351" i="15"/>
  <c r="N350" i="15"/>
  <c r="L350" i="15"/>
  <c r="A350" i="15"/>
  <c r="N349" i="15"/>
  <c r="L349" i="15"/>
  <c r="A349" i="15"/>
  <c r="N348" i="15"/>
  <c r="L348" i="15"/>
  <c r="A348" i="15"/>
  <c r="N347" i="15"/>
  <c r="L347" i="15"/>
  <c r="A347" i="15"/>
  <c r="N346" i="15"/>
  <c r="L346" i="15"/>
  <c r="A346" i="15"/>
  <c r="N345" i="15"/>
  <c r="L345" i="15"/>
  <c r="A345" i="15"/>
  <c r="N344" i="15"/>
  <c r="L344" i="15"/>
  <c r="A344" i="15"/>
  <c r="N343" i="15"/>
  <c r="L343" i="15"/>
  <c r="A343" i="15"/>
  <c r="N342" i="15"/>
  <c r="L342" i="15"/>
  <c r="A342" i="15"/>
  <c r="N341" i="15"/>
  <c r="L341" i="15"/>
  <c r="A341" i="15"/>
  <c r="N340" i="15"/>
  <c r="L340" i="15"/>
  <c r="A340" i="15"/>
  <c r="N339" i="15"/>
  <c r="L339" i="15"/>
  <c r="A339" i="15"/>
  <c r="N338" i="15"/>
  <c r="L338" i="15"/>
  <c r="A338" i="15"/>
  <c r="N337" i="15"/>
  <c r="L337" i="15"/>
  <c r="A337" i="15"/>
  <c r="N336" i="15"/>
  <c r="L336" i="15"/>
  <c r="A336" i="15"/>
  <c r="N335" i="15"/>
  <c r="L335" i="15"/>
  <c r="A335" i="15"/>
  <c r="N334" i="15"/>
  <c r="L334" i="15"/>
  <c r="A334" i="15"/>
  <c r="N333" i="15"/>
  <c r="L333" i="15"/>
  <c r="A333" i="15"/>
  <c r="N332" i="15"/>
  <c r="L332" i="15"/>
  <c r="A332" i="15"/>
  <c r="N331" i="15"/>
  <c r="L331" i="15"/>
  <c r="A331" i="15"/>
  <c r="N330" i="15"/>
  <c r="L330" i="15"/>
  <c r="A330" i="15"/>
  <c r="N329" i="15"/>
  <c r="L329" i="15"/>
  <c r="A329" i="15"/>
  <c r="N328" i="15"/>
  <c r="L328" i="15"/>
  <c r="A328" i="15"/>
  <c r="N327" i="15"/>
  <c r="L327" i="15"/>
  <c r="A327" i="15"/>
  <c r="N326" i="15"/>
  <c r="L326" i="15"/>
  <c r="A326" i="15"/>
  <c r="N325" i="15"/>
  <c r="L325" i="15"/>
  <c r="A325" i="15"/>
  <c r="N324" i="15"/>
  <c r="L324" i="15"/>
  <c r="A324" i="15"/>
  <c r="N323" i="15"/>
  <c r="L323" i="15"/>
  <c r="A323" i="15"/>
  <c r="N322" i="15"/>
  <c r="L322" i="15"/>
  <c r="A322" i="15"/>
  <c r="N321" i="15"/>
  <c r="L321" i="15"/>
  <c r="A321" i="15"/>
  <c r="N320" i="15"/>
  <c r="L320" i="15"/>
  <c r="A320" i="15"/>
  <c r="N319" i="15"/>
  <c r="L319" i="15"/>
  <c r="A319" i="15"/>
  <c r="N318" i="15"/>
  <c r="L318" i="15"/>
  <c r="A318" i="15"/>
  <c r="N317" i="15"/>
  <c r="L317" i="15"/>
  <c r="A317" i="15"/>
  <c r="N316" i="15"/>
  <c r="L316" i="15"/>
  <c r="A316" i="15"/>
  <c r="N315" i="15"/>
  <c r="L315" i="15"/>
  <c r="A315" i="15"/>
  <c r="N314" i="15"/>
  <c r="L314" i="15"/>
  <c r="A314" i="15"/>
  <c r="N313" i="15"/>
  <c r="L313" i="15"/>
  <c r="A313" i="15"/>
  <c r="N312" i="15"/>
  <c r="L312" i="15"/>
  <c r="A312" i="15"/>
  <c r="N311" i="15"/>
  <c r="L311" i="15"/>
  <c r="A311" i="15"/>
  <c r="N310" i="15"/>
  <c r="L310" i="15"/>
  <c r="A310" i="15"/>
  <c r="N309" i="15"/>
  <c r="L309" i="15"/>
  <c r="A309" i="15"/>
  <c r="N308" i="15"/>
  <c r="L308" i="15"/>
  <c r="A308" i="15"/>
  <c r="N307" i="15"/>
  <c r="L307" i="15"/>
  <c r="A307" i="15"/>
  <c r="N306" i="15"/>
  <c r="L306" i="15"/>
  <c r="A306" i="15"/>
  <c r="N305" i="15"/>
  <c r="L305" i="15"/>
  <c r="A305" i="15"/>
  <c r="N304" i="15"/>
  <c r="L304" i="15"/>
  <c r="A304" i="15"/>
  <c r="N303" i="15"/>
  <c r="L303" i="15"/>
  <c r="A303" i="15"/>
  <c r="N302" i="15"/>
  <c r="L302" i="15"/>
  <c r="A302" i="15"/>
  <c r="N301" i="15"/>
  <c r="L301" i="15"/>
  <c r="A301" i="15"/>
  <c r="N300" i="15"/>
  <c r="L300" i="15"/>
  <c r="A300" i="15"/>
  <c r="N299" i="15"/>
  <c r="L299" i="15"/>
  <c r="A299" i="15"/>
  <c r="N298" i="15"/>
  <c r="L298" i="15"/>
  <c r="A298" i="15"/>
  <c r="N297" i="15"/>
  <c r="L297" i="15"/>
  <c r="A297" i="15"/>
  <c r="N296" i="15"/>
  <c r="L296" i="15"/>
  <c r="A296" i="15"/>
  <c r="N295" i="15"/>
  <c r="L295" i="15"/>
  <c r="A295" i="15"/>
  <c r="N294" i="15"/>
  <c r="L294" i="15"/>
  <c r="A294" i="15"/>
  <c r="N293" i="15"/>
  <c r="L293" i="15"/>
  <c r="A293" i="15"/>
  <c r="N292" i="15"/>
  <c r="L292" i="15"/>
  <c r="A292" i="15"/>
  <c r="N291" i="15"/>
  <c r="L291" i="15"/>
  <c r="A291" i="15"/>
  <c r="N290" i="15"/>
  <c r="L290" i="15"/>
  <c r="A290" i="15"/>
  <c r="N289" i="15"/>
  <c r="L289" i="15"/>
  <c r="A289" i="15"/>
  <c r="N288" i="15"/>
  <c r="L288" i="15"/>
  <c r="A288" i="15"/>
  <c r="N287" i="15"/>
  <c r="L287" i="15"/>
  <c r="A287" i="15"/>
  <c r="N286" i="15"/>
  <c r="L286" i="15"/>
  <c r="A286" i="15"/>
  <c r="N285" i="15"/>
  <c r="L285" i="15"/>
  <c r="A285" i="15"/>
  <c r="N284" i="15"/>
  <c r="L284" i="15"/>
  <c r="A284" i="15"/>
  <c r="N283" i="15"/>
  <c r="L283" i="15"/>
  <c r="A283" i="15"/>
  <c r="N282" i="15"/>
  <c r="L282" i="15"/>
  <c r="A282" i="15"/>
  <c r="N281" i="15"/>
  <c r="L281" i="15"/>
  <c r="A281" i="15"/>
  <c r="N280" i="15"/>
  <c r="L280" i="15"/>
  <c r="A280" i="15"/>
  <c r="N279" i="15"/>
  <c r="L279" i="15"/>
  <c r="A279" i="15"/>
  <c r="N278" i="15"/>
  <c r="L278" i="15"/>
  <c r="A278" i="15"/>
  <c r="N277" i="15"/>
  <c r="L277" i="15"/>
  <c r="A277" i="15"/>
  <c r="N276" i="15"/>
  <c r="L276" i="15"/>
  <c r="A276" i="15"/>
  <c r="N275" i="15"/>
  <c r="L275" i="15"/>
  <c r="A275" i="15"/>
  <c r="N274" i="15"/>
  <c r="L274" i="15"/>
  <c r="A274" i="15"/>
  <c r="N273" i="15"/>
  <c r="L273" i="15"/>
  <c r="A273" i="15"/>
  <c r="N272" i="15"/>
  <c r="L272" i="15"/>
  <c r="A272" i="15"/>
  <c r="N271" i="15"/>
  <c r="L271" i="15"/>
  <c r="A271" i="15"/>
  <c r="N270" i="15"/>
  <c r="L270" i="15"/>
  <c r="A270" i="15"/>
  <c r="N269" i="15"/>
  <c r="L269" i="15"/>
  <c r="A269" i="15"/>
  <c r="N268" i="15"/>
  <c r="L268" i="15"/>
  <c r="A268" i="15"/>
  <c r="N267" i="15"/>
  <c r="L267" i="15"/>
  <c r="A267" i="15"/>
  <c r="N266" i="15"/>
  <c r="L266" i="15"/>
  <c r="A266" i="15"/>
  <c r="N265" i="15"/>
  <c r="L265" i="15"/>
  <c r="A265" i="15"/>
  <c r="N264" i="15"/>
  <c r="L264" i="15"/>
  <c r="A264" i="15"/>
  <c r="N263" i="15"/>
  <c r="L263" i="15"/>
  <c r="A263" i="15"/>
  <c r="N262" i="15"/>
  <c r="L262" i="15"/>
  <c r="A262" i="15"/>
  <c r="N261" i="15"/>
  <c r="L261" i="15"/>
  <c r="A261" i="15"/>
  <c r="N260" i="15"/>
  <c r="L260" i="15"/>
  <c r="A260" i="15"/>
  <c r="N259" i="15"/>
  <c r="L259" i="15"/>
  <c r="A259" i="15"/>
  <c r="N258" i="15"/>
  <c r="L258" i="15"/>
  <c r="A258" i="15"/>
  <c r="N257" i="15"/>
  <c r="L257" i="15"/>
  <c r="A257" i="15"/>
  <c r="N256" i="15"/>
  <c r="L256" i="15"/>
  <c r="A256" i="15"/>
  <c r="N255" i="15"/>
  <c r="L255" i="15"/>
  <c r="A255" i="15"/>
  <c r="N254" i="15"/>
  <c r="L254" i="15"/>
  <c r="A254" i="15"/>
  <c r="N253" i="15"/>
  <c r="L253" i="15"/>
  <c r="A253" i="15"/>
  <c r="N252" i="15"/>
  <c r="L252" i="15"/>
  <c r="A252" i="15"/>
  <c r="N251" i="15"/>
  <c r="L251" i="15"/>
  <c r="A251" i="15"/>
  <c r="N250" i="15"/>
  <c r="L250" i="15"/>
  <c r="A250" i="15"/>
  <c r="N249" i="15"/>
  <c r="L249" i="15"/>
  <c r="A249" i="15"/>
  <c r="N248" i="15"/>
  <c r="L248" i="15"/>
  <c r="A248" i="15"/>
  <c r="N247" i="15"/>
  <c r="L247" i="15"/>
  <c r="A247" i="15"/>
  <c r="N246" i="15"/>
  <c r="L246" i="15"/>
  <c r="A246" i="15"/>
  <c r="N245" i="15"/>
  <c r="L245" i="15"/>
  <c r="A245" i="15"/>
  <c r="N244" i="15"/>
  <c r="L244" i="15"/>
  <c r="A244" i="15"/>
  <c r="N243" i="15"/>
  <c r="L243" i="15"/>
  <c r="A243" i="15"/>
  <c r="N242" i="15"/>
  <c r="L242" i="15"/>
  <c r="A242" i="15"/>
  <c r="N241" i="15"/>
  <c r="L241" i="15"/>
  <c r="A241" i="15"/>
  <c r="N240" i="15"/>
  <c r="L240" i="15"/>
  <c r="A240" i="15"/>
  <c r="N239" i="15"/>
  <c r="L239" i="15"/>
  <c r="A239" i="15"/>
  <c r="N238" i="15"/>
  <c r="L238" i="15"/>
  <c r="A238" i="15"/>
  <c r="N237" i="15"/>
  <c r="L237" i="15"/>
  <c r="A237" i="15"/>
  <c r="N236" i="15"/>
  <c r="L236" i="15"/>
  <c r="A236" i="15"/>
  <c r="N235" i="15"/>
  <c r="L235" i="15"/>
  <c r="A235" i="15"/>
  <c r="N234" i="15"/>
  <c r="L234" i="15"/>
  <c r="A234" i="15"/>
  <c r="N233" i="15"/>
  <c r="L233" i="15"/>
  <c r="A233" i="15"/>
  <c r="N232" i="15"/>
  <c r="L232" i="15"/>
  <c r="A232" i="15"/>
  <c r="N231" i="15"/>
  <c r="L231" i="15"/>
  <c r="A231" i="15"/>
  <c r="N230" i="15"/>
  <c r="L230" i="15"/>
  <c r="A230" i="15"/>
  <c r="N229" i="15"/>
  <c r="L229" i="15"/>
  <c r="A229" i="15"/>
  <c r="N228" i="15"/>
  <c r="L228" i="15"/>
  <c r="A228" i="15"/>
  <c r="N227" i="15"/>
  <c r="L227" i="15"/>
  <c r="A227" i="15"/>
  <c r="N226" i="15"/>
  <c r="L226" i="15"/>
  <c r="A226" i="15"/>
  <c r="N225" i="15"/>
  <c r="L225" i="15"/>
  <c r="A225" i="15"/>
  <c r="N224" i="15"/>
  <c r="L224" i="15"/>
  <c r="A224" i="15"/>
  <c r="N223" i="15"/>
  <c r="L223" i="15"/>
  <c r="A223" i="15"/>
  <c r="N222" i="15"/>
  <c r="L222" i="15"/>
  <c r="A222" i="15"/>
  <c r="N221" i="15"/>
  <c r="L221" i="15"/>
  <c r="A221" i="15"/>
  <c r="N220" i="15"/>
  <c r="L220" i="15"/>
  <c r="A220" i="15"/>
  <c r="N219" i="15"/>
  <c r="L219" i="15"/>
  <c r="A219" i="15"/>
  <c r="N218" i="15"/>
  <c r="L218" i="15"/>
  <c r="A218" i="15"/>
  <c r="N217" i="15"/>
  <c r="L217" i="15"/>
  <c r="A217" i="15"/>
  <c r="N216" i="15"/>
  <c r="L216" i="15"/>
  <c r="A216" i="15"/>
  <c r="N215" i="15"/>
  <c r="L215" i="15"/>
  <c r="A215" i="15"/>
  <c r="N214" i="15"/>
  <c r="L214" i="15"/>
  <c r="A214" i="15"/>
  <c r="N213" i="15"/>
  <c r="L213" i="15"/>
  <c r="A213" i="15"/>
  <c r="N212" i="15"/>
  <c r="L212" i="15"/>
  <c r="A212" i="15"/>
  <c r="N211" i="15"/>
  <c r="L211" i="15"/>
  <c r="A211" i="15"/>
  <c r="N210" i="15"/>
  <c r="L210" i="15"/>
  <c r="A210" i="15"/>
  <c r="N209" i="15"/>
  <c r="L209" i="15"/>
  <c r="A209" i="15"/>
  <c r="N208" i="15"/>
  <c r="L208" i="15"/>
  <c r="A208" i="15"/>
  <c r="N207" i="15"/>
  <c r="L207" i="15"/>
  <c r="A207" i="15"/>
  <c r="N206" i="15"/>
  <c r="L206" i="15"/>
  <c r="A206" i="15"/>
  <c r="N205" i="15"/>
  <c r="L205" i="15"/>
  <c r="A205" i="15"/>
  <c r="N204" i="15"/>
  <c r="L204" i="15"/>
  <c r="A204" i="15"/>
  <c r="N203" i="15"/>
  <c r="L203" i="15"/>
  <c r="A203" i="15"/>
  <c r="N202" i="15"/>
  <c r="L202" i="15"/>
  <c r="A202" i="15"/>
  <c r="N201" i="15"/>
  <c r="L201" i="15"/>
  <c r="A201" i="15"/>
  <c r="N200" i="15"/>
  <c r="L200" i="15"/>
  <c r="A200" i="15"/>
  <c r="N199" i="15"/>
  <c r="L199" i="15"/>
  <c r="A199" i="15"/>
  <c r="N198" i="15"/>
  <c r="L198" i="15"/>
  <c r="A198" i="15"/>
  <c r="N197" i="15"/>
  <c r="L197" i="15"/>
  <c r="A197" i="15"/>
  <c r="N196" i="15"/>
  <c r="L196" i="15"/>
  <c r="A196" i="15"/>
  <c r="N195" i="15"/>
  <c r="L195" i="15"/>
  <c r="A195" i="15"/>
  <c r="N194" i="15"/>
  <c r="L194" i="15"/>
  <c r="A194" i="15"/>
  <c r="N193" i="15"/>
  <c r="L193" i="15"/>
  <c r="A193" i="15"/>
  <c r="N192" i="15"/>
  <c r="L192" i="15"/>
  <c r="A192" i="15"/>
  <c r="N191" i="15"/>
  <c r="L191" i="15"/>
  <c r="A191" i="15"/>
  <c r="N190" i="15"/>
  <c r="L190" i="15"/>
  <c r="A190" i="15"/>
  <c r="N189" i="15"/>
  <c r="L189" i="15"/>
  <c r="A189" i="15"/>
  <c r="N188" i="15"/>
  <c r="L188" i="15"/>
  <c r="A188" i="15"/>
  <c r="N187" i="15"/>
  <c r="L187" i="15"/>
  <c r="A187" i="15"/>
  <c r="N186" i="15"/>
  <c r="L186" i="15"/>
  <c r="A186" i="15"/>
  <c r="N185" i="15"/>
  <c r="L185" i="15"/>
  <c r="A185" i="15"/>
  <c r="N184" i="15"/>
  <c r="L184" i="15"/>
  <c r="A184" i="15"/>
  <c r="N183" i="15"/>
  <c r="L183" i="15"/>
  <c r="A183" i="15"/>
  <c r="N182" i="15"/>
  <c r="L182" i="15"/>
  <c r="A182" i="15"/>
  <c r="N181" i="15"/>
  <c r="L181" i="15"/>
  <c r="A181" i="15"/>
  <c r="N180" i="15"/>
  <c r="L180" i="15"/>
  <c r="A180" i="15"/>
  <c r="N179" i="15"/>
  <c r="L179" i="15"/>
  <c r="A179" i="15"/>
  <c r="N178" i="15"/>
  <c r="L178" i="15"/>
  <c r="A178" i="15"/>
  <c r="N177" i="15"/>
  <c r="L177" i="15"/>
  <c r="A177" i="15"/>
  <c r="N176" i="15"/>
  <c r="L176" i="15"/>
  <c r="A176" i="15"/>
  <c r="N175" i="15"/>
  <c r="L175" i="15"/>
  <c r="A175" i="15"/>
  <c r="N174" i="15"/>
  <c r="L174" i="15"/>
  <c r="A174" i="15"/>
  <c r="N173" i="15"/>
  <c r="L173" i="15"/>
  <c r="A173" i="15"/>
  <c r="N172" i="15"/>
  <c r="L172" i="15"/>
  <c r="A172" i="15"/>
  <c r="N171" i="15"/>
  <c r="L171" i="15"/>
  <c r="A171" i="15"/>
  <c r="N170" i="15"/>
  <c r="L170" i="15"/>
  <c r="A170" i="15"/>
  <c r="N169" i="15"/>
  <c r="L169" i="15"/>
  <c r="A169" i="15"/>
  <c r="N168" i="15"/>
  <c r="L168" i="15"/>
  <c r="A168" i="15"/>
  <c r="N167" i="15"/>
  <c r="L167" i="15"/>
  <c r="A167" i="15"/>
  <c r="N166" i="15"/>
  <c r="L166" i="15"/>
  <c r="A166" i="15"/>
  <c r="N165" i="15"/>
  <c r="L165" i="15"/>
  <c r="A165" i="15"/>
  <c r="N164" i="15"/>
  <c r="L164" i="15"/>
  <c r="A164" i="15"/>
  <c r="N163" i="15"/>
  <c r="L163" i="15"/>
  <c r="A163" i="15"/>
  <c r="N162" i="15"/>
  <c r="L162" i="15"/>
  <c r="A162" i="15"/>
  <c r="N161" i="15"/>
  <c r="L161" i="15"/>
  <c r="A161" i="15"/>
  <c r="N160" i="15"/>
  <c r="L160" i="15"/>
  <c r="A160" i="15"/>
  <c r="N159" i="15"/>
  <c r="L159" i="15"/>
  <c r="A159" i="15"/>
  <c r="N158" i="15"/>
  <c r="L158" i="15"/>
  <c r="A158" i="15"/>
  <c r="N157" i="15"/>
  <c r="L157" i="15"/>
  <c r="A157" i="15"/>
  <c r="N156" i="15"/>
  <c r="L156" i="15"/>
  <c r="A156" i="15"/>
  <c r="N155" i="15"/>
  <c r="L155" i="15"/>
  <c r="A155" i="15"/>
  <c r="N154" i="15"/>
  <c r="L154" i="15"/>
  <c r="A154" i="15"/>
  <c r="N153" i="15"/>
  <c r="L153" i="15"/>
  <c r="A153" i="15"/>
  <c r="N152" i="15"/>
  <c r="L152" i="15"/>
  <c r="A152" i="15"/>
  <c r="N151" i="15"/>
  <c r="L151" i="15"/>
  <c r="A151" i="15"/>
  <c r="N150" i="15"/>
  <c r="L150" i="15"/>
  <c r="A150" i="15"/>
  <c r="N149" i="15"/>
  <c r="L149" i="15"/>
  <c r="A149" i="15"/>
  <c r="N148" i="15"/>
  <c r="L148" i="15"/>
  <c r="A148" i="15"/>
  <c r="N147" i="15"/>
  <c r="L147" i="15"/>
  <c r="A147" i="15"/>
  <c r="N146" i="15"/>
  <c r="L146" i="15"/>
  <c r="A146" i="15"/>
  <c r="N145" i="15"/>
  <c r="L145" i="15"/>
  <c r="A145" i="15"/>
  <c r="N144" i="15"/>
  <c r="L144" i="15"/>
  <c r="A144" i="15"/>
  <c r="N143" i="15"/>
  <c r="L143" i="15"/>
  <c r="A143" i="15"/>
  <c r="N142" i="15"/>
  <c r="L142" i="15"/>
  <c r="A142" i="15"/>
  <c r="N141" i="15"/>
  <c r="L141" i="15"/>
  <c r="A141" i="15"/>
  <c r="N140" i="15"/>
  <c r="L140" i="15"/>
  <c r="A140" i="15"/>
  <c r="N139" i="15"/>
  <c r="L139" i="15"/>
  <c r="A139" i="15"/>
  <c r="N138" i="15"/>
  <c r="L138" i="15"/>
  <c r="A138" i="15"/>
  <c r="N137" i="15"/>
  <c r="L137" i="15"/>
  <c r="A137" i="15"/>
  <c r="N136" i="15"/>
  <c r="L136" i="15"/>
  <c r="A136" i="15"/>
  <c r="N135" i="15"/>
  <c r="L135" i="15"/>
  <c r="A135" i="15"/>
  <c r="N134" i="15"/>
  <c r="L134" i="15"/>
  <c r="A134" i="15"/>
  <c r="N133" i="15"/>
  <c r="L133" i="15"/>
  <c r="A133" i="15"/>
  <c r="N132" i="15"/>
  <c r="L132" i="15"/>
  <c r="A132" i="15"/>
  <c r="N131" i="15"/>
  <c r="L131" i="15"/>
  <c r="A131" i="15"/>
  <c r="N130" i="15"/>
  <c r="L130" i="15"/>
  <c r="A130" i="15"/>
  <c r="N129" i="15"/>
  <c r="L129" i="15"/>
  <c r="A129" i="15"/>
  <c r="N128" i="15"/>
  <c r="L128" i="15"/>
  <c r="A128" i="15"/>
  <c r="N127" i="15"/>
  <c r="L127" i="15"/>
  <c r="A127" i="15"/>
  <c r="N126" i="15"/>
  <c r="L126" i="15"/>
  <c r="A126" i="15"/>
  <c r="N125" i="15"/>
  <c r="L125" i="15"/>
  <c r="A125" i="15"/>
  <c r="N124" i="15"/>
  <c r="L124" i="15"/>
  <c r="A124" i="15"/>
  <c r="N123" i="15"/>
  <c r="L123" i="15"/>
  <c r="A123" i="15"/>
  <c r="N122" i="15"/>
  <c r="L122" i="15"/>
  <c r="A122" i="15"/>
  <c r="N121" i="15"/>
  <c r="L121" i="15"/>
  <c r="A121" i="15"/>
  <c r="N120" i="15"/>
  <c r="L120" i="15"/>
  <c r="A120" i="15"/>
  <c r="N119" i="15"/>
  <c r="L119" i="15"/>
  <c r="A119" i="15"/>
  <c r="N118" i="15"/>
  <c r="L118" i="15"/>
  <c r="A118" i="15"/>
  <c r="N117" i="15"/>
  <c r="L117" i="15"/>
  <c r="A117" i="15"/>
  <c r="N116" i="15"/>
  <c r="L116" i="15"/>
  <c r="A116" i="15"/>
  <c r="N115" i="15"/>
  <c r="L115" i="15"/>
  <c r="A115" i="15"/>
  <c r="N114" i="15"/>
  <c r="L114" i="15"/>
  <c r="A114" i="15"/>
  <c r="N113" i="15"/>
  <c r="L113" i="15"/>
  <c r="A113" i="15"/>
  <c r="N112" i="15"/>
  <c r="L112" i="15"/>
  <c r="A112" i="15"/>
  <c r="N111" i="15"/>
  <c r="L111" i="15"/>
  <c r="A111" i="15"/>
  <c r="N110" i="15"/>
  <c r="L110" i="15"/>
  <c r="A110" i="15"/>
  <c r="N109" i="15"/>
  <c r="L109" i="15"/>
  <c r="A109" i="15"/>
  <c r="N108" i="15"/>
  <c r="L108" i="15"/>
  <c r="A108" i="15"/>
  <c r="N107" i="15"/>
  <c r="L107" i="15"/>
  <c r="A107" i="15"/>
  <c r="N106" i="15"/>
  <c r="L106" i="15"/>
  <c r="A106" i="15"/>
  <c r="N105" i="15"/>
  <c r="L105" i="15"/>
  <c r="A105" i="15"/>
  <c r="N104" i="15"/>
  <c r="O104" i="15" s="1"/>
  <c r="L104" i="15"/>
  <c r="A104" i="15"/>
  <c r="N103" i="15"/>
  <c r="L103" i="15"/>
  <c r="A103" i="15"/>
  <c r="N102" i="15"/>
  <c r="L102" i="15"/>
  <c r="A102" i="15"/>
  <c r="N101" i="15"/>
  <c r="L101" i="15"/>
  <c r="A101" i="15"/>
  <c r="N100" i="15"/>
  <c r="L100" i="15"/>
  <c r="A100" i="15"/>
  <c r="N99" i="15"/>
  <c r="L99" i="15"/>
  <c r="A99" i="15"/>
  <c r="N98" i="15"/>
  <c r="L98" i="15"/>
  <c r="A98" i="15"/>
  <c r="N97" i="15"/>
  <c r="L97" i="15"/>
  <c r="A97" i="15"/>
  <c r="N96" i="15"/>
  <c r="L96" i="15"/>
  <c r="A96" i="15"/>
  <c r="N95" i="15"/>
  <c r="L95" i="15"/>
  <c r="A95" i="15"/>
  <c r="N94" i="15"/>
  <c r="L94" i="15"/>
  <c r="A94" i="15"/>
  <c r="N93" i="15"/>
  <c r="L93" i="15"/>
  <c r="A93" i="15"/>
  <c r="N92" i="15"/>
  <c r="L92" i="15"/>
  <c r="A92" i="15"/>
  <c r="N91" i="15"/>
  <c r="L91" i="15"/>
  <c r="A91" i="15"/>
  <c r="N90" i="15"/>
  <c r="L90" i="15"/>
  <c r="A90" i="15"/>
  <c r="N89" i="15"/>
  <c r="L89" i="15"/>
  <c r="A89" i="15"/>
  <c r="N88" i="15"/>
  <c r="L88" i="15"/>
  <c r="A88" i="15"/>
  <c r="N87" i="15"/>
  <c r="L87" i="15"/>
  <c r="A87" i="15"/>
  <c r="N86" i="15"/>
  <c r="L86" i="15"/>
  <c r="A86" i="15"/>
  <c r="N85" i="15"/>
  <c r="L85" i="15"/>
  <c r="A85" i="15"/>
  <c r="N84" i="15"/>
  <c r="L84" i="15"/>
  <c r="A84" i="15"/>
  <c r="N83" i="15"/>
  <c r="L83" i="15"/>
  <c r="A83" i="15"/>
  <c r="N82" i="15"/>
  <c r="L82" i="15"/>
  <c r="A82" i="15"/>
  <c r="N81" i="15"/>
  <c r="L81" i="15"/>
  <c r="A81" i="15"/>
  <c r="N80" i="15"/>
  <c r="L80" i="15"/>
  <c r="A80" i="15"/>
  <c r="N79" i="15"/>
  <c r="L79" i="15"/>
  <c r="A79" i="15"/>
  <c r="N78" i="15"/>
  <c r="L78" i="15"/>
  <c r="A78" i="15"/>
  <c r="N77" i="15"/>
  <c r="L77" i="15"/>
  <c r="A77" i="15"/>
  <c r="N76" i="15"/>
  <c r="L76" i="15"/>
  <c r="A76" i="15"/>
  <c r="N75" i="15"/>
  <c r="L75" i="15"/>
  <c r="A75" i="15"/>
  <c r="N74" i="15"/>
  <c r="L74" i="15"/>
  <c r="A74" i="15"/>
  <c r="N73" i="15"/>
  <c r="L73" i="15"/>
  <c r="A73" i="15"/>
  <c r="N72" i="15"/>
  <c r="L72" i="15"/>
  <c r="A72" i="15"/>
  <c r="N71" i="15"/>
  <c r="L71" i="15"/>
  <c r="A71" i="15"/>
  <c r="N70" i="15"/>
  <c r="L70" i="15"/>
  <c r="A70" i="15"/>
  <c r="N69" i="15"/>
  <c r="L69" i="15"/>
  <c r="A69" i="15"/>
  <c r="N68" i="15"/>
  <c r="L68" i="15"/>
  <c r="A68" i="15"/>
  <c r="N67" i="15"/>
  <c r="L67" i="15"/>
  <c r="A67" i="15"/>
  <c r="N66" i="15"/>
  <c r="L66" i="15"/>
  <c r="A66" i="15"/>
  <c r="N65" i="15"/>
  <c r="L65" i="15"/>
  <c r="A65" i="15"/>
  <c r="N64" i="15"/>
  <c r="L64" i="15"/>
  <c r="A64" i="15"/>
  <c r="N63" i="15"/>
  <c r="L63" i="15"/>
  <c r="A63" i="15"/>
  <c r="N62" i="15"/>
  <c r="L62" i="15"/>
  <c r="A62" i="15"/>
  <c r="N61" i="15"/>
  <c r="L61" i="15"/>
  <c r="A61" i="15"/>
  <c r="N60" i="15"/>
  <c r="L60" i="15"/>
  <c r="A60" i="15"/>
  <c r="N59" i="15"/>
  <c r="L59" i="15"/>
  <c r="A59" i="15"/>
  <c r="N58" i="15"/>
  <c r="L58" i="15"/>
  <c r="A58" i="15"/>
  <c r="N57" i="15"/>
  <c r="L57" i="15"/>
  <c r="A57" i="15"/>
  <c r="N56" i="15"/>
  <c r="L56" i="15"/>
  <c r="A56" i="15"/>
  <c r="N55" i="15"/>
  <c r="L55" i="15"/>
  <c r="A55" i="15"/>
  <c r="N54" i="15"/>
  <c r="L54" i="15"/>
  <c r="A54" i="15"/>
  <c r="N53" i="15"/>
  <c r="L53" i="15"/>
  <c r="A53" i="15"/>
  <c r="N52" i="15"/>
  <c r="L52" i="15"/>
  <c r="A52" i="15"/>
  <c r="N51" i="15"/>
  <c r="L51" i="15"/>
  <c r="A51" i="15"/>
  <c r="N50" i="15"/>
  <c r="L50" i="15"/>
  <c r="A50" i="15"/>
  <c r="N49" i="15"/>
  <c r="L49" i="15"/>
  <c r="A49" i="15"/>
  <c r="N48" i="15"/>
  <c r="L48" i="15"/>
  <c r="A48" i="15"/>
  <c r="N47" i="15"/>
  <c r="L47" i="15"/>
  <c r="A47" i="15"/>
  <c r="N46" i="15"/>
  <c r="L46" i="15"/>
  <c r="A46" i="15"/>
  <c r="N45" i="15"/>
  <c r="L45" i="15"/>
  <c r="A45" i="15"/>
  <c r="N44" i="15"/>
  <c r="L44" i="15"/>
  <c r="A44" i="15"/>
  <c r="N43" i="15"/>
  <c r="L43" i="15"/>
  <c r="A43" i="15"/>
  <c r="N42" i="15"/>
  <c r="L42" i="15"/>
  <c r="A42" i="15"/>
  <c r="N41" i="15"/>
  <c r="L41" i="15"/>
  <c r="A41" i="15"/>
  <c r="N40" i="15"/>
  <c r="L40" i="15"/>
  <c r="A40" i="15"/>
  <c r="N39" i="15"/>
  <c r="L39" i="15"/>
  <c r="A39" i="15"/>
  <c r="N38" i="15"/>
  <c r="L38" i="15"/>
  <c r="A38" i="15"/>
  <c r="N37" i="15"/>
  <c r="L37" i="15"/>
  <c r="A37" i="15"/>
  <c r="N36" i="15"/>
  <c r="L36" i="15"/>
  <c r="A36" i="15"/>
  <c r="N35" i="15"/>
  <c r="L35" i="15"/>
  <c r="A35" i="15"/>
  <c r="N34" i="15"/>
  <c r="L34" i="15"/>
  <c r="A34" i="15"/>
  <c r="N33" i="15"/>
  <c r="L33" i="15"/>
  <c r="A33" i="15"/>
  <c r="N32" i="15"/>
  <c r="L32" i="15"/>
  <c r="A32" i="15"/>
  <c r="N31" i="15"/>
  <c r="L31" i="15"/>
  <c r="A31" i="15"/>
  <c r="N30" i="15"/>
  <c r="L30" i="15"/>
  <c r="A30" i="15"/>
  <c r="N29" i="15"/>
  <c r="L29" i="15"/>
  <c r="A29" i="15"/>
  <c r="N28" i="15"/>
  <c r="L28" i="15"/>
  <c r="A28" i="15"/>
  <c r="N27" i="15"/>
  <c r="L27" i="15"/>
  <c r="A27" i="15"/>
  <c r="N26" i="15"/>
  <c r="L26" i="15"/>
  <c r="A26" i="15"/>
  <c r="N25" i="15"/>
  <c r="L25" i="15"/>
  <c r="A25" i="15"/>
  <c r="N24" i="15"/>
  <c r="L24" i="15"/>
  <c r="A24" i="15"/>
  <c r="N23" i="15"/>
  <c r="L23" i="15"/>
  <c r="A23" i="15"/>
  <c r="N22" i="15"/>
  <c r="L22" i="15"/>
  <c r="A22" i="15"/>
  <c r="N21" i="15"/>
  <c r="L21" i="15"/>
  <c r="A21" i="15"/>
  <c r="N20" i="15"/>
  <c r="L20" i="15"/>
  <c r="A20" i="15"/>
  <c r="N19" i="15"/>
  <c r="L19" i="15"/>
  <c r="A19" i="15"/>
  <c r="N18" i="15"/>
  <c r="L18" i="15"/>
  <c r="A18" i="15"/>
  <c r="N17" i="15"/>
  <c r="L17" i="15"/>
  <c r="A17" i="15"/>
  <c r="N16" i="15"/>
  <c r="L16" i="15"/>
  <c r="A16" i="15"/>
  <c r="N15" i="15"/>
  <c r="L15" i="15"/>
  <c r="A15" i="15"/>
  <c r="N14" i="15"/>
  <c r="L14" i="15"/>
  <c r="A14" i="15"/>
  <c r="N13" i="15"/>
  <c r="L13" i="15"/>
  <c r="A13" i="15"/>
  <c r="N12" i="15"/>
  <c r="L12" i="15"/>
  <c r="A12" i="15"/>
  <c r="N11" i="15"/>
  <c r="L11" i="15"/>
  <c r="N10" i="15"/>
  <c r="L10" i="15"/>
  <c r="N9" i="15"/>
  <c r="L9" i="15"/>
  <c r="N8" i="15"/>
  <c r="N7" i="15"/>
  <c r="N6" i="15"/>
  <c r="L6" i="15"/>
  <c r="N5" i="15"/>
  <c r="L5" i="15"/>
  <c r="N4" i="15"/>
  <c r="L4" i="15"/>
  <c r="N3" i="15"/>
  <c r="L3" i="15"/>
  <c r="D47" i="11"/>
  <c r="D48" i="11"/>
  <c r="D49" i="11"/>
  <c r="D50" i="11"/>
  <c r="D51" i="11"/>
  <c r="D52" i="11"/>
  <c r="D53" i="11"/>
  <c r="D54" i="11"/>
  <c r="D55" i="11"/>
  <c r="D56" i="11"/>
  <c r="D57" i="11"/>
  <c r="D46" i="11"/>
  <c r="D45" i="11"/>
  <c r="D44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2" i="11"/>
  <c r="B6" i="11"/>
  <c r="B9" i="11" s="1"/>
  <c r="B12" i="11" s="1"/>
  <c r="B15" i="11" s="1"/>
  <c r="B18" i="11" s="1"/>
  <c r="B21" i="11" s="1"/>
  <c r="B24" i="11" s="1"/>
  <c r="B27" i="11" s="1"/>
  <c r="B30" i="11" s="1"/>
  <c r="B33" i="11" s="1"/>
  <c r="B36" i="11" s="1"/>
  <c r="B39" i="11" s="1"/>
  <c r="B42" i="11" s="1"/>
  <c r="B7" i="11"/>
  <c r="B10" i="11" s="1"/>
  <c r="B13" i="11" s="1"/>
  <c r="B16" i="11" s="1"/>
  <c r="B19" i="11" s="1"/>
  <c r="B22" i="11" s="1"/>
  <c r="B25" i="11" s="1"/>
  <c r="B28" i="11" s="1"/>
  <c r="B31" i="11" s="1"/>
  <c r="B34" i="11" s="1"/>
  <c r="B37" i="11" s="1"/>
  <c r="B40" i="11" s="1"/>
  <c r="B43" i="11" s="1"/>
  <c r="B5" i="11"/>
  <c r="B8" i="11" s="1"/>
  <c r="B11" i="11" s="1"/>
  <c r="B14" i="11" s="1"/>
  <c r="B17" i="11" s="1"/>
  <c r="B20" i="11" s="1"/>
  <c r="B23" i="11" s="1"/>
  <c r="B26" i="11" s="1"/>
  <c r="B29" i="11" s="1"/>
  <c r="B32" i="11" s="1"/>
  <c r="B35" i="11" s="1"/>
  <c r="B38" i="11" s="1"/>
  <c r="B41" i="11" s="1"/>
  <c r="K16" i="1"/>
  <c r="E36" i="1"/>
  <c r="N29" i="1"/>
  <c r="N28" i="1"/>
  <c r="N27" i="1"/>
  <c r="N26" i="1"/>
  <c r="F37" i="1"/>
  <c r="F38" i="1" s="1"/>
  <c r="F39" i="1" s="1"/>
  <c r="F40" i="1" s="1"/>
  <c r="C32" i="1"/>
  <c r="D37" i="1"/>
  <c r="D38" i="1"/>
  <c r="D39" i="1"/>
  <c r="D40" i="1"/>
  <c r="D36" i="1"/>
  <c r="D49" i="1"/>
  <c r="D50" i="1"/>
  <c r="D51" i="1"/>
  <c r="D52" i="1"/>
  <c r="D53" i="1"/>
  <c r="D54" i="1"/>
  <c r="A37" i="1"/>
  <c r="A38" i="1" s="1"/>
  <c r="A39" i="1" s="1"/>
  <c r="A40" i="1" s="1"/>
  <c r="F41" i="1"/>
  <c r="F21" i="1"/>
  <c r="E21" i="1"/>
  <c r="E20" i="1"/>
  <c r="E19" i="1"/>
  <c r="E18" i="1"/>
  <c r="H18" i="1" s="1"/>
  <c r="I17" i="1"/>
  <c r="I18" i="1" s="1"/>
  <c r="I19" i="1" s="1"/>
  <c r="I20" i="1" s="1"/>
  <c r="E17" i="1"/>
  <c r="E16" i="1"/>
  <c r="H16" i="1" s="1"/>
  <c r="D16" i="1"/>
  <c r="D17" i="1" s="1"/>
  <c r="D18" i="1" s="1"/>
  <c r="C12" i="1"/>
  <c r="I10" i="1"/>
  <c r="C10" i="1"/>
  <c r="F52" i="1"/>
  <c r="F51" i="1"/>
  <c r="F50" i="1"/>
  <c r="F49" i="1"/>
  <c r="C16" i="5"/>
  <c r="C17" i="5" s="1"/>
  <c r="P13" i="5"/>
  <c r="E16" i="5" s="1"/>
  <c r="D13" i="5"/>
  <c r="D7" i="5"/>
  <c r="D6" i="5" s="1"/>
  <c r="C7" i="5"/>
  <c r="C6" i="5" s="1"/>
  <c r="E4" i="5"/>
  <c r="F7" i="5" s="1"/>
  <c r="D4" i="5"/>
  <c r="O475" i="15" l="1"/>
  <c r="O170" i="15"/>
  <c r="O489" i="15"/>
  <c r="O42" i="15"/>
  <c r="O445" i="15"/>
  <c r="O64" i="15"/>
  <c r="O86" i="15"/>
  <c r="O152" i="15"/>
  <c r="O196" i="15"/>
  <c r="O229" i="15"/>
  <c r="O284" i="15"/>
  <c r="O306" i="15"/>
  <c r="O361" i="15"/>
  <c r="O394" i="15"/>
  <c r="O471" i="15"/>
  <c r="O46" i="15"/>
  <c r="O181" i="15"/>
  <c r="O7" i="15"/>
  <c r="O27" i="15"/>
  <c r="O71" i="15"/>
  <c r="O115" i="15"/>
  <c r="O159" i="15"/>
  <c r="O192" i="15"/>
  <c r="O214" i="15"/>
  <c r="O247" i="15"/>
  <c r="O291" i="15"/>
  <c r="O324" i="15"/>
  <c r="O357" i="15"/>
  <c r="O478" i="15"/>
  <c r="O8" i="15"/>
  <c r="O119" i="15"/>
  <c r="O141" i="15"/>
  <c r="O185" i="15"/>
  <c r="O240" i="15"/>
  <c r="O273" i="15"/>
  <c r="O328" i="15"/>
  <c r="O449" i="15"/>
  <c r="O24" i="15"/>
  <c r="O57" i="15"/>
  <c r="O79" i="15"/>
  <c r="O112" i="15"/>
  <c r="O167" i="15"/>
  <c r="O200" i="15"/>
  <c r="O233" i="15"/>
  <c r="O255" i="15"/>
  <c r="O299" i="15"/>
  <c r="O321" i="15"/>
  <c r="O343" i="15"/>
  <c r="O365" i="15"/>
  <c r="O409" i="15"/>
  <c r="O9" i="15"/>
  <c r="O83" i="15"/>
  <c r="O138" i="15"/>
  <c r="O193" i="15"/>
  <c r="O204" i="15"/>
  <c r="O215" i="15"/>
  <c r="O237" i="15"/>
  <c r="O248" i="15"/>
  <c r="O270" i="15"/>
  <c r="O482" i="15"/>
  <c r="O35" i="15"/>
  <c r="O123" i="15"/>
  <c r="O156" i="15"/>
  <c r="O486" i="15"/>
  <c r="O116" i="15"/>
  <c r="O149" i="15"/>
  <c r="O160" i="15"/>
  <c r="O182" i="15"/>
  <c r="O226" i="15"/>
  <c r="O259" i="15"/>
  <c r="O16" i="15"/>
  <c r="O49" i="15"/>
  <c r="O82" i="15"/>
  <c r="O126" i="15"/>
  <c r="O137" i="15"/>
  <c r="O225" i="15"/>
  <c r="O258" i="15"/>
  <c r="O280" i="15"/>
  <c r="O313" i="15"/>
  <c r="O335" i="15"/>
  <c r="O379" i="15"/>
  <c r="O401" i="15"/>
  <c r="O412" i="15"/>
  <c r="O434" i="15"/>
  <c r="O456" i="15"/>
  <c r="O467" i="15"/>
  <c r="O20" i="15"/>
  <c r="O53" i="15"/>
  <c r="O97" i="15"/>
  <c r="O130" i="15"/>
  <c r="O174" i="15"/>
  <c r="O218" i="15"/>
  <c r="O262" i="15"/>
  <c r="O295" i="15"/>
  <c r="O350" i="15"/>
  <c r="O383" i="15"/>
  <c r="O416" i="15"/>
  <c r="O438" i="15"/>
  <c r="O13" i="15"/>
  <c r="O90" i="15"/>
  <c r="O134" i="15"/>
  <c r="O178" i="15"/>
  <c r="O211" i="15"/>
  <c r="O244" i="15"/>
  <c r="O277" i="15"/>
  <c r="O310" i="15"/>
  <c r="O431" i="15"/>
  <c r="O38" i="15"/>
  <c r="O60" i="15"/>
  <c r="O93" i="15"/>
  <c r="O148" i="15"/>
  <c r="O203" i="15"/>
  <c r="O236" i="15"/>
  <c r="O269" i="15"/>
  <c r="O302" i="15"/>
  <c r="O346" i="15"/>
  <c r="O368" i="15"/>
  <c r="O390" i="15"/>
  <c r="O423" i="15"/>
  <c r="O31" i="15"/>
  <c r="O75" i="15"/>
  <c r="O108" i="15"/>
  <c r="O163" i="15"/>
  <c r="O207" i="15"/>
  <c r="O251" i="15"/>
  <c r="O317" i="15"/>
  <c r="O339" i="15"/>
  <c r="O372" i="15"/>
  <c r="O405" i="15"/>
  <c r="O427" i="15"/>
  <c r="O460" i="15"/>
  <c r="O68" i="15"/>
  <c r="O101" i="15"/>
  <c r="O145" i="15"/>
  <c r="O189" i="15"/>
  <c r="O222" i="15"/>
  <c r="O266" i="15"/>
  <c r="O288" i="15"/>
  <c r="O332" i="15"/>
  <c r="O354" i="15"/>
  <c r="O376" i="15"/>
  <c r="O387" i="15"/>
  <c r="O398" i="15"/>
  <c r="O420" i="15"/>
  <c r="O442" i="15"/>
  <c r="O453" i="15"/>
  <c r="O464" i="15"/>
  <c r="O17" i="15"/>
  <c r="O28" i="15"/>
  <c r="O39" i="15"/>
  <c r="O50" i="15"/>
  <c r="O61" i="15"/>
  <c r="O72" i="15"/>
  <c r="O94" i="15"/>
  <c r="O105" i="15"/>
  <c r="O127" i="15"/>
  <c r="O171" i="15"/>
  <c r="O281" i="15"/>
  <c r="O292" i="15"/>
  <c r="O314" i="15"/>
  <c r="O336" i="15"/>
  <c r="O347" i="15"/>
  <c r="O358" i="15"/>
  <c r="O369" i="15"/>
  <c r="O380" i="15"/>
  <c r="O391" i="15"/>
  <c r="O402" i="15"/>
  <c r="O413" i="15"/>
  <c r="O424" i="15"/>
  <c r="O435" i="15"/>
  <c r="O446" i="15"/>
  <c r="O457" i="15"/>
  <c r="O468" i="15"/>
  <c r="O479" i="15"/>
  <c r="O490" i="15"/>
  <c r="O3" i="15"/>
  <c r="O21" i="15"/>
  <c r="O32" i="15"/>
  <c r="O43" i="15"/>
  <c r="O54" i="15"/>
  <c r="O65" i="15"/>
  <c r="O76" i="15"/>
  <c r="O87" i="15"/>
  <c r="O98" i="15"/>
  <c r="O109" i="15"/>
  <c r="O142" i="15"/>
  <c r="O164" i="15"/>
  <c r="O197" i="15"/>
  <c r="O230" i="15"/>
  <c r="O274" i="15"/>
  <c r="O296" i="15"/>
  <c r="O340" i="15"/>
  <c r="O384" i="15"/>
  <c r="O417" i="15"/>
  <c r="O461" i="15"/>
  <c r="O487" i="15"/>
  <c r="O6" i="15"/>
  <c r="O12" i="15"/>
  <c r="O23" i="15"/>
  <c r="O34" i="15"/>
  <c r="O45" i="15"/>
  <c r="O56" i="15"/>
  <c r="O67" i="15"/>
  <c r="O78" i="15"/>
  <c r="O89" i="15"/>
  <c r="O100" i="15"/>
  <c r="O111" i="15"/>
  <c r="O122" i="15"/>
  <c r="O133" i="15"/>
  <c r="O144" i="15"/>
  <c r="O155" i="15"/>
  <c r="O166" i="15"/>
  <c r="O177" i="15"/>
  <c r="O188" i="15"/>
  <c r="O199" i="15"/>
  <c r="O210" i="15"/>
  <c r="O221" i="15"/>
  <c r="O232" i="15"/>
  <c r="O243" i="15"/>
  <c r="O254" i="15"/>
  <c r="O265" i="15"/>
  <c r="O276" i="15"/>
  <c r="O287" i="15"/>
  <c r="O298" i="15"/>
  <c r="O309" i="15"/>
  <c r="O320" i="15"/>
  <c r="O331" i="15"/>
  <c r="O342" i="15"/>
  <c r="O353" i="15"/>
  <c r="O364" i="15"/>
  <c r="O375" i="15"/>
  <c r="O386" i="15"/>
  <c r="O397" i="15"/>
  <c r="O408" i="15"/>
  <c r="O419" i="15"/>
  <c r="O430" i="15"/>
  <c r="O441" i="15"/>
  <c r="O452" i="15"/>
  <c r="O463" i="15"/>
  <c r="O474" i="15"/>
  <c r="O485" i="15"/>
  <c r="O496" i="15"/>
  <c r="O500" i="15"/>
  <c r="O493" i="15"/>
  <c r="O497" i="15"/>
  <c r="O303" i="15"/>
  <c r="O325" i="15"/>
  <c r="O501" i="15"/>
  <c r="O494" i="15"/>
  <c r="O498" i="15"/>
  <c r="O219" i="15"/>
  <c r="O252" i="15"/>
  <c r="O285" i="15"/>
  <c r="O318" i="15"/>
  <c r="O351" i="15"/>
  <c r="O395" i="15"/>
  <c r="O428" i="15"/>
  <c r="O483" i="15"/>
  <c r="O10" i="15"/>
  <c r="O25" i="15"/>
  <c r="O69" i="15"/>
  <c r="O102" i="15"/>
  <c r="O124" i="15"/>
  <c r="O135" i="15"/>
  <c r="O157" i="15"/>
  <c r="O179" i="15"/>
  <c r="O201" i="15"/>
  <c r="O223" i="15"/>
  <c r="O256" i="15"/>
  <c r="O278" i="15"/>
  <c r="O289" i="15"/>
  <c r="O311" i="15"/>
  <c r="O333" i="15"/>
  <c r="O355" i="15"/>
  <c r="O377" i="15"/>
  <c r="O388" i="15"/>
  <c r="O410" i="15"/>
  <c r="O432" i="15"/>
  <c r="O443" i="15"/>
  <c r="O454" i="15"/>
  <c r="O465" i="15"/>
  <c r="O476" i="15"/>
  <c r="O4" i="15"/>
  <c r="O18" i="15"/>
  <c r="O29" i="15"/>
  <c r="O40" i="15"/>
  <c r="O51" i="15"/>
  <c r="O62" i="15"/>
  <c r="O73" i="15"/>
  <c r="O84" i="15"/>
  <c r="O95" i="15"/>
  <c r="O106" i="15"/>
  <c r="O117" i="15"/>
  <c r="O128" i="15"/>
  <c r="O139" i="15"/>
  <c r="O150" i="15"/>
  <c r="O161" i="15"/>
  <c r="O172" i="15"/>
  <c r="O183" i="15"/>
  <c r="O194" i="15"/>
  <c r="O205" i="15"/>
  <c r="O216" i="15"/>
  <c r="O227" i="15"/>
  <c r="O238" i="15"/>
  <c r="O249" i="15"/>
  <c r="O260" i="15"/>
  <c r="O271" i="15"/>
  <c r="O282" i="15"/>
  <c r="O293" i="15"/>
  <c r="O304" i="15"/>
  <c r="O315" i="15"/>
  <c r="O326" i="15"/>
  <c r="O337" i="15"/>
  <c r="O348" i="15"/>
  <c r="O359" i="15"/>
  <c r="O370" i="15"/>
  <c r="O381" i="15"/>
  <c r="O392" i="15"/>
  <c r="O403" i="15"/>
  <c r="O414" i="15"/>
  <c r="O425" i="15"/>
  <c r="O436" i="15"/>
  <c r="O447" i="15"/>
  <c r="O458" i="15"/>
  <c r="O469" i="15"/>
  <c r="O480" i="15"/>
  <c r="O491" i="15"/>
  <c r="O502" i="15"/>
  <c r="O120" i="15"/>
  <c r="O131" i="15"/>
  <c r="O153" i="15"/>
  <c r="O175" i="15"/>
  <c r="O208" i="15"/>
  <c r="O241" i="15"/>
  <c r="O307" i="15"/>
  <c r="O329" i="15"/>
  <c r="O373" i="15"/>
  <c r="O406" i="15"/>
  <c r="O439" i="15"/>
  <c r="O450" i="15"/>
  <c r="O472" i="15"/>
  <c r="O14" i="15"/>
  <c r="O36" i="15"/>
  <c r="O47" i="15"/>
  <c r="O58" i="15"/>
  <c r="O80" i="15"/>
  <c r="O91" i="15"/>
  <c r="O113" i="15"/>
  <c r="O146" i="15"/>
  <c r="O168" i="15"/>
  <c r="O190" i="15"/>
  <c r="O212" i="15"/>
  <c r="O234" i="15"/>
  <c r="O245" i="15"/>
  <c r="O267" i="15"/>
  <c r="O300" i="15"/>
  <c r="O322" i="15"/>
  <c r="O344" i="15"/>
  <c r="O366" i="15"/>
  <c r="O399" i="15"/>
  <c r="O11" i="15"/>
  <c r="O22" i="15"/>
  <c r="O33" i="15"/>
  <c r="O44" i="15"/>
  <c r="O55" i="15"/>
  <c r="O66" i="15"/>
  <c r="O77" i="15"/>
  <c r="O88" i="15"/>
  <c r="O99" i="15"/>
  <c r="O110" i="15"/>
  <c r="O121" i="15"/>
  <c r="O132" i="15"/>
  <c r="O143" i="15"/>
  <c r="O154" i="15"/>
  <c r="O165" i="15"/>
  <c r="O176" i="15"/>
  <c r="O187" i="15"/>
  <c r="O198" i="15"/>
  <c r="O209" i="15"/>
  <c r="O220" i="15"/>
  <c r="O231" i="15"/>
  <c r="O242" i="15"/>
  <c r="O253" i="15"/>
  <c r="O264" i="15"/>
  <c r="O275" i="15"/>
  <c r="O286" i="15"/>
  <c r="O297" i="15"/>
  <c r="O308" i="15"/>
  <c r="O319" i="15"/>
  <c r="O330" i="15"/>
  <c r="O341" i="15"/>
  <c r="O352" i="15"/>
  <c r="O363" i="15"/>
  <c r="O374" i="15"/>
  <c r="O385" i="15"/>
  <c r="O396" i="15"/>
  <c r="O407" i="15"/>
  <c r="O418" i="15"/>
  <c r="O429" i="15"/>
  <c r="O440" i="15"/>
  <c r="O451" i="15"/>
  <c r="O462" i="15"/>
  <c r="O473" i="15"/>
  <c r="O484" i="15"/>
  <c r="O495" i="15"/>
  <c r="O421" i="15"/>
  <c r="O15" i="15"/>
  <c r="O59" i="15"/>
  <c r="O70" i="15"/>
  <c r="O92" i="15"/>
  <c r="O103" i="15"/>
  <c r="O114" i="15"/>
  <c r="O125" i="15"/>
  <c r="O136" i="15"/>
  <c r="O147" i="15"/>
  <c r="O158" i="15"/>
  <c r="O169" i="15"/>
  <c r="O180" i="15"/>
  <c r="O191" i="15"/>
  <c r="O202" i="15"/>
  <c r="O213" i="15"/>
  <c r="O224" i="15"/>
  <c r="O235" i="15"/>
  <c r="O246" i="15"/>
  <c r="O257" i="15"/>
  <c r="O268" i="15"/>
  <c r="O279" i="15"/>
  <c r="O290" i="15"/>
  <c r="O301" i="15"/>
  <c r="O312" i="15"/>
  <c r="O323" i="15"/>
  <c r="O334" i="15"/>
  <c r="O345" i="15"/>
  <c r="O356" i="15"/>
  <c r="O367" i="15"/>
  <c r="O378" i="15"/>
  <c r="O389" i="15"/>
  <c r="O400" i="15"/>
  <c r="O411" i="15"/>
  <c r="O422" i="15"/>
  <c r="O433" i="15"/>
  <c r="O444" i="15"/>
  <c r="O455" i="15"/>
  <c r="O466" i="15"/>
  <c r="O477" i="15"/>
  <c r="O488" i="15"/>
  <c r="O499" i="15"/>
  <c r="O186" i="15"/>
  <c r="O263" i="15"/>
  <c r="O362" i="15"/>
  <c r="O5" i="15"/>
  <c r="O26" i="15"/>
  <c r="O37" i="15"/>
  <c r="O48" i="15"/>
  <c r="O81" i="15"/>
  <c r="O19" i="15"/>
  <c r="O30" i="15"/>
  <c r="O41" i="15"/>
  <c r="O52" i="15"/>
  <c r="O63" i="15"/>
  <c r="O74" i="15"/>
  <c r="O85" i="15"/>
  <c r="O96" i="15"/>
  <c r="O107" i="15"/>
  <c r="O118" i="15"/>
  <c r="O129" i="15"/>
  <c r="O140" i="15"/>
  <c r="O151" i="15"/>
  <c r="O162" i="15"/>
  <c r="O173" i="15"/>
  <c r="O184" i="15"/>
  <c r="O195" i="15"/>
  <c r="O206" i="15"/>
  <c r="O217" i="15"/>
  <c r="O228" i="15"/>
  <c r="O239" i="15"/>
  <c r="O250" i="15"/>
  <c r="O261" i="15"/>
  <c r="O272" i="15"/>
  <c r="O283" i="15"/>
  <c r="O294" i="15"/>
  <c r="O305" i="15"/>
  <c r="O316" i="15"/>
  <c r="O327" i="15"/>
  <c r="O338" i="15"/>
  <c r="O349" i="15"/>
  <c r="O360" i="15"/>
  <c r="O371" i="15"/>
  <c r="O382" i="15"/>
  <c r="O393" i="15"/>
  <c r="O404" i="15"/>
  <c r="O415" i="15"/>
  <c r="O426" i="15"/>
  <c r="O437" i="15"/>
  <c r="O448" i="15"/>
  <c r="O459" i="15"/>
  <c r="O470" i="15"/>
  <c r="O481" i="15"/>
  <c r="O492" i="15"/>
  <c r="L8" i="15"/>
  <c r="L7" i="15"/>
  <c r="D41" i="1"/>
  <c r="S26" i="1"/>
  <c r="R26" i="1"/>
  <c r="H21" i="1"/>
  <c r="F22" i="1" s="1"/>
  <c r="K49" i="1" s="1"/>
  <c r="D19" i="1"/>
  <c r="D20" i="1" s="1"/>
  <c r="D21" i="1"/>
  <c r="I21" i="1"/>
  <c r="F8" i="5"/>
  <c r="F6" i="5"/>
  <c r="E17" i="5"/>
  <c r="E15" i="5"/>
  <c r="C8" i="5"/>
  <c r="E13" i="5"/>
  <c r="D8" i="5"/>
  <c r="F4" i="5"/>
  <c r="D16" i="5"/>
  <c r="E7" i="5"/>
  <c r="C15" i="5"/>
  <c r="D22" i="1" l="1"/>
  <c r="E22" i="1"/>
  <c r="J49" i="1"/>
  <c r="F16" i="5"/>
  <c r="F13" i="5"/>
  <c r="E8" i="5"/>
  <c r="E6" i="5"/>
  <c r="G4" i="5"/>
  <c r="G7" i="5"/>
  <c r="D15" i="5"/>
  <c r="D17" i="5"/>
  <c r="H4" i="5" l="1"/>
  <c r="H7" i="5"/>
  <c r="G13" i="5"/>
  <c r="G16" i="5"/>
  <c r="G6" i="5"/>
  <c r="G8" i="5"/>
  <c r="F15" i="5"/>
  <c r="F17" i="5"/>
  <c r="G17" i="5" l="1"/>
  <c r="G15" i="5"/>
  <c r="H13" i="5"/>
  <c r="H16" i="5"/>
  <c r="H8" i="5"/>
  <c r="H6" i="5"/>
  <c r="I4" i="5"/>
  <c r="I7" i="5"/>
  <c r="J4" i="5" l="1"/>
  <c r="J7" i="5"/>
  <c r="I8" i="5"/>
  <c r="I6" i="5"/>
  <c r="H15" i="5"/>
  <c r="H17" i="5"/>
  <c r="I13" i="5"/>
  <c r="I16" i="5"/>
  <c r="I17" i="5" l="1"/>
  <c r="I15" i="5"/>
  <c r="J13" i="5"/>
  <c r="J16" i="5"/>
  <c r="J8" i="5"/>
  <c r="J6" i="5"/>
  <c r="K4" i="5"/>
  <c r="K7" i="5"/>
  <c r="L4" i="5" l="1"/>
  <c r="L7" i="5"/>
  <c r="K13" i="5"/>
  <c r="K16" i="5"/>
  <c r="K8" i="5"/>
  <c r="K6" i="5"/>
  <c r="J15" i="5"/>
  <c r="J17" i="5"/>
  <c r="L13" i="5" l="1"/>
  <c r="L16" i="5"/>
  <c r="K15" i="5"/>
  <c r="K17" i="5"/>
  <c r="L6" i="5"/>
  <c r="L8" i="5"/>
  <c r="M4" i="5"/>
  <c r="M7" i="5"/>
  <c r="M6" i="5" l="1"/>
  <c r="M8" i="5"/>
  <c r="L15" i="5"/>
  <c r="L17" i="5"/>
  <c r="N4" i="5"/>
  <c r="N7" i="5"/>
  <c r="M13" i="5"/>
  <c r="M16" i="5"/>
  <c r="N13" i="5" l="1"/>
  <c r="N16" i="5"/>
  <c r="N6" i="5"/>
  <c r="N8" i="5"/>
  <c r="M17" i="5"/>
  <c r="M15" i="5"/>
  <c r="O4" i="5"/>
  <c r="P7" i="5" s="1"/>
  <c r="O7" i="5"/>
  <c r="P8" i="5" l="1"/>
  <c r="P6" i="5"/>
  <c r="O6" i="5"/>
  <c r="O8" i="5"/>
  <c r="N17" i="5"/>
  <c r="N15" i="5"/>
  <c r="O13" i="5"/>
  <c r="P16" i="5" s="1"/>
  <c r="O16" i="5"/>
  <c r="P17" i="5" l="1"/>
  <c r="P15" i="5"/>
  <c r="O15" i="5"/>
  <c r="O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<sst xmlns="http://schemas.openxmlformats.org/spreadsheetml/2006/main" count="662" uniqueCount="253">
  <si>
    <t>RESERVA</t>
  </si>
  <si>
    <t>- mail</t>
  </si>
  <si>
    <t>- telefono</t>
  </si>
  <si>
    <t>- nombre contacto</t>
  </si>
  <si>
    <t>- check in</t>
  </si>
  <si>
    <t>- check out</t>
  </si>
  <si>
    <t>ENVIO</t>
  </si>
  <si>
    <t>MONTO</t>
  </si>
  <si>
    <t>ADEUDADO</t>
  </si>
  <si>
    <t>- valor bruto programa</t>
  </si>
  <si>
    <t>GRUPO</t>
  </si>
  <si>
    <t>ABONO</t>
  </si>
  <si>
    <t>PAGO</t>
  </si>
  <si>
    <t>RESPUESTA</t>
  </si>
  <si>
    <t>Mail / Celular</t>
  </si>
  <si>
    <t>Noches</t>
  </si>
  <si>
    <t>FECHA</t>
  </si>
  <si>
    <t>BRUTO</t>
  </si>
  <si>
    <t>PASAJEROS</t>
  </si>
  <si>
    <t>- fecha reserva</t>
  </si>
  <si>
    <t>OBSERVACIONES</t>
  </si>
  <si>
    <t>reserva - 30</t>
  </si>
  <si>
    <t>reserva - 45</t>
  </si>
  <si>
    <t>reserva - 60</t>
  </si>
  <si>
    <t>reserva - 75</t>
  </si>
  <si>
    <t>reserva - 90</t>
  </si>
  <si>
    <t>reserva - 105</t>
  </si>
  <si>
    <t>llamar</t>
  </si>
  <si>
    <t>PLAZO</t>
  </si>
  <si>
    <t>check in - 45</t>
  </si>
  <si>
    <t>check in - 30</t>
  </si>
  <si>
    <t>check in - 15</t>
  </si>
  <si>
    <t>check in - 7</t>
  </si>
  <si>
    <t>MEDIO</t>
  </si>
  <si>
    <t>PAGO RESERVA (50%)</t>
  </si>
  <si>
    <t>PAGO SALDO (50%)</t>
  </si>
  <si>
    <t>TRANSACCIONES</t>
  </si>
  <si>
    <t>GREEN BAKER LODGE</t>
  </si>
  <si>
    <t>AREA PESCA</t>
  </si>
  <si>
    <t>V°B°</t>
  </si>
  <si>
    <t>Jorge Icaza Perez</t>
  </si>
  <si>
    <t>jicaza@vecta.cl</t>
  </si>
  <si>
    <t>9 9318 3704</t>
  </si>
  <si>
    <t>Alejandra Icaza Gana</t>
  </si>
  <si>
    <t>Javier Icaza Gana</t>
  </si>
  <si>
    <t>Anibal Icaza Gana</t>
  </si>
  <si>
    <t>FSN</t>
  </si>
  <si>
    <t>- numero de dias</t>
  </si>
  <si>
    <t>transbank</t>
  </si>
  <si>
    <t>TOTAL</t>
  </si>
  <si>
    <t>sin pago Alejandra Icaza. Es HOSTED</t>
  </si>
  <si>
    <t>TARIFA x PERSONA</t>
  </si>
  <si>
    <t>$</t>
  </si>
  <si>
    <t>Dia 1 traslado</t>
  </si>
  <si>
    <t>Dia 1 mediodia</t>
  </si>
  <si>
    <t>Día 2 full</t>
  </si>
  <si>
    <t>Día 3 full</t>
  </si>
  <si>
    <t>Día 4 full</t>
  </si>
  <si>
    <t>Día 5 full</t>
  </si>
  <si>
    <t>Día 6 full</t>
  </si>
  <si>
    <t>Día 7 full</t>
  </si>
  <si>
    <t>Día 8 full</t>
  </si>
  <si>
    <t>Día 9 full</t>
  </si>
  <si>
    <t>Día 10 full</t>
  </si>
  <si>
    <t>Día 11 full</t>
  </si>
  <si>
    <t>Día 12 full</t>
  </si>
  <si>
    <t>Día 13 full</t>
  </si>
  <si>
    <t>Día 14 full</t>
  </si>
  <si>
    <t>Día 15 traslado</t>
  </si>
  <si>
    <t>1 noche</t>
  </si>
  <si>
    <t>2 noches</t>
  </si>
  <si>
    <t>3 noches</t>
  </si>
  <si>
    <t>4 noches</t>
  </si>
  <si>
    <t>5 noches</t>
  </si>
  <si>
    <t>6 noches</t>
  </si>
  <si>
    <t>7 noches</t>
  </si>
  <si>
    <t>8 noches</t>
  </si>
  <si>
    <t>9 noches</t>
  </si>
  <si>
    <t>10 noches</t>
  </si>
  <si>
    <t>11 noches</t>
  </si>
  <si>
    <t>12 noches</t>
  </si>
  <si>
    <t>13 noches</t>
  </si>
  <si>
    <t>14 noches</t>
  </si>
  <si>
    <t>Base single</t>
  </si>
  <si>
    <t>Base doble</t>
  </si>
  <si>
    <t>Non angler nacional</t>
  </si>
  <si>
    <t>USD</t>
  </si>
  <si>
    <t>Día 1 traslado</t>
  </si>
  <si>
    <t xml:space="preserve">Día 1; 1/2  dia </t>
  </si>
  <si>
    <t>Non angler</t>
  </si>
  <si>
    <t>TARIFAS DÍA DE PESCA (BASE DOBLE)</t>
  </si>
  <si>
    <t>1/2 DÍA</t>
  </si>
  <si>
    <t>* 4 HORAS DE PESCA. INCLUYE AGUA Y BEBIDAS NO ALCOHÓLICAS.</t>
  </si>
  <si>
    <t>DIA COMPLETO</t>
  </si>
  <si>
    <t>* 8 HORAS DE PESCA. INCLUYE BOX LUNCH.</t>
  </si>
  <si>
    <t>20% Comisión Venta Nacional</t>
  </si>
  <si>
    <t>20% Comisión Venta Internacional</t>
  </si>
  <si>
    <t>Hosted Trips</t>
  </si>
  <si>
    <t>Sobre 5 Clientes</t>
  </si>
  <si>
    <t>precio</t>
  </si>
  <si>
    <t>dcto</t>
  </si>
  <si>
    <t>a pagar</t>
  </si>
  <si>
    <t>Madi Vega</t>
  </si>
  <si>
    <t>Coni Osorio</t>
  </si>
  <si>
    <t>Madi Vega es non angler</t>
  </si>
  <si>
    <t>Total Cañas</t>
  </si>
  <si>
    <t>Non Angler</t>
  </si>
  <si>
    <t>NN</t>
  </si>
  <si>
    <t>NA</t>
  </si>
  <si>
    <t>VALOR DEL PROGRAMA NACIONAL</t>
  </si>
  <si>
    <t>CELDAS</t>
  </si>
  <si>
    <t>DEBEN SER LLENADAS MANUALMENTE</t>
  </si>
  <si>
    <t>Reserva</t>
  </si>
  <si>
    <t>Fecha</t>
  </si>
  <si>
    <t>Saldo</t>
  </si>
  <si>
    <t>Grupo</t>
  </si>
  <si>
    <t>Jose luis Rodriguez casanueva</t>
  </si>
  <si>
    <t>rafael.loyoladominguez@gmail.com</t>
  </si>
  <si>
    <t>Borja Rodriguez Rios</t>
  </si>
  <si>
    <t>Ignacio Rodiguez Rios</t>
  </si>
  <si>
    <t>Cristian Fabres Ruiz</t>
  </si>
  <si>
    <t>Rafael Loyola Dominguez</t>
  </si>
  <si>
    <t>Martin Icaza Gana</t>
  </si>
  <si>
    <t>nombre</t>
  </si>
  <si>
    <t>identificar NON ANGLER al final de lista de pasajeros</t>
  </si>
  <si>
    <t>Total</t>
  </si>
  <si>
    <t>dcto %</t>
  </si>
  <si>
    <t>VALOR DEL PROGRAMA NACIONAL (CON IVA)</t>
  </si>
  <si>
    <t>reserva + 30</t>
  </si>
  <si>
    <t>reserva + 45</t>
  </si>
  <si>
    <t>reserva + 60</t>
  </si>
  <si>
    <t>reserva + 75</t>
  </si>
  <si>
    <t>reserva + 90</t>
  </si>
  <si>
    <t>reserva + 105</t>
  </si>
  <si>
    <t>comision %</t>
  </si>
  <si>
    <t>precio lista</t>
  </si>
  <si>
    <r>
      <t xml:space="preserve">CODIGO                   </t>
    </r>
    <r>
      <rPr>
        <b/>
        <sz val="11"/>
        <color theme="1"/>
        <rFont val="Aptos Narrow"/>
        <family val="2"/>
        <scheme val="minor"/>
      </rPr>
      <t xml:space="preserve"> AA</t>
    </r>
  </si>
  <si>
    <t>Código interno</t>
  </si>
  <si>
    <t>Fecha de reserva</t>
  </si>
  <si>
    <t>Contacto</t>
  </si>
  <si>
    <t>Mail</t>
  </si>
  <si>
    <t>N° Días</t>
  </si>
  <si>
    <t>Tipo</t>
  </si>
  <si>
    <t>Base</t>
  </si>
  <si>
    <t>Pasajero</t>
  </si>
  <si>
    <t>Si</t>
  </si>
  <si>
    <t>No</t>
  </si>
  <si>
    <t>Pescador</t>
  </si>
  <si>
    <t>Single</t>
  </si>
  <si>
    <t>Doble</t>
  </si>
  <si>
    <t>N° Cliente</t>
  </si>
  <si>
    <t>x</t>
  </si>
  <si>
    <t>Valor bruto</t>
  </si>
  <si>
    <t>Texto</t>
  </si>
  <si>
    <t>Información Pasajero</t>
  </si>
  <si>
    <t>Información Reserva</t>
  </si>
  <si>
    <t>Host</t>
  </si>
  <si>
    <t>2 Noches</t>
  </si>
  <si>
    <t>3 Noches</t>
  </si>
  <si>
    <t>4 Noches</t>
  </si>
  <si>
    <t>5 Noches</t>
  </si>
  <si>
    <t>6 Noches</t>
  </si>
  <si>
    <t>7 Noches</t>
  </si>
  <si>
    <t>8 Noches</t>
  </si>
  <si>
    <t>9 Noches</t>
  </si>
  <si>
    <t>10 Noches</t>
  </si>
  <si>
    <t>11 Noches</t>
  </si>
  <si>
    <t>12 Noches</t>
  </si>
  <si>
    <t>13 Noches</t>
  </si>
  <si>
    <t>14 Noches</t>
  </si>
  <si>
    <t>Nombre completo</t>
  </si>
  <si>
    <t>Número de contacto</t>
  </si>
  <si>
    <t>Información de Grupo</t>
  </si>
  <si>
    <t>Pasajero N˚1</t>
  </si>
  <si>
    <t>Pasajero N˚2</t>
  </si>
  <si>
    <t>Pasajero N˚3</t>
  </si>
  <si>
    <t>Pasajero N˚4</t>
  </si>
  <si>
    <t>Pasajero N˚5</t>
  </si>
  <si>
    <t>Pasajero N˚6</t>
  </si>
  <si>
    <t>Pasajero N˚7</t>
  </si>
  <si>
    <t>Pasajero N˚8</t>
  </si>
  <si>
    <t>Pasajero N˚9</t>
  </si>
  <si>
    <t>Pasajero N˚10</t>
  </si>
  <si>
    <t>Información de Estadía</t>
  </si>
  <si>
    <t>N° Días / Pasajero</t>
  </si>
  <si>
    <t>¿Primera vez que viene?</t>
  </si>
  <si>
    <t>N˚ Noches</t>
  </si>
  <si>
    <t>Pescador/Non Angles</t>
  </si>
  <si>
    <t>Extranjero</t>
  </si>
  <si>
    <t>Nacional</t>
  </si>
  <si>
    <t>N˚ Pasajero</t>
  </si>
  <si>
    <t>Francisco frias</t>
  </si>
  <si>
    <t>Check-In</t>
  </si>
  <si>
    <t>Check-Out</t>
  </si>
  <si>
    <t>Género</t>
  </si>
  <si>
    <t>Masculino</t>
  </si>
  <si>
    <t>Femenino</t>
  </si>
  <si>
    <t>Información del Programa</t>
  </si>
  <si>
    <t>Información Personal</t>
  </si>
  <si>
    <t>Grupo Extranjero/Nacional</t>
  </si>
  <si>
    <t>N˚ Grupo</t>
  </si>
  <si>
    <t>N° Noches</t>
  </si>
  <si>
    <t>Encargado</t>
  </si>
  <si>
    <t>GESTION DE  COBRANZA</t>
  </si>
  <si>
    <t>GESTION DE RESERVA</t>
  </si>
  <si>
    <t>N˚ 2</t>
  </si>
  <si>
    <t>N˚ 3</t>
  </si>
  <si>
    <t>N˚ 4</t>
  </si>
  <si>
    <t>N˚ 5</t>
  </si>
  <si>
    <t>N˚ 6</t>
  </si>
  <si>
    <t>N˚ 7</t>
  </si>
  <si>
    <t>N˚ 8</t>
  </si>
  <si>
    <t>N˚ 9</t>
  </si>
  <si>
    <t>N˚ 10</t>
  </si>
  <si>
    <t>Descuento</t>
  </si>
  <si>
    <t>Plazo</t>
  </si>
  <si>
    <t>Reserva - 30 días</t>
  </si>
  <si>
    <t>Reserva - 45 días</t>
  </si>
  <si>
    <t>Reserva - 60 días</t>
  </si>
  <si>
    <t>Reserva - 75 días</t>
  </si>
  <si>
    <t>Reserva - 90 días</t>
  </si>
  <si>
    <t>Reserva - 105 días</t>
  </si>
  <si>
    <t>Reserva - Llamar</t>
  </si>
  <si>
    <t>Saldo - Llamar</t>
  </si>
  <si>
    <t>Saldo - 45 días</t>
  </si>
  <si>
    <t>Saldo - 30 días</t>
  </si>
  <si>
    <t>Saldo - 15 días</t>
  </si>
  <si>
    <t>Saldo - 7 días</t>
  </si>
  <si>
    <t>Información Pricing</t>
  </si>
  <si>
    <t>Reserva - Monto Bruto</t>
  </si>
  <si>
    <t>Reserva - Medio de Pago</t>
  </si>
  <si>
    <t>Reserva - Fecha de Pago</t>
  </si>
  <si>
    <t>Nombre Completo</t>
  </si>
  <si>
    <t>Número de Contacto</t>
  </si>
  <si>
    <t>Fecha de Reserva</t>
  </si>
  <si>
    <t>Valor Bruto Programa</t>
  </si>
  <si>
    <t>Reserva - 105 Días</t>
  </si>
  <si>
    <t>Reserva - 90 Días</t>
  </si>
  <si>
    <t>Reserva - 75 Días</t>
  </si>
  <si>
    <t>Reserva - 60 Días</t>
  </si>
  <si>
    <t>Reserva - 45 Días</t>
  </si>
  <si>
    <t>Reserva - 30 Días</t>
  </si>
  <si>
    <t>Saldo - 45 Días</t>
  </si>
  <si>
    <t>Saldo - 30 Días</t>
  </si>
  <si>
    <t>Saldo - 15 Días</t>
  </si>
  <si>
    <t>Saldo - 7 Días</t>
  </si>
  <si>
    <t>Seguimiento Cobranza Reserva</t>
  </si>
  <si>
    <t>Seguimiento Cobranza Saldo</t>
  </si>
  <si>
    <t>Saldo - Fecha de Pago</t>
  </si>
  <si>
    <t>Saldo - Monto Bruto</t>
  </si>
  <si>
    <t>Saldo - Medio de Pago</t>
  </si>
  <si>
    <t>Observaciones</t>
  </si>
  <si>
    <t>Nacional/Extranjero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</si>
</sst>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&quot;$&quot;* #,##0_-;\-&quot;$&quot;* #,##0_-;_-&quot;$&quot;* &quot;-&quot;??_-;_-@_-"/>
    <numFmt numFmtId="165" formatCode="0.0%"/>
    <numFmt numFmtId="166" formatCode="[$USD]\ #,##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36"/>
      <color theme="1"/>
      <name val="MS Reference Sans Serif"/>
      <family val="2"/>
    </font>
    <font>
      <b/>
      <sz val="16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2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FF0C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BCBA"/>
        <bgColor indexed="64"/>
      </patternFill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rgb="FF000000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320">
    <xf numFmtId="0" fontId="0" fillId="0" borderId="0" xfId="0"/>
    <xf numFmtId="0" fontId="0" fillId="0" borderId="0" xfId="0" quotePrefix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/>
    <xf numFmtId="0" fontId="0" fillId="0" borderId="5" xfId="0" quotePrefix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quotePrefix="1" applyBorder="1"/>
    <xf numFmtId="0" fontId="0" fillId="0" borderId="1" xfId="0" applyBorder="1"/>
    <xf numFmtId="0" fontId="0" fillId="0" borderId="22" xfId="0" quotePrefix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/>
    <xf numFmtId="0" fontId="0" fillId="0" borderId="12" xfId="0" applyBorder="1"/>
    <xf numFmtId="0" fontId="0" fillId="0" borderId="28" xfId="0" applyBorder="1"/>
    <xf numFmtId="0" fontId="0" fillId="0" borderId="30" xfId="0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1" xfId="0" applyBorder="1"/>
    <xf numFmtId="0" fontId="0" fillId="0" borderId="37" xfId="0" applyBorder="1" applyAlignment="1">
      <alignment horizontal="center"/>
    </xf>
    <xf numFmtId="0" fontId="1" fillId="0" borderId="0" xfId="0" applyFont="1"/>
    <xf numFmtId="0" fontId="0" fillId="0" borderId="28" xfId="0" applyBorder="1" applyAlignment="1">
      <alignment horizontal="center"/>
    </xf>
    <xf numFmtId="0" fontId="0" fillId="0" borderId="25" xfId="0" quotePrefix="1" applyBorder="1"/>
    <xf numFmtId="0" fontId="0" fillId="0" borderId="1" xfId="0" applyBorder="1" applyAlignment="1">
      <alignment horizontal="center"/>
    </xf>
    <xf numFmtId="0" fontId="0" fillId="0" borderId="2" xfId="0" quotePrefix="1" applyBorder="1"/>
    <xf numFmtId="0" fontId="1" fillId="0" borderId="1" xfId="0" applyFont="1" applyBorder="1" applyAlignment="1">
      <alignment horizontal="center"/>
    </xf>
    <xf numFmtId="3" fontId="0" fillId="0" borderId="5" xfId="0" quotePrefix="1" applyNumberFormat="1" applyBorder="1"/>
    <xf numFmtId="3" fontId="0" fillId="0" borderId="5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" xfId="0" quotePrefix="1" applyBorder="1"/>
    <xf numFmtId="0" fontId="0" fillId="0" borderId="40" xfId="0" applyBorder="1"/>
    <xf numFmtId="14" fontId="0" fillId="0" borderId="5" xfId="0" quotePrefix="1" applyNumberFormat="1" applyBorder="1"/>
    <xf numFmtId="0" fontId="0" fillId="2" borderId="5" xfId="0" quotePrefix="1" applyFill="1" applyBorder="1"/>
    <xf numFmtId="0" fontId="4" fillId="2" borderId="5" xfId="1" quotePrefix="1" applyFill="1" applyBorder="1"/>
    <xf numFmtId="14" fontId="0" fillId="2" borderId="16" xfId="0" quotePrefix="1" applyNumberFormat="1" applyFill="1" applyBorder="1"/>
    <xf numFmtId="0" fontId="0" fillId="2" borderId="11" xfId="0" applyFill="1" applyBorder="1"/>
    <xf numFmtId="3" fontId="0" fillId="2" borderId="5" xfId="0" quotePrefix="1" applyNumberForma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5" xfId="0" applyFill="1" applyBorder="1"/>
    <xf numFmtId="0" fontId="0" fillId="2" borderId="22" xfId="0" applyFill="1" applyBorder="1"/>
    <xf numFmtId="0" fontId="0" fillId="2" borderId="5" xfId="0" applyFill="1" applyBorder="1"/>
    <xf numFmtId="0" fontId="0" fillId="2" borderId="29" xfId="0" applyFill="1" applyBorder="1"/>
    <xf numFmtId="0" fontId="0" fillId="2" borderId="14" xfId="0" applyFill="1" applyBorder="1"/>
    <xf numFmtId="0" fontId="0" fillId="2" borderId="10" xfId="0" applyFill="1" applyBorder="1"/>
    <xf numFmtId="14" fontId="0" fillId="2" borderId="39" xfId="0" quotePrefix="1" applyNumberFormat="1" applyFill="1" applyBorder="1"/>
    <xf numFmtId="0" fontId="0" fillId="0" borderId="8" xfId="0" quotePrefix="1" applyBorder="1"/>
    <xf numFmtId="0" fontId="0" fillId="0" borderId="9" xfId="0" quotePrefix="1" applyBorder="1"/>
    <xf numFmtId="9" fontId="0" fillId="0" borderId="11" xfId="0" applyNumberFormat="1" applyBorder="1" applyAlignment="1">
      <alignment horizontal="center"/>
    </xf>
    <xf numFmtId="0" fontId="0" fillId="2" borderId="22" xfId="0" quotePrefix="1" applyFill="1" applyBorder="1"/>
    <xf numFmtId="14" fontId="0" fillId="2" borderId="31" xfId="0" applyNumberFormat="1" applyFill="1" applyBorder="1"/>
    <xf numFmtId="3" fontId="0" fillId="0" borderId="32" xfId="0" applyNumberFormat="1" applyBorder="1"/>
    <xf numFmtId="3" fontId="0" fillId="2" borderId="15" xfId="0" applyNumberFormat="1" applyFill="1" applyBorder="1"/>
    <xf numFmtId="3" fontId="0" fillId="2" borderId="5" xfId="0" applyNumberFormat="1" applyFill="1" applyBorder="1"/>
    <xf numFmtId="3" fontId="0" fillId="2" borderId="14" xfId="0" applyNumberFormat="1" applyFill="1" applyBorder="1"/>
    <xf numFmtId="3" fontId="0" fillId="2" borderId="11" xfId="0" applyNumberFormat="1" applyFill="1" applyBorder="1"/>
    <xf numFmtId="0" fontId="0" fillId="2" borderId="9" xfId="0" applyFill="1" applyBorder="1" applyAlignment="1">
      <alignment horizontal="center"/>
    </xf>
    <xf numFmtId="0" fontId="0" fillId="2" borderId="38" xfId="0" applyFill="1" applyBorder="1"/>
    <xf numFmtId="3" fontId="0" fillId="3" borderId="18" xfId="0" applyNumberFormat="1" applyFill="1" applyBorder="1"/>
    <xf numFmtId="3" fontId="0" fillId="3" borderId="17" xfId="0" applyNumberFormat="1" applyFill="1" applyBorder="1"/>
    <xf numFmtId="3" fontId="0" fillId="0" borderId="23" xfId="0" applyNumberFormat="1" applyBorder="1"/>
    <xf numFmtId="3" fontId="0" fillId="3" borderId="19" xfId="0" applyNumberFormat="1" applyFill="1" applyBorder="1"/>
    <xf numFmtId="3" fontId="0" fillId="0" borderId="30" xfId="0" applyNumberFormat="1" applyBorder="1"/>
    <xf numFmtId="3" fontId="0" fillId="3" borderId="28" xfId="0" applyNumberFormat="1" applyFill="1" applyBorder="1"/>
    <xf numFmtId="3" fontId="0" fillId="0" borderId="12" xfId="0" applyNumberFormat="1" applyBorder="1"/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8" xfId="0" applyBorder="1" applyAlignment="1">
      <alignment horizontal="center"/>
    </xf>
    <xf numFmtId="14" fontId="0" fillId="0" borderId="4" xfId="0" quotePrefix="1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0" fillId="4" borderId="32" xfId="0" applyNumberFormat="1" applyFill="1" applyBorder="1" applyAlignment="1">
      <alignment horizontal="center"/>
    </xf>
    <xf numFmtId="14" fontId="0" fillId="4" borderId="23" xfId="0" applyNumberForma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9" xfId="0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164" fontId="0" fillId="0" borderId="5" xfId="2" applyNumberFormat="1" applyFont="1" applyBorder="1"/>
    <xf numFmtId="164" fontId="5" fillId="0" borderId="5" xfId="2" applyNumberFormat="1" applyFont="1" applyBorder="1"/>
    <xf numFmtId="164" fontId="0" fillId="0" borderId="5" xfId="2" applyNumberFormat="1" applyFont="1" applyFill="1" applyBorder="1"/>
    <xf numFmtId="164" fontId="1" fillId="0" borderId="5" xfId="2" applyNumberFormat="1" applyFont="1" applyFill="1" applyBorder="1"/>
    <xf numFmtId="164" fontId="5" fillId="0" borderId="5" xfId="2" applyNumberFormat="1" applyFont="1" applyFill="1" applyBorder="1"/>
    <xf numFmtId="164" fontId="0" fillId="0" borderId="0" xfId="2" applyNumberFormat="1" applyFont="1"/>
    <xf numFmtId="165" fontId="1" fillId="0" borderId="0" xfId="3" applyNumberFormat="1" applyFont="1" applyFill="1"/>
    <xf numFmtId="164" fontId="1" fillId="0" borderId="0" xfId="2" applyNumberFormat="1" applyFont="1"/>
    <xf numFmtId="164" fontId="0" fillId="0" borderId="5" xfId="2" applyNumberFormat="1" applyFont="1" applyFill="1" applyBorder="1" applyAlignment="1">
      <alignment horizontal="center"/>
    </xf>
    <xf numFmtId="166" fontId="0" fillId="0" borderId="5" xfId="2" applyNumberFormat="1" applyFont="1" applyFill="1" applyBorder="1"/>
    <xf numFmtId="166" fontId="5" fillId="0" borderId="5" xfId="2" applyNumberFormat="1" applyFont="1" applyFill="1" applyBorder="1"/>
    <xf numFmtId="166" fontId="1" fillId="0" borderId="5" xfId="2" applyNumberFormat="1" applyFont="1" applyFill="1" applyBorder="1"/>
    <xf numFmtId="164" fontId="1" fillId="0" borderId="0" xfId="2" applyNumberFormat="1" applyFont="1" applyAlignment="1">
      <alignment horizontal="center"/>
    </xf>
    <xf numFmtId="166" fontId="0" fillId="0" borderId="0" xfId="2" applyNumberFormat="1" applyFont="1" applyFill="1"/>
    <xf numFmtId="164" fontId="1" fillId="0" borderId="0" xfId="2" applyNumberFormat="1" applyFont="1" applyFill="1"/>
    <xf numFmtId="166" fontId="1" fillId="0" borderId="0" xfId="2" applyNumberFormat="1" applyFont="1" applyFill="1"/>
    <xf numFmtId="166" fontId="0" fillId="0" borderId="0" xfId="2" applyNumberFormat="1" applyFont="1"/>
    <xf numFmtId="166" fontId="1" fillId="0" borderId="0" xfId="2" applyNumberFormat="1" applyFont="1"/>
    <xf numFmtId="0" fontId="0" fillId="5" borderId="22" xfId="0" quotePrefix="1" applyFill="1" applyBorder="1"/>
    <xf numFmtId="0" fontId="0" fillId="5" borderId="5" xfId="0" quotePrefix="1" applyFill="1" applyBorder="1"/>
    <xf numFmtId="3" fontId="0" fillId="5" borderId="5" xfId="0" applyNumberFormat="1" applyFill="1" applyBorder="1" applyAlignment="1">
      <alignment horizontal="center"/>
    </xf>
    <xf numFmtId="9" fontId="0" fillId="5" borderId="5" xfId="0" applyNumberForma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34" xfId="0" applyFill="1" applyBorder="1"/>
    <xf numFmtId="0" fontId="0" fillId="6" borderId="22" xfId="0" quotePrefix="1" applyFill="1" applyBorder="1"/>
    <xf numFmtId="0" fontId="0" fillId="6" borderId="5" xfId="0" quotePrefix="1" applyFill="1" applyBorder="1"/>
    <xf numFmtId="3" fontId="0" fillId="6" borderId="5" xfId="0" applyNumberFormat="1" applyFill="1" applyBorder="1" applyAlignment="1">
      <alignment horizontal="center"/>
    </xf>
    <xf numFmtId="9" fontId="0" fillId="6" borderId="5" xfId="0" applyNumberForma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5" borderId="17" xfId="0" quotePrefix="1" applyFill="1" applyBorder="1"/>
    <xf numFmtId="0" fontId="0" fillId="5" borderId="41" xfId="0" quotePrefix="1" applyFill="1" applyBorder="1"/>
    <xf numFmtId="0" fontId="0" fillId="5" borderId="42" xfId="0" applyFill="1" applyBorder="1"/>
    <xf numFmtId="14" fontId="1" fillId="7" borderId="0" xfId="0" applyNumberFormat="1" applyFont="1" applyFill="1" applyAlignment="1">
      <alignment horizontal="center"/>
    </xf>
    <xf numFmtId="0" fontId="0" fillId="5" borderId="0" xfId="0" applyFill="1"/>
    <xf numFmtId="0" fontId="0" fillId="2" borderId="0" xfId="0" applyFill="1"/>
    <xf numFmtId="0" fontId="8" fillId="0" borderId="43" xfId="0" applyFont="1" applyBorder="1" applyAlignment="1">
      <alignment wrapText="1"/>
    </xf>
    <xf numFmtId="0" fontId="7" fillId="8" borderId="43" xfId="0" applyFont="1" applyFill="1" applyBorder="1" applyAlignment="1">
      <alignment wrapText="1"/>
    </xf>
    <xf numFmtId="0" fontId="6" fillId="0" borderId="43" xfId="0" applyFont="1" applyBorder="1" applyAlignment="1">
      <alignment horizontal="center" wrapText="1"/>
    </xf>
    <xf numFmtId="14" fontId="6" fillId="8" borderId="43" xfId="0" applyNumberFormat="1" applyFont="1" applyFill="1" applyBorder="1" applyAlignment="1">
      <alignment horizontal="center" wrapText="1"/>
    </xf>
    <xf numFmtId="0" fontId="0" fillId="5" borderId="41" xfId="0" quotePrefix="1" applyFill="1" applyBorder="1" applyAlignment="1">
      <alignment horizontal="center"/>
    </xf>
    <xf numFmtId="0" fontId="0" fillId="5" borderId="0" xfId="0" quotePrefix="1" applyFill="1"/>
    <xf numFmtId="0" fontId="0" fillId="5" borderId="2" xfId="0" quotePrefix="1" applyFill="1" applyBorder="1"/>
    <xf numFmtId="0" fontId="0" fillId="5" borderId="5" xfId="0" applyFill="1" applyBorder="1" applyAlignment="1">
      <alignment horizontal="right" indent="1"/>
    </xf>
    <xf numFmtId="14" fontId="0" fillId="0" borderId="3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8" xfId="0" applyBorder="1"/>
    <xf numFmtId="0" fontId="0" fillId="0" borderId="29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14" fontId="0" fillId="0" borderId="5" xfId="0" quotePrefix="1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3" fontId="0" fillId="0" borderId="28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5" borderId="48" xfId="0" quotePrefix="1" applyFont="1" applyFill="1" applyBorder="1" applyAlignment="1">
      <alignment horizontal="center"/>
    </xf>
    <xf numFmtId="0" fontId="0" fillId="5" borderId="23" xfId="0" applyFill="1" applyBorder="1"/>
    <xf numFmtId="0" fontId="8" fillId="0" borderId="49" xfId="0" applyFont="1" applyBorder="1" applyAlignment="1">
      <alignment wrapText="1"/>
    </xf>
    <xf numFmtId="0" fontId="8" fillId="0" borderId="50" xfId="0" applyFont="1" applyBorder="1" applyAlignment="1">
      <alignment wrapText="1"/>
    </xf>
    <xf numFmtId="0" fontId="0" fillId="3" borderId="36" xfId="0" applyFill="1" applyBorder="1" applyAlignment="1">
      <alignment horizontal="left"/>
    </xf>
    <xf numFmtId="14" fontId="0" fillId="2" borderId="4" xfId="0" quotePrefix="1" applyNumberFormat="1" applyFill="1" applyBorder="1" applyAlignment="1">
      <alignment horizontal="center"/>
    </xf>
    <xf numFmtId="0" fontId="0" fillId="5" borderId="51" xfId="0" quotePrefix="1" applyFill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42" fontId="0" fillId="0" borderId="0" xfId="4" applyFont="1"/>
    <xf numFmtId="0" fontId="0" fillId="11" borderId="13" xfId="0" applyFill="1" applyBorder="1"/>
    <xf numFmtId="0" fontId="0" fillId="11" borderId="24" xfId="0" applyFill="1" applyBorder="1"/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0" fontId="12" fillId="0" borderId="0" xfId="0" applyFont="1" applyFill="1" applyAlignment="1">
      <alignment horizontal="center" vertical="center"/>
    </xf>
    <xf numFmtId="0" fontId="0" fillId="0" borderId="0" xfId="0" applyBorder="1"/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0" fillId="0" borderId="0" xfId="0" applyFont="1" applyFill="1" applyBorder="1"/>
    <xf numFmtId="0" fontId="13" fillId="11" borderId="1" xfId="0" applyFont="1" applyFill="1" applyBorder="1" applyAlignment="1">
      <alignment horizontal="center"/>
    </xf>
    <xf numFmtId="0" fontId="13" fillId="11" borderId="0" xfId="0" applyFont="1" applyFill="1" applyBorder="1" applyAlignment="1">
      <alignment horizontal="center"/>
    </xf>
    <xf numFmtId="0" fontId="10" fillId="11" borderId="13" xfId="0" applyFont="1" applyFill="1" applyBorder="1"/>
    <xf numFmtId="0" fontId="0" fillId="11" borderId="1" xfId="0" applyFill="1" applyBorder="1"/>
    <xf numFmtId="0" fontId="0" fillId="11" borderId="0" xfId="0" applyFill="1" applyBorder="1"/>
    <xf numFmtId="0" fontId="13" fillId="10" borderId="0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0" fillId="10" borderId="0" xfId="0" applyFill="1" applyBorder="1"/>
    <xf numFmtId="0" fontId="0" fillId="10" borderId="2" xfId="0" applyFill="1" applyBorder="1"/>
    <xf numFmtId="0" fontId="0" fillId="10" borderId="13" xfId="0" applyFill="1" applyBorder="1"/>
    <xf numFmtId="0" fontId="0" fillId="10" borderId="38" xfId="0" applyFill="1" applyBorder="1"/>
    <xf numFmtId="0" fontId="13" fillId="10" borderId="7" xfId="0" applyFont="1" applyFill="1" applyBorder="1" applyAlignment="1">
      <alignment horizontal="center"/>
    </xf>
    <xf numFmtId="0" fontId="13" fillId="10" borderId="8" xfId="0" applyFont="1" applyFill="1" applyBorder="1" applyAlignment="1">
      <alignment horizontal="center"/>
    </xf>
    <xf numFmtId="0" fontId="13" fillId="10" borderId="9" xfId="0" applyFont="1" applyFill="1" applyBorder="1" applyAlignment="1">
      <alignment horizontal="center"/>
    </xf>
    <xf numFmtId="0" fontId="0" fillId="10" borderId="1" xfId="0" applyFill="1" applyBorder="1"/>
    <xf numFmtId="0" fontId="0" fillId="10" borderId="24" xfId="0" applyFill="1" applyBorder="1"/>
    <xf numFmtId="0" fontId="15" fillId="11" borderId="1" xfId="0" applyFont="1" applyFill="1" applyBorder="1"/>
    <xf numFmtId="0" fontId="10" fillId="11" borderId="0" xfId="0" applyFont="1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2" xfId="0" applyFill="1" applyBorder="1"/>
    <xf numFmtId="0" fontId="0" fillId="11" borderId="38" xfId="0" applyFill="1" applyBorder="1"/>
    <xf numFmtId="0" fontId="10" fillId="10" borderId="1" xfId="0" applyFont="1" applyFill="1" applyBorder="1"/>
    <xf numFmtId="0" fontId="10" fillId="10" borderId="0" xfId="0" applyFont="1" applyFill="1" applyBorder="1"/>
    <xf numFmtId="0" fontId="10" fillId="10" borderId="2" xfId="0" applyFont="1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16" fillId="0" borderId="0" xfId="0" applyFont="1" applyAlignment="1">
      <alignment horizontal="left" vertical="center"/>
    </xf>
    <xf numFmtId="0" fontId="0" fillId="11" borderId="24" xfId="0" applyFont="1" applyFill="1" applyBorder="1"/>
    <xf numFmtId="0" fontId="0" fillId="11" borderId="13" xfId="0" applyFont="1" applyFill="1" applyBorder="1"/>
    <xf numFmtId="0" fontId="9" fillId="9" borderId="58" xfId="0" applyFont="1" applyFill="1" applyBorder="1" applyAlignment="1">
      <alignment horizontal="center" vertical="center"/>
    </xf>
    <xf numFmtId="0" fontId="0" fillId="12" borderId="59" xfId="0" applyFont="1" applyFill="1" applyBorder="1"/>
    <xf numFmtId="0" fontId="0" fillId="9" borderId="7" xfId="0" applyFont="1" applyFill="1" applyBorder="1"/>
    <xf numFmtId="0" fontId="0" fillId="9" borderId="8" xfId="0" applyFont="1" applyFill="1" applyBorder="1"/>
    <xf numFmtId="14" fontId="0" fillId="10" borderId="7" xfId="0" applyNumberFormat="1" applyFont="1" applyFill="1" applyBorder="1"/>
    <xf numFmtId="14" fontId="0" fillId="10" borderId="8" xfId="0" applyNumberFormat="1" applyFont="1" applyFill="1" applyBorder="1"/>
    <xf numFmtId="0" fontId="0" fillId="10" borderId="8" xfId="0" applyFont="1" applyFill="1" applyBorder="1"/>
    <xf numFmtId="0" fontId="0" fillId="9" borderId="58" xfId="0" applyFont="1" applyFill="1" applyBorder="1"/>
    <xf numFmtId="0" fontId="0" fillId="9" borderId="52" xfId="0" applyFont="1" applyFill="1" applyBorder="1"/>
    <xf numFmtId="14" fontId="0" fillId="10" borderId="58" xfId="0" applyNumberFormat="1" applyFont="1" applyFill="1" applyBorder="1"/>
    <xf numFmtId="14" fontId="0" fillId="10" borderId="52" xfId="0" applyNumberFormat="1" applyFont="1" applyFill="1" applyBorder="1"/>
    <xf numFmtId="0" fontId="0" fillId="10" borderId="52" xfId="0" applyFont="1" applyFill="1" applyBorder="1"/>
    <xf numFmtId="0" fontId="0" fillId="12" borderId="57" xfId="0" applyFont="1" applyFill="1" applyBorder="1"/>
    <xf numFmtId="0" fontId="0" fillId="9" borderId="55" xfId="0" applyFont="1" applyFill="1" applyBorder="1"/>
    <xf numFmtId="0" fontId="0" fillId="9" borderId="54" xfId="0" applyFont="1" applyFill="1" applyBorder="1"/>
    <xf numFmtId="14" fontId="0" fillId="10" borderId="53" xfId="0" applyNumberFormat="1" applyFont="1" applyFill="1" applyBorder="1"/>
    <xf numFmtId="14" fontId="0" fillId="10" borderId="54" xfId="0" applyNumberFormat="1" applyFont="1" applyFill="1" applyBorder="1"/>
    <xf numFmtId="0" fontId="0" fillId="10" borderId="54" xfId="0" applyFont="1" applyFill="1" applyBorder="1"/>
    <xf numFmtId="0" fontId="0" fillId="11" borderId="0" xfId="0" applyFont="1" applyFill="1" applyBorder="1"/>
    <xf numFmtId="0" fontId="0" fillId="0" borderId="0" xfId="0" applyAlignment="1">
      <alignment vertical="center"/>
    </xf>
    <xf numFmtId="0" fontId="20" fillId="9" borderId="7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9" fillId="9" borderId="52" xfId="0" applyFont="1" applyFill="1" applyBorder="1" applyAlignment="1">
      <alignment horizontal="center" vertical="center"/>
    </xf>
    <xf numFmtId="0" fontId="0" fillId="0" borderId="0" xfId="0" quotePrefix="1" applyBorder="1"/>
    <xf numFmtId="0" fontId="0" fillId="3" borderId="10" xfId="0" applyFill="1" applyBorder="1" applyAlignment="1">
      <alignment horizontal="left"/>
    </xf>
    <xf numFmtId="0" fontId="4" fillId="9" borderId="52" xfId="1" applyFill="1" applyBorder="1"/>
    <xf numFmtId="42" fontId="0" fillId="11" borderId="0" xfId="4" applyNumberFormat="1" applyFont="1" applyFill="1" applyBorder="1"/>
    <xf numFmtId="0" fontId="0" fillId="11" borderId="1" xfId="0" applyFont="1" applyFill="1" applyBorder="1"/>
    <xf numFmtId="42" fontId="0" fillId="11" borderId="13" xfId="4" applyNumberFormat="1" applyFont="1" applyFill="1" applyBorder="1"/>
    <xf numFmtId="0" fontId="0" fillId="12" borderId="56" xfId="0" applyFont="1" applyFill="1" applyBorder="1"/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1" fillId="13" borderId="1" xfId="0" applyFont="1" applyFill="1" applyBorder="1"/>
    <xf numFmtId="0" fontId="11" fillId="13" borderId="24" xfId="0" applyFont="1" applyFill="1" applyBorder="1"/>
    <xf numFmtId="0" fontId="16" fillId="0" borderId="0" xfId="0" applyFont="1" applyFill="1" applyBorder="1" applyAlignment="1"/>
    <xf numFmtId="0" fontId="10" fillId="11" borderId="24" xfId="0" applyFont="1" applyFill="1" applyBorder="1"/>
    <xf numFmtId="0" fontId="11" fillId="11" borderId="1" xfId="0" applyFont="1" applyFill="1" applyBorder="1"/>
    <xf numFmtId="0" fontId="11" fillId="11" borderId="0" xfId="0" applyFont="1" applyFill="1" applyBorder="1"/>
    <xf numFmtId="0" fontId="11" fillId="10" borderId="7" xfId="0" applyFont="1" applyFill="1" applyBorder="1"/>
    <xf numFmtId="0" fontId="11" fillId="10" borderId="8" xfId="0" applyFont="1" applyFill="1" applyBorder="1"/>
    <xf numFmtId="0" fontId="11" fillId="10" borderId="9" xfId="0" applyFont="1" applyFill="1" applyBorder="1"/>
    <xf numFmtId="0" fontId="11" fillId="10" borderId="1" xfId="0" applyFont="1" applyFill="1" applyBorder="1"/>
    <xf numFmtId="0" fontId="11" fillId="10" borderId="0" xfId="0" applyFont="1" applyFill="1" applyBorder="1"/>
    <xf numFmtId="0" fontId="11" fillId="10" borderId="2" xfId="0" applyFont="1" applyFill="1" applyBorder="1"/>
    <xf numFmtId="0" fontId="11" fillId="11" borderId="24" xfId="0" applyFont="1" applyFill="1" applyBorder="1"/>
    <xf numFmtId="0" fontId="11" fillId="11" borderId="13" xfId="0" applyFont="1" applyFill="1" applyBorder="1"/>
    <xf numFmtId="0" fontId="11" fillId="10" borderId="24" xfId="0" applyFont="1" applyFill="1" applyBorder="1"/>
    <xf numFmtId="0" fontId="11" fillId="10" borderId="13" xfId="0" applyFont="1" applyFill="1" applyBorder="1"/>
    <xf numFmtId="0" fontId="11" fillId="10" borderId="38" xfId="0" applyFont="1" applyFill="1" applyBorder="1"/>
    <xf numFmtId="0" fontId="19" fillId="0" borderId="0" xfId="0" applyFont="1"/>
    <xf numFmtId="0" fontId="18" fillId="0" borderId="0" xfId="0" applyFont="1"/>
    <xf numFmtId="0" fontId="0" fillId="14" borderId="0" xfId="0" applyFill="1"/>
    <xf numFmtId="0" fontId="17" fillId="16" borderId="20" xfId="0" applyFont="1" applyFill="1" applyBorder="1" applyAlignment="1">
      <alignment horizontal="center" vertical="center"/>
    </xf>
    <xf numFmtId="0" fontId="0" fillId="16" borderId="60" xfId="0" applyFill="1" applyBorder="1"/>
    <xf numFmtId="0" fontId="0" fillId="16" borderId="21" xfId="0" applyFill="1" applyBorder="1"/>
    <xf numFmtId="0" fontId="20" fillId="15" borderId="7" xfId="0" applyFont="1" applyFill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15" borderId="0" xfId="0" applyFill="1" applyBorder="1"/>
    <xf numFmtId="0" fontId="0" fillId="15" borderId="24" xfId="0" applyFill="1" applyBorder="1"/>
    <xf numFmtId="0" fontId="0" fillId="15" borderId="13" xfId="0" applyFill="1" applyBorder="1"/>
    <xf numFmtId="0" fontId="20" fillId="14" borderId="7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17" fillId="16" borderId="21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164" fontId="0" fillId="0" borderId="5" xfId="2" applyNumberFormat="1" applyFont="1" applyBorder="1" applyAlignment="1">
      <alignment horizontal="left"/>
    </xf>
    <xf numFmtId="164" fontId="0" fillId="0" borderId="0" xfId="2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0" fillId="0" borderId="5" xfId="2" applyNumberFormat="1" applyFont="1" applyFill="1" applyBorder="1" applyAlignment="1">
      <alignment horizontal="left"/>
    </xf>
    <xf numFmtId="166" fontId="0" fillId="0" borderId="0" xfId="2" applyNumberFormat="1" applyFont="1" applyAlignment="1">
      <alignment horizontal="left"/>
    </xf>
    <xf numFmtId="166" fontId="1" fillId="0" borderId="0" xfId="2" applyNumberFormat="1" applyFont="1" applyFill="1" applyAlignment="1">
      <alignment horizontal="left"/>
    </xf>
    <xf numFmtId="14" fontId="10" fillId="13" borderId="0" xfId="0" applyNumberFormat="1" applyFont="1" applyFill="1" applyBorder="1" applyAlignment="1"/>
    <xf numFmtId="0" fontId="10" fillId="13" borderId="0" xfId="0" applyFont="1" applyFill="1" applyBorder="1" applyAlignment="1"/>
    <xf numFmtId="0" fontId="10" fillId="13" borderId="2" xfId="0" applyFont="1" applyFill="1" applyBorder="1" applyAlignment="1"/>
    <xf numFmtId="14" fontId="10" fillId="13" borderId="13" xfId="0" applyNumberFormat="1" applyFont="1" applyFill="1" applyBorder="1" applyAlignment="1"/>
    <xf numFmtId="0" fontId="10" fillId="13" borderId="13" xfId="0" applyFont="1" applyFill="1" applyBorder="1" applyAlignment="1"/>
    <xf numFmtId="0" fontId="10" fillId="13" borderId="38" xfId="0" applyFont="1" applyFill="1" applyBorder="1" applyAlignment="1"/>
    <xf numFmtId="0" fontId="14" fillId="13" borderId="3" xfId="0" applyFont="1" applyFill="1" applyBorder="1" applyAlignment="1"/>
    <xf numFmtId="0" fontId="14" fillId="13" borderId="6" xfId="0" applyFont="1" applyFill="1" applyBorder="1" applyAlignment="1"/>
    <xf numFmtId="0" fontId="14" fillId="13" borderId="4" xfId="0" applyFont="1" applyFill="1" applyBorder="1" applyAlignment="1"/>
    <xf numFmtId="0" fontId="11" fillId="13" borderId="0" xfId="0" applyFont="1" applyFill="1" applyBorder="1"/>
    <xf numFmtId="0" fontId="11" fillId="13" borderId="13" xfId="0" applyFont="1" applyFill="1" applyBorder="1"/>
    <xf numFmtId="0" fontId="9" fillId="9" borderId="52" xfId="0" applyFont="1" applyFill="1" applyBorder="1" applyAlignment="1">
      <alignment horizontal="center"/>
    </xf>
    <xf numFmtId="0" fontId="9" fillId="10" borderId="58" xfId="0" applyFont="1" applyFill="1" applyBorder="1" applyAlignment="1">
      <alignment horizontal="center"/>
    </xf>
    <xf numFmtId="0" fontId="9" fillId="10" borderId="52" xfId="0" applyFont="1" applyFill="1" applyBorder="1" applyAlignment="1">
      <alignment horizontal="center"/>
    </xf>
    <xf numFmtId="0" fontId="9" fillId="11" borderId="24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9" fillId="11" borderId="38" xfId="0" applyFont="1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0" fillId="11" borderId="1" xfId="0" applyFont="1" applyFill="1" applyBorder="1"/>
    <xf numFmtId="0" fontId="10" fillId="11" borderId="38" xfId="0" applyFont="1" applyFill="1" applyBorder="1"/>
    <xf numFmtId="0" fontId="10" fillId="11" borderId="7" xfId="0" applyFont="1" applyFill="1" applyBorder="1"/>
    <xf numFmtId="0" fontId="11" fillId="11" borderId="8" xfId="0" applyFont="1" applyFill="1" applyBorder="1"/>
    <xf numFmtId="0" fontId="11" fillId="11" borderId="9" xfId="0" applyFont="1" applyFill="1" applyBorder="1"/>
    <xf numFmtId="0" fontId="11" fillId="11" borderId="2" xfId="0" applyFont="1" applyFill="1" applyBorder="1"/>
    <xf numFmtId="0" fontId="11" fillId="11" borderId="38" xfId="0" applyFont="1" applyFill="1" applyBorder="1"/>
    <xf numFmtId="0" fontId="13" fillId="0" borderId="3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4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3" fillId="11" borderId="2" xfId="0" applyFont="1" applyFill="1" applyBorder="1" applyAlignment="1">
      <alignment horizontal="center"/>
    </xf>
  </cellXfs>
  <cellStyles count="5">
    <cellStyle name="Hipervínculo" xfId="1" builtinId="8"/>
    <cellStyle name="Moneda" xfId="2" builtinId="4"/>
    <cellStyle name="Moneda [0]" xfId="4" builtinId="7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EFBCBA"/>
      <color rgb="FFEFF0C1"/>
      <color rgb="FFEBE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4.jpe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173288</xdr:colOff>
      <xdr:row>0</xdr:row>
      <xdr:rowOff>135858</xdr:rowOff>
    </xdr:from>
    <xdr:to>
      <xdr:col>5</xdr:col>
      <xdr:colOff>216067</xdr:colOff>
      <xdr:row>0</xdr:row>
      <xdr:rowOff>671145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95F9910-0939-2161-7E5E-70CCC50F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2588" y="135858"/>
          <a:ext cx="2671679" cy="53528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0</xdr:row>
      <xdr:rowOff>1101725</xdr:rowOff>
    </xdr:from>
    <xdr:to>
      <xdr:col>4</xdr:col>
      <xdr:colOff>1315816</xdr:colOff>
      <xdr:row>1</xdr:row>
      <xdr:rowOff>851578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B4330D2-5472-51A5-C541-139AFA25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1101725"/>
          <a:ext cx="5219700" cy="854753"/>
        </a:xfrm>
        <a:prstGeom prst="rect">
          <a:avLst/>
        </a:prstGeom>
      </xdr:spPr>
    </xdr:pic>
    <xdr:clientData/>
  </xdr:twoCellAnchor>
  <xdr:twoCellAnchor editAs="oneCell">
    <xdr:from>
      <xdr:col>11</xdr:col>
      <xdr:colOff>316493</xdr:colOff>
      <xdr:row>36</xdr:row>
      <xdr:rowOff>50812</xdr:rowOff>
    </xdr:from>
    <xdr:to>
      <xdr:col>12</xdr:col>
      <xdr:colOff>307376</xdr:colOff>
      <xdr:row>38</xdr:row>
      <xdr:rowOff>29896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10147E0-7BB0-DD54-CCD0-CB80E3BD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430" b="89693" l="752" r="95865">
                      <a14:foregroundMark x1="13695" y1="11404" x2="13695" y2="11404"/>
                      <a14:foregroundMark x1="16971" y1="21711" x2="26101" y2="21711"/>
                      <a14:foregroundMark x1="26101" y1="21711" x2="35338" y2="20175"/>
                      <a14:foregroundMark x1="9613" y1="27412" x2="9076" y2="55482"/>
                      <a14:foregroundMark x1="9076" y1="55482" x2="13050" y2="76974"/>
                      <a14:foregroundMark x1="13050" y1="76974" x2="20193" y2="81140"/>
                      <a14:foregroundMark x1="20193" y1="81140" x2="27820" y2="80702"/>
                      <a14:foregroundMark x1="27820" y1="80702" x2="47422" y2="82237"/>
                      <a14:foregroundMark x1="47422" y1="82237" x2="62137" y2="80702"/>
                      <a14:foregroundMark x1="62137" y1="80702" x2="68636" y2="80702"/>
                      <a14:foregroundMark x1="68636" y1="80702" x2="87701" y2="76754"/>
                      <a14:foregroundMark x1="87701" y1="76754" x2="91998" y2="57895"/>
                      <a14:foregroundMark x1="91998" y1="57895" x2="89581" y2="34211"/>
                      <a14:foregroundMark x1="89581" y1="34211" x2="75188" y2="26974"/>
                      <a14:foregroundMark x1="75188" y1="26974" x2="34586" y2="23684"/>
                      <a14:foregroundMark x1="39903" y1="31579" x2="44307" y2="52412"/>
                      <a14:foregroundMark x1="44307" y1="52412" x2="46992" y2="57456"/>
                      <a14:foregroundMark x1="7197" y1="44518" x2="4565" y2="43421"/>
                      <a14:foregroundMark x1="1128" y1="46491" x2="1128" y2="46491"/>
                      <a14:foregroundMark x1="752" y1="47588" x2="752" y2="47588"/>
                      <a14:foregroundMark x1="46509" y1="41447" x2="19871" y2="57018"/>
                      <a14:foregroundMark x1="19871" y1="57018" x2="13212" y2="54825"/>
                      <a14:foregroundMark x1="13212" y1="54825" x2="19012" y2="43421"/>
                      <a14:foregroundMark x1="19012" y1="43421" x2="64930" y2="47149"/>
                      <a14:foregroundMark x1="64930" y1="47149" x2="74436" y2="46711"/>
                      <a14:foregroundMark x1="74436" y1="46711" x2="88614" y2="47149"/>
                      <a14:foregroundMark x1="88614" y1="47149" x2="90816" y2="46491"/>
                      <a14:foregroundMark x1="88561" y1="20614" x2="88561" y2="20614"/>
                      <a14:foregroundMark x1="94092" y1="32018" x2="94092" y2="32018"/>
                      <a14:foregroundMark x1="95865" y1="48684" x2="92427" y2="27193"/>
                      <a14:foregroundMark x1="92427" y1="27193" x2="91461" y2="23684"/>
                      <a14:foregroundMark x1="86627" y1="55263" x2="86896" y2="58553"/>
                      <a14:foregroundMark x1="70569" y1="57895" x2="70569" y2="57895"/>
                      <a14:foregroundMark x1="74490" y1="54386" x2="74490" y2="54386"/>
                      <a14:foregroundMark x1="59291" y1="58991" x2="59291" y2="58991"/>
                      <a14:foregroundMark x1="62567" y1="56798" x2="62567" y2="56798"/>
                      <a14:foregroundMark x1="65091" y1="57895" x2="65091" y2="57895"/>
                      <a14:foregroundMark x1="42965" y1="62500" x2="42965" y2="62500"/>
                      <a14:foregroundMark x1="43824" y1="56798" x2="43824" y2="56798"/>
                      <a14:foregroundMark x1="25940" y1="62500" x2="25940" y2="62500"/>
                      <a14:foregroundMark x1="12299" y1="48684" x2="12299" y2="48684"/>
                      <a14:foregroundMark x1="13426" y1="38816" x2="13426" y2="3881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19934" y="12505006"/>
          <a:ext cx="1452065" cy="361449"/>
        </a:xfrm>
        <a:prstGeom prst="rect">
          <a:avLst/>
        </a:prstGeom>
      </xdr:spPr>
    </xdr:pic>
    <xdr:clientData/>
  </xdr:twoCellAnchor>
  <xdr:twoCellAnchor editAs="oneCell">
    <xdr:from>
      <xdr:col>1</xdr:col>
      <xdr:colOff>60561</xdr:colOff>
      <xdr:row>0</xdr:row>
      <xdr:rowOff>88547</xdr:rowOff>
    </xdr:from>
    <xdr:to>
      <xdr:col>2</xdr:col>
      <xdr:colOff>430581</xdr:colOff>
      <xdr:row>0</xdr:row>
      <xdr:rowOff>654807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0C36AB0-9831-6340-9F85-02124603F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9" t="30902" r="6517" b="35020"/>
        <a:stretch/>
      </xdr:blipFill>
      <xdr:spPr bwMode="auto">
        <a:xfrm>
          <a:off x="365361" y="88547"/>
          <a:ext cx="1448837" cy="56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61685</xdr:colOff>
      <xdr:row>0</xdr:row>
      <xdr:rowOff>87085</xdr:rowOff>
    </xdr:from>
    <xdr:to>
      <xdr:col>1</xdr:col>
      <xdr:colOff>1499704</xdr:colOff>
      <xdr:row>0</xdr:row>
      <xdr:rowOff>660400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371FF2-99B3-6F48-8EE6-FB17B7300B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9" t="30902" r="6517" b="35020"/>
        <a:stretch/>
      </xdr:blipFill>
      <xdr:spPr bwMode="auto">
        <a:xfrm>
          <a:off x="366485" y="87085"/>
          <a:ext cx="1438019" cy="573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172835</xdr:colOff>
      <xdr:row>0</xdr:row>
      <xdr:rowOff>139031</xdr:rowOff>
    </xdr:from>
    <xdr:to>
      <xdr:col>4</xdr:col>
      <xdr:colOff>215614</xdr:colOff>
      <xdr:row>0</xdr:row>
      <xdr:rowOff>674318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DC28A7-8B92-7943-8BF5-59D3BEC0D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3949" y="139031"/>
          <a:ext cx="2673494" cy="535287"/>
        </a:xfrm>
        <a:prstGeom prst="rect">
          <a:avLst/>
        </a:prstGeom>
      </xdr:spPr>
    </xdr:pic>
    <xdr:clientData/>
  </xdr:twoCellAnchor>
  <xdr:twoCellAnchor editAs="oneCell">
    <xdr:from>
      <xdr:col>10</xdr:col>
      <xdr:colOff>16062</xdr:colOff>
      <xdr:row>19</xdr:row>
      <xdr:rowOff>9845</xdr:rowOff>
    </xdr:from>
    <xdr:to>
      <xdr:col>11</xdr:col>
      <xdr:colOff>6944</xdr:colOff>
      <xdr:row>20</xdr:row>
      <xdr:rowOff>180111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03A8C7-1733-A24C-AB61-A445E1576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430" b="89693" l="752" r="95865">
                      <a14:foregroundMark x1="13695" y1="11404" x2="13695" y2="11404"/>
                      <a14:foregroundMark x1="16971" y1="21711" x2="26101" y2="21711"/>
                      <a14:foregroundMark x1="26101" y1="21711" x2="35338" y2="20175"/>
                      <a14:foregroundMark x1="9613" y1="27412" x2="9076" y2="55482"/>
                      <a14:foregroundMark x1="9076" y1="55482" x2="13050" y2="76974"/>
                      <a14:foregroundMark x1="13050" y1="76974" x2="20193" y2="81140"/>
                      <a14:foregroundMark x1="20193" y1="81140" x2="27820" y2="80702"/>
                      <a14:foregroundMark x1="27820" y1="80702" x2="47422" y2="82237"/>
                      <a14:foregroundMark x1="47422" y1="82237" x2="62137" y2="80702"/>
                      <a14:foregroundMark x1="62137" y1="80702" x2="68636" y2="80702"/>
                      <a14:foregroundMark x1="68636" y1="80702" x2="87701" y2="76754"/>
                      <a14:foregroundMark x1="87701" y1="76754" x2="91998" y2="57895"/>
                      <a14:foregroundMark x1="91998" y1="57895" x2="89581" y2="34211"/>
                      <a14:foregroundMark x1="89581" y1="34211" x2="75188" y2="26974"/>
                      <a14:foregroundMark x1="75188" y1="26974" x2="34586" y2="23684"/>
                      <a14:foregroundMark x1="39903" y1="31579" x2="44307" y2="52412"/>
                      <a14:foregroundMark x1="44307" y1="52412" x2="46992" y2="57456"/>
                      <a14:foregroundMark x1="7197" y1="44518" x2="4565" y2="43421"/>
                      <a14:foregroundMark x1="1128" y1="46491" x2="1128" y2="46491"/>
                      <a14:foregroundMark x1="752" y1="47588" x2="752" y2="47588"/>
                      <a14:foregroundMark x1="46509" y1="41447" x2="19871" y2="57018"/>
                      <a14:foregroundMark x1="19871" y1="57018" x2="13212" y2="54825"/>
                      <a14:foregroundMark x1="13212" y1="54825" x2="19012" y2="43421"/>
                      <a14:foregroundMark x1="19012" y1="43421" x2="64930" y2="47149"/>
                      <a14:foregroundMark x1="64930" y1="47149" x2="74436" y2="46711"/>
                      <a14:foregroundMark x1="74436" y1="46711" x2="88614" y2="47149"/>
                      <a14:foregroundMark x1="88614" y1="47149" x2="90816" y2="46491"/>
                      <a14:foregroundMark x1="88561" y1="20614" x2="88561" y2="20614"/>
                      <a14:foregroundMark x1="94092" y1="32018" x2="94092" y2="32018"/>
                      <a14:foregroundMark x1="95865" y1="48684" x2="92427" y2="27193"/>
                      <a14:foregroundMark x1="92427" y1="27193" x2="91461" y2="23684"/>
                      <a14:foregroundMark x1="86627" y1="55263" x2="86896" y2="58553"/>
                      <a14:foregroundMark x1="70569" y1="57895" x2="70569" y2="57895"/>
                      <a14:foregroundMark x1="74490" y1="54386" x2="74490" y2="54386"/>
                      <a14:foregroundMark x1="59291" y1="58991" x2="59291" y2="58991"/>
                      <a14:foregroundMark x1="62567" y1="56798" x2="62567" y2="56798"/>
                      <a14:foregroundMark x1="65091" y1="57895" x2="65091" y2="57895"/>
                      <a14:foregroundMark x1="42965" y1="62500" x2="42965" y2="62500"/>
                      <a14:foregroundMark x1="43824" y1="56798" x2="43824" y2="56798"/>
                      <a14:foregroundMark x1="25940" y1="62500" x2="25940" y2="62500"/>
                      <a14:foregroundMark x1="12299" y1="48684" x2="12299" y2="48684"/>
                      <a14:foregroundMark x1="13426" y1="38816" x2="13426" y2="3881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655862" y="8887145"/>
          <a:ext cx="1451382" cy="360766"/>
        </a:xfrm>
        <a:prstGeom prst="rect">
          <a:avLst/>
        </a:prstGeom>
      </xdr:spPr>
    </xdr:pic>
    <xdr:clientData/>
  </xdr:twoCellAnchor>
  <xdr:twoCellAnchor editAs="oneCell">
    <xdr:from>
      <xdr:col>1</xdr:col>
      <xdr:colOff>65113</xdr:colOff>
      <xdr:row>0</xdr:row>
      <xdr:rowOff>1101142</xdr:rowOff>
    </xdr:from>
    <xdr:to>
      <xdr:col>2</xdr:col>
      <xdr:colOff>763885</xdr:colOff>
      <xdr:row>1</xdr:row>
      <xdr:rowOff>765581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3E9FC06-6FD3-1822-4550-E0A59A80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913" y="1101142"/>
          <a:ext cx="2415086" cy="7711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173288</xdr:colOff>
      <xdr:row>0</xdr:row>
      <xdr:rowOff>135858</xdr:rowOff>
    </xdr:from>
    <xdr:to>
      <xdr:col>4</xdr:col>
      <xdr:colOff>216067</xdr:colOff>
      <xdr:row>0</xdr:row>
      <xdr:rowOff>671145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3A5BD6-A899-CA4B-AD4A-1BB8E21C3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4788" y="135858"/>
          <a:ext cx="2671679" cy="535287"/>
        </a:xfrm>
        <a:prstGeom prst="rect">
          <a:avLst/>
        </a:prstGeom>
      </xdr:spPr>
    </xdr:pic>
    <xdr:clientData/>
  </xdr:twoCellAnchor>
  <xdr:twoCellAnchor editAs="oneCell">
    <xdr:from>
      <xdr:col>1</xdr:col>
      <xdr:colOff>60561</xdr:colOff>
      <xdr:row>0</xdr:row>
      <xdr:rowOff>88547</xdr:rowOff>
    </xdr:from>
    <xdr:to>
      <xdr:col>1</xdr:col>
      <xdr:colOff>1509398</xdr:colOff>
      <xdr:row>0</xdr:row>
      <xdr:rowOff>654807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43A605-A0E6-2C49-8079-9DD67605BE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9" t="30902" r="6517" b="35020"/>
        <a:stretch/>
      </xdr:blipFill>
      <xdr:spPr bwMode="auto">
        <a:xfrm>
          <a:off x="365361" y="88547"/>
          <a:ext cx="1448837" cy="56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34924</xdr:colOff>
      <xdr:row>0</xdr:row>
      <xdr:rowOff>1065162</xdr:rowOff>
    </xdr:from>
    <xdr:to>
      <xdr:col>4</xdr:col>
      <xdr:colOff>1463845</xdr:colOff>
      <xdr:row>1</xdr:row>
      <xdr:rowOff>863183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95BFD53-8A7A-C006-9080-82BA42E15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724" y="1065162"/>
          <a:ext cx="5594521" cy="90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jicaza@vecta.c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1A98-70BF-8F40-88CE-9EA2511650D7}">
  <sheetPr>
    <tabColor theme="4" tint="0.79998168889431442"/>
  </sheetPr>
  <dimension ref="A1:M33"/>
  <sheetViews>
    <sheetView tabSelected="1" zoomScale="93" zoomScaleNormal="93" workbookViewId="0">
      <selection activeCell="C5" sqref="C5"/>
    </sheetView>
  </sheetViews>
  <sheetFormatPr baseColWidth="10" defaultRowHeight="15" x14ac:dyDescent="0.2"/>
  <cols>
    <col min="1" max="1" width="4" customWidth="1"/>
    <col min="2" max="2" width="14.1640625" customWidth="1"/>
    <col min="3" max="3" width="21.1640625" bestFit="1" customWidth="1"/>
    <col min="4" max="4" width="16.83203125" customWidth="1"/>
    <col min="5" max="5" width="17.6640625" bestFit="1" customWidth="1"/>
    <col min="6" max="7" width="19.6640625" customWidth="1"/>
    <col min="8" max="8" width="24.1640625" bestFit="1" customWidth="1"/>
    <col min="9" max="11" width="19.6640625" customWidth="1"/>
    <col min="12" max="12" width="19.1640625" customWidth="1"/>
    <col min="13" max="13" width="14.83203125" customWidth="1"/>
  </cols>
  <sheetData>
    <row r="1" spans="1:13" s="167" customFormat="1" ht="87" customHeight="1" x14ac:dyDescent="0.2">
      <c r="E1" s="168"/>
      <c r="F1" s="168"/>
      <c r="G1" s="173"/>
      <c r="H1" s="173"/>
      <c r="I1" s="173"/>
      <c r="J1" s="173"/>
      <c r="K1" s="173"/>
      <c r="L1" s="174"/>
      <c r="M1" s="174"/>
    </row>
    <row r="2" spans="1:13" s="167" customFormat="1" ht="80" customHeight="1" x14ac:dyDescent="0.2"/>
    <row r="3" spans="1:13" ht="30" customHeight="1" thickBot="1" x14ac:dyDescent="0.25"/>
    <row r="4" spans="1:13" ht="28" thickBot="1" x14ac:dyDescent="0.4">
      <c r="B4" s="291" t="s">
        <v>183</v>
      </c>
      <c r="C4" s="292"/>
      <c r="D4" s="292"/>
      <c r="E4" s="292"/>
      <c r="F4" s="292"/>
      <c r="G4" s="292"/>
      <c r="H4" s="292"/>
      <c r="I4" s="292"/>
      <c r="J4" s="292"/>
      <c r="K4" s="292"/>
      <c r="L4" s="293"/>
    </row>
    <row r="5" spans="1:13" s="164" customFormat="1" ht="16" x14ac:dyDescent="0.2">
      <c r="B5" s="246" t="s">
        <v>138</v>
      </c>
      <c r="C5" s="294"/>
      <c r="D5" s="285"/>
      <c r="E5" s="286"/>
      <c r="F5" s="286"/>
      <c r="G5" s="286"/>
      <c r="H5" s="286"/>
      <c r="I5" s="286"/>
      <c r="J5" s="286"/>
      <c r="K5" s="286"/>
      <c r="L5" s="287"/>
    </row>
    <row r="6" spans="1:13" s="164" customFormat="1" ht="16" x14ac:dyDescent="0.2">
      <c r="B6" s="246" t="s">
        <v>192</v>
      </c>
      <c r="C6" s="294"/>
      <c r="D6" s="285"/>
      <c r="E6" s="286"/>
      <c r="F6" s="286"/>
      <c r="G6" s="286"/>
      <c r="H6" s="286"/>
      <c r="I6" s="286"/>
      <c r="J6" s="286"/>
      <c r="K6" s="286"/>
      <c r="L6" s="287"/>
    </row>
    <row r="7" spans="1:13" s="164" customFormat="1" ht="16" x14ac:dyDescent="0.2">
      <c r="B7" s="246" t="s">
        <v>186</v>
      </c>
      <c r="C7" s="294"/>
      <c r="D7" s="286"/>
      <c r="E7" s="286"/>
      <c r="F7" s="286"/>
      <c r="G7" s="286"/>
      <c r="H7" s="286"/>
      <c r="I7" s="286"/>
      <c r="J7" s="286"/>
      <c r="K7" s="286"/>
      <c r="L7" s="287"/>
    </row>
    <row r="8" spans="1:13" s="164" customFormat="1" ht="17" thickBot="1" x14ac:dyDescent="0.25">
      <c r="B8" s="247" t="s">
        <v>193</v>
      </c>
      <c r="C8" s="295"/>
      <c r="D8" s="288" t="str">
        <f>IF(D7="","",(D6+D7))</f>
        <v/>
      </c>
      <c r="E8" s="289"/>
      <c r="F8" s="289"/>
      <c r="G8" s="289"/>
      <c r="H8" s="289"/>
      <c r="I8" s="289"/>
      <c r="J8" s="289"/>
      <c r="K8" s="289"/>
      <c r="L8" s="290"/>
    </row>
    <row r="9" spans="1:13" ht="16" thickBot="1" x14ac:dyDescent="0.25"/>
    <row r="10" spans="1:13" s="226" customFormat="1" ht="45" customHeight="1" thickBot="1" x14ac:dyDescent="0.25">
      <c r="B10" s="317" t="s">
        <v>172</v>
      </c>
      <c r="C10" s="315"/>
      <c r="D10" s="315"/>
      <c r="E10" s="315"/>
      <c r="F10" s="315"/>
      <c r="G10" s="315"/>
      <c r="H10" s="318"/>
      <c r="I10" s="318"/>
      <c r="J10" s="315"/>
      <c r="K10" s="315"/>
      <c r="L10" s="315"/>
      <c r="M10" s="316"/>
    </row>
    <row r="11" spans="1:13" s="226" customFormat="1" ht="45" customHeight="1" thickBot="1" x14ac:dyDescent="0.25">
      <c r="B11" s="314" t="s">
        <v>252</v>
      </c>
      <c r="C11" s="318"/>
      <c r="D11" s="315"/>
      <c r="E11" s="315"/>
      <c r="F11" s="315"/>
      <c r="G11" s="315"/>
      <c r="H11" s="315"/>
      <c r="I11" s="315"/>
      <c r="J11" s="315"/>
      <c r="K11" s="315"/>
      <c r="L11" s="315"/>
      <c r="M11" s="316"/>
    </row>
    <row r="12" spans="1:13" ht="22" x14ac:dyDescent="0.3">
      <c r="B12" s="176" t="s">
        <v>198</v>
      </c>
      <c r="C12" s="177"/>
      <c r="D12" s="177"/>
      <c r="E12" s="177"/>
      <c r="F12" s="177"/>
      <c r="G12" s="319"/>
      <c r="H12" s="306" t="s">
        <v>197</v>
      </c>
      <c r="I12" s="181"/>
      <c r="J12" s="181"/>
      <c r="K12" s="181"/>
      <c r="L12" s="181"/>
      <c r="M12" s="182"/>
    </row>
    <row r="13" spans="1:13" s="164" customFormat="1" ht="17" thickBot="1" x14ac:dyDescent="0.25">
      <c r="B13" s="249" t="s">
        <v>144</v>
      </c>
      <c r="C13" s="178" t="s">
        <v>185</v>
      </c>
      <c r="D13" s="178" t="s">
        <v>170</v>
      </c>
      <c r="E13" s="178" t="s">
        <v>140</v>
      </c>
      <c r="F13" s="178" t="s">
        <v>171</v>
      </c>
      <c r="G13" s="308" t="s">
        <v>194</v>
      </c>
      <c r="H13" s="198" t="s">
        <v>143</v>
      </c>
      <c r="I13" s="199" t="s">
        <v>192</v>
      </c>
      <c r="J13" s="199" t="s">
        <v>186</v>
      </c>
      <c r="K13" s="199" t="s">
        <v>193</v>
      </c>
      <c r="L13" s="199" t="s">
        <v>142</v>
      </c>
      <c r="M13" s="200" t="s">
        <v>251</v>
      </c>
    </row>
    <row r="14" spans="1:13" s="164" customFormat="1" ht="16" x14ac:dyDescent="0.2">
      <c r="A14" s="164" t="s">
        <v>145</v>
      </c>
      <c r="B14" s="309" t="s">
        <v>202</v>
      </c>
      <c r="C14" s="310"/>
      <c r="D14" s="310"/>
      <c r="E14" s="310"/>
      <c r="F14" s="310"/>
      <c r="G14" s="311"/>
      <c r="H14" s="252"/>
      <c r="I14" s="253"/>
      <c r="J14" s="253" t="str">
        <f>+IF(I14="","",D7)</f>
        <v/>
      </c>
      <c r="K14" s="253" t="str">
        <f>+IF(I14="","",I14+J14)</f>
        <v/>
      </c>
      <c r="L14" s="253"/>
      <c r="M14" s="254"/>
    </row>
    <row r="15" spans="1:13" s="164" customFormat="1" ht="16" x14ac:dyDescent="0.2">
      <c r="A15" s="164" t="s">
        <v>145</v>
      </c>
      <c r="B15" s="250" t="s">
        <v>205</v>
      </c>
      <c r="C15" s="251"/>
      <c r="D15" s="251"/>
      <c r="E15" s="251"/>
      <c r="F15" s="251"/>
      <c r="G15" s="312"/>
      <c r="H15" s="255"/>
      <c r="I15" s="256"/>
      <c r="J15" s="256" t="str">
        <f>+IF(I15="","",D8)</f>
        <v/>
      </c>
      <c r="K15" s="256" t="str">
        <f t="shared" ref="K15:K23" si="0">+IF(I15="","",I15+J15)</f>
        <v/>
      </c>
      <c r="L15" s="256"/>
      <c r="M15" s="257"/>
    </row>
    <row r="16" spans="1:13" s="164" customFormat="1" ht="16" x14ac:dyDescent="0.2">
      <c r="A16" s="164" t="s">
        <v>145</v>
      </c>
      <c r="B16" s="250" t="s">
        <v>206</v>
      </c>
      <c r="C16" s="251"/>
      <c r="D16" s="251"/>
      <c r="E16" s="251"/>
      <c r="F16" s="251"/>
      <c r="G16" s="312"/>
      <c r="H16" s="255"/>
      <c r="I16" s="256"/>
      <c r="J16" s="256" t="str">
        <f>+IF(I16="","",D9)</f>
        <v/>
      </c>
      <c r="K16" s="256" t="str">
        <f t="shared" si="0"/>
        <v/>
      </c>
      <c r="L16" s="256"/>
      <c r="M16" s="257"/>
    </row>
    <row r="17" spans="1:13" s="164" customFormat="1" ht="16" x14ac:dyDescent="0.2">
      <c r="A17" s="164" t="s">
        <v>145</v>
      </c>
      <c r="B17" s="250" t="s">
        <v>207</v>
      </c>
      <c r="C17" s="251"/>
      <c r="D17" s="251"/>
      <c r="E17" s="251"/>
      <c r="F17" s="251"/>
      <c r="G17" s="312"/>
      <c r="H17" s="255"/>
      <c r="I17" s="256"/>
      <c r="J17" s="256" t="str">
        <f>+IF(I17="","",#REF!)</f>
        <v/>
      </c>
      <c r="K17" s="256" t="str">
        <f t="shared" si="0"/>
        <v/>
      </c>
      <c r="L17" s="256"/>
      <c r="M17" s="257"/>
    </row>
    <row r="18" spans="1:13" s="164" customFormat="1" ht="16" x14ac:dyDescent="0.2">
      <c r="A18" s="164" t="s">
        <v>145</v>
      </c>
      <c r="B18" s="250" t="s">
        <v>208</v>
      </c>
      <c r="C18" s="251"/>
      <c r="D18" s="251"/>
      <c r="E18" s="251"/>
      <c r="F18" s="251"/>
      <c r="G18" s="312"/>
      <c r="H18" s="255"/>
      <c r="I18" s="256"/>
      <c r="J18" s="256" t="str">
        <f>+IF(I18="","",#REF!)</f>
        <v/>
      </c>
      <c r="K18" s="256" t="str">
        <f t="shared" si="0"/>
        <v/>
      </c>
      <c r="L18" s="256"/>
      <c r="M18" s="257"/>
    </row>
    <row r="19" spans="1:13" s="164" customFormat="1" ht="16" x14ac:dyDescent="0.2">
      <c r="A19" s="164" t="s">
        <v>145</v>
      </c>
      <c r="B19" s="250" t="s">
        <v>209</v>
      </c>
      <c r="C19" s="251"/>
      <c r="D19" s="251"/>
      <c r="E19" s="251"/>
      <c r="F19" s="251"/>
      <c r="G19" s="312"/>
      <c r="H19" s="255"/>
      <c r="I19" s="256"/>
      <c r="J19" s="256" t="str">
        <f>+IF(I19="","",#REF!)</f>
        <v/>
      </c>
      <c r="K19" s="256" t="str">
        <f t="shared" si="0"/>
        <v/>
      </c>
      <c r="L19" s="256"/>
      <c r="M19" s="257"/>
    </row>
    <row r="20" spans="1:13" s="164" customFormat="1" ht="16" x14ac:dyDescent="0.2">
      <c r="A20" s="164" t="s">
        <v>145</v>
      </c>
      <c r="B20" s="250" t="s">
        <v>210</v>
      </c>
      <c r="C20" s="251"/>
      <c r="D20" s="251"/>
      <c r="E20" s="251"/>
      <c r="F20" s="251"/>
      <c r="G20" s="312"/>
      <c r="H20" s="255"/>
      <c r="I20" s="256"/>
      <c r="J20" s="256" t="str">
        <f>+IF(I20="","",#REF!)</f>
        <v/>
      </c>
      <c r="K20" s="256" t="str">
        <f t="shared" si="0"/>
        <v/>
      </c>
      <c r="L20" s="256"/>
      <c r="M20" s="257"/>
    </row>
    <row r="21" spans="1:13" s="164" customFormat="1" ht="16" x14ac:dyDescent="0.2">
      <c r="A21" s="164" t="s">
        <v>145</v>
      </c>
      <c r="B21" s="250" t="s">
        <v>211</v>
      </c>
      <c r="C21" s="251"/>
      <c r="D21" s="251"/>
      <c r="E21" s="251"/>
      <c r="F21" s="251"/>
      <c r="G21" s="312"/>
      <c r="H21" s="255"/>
      <c r="I21" s="256"/>
      <c r="J21" s="256" t="str">
        <f>+IF(I21="","",#REF!)</f>
        <v/>
      </c>
      <c r="K21" s="256" t="str">
        <f t="shared" si="0"/>
        <v/>
      </c>
      <c r="L21" s="256"/>
      <c r="M21" s="257"/>
    </row>
    <row r="22" spans="1:13" s="164" customFormat="1" ht="16" x14ac:dyDescent="0.2">
      <c r="A22" s="164" t="s">
        <v>145</v>
      </c>
      <c r="B22" s="250" t="s">
        <v>212</v>
      </c>
      <c r="C22" s="251"/>
      <c r="D22" s="251"/>
      <c r="E22" s="251"/>
      <c r="F22" s="251"/>
      <c r="G22" s="312"/>
      <c r="H22" s="255"/>
      <c r="I22" s="256"/>
      <c r="J22" s="256" t="str">
        <f>+IF(I22="","",#REF!)</f>
        <v/>
      </c>
      <c r="K22" s="256" t="str">
        <f t="shared" si="0"/>
        <v/>
      </c>
      <c r="L22" s="256"/>
      <c r="M22" s="257"/>
    </row>
    <row r="23" spans="1:13" s="164" customFormat="1" ht="17" thickBot="1" x14ac:dyDescent="0.25">
      <c r="A23" s="164" t="s">
        <v>145</v>
      </c>
      <c r="B23" s="258" t="s">
        <v>213</v>
      </c>
      <c r="C23" s="259"/>
      <c r="D23" s="259"/>
      <c r="E23" s="259"/>
      <c r="F23" s="259"/>
      <c r="G23" s="313"/>
      <c r="H23" s="260"/>
      <c r="I23" s="261"/>
      <c r="J23" s="261" t="str">
        <f>+IF(I23="","",#REF!)</f>
        <v/>
      </c>
      <c r="K23" s="261" t="str">
        <f t="shared" si="0"/>
        <v/>
      </c>
      <c r="L23" s="261"/>
      <c r="M23" s="262"/>
    </row>
    <row r="24" spans="1:13" ht="16" x14ac:dyDescent="0.2">
      <c r="A24" s="164" t="s">
        <v>146</v>
      </c>
      <c r="B24" s="307" t="s">
        <v>202</v>
      </c>
      <c r="C24" s="251"/>
      <c r="D24" s="251"/>
      <c r="E24" s="251"/>
      <c r="F24" s="251"/>
      <c r="G24" s="312"/>
      <c r="H24" s="255"/>
      <c r="I24" s="256"/>
      <c r="J24" s="256" t="str">
        <f>+IF(I24="","",#REF!)</f>
        <v/>
      </c>
      <c r="K24" s="256" t="str">
        <f>+IF(I24="","",I24+J24)</f>
        <v/>
      </c>
      <c r="L24" s="256"/>
      <c r="M24" s="184"/>
    </row>
    <row r="25" spans="1:13" ht="16" x14ac:dyDescent="0.2">
      <c r="A25" s="164" t="s">
        <v>146</v>
      </c>
      <c r="B25" s="250" t="s">
        <v>205</v>
      </c>
      <c r="C25" s="251"/>
      <c r="D25" s="251"/>
      <c r="E25" s="251"/>
      <c r="F25" s="251"/>
      <c r="G25" s="312"/>
      <c r="H25" s="255"/>
      <c r="I25" s="256"/>
      <c r="J25" s="256" t="str">
        <f>+IF(I25="","",#REF!)</f>
        <v/>
      </c>
      <c r="K25" s="256" t="str">
        <f t="shared" ref="K25:K33" si="1">+IF(I25="","",I25+J25)</f>
        <v/>
      </c>
      <c r="L25" s="256"/>
      <c r="M25" s="184"/>
    </row>
    <row r="26" spans="1:13" ht="16" x14ac:dyDescent="0.2">
      <c r="A26" s="164" t="s">
        <v>146</v>
      </c>
      <c r="B26" s="250" t="s">
        <v>206</v>
      </c>
      <c r="C26" s="251"/>
      <c r="D26" s="251"/>
      <c r="E26" s="251"/>
      <c r="F26" s="251"/>
      <c r="G26" s="312"/>
      <c r="H26" s="255"/>
      <c r="I26" s="256"/>
      <c r="J26" s="256" t="str">
        <f>+IF(I26="","",#REF!)</f>
        <v/>
      </c>
      <c r="K26" s="256" t="str">
        <f t="shared" si="1"/>
        <v/>
      </c>
      <c r="L26" s="256"/>
      <c r="M26" s="184"/>
    </row>
    <row r="27" spans="1:13" ht="16" x14ac:dyDescent="0.2">
      <c r="A27" s="164" t="s">
        <v>146</v>
      </c>
      <c r="B27" s="250" t="s">
        <v>207</v>
      </c>
      <c r="C27" s="251"/>
      <c r="D27" s="251"/>
      <c r="E27" s="251"/>
      <c r="F27" s="251"/>
      <c r="G27" s="312"/>
      <c r="H27" s="255"/>
      <c r="I27" s="256"/>
      <c r="J27" s="256" t="str">
        <f>+IF(I27="","",#REF!)</f>
        <v/>
      </c>
      <c r="K27" s="256" t="str">
        <f t="shared" si="1"/>
        <v/>
      </c>
      <c r="L27" s="256"/>
      <c r="M27" s="184"/>
    </row>
    <row r="28" spans="1:13" ht="16" x14ac:dyDescent="0.2">
      <c r="A28" s="164" t="s">
        <v>146</v>
      </c>
      <c r="B28" s="250" t="s">
        <v>208</v>
      </c>
      <c r="C28" s="251"/>
      <c r="D28" s="251"/>
      <c r="E28" s="251"/>
      <c r="F28" s="251"/>
      <c r="G28" s="312"/>
      <c r="H28" s="255"/>
      <c r="I28" s="256"/>
      <c r="J28" s="256" t="str">
        <f>+IF(I28="","",#REF!)</f>
        <v/>
      </c>
      <c r="K28" s="256" t="str">
        <f t="shared" si="1"/>
        <v/>
      </c>
      <c r="L28" s="256"/>
      <c r="M28" s="184"/>
    </row>
    <row r="29" spans="1:13" ht="16" x14ac:dyDescent="0.2">
      <c r="A29" s="164" t="s">
        <v>146</v>
      </c>
      <c r="B29" s="250" t="s">
        <v>209</v>
      </c>
      <c r="C29" s="251"/>
      <c r="D29" s="251"/>
      <c r="E29" s="251"/>
      <c r="F29" s="251"/>
      <c r="G29" s="312"/>
      <c r="H29" s="255"/>
      <c r="I29" s="256"/>
      <c r="J29" s="256" t="str">
        <f>+IF(I29="","",#REF!)</f>
        <v/>
      </c>
      <c r="K29" s="256" t="str">
        <f t="shared" si="1"/>
        <v/>
      </c>
      <c r="L29" s="256"/>
      <c r="M29" s="184"/>
    </row>
    <row r="30" spans="1:13" ht="16" x14ac:dyDescent="0.2">
      <c r="A30" s="164" t="s">
        <v>146</v>
      </c>
      <c r="B30" s="250" t="s">
        <v>210</v>
      </c>
      <c r="C30" s="251"/>
      <c r="D30" s="251"/>
      <c r="E30" s="251"/>
      <c r="F30" s="251"/>
      <c r="G30" s="312"/>
      <c r="H30" s="255"/>
      <c r="I30" s="256"/>
      <c r="J30" s="256" t="str">
        <f>+IF(I30="","",#REF!)</f>
        <v/>
      </c>
      <c r="K30" s="256" t="str">
        <f t="shared" si="1"/>
        <v/>
      </c>
      <c r="L30" s="256"/>
      <c r="M30" s="184"/>
    </row>
    <row r="31" spans="1:13" ht="16" x14ac:dyDescent="0.2">
      <c r="A31" s="164" t="s">
        <v>146</v>
      </c>
      <c r="B31" s="250" t="s">
        <v>211</v>
      </c>
      <c r="C31" s="251"/>
      <c r="D31" s="251"/>
      <c r="E31" s="251"/>
      <c r="F31" s="251"/>
      <c r="G31" s="312"/>
      <c r="H31" s="255"/>
      <c r="I31" s="256"/>
      <c r="J31" s="256" t="str">
        <f>+IF(I31="","",D10)</f>
        <v/>
      </c>
      <c r="K31" s="256" t="str">
        <f t="shared" si="1"/>
        <v/>
      </c>
      <c r="L31" s="256"/>
      <c r="M31" s="184"/>
    </row>
    <row r="32" spans="1:13" ht="16" x14ac:dyDescent="0.2">
      <c r="A32" s="164" t="s">
        <v>146</v>
      </c>
      <c r="B32" s="250" t="s">
        <v>212</v>
      </c>
      <c r="C32" s="251"/>
      <c r="D32" s="251"/>
      <c r="E32" s="251"/>
      <c r="F32" s="251"/>
      <c r="G32" s="312"/>
      <c r="H32" s="255"/>
      <c r="I32" s="256"/>
      <c r="J32" s="256" t="str">
        <f>+IF(I32="","",D12)</f>
        <v/>
      </c>
      <c r="K32" s="256" t="str">
        <f t="shared" si="1"/>
        <v/>
      </c>
      <c r="L32" s="256"/>
      <c r="M32" s="184"/>
    </row>
    <row r="33" spans="1:13" ht="17" thickBot="1" x14ac:dyDescent="0.25">
      <c r="A33" s="164" t="s">
        <v>146</v>
      </c>
      <c r="B33" s="258" t="s">
        <v>213</v>
      </c>
      <c r="C33" s="259"/>
      <c r="D33" s="259"/>
      <c r="E33" s="259"/>
      <c r="F33" s="259"/>
      <c r="G33" s="313"/>
      <c r="H33" s="260"/>
      <c r="I33" s="261"/>
      <c r="J33" s="261" t="str">
        <f>+IF(I33="","",D13)</f>
        <v/>
      </c>
      <c r="K33" s="261" t="str">
        <f t="shared" si="1"/>
        <v/>
      </c>
      <c r="L33" s="261"/>
      <c r="M33" s="186"/>
    </row>
  </sheetData>
  <mergeCells count="3">
    <mergeCell ref="B12:G12"/>
    <mergeCell ref="H12:M12"/>
    <mergeCell ref="E1:F1"/>
  </mergeCells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22B439E-934E-BE44-BCDC-AFF5F0EC02F2}">
          <x14:formula1>
            <xm:f>Mantenedor!$C$2:$C$3</xm:f>
          </x14:formula1>
          <xm:sqref>L14:L33</xm:sqref>
        </x14:dataValidation>
        <x14:dataValidation type="list" allowBlank="1" showInputMessage="1" showErrorMessage="1" xr:uid="{A130B6CF-4023-5C4C-8FF4-5AEC9B4EC2C0}">
          <x14:formula1>
            <xm:f>Mantenedor!$D$2:$D$4</xm:f>
          </x14:formula1>
          <xm:sqref>H14:H33</xm:sqref>
        </x14:dataValidation>
        <x14:dataValidation type="list" allowBlank="1" showInputMessage="1" showErrorMessage="1" xr:uid="{7F661CEC-C46C-9745-B835-A5E6EA0B05A5}">
          <x14:formula1>
            <xm:f>Mantenedor!$A$2:$A$3</xm:f>
          </x14:formula1>
          <xm:sqref>C14:C33</xm:sqref>
        </x14:dataValidation>
        <x14:dataValidation type="list" allowBlank="1" showInputMessage="1" showErrorMessage="1" xr:uid="{6FDCDABA-D8A0-F044-B7AF-1824B9DBBB10}">
          <x14:formula1>
            <xm:f>Mantenedor!$F$2:$F$3</xm:f>
          </x14:formula1>
          <xm:sqref>I11 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4466-5D82-944A-B77C-B183DE27830E}">
  <sheetPr>
    <tabColor rgb="FFFFFF00"/>
  </sheetPr>
  <dimension ref="A1:AI503"/>
  <sheetViews>
    <sheetView zoomScale="96" zoomScaleNormal="96" workbookViewId="0">
      <selection activeCell="B3" sqref="B3"/>
    </sheetView>
  </sheetViews>
  <sheetFormatPr baseColWidth="10" defaultRowHeight="15" x14ac:dyDescent="0.2"/>
  <cols>
    <col min="1" max="1" width="12.83203125" bestFit="1" customWidth="1"/>
    <col min="2" max="2" width="6.1640625" bestFit="1" customWidth="1"/>
    <col min="3" max="3" width="12.5" customWidth="1"/>
    <col min="4" max="4" width="18" bestFit="1" customWidth="1"/>
    <col min="5" max="5" width="18" customWidth="1"/>
    <col min="6" max="6" width="23" customWidth="1"/>
    <col min="7" max="8" width="23.83203125" customWidth="1"/>
    <col min="9" max="9" width="16.83203125" customWidth="1"/>
    <col min="14" max="14" width="23.1640625" bestFit="1" customWidth="1"/>
    <col min="15" max="15" width="18.33203125" bestFit="1" customWidth="1"/>
    <col min="17" max="17" width="15.33203125" bestFit="1" customWidth="1"/>
    <col min="18" max="22" width="14.1640625" bestFit="1" customWidth="1"/>
    <col min="23" max="23" width="13.5" bestFit="1" customWidth="1"/>
    <col min="24" max="24" width="19.5" bestFit="1" customWidth="1"/>
    <col min="25" max="25" width="18" bestFit="1" customWidth="1"/>
    <col min="26" max="26" width="19.6640625" bestFit="1" customWidth="1"/>
    <col min="27" max="29" width="12.5" bestFit="1" customWidth="1"/>
    <col min="30" max="30" width="11.6640625" bestFit="1" customWidth="1"/>
    <col min="31" max="31" width="12.1640625" bestFit="1" customWidth="1"/>
    <col min="32" max="32" width="18" bestFit="1" customWidth="1"/>
    <col min="33" max="33" width="16.5" bestFit="1" customWidth="1"/>
    <col min="34" max="34" width="18.1640625" bestFit="1" customWidth="1"/>
    <col min="35" max="35" width="15" bestFit="1" customWidth="1"/>
  </cols>
  <sheetData>
    <row r="1" spans="1:35" s="234" customFormat="1" ht="25" customHeight="1" x14ac:dyDescent="0.2">
      <c r="A1" s="243" t="s">
        <v>137</v>
      </c>
      <c r="B1" s="227" t="s">
        <v>154</v>
      </c>
      <c r="C1" s="228"/>
      <c r="D1" s="228"/>
      <c r="E1" s="228"/>
      <c r="F1" s="228"/>
      <c r="G1" s="228"/>
      <c r="H1" s="228"/>
      <c r="I1" s="229" t="s">
        <v>155</v>
      </c>
      <c r="J1" s="230"/>
      <c r="K1" s="230"/>
      <c r="L1" s="230"/>
      <c r="M1" s="231" t="s">
        <v>228</v>
      </c>
      <c r="N1" s="232"/>
      <c r="O1" s="232"/>
      <c r="P1" s="233"/>
      <c r="Q1" s="275" t="s">
        <v>246</v>
      </c>
      <c r="R1" s="276"/>
      <c r="S1" s="276"/>
      <c r="T1" s="276"/>
      <c r="U1" s="276"/>
      <c r="V1" s="276"/>
      <c r="W1" s="276"/>
      <c r="X1" s="276"/>
      <c r="Y1" s="276"/>
      <c r="Z1" s="276"/>
      <c r="AA1" s="269" t="s">
        <v>247</v>
      </c>
      <c r="AB1" s="270"/>
      <c r="AC1" s="270"/>
      <c r="AD1" s="270"/>
      <c r="AE1" s="270"/>
      <c r="AF1" s="270"/>
      <c r="AG1" s="270"/>
      <c r="AH1" s="270"/>
      <c r="AI1" s="266" t="s">
        <v>251</v>
      </c>
    </row>
    <row r="2" spans="1:35" s="3" customFormat="1" ht="16" thickBot="1" x14ac:dyDescent="0.25">
      <c r="A2" s="244"/>
      <c r="B2" s="207" t="s">
        <v>115</v>
      </c>
      <c r="C2" s="235" t="s">
        <v>144</v>
      </c>
      <c r="D2" s="296" t="s">
        <v>232</v>
      </c>
      <c r="E2" s="296" t="s">
        <v>140</v>
      </c>
      <c r="F2" s="296" t="s">
        <v>233</v>
      </c>
      <c r="G2" s="296" t="s">
        <v>194</v>
      </c>
      <c r="H2" s="296" t="s">
        <v>142</v>
      </c>
      <c r="I2" s="297" t="s">
        <v>234</v>
      </c>
      <c r="J2" s="298" t="s">
        <v>192</v>
      </c>
      <c r="K2" s="298" t="s">
        <v>201</v>
      </c>
      <c r="L2" s="298" t="s">
        <v>193</v>
      </c>
      <c r="M2" s="299" t="s">
        <v>143</v>
      </c>
      <c r="N2" s="300" t="s">
        <v>199</v>
      </c>
      <c r="O2" s="300" t="s">
        <v>235</v>
      </c>
      <c r="P2" s="301" t="s">
        <v>214</v>
      </c>
      <c r="Q2" s="302" t="s">
        <v>236</v>
      </c>
      <c r="R2" s="303" t="s">
        <v>237</v>
      </c>
      <c r="S2" s="303" t="s">
        <v>238</v>
      </c>
      <c r="T2" s="303" t="s">
        <v>239</v>
      </c>
      <c r="U2" s="303" t="s">
        <v>240</v>
      </c>
      <c r="V2" s="303" t="s">
        <v>241</v>
      </c>
      <c r="W2" s="303" t="s">
        <v>222</v>
      </c>
      <c r="X2" s="303" t="s">
        <v>231</v>
      </c>
      <c r="Y2" s="303" t="s">
        <v>229</v>
      </c>
      <c r="Z2" s="303" t="s">
        <v>230</v>
      </c>
      <c r="AA2" s="304" t="s">
        <v>242</v>
      </c>
      <c r="AB2" s="305" t="s">
        <v>243</v>
      </c>
      <c r="AC2" s="305" t="s">
        <v>244</v>
      </c>
      <c r="AD2" s="305" t="s">
        <v>245</v>
      </c>
      <c r="AE2" s="305" t="s">
        <v>223</v>
      </c>
      <c r="AF2" s="305" t="s">
        <v>248</v>
      </c>
      <c r="AG2" s="305" t="s">
        <v>249</v>
      </c>
      <c r="AH2" s="305" t="s">
        <v>250</v>
      </c>
      <c r="AI2" s="277"/>
    </row>
    <row r="3" spans="1:35" x14ac:dyDescent="0.2">
      <c r="A3" s="242" t="str">
        <f>+IF(D3="","",CONCATENATE("GBL 00",Mantenedor!E2))</f>
        <v/>
      </c>
      <c r="B3" s="209"/>
      <c r="C3" s="210"/>
      <c r="D3" s="210"/>
      <c r="E3" s="210"/>
      <c r="F3" s="210"/>
      <c r="G3" s="210"/>
      <c r="H3" s="210"/>
      <c r="I3" s="211"/>
      <c r="J3" s="212"/>
      <c r="K3" s="213"/>
      <c r="L3" s="212" t="str">
        <f>IF(K3="","",(J3+K3))</f>
        <v/>
      </c>
      <c r="M3" s="240"/>
      <c r="N3" s="225" t="str">
        <f>IF($K3="","",IF($K3=1,CONCATENATE("Base ",$M3," ",$K3," noche"),CONCATENATE("Base ",$M3," ",$K3," noches")))</f>
        <v/>
      </c>
      <c r="O3" s="239" t="str">
        <f>IFERROR(IF(M3="Host","0",VLOOKUP($N3,Pricing!$D$2:$E$43,2,FALSE)),"")</f>
        <v/>
      </c>
      <c r="P3" s="196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71"/>
      <c r="AB3" s="272"/>
      <c r="AC3" s="272"/>
      <c r="AD3" s="272"/>
      <c r="AE3" s="272"/>
      <c r="AF3" s="272"/>
      <c r="AG3" s="272"/>
      <c r="AH3" s="272"/>
      <c r="AI3" s="267"/>
    </row>
    <row r="4" spans="1:35" x14ac:dyDescent="0.2">
      <c r="A4" s="208" t="str">
        <f>+IF(D4="","",CONCATENATE("GBL 00",Mantenedor!E3))</f>
        <v/>
      </c>
      <c r="B4" s="214"/>
      <c r="C4" s="215"/>
      <c r="D4" s="215"/>
      <c r="E4" s="215"/>
      <c r="F4" s="215"/>
      <c r="G4" s="215"/>
      <c r="H4" s="215"/>
      <c r="I4" s="216"/>
      <c r="J4" s="217"/>
      <c r="K4" s="218"/>
      <c r="L4" s="217" t="str">
        <f t="shared" ref="L4:L67" si="0">IF(K4="","",(J4+K4))</f>
        <v/>
      </c>
      <c r="M4" s="240"/>
      <c r="N4" s="225" t="str">
        <f>IF($K4="","",IF($K4=1,CONCATENATE("Base ",$M4," ",$K4," noche"),CONCATENATE("Base ",$M4," ",$K4," noches")))</f>
        <v/>
      </c>
      <c r="O4" s="239" t="str">
        <f>IFERROR((VLOOKUP($N4,Pricing!$D$2:$E$43,2,FALSE)),"")</f>
        <v/>
      </c>
      <c r="P4" s="196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71"/>
      <c r="AB4" s="272"/>
      <c r="AC4" s="272"/>
      <c r="AD4" s="272"/>
      <c r="AE4" s="272"/>
      <c r="AF4" s="272"/>
      <c r="AG4" s="272"/>
      <c r="AH4" s="272"/>
      <c r="AI4" s="267"/>
    </row>
    <row r="5" spans="1:35" x14ac:dyDescent="0.2">
      <c r="A5" s="208" t="str">
        <f>+IF(D5="","",CONCATENATE("GBL 00",Mantenedor!E4))</f>
        <v/>
      </c>
      <c r="B5" s="214"/>
      <c r="C5" s="215"/>
      <c r="D5" s="215"/>
      <c r="E5" s="215"/>
      <c r="F5" s="215"/>
      <c r="G5" s="215"/>
      <c r="H5" s="215"/>
      <c r="I5" s="216"/>
      <c r="J5" s="217"/>
      <c r="K5" s="218"/>
      <c r="L5" s="217" t="str">
        <f t="shared" si="0"/>
        <v/>
      </c>
      <c r="M5" s="240"/>
      <c r="N5" s="225" t="str">
        <f>IF($K5="","",IF($K5=1,CONCATENATE("Base ",$M5," ",$K5," noche"),CONCATENATE("Base ",$M5," ",$K5," noches")))</f>
        <v/>
      </c>
      <c r="O5" s="239" t="str">
        <f>IFERROR((VLOOKUP($N5,Pricing!$D$2:$E$43,2,FALSE)),"")</f>
        <v/>
      </c>
      <c r="P5" s="196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71"/>
      <c r="AB5" s="272"/>
      <c r="AC5" s="272"/>
      <c r="AD5" s="272"/>
      <c r="AE5" s="272"/>
      <c r="AF5" s="272"/>
      <c r="AG5" s="272"/>
      <c r="AH5" s="272"/>
      <c r="AI5" s="267"/>
    </row>
    <row r="6" spans="1:35" x14ac:dyDescent="0.2">
      <c r="A6" s="208" t="str">
        <f>+IF(D6="","",CONCATENATE("GBL 00",Mantenedor!E5))</f>
        <v/>
      </c>
      <c r="B6" s="214"/>
      <c r="C6" s="215"/>
      <c r="D6" s="215"/>
      <c r="E6" s="215"/>
      <c r="F6" s="215"/>
      <c r="G6" s="215"/>
      <c r="H6" s="215"/>
      <c r="I6" s="216"/>
      <c r="J6" s="217"/>
      <c r="K6" s="218"/>
      <c r="L6" s="217" t="str">
        <f t="shared" si="0"/>
        <v/>
      </c>
      <c r="M6" s="240"/>
      <c r="N6" s="225" t="str">
        <f>IF($K6="","",IF($K6=1,CONCATENATE("Base ",$M6," ",$K6," noche"),CONCATENATE("Base ",$M6," ",$K6," noches")))</f>
        <v/>
      </c>
      <c r="O6" s="239" t="str">
        <f>IFERROR((VLOOKUP($N6,Pricing!$D$2:$E$43,2,FALSE)),"")</f>
        <v/>
      </c>
      <c r="P6" s="196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71"/>
      <c r="AB6" s="272"/>
      <c r="AC6" s="272"/>
      <c r="AD6" s="272"/>
      <c r="AE6" s="272"/>
      <c r="AF6" s="272"/>
      <c r="AG6" s="272"/>
      <c r="AH6" s="272"/>
      <c r="AI6" s="267"/>
    </row>
    <row r="7" spans="1:35" x14ac:dyDescent="0.2">
      <c r="A7" s="208" t="str">
        <f>+IF(D7="","",CONCATENATE("GBL 00",Mantenedor!E6))</f>
        <v/>
      </c>
      <c r="B7" s="214"/>
      <c r="C7" s="215"/>
      <c r="D7" s="215"/>
      <c r="E7" s="215"/>
      <c r="F7" s="215"/>
      <c r="G7" s="215"/>
      <c r="H7" s="215"/>
      <c r="I7" s="216"/>
      <c r="J7" s="217"/>
      <c r="K7" s="218"/>
      <c r="L7" s="217" t="str">
        <f t="shared" si="0"/>
        <v/>
      </c>
      <c r="M7" s="240"/>
      <c r="N7" s="225" t="str">
        <f>IF($K7="","",IF($K7=1,CONCATENATE("Base ",$M7," ",$K7," noche"),CONCATENATE("Base ",$M7," ",$K7," noches")))</f>
        <v/>
      </c>
      <c r="O7" s="239" t="str">
        <f>IFERROR((VLOOKUP($N7,Pricing!$D$2:$E$43,2,FALSE)),"")</f>
        <v/>
      </c>
      <c r="P7" s="196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71"/>
      <c r="AB7" s="272"/>
      <c r="AC7" s="272"/>
      <c r="AD7" s="272"/>
      <c r="AE7" s="272"/>
      <c r="AF7" s="272"/>
      <c r="AG7" s="272"/>
      <c r="AH7" s="272"/>
      <c r="AI7" s="267"/>
    </row>
    <row r="8" spans="1:35" x14ac:dyDescent="0.2">
      <c r="A8" s="208" t="str">
        <f>+IF(D8="","",CONCATENATE("GBL 00",Mantenedor!E7))</f>
        <v/>
      </c>
      <c r="B8" s="214"/>
      <c r="C8" s="215"/>
      <c r="D8" s="215"/>
      <c r="E8" s="215"/>
      <c r="F8" s="215"/>
      <c r="G8" s="215"/>
      <c r="H8" s="215"/>
      <c r="I8" s="216"/>
      <c r="J8" s="217"/>
      <c r="K8" s="218"/>
      <c r="L8" s="217" t="str">
        <f t="shared" si="0"/>
        <v/>
      </c>
      <c r="M8" s="240"/>
      <c r="N8" s="225" t="str">
        <f>IF($K8="","",IF($K8=1,CONCATENATE("Base ",$M8," ",$K8," noche"),CONCATENATE("Base ",$M8," ",$K8," noches")))</f>
        <v/>
      </c>
      <c r="O8" s="239" t="str">
        <f>IFERROR((VLOOKUP($N8,Pricing!$D$2:$E$43,2,FALSE)),"")</f>
        <v/>
      </c>
      <c r="P8" s="196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71"/>
      <c r="AB8" s="272"/>
      <c r="AC8" s="272"/>
      <c r="AD8" s="272"/>
      <c r="AE8" s="272"/>
      <c r="AF8" s="272"/>
      <c r="AG8" s="272"/>
      <c r="AH8" s="272"/>
      <c r="AI8" s="267"/>
    </row>
    <row r="9" spans="1:35" x14ac:dyDescent="0.2">
      <c r="A9" s="208" t="str">
        <f>+IF(D9="","",CONCATENATE("GBL 00",Mantenedor!E8))</f>
        <v/>
      </c>
      <c r="B9" s="214"/>
      <c r="C9" s="215"/>
      <c r="D9" s="215"/>
      <c r="E9" s="215"/>
      <c r="F9" s="215"/>
      <c r="G9" s="215"/>
      <c r="H9" s="215"/>
      <c r="I9" s="216"/>
      <c r="J9" s="217"/>
      <c r="K9" s="218"/>
      <c r="L9" s="217" t="str">
        <f t="shared" si="0"/>
        <v/>
      </c>
      <c r="M9" s="240"/>
      <c r="N9" s="225" t="str">
        <f>IF($K9="","",IF($K9=1,CONCATENATE("Base ",$M9," ",$K9," noche"),CONCATENATE("Base ",$M9," ",$K9," noches")))</f>
        <v/>
      </c>
      <c r="O9" s="239" t="str">
        <f>IFERROR((VLOOKUP($N9,Pricing!$D$2:$E$43,2,FALSE)),"")</f>
        <v/>
      </c>
      <c r="P9" s="196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71"/>
      <c r="AB9" s="272"/>
      <c r="AC9" s="272"/>
      <c r="AD9" s="272"/>
      <c r="AE9" s="272"/>
      <c r="AF9" s="272"/>
      <c r="AG9" s="272"/>
      <c r="AH9" s="272"/>
      <c r="AI9" s="267"/>
    </row>
    <row r="10" spans="1:35" x14ac:dyDescent="0.2">
      <c r="A10" s="208" t="str">
        <f>+IF(D10="","",CONCATENATE("GBL 00",Mantenedor!E9))</f>
        <v/>
      </c>
      <c r="B10" s="214"/>
      <c r="C10" s="215"/>
      <c r="D10" s="215"/>
      <c r="E10" s="215"/>
      <c r="F10" s="215"/>
      <c r="G10" s="215"/>
      <c r="H10" s="215"/>
      <c r="I10" s="216"/>
      <c r="J10" s="217"/>
      <c r="K10" s="218"/>
      <c r="L10" s="217" t="str">
        <f t="shared" si="0"/>
        <v/>
      </c>
      <c r="M10" s="240"/>
      <c r="N10" s="225" t="str">
        <f>IF($K10="","",IF($K10=1,CONCATENATE("Base ",$M10," ",$K10," noche"),CONCATENATE("Base ",$M10," ",$K10," noches")))</f>
        <v/>
      </c>
      <c r="O10" s="239" t="str">
        <f>IFERROR((VLOOKUP($N10,Pricing!$D$2:$E$43,2,FALSE)),"")</f>
        <v/>
      </c>
      <c r="P10" s="196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71"/>
      <c r="AB10" s="272"/>
      <c r="AC10" s="272"/>
      <c r="AD10" s="272"/>
      <c r="AE10" s="272"/>
      <c r="AF10" s="272"/>
      <c r="AG10" s="272"/>
      <c r="AH10" s="272"/>
      <c r="AI10" s="267"/>
    </row>
    <row r="11" spans="1:35" x14ac:dyDescent="0.2">
      <c r="A11" s="208" t="str">
        <f>+IF(D11="","",CONCATENATE("GBL 00",Mantenedor!E10))</f>
        <v/>
      </c>
      <c r="B11" s="214"/>
      <c r="C11" s="215"/>
      <c r="D11" s="215"/>
      <c r="E11" s="238"/>
      <c r="F11" s="215"/>
      <c r="G11" s="215"/>
      <c r="H11" s="215"/>
      <c r="I11" s="216"/>
      <c r="J11" s="217"/>
      <c r="K11" s="218"/>
      <c r="L11" s="217" t="str">
        <f t="shared" si="0"/>
        <v/>
      </c>
      <c r="M11" s="240"/>
      <c r="N11" s="225" t="str">
        <f>IF($K11="","",IF($K11=1,CONCATENATE("Base ",$M11," ",$K11," noche"),CONCATENATE("Base ",$M11," ",$K11," noches")))</f>
        <v/>
      </c>
      <c r="O11" s="239" t="str">
        <f>IFERROR((VLOOKUP($N11,Pricing!$D$2:$E$43,2,FALSE)),"")</f>
        <v/>
      </c>
      <c r="P11" s="196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71"/>
      <c r="AB11" s="272"/>
      <c r="AC11" s="272"/>
      <c r="AD11" s="272"/>
      <c r="AE11" s="272"/>
      <c r="AF11" s="272"/>
      <c r="AG11" s="272"/>
      <c r="AH11" s="272"/>
      <c r="AI11" s="267"/>
    </row>
    <row r="12" spans="1:35" x14ac:dyDescent="0.2">
      <c r="A12" s="208" t="str">
        <f>+IF(D12="","",CONCATENATE("GBL 00",Mantenedor!E11))</f>
        <v/>
      </c>
      <c r="B12" s="214"/>
      <c r="C12" s="215"/>
      <c r="D12" s="215"/>
      <c r="E12" s="215"/>
      <c r="F12" s="215"/>
      <c r="G12" s="215"/>
      <c r="H12" s="215"/>
      <c r="I12" s="216"/>
      <c r="J12" s="217"/>
      <c r="K12" s="218"/>
      <c r="L12" s="217" t="str">
        <f t="shared" si="0"/>
        <v/>
      </c>
      <c r="M12" s="240"/>
      <c r="N12" s="225" t="str">
        <f>IF($K12="","",IF($K12=1,CONCATENATE("Base ",$M12," ",$K12," noche"),CONCATENATE("Base ",$M12," ",$K12," noches")))</f>
        <v/>
      </c>
      <c r="O12" s="239" t="str">
        <f>IFERROR((VLOOKUP($N12,Pricing!$D$2:$E$43,2,FALSE)),"")</f>
        <v/>
      </c>
      <c r="P12" s="196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71"/>
      <c r="AB12" s="272"/>
      <c r="AC12" s="272"/>
      <c r="AD12" s="272"/>
      <c r="AE12" s="272"/>
      <c r="AF12" s="272"/>
      <c r="AG12" s="272"/>
      <c r="AH12" s="272"/>
      <c r="AI12" s="267"/>
    </row>
    <row r="13" spans="1:35" x14ac:dyDescent="0.2">
      <c r="A13" s="208" t="str">
        <f>+IF(D13="","",CONCATENATE("GBL 00",Mantenedor!E12))</f>
        <v/>
      </c>
      <c r="B13" s="214"/>
      <c r="C13" s="215"/>
      <c r="D13" s="215"/>
      <c r="E13" s="215"/>
      <c r="F13" s="215"/>
      <c r="G13" s="215"/>
      <c r="H13" s="215"/>
      <c r="I13" s="216"/>
      <c r="J13" s="217"/>
      <c r="K13" s="218"/>
      <c r="L13" s="217" t="str">
        <f t="shared" si="0"/>
        <v/>
      </c>
      <c r="M13" s="240"/>
      <c r="N13" s="225" t="str">
        <f>IF($K13="","",IF($K13=1,CONCATENATE("Base ",$M13," ",$K13," noche"),CONCATENATE("Base ",$M13," ",$K13," noches")))</f>
        <v/>
      </c>
      <c r="O13" s="239" t="str">
        <f>IFERROR((VLOOKUP($N13,Pricing!$D$2:$E$43,2,FALSE)),"")</f>
        <v/>
      </c>
      <c r="P13" s="196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71"/>
      <c r="AB13" s="272"/>
      <c r="AC13" s="272"/>
      <c r="AD13" s="272"/>
      <c r="AE13" s="272"/>
      <c r="AF13" s="272"/>
      <c r="AG13" s="272"/>
      <c r="AH13" s="272"/>
      <c r="AI13" s="267"/>
    </row>
    <row r="14" spans="1:35" x14ac:dyDescent="0.2">
      <c r="A14" s="208" t="str">
        <f>+IF(D14="","",CONCATENATE("GBL 00",Mantenedor!E13))</f>
        <v/>
      </c>
      <c r="B14" s="214"/>
      <c r="C14" s="215"/>
      <c r="D14" s="215"/>
      <c r="E14" s="215"/>
      <c r="F14" s="215"/>
      <c r="G14" s="215"/>
      <c r="H14" s="215"/>
      <c r="I14" s="216"/>
      <c r="J14" s="217"/>
      <c r="K14" s="218"/>
      <c r="L14" s="217" t="str">
        <f t="shared" si="0"/>
        <v/>
      </c>
      <c r="M14" s="240"/>
      <c r="N14" s="225" t="str">
        <f>IF($K14="","",IF($K14=1,CONCATENATE("Base ",$M14," ",$K14," noche"),CONCATENATE("Base ",$M14," ",$K14," noches")))</f>
        <v/>
      </c>
      <c r="O14" s="239" t="str">
        <f>IFERROR((VLOOKUP($N14,Pricing!$D$2:$E$43,2,FALSE)),"")</f>
        <v/>
      </c>
      <c r="P14" s="196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71"/>
      <c r="AB14" s="272"/>
      <c r="AC14" s="272"/>
      <c r="AD14" s="272"/>
      <c r="AE14" s="272"/>
      <c r="AF14" s="272"/>
      <c r="AG14" s="272"/>
      <c r="AH14" s="272"/>
      <c r="AI14" s="267"/>
    </row>
    <row r="15" spans="1:35" x14ac:dyDescent="0.2">
      <c r="A15" s="208" t="str">
        <f>+IF(D15="","",CONCATENATE("GBL 00",Mantenedor!E14))</f>
        <v/>
      </c>
      <c r="B15" s="214"/>
      <c r="C15" s="215"/>
      <c r="D15" s="215"/>
      <c r="E15" s="215"/>
      <c r="F15" s="215"/>
      <c r="G15" s="215"/>
      <c r="H15" s="215"/>
      <c r="I15" s="216"/>
      <c r="J15" s="217"/>
      <c r="K15" s="218"/>
      <c r="L15" s="217" t="str">
        <f t="shared" si="0"/>
        <v/>
      </c>
      <c r="M15" s="240"/>
      <c r="N15" s="225" t="str">
        <f>IF($K15="","",IF($K15=1,CONCATENATE("Base ",$M15," ",$K15," noche"),CONCATENATE("Base ",$M15," ",$K15," noches")))</f>
        <v/>
      </c>
      <c r="O15" s="239" t="str">
        <f>IFERROR((VLOOKUP($N15,Pricing!$D$2:$E$43,2,FALSE)),"")</f>
        <v/>
      </c>
      <c r="P15" s="196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71"/>
      <c r="AB15" s="272"/>
      <c r="AC15" s="272"/>
      <c r="AD15" s="272"/>
      <c r="AE15" s="272"/>
      <c r="AF15" s="272"/>
      <c r="AG15" s="272"/>
      <c r="AH15" s="272"/>
      <c r="AI15" s="267"/>
    </row>
    <row r="16" spans="1:35" x14ac:dyDescent="0.2">
      <c r="A16" s="208" t="str">
        <f>+IF(D16="","",CONCATENATE("GBL 00",Mantenedor!E15))</f>
        <v/>
      </c>
      <c r="B16" s="214"/>
      <c r="C16" s="215"/>
      <c r="D16" s="215"/>
      <c r="E16" s="215"/>
      <c r="F16" s="215"/>
      <c r="G16" s="215"/>
      <c r="H16" s="215"/>
      <c r="I16" s="216"/>
      <c r="J16" s="217"/>
      <c r="K16" s="218"/>
      <c r="L16" s="217" t="str">
        <f t="shared" si="0"/>
        <v/>
      </c>
      <c r="M16" s="240"/>
      <c r="N16" s="225" t="str">
        <f>IF($K16="","",IF($K16=1,CONCATENATE("Base ",$M16," ",$K16," noche"),CONCATENATE("Base ",$M16," ",$K16," noches")))</f>
        <v/>
      </c>
      <c r="O16" s="239" t="str">
        <f>IFERROR((VLOOKUP($N16,Pricing!$D$2:$E$43,2,FALSE)),"")</f>
        <v/>
      </c>
      <c r="P16" s="196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71"/>
      <c r="AB16" s="272"/>
      <c r="AC16" s="272"/>
      <c r="AD16" s="272"/>
      <c r="AE16" s="272"/>
      <c r="AF16" s="272"/>
      <c r="AG16" s="272"/>
      <c r="AH16" s="272"/>
      <c r="AI16" s="267"/>
    </row>
    <row r="17" spans="1:35" x14ac:dyDescent="0.2">
      <c r="A17" s="208" t="str">
        <f>+IF(D17="","",CONCATENATE("GBL 00",Mantenedor!E16))</f>
        <v/>
      </c>
      <c r="B17" s="214"/>
      <c r="C17" s="215"/>
      <c r="D17" s="215"/>
      <c r="E17" s="215"/>
      <c r="F17" s="215"/>
      <c r="G17" s="215"/>
      <c r="H17" s="215"/>
      <c r="I17" s="216"/>
      <c r="J17" s="217"/>
      <c r="K17" s="218"/>
      <c r="L17" s="217" t="str">
        <f t="shared" si="0"/>
        <v/>
      </c>
      <c r="M17" s="240"/>
      <c r="N17" s="225" t="str">
        <f>IF($K17="","",IF($K17=1,CONCATENATE("Base ",$M17," ",$K17," noche"),CONCATENATE("Base ",$M17," ",$K17," noches")))</f>
        <v/>
      </c>
      <c r="O17" s="239" t="str">
        <f>IFERROR((VLOOKUP($N17,Pricing!$D$2:$E$43,2,FALSE)),"")</f>
        <v/>
      </c>
      <c r="P17" s="196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71"/>
      <c r="AB17" s="272"/>
      <c r="AC17" s="272"/>
      <c r="AD17" s="272"/>
      <c r="AE17" s="272"/>
      <c r="AF17" s="272"/>
      <c r="AG17" s="272"/>
      <c r="AH17" s="272"/>
      <c r="AI17" s="267"/>
    </row>
    <row r="18" spans="1:35" x14ac:dyDescent="0.2">
      <c r="A18" s="208" t="str">
        <f>+IF(D18="","",CONCATENATE("GBL 00",Mantenedor!E17))</f>
        <v/>
      </c>
      <c r="B18" s="214"/>
      <c r="C18" s="215"/>
      <c r="D18" s="215"/>
      <c r="E18" s="215"/>
      <c r="F18" s="215"/>
      <c r="G18" s="215"/>
      <c r="H18" s="215"/>
      <c r="I18" s="216"/>
      <c r="J18" s="217"/>
      <c r="K18" s="218"/>
      <c r="L18" s="217" t="str">
        <f t="shared" si="0"/>
        <v/>
      </c>
      <c r="M18" s="240"/>
      <c r="N18" s="225" t="str">
        <f>IF($K18="","",IF($K18=1,CONCATENATE("Base ",$M18," ",$K18," noche"),CONCATENATE("Base ",$M18," ",$K18," noches")))</f>
        <v/>
      </c>
      <c r="O18" s="239" t="str">
        <f>IFERROR((VLOOKUP($N18,Pricing!$D$2:$E$43,2,FALSE)),"")</f>
        <v/>
      </c>
      <c r="P18" s="196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71"/>
      <c r="AB18" s="272"/>
      <c r="AC18" s="272"/>
      <c r="AD18" s="272"/>
      <c r="AE18" s="272"/>
      <c r="AF18" s="272"/>
      <c r="AG18" s="272"/>
      <c r="AH18" s="272"/>
      <c r="AI18" s="267"/>
    </row>
    <row r="19" spans="1:35" x14ac:dyDescent="0.2">
      <c r="A19" s="208" t="str">
        <f>+IF(D19="","",CONCATENATE("GBL 00",Mantenedor!E18))</f>
        <v/>
      </c>
      <c r="B19" s="214"/>
      <c r="C19" s="215"/>
      <c r="D19" s="215"/>
      <c r="E19" s="215"/>
      <c r="F19" s="215"/>
      <c r="G19" s="215"/>
      <c r="H19" s="215"/>
      <c r="I19" s="216"/>
      <c r="J19" s="217"/>
      <c r="K19" s="218"/>
      <c r="L19" s="217" t="str">
        <f t="shared" si="0"/>
        <v/>
      </c>
      <c r="M19" s="240"/>
      <c r="N19" s="225" t="str">
        <f>IF($K19="","",IF($K19=1,CONCATENATE("Base ",$M19," ",$K19," noche"),CONCATENATE("Base ",$M19," ",$K19," noches")))</f>
        <v/>
      </c>
      <c r="O19" s="239" t="str">
        <f>IFERROR((VLOOKUP($N19,Pricing!$D$2:$E$43,2,FALSE)),"")</f>
        <v/>
      </c>
      <c r="P19" s="196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71"/>
      <c r="AB19" s="272"/>
      <c r="AC19" s="272"/>
      <c r="AD19" s="272"/>
      <c r="AE19" s="272"/>
      <c r="AF19" s="272"/>
      <c r="AG19" s="272"/>
      <c r="AH19" s="272"/>
      <c r="AI19" s="267"/>
    </row>
    <row r="20" spans="1:35" x14ac:dyDescent="0.2">
      <c r="A20" s="208" t="str">
        <f>+IF(D20="","",CONCATENATE("GBL 00",Mantenedor!E19))</f>
        <v/>
      </c>
      <c r="B20" s="214"/>
      <c r="C20" s="215"/>
      <c r="D20" s="215"/>
      <c r="E20" s="215"/>
      <c r="F20" s="215"/>
      <c r="G20" s="215"/>
      <c r="H20" s="215"/>
      <c r="I20" s="216"/>
      <c r="J20" s="217"/>
      <c r="K20" s="218"/>
      <c r="L20" s="217" t="str">
        <f t="shared" si="0"/>
        <v/>
      </c>
      <c r="M20" s="240"/>
      <c r="N20" s="225" t="str">
        <f>IF($K20="","",IF($K20=1,CONCATENATE("Base ",$M20," ",$K20," noche"),CONCATENATE("Base ",$M20," ",$K20," noches")))</f>
        <v/>
      </c>
      <c r="O20" s="239" t="str">
        <f>IFERROR((VLOOKUP($N20,Pricing!$D$2:$E$43,2,FALSE)),"")</f>
        <v/>
      </c>
      <c r="P20" s="196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71"/>
      <c r="AB20" s="272"/>
      <c r="AC20" s="272"/>
      <c r="AD20" s="272"/>
      <c r="AE20" s="272"/>
      <c r="AF20" s="272"/>
      <c r="AG20" s="272"/>
      <c r="AH20" s="272"/>
      <c r="AI20" s="267"/>
    </row>
    <row r="21" spans="1:35" x14ac:dyDescent="0.2">
      <c r="A21" s="208" t="str">
        <f>+IF(D21="","",CONCATENATE("GBL 00",Mantenedor!E20))</f>
        <v/>
      </c>
      <c r="B21" s="214"/>
      <c r="C21" s="215"/>
      <c r="D21" s="215"/>
      <c r="E21" s="215"/>
      <c r="F21" s="215"/>
      <c r="G21" s="215"/>
      <c r="H21" s="215"/>
      <c r="I21" s="216"/>
      <c r="J21" s="217"/>
      <c r="K21" s="218"/>
      <c r="L21" s="217" t="str">
        <f t="shared" si="0"/>
        <v/>
      </c>
      <c r="M21" s="240"/>
      <c r="N21" s="225" t="str">
        <f>IF($K21="","",IF($K21=1,CONCATENATE("Base ",$M21," ",$K21," noche"),CONCATENATE("Base ",$M21," ",$K21," noches")))</f>
        <v/>
      </c>
      <c r="O21" s="239" t="str">
        <f>IFERROR((VLOOKUP($N21,Pricing!$D$2:$E$43,2,FALSE)),"")</f>
        <v/>
      </c>
      <c r="P21" s="196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71"/>
      <c r="AB21" s="272"/>
      <c r="AC21" s="272"/>
      <c r="AD21" s="272"/>
      <c r="AE21" s="272"/>
      <c r="AF21" s="272"/>
      <c r="AG21" s="272"/>
      <c r="AH21" s="272"/>
      <c r="AI21" s="267"/>
    </row>
    <row r="22" spans="1:35" x14ac:dyDescent="0.2">
      <c r="A22" s="208" t="str">
        <f>+IF(D22="","",CONCATENATE("GBL 00",Mantenedor!E21))</f>
        <v/>
      </c>
      <c r="B22" s="214"/>
      <c r="C22" s="215"/>
      <c r="D22" s="215"/>
      <c r="E22" s="215"/>
      <c r="F22" s="215"/>
      <c r="G22" s="215"/>
      <c r="H22" s="215"/>
      <c r="I22" s="216"/>
      <c r="J22" s="217"/>
      <c r="K22" s="218"/>
      <c r="L22" s="217" t="str">
        <f t="shared" si="0"/>
        <v/>
      </c>
      <c r="M22" s="240"/>
      <c r="N22" s="225" t="str">
        <f>IF($K22="","",IF($K22=1,CONCATENATE("Base ",$M22," ",$K22," noche"),CONCATENATE("Base ",$M22," ",$K22," noches")))</f>
        <v/>
      </c>
      <c r="O22" s="239" t="str">
        <f>IFERROR((VLOOKUP($N22,Pricing!$D$2:$E$43,2,FALSE)),"")</f>
        <v/>
      </c>
      <c r="P22" s="196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71"/>
      <c r="AB22" s="272"/>
      <c r="AC22" s="272"/>
      <c r="AD22" s="272"/>
      <c r="AE22" s="272"/>
      <c r="AF22" s="272"/>
      <c r="AG22" s="272"/>
      <c r="AH22" s="272"/>
      <c r="AI22" s="267"/>
    </row>
    <row r="23" spans="1:35" x14ac:dyDescent="0.2">
      <c r="A23" s="208" t="str">
        <f>+IF(D23="","",CONCATENATE("GBL 00",Mantenedor!E22))</f>
        <v/>
      </c>
      <c r="B23" s="214"/>
      <c r="C23" s="215"/>
      <c r="D23" s="215"/>
      <c r="E23" s="215"/>
      <c r="F23" s="215"/>
      <c r="G23" s="215"/>
      <c r="H23" s="215"/>
      <c r="I23" s="216"/>
      <c r="J23" s="217"/>
      <c r="K23" s="218"/>
      <c r="L23" s="217" t="str">
        <f t="shared" si="0"/>
        <v/>
      </c>
      <c r="M23" s="240"/>
      <c r="N23" s="225" t="str">
        <f>IF($K23="","",IF($K23=1,CONCATENATE("Base ",$M23," ",$K23," noche"),CONCATENATE("Base ",$M23," ",$K23," noches")))</f>
        <v/>
      </c>
      <c r="O23" s="239" t="str">
        <f>IFERROR((VLOOKUP($N23,Pricing!$D$2:$E$43,2,FALSE)),"")</f>
        <v/>
      </c>
      <c r="P23" s="196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71"/>
      <c r="AB23" s="272"/>
      <c r="AC23" s="272"/>
      <c r="AD23" s="272"/>
      <c r="AE23" s="272"/>
      <c r="AF23" s="272"/>
      <c r="AG23" s="272"/>
      <c r="AH23" s="272"/>
      <c r="AI23" s="267"/>
    </row>
    <row r="24" spans="1:35" x14ac:dyDescent="0.2">
      <c r="A24" s="208" t="str">
        <f>+IF(D24="","",CONCATENATE("GBL 00",Mantenedor!E23))</f>
        <v/>
      </c>
      <c r="B24" s="214"/>
      <c r="C24" s="215"/>
      <c r="D24" s="215"/>
      <c r="E24" s="215"/>
      <c r="F24" s="215"/>
      <c r="G24" s="215"/>
      <c r="H24" s="215"/>
      <c r="I24" s="216"/>
      <c r="J24" s="217"/>
      <c r="K24" s="218"/>
      <c r="L24" s="217" t="str">
        <f t="shared" si="0"/>
        <v/>
      </c>
      <c r="M24" s="240"/>
      <c r="N24" s="225" t="str">
        <f>IF($K24="","",IF($K24=1,CONCATENATE("Base ",$M24," ",$K24," noche"),CONCATENATE("Base ",$M24," ",$K24," noches")))</f>
        <v/>
      </c>
      <c r="O24" s="239" t="str">
        <f>IFERROR((VLOOKUP($N24,Pricing!$D$2:$E$43,2,FALSE)),"")</f>
        <v/>
      </c>
      <c r="P24" s="196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71"/>
      <c r="AB24" s="272"/>
      <c r="AC24" s="272"/>
      <c r="AD24" s="272"/>
      <c r="AE24" s="272"/>
      <c r="AF24" s="272"/>
      <c r="AG24" s="272"/>
      <c r="AH24" s="272"/>
      <c r="AI24" s="267"/>
    </row>
    <row r="25" spans="1:35" x14ac:dyDescent="0.2">
      <c r="A25" s="208" t="str">
        <f>+IF(D25="","",CONCATENATE("GBL 00",Mantenedor!E24))</f>
        <v/>
      </c>
      <c r="B25" s="214"/>
      <c r="C25" s="215"/>
      <c r="D25" s="215"/>
      <c r="E25" s="215"/>
      <c r="F25" s="215"/>
      <c r="G25" s="215"/>
      <c r="H25" s="215"/>
      <c r="I25" s="216"/>
      <c r="J25" s="217"/>
      <c r="K25" s="218"/>
      <c r="L25" s="217" t="str">
        <f t="shared" si="0"/>
        <v/>
      </c>
      <c r="M25" s="240"/>
      <c r="N25" s="225" t="str">
        <f>IF($K25="","",IF($K25=1,CONCATENATE("Base ",$M25," ",$K25," noche"),CONCATENATE("Base ",$M25," ",$K25," noches")))</f>
        <v/>
      </c>
      <c r="O25" s="239" t="str">
        <f>IFERROR((VLOOKUP($N25,Pricing!$D$2:$E$43,2,FALSE)),"")</f>
        <v/>
      </c>
      <c r="P25" s="196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71"/>
      <c r="AB25" s="272"/>
      <c r="AC25" s="272"/>
      <c r="AD25" s="272"/>
      <c r="AE25" s="272"/>
      <c r="AF25" s="272"/>
      <c r="AG25" s="272"/>
      <c r="AH25" s="272"/>
      <c r="AI25" s="267"/>
    </row>
    <row r="26" spans="1:35" x14ac:dyDescent="0.2">
      <c r="A26" s="208" t="str">
        <f>+IF(D26="","",CONCATENATE("GBL 00",Mantenedor!E25))</f>
        <v/>
      </c>
      <c r="B26" s="214"/>
      <c r="C26" s="215"/>
      <c r="D26" s="215"/>
      <c r="E26" s="215"/>
      <c r="F26" s="215"/>
      <c r="G26" s="215"/>
      <c r="H26" s="215"/>
      <c r="I26" s="216"/>
      <c r="J26" s="217"/>
      <c r="K26" s="218"/>
      <c r="L26" s="217" t="str">
        <f t="shared" si="0"/>
        <v/>
      </c>
      <c r="M26" s="240"/>
      <c r="N26" s="225" t="str">
        <f>IF($K26="","",IF($K26=1,CONCATENATE("Base ",$M26," ",$K26," noche"),CONCATENATE("Base ",$M26," ",$K26," noches")))</f>
        <v/>
      </c>
      <c r="O26" s="239" t="str">
        <f>IFERROR((VLOOKUP($N26,Pricing!$D$2:$E$43,2,FALSE)),"")</f>
        <v/>
      </c>
      <c r="P26" s="196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71"/>
      <c r="AB26" s="272"/>
      <c r="AC26" s="272"/>
      <c r="AD26" s="272"/>
      <c r="AE26" s="272"/>
      <c r="AF26" s="272"/>
      <c r="AG26" s="272"/>
      <c r="AH26" s="272"/>
      <c r="AI26" s="267"/>
    </row>
    <row r="27" spans="1:35" x14ac:dyDescent="0.2">
      <c r="A27" s="208" t="str">
        <f>+IF(D27="","",CONCATENATE("GBL 00",Mantenedor!E26))</f>
        <v/>
      </c>
      <c r="B27" s="214"/>
      <c r="C27" s="215"/>
      <c r="D27" s="215"/>
      <c r="E27" s="215"/>
      <c r="F27" s="215"/>
      <c r="G27" s="215"/>
      <c r="H27" s="215"/>
      <c r="I27" s="216"/>
      <c r="J27" s="217"/>
      <c r="K27" s="218"/>
      <c r="L27" s="217" t="str">
        <f t="shared" si="0"/>
        <v/>
      </c>
      <c r="M27" s="240"/>
      <c r="N27" s="225" t="str">
        <f>IF($K27="","",IF($K27=1,CONCATENATE("Base ",$M27," ",$K27," noche"),CONCATENATE("Base ",$M27," ",$K27," noches")))</f>
        <v/>
      </c>
      <c r="O27" s="239" t="str">
        <f>IFERROR((VLOOKUP($N27,Pricing!$D$2:$E$43,2,FALSE)),"")</f>
        <v/>
      </c>
      <c r="P27" s="196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71"/>
      <c r="AB27" s="272"/>
      <c r="AC27" s="272"/>
      <c r="AD27" s="272"/>
      <c r="AE27" s="272"/>
      <c r="AF27" s="272"/>
      <c r="AG27" s="272"/>
      <c r="AH27" s="272"/>
      <c r="AI27" s="267"/>
    </row>
    <row r="28" spans="1:35" x14ac:dyDescent="0.2">
      <c r="A28" s="208" t="str">
        <f>+IF(D28="","",CONCATENATE("GBL 00",Mantenedor!E27))</f>
        <v/>
      </c>
      <c r="B28" s="214"/>
      <c r="C28" s="215"/>
      <c r="D28" s="215"/>
      <c r="E28" s="215"/>
      <c r="F28" s="215"/>
      <c r="G28" s="215"/>
      <c r="H28" s="215"/>
      <c r="I28" s="216"/>
      <c r="J28" s="217"/>
      <c r="K28" s="218"/>
      <c r="L28" s="217" t="str">
        <f t="shared" si="0"/>
        <v/>
      </c>
      <c r="M28" s="240"/>
      <c r="N28" s="225" t="str">
        <f>IF($K28="","",IF($K28=1,CONCATENATE("Base ",$M28," ",$K28," noche"),CONCATENATE("Base ",$M28," ",$K28," noches")))</f>
        <v/>
      </c>
      <c r="O28" s="239" t="str">
        <f>IFERROR((VLOOKUP($N28,Pricing!$D$2:$E$43,2,FALSE)),"")</f>
        <v/>
      </c>
      <c r="P28" s="196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71"/>
      <c r="AB28" s="272"/>
      <c r="AC28" s="272"/>
      <c r="AD28" s="272"/>
      <c r="AE28" s="272"/>
      <c r="AF28" s="272"/>
      <c r="AG28" s="272"/>
      <c r="AH28" s="272"/>
      <c r="AI28" s="267"/>
    </row>
    <row r="29" spans="1:35" x14ac:dyDescent="0.2">
      <c r="A29" s="208" t="str">
        <f>+IF(D29="","",CONCATENATE("GBL 00",Mantenedor!E28))</f>
        <v/>
      </c>
      <c r="B29" s="214"/>
      <c r="C29" s="215"/>
      <c r="D29" s="215"/>
      <c r="E29" s="215"/>
      <c r="F29" s="215"/>
      <c r="G29" s="215"/>
      <c r="H29" s="215"/>
      <c r="I29" s="216"/>
      <c r="J29" s="217"/>
      <c r="K29" s="218"/>
      <c r="L29" s="217" t="str">
        <f t="shared" si="0"/>
        <v/>
      </c>
      <c r="M29" s="240"/>
      <c r="N29" s="225" t="str">
        <f>IF($K29="","",IF($K29=1,CONCATENATE("Base ",$M29," ",$K29," noche"),CONCATENATE("Base ",$M29," ",$K29," noches")))</f>
        <v/>
      </c>
      <c r="O29" s="239" t="str">
        <f>IFERROR((VLOOKUP($N29,Pricing!$D$2:$E$43,2,FALSE)),"")</f>
        <v/>
      </c>
      <c r="P29" s="196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71"/>
      <c r="AB29" s="272"/>
      <c r="AC29" s="272"/>
      <c r="AD29" s="272"/>
      <c r="AE29" s="272"/>
      <c r="AF29" s="272"/>
      <c r="AG29" s="272"/>
      <c r="AH29" s="272"/>
      <c r="AI29" s="267"/>
    </row>
    <row r="30" spans="1:35" x14ac:dyDescent="0.2">
      <c r="A30" s="208" t="str">
        <f>+IF(D30="","",CONCATENATE("GBL 00",Mantenedor!E29))</f>
        <v/>
      </c>
      <c r="B30" s="214"/>
      <c r="C30" s="215"/>
      <c r="D30" s="215"/>
      <c r="E30" s="215"/>
      <c r="F30" s="215"/>
      <c r="G30" s="215"/>
      <c r="H30" s="215"/>
      <c r="I30" s="216"/>
      <c r="J30" s="217"/>
      <c r="K30" s="218"/>
      <c r="L30" s="217" t="str">
        <f t="shared" si="0"/>
        <v/>
      </c>
      <c r="M30" s="240"/>
      <c r="N30" s="225" t="str">
        <f>IF($K30="","",IF($K30=1,CONCATENATE("Base ",$M30," ",$K30," noche"),CONCATENATE("Base ",$M30," ",$K30," noches")))</f>
        <v/>
      </c>
      <c r="O30" s="239" t="str">
        <f>IFERROR((VLOOKUP($N30,Pricing!$D$2:$E$43,2,FALSE)),"")</f>
        <v/>
      </c>
      <c r="P30" s="196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71"/>
      <c r="AB30" s="272"/>
      <c r="AC30" s="272"/>
      <c r="AD30" s="272"/>
      <c r="AE30" s="272"/>
      <c r="AF30" s="272"/>
      <c r="AG30" s="272"/>
      <c r="AH30" s="272"/>
      <c r="AI30" s="267"/>
    </row>
    <row r="31" spans="1:35" x14ac:dyDescent="0.2">
      <c r="A31" s="208" t="str">
        <f>+IF(D31="","",CONCATENATE("GBL 00",Mantenedor!E30))</f>
        <v/>
      </c>
      <c r="B31" s="214"/>
      <c r="C31" s="215"/>
      <c r="D31" s="215"/>
      <c r="E31" s="215"/>
      <c r="F31" s="215"/>
      <c r="G31" s="215"/>
      <c r="H31" s="215"/>
      <c r="I31" s="216"/>
      <c r="J31" s="217"/>
      <c r="K31" s="218"/>
      <c r="L31" s="217" t="str">
        <f t="shared" si="0"/>
        <v/>
      </c>
      <c r="M31" s="240"/>
      <c r="N31" s="225" t="str">
        <f>IF($K31="","",IF($K31=1,CONCATENATE("Base ",$M31," ",$K31," noche"),CONCATENATE("Base ",$M31," ",$K31," noches")))</f>
        <v/>
      </c>
      <c r="O31" s="239" t="str">
        <f>IFERROR((VLOOKUP($N31,Pricing!$D$2:$E$43,2,FALSE)),"")</f>
        <v/>
      </c>
      <c r="P31" s="196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71"/>
      <c r="AB31" s="272"/>
      <c r="AC31" s="272"/>
      <c r="AD31" s="272"/>
      <c r="AE31" s="272"/>
      <c r="AF31" s="272"/>
      <c r="AG31" s="272"/>
      <c r="AH31" s="272"/>
      <c r="AI31" s="267"/>
    </row>
    <row r="32" spans="1:35" x14ac:dyDescent="0.2">
      <c r="A32" s="208" t="str">
        <f>+IF(D32="","",CONCATENATE("GBL 00",Mantenedor!E31))</f>
        <v/>
      </c>
      <c r="B32" s="214"/>
      <c r="C32" s="215"/>
      <c r="D32" s="215"/>
      <c r="E32" s="215"/>
      <c r="F32" s="215"/>
      <c r="G32" s="215"/>
      <c r="H32" s="215"/>
      <c r="I32" s="216"/>
      <c r="J32" s="217"/>
      <c r="K32" s="218"/>
      <c r="L32" s="217" t="str">
        <f t="shared" si="0"/>
        <v/>
      </c>
      <c r="M32" s="240"/>
      <c r="N32" s="225" t="str">
        <f>IF($K32="","",IF($K32=1,CONCATENATE("Base ",$M32," ",$K32," noche"),CONCATENATE("Base ",$M32," ",$K32," noches")))</f>
        <v/>
      </c>
      <c r="O32" s="239" t="str">
        <f>IFERROR((VLOOKUP($N32,Pricing!$D$2:$E$43,2,FALSE)),"")</f>
        <v/>
      </c>
      <c r="P32" s="196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71"/>
      <c r="AB32" s="272"/>
      <c r="AC32" s="272"/>
      <c r="AD32" s="272"/>
      <c r="AE32" s="272"/>
      <c r="AF32" s="272"/>
      <c r="AG32" s="272"/>
      <c r="AH32" s="272"/>
      <c r="AI32" s="267"/>
    </row>
    <row r="33" spans="1:35" x14ac:dyDescent="0.2">
      <c r="A33" s="208" t="str">
        <f>+IF(D33="","",CONCATENATE("GBL 00",Mantenedor!E32))</f>
        <v/>
      </c>
      <c r="B33" s="214"/>
      <c r="C33" s="215"/>
      <c r="D33" s="215"/>
      <c r="E33" s="215"/>
      <c r="F33" s="215"/>
      <c r="G33" s="215"/>
      <c r="H33" s="215"/>
      <c r="I33" s="216"/>
      <c r="J33" s="217"/>
      <c r="K33" s="218"/>
      <c r="L33" s="217" t="str">
        <f t="shared" si="0"/>
        <v/>
      </c>
      <c r="M33" s="240"/>
      <c r="N33" s="225" t="str">
        <f>IF($K33="","",IF($K33=1,CONCATENATE("Base ",$M33," ",$K33," noche"),CONCATENATE("Base ",$M33," ",$K33," noches")))</f>
        <v/>
      </c>
      <c r="O33" s="239" t="str">
        <f>IFERROR((VLOOKUP($N33,Pricing!$D$2:$E$43,2,FALSE)),"")</f>
        <v/>
      </c>
      <c r="P33" s="196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71"/>
      <c r="AB33" s="272"/>
      <c r="AC33" s="272"/>
      <c r="AD33" s="272"/>
      <c r="AE33" s="272"/>
      <c r="AF33" s="272"/>
      <c r="AG33" s="272"/>
      <c r="AH33" s="272"/>
      <c r="AI33" s="267"/>
    </row>
    <row r="34" spans="1:35" x14ac:dyDescent="0.2">
      <c r="A34" s="208" t="str">
        <f>+IF(D34="","",CONCATENATE("GBL 00",Mantenedor!E33))</f>
        <v/>
      </c>
      <c r="B34" s="214"/>
      <c r="C34" s="215"/>
      <c r="D34" s="215"/>
      <c r="E34" s="215"/>
      <c r="F34" s="215"/>
      <c r="G34" s="215"/>
      <c r="H34" s="215"/>
      <c r="I34" s="216"/>
      <c r="J34" s="217"/>
      <c r="K34" s="218"/>
      <c r="L34" s="217" t="str">
        <f t="shared" si="0"/>
        <v/>
      </c>
      <c r="M34" s="240"/>
      <c r="N34" s="225" t="str">
        <f>IF($K34="","",IF($K34=1,CONCATENATE("Base ",$M34," ",$K34," noche"),CONCATENATE("Base ",$M34," ",$K34," noches")))</f>
        <v/>
      </c>
      <c r="O34" s="239" t="str">
        <f>IFERROR((VLOOKUP($N34,Pricing!$D$2:$E$43,2,FALSE)),"")</f>
        <v/>
      </c>
      <c r="P34" s="196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71"/>
      <c r="AB34" s="272"/>
      <c r="AC34" s="272"/>
      <c r="AD34" s="272"/>
      <c r="AE34" s="272"/>
      <c r="AF34" s="272"/>
      <c r="AG34" s="272"/>
      <c r="AH34" s="272"/>
      <c r="AI34" s="267"/>
    </row>
    <row r="35" spans="1:35" x14ac:dyDescent="0.2">
      <c r="A35" s="208" t="str">
        <f>+IF(D35="","",CONCATENATE("GBL 00",Mantenedor!E34))</f>
        <v/>
      </c>
      <c r="B35" s="214"/>
      <c r="C35" s="215"/>
      <c r="D35" s="215"/>
      <c r="E35" s="215"/>
      <c r="F35" s="215"/>
      <c r="G35" s="215"/>
      <c r="H35" s="215"/>
      <c r="I35" s="216"/>
      <c r="J35" s="217"/>
      <c r="K35" s="218"/>
      <c r="L35" s="217" t="str">
        <f t="shared" si="0"/>
        <v/>
      </c>
      <c r="M35" s="240"/>
      <c r="N35" s="225" t="str">
        <f>IF($K35="","",IF($K35=1,CONCATENATE("Base ",$M35," ",$K35," noche"),CONCATENATE("Base ",$M35," ",$K35," noches")))</f>
        <v/>
      </c>
      <c r="O35" s="239" t="str">
        <f>IFERROR((VLOOKUP($N35,Pricing!$D$2:$E$43,2,FALSE)),"")</f>
        <v/>
      </c>
      <c r="P35" s="196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71"/>
      <c r="AB35" s="272"/>
      <c r="AC35" s="272"/>
      <c r="AD35" s="272"/>
      <c r="AE35" s="272"/>
      <c r="AF35" s="272"/>
      <c r="AG35" s="272"/>
      <c r="AH35" s="272"/>
      <c r="AI35" s="267"/>
    </row>
    <row r="36" spans="1:35" x14ac:dyDescent="0.2">
      <c r="A36" s="208" t="str">
        <f>+IF(D36="","",CONCATENATE("GBL 00",Mantenedor!E35))</f>
        <v/>
      </c>
      <c r="B36" s="214"/>
      <c r="C36" s="215"/>
      <c r="D36" s="215"/>
      <c r="E36" s="215"/>
      <c r="F36" s="215"/>
      <c r="G36" s="215"/>
      <c r="H36" s="215"/>
      <c r="I36" s="216"/>
      <c r="J36" s="217"/>
      <c r="K36" s="218"/>
      <c r="L36" s="217" t="str">
        <f t="shared" si="0"/>
        <v/>
      </c>
      <c r="M36" s="240"/>
      <c r="N36" s="225" t="str">
        <f>IF($K36="","",IF($K36=1,CONCATENATE("Base ",$M36," ",$K36," noche"),CONCATENATE("Base ",$M36," ",$K36," noches")))</f>
        <v/>
      </c>
      <c r="O36" s="239" t="str">
        <f>IFERROR((VLOOKUP($N36,Pricing!$D$2:$E$43,2,FALSE)),"")</f>
        <v/>
      </c>
      <c r="P36" s="196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71"/>
      <c r="AB36" s="272"/>
      <c r="AC36" s="272"/>
      <c r="AD36" s="272"/>
      <c r="AE36" s="272"/>
      <c r="AF36" s="272"/>
      <c r="AG36" s="272"/>
      <c r="AH36" s="272"/>
      <c r="AI36" s="267"/>
    </row>
    <row r="37" spans="1:35" x14ac:dyDescent="0.2">
      <c r="A37" s="208" t="str">
        <f>+IF(D37="","",CONCATENATE("GBL 00",Mantenedor!E36))</f>
        <v/>
      </c>
      <c r="B37" s="214"/>
      <c r="C37" s="215"/>
      <c r="D37" s="215"/>
      <c r="E37" s="215"/>
      <c r="F37" s="215"/>
      <c r="G37" s="215"/>
      <c r="H37" s="215"/>
      <c r="I37" s="216"/>
      <c r="J37" s="217"/>
      <c r="K37" s="218"/>
      <c r="L37" s="217" t="str">
        <f t="shared" si="0"/>
        <v/>
      </c>
      <c r="M37" s="240"/>
      <c r="N37" s="225" t="str">
        <f>IF($K37="","",IF($K37=1,CONCATENATE("Base ",$M37," ",$K37," noche"),CONCATENATE("Base ",$M37," ",$K37," noches")))</f>
        <v/>
      </c>
      <c r="O37" s="239" t="str">
        <f>IFERROR((VLOOKUP($N37,Pricing!$D$2:$E$43,2,FALSE)),"")</f>
        <v/>
      </c>
      <c r="P37" s="196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71"/>
      <c r="AB37" s="272"/>
      <c r="AC37" s="272"/>
      <c r="AD37" s="272"/>
      <c r="AE37" s="272"/>
      <c r="AF37" s="272"/>
      <c r="AG37" s="272"/>
      <c r="AH37" s="272"/>
      <c r="AI37" s="267"/>
    </row>
    <row r="38" spans="1:35" x14ac:dyDescent="0.2">
      <c r="A38" s="208" t="str">
        <f>+IF(D38="","",CONCATENATE("GBL 00",Mantenedor!E37))</f>
        <v/>
      </c>
      <c r="B38" s="214"/>
      <c r="C38" s="215"/>
      <c r="D38" s="215"/>
      <c r="E38" s="215"/>
      <c r="F38" s="215"/>
      <c r="G38" s="215"/>
      <c r="H38" s="215"/>
      <c r="I38" s="216"/>
      <c r="J38" s="217"/>
      <c r="K38" s="218"/>
      <c r="L38" s="217" t="str">
        <f t="shared" si="0"/>
        <v/>
      </c>
      <c r="M38" s="240"/>
      <c r="N38" s="225" t="str">
        <f>IF($K38="","",IF($K38=1,CONCATENATE("Base ",$M38," ",$K38," noche"),CONCATENATE("Base ",$M38," ",$K38," noches")))</f>
        <v/>
      </c>
      <c r="O38" s="239" t="str">
        <f>IFERROR((VLOOKUP($N38,Pricing!$D$2:$E$43,2,FALSE)),"")</f>
        <v/>
      </c>
      <c r="P38" s="196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71"/>
      <c r="AB38" s="272"/>
      <c r="AC38" s="272"/>
      <c r="AD38" s="272"/>
      <c r="AE38" s="272"/>
      <c r="AF38" s="272"/>
      <c r="AG38" s="272"/>
      <c r="AH38" s="272"/>
      <c r="AI38" s="267"/>
    </row>
    <row r="39" spans="1:35" x14ac:dyDescent="0.2">
      <c r="A39" s="208" t="str">
        <f>+IF(D39="","",CONCATENATE("GBL 00",Mantenedor!E38))</f>
        <v/>
      </c>
      <c r="B39" s="214"/>
      <c r="C39" s="215"/>
      <c r="D39" s="215"/>
      <c r="E39" s="215"/>
      <c r="F39" s="215"/>
      <c r="G39" s="215"/>
      <c r="H39" s="215"/>
      <c r="I39" s="216"/>
      <c r="J39" s="217"/>
      <c r="K39" s="218"/>
      <c r="L39" s="217" t="str">
        <f t="shared" si="0"/>
        <v/>
      </c>
      <c r="M39" s="240"/>
      <c r="N39" s="225" t="str">
        <f>IF($K39="","",IF($K39=1,CONCATENATE("Base ",$M39," ",$K39," noche"),CONCATENATE("Base ",$M39," ",$K39," noches")))</f>
        <v/>
      </c>
      <c r="O39" s="239" t="str">
        <f>IFERROR((VLOOKUP($N39,Pricing!$D$2:$E$43,2,FALSE)),"")</f>
        <v/>
      </c>
      <c r="P39" s="196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71"/>
      <c r="AB39" s="272"/>
      <c r="AC39" s="272"/>
      <c r="AD39" s="272"/>
      <c r="AE39" s="272"/>
      <c r="AF39" s="272"/>
      <c r="AG39" s="272"/>
      <c r="AH39" s="272"/>
      <c r="AI39" s="267"/>
    </row>
    <row r="40" spans="1:35" x14ac:dyDescent="0.2">
      <c r="A40" s="208" t="str">
        <f>+IF(D40="","",CONCATENATE("GBL 00",Mantenedor!E39))</f>
        <v/>
      </c>
      <c r="B40" s="214"/>
      <c r="C40" s="215"/>
      <c r="D40" s="215"/>
      <c r="E40" s="215"/>
      <c r="F40" s="215"/>
      <c r="G40" s="215"/>
      <c r="H40" s="215"/>
      <c r="I40" s="216"/>
      <c r="J40" s="217"/>
      <c r="K40" s="218"/>
      <c r="L40" s="217" t="str">
        <f t="shared" si="0"/>
        <v/>
      </c>
      <c r="M40" s="240"/>
      <c r="N40" s="225" t="str">
        <f>IF($K40="","",IF($K40=1,CONCATENATE("Base ",$M40," ",$K40," noche"),CONCATENATE("Base ",$M40," ",$K40," noches")))</f>
        <v/>
      </c>
      <c r="O40" s="239" t="str">
        <f>IFERROR((VLOOKUP($N40,Pricing!$D$2:$E$43,2,FALSE)),"")</f>
        <v/>
      </c>
      <c r="P40" s="196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71"/>
      <c r="AB40" s="272"/>
      <c r="AC40" s="272"/>
      <c r="AD40" s="272"/>
      <c r="AE40" s="272"/>
      <c r="AF40" s="272"/>
      <c r="AG40" s="272"/>
      <c r="AH40" s="272"/>
      <c r="AI40" s="267"/>
    </row>
    <row r="41" spans="1:35" x14ac:dyDescent="0.2">
      <c r="A41" s="208" t="str">
        <f>+IF(D41="","",CONCATENATE("GBL 00",Mantenedor!E40))</f>
        <v/>
      </c>
      <c r="B41" s="214"/>
      <c r="C41" s="215"/>
      <c r="D41" s="215"/>
      <c r="E41" s="215"/>
      <c r="F41" s="215"/>
      <c r="G41" s="215"/>
      <c r="H41" s="215"/>
      <c r="I41" s="216"/>
      <c r="J41" s="217"/>
      <c r="K41" s="218"/>
      <c r="L41" s="217" t="str">
        <f t="shared" si="0"/>
        <v/>
      </c>
      <c r="M41" s="240"/>
      <c r="N41" s="225" t="str">
        <f>IF($K41="","",IF($K41=1,CONCATENATE("Base ",$M41," ",$K41," noche"),CONCATENATE("Base ",$M41," ",$K41," noches")))</f>
        <v/>
      </c>
      <c r="O41" s="239" t="str">
        <f>IFERROR((VLOOKUP($N41,Pricing!$D$2:$E$43,2,FALSE)),"")</f>
        <v/>
      </c>
      <c r="P41" s="196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71"/>
      <c r="AB41" s="272"/>
      <c r="AC41" s="272"/>
      <c r="AD41" s="272"/>
      <c r="AE41" s="272"/>
      <c r="AF41" s="272"/>
      <c r="AG41" s="272"/>
      <c r="AH41" s="272"/>
      <c r="AI41" s="267"/>
    </row>
    <row r="42" spans="1:35" x14ac:dyDescent="0.2">
      <c r="A42" s="208" t="str">
        <f>+IF(D42="","",CONCATENATE("GBL 00",Mantenedor!E41))</f>
        <v/>
      </c>
      <c r="B42" s="214"/>
      <c r="C42" s="215"/>
      <c r="D42" s="215"/>
      <c r="E42" s="215"/>
      <c r="F42" s="215"/>
      <c r="G42" s="215"/>
      <c r="H42" s="215"/>
      <c r="I42" s="216"/>
      <c r="J42" s="217"/>
      <c r="K42" s="218"/>
      <c r="L42" s="217" t="str">
        <f t="shared" si="0"/>
        <v/>
      </c>
      <c r="M42" s="240"/>
      <c r="N42" s="225" t="str">
        <f>IF($K42="","",IF($K42=1,CONCATENATE("Base ",$M42," ",$K42," noche"),CONCATENATE("Base ",$M42," ",$K42," noches")))</f>
        <v/>
      </c>
      <c r="O42" s="239" t="str">
        <f>IFERROR((VLOOKUP($N42,Pricing!$D$2:$E$43,2,FALSE)),"")</f>
        <v/>
      </c>
      <c r="P42" s="196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71"/>
      <c r="AB42" s="272"/>
      <c r="AC42" s="272"/>
      <c r="AD42" s="272"/>
      <c r="AE42" s="272"/>
      <c r="AF42" s="272"/>
      <c r="AG42" s="272"/>
      <c r="AH42" s="272"/>
      <c r="AI42" s="267"/>
    </row>
    <row r="43" spans="1:35" x14ac:dyDescent="0.2">
      <c r="A43" s="208" t="str">
        <f>+IF(D43="","",CONCATENATE("GBL 00",Mantenedor!E42))</f>
        <v/>
      </c>
      <c r="B43" s="214"/>
      <c r="C43" s="215"/>
      <c r="D43" s="215"/>
      <c r="E43" s="215"/>
      <c r="F43" s="215"/>
      <c r="G43" s="215"/>
      <c r="H43" s="215"/>
      <c r="I43" s="216"/>
      <c r="J43" s="217"/>
      <c r="K43" s="218"/>
      <c r="L43" s="217" t="str">
        <f t="shared" si="0"/>
        <v/>
      </c>
      <c r="M43" s="240"/>
      <c r="N43" s="225" t="str">
        <f>IF($K43="","",IF($K43=1,CONCATENATE("Base ",$M43," ",$K43," noche"),CONCATENATE("Base ",$M43," ",$K43," noches")))</f>
        <v/>
      </c>
      <c r="O43" s="239" t="str">
        <f>IFERROR((VLOOKUP($N43,Pricing!$D$2:$E$43,2,FALSE)),"")</f>
        <v/>
      </c>
      <c r="P43" s="196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71"/>
      <c r="AB43" s="272"/>
      <c r="AC43" s="272"/>
      <c r="AD43" s="272"/>
      <c r="AE43" s="272"/>
      <c r="AF43" s="272"/>
      <c r="AG43" s="272"/>
      <c r="AH43" s="272"/>
      <c r="AI43" s="267"/>
    </row>
    <row r="44" spans="1:35" x14ac:dyDescent="0.2">
      <c r="A44" s="208" t="str">
        <f>+IF(D44="","",CONCATENATE("GBL 00",Mantenedor!E43))</f>
        <v/>
      </c>
      <c r="B44" s="214"/>
      <c r="C44" s="215"/>
      <c r="D44" s="215"/>
      <c r="E44" s="215"/>
      <c r="F44" s="215"/>
      <c r="G44" s="215"/>
      <c r="H44" s="215"/>
      <c r="I44" s="216"/>
      <c r="J44" s="217"/>
      <c r="K44" s="218"/>
      <c r="L44" s="217" t="str">
        <f t="shared" si="0"/>
        <v/>
      </c>
      <c r="M44" s="240"/>
      <c r="N44" s="225" t="str">
        <f>IF($K44="","",IF($K44=1,CONCATENATE("Base ",$M44," ",$K44," noche"),CONCATENATE("Base ",$M44," ",$K44," noches")))</f>
        <v/>
      </c>
      <c r="O44" s="239" t="str">
        <f>IFERROR((VLOOKUP($N44,Pricing!$D$2:$E$43,2,FALSE)),"")</f>
        <v/>
      </c>
      <c r="P44" s="196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71"/>
      <c r="AB44" s="272"/>
      <c r="AC44" s="272"/>
      <c r="AD44" s="272"/>
      <c r="AE44" s="272"/>
      <c r="AF44" s="272"/>
      <c r="AG44" s="272"/>
      <c r="AH44" s="272"/>
      <c r="AI44" s="267"/>
    </row>
    <row r="45" spans="1:35" x14ac:dyDescent="0.2">
      <c r="A45" s="208" t="str">
        <f>+IF(D45="","",CONCATENATE("GBL 00",Mantenedor!E44))</f>
        <v/>
      </c>
      <c r="B45" s="214"/>
      <c r="C45" s="215"/>
      <c r="D45" s="215"/>
      <c r="E45" s="215"/>
      <c r="F45" s="215"/>
      <c r="G45" s="215"/>
      <c r="H45" s="215"/>
      <c r="I45" s="216"/>
      <c r="J45" s="217"/>
      <c r="K45" s="218"/>
      <c r="L45" s="217" t="str">
        <f t="shared" si="0"/>
        <v/>
      </c>
      <c r="M45" s="240"/>
      <c r="N45" s="225" t="str">
        <f>IF($K45="","",IF($K45=1,CONCATENATE("Base ",$M45," ",$K45," noche"),CONCATENATE("Base ",$M45," ",$K45," noches")))</f>
        <v/>
      </c>
      <c r="O45" s="239" t="str">
        <f>IFERROR((VLOOKUP($N45,Pricing!$D$2:$E$43,2,FALSE)),"")</f>
        <v/>
      </c>
      <c r="P45" s="196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71"/>
      <c r="AB45" s="272"/>
      <c r="AC45" s="272"/>
      <c r="AD45" s="272"/>
      <c r="AE45" s="272"/>
      <c r="AF45" s="272"/>
      <c r="AG45" s="272"/>
      <c r="AH45" s="272"/>
      <c r="AI45" s="267"/>
    </row>
    <row r="46" spans="1:35" x14ac:dyDescent="0.2">
      <c r="A46" s="208" t="str">
        <f>+IF(D46="","",CONCATENATE("GBL 00",Mantenedor!E45))</f>
        <v/>
      </c>
      <c r="B46" s="214"/>
      <c r="C46" s="215"/>
      <c r="D46" s="215"/>
      <c r="E46" s="215"/>
      <c r="F46" s="215"/>
      <c r="G46" s="215"/>
      <c r="H46" s="215"/>
      <c r="I46" s="216"/>
      <c r="J46" s="217"/>
      <c r="K46" s="218"/>
      <c r="L46" s="217" t="str">
        <f t="shared" si="0"/>
        <v/>
      </c>
      <c r="M46" s="240"/>
      <c r="N46" s="225" t="str">
        <f>IF($K46="","",IF($K46=1,CONCATENATE("Base ",$M46," ",$K46," noche"),CONCATENATE("Base ",$M46," ",$K46," noches")))</f>
        <v/>
      </c>
      <c r="O46" s="239" t="str">
        <f>IFERROR((VLOOKUP($N46,Pricing!$D$2:$E$43,2,FALSE)),"")</f>
        <v/>
      </c>
      <c r="P46" s="196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71"/>
      <c r="AB46" s="272"/>
      <c r="AC46" s="272"/>
      <c r="AD46" s="272"/>
      <c r="AE46" s="272"/>
      <c r="AF46" s="272"/>
      <c r="AG46" s="272"/>
      <c r="AH46" s="272"/>
      <c r="AI46" s="267"/>
    </row>
    <row r="47" spans="1:35" x14ac:dyDescent="0.2">
      <c r="A47" s="208" t="str">
        <f>+IF(D47="","",CONCATENATE("GBL 00",Mantenedor!E46))</f>
        <v/>
      </c>
      <c r="B47" s="214"/>
      <c r="C47" s="215"/>
      <c r="D47" s="215"/>
      <c r="E47" s="215"/>
      <c r="F47" s="215"/>
      <c r="G47" s="215"/>
      <c r="H47" s="215"/>
      <c r="I47" s="216"/>
      <c r="J47" s="217"/>
      <c r="K47" s="218"/>
      <c r="L47" s="217" t="str">
        <f t="shared" si="0"/>
        <v/>
      </c>
      <c r="M47" s="240"/>
      <c r="N47" s="225" t="str">
        <f>IF($K47="","",IF($K47=1,CONCATENATE("Base ",$M47," ",$K47," noche"),CONCATENATE("Base ",$M47," ",$K47," noches")))</f>
        <v/>
      </c>
      <c r="O47" s="239" t="str">
        <f>IFERROR((VLOOKUP($N47,Pricing!$D$2:$E$43,2,FALSE)),"")</f>
        <v/>
      </c>
      <c r="P47" s="196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71"/>
      <c r="AB47" s="272"/>
      <c r="AC47" s="272"/>
      <c r="AD47" s="272"/>
      <c r="AE47" s="272"/>
      <c r="AF47" s="272"/>
      <c r="AG47" s="272"/>
      <c r="AH47" s="272"/>
      <c r="AI47" s="267"/>
    </row>
    <row r="48" spans="1:35" x14ac:dyDescent="0.2">
      <c r="A48" s="208" t="str">
        <f>+IF(D48="","",CONCATENATE("GBL 00",Mantenedor!E47))</f>
        <v/>
      </c>
      <c r="B48" s="214"/>
      <c r="C48" s="215"/>
      <c r="D48" s="215"/>
      <c r="E48" s="215"/>
      <c r="F48" s="215"/>
      <c r="G48" s="215"/>
      <c r="H48" s="215"/>
      <c r="I48" s="216"/>
      <c r="J48" s="217"/>
      <c r="K48" s="218"/>
      <c r="L48" s="217" t="str">
        <f t="shared" si="0"/>
        <v/>
      </c>
      <c r="M48" s="240"/>
      <c r="N48" s="225" t="str">
        <f>IF($K48="","",IF($K48=1,CONCATENATE("Base ",$M48," ",$K48," noche"),CONCATENATE("Base ",$M48," ",$K48," noches")))</f>
        <v/>
      </c>
      <c r="O48" s="239" t="str">
        <f>IFERROR((VLOOKUP($N48,Pricing!$D$2:$E$43,2,FALSE)),"")</f>
        <v/>
      </c>
      <c r="P48" s="196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71"/>
      <c r="AB48" s="272"/>
      <c r="AC48" s="272"/>
      <c r="AD48" s="272"/>
      <c r="AE48" s="272"/>
      <c r="AF48" s="272"/>
      <c r="AG48" s="272"/>
      <c r="AH48" s="272"/>
      <c r="AI48" s="267"/>
    </row>
    <row r="49" spans="1:35" x14ac:dyDescent="0.2">
      <c r="A49" s="208" t="str">
        <f>+IF(D49="","",CONCATENATE("GBL 00",Mantenedor!E48))</f>
        <v/>
      </c>
      <c r="B49" s="214"/>
      <c r="C49" s="215"/>
      <c r="D49" s="215"/>
      <c r="E49" s="215"/>
      <c r="F49" s="215"/>
      <c r="G49" s="215"/>
      <c r="H49" s="215"/>
      <c r="I49" s="216"/>
      <c r="J49" s="217"/>
      <c r="K49" s="218"/>
      <c r="L49" s="217" t="str">
        <f t="shared" si="0"/>
        <v/>
      </c>
      <c r="M49" s="240"/>
      <c r="N49" s="225" t="str">
        <f>IF($K49="","",IF($K49=1,CONCATENATE("Base ",$M49," ",$K49," noche"),CONCATENATE("Base ",$M49," ",$K49," noches")))</f>
        <v/>
      </c>
      <c r="O49" s="239" t="str">
        <f>IFERROR((VLOOKUP($N49,Pricing!$D$2:$E$43,2,FALSE)),"")</f>
        <v/>
      </c>
      <c r="P49" s="196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71"/>
      <c r="AB49" s="272"/>
      <c r="AC49" s="272"/>
      <c r="AD49" s="272"/>
      <c r="AE49" s="272"/>
      <c r="AF49" s="272"/>
      <c r="AG49" s="272"/>
      <c r="AH49" s="272"/>
      <c r="AI49" s="267"/>
    </row>
    <row r="50" spans="1:35" x14ac:dyDescent="0.2">
      <c r="A50" s="208" t="str">
        <f>+IF(D50="","",CONCATENATE("GBL 00",Mantenedor!E49))</f>
        <v/>
      </c>
      <c r="B50" s="214"/>
      <c r="C50" s="215"/>
      <c r="D50" s="215"/>
      <c r="E50" s="215"/>
      <c r="F50" s="215"/>
      <c r="G50" s="215"/>
      <c r="H50" s="215"/>
      <c r="I50" s="216"/>
      <c r="J50" s="217"/>
      <c r="K50" s="218"/>
      <c r="L50" s="217" t="str">
        <f t="shared" si="0"/>
        <v/>
      </c>
      <c r="M50" s="240"/>
      <c r="N50" s="225" t="str">
        <f>IF($K50="","",IF($K50=1,CONCATENATE("Base ",$M50," ",$K50," noche"),CONCATENATE("Base ",$M50," ",$K50," noches")))</f>
        <v/>
      </c>
      <c r="O50" s="239" t="str">
        <f>IFERROR((VLOOKUP($N50,Pricing!$D$2:$E$43,2,FALSE)),"")</f>
        <v/>
      </c>
      <c r="P50" s="196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71"/>
      <c r="AB50" s="272"/>
      <c r="AC50" s="272"/>
      <c r="AD50" s="272"/>
      <c r="AE50" s="272"/>
      <c r="AF50" s="272"/>
      <c r="AG50" s="272"/>
      <c r="AH50" s="272"/>
      <c r="AI50" s="267"/>
    </row>
    <row r="51" spans="1:35" x14ac:dyDescent="0.2">
      <c r="A51" s="208" t="str">
        <f>+IF(D51="","",CONCATENATE("GBL 00",Mantenedor!E50))</f>
        <v/>
      </c>
      <c r="B51" s="214"/>
      <c r="C51" s="215"/>
      <c r="D51" s="215"/>
      <c r="E51" s="215"/>
      <c r="F51" s="215"/>
      <c r="G51" s="215"/>
      <c r="H51" s="215"/>
      <c r="I51" s="216"/>
      <c r="J51" s="217"/>
      <c r="K51" s="218"/>
      <c r="L51" s="217" t="str">
        <f t="shared" si="0"/>
        <v/>
      </c>
      <c r="M51" s="240"/>
      <c r="N51" s="225" t="str">
        <f>IF($K51="","",IF($K51=1,CONCATENATE("Base ",$M51," ",$K51," noche"),CONCATENATE("Base ",$M51," ",$K51," noches")))</f>
        <v/>
      </c>
      <c r="O51" s="239" t="str">
        <f>IFERROR((VLOOKUP($N51,Pricing!$D$2:$E$43,2,FALSE)),"")</f>
        <v/>
      </c>
      <c r="P51" s="196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71"/>
      <c r="AB51" s="272"/>
      <c r="AC51" s="272"/>
      <c r="AD51" s="272"/>
      <c r="AE51" s="272"/>
      <c r="AF51" s="272"/>
      <c r="AG51" s="272"/>
      <c r="AH51" s="272"/>
      <c r="AI51" s="267"/>
    </row>
    <row r="52" spans="1:35" x14ac:dyDescent="0.2">
      <c r="A52" s="208" t="str">
        <f>+IF(D52="","",CONCATENATE("GBL 00",Mantenedor!E51))</f>
        <v/>
      </c>
      <c r="B52" s="214"/>
      <c r="C52" s="215"/>
      <c r="D52" s="215"/>
      <c r="E52" s="215"/>
      <c r="F52" s="215"/>
      <c r="G52" s="215"/>
      <c r="H52" s="215"/>
      <c r="I52" s="216"/>
      <c r="J52" s="217"/>
      <c r="K52" s="218"/>
      <c r="L52" s="217" t="str">
        <f t="shared" si="0"/>
        <v/>
      </c>
      <c r="M52" s="240"/>
      <c r="N52" s="225" t="str">
        <f>IF($K52="","",IF($K52=1,CONCATENATE("Base ",$M52," ",$K52," noche"),CONCATENATE("Base ",$M52," ",$K52," noches")))</f>
        <v/>
      </c>
      <c r="O52" s="239" t="str">
        <f>IFERROR((VLOOKUP($N52,Pricing!$D$2:$E$43,2,FALSE)),"")</f>
        <v/>
      </c>
      <c r="P52" s="196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71"/>
      <c r="AB52" s="272"/>
      <c r="AC52" s="272"/>
      <c r="AD52" s="272"/>
      <c r="AE52" s="272"/>
      <c r="AF52" s="272"/>
      <c r="AG52" s="272"/>
      <c r="AH52" s="272"/>
      <c r="AI52" s="267"/>
    </row>
    <row r="53" spans="1:35" x14ac:dyDescent="0.2">
      <c r="A53" s="208" t="str">
        <f>+IF(D53="","",CONCATENATE("GBL 00",Mantenedor!E52))</f>
        <v/>
      </c>
      <c r="B53" s="214"/>
      <c r="C53" s="215"/>
      <c r="D53" s="215"/>
      <c r="E53" s="215"/>
      <c r="F53" s="215"/>
      <c r="G53" s="215"/>
      <c r="H53" s="215"/>
      <c r="I53" s="216"/>
      <c r="J53" s="217"/>
      <c r="K53" s="218"/>
      <c r="L53" s="217" t="str">
        <f t="shared" si="0"/>
        <v/>
      </c>
      <c r="M53" s="240"/>
      <c r="N53" s="225" t="str">
        <f>IF($K53="","",IF($K53=1,CONCATENATE("Base ",$M53," ",$K53," noche"),CONCATENATE("Base ",$M53," ",$K53," noches")))</f>
        <v/>
      </c>
      <c r="O53" s="239" t="str">
        <f>IFERROR((VLOOKUP($N53,Pricing!$D$2:$E$43,2,FALSE)),"")</f>
        <v/>
      </c>
      <c r="P53" s="196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71"/>
      <c r="AB53" s="272"/>
      <c r="AC53" s="272"/>
      <c r="AD53" s="272"/>
      <c r="AE53" s="272"/>
      <c r="AF53" s="272"/>
      <c r="AG53" s="272"/>
      <c r="AH53" s="272"/>
      <c r="AI53" s="267"/>
    </row>
    <row r="54" spans="1:35" x14ac:dyDescent="0.2">
      <c r="A54" s="208" t="str">
        <f>+IF(D54="","",CONCATENATE("GBL 00",Mantenedor!E53))</f>
        <v/>
      </c>
      <c r="B54" s="214"/>
      <c r="C54" s="215"/>
      <c r="D54" s="215"/>
      <c r="E54" s="215"/>
      <c r="F54" s="215"/>
      <c r="G54" s="215"/>
      <c r="H54" s="215"/>
      <c r="I54" s="216"/>
      <c r="J54" s="217"/>
      <c r="K54" s="218"/>
      <c r="L54" s="217" t="str">
        <f t="shared" si="0"/>
        <v/>
      </c>
      <c r="M54" s="240"/>
      <c r="N54" s="225" t="str">
        <f>IF($K54="","",IF($K54=1,CONCATENATE("Base ",$M54," ",$K54," noche"),CONCATENATE("Base ",$M54," ",$K54," noches")))</f>
        <v/>
      </c>
      <c r="O54" s="239" t="str">
        <f>IFERROR((VLOOKUP($N54,Pricing!$D$2:$E$43,2,FALSE)),"")</f>
        <v/>
      </c>
      <c r="P54" s="196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71"/>
      <c r="AB54" s="272"/>
      <c r="AC54" s="272"/>
      <c r="AD54" s="272"/>
      <c r="AE54" s="272"/>
      <c r="AF54" s="272"/>
      <c r="AG54" s="272"/>
      <c r="AH54" s="272"/>
      <c r="AI54" s="267"/>
    </row>
    <row r="55" spans="1:35" x14ac:dyDescent="0.2">
      <c r="A55" s="208" t="str">
        <f>+IF(D55="","",CONCATENATE("GBL 00",Mantenedor!E54))</f>
        <v/>
      </c>
      <c r="B55" s="214"/>
      <c r="C55" s="215"/>
      <c r="D55" s="215"/>
      <c r="E55" s="215"/>
      <c r="F55" s="215"/>
      <c r="G55" s="215"/>
      <c r="H55" s="215"/>
      <c r="I55" s="216"/>
      <c r="J55" s="217"/>
      <c r="K55" s="218"/>
      <c r="L55" s="217" t="str">
        <f t="shared" si="0"/>
        <v/>
      </c>
      <c r="M55" s="240"/>
      <c r="N55" s="225" t="str">
        <f>IF($K55="","",IF($K55=1,CONCATENATE("Base ",$M55," ",$K55," noche"),CONCATENATE("Base ",$M55," ",$K55," noches")))</f>
        <v/>
      </c>
      <c r="O55" s="239" t="str">
        <f>IFERROR((VLOOKUP($N55,Pricing!$D$2:$E$43,2,FALSE)),"")</f>
        <v/>
      </c>
      <c r="P55" s="196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71"/>
      <c r="AB55" s="272"/>
      <c r="AC55" s="272"/>
      <c r="AD55" s="272"/>
      <c r="AE55" s="272"/>
      <c r="AF55" s="272"/>
      <c r="AG55" s="272"/>
      <c r="AH55" s="272"/>
      <c r="AI55" s="267"/>
    </row>
    <row r="56" spans="1:35" x14ac:dyDescent="0.2">
      <c r="A56" s="208" t="str">
        <f>+IF(D56="","",CONCATENATE("GBL 00",Mantenedor!E55))</f>
        <v/>
      </c>
      <c r="B56" s="214"/>
      <c r="C56" s="215"/>
      <c r="D56" s="215"/>
      <c r="E56" s="215"/>
      <c r="F56" s="215"/>
      <c r="G56" s="215"/>
      <c r="H56" s="215"/>
      <c r="I56" s="216"/>
      <c r="J56" s="217"/>
      <c r="K56" s="218"/>
      <c r="L56" s="217" t="str">
        <f t="shared" si="0"/>
        <v/>
      </c>
      <c r="M56" s="240"/>
      <c r="N56" s="225" t="str">
        <f>IF($K56="","",IF($K56=1,CONCATENATE("Base ",$M56," ",$K56," noche"),CONCATENATE("Base ",$M56," ",$K56," noches")))</f>
        <v/>
      </c>
      <c r="O56" s="239" t="str">
        <f>IFERROR((VLOOKUP($N56,Pricing!$D$2:$E$43,2,FALSE)),"")</f>
        <v/>
      </c>
      <c r="P56" s="196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71"/>
      <c r="AB56" s="272"/>
      <c r="AC56" s="272"/>
      <c r="AD56" s="272"/>
      <c r="AE56" s="272"/>
      <c r="AF56" s="272"/>
      <c r="AG56" s="272"/>
      <c r="AH56" s="272"/>
      <c r="AI56" s="267"/>
    </row>
    <row r="57" spans="1:35" x14ac:dyDescent="0.2">
      <c r="A57" s="208" t="str">
        <f>+IF(D57="","",CONCATENATE("GBL 00",Mantenedor!E56))</f>
        <v/>
      </c>
      <c r="B57" s="214"/>
      <c r="C57" s="215"/>
      <c r="D57" s="215"/>
      <c r="E57" s="215"/>
      <c r="F57" s="215"/>
      <c r="G57" s="215"/>
      <c r="H57" s="215"/>
      <c r="I57" s="216"/>
      <c r="J57" s="217"/>
      <c r="K57" s="218"/>
      <c r="L57" s="217" t="str">
        <f t="shared" si="0"/>
        <v/>
      </c>
      <c r="M57" s="240"/>
      <c r="N57" s="225" t="str">
        <f>IF($K57="","",IF($K57=1,CONCATENATE("Base ",$M57," ",$K57," noche"),CONCATENATE("Base ",$M57," ",$K57," noches")))</f>
        <v/>
      </c>
      <c r="O57" s="239" t="str">
        <f>IFERROR((VLOOKUP($N57,Pricing!$D$2:$E$43,2,FALSE)),"")</f>
        <v/>
      </c>
      <c r="P57" s="196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71"/>
      <c r="AB57" s="272"/>
      <c r="AC57" s="272"/>
      <c r="AD57" s="272"/>
      <c r="AE57" s="272"/>
      <c r="AF57" s="272"/>
      <c r="AG57" s="272"/>
      <c r="AH57" s="272"/>
      <c r="AI57" s="267"/>
    </row>
    <row r="58" spans="1:35" x14ac:dyDescent="0.2">
      <c r="A58" s="208" t="str">
        <f>+IF(D58="","",CONCATENATE("GBL 00",Mantenedor!E57))</f>
        <v/>
      </c>
      <c r="B58" s="214"/>
      <c r="C58" s="215"/>
      <c r="D58" s="215"/>
      <c r="E58" s="215"/>
      <c r="F58" s="215"/>
      <c r="G58" s="215"/>
      <c r="H58" s="215"/>
      <c r="I58" s="216"/>
      <c r="J58" s="217"/>
      <c r="K58" s="218"/>
      <c r="L58" s="217" t="str">
        <f t="shared" si="0"/>
        <v/>
      </c>
      <c r="M58" s="240"/>
      <c r="N58" s="225" t="str">
        <f>IF($K58="","",IF($K58=1,CONCATENATE("Base ",$M58," ",$K58," noche"),CONCATENATE("Base ",$M58," ",$K58," noches")))</f>
        <v/>
      </c>
      <c r="O58" s="239" t="str">
        <f>IFERROR((VLOOKUP($N58,Pricing!$D$2:$E$43,2,FALSE)),"")</f>
        <v/>
      </c>
      <c r="P58" s="196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71"/>
      <c r="AB58" s="272"/>
      <c r="AC58" s="272"/>
      <c r="AD58" s="272"/>
      <c r="AE58" s="272"/>
      <c r="AF58" s="272"/>
      <c r="AG58" s="272"/>
      <c r="AH58" s="272"/>
      <c r="AI58" s="267"/>
    </row>
    <row r="59" spans="1:35" x14ac:dyDescent="0.2">
      <c r="A59" s="208" t="str">
        <f>+IF(D59="","",CONCATENATE("GBL 00",Mantenedor!E58))</f>
        <v/>
      </c>
      <c r="B59" s="214"/>
      <c r="C59" s="215"/>
      <c r="D59" s="215"/>
      <c r="E59" s="215"/>
      <c r="F59" s="215"/>
      <c r="G59" s="215"/>
      <c r="H59" s="215"/>
      <c r="I59" s="216"/>
      <c r="J59" s="217"/>
      <c r="K59" s="218"/>
      <c r="L59" s="217" t="str">
        <f t="shared" si="0"/>
        <v/>
      </c>
      <c r="M59" s="240"/>
      <c r="N59" s="225" t="str">
        <f>IF($K59="","",IF($K59=1,CONCATENATE("Base ",$M59," ",$K59," noche"),CONCATENATE("Base ",$M59," ",$K59," noches")))</f>
        <v/>
      </c>
      <c r="O59" s="239" t="str">
        <f>IFERROR((VLOOKUP($N59,Pricing!$D$2:$E$43,2,FALSE)),"")</f>
        <v/>
      </c>
      <c r="P59" s="196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71"/>
      <c r="AB59" s="272"/>
      <c r="AC59" s="272"/>
      <c r="AD59" s="272"/>
      <c r="AE59" s="272"/>
      <c r="AF59" s="272"/>
      <c r="AG59" s="272"/>
      <c r="AH59" s="272"/>
      <c r="AI59" s="267"/>
    </row>
    <row r="60" spans="1:35" x14ac:dyDescent="0.2">
      <c r="A60" s="208" t="str">
        <f>+IF(D60="","",CONCATENATE("GBL 00",Mantenedor!E59))</f>
        <v/>
      </c>
      <c r="B60" s="214"/>
      <c r="C60" s="215"/>
      <c r="D60" s="215"/>
      <c r="E60" s="215"/>
      <c r="F60" s="215"/>
      <c r="G60" s="215"/>
      <c r="H60" s="215"/>
      <c r="I60" s="216"/>
      <c r="J60" s="217"/>
      <c r="K60" s="218"/>
      <c r="L60" s="217" t="str">
        <f t="shared" si="0"/>
        <v/>
      </c>
      <c r="M60" s="240"/>
      <c r="N60" s="225" t="str">
        <f>IF($K60="","",IF($K60=1,CONCATENATE("Base ",$M60," ",$K60," noche"),CONCATENATE("Base ",$M60," ",$K60," noches")))</f>
        <v/>
      </c>
      <c r="O60" s="239" t="str">
        <f>IFERROR((VLOOKUP($N60,Pricing!$D$2:$E$43,2,FALSE)),"")</f>
        <v/>
      </c>
      <c r="P60" s="196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71"/>
      <c r="AB60" s="272"/>
      <c r="AC60" s="272"/>
      <c r="AD60" s="272"/>
      <c r="AE60" s="272"/>
      <c r="AF60" s="272"/>
      <c r="AG60" s="272"/>
      <c r="AH60" s="272"/>
      <c r="AI60" s="267"/>
    </row>
    <row r="61" spans="1:35" x14ac:dyDescent="0.2">
      <c r="A61" s="208" t="str">
        <f>+IF(D61="","",CONCATENATE("GBL 00",Mantenedor!E60))</f>
        <v/>
      </c>
      <c r="B61" s="214"/>
      <c r="C61" s="215"/>
      <c r="D61" s="215"/>
      <c r="E61" s="215"/>
      <c r="F61" s="215"/>
      <c r="G61" s="215"/>
      <c r="H61" s="215"/>
      <c r="I61" s="216"/>
      <c r="J61" s="217"/>
      <c r="K61" s="218"/>
      <c r="L61" s="217" t="str">
        <f t="shared" si="0"/>
        <v/>
      </c>
      <c r="M61" s="240"/>
      <c r="N61" s="225" t="str">
        <f>IF($K61="","",IF($K61=1,CONCATENATE("Base ",$M61," ",$K61," noche"),CONCATENATE("Base ",$M61," ",$K61," noches")))</f>
        <v/>
      </c>
      <c r="O61" s="239" t="str">
        <f>IFERROR((VLOOKUP($N61,Pricing!$D$2:$E$43,2,FALSE)),"")</f>
        <v/>
      </c>
      <c r="P61" s="196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71"/>
      <c r="AB61" s="272"/>
      <c r="AC61" s="272"/>
      <c r="AD61" s="272"/>
      <c r="AE61" s="272"/>
      <c r="AF61" s="272"/>
      <c r="AG61" s="272"/>
      <c r="AH61" s="272"/>
      <c r="AI61" s="267"/>
    </row>
    <row r="62" spans="1:35" x14ac:dyDescent="0.2">
      <c r="A62" s="208" t="str">
        <f>+IF(D62="","",CONCATENATE("GBL 00",Mantenedor!E61))</f>
        <v/>
      </c>
      <c r="B62" s="214"/>
      <c r="C62" s="215"/>
      <c r="D62" s="215"/>
      <c r="E62" s="215"/>
      <c r="F62" s="215"/>
      <c r="G62" s="215"/>
      <c r="H62" s="215"/>
      <c r="I62" s="216"/>
      <c r="J62" s="217"/>
      <c r="K62" s="218"/>
      <c r="L62" s="217" t="str">
        <f t="shared" si="0"/>
        <v/>
      </c>
      <c r="M62" s="240"/>
      <c r="N62" s="225" t="str">
        <f>IF($K62="","",IF($K62=1,CONCATENATE("Base ",$M62," ",$K62," noche"),CONCATENATE("Base ",$M62," ",$K62," noches")))</f>
        <v/>
      </c>
      <c r="O62" s="239" t="str">
        <f>IFERROR((VLOOKUP($N62,Pricing!$D$2:$E$43,2,FALSE)),"")</f>
        <v/>
      </c>
      <c r="P62" s="196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71"/>
      <c r="AB62" s="272"/>
      <c r="AC62" s="272"/>
      <c r="AD62" s="272"/>
      <c r="AE62" s="272"/>
      <c r="AF62" s="272"/>
      <c r="AG62" s="272"/>
      <c r="AH62" s="272"/>
      <c r="AI62" s="267"/>
    </row>
    <row r="63" spans="1:35" x14ac:dyDescent="0.2">
      <c r="A63" s="208" t="str">
        <f>+IF(D63="","",CONCATENATE("GBL 00",Mantenedor!E62))</f>
        <v/>
      </c>
      <c r="B63" s="214"/>
      <c r="C63" s="215"/>
      <c r="D63" s="215"/>
      <c r="E63" s="215"/>
      <c r="F63" s="215"/>
      <c r="G63" s="215"/>
      <c r="H63" s="215"/>
      <c r="I63" s="216"/>
      <c r="J63" s="217"/>
      <c r="K63" s="218"/>
      <c r="L63" s="217" t="str">
        <f t="shared" si="0"/>
        <v/>
      </c>
      <c r="M63" s="240"/>
      <c r="N63" s="225" t="str">
        <f>IF($K63="","",IF($K63=1,CONCATENATE("Base ",$M63," ",$K63," noche"),CONCATENATE("Base ",$M63," ",$K63," noches")))</f>
        <v/>
      </c>
      <c r="O63" s="239" t="str">
        <f>IFERROR((VLOOKUP($N63,Pricing!$D$2:$E$43,2,FALSE)),"")</f>
        <v/>
      </c>
      <c r="P63" s="196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71"/>
      <c r="AB63" s="272"/>
      <c r="AC63" s="272"/>
      <c r="AD63" s="272"/>
      <c r="AE63" s="272"/>
      <c r="AF63" s="272"/>
      <c r="AG63" s="272"/>
      <c r="AH63" s="272"/>
      <c r="AI63" s="267"/>
    </row>
    <row r="64" spans="1:35" x14ac:dyDescent="0.2">
      <c r="A64" s="208" t="str">
        <f>+IF(D64="","",CONCATENATE("GBL 00",Mantenedor!E63))</f>
        <v/>
      </c>
      <c r="B64" s="214"/>
      <c r="C64" s="215"/>
      <c r="D64" s="215"/>
      <c r="E64" s="215"/>
      <c r="F64" s="215"/>
      <c r="G64" s="215"/>
      <c r="H64" s="215"/>
      <c r="I64" s="216"/>
      <c r="J64" s="217"/>
      <c r="K64" s="218"/>
      <c r="L64" s="217" t="str">
        <f t="shared" si="0"/>
        <v/>
      </c>
      <c r="M64" s="240"/>
      <c r="N64" s="225" t="str">
        <f>IF($K64="","",IF($K64=1,CONCATENATE("Base ",$M64," ",$K64," noche"),CONCATENATE("Base ",$M64," ",$K64," noches")))</f>
        <v/>
      </c>
      <c r="O64" s="239" t="str">
        <f>IFERROR((VLOOKUP($N64,Pricing!$D$2:$E$43,2,FALSE)),"")</f>
        <v/>
      </c>
      <c r="P64" s="196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71"/>
      <c r="AB64" s="272"/>
      <c r="AC64" s="272"/>
      <c r="AD64" s="272"/>
      <c r="AE64" s="272"/>
      <c r="AF64" s="272"/>
      <c r="AG64" s="272"/>
      <c r="AH64" s="272"/>
      <c r="AI64" s="267"/>
    </row>
    <row r="65" spans="1:35" x14ac:dyDescent="0.2">
      <c r="A65" s="208" t="str">
        <f>+IF(D65="","",CONCATENATE("GBL 00",Mantenedor!E64))</f>
        <v/>
      </c>
      <c r="B65" s="214"/>
      <c r="C65" s="215"/>
      <c r="D65" s="215"/>
      <c r="E65" s="215"/>
      <c r="F65" s="215"/>
      <c r="G65" s="215"/>
      <c r="H65" s="215"/>
      <c r="I65" s="216"/>
      <c r="J65" s="217"/>
      <c r="K65" s="218"/>
      <c r="L65" s="217" t="str">
        <f t="shared" si="0"/>
        <v/>
      </c>
      <c r="M65" s="240"/>
      <c r="N65" s="225" t="str">
        <f>IF($K65="","",IF($K65=1,CONCATENATE("Base ",$M65," ",$K65," noche"),CONCATENATE("Base ",$M65," ",$K65," noches")))</f>
        <v/>
      </c>
      <c r="O65" s="239" t="str">
        <f>IFERROR((VLOOKUP($N65,Pricing!$D$2:$E$43,2,FALSE)),"")</f>
        <v/>
      </c>
      <c r="P65" s="196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71"/>
      <c r="AB65" s="272"/>
      <c r="AC65" s="272"/>
      <c r="AD65" s="272"/>
      <c r="AE65" s="272"/>
      <c r="AF65" s="272"/>
      <c r="AG65" s="272"/>
      <c r="AH65" s="272"/>
      <c r="AI65" s="267"/>
    </row>
    <row r="66" spans="1:35" x14ac:dyDescent="0.2">
      <c r="A66" s="208" t="str">
        <f>+IF(D66="","",CONCATENATE("GBL 00",Mantenedor!E65))</f>
        <v/>
      </c>
      <c r="B66" s="214"/>
      <c r="C66" s="215"/>
      <c r="D66" s="215"/>
      <c r="E66" s="215"/>
      <c r="F66" s="215"/>
      <c r="G66" s="215"/>
      <c r="H66" s="215"/>
      <c r="I66" s="216"/>
      <c r="J66" s="217"/>
      <c r="K66" s="218"/>
      <c r="L66" s="217" t="str">
        <f t="shared" si="0"/>
        <v/>
      </c>
      <c r="M66" s="240"/>
      <c r="N66" s="225" t="str">
        <f>IF($K66="","",IF($K66=1,CONCATENATE("Base ",$M66," ",$K66," noche"),CONCATENATE("Base ",$M66," ",$K66," noches")))</f>
        <v/>
      </c>
      <c r="O66" s="239" t="str">
        <f>IFERROR((VLOOKUP($N66,Pricing!$D$2:$E$43,2,FALSE)),"")</f>
        <v/>
      </c>
      <c r="P66" s="196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71"/>
      <c r="AB66" s="272"/>
      <c r="AC66" s="272"/>
      <c r="AD66" s="272"/>
      <c r="AE66" s="272"/>
      <c r="AF66" s="272"/>
      <c r="AG66" s="272"/>
      <c r="AH66" s="272"/>
      <c r="AI66" s="267"/>
    </row>
    <row r="67" spans="1:35" x14ac:dyDescent="0.2">
      <c r="A67" s="208" t="str">
        <f>+IF(D67="","",CONCATENATE("GBL 00",Mantenedor!E66))</f>
        <v/>
      </c>
      <c r="B67" s="214"/>
      <c r="C67" s="215"/>
      <c r="D67" s="215"/>
      <c r="E67" s="215"/>
      <c r="F67" s="215"/>
      <c r="G67" s="215"/>
      <c r="H67" s="215"/>
      <c r="I67" s="216"/>
      <c r="J67" s="217"/>
      <c r="K67" s="218"/>
      <c r="L67" s="217" t="str">
        <f t="shared" si="0"/>
        <v/>
      </c>
      <c r="M67" s="240"/>
      <c r="N67" s="225" t="str">
        <f>IF($K67="","",IF($K67=1,CONCATENATE("Base ",$M67," ",$K67," noche"),CONCATENATE("Base ",$M67," ",$K67," noches")))</f>
        <v/>
      </c>
      <c r="O67" s="239" t="str">
        <f>IFERROR((VLOOKUP($N67,Pricing!$D$2:$E$43,2,FALSE)),"")</f>
        <v/>
      </c>
      <c r="P67" s="196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71"/>
      <c r="AB67" s="272"/>
      <c r="AC67" s="272"/>
      <c r="AD67" s="272"/>
      <c r="AE67" s="272"/>
      <c r="AF67" s="272"/>
      <c r="AG67" s="272"/>
      <c r="AH67" s="272"/>
      <c r="AI67" s="267"/>
    </row>
    <row r="68" spans="1:35" x14ac:dyDescent="0.2">
      <c r="A68" s="208" t="str">
        <f>+IF(D68="","",CONCATENATE("GBL 00",Mantenedor!E67))</f>
        <v/>
      </c>
      <c r="B68" s="214"/>
      <c r="C68" s="215"/>
      <c r="D68" s="215"/>
      <c r="E68" s="215"/>
      <c r="F68" s="215"/>
      <c r="G68" s="215"/>
      <c r="H68" s="215"/>
      <c r="I68" s="216"/>
      <c r="J68" s="217"/>
      <c r="K68" s="218"/>
      <c r="L68" s="217" t="str">
        <f t="shared" ref="L68:L131" si="1">IF(K68="","",(J68+K68))</f>
        <v/>
      </c>
      <c r="M68" s="240"/>
      <c r="N68" s="225" t="str">
        <f>IF($K68="","",IF($K68=1,CONCATENATE("Base ",$M68," ",$K68," noche"),CONCATENATE("Base ",$M68," ",$K68," noches")))</f>
        <v/>
      </c>
      <c r="O68" s="239" t="str">
        <f>IFERROR((VLOOKUP($N68,Pricing!$D$2:$E$43,2,FALSE)),"")</f>
        <v/>
      </c>
      <c r="P68" s="196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71"/>
      <c r="AB68" s="272"/>
      <c r="AC68" s="272"/>
      <c r="AD68" s="272"/>
      <c r="AE68" s="272"/>
      <c r="AF68" s="272"/>
      <c r="AG68" s="272"/>
      <c r="AH68" s="272"/>
      <c r="AI68" s="267"/>
    </row>
    <row r="69" spans="1:35" x14ac:dyDescent="0.2">
      <c r="A69" s="208" t="str">
        <f>+IF(D69="","",CONCATENATE("GBL 00",Mantenedor!E68))</f>
        <v/>
      </c>
      <c r="B69" s="214"/>
      <c r="C69" s="215"/>
      <c r="D69" s="215"/>
      <c r="E69" s="215"/>
      <c r="F69" s="215"/>
      <c r="G69" s="215"/>
      <c r="H69" s="215"/>
      <c r="I69" s="216"/>
      <c r="J69" s="217"/>
      <c r="K69" s="218"/>
      <c r="L69" s="217" t="str">
        <f t="shared" si="1"/>
        <v/>
      </c>
      <c r="M69" s="240"/>
      <c r="N69" s="225" t="str">
        <f>IF($K69="","",IF($K69=1,CONCATENATE("Base ",$M69," ",$K69," noche"),CONCATENATE("Base ",$M69," ",$K69," noches")))</f>
        <v/>
      </c>
      <c r="O69" s="239" t="str">
        <f>IFERROR((VLOOKUP($N69,Pricing!$D$2:$E$43,2,FALSE)),"")</f>
        <v/>
      </c>
      <c r="P69" s="196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71"/>
      <c r="AB69" s="272"/>
      <c r="AC69" s="272"/>
      <c r="AD69" s="272"/>
      <c r="AE69" s="272"/>
      <c r="AF69" s="272"/>
      <c r="AG69" s="272"/>
      <c r="AH69" s="272"/>
      <c r="AI69" s="267"/>
    </row>
    <row r="70" spans="1:35" x14ac:dyDescent="0.2">
      <c r="A70" s="208" t="str">
        <f>+IF(D70="","",CONCATENATE("GBL 00",Mantenedor!E69))</f>
        <v/>
      </c>
      <c r="B70" s="214"/>
      <c r="C70" s="215"/>
      <c r="D70" s="215"/>
      <c r="E70" s="215"/>
      <c r="F70" s="215"/>
      <c r="G70" s="215"/>
      <c r="H70" s="215"/>
      <c r="I70" s="216"/>
      <c r="J70" s="217"/>
      <c r="K70" s="218"/>
      <c r="L70" s="217" t="str">
        <f t="shared" si="1"/>
        <v/>
      </c>
      <c r="M70" s="240"/>
      <c r="N70" s="225" t="str">
        <f>IF($K70="","",IF($K70=1,CONCATENATE("Base ",$M70," ",$K70," noche"),CONCATENATE("Base ",$M70," ",$K70," noches")))</f>
        <v/>
      </c>
      <c r="O70" s="239" t="str">
        <f>IFERROR((VLOOKUP($N70,Pricing!$D$2:$E$43,2,FALSE)),"")</f>
        <v/>
      </c>
      <c r="P70" s="196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71"/>
      <c r="AB70" s="272"/>
      <c r="AC70" s="272"/>
      <c r="AD70" s="272"/>
      <c r="AE70" s="272"/>
      <c r="AF70" s="272"/>
      <c r="AG70" s="272"/>
      <c r="AH70" s="272"/>
      <c r="AI70" s="267"/>
    </row>
    <row r="71" spans="1:35" x14ac:dyDescent="0.2">
      <c r="A71" s="208" t="str">
        <f>+IF(D71="","",CONCATENATE("GBL 00",Mantenedor!E70))</f>
        <v/>
      </c>
      <c r="B71" s="214"/>
      <c r="C71" s="215"/>
      <c r="D71" s="215"/>
      <c r="E71" s="215"/>
      <c r="F71" s="215"/>
      <c r="G71" s="215"/>
      <c r="H71" s="215"/>
      <c r="I71" s="216"/>
      <c r="J71" s="217"/>
      <c r="K71" s="218"/>
      <c r="L71" s="217" t="str">
        <f t="shared" si="1"/>
        <v/>
      </c>
      <c r="M71" s="240"/>
      <c r="N71" s="225" t="str">
        <f>IF($K71="","",IF($K71=1,CONCATENATE("Base ",$M71," ",$K71," noche"),CONCATENATE("Base ",$M71," ",$K71," noches")))</f>
        <v/>
      </c>
      <c r="O71" s="239" t="str">
        <f>IFERROR((VLOOKUP($N71,Pricing!$D$2:$E$43,2,FALSE)),"")</f>
        <v/>
      </c>
      <c r="P71" s="196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71"/>
      <c r="AB71" s="272"/>
      <c r="AC71" s="272"/>
      <c r="AD71" s="272"/>
      <c r="AE71" s="272"/>
      <c r="AF71" s="272"/>
      <c r="AG71" s="272"/>
      <c r="AH71" s="272"/>
      <c r="AI71" s="267"/>
    </row>
    <row r="72" spans="1:35" x14ac:dyDescent="0.2">
      <c r="A72" s="208" t="str">
        <f>+IF(D72="","",CONCATENATE("GBL 00",Mantenedor!E71))</f>
        <v/>
      </c>
      <c r="B72" s="214"/>
      <c r="C72" s="215"/>
      <c r="D72" s="215"/>
      <c r="E72" s="215"/>
      <c r="F72" s="215"/>
      <c r="G72" s="215"/>
      <c r="H72" s="215"/>
      <c r="I72" s="216"/>
      <c r="J72" s="217"/>
      <c r="K72" s="218"/>
      <c r="L72" s="217" t="str">
        <f t="shared" si="1"/>
        <v/>
      </c>
      <c r="M72" s="240"/>
      <c r="N72" s="225" t="str">
        <f>IF($K72="","",IF($K72=1,CONCATENATE("Base ",$M72," ",$K72," noche"),CONCATENATE("Base ",$M72," ",$K72," noches")))</f>
        <v/>
      </c>
      <c r="O72" s="239" t="str">
        <f>IFERROR((VLOOKUP($N72,Pricing!$D$2:$E$43,2,FALSE)),"")</f>
        <v/>
      </c>
      <c r="P72" s="196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71"/>
      <c r="AB72" s="272"/>
      <c r="AC72" s="272"/>
      <c r="AD72" s="272"/>
      <c r="AE72" s="272"/>
      <c r="AF72" s="272"/>
      <c r="AG72" s="272"/>
      <c r="AH72" s="272"/>
      <c r="AI72" s="267"/>
    </row>
    <row r="73" spans="1:35" x14ac:dyDescent="0.2">
      <c r="A73" s="208" t="str">
        <f>+IF(D73="","",CONCATENATE("GBL 00",Mantenedor!E72))</f>
        <v/>
      </c>
      <c r="B73" s="214"/>
      <c r="C73" s="215"/>
      <c r="D73" s="215"/>
      <c r="E73" s="215"/>
      <c r="F73" s="215"/>
      <c r="G73" s="215"/>
      <c r="H73" s="215"/>
      <c r="I73" s="216"/>
      <c r="J73" s="217"/>
      <c r="K73" s="218"/>
      <c r="L73" s="217" t="str">
        <f t="shared" si="1"/>
        <v/>
      </c>
      <c r="M73" s="240"/>
      <c r="N73" s="225" t="str">
        <f>IF($K73="","",IF($K73=1,CONCATENATE("Base ",$M73," ",$K73," noche"),CONCATENATE("Base ",$M73," ",$K73," noches")))</f>
        <v/>
      </c>
      <c r="O73" s="239" t="str">
        <f>IFERROR((VLOOKUP($N73,Pricing!$D$2:$E$43,2,FALSE)),"")</f>
        <v/>
      </c>
      <c r="P73" s="196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71"/>
      <c r="AB73" s="272"/>
      <c r="AC73" s="272"/>
      <c r="AD73" s="272"/>
      <c r="AE73" s="272"/>
      <c r="AF73" s="272"/>
      <c r="AG73" s="272"/>
      <c r="AH73" s="272"/>
      <c r="AI73" s="267"/>
    </row>
    <row r="74" spans="1:35" x14ac:dyDescent="0.2">
      <c r="A74" s="208" t="str">
        <f>+IF(D74="","",CONCATENATE("GBL 00",Mantenedor!E73))</f>
        <v/>
      </c>
      <c r="B74" s="214"/>
      <c r="C74" s="215"/>
      <c r="D74" s="215"/>
      <c r="E74" s="215"/>
      <c r="F74" s="215"/>
      <c r="G74" s="215"/>
      <c r="H74" s="215"/>
      <c r="I74" s="216"/>
      <c r="J74" s="217"/>
      <c r="K74" s="218"/>
      <c r="L74" s="217" t="str">
        <f t="shared" si="1"/>
        <v/>
      </c>
      <c r="M74" s="240"/>
      <c r="N74" s="225" t="str">
        <f>IF($K74="","",IF($K74=1,CONCATENATE("Base ",$M74," ",$K74," noche"),CONCATENATE("Base ",$M74," ",$K74," noches")))</f>
        <v/>
      </c>
      <c r="O74" s="239" t="str">
        <f>IFERROR((VLOOKUP($N74,Pricing!$D$2:$E$43,2,FALSE)),"")</f>
        <v/>
      </c>
      <c r="P74" s="196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71"/>
      <c r="AB74" s="272"/>
      <c r="AC74" s="272"/>
      <c r="AD74" s="272"/>
      <c r="AE74" s="272"/>
      <c r="AF74" s="272"/>
      <c r="AG74" s="272"/>
      <c r="AH74" s="272"/>
      <c r="AI74" s="267"/>
    </row>
    <row r="75" spans="1:35" x14ac:dyDescent="0.2">
      <c r="A75" s="208" t="str">
        <f>+IF(D75="","",CONCATENATE("GBL 00",Mantenedor!E74))</f>
        <v/>
      </c>
      <c r="B75" s="214"/>
      <c r="C75" s="215"/>
      <c r="D75" s="215"/>
      <c r="E75" s="215"/>
      <c r="F75" s="215"/>
      <c r="G75" s="215"/>
      <c r="H75" s="215"/>
      <c r="I75" s="216"/>
      <c r="J75" s="217"/>
      <c r="K75" s="218"/>
      <c r="L75" s="217" t="str">
        <f t="shared" si="1"/>
        <v/>
      </c>
      <c r="M75" s="240"/>
      <c r="N75" s="225" t="str">
        <f>IF($K75="","",IF($K75=1,CONCATENATE("Base ",$M75," ",$K75," noche"),CONCATENATE("Base ",$M75," ",$K75," noches")))</f>
        <v/>
      </c>
      <c r="O75" s="239" t="str">
        <f>IFERROR((VLOOKUP($N75,Pricing!$D$2:$E$43,2,FALSE)),"")</f>
        <v/>
      </c>
      <c r="P75" s="196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71"/>
      <c r="AB75" s="272"/>
      <c r="AC75" s="272"/>
      <c r="AD75" s="272"/>
      <c r="AE75" s="272"/>
      <c r="AF75" s="272"/>
      <c r="AG75" s="272"/>
      <c r="AH75" s="272"/>
      <c r="AI75" s="267"/>
    </row>
    <row r="76" spans="1:35" x14ac:dyDescent="0.2">
      <c r="A76" s="208" t="str">
        <f>+IF(D76="","",CONCATENATE("GBL 00",Mantenedor!E75))</f>
        <v/>
      </c>
      <c r="B76" s="214"/>
      <c r="C76" s="215"/>
      <c r="D76" s="215"/>
      <c r="E76" s="215"/>
      <c r="F76" s="215"/>
      <c r="G76" s="215"/>
      <c r="H76" s="215"/>
      <c r="I76" s="216"/>
      <c r="J76" s="217"/>
      <c r="K76" s="218"/>
      <c r="L76" s="217" t="str">
        <f t="shared" si="1"/>
        <v/>
      </c>
      <c r="M76" s="240"/>
      <c r="N76" s="225" t="str">
        <f>IF($K76="","",IF($K76=1,CONCATENATE("Base ",$M76," ",$K76," noche"),CONCATENATE("Base ",$M76," ",$K76," noches")))</f>
        <v/>
      </c>
      <c r="O76" s="239" t="str">
        <f>IFERROR((VLOOKUP($N76,Pricing!$D$2:$E$43,2,FALSE)),"")</f>
        <v/>
      </c>
      <c r="P76" s="196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71"/>
      <c r="AB76" s="272"/>
      <c r="AC76" s="272"/>
      <c r="AD76" s="272"/>
      <c r="AE76" s="272"/>
      <c r="AF76" s="272"/>
      <c r="AG76" s="272"/>
      <c r="AH76" s="272"/>
      <c r="AI76" s="267"/>
    </row>
    <row r="77" spans="1:35" x14ac:dyDescent="0.2">
      <c r="A77" s="208" t="str">
        <f>+IF(D77="","",CONCATENATE("GBL 00",Mantenedor!E76))</f>
        <v/>
      </c>
      <c r="B77" s="214"/>
      <c r="C77" s="215"/>
      <c r="D77" s="215"/>
      <c r="E77" s="215"/>
      <c r="F77" s="215"/>
      <c r="G77" s="215"/>
      <c r="H77" s="215"/>
      <c r="I77" s="216"/>
      <c r="J77" s="217"/>
      <c r="K77" s="218"/>
      <c r="L77" s="217" t="str">
        <f t="shared" si="1"/>
        <v/>
      </c>
      <c r="M77" s="240"/>
      <c r="N77" s="225" t="str">
        <f>IF($K77="","",IF($K77=1,CONCATENATE("Base ",$M77," ",$K77," noche"),CONCATENATE("Base ",$M77," ",$K77," noches")))</f>
        <v/>
      </c>
      <c r="O77" s="239" t="str">
        <f>IFERROR((VLOOKUP($N77,Pricing!$D$2:$E$43,2,FALSE)),"")</f>
        <v/>
      </c>
      <c r="P77" s="196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71"/>
      <c r="AB77" s="272"/>
      <c r="AC77" s="272"/>
      <c r="AD77" s="272"/>
      <c r="AE77" s="272"/>
      <c r="AF77" s="272"/>
      <c r="AG77" s="272"/>
      <c r="AH77" s="272"/>
      <c r="AI77" s="267"/>
    </row>
    <row r="78" spans="1:35" x14ac:dyDescent="0.2">
      <c r="A78" s="208" t="str">
        <f>+IF(D78="","",CONCATENATE("GBL 00",Mantenedor!E77))</f>
        <v/>
      </c>
      <c r="B78" s="214"/>
      <c r="C78" s="215"/>
      <c r="D78" s="215"/>
      <c r="E78" s="215"/>
      <c r="F78" s="215"/>
      <c r="G78" s="215"/>
      <c r="H78" s="215"/>
      <c r="I78" s="216"/>
      <c r="J78" s="217"/>
      <c r="K78" s="218"/>
      <c r="L78" s="217" t="str">
        <f t="shared" si="1"/>
        <v/>
      </c>
      <c r="M78" s="240"/>
      <c r="N78" s="225" t="str">
        <f>IF($K78="","",IF($K78=1,CONCATENATE("Base ",$M78," ",$K78," noche"),CONCATENATE("Base ",$M78," ",$K78," noches")))</f>
        <v/>
      </c>
      <c r="O78" s="239" t="str">
        <f>IFERROR((VLOOKUP($N78,Pricing!$D$2:$E$43,2,FALSE)),"")</f>
        <v/>
      </c>
      <c r="P78" s="196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71"/>
      <c r="AB78" s="272"/>
      <c r="AC78" s="272"/>
      <c r="AD78" s="272"/>
      <c r="AE78" s="272"/>
      <c r="AF78" s="272"/>
      <c r="AG78" s="272"/>
      <c r="AH78" s="272"/>
      <c r="AI78" s="267"/>
    </row>
    <row r="79" spans="1:35" x14ac:dyDescent="0.2">
      <c r="A79" s="208" t="str">
        <f>+IF(D79="","",CONCATENATE("GBL 00",Mantenedor!E78))</f>
        <v/>
      </c>
      <c r="B79" s="214"/>
      <c r="C79" s="215"/>
      <c r="D79" s="215"/>
      <c r="E79" s="215"/>
      <c r="F79" s="215"/>
      <c r="G79" s="215"/>
      <c r="H79" s="215"/>
      <c r="I79" s="216"/>
      <c r="J79" s="217"/>
      <c r="K79" s="218"/>
      <c r="L79" s="217" t="str">
        <f t="shared" si="1"/>
        <v/>
      </c>
      <c r="M79" s="240"/>
      <c r="N79" s="225" t="str">
        <f>IF($K79="","",IF($K79=1,CONCATENATE("Base ",$M79," ",$K79," noche"),CONCATENATE("Base ",$M79," ",$K79," noches")))</f>
        <v/>
      </c>
      <c r="O79" s="239" t="str">
        <f>IFERROR((VLOOKUP($N79,Pricing!$D$2:$E$43,2,FALSE)),"")</f>
        <v/>
      </c>
      <c r="P79" s="196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71"/>
      <c r="AB79" s="272"/>
      <c r="AC79" s="272"/>
      <c r="AD79" s="272"/>
      <c r="AE79" s="272"/>
      <c r="AF79" s="272"/>
      <c r="AG79" s="272"/>
      <c r="AH79" s="272"/>
      <c r="AI79" s="267"/>
    </row>
    <row r="80" spans="1:35" x14ac:dyDescent="0.2">
      <c r="A80" s="208" t="str">
        <f>+IF(D80="","",CONCATENATE("GBL 00",Mantenedor!E79))</f>
        <v/>
      </c>
      <c r="B80" s="214"/>
      <c r="C80" s="215"/>
      <c r="D80" s="215"/>
      <c r="E80" s="215"/>
      <c r="F80" s="215"/>
      <c r="G80" s="215"/>
      <c r="H80" s="215"/>
      <c r="I80" s="216"/>
      <c r="J80" s="217"/>
      <c r="K80" s="218"/>
      <c r="L80" s="217" t="str">
        <f t="shared" si="1"/>
        <v/>
      </c>
      <c r="M80" s="240"/>
      <c r="N80" s="225" t="str">
        <f>IF($K80="","",IF($K80=1,CONCATENATE("Base ",$M80," ",$K80," noche"),CONCATENATE("Base ",$M80," ",$K80," noches")))</f>
        <v/>
      </c>
      <c r="O80" s="239" t="str">
        <f>IFERROR((VLOOKUP($N80,Pricing!$D$2:$E$43,2,FALSE)),"")</f>
        <v/>
      </c>
      <c r="P80" s="196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71"/>
      <c r="AB80" s="272"/>
      <c r="AC80" s="272"/>
      <c r="AD80" s="272"/>
      <c r="AE80" s="272"/>
      <c r="AF80" s="272"/>
      <c r="AG80" s="272"/>
      <c r="AH80" s="272"/>
      <c r="AI80" s="267"/>
    </row>
    <row r="81" spans="1:35" x14ac:dyDescent="0.2">
      <c r="A81" s="208" t="str">
        <f>+IF(D81="","",CONCATENATE("GBL 00",Mantenedor!E80))</f>
        <v/>
      </c>
      <c r="B81" s="214"/>
      <c r="C81" s="215"/>
      <c r="D81" s="215"/>
      <c r="E81" s="215"/>
      <c r="F81" s="215"/>
      <c r="G81" s="215"/>
      <c r="H81" s="215"/>
      <c r="I81" s="216"/>
      <c r="J81" s="217"/>
      <c r="K81" s="218"/>
      <c r="L81" s="217" t="str">
        <f t="shared" si="1"/>
        <v/>
      </c>
      <c r="M81" s="240"/>
      <c r="N81" s="225" t="str">
        <f>IF($K81="","",IF($K81=1,CONCATENATE("Base ",$M81," ",$K81," noche"),CONCATENATE("Base ",$M81," ",$K81," noches")))</f>
        <v/>
      </c>
      <c r="O81" s="239" t="str">
        <f>IFERROR((VLOOKUP($N81,Pricing!$D$2:$E$43,2,FALSE)),"")</f>
        <v/>
      </c>
      <c r="P81" s="196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71"/>
      <c r="AB81" s="272"/>
      <c r="AC81" s="272"/>
      <c r="AD81" s="272"/>
      <c r="AE81" s="272"/>
      <c r="AF81" s="272"/>
      <c r="AG81" s="272"/>
      <c r="AH81" s="272"/>
      <c r="AI81" s="267"/>
    </row>
    <row r="82" spans="1:35" x14ac:dyDescent="0.2">
      <c r="A82" s="208" t="str">
        <f>+IF(D82="","",CONCATENATE("GBL 00",Mantenedor!E81))</f>
        <v/>
      </c>
      <c r="B82" s="214"/>
      <c r="C82" s="215"/>
      <c r="D82" s="215"/>
      <c r="E82" s="215"/>
      <c r="F82" s="215"/>
      <c r="G82" s="215"/>
      <c r="H82" s="215"/>
      <c r="I82" s="216"/>
      <c r="J82" s="217"/>
      <c r="K82" s="218"/>
      <c r="L82" s="217" t="str">
        <f t="shared" si="1"/>
        <v/>
      </c>
      <c r="M82" s="240"/>
      <c r="N82" s="225" t="str">
        <f>IF($K82="","",IF($K82=1,CONCATENATE("Base ",$M82," ",$K82," noche"),CONCATENATE("Base ",$M82," ",$K82," noches")))</f>
        <v/>
      </c>
      <c r="O82" s="239" t="str">
        <f>IFERROR((VLOOKUP($N82,Pricing!$D$2:$E$43,2,FALSE)),"")</f>
        <v/>
      </c>
      <c r="P82" s="196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71"/>
      <c r="AB82" s="272"/>
      <c r="AC82" s="272"/>
      <c r="AD82" s="272"/>
      <c r="AE82" s="272"/>
      <c r="AF82" s="272"/>
      <c r="AG82" s="272"/>
      <c r="AH82" s="272"/>
      <c r="AI82" s="267"/>
    </row>
    <row r="83" spans="1:35" x14ac:dyDescent="0.2">
      <c r="A83" s="208" t="str">
        <f>+IF(D83="","",CONCATENATE("GBL 00",Mantenedor!E82))</f>
        <v/>
      </c>
      <c r="B83" s="214"/>
      <c r="C83" s="215"/>
      <c r="D83" s="215"/>
      <c r="E83" s="215"/>
      <c r="F83" s="215"/>
      <c r="G83" s="215"/>
      <c r="H83" s="215"/>
      <c r="I83" s="216"/>
      <c r="J83" s="217"/>
      <c r="K83" s="218"/>
      <c r="L83" s="217" t="str">
        <f t="shared" si="1"/>
        <v/>
      </c>
      <c r="M83" s="240"/>
      <c r="N83" s="225" t="str">
        <f>IF($K83="","",IF($K83=1,CONCATENATE("Base ",$M83," ",$K83," noche"),CONCATENATE("Base ",$M83," ",$K83," noches")))</f>
        <v/>
      </c>
      <c r="O83" s="239" t="str">
        <f>IFERROR((VLOOKUP($N83,Pricing!$D$2:$E$43,2,FALSE)),"")</f>
        <v/>
      </c>
      <c r="P83" s="196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71"/>
      <c r="AB83" s="272"/>
      <c r="AC83" s="272"/>
      <c r="AD83" s="272"/>
      <c r="AE83" s="272"/>
      <c r="AF83" s="272"/>
      <c r="AG83" s="272"/>
      <c r="AH83" s="272"/>
      <c r="AI83" s="267"/>
    </row>
    <row r="84" spans="1:35" x14ac:dyDescent="0.2">
      <c r="A84" s="208" t="str">
        <f>+IF(D84="","",CONCATENATE("GBL 00",Mantenedor!E83))</f>
        <v/>
      </c>
      <c r="B84" s="214"/>
      <c r="C84" s="215"/>
      <c r="D84" s="215"/>
      <c r="E84" s="215"/>
      <c r="F84" s="215"/>
      <c r="G84" s="215"/>
      <c r="H84" s="215"/>
      <c r="I84" s="216"/>
      <c r="J84" s="217"/>
      <c r="K84" s="218"/>
      <c r="L84" s="217" t="str">
        <f t="shared" si="1"/>
        <v/>
      </c>
      <c r="M84" s="240"/>
      <c r="N84" s="225" t="str">
        <f>IF($K84="","",IF($K84=1,CONCATENATE("Base ",$M84," ",$K84," noche"),CONCATENATE("Base ",$M84," ",$K84," noches")))</f>
        <v/>
      </c>
      <c r="O84" s="239" t="str">
        <f>IFERROR((VLOOKUP($N84,Pricing!$D$2:$E$43,2,FALSE)),"")</f>
        <v/>
      </c>
      <c r="P84" s="196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71"/>
      <c r="AB84" s="272"/>
      <c r="AC84" s="272"/>
      <c r="AD84" s="272"/>
      <c r="AE84" s="272"/>
      <c r="AF84" s="272"/>
      <c r="AG84" s="272"/>
      <c r="AH84" s="272"/>
      <c r="AI84" s="267"/>
    </row>
    <row r="85" spans="1:35" x14ac:dyDescent="0.2">
      <c r="A85" s="208" t="str">
        <f>+IF(D85="","",CONCATENATE("GBL 00",Mantenedor!E84))</f>
        <v/>
      </c>
      <c r="B85" s="214"/>
      <c r="C85" s="215"/>
      <c r="D85" s="215"/>
      <c r="E85" s="215"/>
      <c r="F85" s="215"/>
      <c r="G85" s="215"/>
      <c r="H85" s="215"/>
      <c r="I85" s="216"/>
      <c r="J85" s="217"/>
      <c r="K85" s="218"/>
      <c r="L85" s="217" t="str">
        <f t="shared" si="1"/>
        <v/>
      </c>
      <c r="M85" s="240"/>
      <c r="N85" s="225" t="str">
        <f>IF($K85="","",IF($K85=1,CONCATENATE("Base ",$M85," ",$K85," noche"),CONCATENATE("Base ",$M85," ",$K85," noches")))</f>
        <v/>
      </c>
      <c r="O85" s="239" t="str">
        <f>IFERROR((VLOOKUP($N85,Pricing!$D$2:$E$43,2,FALSE)),"")</f>
        <v/>
      </c>
      <c r="P85" s="196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71"/>
      <c r="AB85" s="272"/>
      <c r="AC85" s="272"/>
      <c r="AD85" s="272"/>
      <c r="AE85" s="272"/>
      <c r="AF85" s="272"/>
      <c r="AG85" s="272"/>
      <c r="AH85" s="272"/>
      <c r="AI85" s="267"/>
    </row>
    <row r="86" spans="1:35" x14ac:dyDescent="0.2">
      <c r="A86" s="208" t="str">
        <f>+IF(D86="","",CONCATENATE("GBL 00",Mantenedor!E85))</f>
        <v/>
      </c>
      <c r="B86" s="214"/>
      <c r="C86" s="215"/>
      <c r="D86" s="215"/>
      <c r="E86" s="215"/>
      <c r="F86" s="215"/>
      <c r="G86" s="215"/>
      <c r="H86" s="215"/>
      <c r="I86" s="216"/>
      <c r="J86" s="217"/>
      <c r="K86" s="218"/>
      <c r="L86" s="217" t="str">
        <f t="shared" si="1"/>
        <v/>
      </c>
      <c r="M86" s="240"/>
      <c r="N86" s="225" t="str">
        <f>IF($K86="","",IF($K86=1,CONCATENATE("Base ",$M86," ",$K86," noche"),CONCATENATE("Base ",$M86," ",$K86," noches")))</f>
        <v/>
      </c>
      <c r="O86" s="239" t="str">
        <f>IFERROR((VLOOKUP($N86,Pricing!$D$2:$E$43,2,FALSE)),"")</f>
        <v/>
      </c>
      <c r="P86" s="196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71"/>
      <c r="AB86" s="272"/>
      <c r="AC86" s="272"/>
      <c r="AD86" s="272"/>
      <c r="AE86" s="272"/>
      <c r="AF86" s="272"/>
      <c r="AG86" s="272"/>
      <c r="AH86" s="272"/>
      <c r="AI86" s="267"/>
    </row>
    <row r="87" spans="1:35" x14ac:dyDescent="0.2">
      <c r="A87" s="208" t="str">
        <f>+IF(D87="","",CONCATENATE("GBL 00",Mantenedor!E86))</f>
        <v/>
      </c>
      <c r="B87" s="214"/>
      <c r="C87" s="215"/>
      <c r="D87" s="215"/>
      <c r="E87" s="215"/>
      <c r="F87" s="215"/>
      <c r="G87" s="215"/>
      <c r="H87" s="215"/>
      <c r="I87" s="216"/>
      <c r="J87" s="217"/>
      <c r="K87" s="218"/>
      <c r="L87" s="217" t="str">
        <f t="shared" si="1"/>
        <v/>
      </c>
      <c r="M87" s="240"/>
      <c r="N87" s="225" t="str">
        <f>IF($K87="","",IF($K87=1,CONCATENATE("Base ",$M87," ",$K87," noche"),CONCATENATE("Base ",$M87," ",$K87," noches")))</f>
        <v/>
      </c>
      <c r="O87" s="239" t="str">
        <f>IFERROR((VLOOKUP($N87,Pricing!$D$2:$E$43,2,FALSE)),"")</f>
        <v/>
      </c>
      <c r="P87" s="196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71"/>
      <c r="AB87" s="272"/>
      <c r="AC87" s="272"/>
      <c r="AD87" s="272"/>
      <c r="AE87" s="272"/>
      <c r="AF87" s="272"/>
      <c r="AG87" s="272"/>
      <c r="AH87" s="272"/>
      <c r="AI87" s="267"/>
    </row>
    <row r="88" spans="1:35" x14ac:dyDescent="0.2">
      <c r="A88" s="208" t="str">
        <f>+IF(D88="","",CONCATENATE("GBL 00",Mantenedor!E87))</f>
        <v/>
      </c>
      <c r="B88" s="214"/>
      <c r="C88" s="215"/>
      <c r="D88" s="215"/>
      <c r="E88" s="215"/>
      <c r="F88" s="215"/>
      <c r="G88" s="215"/>
      <c r="H88" s="215"/>
      <c r="I88" s="216"/>
      <c r="J88" s="217"/>
      <c r="K88" s="218"/>
      <c r="L88" s="217" t="str">
        <f t="shared" si="1"/>
        <v/>
      </c>
      <c r="M88" s="240"/>
      <c r="N88" s="225" t="str">
        <f>IF($K88="","",IF($K88=1,CONCATENATE("Base ",$M88," ",$K88," noche"),CONCATENATE("Base ",$M88," ",$K88," noches")))</f>
        <v/>
      </c>
      <c r="O88" s="239" t="str">
        <f>IFERROR((VLOOKUP($N88,Pricing!$D$2:$E$43,2,FALSE)),"")</f>
        <v/>
      </c>
      <c r="P88" s="196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71"/>
      <c r="AB88" s="272"/>
      <c r="AC88" s="272"/>
      <c r="AD88" s="272"/>
      <c r="AE88" s="272"/>
      <c r="AF88" s="272"/>
      <c r="AG88" s="272"/>
      <c r="AH88" s="272"/>
      <c r="AI88" s="267"/>
    </row>
    <row r="89" spans="1:35" x14ac:dyDescent="0.2">
      <c r="A89" s="208" t="str">
        <f>+IF(D89="","",CONCATENATE("GBL 00",Mantenedor!E88))</f>
        <v/>
      </c>
      <c r="B89" s="214"/>
      <c r="C89" s="215"/>
      <c r="D89" s="215"/>
      <c r="E89" s="215"/>
      <c r="F89" s="215"/>
      <c r="G89" s="215"/>
      <c r="H89" s="215"/>
      <c r="I89" s="216"/>
      <c r="J89" s="217"/>
      <c r="K89" s="218"/>
      <c r="L89" s="217" t="str">
        <f t="shared" si="1"/>
        <v/>
      </c>
      <c r="M89" s="240"/>
      <c r="N89" s="225" t="str">
        <f>IF($K89="","",IF($K89=1,CONCATENATE("Base ",$M89," ",$K89," noche"),CONCATENATE("Base ",$M89," ",$K89," noches")))</f>
        <v/>
      </c>
      <c r="O89" s="239" t="str">
        <f>IFERROR((VLOOKUP($N89,Pricing!$D$2:$E$43,2,FALSE)),"")</f>
        <v/>
      </c>
      <c r="P89" s="196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71"/>
      <c r="AB89" s="272"/>
      <c r="AC89" s="272"/>
      <c r="AD89" s="272"/>
      <c r="AE89" s="272"/>
      <c r="AF89" s="272"/>
      <c r="AG89" s="272"/>
      <c r="AH89" s="272"/>
      <c r="AI89" s="267"/>
    </row>
    <row r="90" spans="1:35" x14ac:dyDescent="0.2">
      <c r="A90" s="208" t="str">
        <f>+IF(D90="","",CONCATENATE("GBL 00",Mantenedor!E89))</f>
        <v/>
      </c>
      <c r="B90" s="214"/>
      <c r="C90" s="215"/>
      <c r="D90" s="215"/>
      <c r="E90" s="215"/>
      <c r="F90" s="215"/>
      <c r="G90" s="215"/>
      <c r="H90" s="215"/>
      <c r="I90" s="216"/>
      <c r="J90" s="217"/>
      <c r="K90" s="218"/>
      <c r="L90" s="217" t="str">
        <f t="shared" si="1"/>
        <v/>
      </c>
      <c r="M90" s="240"/>
      <c r="N90" s="225" t="str">
        <f>IF($K90="","",IF($K90=1,CONCATENATE("Base ",$M90," ",$K90," noche"),CONCATENATE("Base ",$M90," ",$K90," noches")))</f>
        <v/>
      </c>
      <c r="O90" s="239" t="str">
        <f>IFERROR((VLOOKUP($N90,Pricing!$D$2:$E$43,2,FALSE)),"")</f>
        <v/>
      </c>
      <c r="P90" s="196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71"/>
      <c r="AB90" s="272"/>
      <c r="AC90" s="272"/>
      <c r="AD90" s="272"/>
      <c r="AE90" s="272"/>
      <c r="AF90" s="272"/>
      <c r="AG90" s="272"/>
      <c r="AH90" s="272"/>
      <c r="AI90" s="267"/>
    </row>
    <row r="91" spans="1:35" x14ac:dyDescent="0.2">
      <c r="A91" s="208" t="str">
        <f>+IF(D91="","",CONCATENATE("GBL 00",Mantenedor!E90))</f>
        <v/>
      </c>
      <c r="B91" s="214"/>
      <c r="C91" s="215"/>
      <c r="D91" s="215"/>
      <c r="E91" s="215"/>
      <c r="F91" s="215"/>
      <c r="G91" s="215"/>
      <c r="H91" s="215"/>
      <c r="I91" s="216"/>
      <c r="J91" s="217"/>
      <c r="K91" s="218"/>
      <c r="L91" s="217" t="str">
        <f t="shared" si="1"/>
        <v/>
      </c>
      <c r="M91" s="240"/>
      <c r="N91" s="225" t="str">
        <f>IF($K91="","",IF($K91=1,CONCATENATE("Base ",$M91," ",$K91," noche"),CONCATENATE("Base ",$M91," ",$K91," noches")))</f>
        <v/>
      </c>
      <c r="O91" s="239" t="str">
        <f>IFERROR((VLOOKUP($N91,Pricing!$D$2:$E$43,2,FALSE)),"")</f>
        <v/>
      </c>
      <c r="P91" s="196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71"/>
      <c r="AB91" s="272"/>
      <c r="AC91" s="272"/>
      <c r="AD91" s="272"/>
      <c r="AE91" s="272"/>
      <c r="AF91" s="272"/>
      <c r="AG91" s="272"/>
      <c r="AH91" s="272"/>
      <c r="AI91" s="267"/>
    </row>
    <row r="92" spans="1:35" x14ac:dyDescent="0.2">
      <c r="A92" s="208" t="str">
        <f>+IF(D92="","",CONCATENATE("GBL 00",Mantenedor!E91))</f>
        <v/>
      </c>
      <c r="B92" s="214"/>
      <c r="C92" s="215"/>
      <c r="D92" s="215"/>
      <c r="E92" s="215"/>
      <c r="F92" s="215"/>
      <c r="G92" s="215"/>
      <c r="H92" s="215"/>
      <c r="I92" s="216"/>
      <c r="J92" s="217"/>
      <c r="K92" s="218"/>
      <c r="L92" s="217" t="str">
        <f t="shared" si="1"/>
        <v/>
      </c>
      <c r="M92" s="240"/>
      <c r="N92" s="225" t="str">
        <f>IF($K92="","",IF($K92=1,CONCATENATE("Base ",$M92," ",$K92," noche"),CONCATENATE("Base ",$M92," ",$K92," noches")))</f>
        <v/>
      </c>
      <c r="O92" s="239" t="str">
        <f>IFERROR((VLOOKUP($N92,Pricing!$D$2:$E$43,2,FALSE)),"")</f>
        <v/>
      </c>
      <c r="P92" s="196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71"/>
      <c r="AB92" s="272"/>
      <c r="AC92" s="272"/>
      <c r="AD92" s="272"/>
      <c r="AE92" s="272"/>
      <c r="AF92" s="272"/>
      <c r="AG92" s="272"/>
      <c r="AH92" s="272"/>
      <c r="AI92" s="267"/>
    </row>
    <row r="93" spans="1:35" x14ac:dyDescent="0.2">
      <c r="A93" s="208" t="str">
        <f>+IF(D93="","",CONCATENATE("GBL 00",Mantenedor!E92))</f>
        <v/>
      </c>
      <c r="B93" s="214"/>
      <c r="C93" s="215"/>
      <c r="D93" s="215"/>
      <c r="E93" s="215"/>
      <c r="F93" s="215"/>
      <c r="G93" s="215"/>
      <c r="H93" s="215"/>
      <c r="I93" s="216"/>
      <c r="J93" s="217"/>
      <c r="K93" s="218"/>
      <c r="L93" s="217" t="str">
        <f t="shared" si="1"/>
        <v/>
      </c>
      <c r="M93" s="240"/>
      <c r="N93" s="225" t="str">
        <f>IF($K93="","",IF($K93=1,CONCATENATE("Base ",$M93," ",$K93," noche"),CONCATENATE("Base ",$M93," ",$K93," noches")))</f>
        <v/>
      </c>
      <c r="O93" s="239" t="str">
        <f>IFERROR((VLOOKUP($N93,Pricing!$D$2:$E$43,2,FALSE)),"")</f>
        <v/>
      </c>
      <c r="P93" s="196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71"/>
      <c r="AB93" s="272"/>
      <c r="AC93" s="272"/>
      <c r="AD93" s="272"/>
      <c r="AE93" s="272"/>
      <c r="AF93" s="272"/>
      <c r="AG93" s="272"/>
      <c r="AH93" s="272"/>
      <c r="AI93" s="267"/>
    </row>
    <row r="94" spans="1:35" x14ac:dyDescent="0.2">
      <c r="A94" s="208" t="str">
        <f>+IF(D94="","",CONCATENATE("GBL 00",Mantenedor!E93))</f>
        <v/>
      </c>
      <c r="B94" s="214"/>
      <c r="C94" s="215"/>
      <c r="D94" s="215"/>
      <c r="E94" s="215"/>
      <c r="F94" s="215"/>
      <c r="G94" s="215"/>
      <c r="H94" s="215"/>
      <c r="I94" s="216"/>
      <c r="J94" s="217"/>
      <c r="K94" s="218"/>
      <c r="L94" s="217" t="str">
        <f t="shared" si="1"/>
        <v/>
      </c>
      <c r="M94" s="240"/>
      <c r="N94" s="225" t="str">
        <f>IF($K94="","",IF($K94=1,CONCATENATE("Base ",$M94," ",$K94," noche"),CONCATENATE("Base ",$M94," ",$K94," noches")))</f>
        <v/>
      </c>
      <c r="O94" s="239" t="str">
        <f>IFERROR((VLOOKUP($N94,Pricing!$D$2:$E$43,2,FALSE)),"")</f>
        <v/>
      </c>
      <c r="P94" s="196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71"/>
      <c r="AB94" s="272"/>
      <c r="AC94" s="272"/>
      <c r="AD94" s="272"/>
      <c r="AE94" s="272"/>
      <c r="AF94" s="272"/>
      <c r="AG94" s="272"/>
      <c r="AH94" s="272"/>
      <c r="AI94" s="267"/>
    </row>
    <row r="95" spans="1:35" x14ac:dyDescent="0.2">
      <c r="A95" s="208" t="str">
        <f>+IF(D95="","",CONCATENATE("GBL 00",Mantenedor!E94))</f>
        <v/>
      </c>
      <c r="B95" s="214"/>
      <c r="C95" s="215"/>
      <c r="D95" s="215"/>
      <c r="E95" s="215"/>
      <c r="F95" s="215"/>
      <c r="G95" s="215"/>
      <c r="H95" s="215"/>
      <c r="I95" s="216"/>
      <c r="J95" s="217"/>
      <c r="K95" s="218"/>
      <c r="L95" s="217" t="str">
        <f t="shared" si="1"/>
        <v/>
      </c>
      <c r="M95" s="240"/>
      <c r="N95" s="225" t="str">
        <f>IF($K95="","",IF($K95=1,CONCATENATE("Base ",$M95," ",$K95," noche"),CONCATENATE("Base ",$M95," ",$K95," noches")))</f>
        <v/>
      </c>
      <c r="O95" s="239" t="str">
        <f>IFERROR((VLOOKUP($N95,Pricing!$D$2:$E$43,2,FALSE)),"")</f>
        <v/>
      </c>
      <c r="P95" s="196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71"/>
      <c r="AB95" s="272"/>
      <c r="AC95" s="272"/>
      <c r="AD95" s="272"/>
      <c r="AE95" s="272"/>
      <c r="AF95" s="272"/>
      <c r="AG95" s="272"/>
      <c r="AH95" s="272"/>
      <c r="AI95" s="267"/>
    </row>
    <row r="96" spans="1:35" x14ac:dyDescent="0.2">
      <c r="A96" s="208" t="str">
        <f>+IF(D96="","",CONCATENATE("GBL 00",Mantenedor!E95))</f>
        <v/>
      </c>
      <c r="B96" s="214"/>
      <c r="C96" s="215"/>
      <c r="D96" s="215"/>
      <c r="E96" s="215"/>
      <c r="F96" s="215"/>
      <c r="G96" s="215"/>
      <c r="H96" s="215"/>
      <c r="I96" s="216"/>
      <c r="J96" s="217"/>
      <c r="K96" s="218"/>
      <c r="L96" s="217" t="str">
        <f t="shared" si="1"/>
        <v/>
      </c>
      <c r="M96" s="240"/>
      <c r="N96" s="225" t="str">
        <f>IF($K96="","",IF($K96=1,CONCATENATE("Base ",$M96," ",$K96," noche"),CONCATENATE("Base ",$M96," ",$K96," noches")))</f>
        <v/>
      </c>
      <c r="O96" s="239" t="str">
        <f>IFERROR((VLOOKUP($N96,Pricing!$D$2:$E$43,2,FALSE)),"")</f>
        <v/>
      </c>
      <c r="P96" s="196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71"/>
      <c r="AB96" s="272"/>
      <c r="AC96" s="272"/>
      <c r="AD96" s="272"/>
      <c r="AE96" s="272"/>
      <c r="AF96" s="272"/>
      <c r="AG96" s="272"/>
      <c r="AH96" s="272"/>
      <c r="AI96" s="267"/>
    </row>
    <row r="97" spans="1:35" x14ac:dyDescent="0.2">
      <c r="A97" s="208" t="str">
        <f>+IF(D97="","",CONCATENATE("GBL 00",Mantenedor!E96))</f>
        <v/>
      </c>
      <c r="B97" s="214"/>
      <c r="C97" s="215"/>
      <c r="D97" s="215"/>
      <c r="E97" s="215"/>
      <c r="F97" s="215"/>
      <c r="G97" s="215"/>
      <c r="H97" s="215"/>
      <c r="I97" s="216"/>
      <c r="J97" s="217"/>
      <c r="K97" s="218"/>
      <c r="L97" s="217" t="str">
        <f t="shared" si="1"/>
        <v/>
      </c>
      <c r="M97" s="240"/>
      <c r="N97" s="225" t="str">
        <f>IF($K97="","",IF($K97=1,CONCATENATE("Base ",$M97," ",$K97," noche"),CONCATENATE("Base ",$M97," ",$K97," noches")))</f>
        <v/>
      </c>
      <c r="O97" s="239" t="str">
        <f>IFERROR((VLOOKUP($N97,Pricing!$D$2:$E$43,2,FALSE)),"")</f>
        <v/>
      </c>
      <c r="P97" s="196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71"/>
      <c r="AB97" s="272"/>
      <c r="AC97" s="272"/>
      <c r="AD97" s="272"/>
      <c r="AE97" s="272"/>
      <c r="AF97" s="272"/>
      <c r="AG97" s="272"/>
      <c r="AH97" s="272"/>
      <c r="AI97" s="267"/>
    </row>
    <row r="98" spans="1:35" x14ac:dyDescent="0.2">
      <c r="A98" s="208" t="str">
        <f>+IF(D98="","",CONCATENATE("GBL 00",Mantenedor!E97))</f>
        <v/>
      </c>
      <c r="B98" s="214"/>
      <c r="C98" s="215"/>
      <c r="D98" s="215"/>
      <c r="E98" s="215"/>
      <c r="F98" s="215"/>
      <c r="G98" s="215"/>
      <c r="H98" s="215"/>
      <c r="I98" s="216"/>
      <c r="J98" s="217"/>
      <c r="K98" s="218"/>
      <c r="L98" s="217" t="str">
        <f t="shared" si="1"/>
        <v/>
      </c>
      <c r="M98" s="240"/>
      <c r="N98" s="225" t="str">
        <f>IF($K98="","",IF($K98=1,CONCATENATE("Base ",$M98," ",$K98," noche"),CONCATENATE("Base ",$M98," ",$K98," noches")))</f>
        <v/>
      </c>
      <c r="O98" s="239" t="str">
        <f>IFERROR((VLOOKUP($N98,Pricing!$D$2:$E$43,2,FALSE)),"")</f>
        <v/>
      </c>
      <c r="P98" s="196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71"/>
      <c r="AB98" s="272"/>
      <c r="AC98" s="272"/>
      <c r="AD98" s="272"/>
      <c r="AE98" s="272"/>
      <c r="AF98" s="272"/>
      <c r="AG98" s="272"/>
      <c r="AH98" s="272"/>
      <c r="AI98" s="267"/>
    </row>
    <row r="99" spans="1:35" x14ac:dyDescent="0.2">
      <c r="A99" s="208" t="str">
        <f>+IF(D99="","",CONCATENATE("GBL 00",Mantenedor!E98))</f>
        <v/>
      </c>
      <c r="B99" s="214"/>
      <c r="C99" s="215"/>
      <c r="D99" s="215"/>
      <c r="E99" s="215"/>
      <c r="F99" s="215"/>
      <c r="G99" s="215"/>
      <c r="H99" s="215"/>
      <c r="I99" s="216"/>
      <c r="J99" s="217"/>
      <c r="K99" s="218"/>
      <c r="L99" s="217" t="str">
        <f t="shared" si="1"/>
        <v/>
      </c>
      <c r="M99" s="240"/>
      <c r="N99" s="225" t="str">
        <f>IF($K99="","",IF($K99=1,CONCATENATE("Base ",$M99," ",$K99," noche"),CONCATENATE("Base ",$M99," ",$K99," noches")))</f>
        <v/>
      </c>
      <c r="O99" s="239" t="str">
        <f>IFERROR((VLOOKUP($N99,Pricing!$D$2:$E$43,2,FALSE)),"")</f>
        <v/>
      </c>
      <c r="P99" s="196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71"/>
      <c r="AB99" s="272"/>
      <c r="AC99" s="272"/>
      <c r="AD99" s="272"/>
      <c r="AE99" s="272"/>
      <c r="AF99" s="272"/>
      <c r="AG99" s="272"/>
      <c r="AH99" s="272"/>
      <c r="AI99" s="267"/>
    </row>
    <row r="100" spans="1:35" x14ac:dyDescent="0.2">
      <c r="A100" s="208" t="str">
        <f>+IF(D100="","",CONCATENATE("GBL 00",Mantenedor!E99))</f>
        <v/>
      </c>
      <c r="B100" s="214"/>
      <c r="C100" s="215"/>
      <c r="D100" s="215"/>
      <c r="E100" s="215"/>
      <c r="F100" s="215"/>
      <c r="G100" s="215"/>
      <c r="H100" s="215"/>
      <c r="I100" s="216"/>
      <c r="J100" s="217"/>
      <c r="K100" s="218"/>
      <c r="L100" s="217" t="str">
        <f t="shared" si="1"/>
        <v/>
      </c>
      <c r="M100" s="240"/>
      <c r="N100" s="225" t="str">
        <f>IF($K100="","",IF($K100=1,CONCATENATE("Base ",$M100," ",$K100," noche"),CONCATENATE("Base ",$M100," ",$K100," noches")))</f>
        <v/>
      </c>
      <c r="O100" s="239" t="str">
        <f>IFERROR((VLOOKUP($N100,Pricing!$D$2:$E$43,2,FALSE)),"")</f>
        <v/>
      </c>
      <c r="P100" s="196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71"/>
      <c r="AB100" s="272"/>
      <c r="AC100" s="272"/>
      <c r="AD100" s="272"/>
      <c r="AE100" s="272"/>
      <c r="AF100" s="272"/>
      <c r="AG100" s="272"/>
      <c r="AH100" s="272"/>
      <c r="AI100" s="267"/>
    </row>
    <row r="101" spans="1:35" x14ac:dyDescent="0.2">
      <c r="A101" s="208" t="str">
        <f>+IF(D101="","",CONCATENATE("GBL 00",Mantenedor!E100))</f>
        <v/>
      </c>
      <c r="B101" s="214"/>
      <c r="C101" s="215"/>
      <c r="D101" s="215"/>
      <c r="E101" s="215"/>
      <c r="F101" s="215"/>
      <c r="G101" s="215"/>
      <c r="H101" s="215"/>
      <c r="I101" s="216"/>
      <c r="J101" s="217"/>
      <c r="K101" s="218"/>
      <c r="L101" s="217" t="str">
        <f t="shared" si="1"/>
        <v/>
      </c>
      <c r="M101" s="240"/>
      <c r="N101" s="225" t="str">
        <f>IF($K101="","",IF($K101=1,CONCATENATE("Base ",$M101," ",$K101," noche"),CONCATENATE("Base ",$M101," ",$K101," noches")))</f>
        <v/>
      </c>
      <c r="O101" s="239" t="str">
        <f>IFERROR((VLOOKUP($N101,Pricing!$D$2:$E$43,2,FALSE)),"")</f>
        <v/>
      </c>
      <c r="P101" s="196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71"/>
      <c r="AB101" s="272"/>
      <c r="AC101" s="272"/>
      <c r="AD101" s="272"/>
      <c r="AE101" s="272"/>
      <c r="AF101" s="272"/>
      <c r="AG101" s="272"/>
      <c r="AH101" s="272"/>
      <c r="AI101" s="267"/>
    </row>
    <row r="102" spans="1:35" x14ac:dyDescent="0.2">
      <c r="A102" s="208" t="str">
        <f>+IF(D102="","",CONCATENATE("GBL 00",Mantenedor!E101))</f>
        <v/>
      </c>
      <c r="B102" s="214"/>
      <c r="C102" s="215"/>
      <c r="D102" s="215"/>
      <c r="E102" s="215"/>
      <c r="F102" s="215"/>
      <c r="G102" s="215"/>
      <c r="H102" s="215"/>
      <c r="I102" s="216"/>
      <c r="J102" s="217"/>
      <c r="K102" s="218"/>
      <c r="L102" s="217" t="str">
        <f t="shared" si="1"/>
        <v/>
      </c>
      <c r="M102" s="240"/>
      <c r="N102" s="225" t="str">
        <f>IF($K102="","",IF($K102=1,CONCATENATE("Base ",$M102," ",$K102," noche"),CONCATENATE("Base ",$M102," ",$K102," noches")))</f>
        <v/>
      </c>
      <c r="O102" s="239" t="str">
        <f>IFERROR((VLOOKUP($N102,Pricing!$D$2:$E$43,2,FALSE)),"")</f>
        <v/>
      </c>
      <c r="P102" s="196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71"/>
      <c r="AB102" s="272"/>
      <c r="AC102" s="272"/>
      <c r="AD102" s="272"/>
      <c r="AE102" s="272"/>
      <c r="AF102" s="272"/>
      <c r="AG102" s="272"/>
      <c r="AH102" s="272"/>
      <c r="AI102" s="267"/>
    </row>
    <row r="103" spans="1:35" x14ac:dyDescent="0.2">
      <c r="A103" s="208" t="str">
        <f>+IF(D103="","",CONCATENATE("GBL 00",Mantenedor!E102))</f>
        <v/>
      </c>
      <c r="B103" s="214"/>
      <c r="C103" s="215"/>
      <c r="D103" s="215"/>
      <c r="E103" s="215"/>
      <c r="F103" s="215"/>
      <c r="G103" s="215"/>
      <c r="H103" s="215"/>
      <c r="I103" s="216"/>
      <c r="J103" s="217"/>
      <c r="K103" s="218"/>
      <c r="L103" s="217" t="str">
        <f t="shared" si="1"/>
        <v/>
      </c>
      <c r="M103" s="240"/>
      <c r="N103" s="225" t="str">
        <f>IF($K103="","",IF($K103=1,CONCATENATE("Base ",$M103," ",$K103," noche"),CONCATENATE("Base ",$M103," ",$K103," noches")))</f>
        <v/>
      </c>
      <c r="O103" s="239" t="str">
        <f>IFERROR((VLOOKUP($N103,Pricing!$D$2:$E$43,2,FALSE)),"")</f>
        <v/>
      </c>
      <c r="P103" s="196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71"/>
      <c r="AB103" s="272"/>
      <c r="AC103" s="272"/>
      <c r="AD103" s="272"/>
      <c r="AE103" s="272"/>
      <c r="AF103" s="272"/>
      <c r="AG103" s="272"/>
      <c r="AH103" s="272"/>
      <c r="AI103" s="267"/>
    </row>
    <row r="104" spans="1:35" x14ac:dyDescent="0.2">
      <c r="A104" s="208" t="str">
        <f>+IF(D104="","",CONCATENATE("GBL 00",Mantenedor!E103))</f>
        <v/>
      </c>
      <c r="B104" s="214"/>
      <c r="C104" s="215"/>
      <c r="D104" s="215"/>
      <c r="E104" s="215"/>
      <c r="F104" s="215"/>
      <c r="G104" s="215"/>
      <c r="H104" s="215"/>
      <c r="I104" s="216"/>
      <c r="J104" s="217"/>
      <c r="K104" s="218"/>
      <c r="L104" s="217" t="str">
        <f t="shared" si="1"/>
        <v/>
      </c>
      <c r="M104" s="240"/>
      <c r="N104" s="225" t="str">
        <f>IF($K104="","",IF($K104=1,CONCATENATE("Base ",$M104," ",$K104," noche"),CONCATENATE("Base ",$M104," ",$K104," noches")))</f>
        <v/>
      </c>
      <c r="O104" s="239" t="str">
        <f>IFERROR((VLOOKUP($N104,Pricing!$D$2:$E$43,2,FALSE)),"")</f>
        <v/>
      </c>
      <c r="P104" s="196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71"/>
      <c r="AB104" s="272"/>
      <c r="AC104" s="272"/>
      <c r="AD104" s="272"/>
      <c r="AE104" s="272"/>
      <c r="AF104" s="272"/>
      <c r="AG104" s="272"/>
      <c r="AH104" s="272"/>
      <c r="AI104" s="267"/>
    </row>
    <row r="105" spans="1:35" x14ac:dyDescent="0.2">
      <c r="A105" s="208" t="str">
        <f>+IF(D105="","",CONCATENATE("GBL 00",Mantenedor!E104))</f>
        <v/>
      </c>
      <c r="B105" s="214"/>
      <c r="C105" s="215"/>
      <c r="D105" s="215"/>
      <c r="E105" s="215"/>
      <c r="F105" s="215"/>
      <c r="G105" s="215"/>
      <c r="H105" s="215"/>
      <c r="I105" s="216"/>
      <c r="J105" s="217"/>
      <c r="K105" s="218"/>
      <c r="L105" s="217" t="str">
        <f t="shared" si="1"/>
        <v/>
      </c>
      <c r="M105" s="240"/>
      <c r="N105" s="225" t="str">
        <f>IF($K105="","",IF($K105=1,CONCATENATE("Base ",$M105," ",$K105," noche"),CONCATENATE("Base ",$M105," ",$K105," noches")))</f>
        <v/>
      </c>
      <c r="O105" s="239" t="str">
        <f>IFERROR((VLOOKUP($N105,Pricing!$D$2:$E$43,2,FALSE)),"")</f>
        <v/>
      </c>
      <c r="P105" s="196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71"/>
      <c r="AB105" s="272"/>
      <c r="AC105" s="272"/>
      <c r="AD105" s="272"/>
      <c r="AE105" s="272"/>
      <c r="AF105" s="272"/>
      <c r="AG105" s="272"/>
      <c r="AH105" s="272"/>
      <c r="AI105" s="267"/>
    </row>
    <row r="106" spans="1:35" x14ac:dyDescent="0.2">
      <c r="A106" s="208" t="str">
        <f>+IF(D106="","",CONCATENATE("GBL 00",Mantenedor!E105))</f>
        <v/>
      </c>
      <c r="B106" s="214"/>
      <c r="C106" s="215"/>
      <c r="D106" s="215"/>
      <c r="E106" s="215"/>
      <c r="F106" s="215"/>
      <c r="G106" s="215"/>
      <c r="H106" s="215"/>
      <c r="I106" s="216"/>
      <c r="J106" s="217"/>
      <c r="K106" s="218"/>
      <c r="L106" s="217" t="str">
        <f t="shared" si="1"/>
        <v/>
      </c>
      <c r="M106" s="240"/>
      <c r="N106" s="225" t="str">
        <f>IF($K106="","",IF($K106=1,CONCATENATE("Base ",$M106," ",$K106," noche"),CONCATENATE("Base ",$M106," ",$K106," noches")))</f>
        <v/>
      </c>
      <c r="O106" s="239" t="str">
        <f>IFERROR((VLOOKUP($N106,Pricing!$D$2:$E$43,2,FALSE)),"")</f>
        <v/>
      </c>
      <c r="P106" s="196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71"/>
      <c r="AB106" s="272"/>
      <c r="AC106" s="272"/>
      <c r="AD106" s="272"/>
      <c r="AE106" s="272"/>
      <c r="AF106" s="272"/>
      <c r="AG106" s="272"/>
      <c r="AH106" s="272"/>
      <c r="AI106" s="267"/>
    </row>
    <row r="107" spans="1:35" x14ac:dyDescent="0.2">
      <c r="A107" s="208" t="str">
        <f>+IF(D107="","",CONCATENATE("GBL 00",Mantenedor!E106))</f>
        <v/>
      </c>
      <c r="B107" s="214"/>
      <c r="C107" s="215"/>
      <c r="D107" s="215"/>
      <c r="E107" s="215"/>
      <c r="F107" s="215"/>
      <c r="G107" s="215"/>
      <c r="H107" s="215"/>
      <c r="I107" s="216"/>
      <c r="J107" s="217"/>
      <c r="K107" s="218"/>
      <c r="L107" s="217" t="str">
        <f t="shared" si="1"/>
        <v/>
      </c>
      <c r="M107" s="240"/>
      <c r="N107" s="225" t="str">
        <f>IF($K107="","",IF($K107=1,CONCATENATE("Base ",$M107," ",$K107," noche"),CONCATENATE("Base ",$M107," ",$K107," noches")))</f>
        <v/>
      </c>
      <c r="O107" s="239" t="str">
        <f>IFERROR((VLOOKUP($N107,Pricing!$D$2:$E$43,2,FALSE)),"")</f>
        <v/>
      </c>
      <c r="P107" s="196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  <c r="AA107" s="271"/>
      <c r="AB107" s="272"/>
      <c r="AC107" s="272"/>
      <c r="AD107" s="272"/>
      <c r="AE107" s="272"/>
      <c r="AF107" s="272"/>
      <c r="AG107" s="272"/>
      <c r="AH107" s="272"/>
      <c r="AI107" s="267"/>
    </row>
    <row r="108" spans="1:35" x14ac:dyDescent="0.2">
      <c r="A108" s="208" t="str">
        <f>+IF(D108="","",CONCATENATE("GBL 00",Mantenedor!E107))</f>
        <v/>
      </c>
      <c r="B108" s="214"/>
      <c r="C108" s="215"/>
      <c r="D108" s="215"/>
      <c r="E108" s="215"/>
      <c r="F108" s="215"/>
      <c r="G108" s="215"/>
      <c r="H108" s="215"/>
      <c r="I108" s="216"/>
      <c r="J108" s="217"/>
      <c r="K108" s="218"/>
      <c r="L108" s="217" t="str">
        <f t="shared" si="1"/>
        <v/>
      </c>
      <c r="M108" s="240"/>
      <c r="N108" s="225" t="str">
        <f>IF($K108="","",IF($K108=1,CONCATENATE("Base ",$M108," ",$K108," noche"),CONCATENATE("Base ",$M108," ",$K108," noches")))</f>
        <v/>
      </c>
      <c r="O108" s="239" t="str">
        <f>IFERROR((VLOOKUP($N108,Pricing!$D$2:$E$43,2,FALSE)),"")</f>
        <v/>
      </c>
      <c r="P108" s="196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  <c r="AA108" s="271"/>
      <c r="AB108" s="272"/>
      <c r="AC108" s="272"/>
      <c r="AD108" s="272"/>
      <c r="AE108" s="272"/>
      <c r="AF108" s="272"/>
      <c r="AG108" s="272"/>
      <c r="AH108" s="272"/>
      <c r="AI108" s="267"/>
    </row>
    <row r="109" spans="1:35" x14ac:dyDescent="0.2">
      <c r="A109" s="208" t="str">
        <f>+IF(D109="","",CONCATENATE("GBL 00",Mantenedor!E108))</f>
        <v/>
      </c>
      <c r="B109" s="214"/>
      <c r="C109" s="215"/>
      <c r="D109" s="215"/>
      <c r="E109" s="215"/>
      <c r="F109" s="215"/>
      <c r="G109" s="215"/>
      <c r="H109" s="215"/>
      <c r="I109" s="216"/>
      <c r="J109" s="217"/>
      <c r="K109" s="218"/>
      <c r="L109" s="217" t="str">
        <f t="shared" si="1"/>
        <v/>
      </c>
      <c r="M109" s="240"/>
      <c r="N109" s="225" t="str">
        <f>IF($K109="","",IF($K109=1,CONCATENATE("Base ",$M109," ",$K109," noche"),CONCATENATE("Base ",$M109," ",$K109," noches")))</f>
        <v/>
      </c>
      <c r="O109" s="239" t="str">
        <f>IFERROR((VLOOKUP($N109,Pricing!$D$2:$E$43,2,FALSE)),"")</f>
        <v/>
      </c>
      <c r="P109" s="196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71"/>
      <c r="AB109" s="272"/>
      <c r="AC109" s="272"/>
      <c r="AD109" s="272"/>
      <c r="AE109" s="272"/>
      <c r="AF109" s="272"/>
      <c r="AG109" s="272"/>
      <c r="AH109" s="272"/>
      <c r="AI109" s="267"/>
    </row>
    <row r="110" spans="1:35" x14ac:dyDescent="0.2">
      <c r="A110" s="208" t="str">
        <f>+IF(D110="","",CONCATENATE("GBL 00",Mantenedor!E109))</f>
        <v/>
      </c>
      <c r="B110" s="214"/>
      <c r="C110" s="215"/>
      <c r="D110" s="215"/>
      <c r="E110" s="215"/>
      <c r="F110" s="215"/>
      <c r="G110" s="215"/>
      <c r="H110" s="215"/>
      <c r="I110" s="216"/>
      <c r="J110" s="217"/>
      <c r="K110" s="218"/>
      <c r="L110" s="217" t="str">
        <f t="shared" si="1"/>
        <v/>
      </c>
      <c r="M110" s="240"/>
      <c r="N110" s="225" t="str">
        <f>IF($K110="","",IF($K110=1,CONCATENATE("Base ",$M110," ",$K110," noche"),CONCATENATE("Base ",$M110," ",$K110," noches")))</f>
        <v/>
      </c>
      <c r="O110" s="239" t="str">
        <f>IFERROR((VLOOKUP($N110,Pricing!$D$2:$E$43,2,FALSE)),"")</f>
        <v/>
      </c>
      <c r="P110" s="196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  <c r="AA110" s="271"/>
      <c r="AB110" s="272"/>
      <c r="AC110" s="272"/>
      <c r="AD110" s="272"/>
      <c r="AE110" s="272"/>
      <c r="AF110" s="272"/>
      <c r="AG110" s="272"/>
      <c r="AH110" s="272"/>
      <c r="AI110" s="267"/>
    </row>
    <row r="111" spans="1:35" x14ac:dyDescent="0.2">
      <c r="A111" s="208" t="str">
        <f>+IF(D111="","",CONCATENATE("GBL 00",Mantenedor!E110))</f>
        <v/>
      </c>
      <c r="B111" s="214"/>
      <c r="C111" s="215"/>
      <c r="D111" s="215"/>
      <c r="E111" s="215"/>
      <c r="F111" s="215"/>
      <c r="G111" s="215"/>
      <c r="H111" s="215"/>
      <c r="I111" s="216"/>
      <c r="J111" s="217"/>
      <c r="K111" s="218"/>
      <c r="L111" s="217" t="str">
        <f t="shared" si="1"/>
        <v/>
      </c>
      <c r="M111" s="240"/>
      <c r="N111" s="225" t="str">
        <f>IF($K111="","",IF($K111=1,CONCATENATE("Base ",$M111," ",$K111," noche"),CONCATENATE("Base ",$M111," ",$K111," noches")))</f>
        <v/>
      </c>
      <c r="O111" s="239" t="str">
        <f>IFERROR((VLOOKUP($N111,Pricing!$D$2:$E$43,2,FALSE)),"")</f>
        <v/>
      </c>
      <c r="P111" s="196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  <c r="AA111" s="271"/>
      <c r="AB111" s="272"/>
      <c r="AC111" s="272"/>
      <c r="AD111" s="272"/>
      <c r="AE111" s="272"/>
      <c r="AF111" s="272"/>
      <c r="AG111" s="272"/>
      <c r="AH111" s="272"/>
      <c r="AI111" s="267"/>
    </row>
    <row r="112" spans="1:35" x14ac:dyDescent="0.2">
      <c r="A112" s="208" t="str">
        <f>+IF(D112="","",CONCATENATE("GBL 00",Mantenedor!E111))</f>
        <v/>
      </c>
      <c r="B112" s="214"/>
      <c r="C112" s="215"/>
      <c r="D112" s="215"/>
      <c r="E112" s="215"/>
      <c r="F112" s="215"/>
      <c r="G112" s="215"/>
      <c r="H112" s="215"/>
      <c r="I112" s="216"/>
      <c r="J112" s="217"/>
      <c r="K112" s="218"/>
      <c r="L112" s="217" t="str">
        <f t="shared" si="1"/>
        <v/>
      </c>
      <c r="M112" s="240"/>
      <c r="N112" s="225" t="str">
        <f>IF($K112="","",IF($K112=1,CONCATENATE("Base ",$M112," ",$K112," noche"),CONCATENATE("Base ",$M112," ",$K112," noches")))</f>
        <v/>
      </c>
      <c r="O112" s="239" t="str">
        <f>IFERROR((VLOOKUP($N112,Pricing!$D$2:$E$43,2,FALSE)),"")</f>
        <v/>
      </c>
      <c r="P112" s="196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  <c r="AA112" s="271"/>
      <c r="AB112" s="272"/>
      <c r="AC112" s="272"/>
      <c r="AD112" s="272"/>
      <c r="AE112" s="272"/>
      <c r="AF112" s="272"/>
      <c r="AG112" s="272"/>
      <c r="AH112" s="272"/>
      <c r="AI112" s="267"/>
    </row>
    <row r="113" spans="1:35" x14ac:dyDescent="0.2">
      <c r="A113" s="208" t="str">
        <f>+IF(D113="","",CONCATENATE("GBL 00",Mantenedor!E112))</f>
        <v/>
      </c>
      <c r="B113" s="214"/>
      <c r="C113" s="215"/>
      <c r="D113" s="215"/>
      <c r="E113" s="215"/>
      <c r="F113" s="215"/>
      <c r="G113" s="215"/>
      <c r="H113" s="215"/>
      <c r="I113" s="216"/>
      <c r="J113" s="217"/>
      <c r="K113" s="218"/>
      <c r="L113" s="217" t="str">
        <f t="shared" si="1"/>
        <v/>
      </c>
      <c r="M113" s="240"/>
      <c r="N113" s="225" t="str">
        <f>IF($K113="","",IF($K113=1,CONCATENATE("Base ",$M113," ",$K113," noche"),CONCATENATE("Base ",$M113," ",$K113," noches")))</f>
        <v/>
      </c>
      <c r="O113" s="239" t="str">
        <f>IFERROR((VLOOKUP($N113,Pricing!$D$2:$E$43,2,FALSE)),"")</f>
        <v/>
      </c>
      <c r="P113" s="196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  <c r="AA113" s="271"/>
      <c r="AB113" s="272"/>
      <c r="AC113" s="272"/>
      <c r="AD113" s="272"/>
      <c r="AE113" s="272"/>
      <c r="AF113" s="272"/>
      <c r="AG113" s="272"/>
      <c r="AH113" s="272"/>
      <c r="AI113" s="267"/>
    </row>
    <row r="114" spans="1:35" x14ac:dyDescent="0.2">
      <c r="A114" s="208" t="str">
        <f>+IF(D114="","",CONCATENATE("GBL 00",Mantenedor!E113))</f>
        <v/>
      </c>
      <c r="B114" s="214"/>
      <c r="C114" s="215"/>
      <c r="D114" s="215"/>
      <c r="E114" s="215"/>
      <c r="F114" s="215"/>
      <c r="G114" s="215"/>
      <c r="H114" s="215"/>
      <c r="I114" s="216"/>
      <c r="J114" s="217"/>
      <c r="K114" s="218"/>
      <c r="L114" s="217" t="str">
        <f t="shared" si="1"/>
        <v/>
      </c>
      <c r="M114" s="240"/>
      <c r="N114" s="225" t="str">
        <f>IF($K114="","",IF($K114=1,CONCATENATE("Base ",$M114," ",$K114," noche"),CONCATENATE("Base ",$M114," ",$K114," noches")))</f>
        <v/>
      </c>
      <c r="O114" s="239" t="str">
        <f>IFERROR((VLOOKUP($N114,Pricing!$D$2:$E$43,2,FALSE)),"")</f>
        <v/>
      </c>
      <c r="P114" s="196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  <c r="AA114" s="271"/>
      <c r="AB114" s="272"/>
      <c r="AC114" s="272"/>
      <c r="AD114" s="272"/>
      <c r="AE114" s="272"/>
      <c r="AF114" s="272"/>
      <c r="AG114" s="272"/>
      <c r="AH114" s="272"/>
      <c r="AI114" s="267"/>
    </row>
    <row r="115" spans="1:35" x14ac:dyDescent="0.2">
      <c r="A115" s="208" t="str">
        <f>+IF(D115="","",CONCATENATE("GBL 00",Mantenedor!E114))</f>
        <v/>
      </c>
      <c r="B115" s="214"/>
      <c r="C115" s="215"/>
      <c r="D115" s="215"/>
      <c r="E115" s="215"/>
      <c r="F115" s="215"/>
      <c r="G115" s="215"/>
      <c r="H115" s="215"/>
      <c r="I115" s="216"/>
      <c r="J115" s="217"/>
      <c r="K115" s="218"/>
      <c r="L115" s="217" t="str">
        <f t="shared" si="1"/>
        <v/>
      </c>
      <c r="M115" s="240"/>
      <c r="N115" s="225" t="str">
        <f>IF($K115="","",IF($K115=1,CONCATENATE("Base ",$M115," ",$K115," noche"),CONCATENATE("Base ",$M115," ",$K115," noches")))</f>
        <v/>
      </c>
      <c r="O115" s="239" t="str">
        <f>IFERROR((VLOOKUP($N115,Pricing!$D$2:$E$43,2,FALSE)),"")</f>
        <v/>
      </c>
      <c r="P115" s="196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  <c r="AA115" s="271"/>
      <c r="AB115" s="272"/>
      <c r="AC115" s="272"/>
      <c r="AD115" s="272"/>
      <c r="AE115" s="272"/>
      <c r="AF115" s="272"/>
      <c r="AG115" s="272"/>
      <c r="AH115" s="272"/>
      <c r="AI115" s="267"/>
    </row>
    <row r="116" spans="1:35" x14ac:dyDescent="0.2">
      <c r="A116" s="208" t="str">
        <f>+IF(D116="","",CONCATENATE("GBL 00",Mantenedor!E115))</f>
        <v/>
      </c>
      <c r="B116" s="214"/>
      <c r="C116" s="215"/>
      <c r="D116" s="215"/>
      <c r="E116" s="215"/>
      <c r="F116" s="215"/>
      <c r="G116" s="215"/>
      <c r="H116" s="215"/>
      <c r="I116" s="216"/>
      <c r="J116" s="217"/>
      <c r="K116" s="218"/>
      <c r="L116" s="217" t="str">
        <f t="shared" si="1"/>
        <v/>
      </c>
      <c r="M116" s="240"/>
      <c r="N116" s="225" t="str">
        <f>IF($K116="","",IF($K116=1,CONCATENATE("Base ",$M116," ",$K116," noche"),CONCATENATE("Base ",$M116," ",$K116," noches")))</f>
        <v/>
      </c>
      <c r="O116" s="239" t="str">
        <f>IFERROR((VLOOKUP($N116,Pricing!$D$2:$E$43,2,FALSE)),"")</f>
        <v/>
      </c>
      <c r="P116" s="196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71"/>
      <c r="AB116" s="272"/>
      <c r="AC116" s="272"/>
      <c r="AD116" s="272"/>
      <c r="AE116" s="272"/>
      <c r="AF116" s="272"/>
      <c r="AG116" s="272"/>
      <c r="AH116" s="272"/>
      <c r="AI116" s="267"/>
    </row>
    <row r="117" spans="1:35" x14ac:dyDescent="0.2">
      <c r="A117" s="208" t="str">
        <f>+IF(D117="","",CONCATENATE("GBL 00",Mantenedor!E116))</f>
        <v/>
      </c>
      <c r="B117" s="214"/>
      <c r="C117" s="215"/>
      <c r="D117" s="215"/>
      <c r="E117" s="215"/>
      <c r="F117" s="215"/>
      <c r="G117" s="215"/>
      <c r="H117" s="215"/>
      <c r="I117" s="216"/>
      <c r="J117" s="217"/>
      <c r="K117" s="218"/>
      <c r="L117" s="217" t="str">
        <f t="shared" si="1"/>
        <v/>
      </c>
      <c r="M117" s="240"/>
      <c r="N117" s="225" t="str">
        <f>IF($K117="","",IF($K117=1,CONCATENATE("Base ",$M117," ",$K117," noche"),CONCATENATE("Base ",$M117," ",$K117," noches")))</f>
        <v/>
      </c>
      <c r="O117" s="239" t="str">
        <f>IFERROR((VLOOKUP($N117,Pricing!$D$2:$E$43,2,FALSE)),"")</f>
        <v/>
      </c>
      <c r="P117" s="196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  <c r="AA117" s="271"/>
      <c r="AB117" s="272"/>
      <c r="AC117" s="272"/>
      <c r="AD117" s="272"/>
      <c r="AE117" s="272"/>
      <c r="AF117" s="272"/>
      <c r="AG117" s="272"/>
      <c r="AH117" s="272"/>
      <c r="AI117" s="267"/>
    </row>
    <row r="118" spans="1:35" x14ac:dyDescent="0.2">
      <c r="A118" s="208" t="str">
        <f>+IF(D118="","",CONCATENATE("GBL 00",Mantenedor!E117))</f>
        <v/>
      </c>
      <c r="B118" s="214"/>
      <c r="C118" s="215"/>
      <c r="D118" s="215"/>
      <c r="E118" s="215"/>
      <c r="F118" s="215"/>
      <c r="G118" s="215"/>
      <c r="H118" s="215"/>
      <c r="I118" s="216"/>
      <c r="J118" s="217"/>
      <c r="K118" s="218"/>
      <c r="L118" s="217" t="str">
        <f t="shared" si="1"/>
        <v/>
      </c>
      <c r="M118" s="240"/>
      <c r="N118" s="225" t="str">
        <f>IF($K118="","",IF($K118=1,CONCATENATE("Base ",$M118," ",$K118," noche"),CONCATENATE("Base ",$M118," ",$K118," noches")))</f>
        <v/>
      </c>
      <c r="O118" s="239" t="str">
        <f>IFERROR((VLOOKUP($N118,Pricing!$D$2:$E$43,2,FALSE)),"")</f>
        <v/>
      </c>
      <c r="P118" s="196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71"/>
      <c r="AB118" s="272"/>
      <c r="AC118" s="272"/>
      <c r="AD118" s="272"/>
      <c r="AE118" s="272"/>
      <c r="AF118" s="272"/>
      <c r="AG118" s="272"/>
      <c r="AH118" s="272"/>
      <c r="AI118" s="267"/>
    </row>
    <row r="119" spans="1:35" x14ac:dyDescent="0.2">
      <c r="A119" s="208" t="str">
        <f>+IF(D119="","",CONCATENATE("GBL 00",Mantenedor!E118))</f>
        <v/>
      </c>
      <c r="B119" s="214"/>
      <c r="C119" s="215"/>
      <c r="D119" s="215"/>
      <c r="E119" s="215"/>
      <c r="F119" s="215"/>
      <c r="G119" s="215"/>
      <c r="H119" s="215"/>
      <c r="I119" s="216"/>
      <c r="J119" s="217"/>
      <c r="K119" s="218"/>
      <c r="L119" s="217" t="str">
        <f t="shared" si="1"/>
        <v/>
      </c>
      <c r="M119" s="240"/>
      <c r="N119" s="225" t="str">
        <f>IF($K119="","",IF($K119=1,CONCATENATE("Base ",$M119," ",$K119," noche"),CONCATENATE("Base ",$M119," ",$K119," noches")))</f>
        <v/>
      </c>
      <c r="O119" s="239" t="str">
        <f>IFERROR((VLOOKUP($N119,Pricing!$D$2:$E$43,2,FALSE)),"")</f>
        <v/>
      </c>
      <c r="P119" s="196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  <c r="AA119" s="271"/>
      <c r="AB119" s="272"/>
      <c r="AC119" s="272"/>
      <c r="AD119" s="272"/>
      <c r="AE119" s="272"/>
      <c r="AF119" s="272"/>
      <c r="AG119" s="272"/>
      <c r="AH119" s="272"/>
      <c r="AI119" s="267"/>
    </row>
    <row r="120" spans="1:35" x14ac:dyDescent="0.2">
      <c r="A120" s="208" t="str">
        <f>+IF(D120="","",CONCATENATE("GBL 00",Mantenedor!E119))</f>
        <v/>
      </c>
      <c r="B120" s="214"/>
      <c r="C120" s="215"/>
      <c r="D120" s="215"/>
      <c r="E120" s="215"/>
      <c r="F120" s="215"/>
      <c r="G120" s="215"/>
      <c r="H120" s="215"/>
      <c r="I120" s="216"/>
      <c r="J120" s="217"/>
      <c r="K120" s="218"/>
      <c r="L120" s="217" t="str">
        <f t="shared" si="1"/>
        <v/>
      </c>
      <c r="M120" s="240"/>
      <c r="N120" s="225" t="str">
        <f>IF($K120="","",IF($K120=1,CONCATENATE("Base ",$M120," ",$K120," noche"),CONCATENATE("Base ",$M120," ",$K120," noches")))</f>
        <v/>
      </c>
      <c r="O120" s="239" t="str">
        <f>IFERROR((VLOOKUP($N120,Pricing!$D$2:$E$43,2,FALSE)),"")</f>
        <v/>
      </c>
      <c r="P120" s="196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  <c r="AA120" s="271"/>
      <c r="AB120" s="272"/>
      <c r="AC120" s="272"/>
      <c r="AD120" s="272"/>
      <c r="AE120" s="272"/>
      <c r="AF120" s="272"/>
      <c r="AG120" s="272"/>
      <c r="AH120" s="272"/>
      <c r="AI120" s="267"/>
    </row>
    <row r="121" spans="1:35" x14ac:dyDescent="0.2">
      <c r="A121" s="208" t="str">
        <f>+IF(D121="","",CONCATENATE("GBL 00",Mantenedor!E120))</f>
        <v/>
      </c>
      <c r="B121" s="214"/>
      <c r="C121" s="215"/>
      <c r="D121" s="215"/>
      <c r="E121" s="215"/>
      <c r="F121" s="215"/>
      <c r="G121" s="215"/>
      <c r="H121" s="215"/>
      <c r="I121" s="216"/>
      <c r="J121" s="217"/>
      <c r="K121" s="218"/>
      <c r="L121" s="217" t="str">
        <f t="shared" si="1"/>
        <v/>
      </c>
      <c r="M121" s="240"/>
      <c r="N121" s="225" t="str">
        <f>IF($K121="","",IF($K121=1,CONCATENATE("Base ",$M121," ",$K121," noche"),CONCATENATE("Base ",$M121," ",$K121," noches")))</f>
        <v/>
      </c>
      <c r="O121" s="239" t="str">
        <f>IFERROR((VLOOKUP($N121,Pricing!$D$2:$E$43,2,FALSE)),"")</f>
        <v/>
      </c>
      <c r="P121" s="196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  <c r="AA121" s="271"/>
      <c r="AB121" s="272"/>
      <c r="AC121" s="272"/>
      <c r="AD121" s="272"/>
      <c r="AE121" s="272"/>
      <c r="AF121" s="272"/>
      <c r="AG121" s="272"/>
      <c r="AH121" s="272"/>
      <c r="AI121" s="267"/>
    </row>
    <row r="122" spans="1:35" x14ac:dyDescent="0.2">
      <c r="A122" s="208" t="str">
        <f>+IF(D122="","",CONCATENATE("GBL 00",Mantenedor!E121))</f>
        <v/>
      </c>
      <c r="B122" s="214"/>
      <c r="C122" s="215"/>
      <c r="D122" s="215"/>
      <c r="E122" s="215"/>
      <c r="F122" s="215"/>
      <c r="G122" s="215"/>
      <c r="H122" s="215"/>
      <c r="I122" s="216"/>
      <c r="J122" s="217"/>
      <c r="K122" s="218"/>
      <c r="L122" s="217" t="str">
        <f t="shared" si="1"/>
        <v/>
      </c>
      <c r="M122" s="240"/>
      <c r="N122" s="225" t="str">
        <f>IF($K122="","",IF($K122=1,CONCATENATE("Base ",$M122," ",$K122," noche"),CONCATENATE("Base ",$M122," ",$K122," noches")))</f>
        <v/>
      </c>
      <c r="O122" s="239" t="str">
        <f>IFERROR((VLOOKUP($N122,Pricing!$D$2:$E$43,2,FALSE)),"")</f>
        <v/>
      </c>
      <c r="P122" s="196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71"/>
      <c r="AB122" s="272"/>
      <c r="AC122" s="272"/>
      <c r="AD122" s="272"/>
      <c r="AE122" s="272"/>
      <c r="AF122" s="272"/>
      <c r="AG122" s="272"/>
      <c r="AH122" s="272"/>
      <c r="AI122" s="267"/>
    </row>
    <row r="123" spans="1:35" x14ac:dyDescent="0.2">
      <c r="A123" s="208" t="str">
        <f>+IF(D123="","",CONCATENATE("GBL 00",Mantenedor!E122))</f>
        <v/>
      </c>
      <c r="B123" s="214"/>
      <c r="C123" s="215"/>
      <c r="D123" s="215"/>
      <c r="E123" s="215"/>
      <c r="F123" s="215"/>
      <c r="G123" s="215"/>
      <c r="H123" s="215"/>
      <c r="I123" s="216"/>
      <c r="J123" s="217"/>
      <c r="K123" s="218"/>
      <c r="L123" s="217" t="str">
        <f t="shared" si="1"/>
        <v/>
      </c>
      <c r="M123" s="240"/>
      <c r="N123" s="225" t="str">
        <f>IF($K123="","",IF($K123=1,CONCATENATE("Base ",$M123," ",$K123," noche"),CONCATENATE("Base ",$M123," ",$K123," noches")))</f>
        <v/>
      </c>
      <c r="O123" s="239" t="str">
        <f>IFERROR((VLOOKUP($N123,Pricing!$D$2:$E$43,2,FALSE)),"")</f>
        <v/>
      </c>
      <c r="P123" s="196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71"/>
      <c r="AB123" s="272"/>
      <c r="AC123" s="272"/>
      <c r="AD123" s="272"/>
      <c r="AE123" s="272"/>
      <c r="AF123" s="272"/>
      <c r="AG123" s="272"/>
      <c r="AH123" s="272"/>
      <c r="AI123" s="267"/>
    </row>
    <row r="124" spans="1:35" x14ac:dyDescent="0.2">
      <c r="A124" s="208" t="str">
        <f>+IF(D124="","",CONCATENATE("GBL 00",Mantenedor!E123))</f>
        <v/>
      </c>
      <c r="B124" s="214"/>
      <c r="C124" s="215"/>
      <c r="D124" s="215"/>
      <c r="E124" s="215"/>
      <c r="F124" s="215"/>
      <c r="G124" s="215"/>
      <c r="H124" s="215"/>
      <c r="I124" s="216"/>
      <c r="J124" s="217"/>
      <c r="K124" s="218"/>
      <c r="L124" s="217" t="str">
        <f t="shared" si="1"/>
        <v/>
      </c>
      <c r="M124" s="240"/>
      <c r="N124" s="225" t="str">
        <f>IF($K124="","",IF($K124=1,CONCATENATE("Base ",$M124," ",$K124," noche"),CONCATENATE("Base ",$M124," ",$K124," noches")))</f>
        <v/>
      </c>
      <c r="O124" s="239" t="str">
        <f>IFERROR((VLOOKUP($N124,Pricing!$D$2:$E$43,2,FALSE)),"")</f>
        <v/>
      </c>
      <c r="P124" s="196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71"/>
      <c r="AB124" s="272"/>
      <c r="AC124" s="272"/>
      <c r="AD124" s="272"/>
      <c r="AE124" s="272"/>
      <c r="AF124" s="272"/>
      <c r="AG124" s="272"/>
      <c r="AH124" s="272"/>
      <c r="AI124" s="267"/>
    </row>
    <row r="125" spans="1:35" x14ac:dyDescent="0.2">
      <c r="A125" s="208" t="str">
        <f>+IF(D125="","",CONCATENATE("GBL 00",Mantenedor!E124))</f>
        <v/>
      </c>
      <c r="B125" s="214"/>
      <c r="C125" s="215"/>
      <c r="D125" s="215"/>
      <c r="E125" s="215"/>
      <c r="F125" s="215"/>
      <c r="G125" s="215"/>
      <c r="H125" s="215"/>
      <c r="I125" s="216"/>
      <c r="J125" s="217"/>
      <c r="K125" s="218"/>
      <c r="L125" s="217" t="str">
        <f t="shared" si="1"/>
        <v/>
      </c>
      <c r="M125" s="240"/>
      <c r="N125" s="225" t="str">
        <f>IF($K125="","",IF($K125=1,CONCATENATE("Base ",$M125," ",$K125," noche"),CONCATENATE("Base ",$M125," ",$K125," noches")))</f>
        <v/>
      </c>
      <c r="O125" s="239" t="str">
        <f>IFERROR((VLOOKUP($N125,Pricing!$D$2:$E$43,2,FALSE)),"")</f>
        <v/>
      </c>
      <c r="P125" s="196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71"/>
      <c r="AB125" s="272"/>
      <c r="AC125" s="272"/>
      <c r="AD125" s="272"/>
      <c r="AE125" s="272"/>
      <c r="AF125" s="272"/>
      <c r="AG125" s="272"/>
      <c r="AH125" s="272"/>
      <c r="AI125" s="267"/>
    </row>
    <row r="126" spans="1:35" x14ac:dyDescent="0.2">
      <c r="A126" s="208" t="str">
        <f>+IF(D126="","",CONCATENATE("GBL 00",Mantenedor!E125))</f>
        <v/>
      </c>
      <c r="B126" s="214"/>
      <c r="C126" s="215"/>
      <c r="D126" s="215"/>
      <c r="E126" s="215"/>
      <c r="F126" s="215"/>
      <c r="G126" s="215"/>
      <c r="H126" s="215"/>
      <c r="I126" s="216"/>
      <c r="J126" s="217"/>
      <c r="K126" s="218"/>
      <c r="L126" s="217" t="str">
        <f t="shared" si="1"/>
        <v/>
      </c>
      <c r="M126" s="240"/>
      <c r="N126" s="225" t="str">
        <f>IF($K126="","",IF($K126=1,CONCATENATE("Base ",$M126," ",$K126," noche"),CONCATENATE("Base ",$M126," ",$K126," noches")))</f>
        <v/>
      </c>
      <c r="O126" s="239" t="str">
        <f>IFERROR((VLOOKUP($N126,Pricing!$D$2:$E$43,2,FALSE)),"")</f>
        <v/>
      </c>
      <c r="P126" s="196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71"/>
      <c r="AB126" s="272"/>
      <c r="AC126" s="272"/>
      <c r="AD126" s="272"/>
      <c r="AE126" s="272"/>
      <c r="AF126" s="272"/>
      <c r="AG126" s="272"/>
      <c r="AH126" s="272"/>
      <c r="AI126" s="267"/>
    </row>
    <row r="127" spans="1:35" x14ac:dyDescent="0.2">
      <c r="A127" s="208" t="str">
        <f>+IF(D127="","",CONCATENATE("GBL 00",Mantenedor!E126))</f>
        <v/>
      </c>
      <c r="B127" s="214"/>
      <c r="C127" s="215"/>
      <c r="D127" s="215"/>
      <c r="E127" s="215"/>
      <c r="F127" s="215"/>
      <c r="G127" s="215"/>
      <c r="H127" s="215"/>
      <c r="I127" s="216"/>
      <c r="J127" s="217"/>
      <c r="K127" s="218"/>
      <c r="L127" s="217" t="str">
        <f t="shared" si="1"/>
        <v/>
      </c>
      <c r="M127" s="240"/>
      <c r="N127" s="225" t="str">
        <f>IF($K127="","",IF($K127=1,CONCATENATE("Base ",$M127," ",$K127," noche"),CONCATENATE("Base ",$M127," ",$K127," noches")))</f>
        <v/>
      </c>
      <c r="O127" s="239" t="str">
        <f>IFERROR((VLOOKUP($N127,Pricing!$D$2:$E$43,2,FALSE)),"")</f>
        <v/>
      </c>
      <c r="P127" s="196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  <c r="AA127" s="271"/>
      <c r="AB127" s="272"/>
      <c r="AC127" s="272"/>
      <c r="AD127" s="272"/>
      <c r="AE127" s="272"/>
      <c r="AF127" s="272"/>
      <c r="AG127" s="272"/>
      <c r="AH127" s="272"/>
      <c r="AI127" s="267"/>
    </row>
    <row r="128" spans="1:35" x14ac:dyDescent="0.2">
      <c r="A128" s="208" t="str">
        <f>+IF(D128="","",CONCATENATE("GBL 00",Mantenedor!E127))</f>
        <v/>
      </c>
      <c r="B128" s="214"/>
      <c r="C128" s="215"/>
      <c r="D128" s="215"/>
      <c r="E128" s="215"/>
      <c r="F128" s="215"/>
      <c r="G128" s="215"/>
      <c r="H128" s="215"/>
      <c r="I128" s="216"/>
      <c r="J128" s="217"/>
      <c r="K128" s="218"/>
      <c r="L128" s="217" t="str">
        <f t="shared" si="1"/>
        <v/>
      </c>
      <c r="M128" s="240"/>
      <c r="N128" s="225" t="str">
        <f>IF($K128="","",IF($K128=1,CONCATENATE("Base ",$M128," ",$K128," noche"),CONCATENATE("Base ",$M128," ",$K128," noches")))</f>
        <v/>
      </c>
      <c r="O128" s="239" t="str">
        <f>IFERROR((VLOOKUP($N128,Pricing!$D$2:$E$43,2,FALSE)),"")</f>
        <v/>
      </c>
      <c r="P128" s="196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  <c r="AA128" s="271"/>
      <c r="AB128" s="272"/>
      <c r="AC128" s="272"/>
      <c r="AD128" s="272"/>
      <c r="AE128" s="272"/>
      <c r="AF128" s="272"/>
      <c r="AG128" s="272"/>
      <c r="AH128" s="272"/>
      <c r="AI128" s="267"/>
    </row>
    <row r="129" spans="1:35" x14ac:dyDescent="0.2">
      <c r="A129" s="208" t="str">
        <f>+IF(D129="","",CONCATENATE("GBL 00",Mantenedor!E128))</f>
        <v/>
      </c>
      <c r="B129" s="214"/>
      <c r="C129" s="215"/>
      <c r="D129" s="215"/>
      <c r="E129" s="215"/>
      <c r="F129" s="215"/>
      <c r="G129" s="215"/>
      <c r="H129" s="215"/>
      <c r="I129" s="216"/>
      <c r="J129" s="217"/>
      <c r="K129" s="218"/>
      <c r="L129" s="217" t="str">
        <f t="shared" si="1"/>
        <v/>
      </c>
      <c r="M129" s="240"/>
      <c r="N129" s="225" t="str">
        <f>IF($K129="","",IF($K129=1,CONCATENATE("Base ",$M129," ",$K129," noche"),CONCATENATE("Base ",$M129," ",$K129," noches")))</f>
        <v/>
      </c>
      <c r="O129" s="239" t="str">
        <f>IFERROR((VLOOKUP($N129,Pricing!$D$2:$E$43,2,FALSE)),"")</f>
        <v/>
      </c>
      <c r="P129" s="196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  <c r="AA129" s="271"/>
      <c r="AB129" s="272"/>
      <c r="AC129" s="272"/>
      <c r="AD129" s="272"/>
      <c r="AE129" s="272"/>
      <c r="AF129" s="272"/>
      <c r="AG129" s="272"/>
      <c r="AH129" s="272"/>
      <c r="AI129" s="267"/>
    </row>
    <row r="130" spans="1:35" x14ac:dyDescent="0.2">
      <c r="A130" s="208" t="str">
        <f>+IF(D130="","",CONCATENATE("GBL 00",Mantenedor!E129))</f>
        <v/>
      </c>
      <c r="B130" s="214"/>
      <c r="C130" s="215"/>
      <c r="D130" s="215"/>
      <c r="E130" s="215"/>
      <c r="F130" s="215"/>
      <c r="G130" s="215"/>
      <c r="H130" s="215"/>
      <c r="I130" s="216"/>
      <c r="J130" s="217"/>
      <c r="K130" s="218"/>
      <c r="L130" s="217" t="str">
        <f t="shared" si="1"/>
        <v/>
      </c>
      <c r="M130" s="240"/>
      <c r="N130" s="225" t="str">
        <f>IF($K130="","",IF($K130=1,CONCATENATE("Base ",$M130," ",$K130," noche"),CONCATENATE("Base ",$M130," ",$K130," noches")))</f>
        <v/>
      </c>
      <c r="O130" s="239" t="str">
        <f>IFERROR((VLOOKUP($N130,Pricing!$D$2:$E$43,2,FALSE)),"")</f>
        <v/>
      </c>
      <c r="P130" s="196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71"/>
      <c r="AB130" s="272"/>
      <c r="AC130" s="272"/>
      <c r="AD130" s="272"/>
      <c r="AE130" s="272"/>
      <c r="AF130" s="272"/>
      <c r="AG130" s="272"/>
      <c r="AH130" s="272"/>
      <c r="AI130" s="267"/>
    </row>
    <row r="131" spans="1:35" x14ac:dyDescent="0.2">
      <c r="A131" s="208" t="str">
        <f>+IF(D131="","",CONCATENATE("GBL 00",Mantenedor!E130))</f>
        <v/>
      </c>
      <c r="B131" s="214"/>
      <c r="C131" s="215"/>
      <c r="D131" s="215"/>
      <c r="E131" s="215"/>
      <c r="F131" s="215"/>
      <c r="G131" s="215"/>
      <c r="H131" s="215"/>
      <c r="I131" s="216"/>
      <c r="J131" s="217"/>
      <c r="K131" s="218"/>
      <c r="L131" s="217" t="str">
        <f t="shared" si="1"/>
        <v/>
      </c>
      <c r="M131" s="240"/>
      <c r="N131" s="225" t="str">
        <f>IF($K131="","",IF($K131=1,CONCATENATE("Base ",$M131," ",$K131," noche"),CONCATENATE("Base ",$M131," ",$K131," noches")))</f>
        <v/>
      </c>
      <c r="O131" s="239" t="str">
        <f>IFERROR((VLOOKUP($N131,Pricing!$D$2:$E$43,2,FALSE)),"")</f>
        <v/>
      </c>
      <c r="P131" s="196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  <c r="AA131" s="271"/>
      <c r="AB131" s="272"/>
      <c r="AC131" s="272"/>
      <c r="AD131" s="272"/>
      <c r="AE131" s="272"/>
      <c r="AF131" s="272"/>
      <c r="AG131" s="272"/>
      <c r="AH131" s="272"/>
      <c r="AI131" s="267"/>
    </row>
    <row r="132" spans="1:35" x14ac:dyDescent="0.2">
      <c r="A132" s="208" t="str">
        <f>+IF(D132="","",CONCATENATE("GBL 00",Mantenedor!E131))</f>
        <v/>
      </c>
      <c r="B132" s="214"/>
      <c r="C132" s="215"/>
      <c r="D132" s="215"/>
      <c r="E132" s="215"/>
      <c r="F132" s="215"/>
      <c r="G132" s="215"/>
      <c r="H132" s="215"/>
      <c r="I132" s="216"/>
      <c r="J132" s="217"/>
      <c r="K132" s="218"/>
      <c r="L132" s="217" t="str">
        <f t="shared" ref="L132:L195" si="2">IF(K132="","",(J132+K132))</f>
        <v/>
      </c>
      <c r="M132" s="240"/>
      <c r="N132" s="225" t="str">
        <f>IF($K132="","",IF($K132=1,CONCATENATE("Base ",$M132," ",$K132," noche"),CONCATENATE("Base ",$M132," ",$K132," noches")))</f>
        <v/>
      </c>
      <c r="O132" s="239" t="str">
        <f>IFERROR((VLOOKUP($N132,Pricing!$D$2:$E$43,2,FALSE)),"")</f>
        <v/>
      </c>
      <c r="P132" s="196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  <c r="AA132" s="271"/>
      <c r="AB132" s="272"/>
      <c r="AC132" s="272"/>
      <c r="AD132" s="272"/>
      <c r="AE132" s="272"/>
      <c r="AF132" s="272"/>
      <c r="AG132" s="272"/>
      <c r="AH132" s="272"/>
      <c r="AI132" s="267"/>
    </row>
    <row r="133" spans="1:35" x14ac:dyDescent="0.2">
      <c r="A133" s="208" t="str">
        <f>+IF(D133="","",CONCATENATE("GBL 00",Mantenedor!E132))</f>
        <v/>
      </c>
      <c r="B133" s="214"/>
      <c r="C133" s="215"/>
      <c r="D133" s="215"/>
      <c r="E133" s="215"/>
      <c r="F133" s="215"/>
      <c r="G133" s="215"/>
      <c r="H133" s="215"/>
      <c r="I133" s="216"/>
      <c r="J133" s="217"/>
      <c r="K133" s="218"/>
      <c r="L133" s="217" t="str">
        <f t="shared" si="2"/>
        <v/>
      </c>
      <c r="M133" s="240"/>
      <c r="N133" s="225" t="str">
        <f>IF($K133="","",IF($K133=1,CONCATENATE("Base ",$M133," ",$K133," noche"),CONCATENATE("Base ",$M133," ",$K133," noches")))</f>
        <v/>
      </c>
      <c r="O133" s="239" t="str">
        <f>IFERROR((VLOOKUP($N133,Pricing!$D$2:$E$43,2,FALSE)),"")</f>
        <v/>
      </c>
      <c r="P133" s="196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  <c r="AA133" s="271"/>
      <c r="AB133" s="272"/>
      <c r="AC133" s="272"/>
      <c r="AD133" s="272"/>
      <c r="AE133" s="272"/>
      <c r="AF133" s="272"/>
      <c r="AG133" s="272"/>
      <c r="AH133" s="272"/>
      <c r="AI133" s="267"/>
    </row>
    <row r="134" spans="1:35" x14ac:dyDescent="0.2">
      <c r="A134" s="208" t="str">
        <f>+IF(D134="","",CONCATENATE("GBL 00",Mantenedor!E133))</f>
        <v/>
      </c>
      <c r="B134" s="214"/>
      <c r="C134" s="215"/>
      <c r="D134" s="215"/>
      <c r="E134" s="215"/>
      <c r="F134" s="215"/>
      <c r="G134" s="215"/>
      <c r="H134" s="215"/>
      <c r="I134" s="216"/>
      <c r="J134" s="217"/>
      <c r="K134" s="218"/>
      <c r="L134" s="217" t="str">
        <f t="shared" si="2"/>
        <v/>
      </c>
      <c r="M134" s="240"/>
      <c r="N134" s="225" t="str">
        <f>IF($K134="","",IF($K134=1,CONCATENATE("Base ",$M134," ",$K134," noche"),CONCATENATE("Base ",$M134," ",$K134," noches")))</f>
        <v/>
      </c>
      <c r="O134" s="239" t="str">
        <f>IFERROR((VLOOKUP($N134,Pricing!$D$2:$E$43,2,FALSE)),"")</f>
        <v/>
      </c>
      <c r="P134" s="196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71"/>
      <c r="AB134" s="272"/>
      <c r="AC134" s="272"/>
      <c r="AD134" s="272"/>
      <c r="AE134" s="272"/>
      <c r="AF134" s="272"/>
      <c r="AG134" s="272"/>
      <c r="AH134" s="272"/>
      <c r="AI134" s="267"/>
    </row>
    <row r="135" spans="1:35" x14ac:dyDescent="0.2">
      <c r="A135" s="208" t="str">
        <f>+IF(D135="","",CONCATENATE("GBL 00",Mantenedor!E134))</f>
        <v/>
      </c>
      <c r="B135" s="214"/>
      <c r="C135" s="215"/>
      <c r="D135" s="215"/>
      <c r="E135" s="215"/>
      <c r="F135" s="215"/>
      <c r="G135" s="215"/>
      <c r="H135" s="215"/>
      <c r="I135" s="216"/>
      <c r="J135" s="217"/>
      <c r="K135" s="218"/>
      <c r="L135" s="217" t="str">
        <f t="shared" si="2"/>
        <v/>
      </c>
      <c r="M135" s="240"/>
      <c r="N135" s="225" t="str">
        <f>IF($K135="","",IF($K135=1,CONCATENATE("Base ",$M135," ",$K135," noche"),CONCATENATE("Base ",$M135," ",$K135," noches")))</f>
        <v/>
      </c>
      <c r="O135" s="239" t="str">
        <f>IFERROR((VLOOKUP($N135,Pricing!$D$2:$E$43,2,FALSE)),"")</f>
        <v/>
      </c>
      <c r="P135" s="196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71"/>
      <c r="AB135" s="272"/>
      <c r="AC135" s="272"/>
      <c r="AD135" s="272"/>
      <c r="AE135" s="272"/>
      <c r="AF135" s="272"/>
      <c r="AG135" s="272"/>
      <c r="AH135" s="272"/>
      <c r="AI135" s="267"/>
    </row>
    <row r="136" spans="1:35" x14ac:dyDescent="0.2">
      <c r="A136" s="208" t="str">
        <f>+IF(D136="","",CONCATENATE("GBL 00",Mantenedor!E135))</f>
        <v/>
      </c>
      <c r="B136" s="214"/>
      <c r="C136" s="215"/>
      <c r="D136" s="215"/>
      <c r="E136" s="215"/>
      <c r="F136" s="215"/>
      <c r="G136" s="215"/>
      <c r="H136" s="215"/>
      <c r="I136" s="216"/>
      <c r="J136" s="217"/>
      <c r="K136" s="218"/>
      <c r="L136" s="217" t="str">
        <f t="shared" si="2"/>
        <v/>
      </c>
      <c r="M136" s="240"/>
      <c r="N136" s="225" t="str">
        <f>IF($K136="","",IF($K136=1,CONCATENATE("Base ",$M136," ",$K136," noche"),CONCATENATE("Base ",$M136," ",$K136," noches")))</f>
        <v/>
      </c>
      <c r="O136" s="239" t="str">
        <f>IFERROR((VLOOKUP($N136,Pricing!$D$2:$E$43,2,FALSE)),"")</f>
        <v/>
      </c>
      <c r="P136" s="196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71"/>
      <c r="AB136" s="272"/>
      <c r="AC136" s="272"/>
      <c r="AD136" s="272"/>
      <c r="AE136" s="272"/>
      <c r="AF136" s="272"/>
      <c r="AG136" s="272"/>
      <c r="AH136" s="272"/>
      <c r="AI136" s="267"/>
    </row>
    <row r="137" spans="1:35" x14ac:dyDescent="0.2">
      <c r="A137" s="208" t="str">
        <f>+IF(D137="","",CONCATENATE("GBL 00",Mantenedor!E136))</f>
        <v/>
      </c>
      <c r="B137" s="214"/>
      <c r="C137" s="215"/>
      <c r="D137" s="215"/>
      <c r="E137" s="215"/>
      <c r="F137" s="215"/>
      <c r="G137" s="215"/>
      <c r="H137" s="215"/>
      <c r="I137" s="216"/>
      <c r="J137" s="217"/>
      <c r="K137" s="218"/>
      <c r="L137" s="217" t="str">
        <f t="shared" si="2"/>
        <v/>
      </c>
      <c r="M137" s="240"/>
      <c r="N137" s="225" t="str">
        <f>IF($K137="","",IF($K137=1,CONCATENATE("Base ",$M137," ",$K137," noche"),CONCATENATE("Base ",$M137," ",$K137," noches")))</f>
        <v/>
      </c>
      <c r="O137" s="239" t="str">
        <f>IFERROR((VLOOKUP($N137,Pricing!$D$2:$E$43,2,FALSE)),"")</f>
        <v/>
      </c>
      <c r="P137" s="196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71"/>
      <c r="AB137" s="272"/>
      <c r="AC137" s="272"/>
      <c r="AD137" s="272"/>
      <c r="AE137" s="272"/>
      <c r="AF137" s="272"/>
      <c r="AG137" s="272"/>
      <c r="AH137" s="272"/>
      <c r="AI137" s="267"/>
    </row>
    <row r="138" spans="1:35" x14ac:dyDescent="0.2">
      <c r="A138" s="208" t="str">
        <f>+IF(D138="","",CONCATENATE("GBL 00",Mantenedor!E137))</f>
        <v/>
      </c>
      <c r="B138" s="214"/>
      <c r="C138" s="215"/>
      <c r="D138" s="215"/>
      <c r="E138" s="215"/>
      <c r="F138" s="215"/>
      <c r="G138" s="215"/>
      <c r="H138" s="215"/>
      <c r="I138" s="216"/>
      <c r="J138" s="217"/>
      <c r="K138" s="218"/>
      <c r="L138" s="217" t="str">
        <f t="shared" si="2"/>
        <v/>
      </c>
      <c r="M138" s="240"/>
      <c r="N138" s="225" t="str">
        <f>IF($K138="","",IF($K138=1,CONCATENATE("Base ",$M138," ",$K138," noche"),CONCATENATE("Base ",$M138," ",$K138," noches")))</f>
        <v/>
      </c>
      <c r="O138" s="239" t="str">
        <f>IFERROR((VLOOKUP($N138,Pricing!$D$2:$E$43,2,FALSE)),"")</f>
        <v/>
      </c>
      <c r="P138" s="196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71"/>
      <c r="AB138" s="272"/>
      <c r="AC138" s="272"/>
      <c r="AD138" s="272"/>
      <c r="AE138" s="272"/>
      <c r="AF138" s="272"/>
      <c r="AG138" s="272"/>
      <c r="AH138" s="272"/>
      <c r="AI138" s="267"/>
    </row>
    <row r="139" spans="1:35" x14ac:dyDescent="0.2">
      <c r="A139" s="208" t="str">
        <f>+IF(D139="","",CONCATENATE("GBL 00",Mantenedor!E138))</f>
        <v/>
      </c>
      <c r="B139" s="214"/>
      <c r="C139" s="215"/>
      <c r="D139" s="215"/>
      <c r="E139" s="215"/>
      <c r="F139" s="215"/>
      <c r="G139" s="215"/>
      <c r="H139" s="215"/>
      <c r="I139" s="216"/>
      <c r="J139" s="217"/>
      <c r="K139" s="218"/>
      <c r="L139" s="217" t="str">
        <f t="shared" si="2"/>
        <v/>
      </c>
      <c r="M139" s="240"/>
      <c r="N139" s="225" t="str">
        <f>IF($K139="","",IF($K139=1,CONCATENATE("Base ",$M139," ",$K139," noche"),CONCATENATE("Base ",$M139," ",$K139," noches")))</f>
        <v/>
      </c>
      <c r="O139" s="239" t="str">
        <f>IFERROR((VLOOKUP($N139,Pricing!$D$2:$E$43,2,FALSE)),"")</f>
        <v/>
      </c>
      <c r="P139" s="196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71"/>
      <c r="AB139" s="272"/>
      <c r="AC139" s="272"/>
      <c r="AD139" s="272"/>
      <c r="AE139" s="272"/>
      <c r="AF139" s="272"/>
      <c r="AG139" s="272"/>
      <c r="AH139" s="272"/>
      <c r="AI139" s="267"/>
    </row>
    <row r="140" spans="1:35" x14ac:dyDescent="0.2">
      <c r="A140" s="208" t="str">
        <f>+IF(D140="","",CONCATENATE("GBL 00",Mantenedor!E139))</f>
        <v/>
      </c>
      <c r="B140" s="214"/>
      <c r="C140" s="215"/>
      <c r="D140" s="215"/>
      <c r="E140" s="215"/>
      <c r="F140" s="215"/>
      <c r="G140" s="215"/>
      <c r="H140" s="215"/>
      <c r="I140" s="216"/>
      <c r="J140" s="217"/>
      <c r="K140" s="218"/>
      <c r="L140" s="217" t="str">
        <f t="shared" si="2"/>
        <v/>
      </c>
      <c r="M140" s="240"/>
      <c r="N140" s="225" t="str">
        <f>IF($K140="","",IF($K140=1,CONCATENATE("Base ",$M140," ",$K140," noche"),CONCATENATE("Base ",$M140," ",$K140," noches")))</f>
        <v/>
      </c>
      <c r="O140" s="239" t="str">
        <f>IFERROR((VLOOKUP($N140,Pricing!$D$2:$E$43,2,FALSE)),"")</f>
        <v/>
      </c>
      <c r="P140" s="196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71"/>
      <c r="AB140" s="272"/>
      <c r="AC140" s="272"/>
      <c r="AD140" s="272"/>
      <c r="AE140" s="272"/>
      <c r="AF140" s="272"/>
      <c r="AG140" s="272"/>
      <c r="AH140" s="272"/>
      <c r="AI140" s="267"/>
    </row>
    <row r="141" spans="1:35" x14ac:dyDescent="0.2">
      <c r="A141" s="208" t="str">
        <f>+IF(D141="","",CONCATENATE("GBL 00",Mantenedor!E140))</f>
        <v/>
      </c>
      <c r="B141" s="214"/>
      <c r="C141" s="215"/>
      <c r="D141" s="215"/>
      <c r="E141" s="215"/>
      <c r="F141" s="215"/>
      <c r="G141" s="215"/>
      <c r="H141" s="215"/>
      <c r="I141" s="216"/>
      <c r="J141" s="217"/>
      <c r="K141" s="218"/>
      <c r="L141" s="217" t="str">
        <f t="shared" si="2"/>
        <v/>
      </c>
      <c r="M141" s="240"/>
      <c r="N141" s="225" t="str">
        <f>IF($K141="","",IF($K141=1,CONCATENATE("Base ",$M141," ",$K141," noche"),CONCATENATE("Base ",$M141," ",$K141," noches")))</f>
        <v/>
      </c>
      <c r="O141" s="239" t="str">
        <f>IFERROR((VLOOKUP($N141,Pricing!$D$2:$E$43,2,FALSE)),"")</f>
        <v/>
      </c>
      <c r="P141" s="196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71"/>
      <c r="AB141" s="272"/>
      <c r="AC141" s="272"/>
      <c r="AD141" s="272"/>
      <c r="AE141" s="272"/>
      <c r="AF141" s="272"/>
      <c r="AG141" s="272"/>
      <c r="AH141" s="272"/>
      <c r="AI141" s="267"/>
    </row>
    <row r="142" spans="1:35" x14ac:dyDescent="0.2">
      <c r="A142" s="208" t="str">
        <f>+IF(D142="","",CONCATENATE("GBL 00",Mantenedor!E141))</f>
        <v/>
      </c>
      <c r="B142" s="214"/>
      <c r="C142" s="215"/>
      <c r="D142" s="215"/>
      <c r="E142" s="215"/>
      <c r="F142" s="215"/>
      <c r="G142" s="215"/>
      <c r="H142" s="215"/>
      <c r="I142" s="216"/>
      <c r="J142" s="217"/>
      <c r="K142" s="218"/>
      <c r="L142" s="217" t="str">
        <f t="shared" si="2"/>
        <v/>
      </c>
      <c r="M142" s="240"/>
      <c r="N142" s="225" t="str">
        <f>IF($K142="","",IF($K142=1,CONCATENATE("Base ",$M142," ",$K142," noche"),CONCATENATE("Base ",$M142," ",$K142," noches")))</f>
        <v/>
      </c>
      <c r="O142" s="239" t="str">
        <f>IFERROR((VLOOKUP($N142,Pricing!$D$2:$E$43,2,FALSE)),"")</f>
        <v/>
      </c>
      <c r="P142" s="196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71"/>
      <c r="AB142" s="272"/>
      <c r="AC142" s="272"/>
      <c r="AD142" s="272"/>
      <c r="AE142" s="272"/>
      <c r="AF142" s="272"/>
      <c r="AG142" s="272"/>
      <c r="AH142" s="272"/>
      <c r="AI142" s="267"/>
    </row>
    <row r="143" spans="1:35" x14ac:dyDescent="0.2">
      <c r="A143" s="208" t="str">
        <f>+IF(D143="","",CONCATENATE("GBL 00",Mantenedor!E142))</f>
        <v/>
      </c>
      <c r="B143" s="214"/>
      <c r="C143" s="215"/>
      <c r="D143" s="215"/>
      <c r="E143" s="215"/>
      <c r="F143" s="215"/>
      <c r="G143" s="215"/>
      <c r="H143" s="215"/>
      <c r="I143" s="216"/>
      <c r="J143" s="217"/>
      <c r="K143" s="218"/>
      <c r="L143" s="217" t="str">
        <f t="shared" si="2"/>
        <v/>
      </c>
      <c r="M143" s="240"/>
      <c r="N143" s="225" t="str">
        <f>IF($K143="","",IF($K143=1,CONCATENATE("Base ",$M143," ",$K143," noche"),CONCATENATE("Base ",$M143," ",$K143," noches")))</f>
        <v/>
      </c>
      <c r="O143" s="239" t="str">
        <f>IFERROR((VLOOKUP($N143,Pricing!$D$2:$E$43,2,FALSE)),"")</f>
        <v/>
      </c>
      <c r="P143" s="196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71"/>
      <c r="AB143" s="272"/>
      <c r="AC143" s="272"/>
      <c r="AD143" s="272"/>
      <c r="AE143" s="272"/>
      <c r="AF143" s="272"/>
      <c r="AG143" s="272"/>
      <c r="AH143" s="272"/>
      <c r="AI143" s="267"/>
    </row>
    <row r="144" spans="1:35" x14ac:dyDescent="0.2">
      <c r="A144" s="208" t="str">
        <f>+IF(D144="","",CONCATENATE("GBL 00",Mantenedor!E143))</f>
        <v/>
      </c>
      <c r="B144" s="214"/>
      <c r="C144" s="215"/>
      <c r="D144" s="215"/>
      <c r="E144" s="215"/>
      <c r="F144" s="215"/>
      <c r="G144" s="215"/>
      <c r="H144" s="215"/>
      <c r="I144" s="216"/>
      <c r="J144" s="217"/>
      <c r="K144" s="218"/>
      <c r="L144" s="217" t="str">
        <f t="shared" si="2"/>
        <v/>
      </c>
      <c r="M144" s="240"/>
      <c r="N144" s="225" t="str">
        <f>IF($K144="","",IF($K144=1,CONCATENATE("Base ",$M144," ",$K144," noche"),CONCATENATE("Base ",$M144," ",$K144," noches")))</f>
        <v/>
      </c>
      <c r="O144" s="239" t="str">
        <f>IFERROR((VLOOKUP($N144,Pricing!$D$2:$E$43,2,FALSE)),"")</f>
        <v/>
      </c>
      <c r="P144" s="196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71"/>
      <c r="AB144" s="272"/>
      <c r="AC144" s="272"/>
      <c r="AD144" s="272"/>
      <c r="AE144" s="272"/>
      <c r="AF144" s="272"/>
      <c r="AG144" s="272"/>
      <c r="AH144" s="272"/>
      <c r="AI144" s="267"/>
    </row>
    <row r="145" spans="1:35" x14ac:dyDescent="0.2">
      <c r="A145" s="208" t="str">
        <f>+IF(D145="","",CONCATENATE("GBL 00",Mantenedor!E144))</f>
        <v/>
      </c>
      <c r="B145" s="214"/>
      <c r="C145" s="215"/>
      <c r="D145" s="215"/>
      <c r="E145" s="215"/>
      <c r="F145" s="215"/>
      <c r="G145" s="215"/>
      <c r="H145" s="215"/>
      <c r="I145" s="216"/>
      <c r="J145" s="217"/>
      <c r="K145" s="218"/>
      <c r="L145" s="217" t="str">
        <f t="shared" si="2"/>
        <v/>
      </c>
      <c r="M145" s="240"/>
      <c r="N145" s="225" t="str">
        <f>IF($K145="","",IF($K145=1,CONCATENATE("Base ",$M145," ",$K145," noche"),CONCATENATE("Base ",$M145," ",$K145," noches")))</f>
        <v/>
      </c>
      <c r="O145" s="239" t="str">
        <f>IFERROR((VLOOKUP($N145,Pricing!$D$2:$E$43,2,FALSE)),"")</f>
        <v/>
      </c>
      <c r="P145" s="196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71"/>
      <c r="AB145" s="272"/>
      <c r="AC145" s="272"/>
      <c r="AD145" s="272"/>
      <c r="AE145" s="272"/>
      <c r="AF145" s="272"/>
      <c r="AG145" s="272"/>
      <c r="AH145" s="272"/>
      <c r="AI145" s="267"/>
    </row>
    <row r="146" spans="1:35" x14ac:dyDescent="0.2">
      <c r="A146" s="208" t="str">
        <f>+IF(D146="","",CONCATENATE("GBL 00",Mantenedor!E145))</f>
        <v/>
      </c>
      <c r="B146" s="214"/>
      <c r="C146" s="215"/>
      <c r="D146" s="215"/>
      <c r="E146" s="215"/>
      <c r="F146" s="215"/>
      <c r="G146" s="215"/>
      <c r="H146" s="215"/>
      <c r="I146" s="216"/>
      <c r="J146" s="217"/>
      <c r="K146" s="218"/>
      <c r="L146" s="217" t="str">
        <f t="shared" si="2"/>
        <v/>
      </c>
      <c r="M146" s="240"/>
      <c r="N146" s="225" t="str">
        <f>IF($K146="","",IF($K146=1,CONCATENATE("Base ",$M146," ",$K146," noche"),CONCATENATE("Base ",$M146," ",$K146," noches")))</f>
        <v/>
      </c>
      <c r="O146" s="239" t="str">
        <f>IFERROR((VLOOKUP($N146,Pricing!$D$2:$E$43,2,FALSE)),"")</f>
        <v/>
      </c>
      <c r="P146" s="196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71"/>
      <c r="AB146" s="272"/>
      <c r="AC146" s="272"/>
      <c r="AD146" s="272"/>
      <c r="AE146" s="272"/>
      <c r="AF146" s="272"/>
      <c r="AG146" s="272"/>
      <c r="AH146" s="272"/>
      <c r="AI146" s="267"/>
    </row>
    <row r="147" spans="1:35" x14ac:dyDescent="0.2">
      <c r="A147" s="208" t="str">
        <f>+IF(D147="","",CONCATENATE("GBL 00",Mantenedor!E146))</f>
        <v/>
      </c>
      <c r="B147" s="214"/>
      <c r="C147" s="215"/>
      <c r="D147" s="215"/>
      <c r="E147" s="215"/>
      <c r="F147" s="215"/>
      <c r="G147" s="215"/>
      <c r="H147" s="215"/>
      <c r="I147" s="216"/>
      <c r="J147" s="217"/>
      <c r="K147" s="218"/>
      <c r="L147" s="217" t="str">
        <f t="shared" si="2"/>
        <v/>
      </c>
      <c r="M147" s="240"/>
      <c r="N147" s="225" t="str">
        <f>IF($K147="","",IF($K147=1,CONCATENATE("Base ",$M147," ",$K147," noche"),CONCATENATE("Base ",$M147," ",$K147," noches")))</f>
        <v/>
      </c>
      <c r="O147" s="239" t="str">
        <f>IFERROR((VLOOKUP($N147,Pricing!$D$2:$E$43,2,FALSE)),"")</f>
        <v/>
      </c>
      <c r="P147" s="196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71"/>
      <c r="AB147" s="272"/>
      <c r="AC147" s="272"/>
      <c r="AD147" s="272"/>
      <c r="AE147" s="272"/>
      <c r="AF147" s="272"/>
      <c r="AG147" s="272"/>
      <c r="AH147" s="272"/>
      <c r="AI147" s="267"/>
    </row>
    <row r="148" spans="1:35" x14ac:dyDescent="0.2">
      <c r="A148" s="208" t="str">
        <f>+IF(D148="","",CONCATENATE("GBL 00",Mantenedor!E147))</f>
        <v/>
      </c>
      <c r="B148" s="214"/>
      <c r="C148" s="215"/>
      <c r="D148" s="215"/>
      <c r="E148" s="215"/>
      <c r="F148" s="215"/>
      <c r="G148" s="215"/>
      <c r="H148" s="215"/>
      <c r="I148" s="216"/>
      <c r="J148" s="217"/>
      <c r="K148" s="218"/>
      <c r="L148" s="217" t="str">
        <f t="shared" si="2"/>
        <v/>
      </c>
      <c r="M148" s="240"/>
      <c r="N148" s="225" t="str">
        <f>IF($K148="","",IF($K148=1,CONCATENATE("Base ",$M148," ",$K148," noche"),CONCATENATE("Base ",$M148," ",$K148," noches")))</f>
        <v/>
      </c>
      <c r="O148" s="239" t="str">
        <f>IFERROR((VLOOKUP($N148,Pricing!$D$2:$E$43,2,FALSE)),"")</f>
        <v/>
      </c>
      <c r="P148" s="196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  <c r="AA148" s="271"/>
      <c r="AB148" s="272"/>
      <c r="AC148" s="272"/>
      <c r="AD148" s="272"/>
      <c r="AE148" s="272"/>
      <c r="AF148" s="272"/>
      <c r="AG148" s="272"/>
      <c r="AH148" s="272"/>
      <c r="AI148" s="267"/>
    </row>
    <row r="149" spans="1:35" x14ac:dyDescent="0.2">
      <c r="A149" s="208" t="str">
        <f>+IF(D149="","",CONCATENATE("GBL 00",Mantenedor!E148))</f>
        <v/>
      </c>
      <c r="B149" s="214"/>
      <c r="C149" s="215"/>
      <c r="D149" s="215"/>
      <c r="E149" s="215"/>
      <c r="F149" s="215"/>
      <c r="G149" s="215"/>
      <c r="H149" s="215"/>
      <c r="I149" s="216"/>
      <c r="J149" s="217"/>
      <c r="K149" s="218"/>
      <c r="L149" s="217" t="str">
        <f t="shared" si="2"/>
        <v/>
      </c>
      <c r="M149" s="240"/>
      <c r="N149" s="225" t="str">
        <f>IF($K149="","",IF($K149=1,CONCATENATE("Base ",$M149," ",$K149," noche"),CONCATENATE("Base ",$M149," ",$K149," noches")))</f>
        <v/>
      </c>
      <c r="O149" s="239" t="str">
        <f>IFERROR((VLOOKUP($N149,Pricing!$D$2:$E$43,2,FALSE)),"")</f>
        <v/>
      </c>
      <c r="P149" s="196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  <c r="AA149" s="271"/>
      <c r="AB149" s="272"/>
      <c r="AC149" s="272"/>
      <c r="AD149" s="272"/>
      <c r="AE149" s="272"/>
      <c r="AF149" s="272"/>
      <c r="AG149" s="272"/>
      <c r="AH149" s="272"/>
      <c r="AI149" s="267"/>
    </row>
    <row r="150" spans="1:35" x14ac:dyDescent="0.2">
      <c r="A150" s="208" t="str">
        <f>+IF(D150="","",CONCATENATE("GBL 00",Mantenedor!E149))</f>
        <v/>
      </c>
      <c r="B150" s="214"/>
      <c r="C150" s="215"/>
      <c r="D150" s="215"/>
      <c r="E150" s="215"/>
      <c r="F150" s="215"/>
      <c r="G150" s="215"/>
      <c r="H150" s="215"/>
      <c r="I150" s="216"/>
      <c r="J150" s="217"/>
      <c r="K150" s="218"/>
      <c r="L150" s="217" t="str">
        <f t="shared" si="2"/>
        <v/>
      </c>
      <c r="M150" s="240"/>
      <c r="N150" s="225" t="str">
        <f>IF($K150="","",IF($K150=1,CONCATENATE("Base ",$M150," ",$K150," noche"),CONCATENATE("Base ",$M150," ",$K150," noches")))</f>
        <v/>
      </c>
      <c r="O150" s="239" t="str">
        <f>IFERROR((VLOOKUP($N150,Pricing!$D$2:$E$43,2,FALSE)),"")</f>
        <v/>
      </c>
      <c r="P150" s="196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71"/>
      <c r="AB150" s="272"/>
      <c r="AC150" s="272"/>
      <c r="AD150" s="272"/>
      <c r="AE150" s="272"/>
      <c r="AF150" s="272"/>
      <c r="AG150" s="272"/>
      <c r="AH150" s="272"/>
      <c r="AI150" s="267"/>
    </row>
    <row r="151" spans="1:35" x14ac:dyDescent="0.2">
      <c r="A151" s="208" t="str">
        <f>+IF(D151="","",CONCATENATE("GBL 00",Mantenedor!E150))</f>
        <v/>
      </c>
      <c r="B151" s="214"/>
      <c r="C151" s="215"/>
      <c r="D151" s="215"/>
      <c r="E151" s="215"/>
      <c r="F151" s="215"/>
      <c r="G151" s="215"/>
      <c r="H151" s="215"/>
      <c r="I151" s="216"/>
      <c r="J151" s="217"/>
      <c r="K151" s="218"/>
      <c r="L151" s="217" t="str">
        <f t="shared" si="2"/>
        <v/>
      </c>
      <c r="M151" s="240"/>
      <c r="N151" s="225" t="str">
        <f>IF($K151="","",IF($K151=1,CONCATENATE("Base ",$M151," ",$K151," noche"),CONCATENATE("Base ",$M151," ",$K151," noches")))</f>
        <v/>
      </c>
      <c r="O151" s="239" t="str">
        <f>IFERROR((VLOOKUP($N151,Pricing!$D$2:$E$43,2,FALSE)),"")</f>
        <v/>
      </c>
      <c r="P151" s="196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  <c r="AA151" s="271"/>
      <c r="AB151" s="272"/>
      <c r="AC151" s="272"/>
      <c r="AD151" s="272"/>
      <c r="AE151" s="272"/>
      <c r="AF151" s="272"/>
      <c r="AG151" s="272"/>
      <c r="AH151" s="272"/>
      <c r="AI151" s="267"/>
    </row>
    <row r="152" spans="1:35" x14ac:dyDescent="0.2">
      <c r="A152" s="208" t="str">
        <f>+IF(D152="","",CONCATENATE("GBL 00",Mantenedor!E151))</f>
        <v/>
      </c>
      <c r="B152" s="214"/>
      <c r="C152" s="215"/>
      <c r="D152" s="215"/>
      <c r="E152" s="215"/>
      <c r="F152" s="215"/>
      <c r="G152" s="215"/>
      <c r="H152" s="215"/>
      <c r="I152" s="216"/>
      <c r="J152" s="217"/>
      <c r="K152" s="218"/>
      <c r="L152" s="217" t="str">
        <f t="shared" si="2"/>
        <v/>
      </c>
      <c r="M152" s="240"/>
      <c r="N152" s="225" t="str">
        <f>IF($K152="","",IF($K152=1,CONCATENATE("Base ",$M152," ",$K152," noche"),CONCATENATE("Base ",$M152," ",$K152," noches")))</f>
        <v/>
      </c>
      <c r="O152" s="239" t="str">
        <f>IFERROR((VLOOKUP($N152,Pricing!$D$2:$E$43,2,FALSE)),"")</f>
        <v/>
      </c>
      <c r="P152" s="196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  <c r="AA152" s="271"/>
      <c r="AB152" s="272"/>
      <c r="AC152" s="272"/>
      <c r="AD152" s="272"/>
      <c r="AE152" s="272"/>
      <c r="AF152" s="272"/>
      <c r="AG152" s="272"/>
      <c r="AH152" s="272"/>
      <c r="AI152" s="267"/>
    </row>
    <row r="153" spans="1:35" x14ac:dyDescent="0.2">
      <c r="A153" s="208" t="str">
        <f>+IF(D153="","",CONCATENATE("GBL 00",Mantenedor!E152))</f>
        <v/>
      </c>
      <c r="B153" s="214"/>
      <c r="C153" s="215"/>
      <c r="D153" s="215"/>
      <c r="E153" s="215"/>
      <c r="F153" s="215"/>
      <c r="G153" s="215"/>
      <c r="H153" s="215"/>
      <c r="I153" s="216"/>
      <c r="J153" s="217"/>
      <c r="K153" s="218"/>
      <c r="L153" s="217" t="str">
        <f t="shared" si="2"/>
        <v/>
      </c>
      <c r="M153" s="240"/>
      <c r="N153" s="225" t="str">
        <f>IF($K153="","",IF($K153=1,CONCATENATE("Base ",$M153," ",$K153," noche"),CONCATENATE("Base ",$M153," ",$K153," noches")))</f>
        <v/>
      </c>
      <c r="O153" s="239" t="str">
        <f>IFERROR((VLOOKUP($N153,Pricing!$D$2:$E$43,2,FALSE)),"")</f>
        <v/>
      </c>
      <c r="P153" s="196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71"/>
      <c r="AB153" s="272"/>
      <c r="AC153" s="272"/>
      <c r="AD153" s="272"/>
      <c r="AE153" s="272"/>
      <c r="AF153" s="272"/>
      <c r="AG153" s="272"/>
      <c r="AH153" s="272"/>
      <c r="AI153" s="267"/>
    </row>
    <row r="154" spans="1:35" x14ac:dyDescent="0.2">
      <c r="A154" s="208" t="str">
        <f>+IF(D154="","",CONCATENATE("GBL 00",Mantenedor!E153))</f>
        <v/>
      </c>
      <c r="B154" s="214"/>
      <c r="C154" s="215"/>
      <c r="D154" s="215"/>
      <c r="E154" s="215"/>
      <c r="F154" s="215"/>
      <c r="G154" s="215"/>
      <c r="H154" s="215"/>
      <c r="I154" s="216"/>
      <c r="J154" s="217"/>
      <c r="K154" s="218"/>
      <c r="L154" s="217" t="str">
        <f t="shared" si="2"/>
        <v/>
      </c>
      <c r="M154" s="240"/>
      <c r="N154" s="225" t="str">
        <f>IF($K154="","",IF($K154=1,CONCATENATE("Base ",$M154," ",$K154," noche"),CONCATENATE("Base ",$M154," ",$K154," noches")))</f>
        <v/>
      </c>
      <c r="O154" s="239" t="str">
        <f>IFERROR((VLOOKUP($N154,Pricing!$D$2:$E$43,2,FALSE)),"")</f>
        <v/>
      </c>
      <c r="P154" s="196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71"/>
      <c r="AB154" s="272"/>
      <c r="AC154" s="272"/>
      <c r="AD154" s="272"/>
      <c r="AE154" s="272"/>
      <c r="AF154" s="272"/>
      <c r="AG154" s="272"/>
      <c r="AH154" s="272"/>
      <c r="AI154" s="267"/>
    </row>
    <row r="155" spans="1:35" x14ac:dyDescent="0.2">
      <c r="A155" s="208" t="str">
        <f>+IF(D155="","",CONCATENATE("GBL 00",Mantenedor!E154))</f>
        <v/>
      </c>
      <c r="B155" s="214"/>
      <c r="C155" s="215"/>
      <c r="D155" s="215"/>
      <c r="E155" s="215"/>
      <c r="F155" s="215"/>
      <c r="G155" s="215"/>
      <c r="H155" s="215"/>
      <c r="I155" s="216"/>
      <c r="J155" s="217"/>
      <c r="K155" s="218"/>
      <c r="L155" s="217" t="str">
        <f t="shared" si="2"/>
        <v/>
      </c>
      <c r="M155" s="240"/>
      <c r="N155" s="225" t="str">
        <f>IF($K155="","",IF($K155=1,CONCATENATE("Base ",$M155," ",$K155," noche"),CONCATENATE("Base ",$M155," ",$K155," noches")))</f>
        <v/>
      </c>
      <c r="O155" s="239" t="str">
        <f>IFERROR((VLOOKUP($N155,Pricing!$D$2:$E$43,2,FALSE)),"")</f>
        <v/>
      </c>
      <c r="P155" s="196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  <c r="AA155" s="271"/>
      <c r="AB155" s="272"/>
      <c r="AC155" s="272"/>
      <c r="AD155" s="272"/>
      <c r="AE155" s="272"/>
      <c r="AF155" s="272"/>
      <c r="AG155" s="272"/>
      <c r="AH155" s="272"/>
      <c r="AI155" s="267"/>
    </row>
    <row r="156" spans="1:35" x14ac:dyDescent="0.2">
      <c r="A156" s="208" t="str">
        <f>+IF(D156="","",CONCATENATE("GBL 00",Mantenedor!E155))</f>
        <v/>
      </c>
      <c r="B156" s="214"/>
      <c r="C156" s="215"/>
      <c r="D156" s="215"/>
      <c r="E156" s="215"/>
      <c r="F156" s="215"/>
      <c r="G156" s="215"/>
      <c r="H156" s="215"/>
      <c r="I156" s="216"/>
      <c r="J156" s="217"/>
      <c r="K156" s="218"/>
      <c r="L156" s="217" t="str">
        <f t="shared" si="2"/>
        <v/>
      </c>
      <c r="M156" s="240"/>
      <c r="N156" s="225" t="str">
        <f>IF($K156="","",IF($K156=1,CONCATENATE("Base ",$M156," ",$K156," noche"),CONCATENATE("Base ",$M156," ",$K156," noches")))</f>
        <v/>
      </c>
      <c r="O156" s="239" t="str">
        <f>IFERROR((VLOOKUP($N156,Pricing!$D$2:$E$43,2,FALSE)),"")</f>
        <v/>
      </c>
      <c r="P156" s="196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  <c r="AA156" s="271"/>
      <c r="AB156" s="272"/>
      <c r="AC156" s="272"/>
      <c r="AD156" s="272"/>
      <c r="AE156" s="272"/>
      <c r="AF156" s="272"/>
      <c r="AG156" s="272"/>
      <c r="AH156" s="272"/>
      <c r="AI156" s="267"/>
    </row>
    <row r="157" spans="1:35" x14ac:dyDescent="0.2">
      <c r="A157" s="208" t="str">
        <f>+IF(D157="","",CONCATENATE("GBL 00",Mantenedor!E156))</f>
        <v/>
      </c>
      <c r="B157" s="214"/>
      <c r="C157" s="215"/>
      <c r="D157" s="215"/>
      <c r="E157" s="215"/>
      <c r="F157" s="215"/>
      <c r="G157" s="215"/>
      <c r="H157" s="215"/>
      <c r="I157" s="216"/>
      <c r="J157" s="217"/>
      <c r="K157" s="218"/>
      <c r="L157" s="217" t="str">
        <f t="shared" si="2"/>
        <v/>
      </c>
      <c r="M157" s="240"/>
      <c r="N157" s="225" t="str">
        <f>IF($K157="","",IF($K157=1,CONCATENATE("Base ",$M157," ",$K157," noche"),CONCATENATE("Base ",$M157," ",$K157," noches")))</f>
        <v/>
      </c>
      <c r="O157" s="239" t="str">
        <f>IFERROR((VLOOKUP($N157,Pricing!$D$2:$E$43,2,FALSE)),"")</f>
        <v/>
      </c>
      <c r="P157" s="196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  <c r="AA157" s="271"/>
      <c r="AB157" s="272"/>
      <c r="AC157" s="272"/>
      <c r="AD157" s="272"/>
      <c r="AE157" s="272"/>
      <c r="AF157" s="272"/>
      <c r="AG157" s="272"/>
      <c r="AH157" s="272"/>
      <c r="AI157" s="267"/>
    </row>
    <row r="158" spans="1:35" x14ac:dyDescent="0.2">
      <c r="A158" s="208" t="str">
        <f>+IF(D158="","",CONCATENATE("GBL 00",Mantenedor!E157))</f>
        <v/>
      </c>
      <c r="B158" s="214"/>
      <c r="C158" s="215"/>
      <c r="D158" s="215"/>
      <c r="E158" s="215"/>
      <c r="F158" s="215"/>
      <c r="G158" s="215"/>
      <c r="H158" s="215"/>
      <c r="I158" s="216"/>
      <c r="J158" s="217"/>
      <c r="K158" s="218"/>
      <c r="L158" s="217" t="str">
        <f t="shared" si="2"/>
        <v/>
      </c>
      <c r="M158" s="240"/>
      <c r="N158" s="225" t="str">
        <f>IF($K158="","",IF($K158=1,CONCATENATE("Base ",$M158," ",$K158," noche"),CONCATENATE("Base ",$M158," ",$K158," noches")))</f>
        <v/>
      </c>
      <c r="O158" s="239" t="str">
        <f>IFERROR((VLOOKUP($N158,Pricing!$D$2:$E$43,2,FALSE)),"")</f>
        <v/>
      </c>
      <c r="P158" s="196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  <c r="AA158" s="271"/>
      <c r="AB158" s="272"/>
      <c r="AC158" s="272"/>
      <c r="AD158" s="272"/>
      <c r="AE158" s="272"/>
      <c r="AF158" s="272"/>
      <c r="AG158" s="272"/>
      <c r="AH158" s="272"/>
      <c r="AI158" s="267"/>
    </row>
    <row r="159" spans="1:35" x14ac:dyDescent="0.2">
      <c r="A159" s="208" t="str">
        <f>+IF(D159="","",CONCATENATE("GBL 00",Mantenedor!E158))</f>
        <v/>
      </c>
      <c r="B159" s="214"/>
      <c r="C159" s="215"/>
      <c r="D159" s="215"/>
      <c r="E159" s="215"/>
      <c r="F159" s="215"/>
      <c r="G159" s="215"/>
      <c r="H159" s="215"/>
      <c r="I159" s="216"/>
      <c r="J159" s="217"/>
      <c r="K159" s="218"/>
      <c r="L159" s="217" t="str">
        <f t="shared" si="2"/>
        <v/>
      </c>
      <c r="M159" s="240"/>
      <c r="N159" s="225" t="str">
        <f>IF($K159="","",IF($K159=1,CONCATENATE("Base ",$M159," ",$K159," noche"),CONCATENATE("Base ",$M159," ",$K159," noches")))</f>
        <v/>
      </c>
      <c r="O159" s="239" t="str">
        <f>IFERROR((VLOOKUP($N159,Pricing!$D$2:$E$43,2,FALSE)),"")</f>
        <v/>
      </c>
      <c r="P159" s="196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  <c r="AA159" s="271"/>
      <c r="AB159" s="272"/>
      <c r="AC159" s="272"/>
      <c r="AD159" s="272"/>
      <c r="AE159" s="272"/>
      <c r="AF159" s="272"/>
      <c r="AG159" s="272"/>
      <c r="AH159" s="272"/>
      <c r="AI159" s="267"/>
    </row>
    <row r="160" spans="1:35" x14ac:dyDescent="0.2">
      <c r="A160" s="208" t="str">
        <f>+IF(D160="","",CONCATENATE("GBL 00",Mantenedor!E159))</f>
        <v/>
      </c>
      <c r="B160" s="214"/>
      <c r="C160" s="215"/>
      <c r="D160" s="215"/>
      <c r="E160" s="215"/>
      <c r="F160" s="215"/>
      <c r="G160" s="215"/>
      <c r="H160" s="215"/>
      <c r="I160" s="216"/>
      <c r="J160" s="217"/>
      <c r="K160" s="218"/>
      <c r="L160" s="217" t="str">
        <f t="shared" si="2"/>
        <v/>
      </c>
      <c r="M160" s="240"/>
      <c r="N160" s="225" t="str">
        <f>IF($K160="","",IF($K160=1,CONCATENATE("Base ",$M160," ",$K160," noche"),CONCATENATE("Base ",$M160," ",$K160," noches")))</f>
        <v/>
      </c>
      <c r="O160" s="239" t="str">
        <f>IFERROR((VLOOKUP($N160,Pricing!$D$2:$E$43,2,FALSE)),"")</f>
        <v/>
      </c>
      <c r="P160" s="196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  <c r="AA160" s="271"/>
      <c r="AB160" s="272"/>
      <c r="AC160" s="272"/>
      <c r="AD160" s="272"/>
      <c r="AE160" s="272"/>
      <c r="AF160" s="272"/>
      <c r="AG160" s="272"/>
      <c r="AH160" s="272"/>
      <c r="AI160" s="267"/>
    </row>
    <row r="161" spans="1:35" x14ac:dyDescent="0.2">
      <c r="A161" s="208" t="str">
        <f>+IF(D161="","",CONCATENATE("GBL 00",Mantenedor!E160))</f>
        <v/>
      </c>
      <c r="B161" s="214"/>
      <c r="C161" s="215"/>
      <c r="D161" s="215"/>
      <c r="E161" s="215"/>
      <c r="F161" s="215"/>
      <c r="G161" s="215"/>
      <c r="H161" s="215"/>
      <c r="I161" s="216"/>
      <c r="J161" s="217"/>
      <c r="K161" s="218"/>
      <c r="L161" s="217" t="str">
        <f t="shared" si="2"/>
        <v/>
      </c>
      <c r="M161" s="240"/>
      <c r="N161" s="225" t="str">
        <f>IF($K161="","",IF($K161=1,CONCATENATE("Base ",$M161," ",$K161," noche"),CONCATENATE("Base ",$M161," ",$K161," noches")))</f>
        <v/>
      </c>
      <c r="O161" s="239" t="str">
        <f>IFERROR((VLOOKUP($N161,Pricing!$D$2:$E$43,2,FALSE)),"")</f>
        <v/>
      </c>
      <c r="P161" s="196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71"/>
      <c r="AB161" s="272"/>
      <c r="AC161" s="272"/>
      <c r="AD161" s="272"/>
      <c r="AE161" s="272"/>
      <c r="AF161" s="272"/>
      <c r="AG161" s="272"/>
      <c r="AH161" s="272"/>
      <c r="AI161" s="267"/>
    </row>
    <row r="162" spans="1:35" x14ac:dyDescent="0.2">
      <c r="A162" s="208" t="str">
        <f>+IF(D162="","",CONCATENATE("GBL 00",Mantenedor!E161))</f>
        <v/>
      </c>
      <c r="B162" s="214"/>
      <c r="C162" s="215"/>
      <c r="D162" s="215"/>
      <c r="E162" s="215"/>
      <c r="F162" s="215"/>
      <c r="G162" s="215"/>
      <c r="H162" s="215"/>
      <c r="I162" s="216"/>
      <c r="J162" s="217"/>
      <c r="K162" s="218"/>
      <c r="L162" s="217" t="str">
        <f t="shared" si="2"/>
        <v/>
      </c>
      <c r="M162" s="240"/>
      <c r="N162" s="225" t="str">
        <f>IF($K162="","",IF($K162=1,CONCATENATE("Base ",$M162," ",$K162," noche"),CONCATENATE("Base ",$M162," ",$K162," noches")))</f>
        <v/>
      </c>
      <c r="O162" s="239" t="str">
        <f>IFERROR((VLOOKUP($N162,Pricing!$D$2:$E$43,2,FALSE)),"")</f>
        <v/>
      </c>
      <c r="P162" s="196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71"/>
      <c r="AB162" s="272"/>
      <c r="AC162" s="272"/>
      <c r="AD162" s="272"/>
      <c r="AE162" s="272"/>
      <c r="AF162" s="272"/>
      <c r="AG162" s="272"/>
      <c r="AH162" s="272"/>
      <c r="AI162" s="267"/>
    </row>
    <row r="163" spans="1:35" x14ac:dyDescent="0.2">
      <c r="A163" s="208" t="str">
        <f>+IF(D163="","",CONCATENATE("GBL 00",Mantenedor!E162))</f>
        <v/>
      </c>
      <c r="B163" s="214"/>
      <c r="C163" s="215"/>
      <c r="D163" s="215"/>
      <c r="E163" s="215"/>
      <c r="F163" s="215"/>
      <c r="G163" s="215"/>
      <c r="H163" s="215"/>
      <c r="I163" s="216"/>
      <c r="J163" s="217"/>
      <c r="K163" s="218"/>
      <c r="L163" s="217" t="str">
        <f t="shared" si="2"/>
        <v/>
      </c>
      <c r="M163" s="240"/>
      <c r="N163" s="225" t="str">
        <f>IF($K163="","",IF($K163=1,CONCATENATE("Base ",$M163," ",$K163," noche"),CONCATENATE("Base ",$M163," ",$K163," noches")))</f>
        <v/>
      </c>
      <c r="O163" s="239" t="str">
        <f>IFERROR((VLOOKUP($N163,Pricing!$D$2:$E$43,2,FALSE)),"")</f>
        <v/>
      </c>
      <c r="P163" s="196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71"/>
      <c r="AB163" s="272"/>
      <c r="AC163" s="272"/>
      <c r="AD163" s="272"/>
      <c r="AE163" s="272"/>
      <c r="AF163" s="272"/>
      <c r="AG163" s="272"/>
      <c r="AH163" s="272"/>
      <c r="AI163" s="267"/>
    </row>
    <row r="164" spans="1:35" x14ac:dyDescent="0.2">
      <c r="A164" s="208" t="str">
        <f>+IF(D164="","",CONCATENATE("GBL 00",Mantenedor!E163))</f>
        <v/>
      </c>
      <c r="B164" s="214"/>
      <c r="C164" s="215"/>
      <c r="D164" s="215"/>
      <c r="E164" s="215"/>
      <c r="F164" s="215"/>
      <c r="G164" s="215"/>
      <c r="H164" s="215"/>
      <c r="I164" s="216"/>
      <c r="J164" s="217"/>
      <c r="K164" s="218"/>
      <c r="L164" s="217" t="str">
        <f t="shared" si="2"/>
        <v/>
      </c>
      <c r="M164" s="240"/>
      <c r="N164" s="225" t="str">
        <f>IF($K164="","",IF($K164=1,CONCATENATE("Base ",$M164," ",$K164," noche"),CONCATENATE("Base ",$M164," ",$K164," noches")))</f>
        <v/>
      </c>
      <c r="O164" s="239" t="str">
        <f>IFERROR((VLOOKUP($N164,Pricing!$D$2:$E$43,2,FALSE)),"")</f>
        <v/>
      </c>
      <c r="P164" s="196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71"/>
      <c r="AB164" s="272"/>
      <c r="AC164" s="272"/>
      <c r="AD164" s="272"/>
      <c r="AE164" s="272"/>
      <c r="AF164" s="272"/>
      <c r="AG164" s="272"/>
      <c r="AH164" s="272"/>
      <c r="AI164" s="267"/>
    </row>
    <row r="165" spans="1:35" x14ac:dyDescent="0.2">
      <c r="A165" s="208" t="str">
        <f>+IF(D165="","",CONCATENATE("GBL 00",Mantenedor!E164))</f>
        <v/>
      </c>
      <c r="B165" s="214"/>
      <c r="C165" s="215"/>
      <c r="D165" s="215"/>
      <c r="E165" s="215"/>
      <c r="F165" s="215"/>
      <c r="G165" s="215"/>
      <c r="H165" s="215"/>
      <c r="I165" s="216"/>
      <c r="J165" s="217"/>
      <c r="K165" s="218"/>
      <c r="L165" s="217" t="str">
        <f t="shared" si="2"/>
        <v/>
      </c>
      <c r="M165" s="240"/>
      <c r="N165" s="225" t="str">
        <f>IF($K165="","",IF($K165=1,CONCATENATE("Base ",$M165," ",$K165," noche"),CONCATENATE("Base ",$M165," ",$K165," noches")))</f>
        <v/>
      </c>
      <c r="O165" s="239" t="str">
        <f>IFERROR((VLOOKUP($N165,Pricing!$D$2:$E$43,2,FALSE)),"")</f>
        <v/>
      </c>
      <c r="P165" s="196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71"/>
      <c r="AB165" s="272"/>
      <c r="AC165" s="272"/>
      <c r="AD165" s="272"/>
      <c r="AE165" s="272"/>
      <c r="AF165" s="272"/>
      <c r="AG165" s="272"/>
      <c r="AH165" s="272"/>
      <c r="AI165" s="267"/>
    </row>
    <row r="166" spans="1:35" x14ac:dyDescent="0.2">
      <c r="A166" s="208" t="str">
        <f>+IF(D166="","",CONCATENATE("GBL 00",Mantenedor!E165))</f>
        <v/>
      </c>
      <c r="B166" s="214"/>
      <c r="C166" s="215"/>
      <c r="D166" s="215"/>
      <c r="E166" s="215"/>
      <c r="F166" s="215"/>
      <c r="G166" s="215"/>
      <c r="H166" s="215"/>
      <c r="I166" s="216"/>
      <c r="J166" s="217"/>
      <c r="K166" s="218"/>
      <c r="L166" s="217" t="str">
        <f t="shared" si="2"/>
        <v/>
      </c>
      <c r="M166" s="240"/>
      <c r="N166" s="225" t="str">
        <f>IF($K166="","",IF($K166=1,CONCATENATE("Base ",$M166," ",$K166," noche"),CONCATENATE("Base ",$M166," ",$K166," noches")))</f>
        <v/>
      </c>
      <c r="O166" s="239" t="str">
        <f>IFERROR((VLOOKUP($N166,Pricing!$D$2:$E$43,2,FALSE)),"")</f>
        <v/>
      </c>
      <c r="P166" s="196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71"/>
      <c r="AB166" s="272"/>
      <c r="AC166" s="272"/>
      <c r="AD166" s="272"/>
      <c r="AE166" s="272"/>
      <c r="AF166" s="272"/>
      <c r="AG166" s="272"/>
      <c r="AH166" s="272"/>
      <c r="AI166" s="267"/>
    </row>
    <row r="167" spans="1:35" x14ac:dyDescent="0.2">
      <c r="A167" s="208" t="str">
        <f>+IF(D167="","",CONCATENATE("GBL 00",Mantenedor!E166))</f>
        <v/>
      </c>
      <c r="B167" s="214"/>
      <c r="C167" s="215"/>
      <c r="D167" s="215"/>
      <c r="E167" s="215"/>
      <c r="F167" s="215"/>
      <c r="G167" s="215"/>
      <c r="H167" s="215"/>
      <c r="I167" s="216"/>
      <c r="J167" s="217"/>
      <c r="K167" s="218"/>
      <c r="L167" s="217" t="str">
        <f t="shared" si="2"/>
        <v/>
      </c>
      <c r="M167" s="240"/>
      <c r="N167" s="225" t="str">
        <f>IF($K167="","",IF($K167=1,CONCATENATE("Base ",$M167," ",$K167," noche"),CONCATENATE("Base ",$M167," ",$K167," noches")))</f>
        <v/>
      </c>
      <c r="O167" s="239" t="str">
        <f>IFERROR((VLOOKUP($N167,Pricing!$D$2:$E$43,2,FALSE)),"")</f>
        <v/>
      </c>
      <c r="P167" s="196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71"/>
      <c r="AB167" s="272"/>
      <c r="AC167" s="272"/>
      <c r="AD167" s="272"/>
      <c r="AE167" s="272"/>
      <c r="AF167" s="272"/>
      <c r="AG167" s="272"/>
      <c r="AH167" s="272"/>
      <c r="AI167" s="267"/>
    </row>
    <row r="168" spans="1:35" x14ac:dyDescent="0.2">
      <c r="A168" s="208" t="str">
        <f>+IF(D168="","",CONCATENATE("GBL 00",Mantenedor!E167))</f>
        <v/>
      </c>
      <c r="B168" s="214"/>
      <c r="C168" s="215"/>
      <c r="D168" s="215"/>
      <c r="E168" s="215"/>
      <c r="F168" s="215"/>
      <c r="G168" s="215"/>
      <c r="H168" s="215"/>
      <c r="I168" s="216"/>
      <c r="J168" s="217"/>
      <c r="K168" s="218"/>
      <c r="L168" s="217" t="str">
        <f t="shared" si="2"/>
        <v/>
      </c>
      <c r="M168" s="240"/>
      <c r="N168" s="225" t="str">
        <f>IF($K168="","",IF($K168=1,CONCATENATE("Base ",$M168," ",$K168," noche"),CONCATENATE("Base ",$M168," ",$K168," noches")))</f>
        <v/>
      </c>
      <c r="O168" s="239" t="str">
        <f>IFERROR((VLOOKUP($N168,Pricing!$D$2:$E$43,2,FALSE)),"")</f>
        <v/>
      </c>
      <c r="P168" s="196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71"/>
      <c r="AB168" s="272"/>
      <c r="AC168" s="272"/>
      <c r="AD168" s="272"/>
      <c r="AE168" s="272"/>
      <c r="AF168" s="272"/>
      <c r="AG168" s="272"/>
      <c r="AH168" s="272"/>
      <c r="AI168" s="267"/>
    </row>
    <row r="169" spans="1:35" x14ac:dyDescent="0.2">
      <c r="A169" s="208" t="str">
        <f>+IF(D169="","",CONCATENATE("GBL 00",Mantenedor!E168))</f>
        <v/>
      </c>
      <c r="B169" s="214"/>
      <c r="C169" s="215"/>
      <c r="D169" s="215"/>
      <c r="E169" s="215"/>
      <c r="F169" s="215"/>
      <c r="G169" s="215"/>
      <c r="H169" s="215"/>
      <c r="I169" s="216"/>
      <c r="J169" s="217"/>
      <c r="K169" s="218"/>
      <c r="L169" s="217" t="str">
        <f t="shared" si="2"/>
        <v/>
      </c>
      <c r="M169" s="240"/>
      <c r="N169" s="225" t="str">
        <f>IF($K169="","",IF($K169=1,CONCATENATE("Base ",$M169," ",$K169," noche"),CONCATENATE("Base ",$M169," ",$K169," noches")))</f>
        <v/>
      </c>
      <c r="O169" s="239" t="str">
        <f>IFERROR((VLOOKUP($N169,Pricing!$D$2:$E$43,2,FALSE)),"")</f>
        <v/>
      </c>
      <c r="P169" s="196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71"/>
      <c r="AB169" s="272"/>
      <c r="AC169" s="272"/>
      <c r="AD169" s="272"/>
      <c r="AE169" s="272"/>
      <c r="AF169" s="272"/>
      <c r="AG169" s="272"/>
      <c r="AH169" s="272"/>
      <c r="AI169" s="267"/>
    </row>
    <row r="170" spans="1:35" x14ac:dyDescent="0.2">
      <c r="A170" s="208" t="str">
        <f>+IF(D170="","",CONCATENATE("GBL 00",Mantenedor!E169))</f>
        <v/>
      </c>
      <c r="B170" s="214"/>
      <c r="C170" s="215"/>
      <c r="D170" s="215"/>
      <c r="E170" s="215"/>
      <c r="F170" s="215"/>
      <c r="G170" s="215"/>
      <c r="H170" s="215"/>
      <c r="I170" s="216"/>
      <c r="J170" s="217"/>
      <c r="K170" s="218"/>
      <c r="L170" s="217" t="str">
        <f t="shared" si="2"/>
        <v/>
      </c>
      <c r="M170" s="240"/>
      <c r="N170" s="225" t="str">
        <f>IF($K170="","",IF($K170=1,CONCATENATE("Base ",$M170," ",$K170," noche"),CONCATENATE("Base ",$M170," ",$K170," noches")))</f>
        <v/>
      </c>
      <c r="O170" s="239" t="str">
        <f>IFERROR((VLOOKUP($N170,Pricing!$D$2:$E$43,2,FALSE)),"")</f>
        <v/>
      </c>
      <c r="P170" s="196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71"/>
      <c r="AB170" s="272"/>
      <c r="AC170" s="272"/>
      <c r="AD170" s="272"/>
      <c r="AE170" s="272"/>
      <c r="AF170" s="272"/>
      <c r="AG170" s="272"/>
      <c r="AH170" s="272"/>
      <c r="AI170" s="267"/>
    </row>
    <row r="171" spans="1:35" x14ac:dyDescent="0.2">
      <c r="A171" s="208" t="str">
        <f>+IF(D171="","",CONCATENATE("GBL 00",Mantenedor!E170))</f>
        <v/>
      </c>
      <c r="B171" s="214"/>
      <c r="C171" s="215"/>
      <c r="D171" s="215"/>
      <c r="E171" s="215"/>
      <c r="F171" s="215"/>
      <c r="G171" s="215"/>
      <c r="H171" s="215"/>
      <c r="I171" s="216"/>
      <c r="J171" s="217"/>
      <c r="K171" s="218"/>
      <c r="L171" s="217" t="str">
        <f t="shared" si="2"/>
        <v/>
      </c>
      <c r="M171" s="240"/>
      <c r="N171" s="225" t="str">
        <f>IF($K171="","",IF($K171=1,CONCATENATE("Base ",$M171," ",$K171," noche"),CONCATENATE("Base ",$M171," ",$K171," noches")))</f>
        <v/>
      </c>
      <c r="O171" s="239" t="str">
        <f>IFERROR((VLOOKUP($N171,Pricing!$D$2:$E$43,2,FALSE)),"")</f>
        <v/>
      </c>
      <c r="P171" s="196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71"/>
      <c r="AB171" s="272"/>
      <c r="AC171" s="272"/>
      <c r="AD171" s="272"/>
      <c r="AE171" s="272"/>
      <c r="AF171" s="272"/>
      <c r="AG171" s="272"/>
      <c r="AH171" s="272"/>
      <c r="AI171" s="267"/>
    </row>
    <row r="172" spans="1:35" x14ac:dyDescent="0.2">
      <c r="A172" s="208" t="str">
        <f>+IF(D172="","",CONCATENATE("GBL 00",Mantenedor!E171))</f>
        <v/>
      </c>
      <c r="B172" s="214"/>
      <c r="C172" s="215"/>
      <c r="D172" s="215"/>
      <c r="E172" s="215"/>
      <c r="F172" s="215"/>
      <c r="G172" s="215"/>
      <c r="H172" s="215"/>
      <c r="I172" s="216"/>
      <c r="J172" s="217"/>
      <c r="K172" s="218"/>
      <c r="L172" s="217" t="str">
        <f t="shared" si="2"/>
        <v/>
      </c>
      <c r="M172" s="240"/>
      <c r="N172" s="225" t="str">
        <f>IF($K172="","",IF($K172=1,CONCATENATE("Base ",$M172," ",$K172," noche"),CONCATENATE("Base ",$M172," ",$K172," noches")))</f>
        <v/>
      </c>
      <c r="O172" s="239" t="str">
        <f>IFERROR((VLOOKUP($N172,Pricing!$D$2:$E$43,2,FALSE)),"")</f>
        <v/>
      </c>
      <c r="P172" s="196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71"/>
      <c r="AB172" s="272"/>
      <c r="AC172" s="272"/>
      <c r="AD172" s="272"/>
      <c r="AE172" s="272"/>
      <c r="AF172" s="272"/>
      <c r="AG172" s="272"/>
      <c r="AH172" s="272"/>
      <c r="AI172" s="267"/>
    </row>
    <row r="173" spans="1:35" x14ac:dyDescent="0.2">
      <c r="A173" s="208" t="str">
        <f>+IF(D173="","",CONCATENATE("GBL 00",Mantenedor!E172))</f>
        <v/>
      </c>
      <c r="B173" s="214"/>
      <c r="C173" s="215"/>
      <c r="D173" s="215"/>
      <c r="E173" s="215"/>
      <c r="F173" s="215"/>
      <c r="G173" s="215"/>
      <c r="H173" s="215"/>
      <c r="I173" s="216"/>
      <c r="J173" s="217"/>
      <c r="K173" s="218"/>
      <c r="L173" s="217" t="str">
        <f t="shared" si="2"/>
        <v/>
      </c>
      <c r="M173" s="240"/>
      <c r="N173" s="225" t="str">
        <f>IF($K173="","",IF($K173=1,CONCATENATE("Base ",$M173," ",$K173," noche"),CONCATENATE("Base ",$M173," ",$K173," noches")))</f>
        <v/>
      </c>
      <c r="O173" s="239" t="str">
        <f>IFERROR((VLOOKUP($N173,Pricing!$D$2:$E$43,2,FALSE)),"")</f>
        <v/>
      </c>
      <c r="P173" s="196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71"/>
      <c r="AB173" s="272"/>
      <c r="AC173" s="272"/>
      <c r="AD173" s="272"/>
      <c r="AE173" s="272"/>
      <c r="AF173" s="272"/>
      <c r="AG173" s="272"/>
      <c r="AH173" s="272"/>
      <c r="AI173" s="267"/>
    </row>
    <row r="174" spans="1:35" x14ac:dyDescent="0.2">
      <c r="A174" s="208" t="str">
        <f>+IF(D174="","",CONCATENATE("GBL 00",Mantenedor!E173))</f>
        <v/>
      </c>
      <c r="B174" s="214"/>
      <c r="C174" s="215"/>
      <c r="D174" s="215"/>
      <c r="E174" s="215"/>
      <c r="F174" s="215"/>
      <c r="G174" s="215"/>
      <c r="H174" s="215"/>
      <c r="I174" s="216"/>
      <c r="J174" s="217"/>
      <c r="K174" s="218"/>
      <c r="L174" s="217" t="str">
        <f t="shared" si="2"/>
        <v/>
      </c>
      <c r="M174" s="240"/>
      <c r="N174" s="225" t="str">
        <f>IF($K174="","",IF($K174=1,CONCATENATE("Base ",$M174," ",$K174," noche"),CONCATENATE("Base ",$M174," ",$K174," noches")))</f>
        <v/>
      </c>
      <c r="O174" s="239" t="str">
        <f>IFERROR((VLOOKUP($N174,Pricing!$D$2:$E$43,2,FALSE)),"")</f>
        <v/>
      </c>
      <c r="P174" s="196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71"/>
      <c r="AB174" s="272"/>
      <c r="AC174" s="272"/>
      <c r="AD174" s="272"/>
      <c r="AE174" s="272"/>
      <c r="AF174" s="272"/>
      <c r="AG174" s="272"/>
      <c r="AH174" s="272"/>
      <c r="AI174" s="267"/>
    </row>
    <row r="175" spans="1:35" x14ac:dyDescent="0.2">
      <c r="A175" s="208" t="str">
        <f>+IF(D175="","",CONCATENATE("GBL 00",Mantenedor!E174))</f>
        <v/>
      </c>
      <c r="B175" s="214"/>
      <c r="C175" s="215"/>
      <c r="D175" s="215"/>
      <c r="E175" s="215"/>
      <c r="F175" s="215"/>
      <c r="G175" s="215"/>
      <c r="H175" s="215"/>
      <c r="I175" s="216"/>
      <c r="J175" s="217"/>
      <c r="K175" s="218"/>
      <c r="L175" s="217" t="str">
        <f t="shared" si="2"/>
        <v/>
      </c>
      <c r="M175" s="240"/>
      <c r="N175" s="225" t="str">
        <f>IF($K175="","",IF($K175=1,CONCATENATE("Base ",$M175," ",$K175," noche"),CONCATENATE("Base ",$M175," ",$K175," noches")))</f>
        <v/>
      </c>
      <c r="O175" s="239" t="str">
        <f>IFERROR((VLOOKUP($N175,Pricing!$D$2:$E$43,2,FALSE)),"")</f>
        <v/>
      </c>
      <c r="P175" s="196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71"/>
      <c r="AB175" s="272"/>
      <c r="AC175" s="272"/>
      <c r="AD175" s="272"/>
      <c r="AE175" s="272"/>
      <c r="AF175" s="272"/>
      <c r="AG175" s="272"/>
      <c r="AH175" s="272"/>
      <c r="AI175" s="267"/>
    </row>
    <row r="176" spans="1:35" x14ac:dyDescent="0.2">
      <c r="A176" s="208" t="str">
        <f>+IF(D176="","",CONCATENATE("GBL 00",Mantenedor!E175))</f>
        <v/>
      </c>
      <c r="B176" s="214"/>
      <c r="C176" s="215"/>
      <c r="D176" s="215"/>
      <c r="E176" s="215"/>
      <c r="F176" s="215"/>
      <c r="G176" s="215"/>
      <c r="H176" s="215"/>
      <c r="I176" s="216"/>
      <c r="J176" s="217"/>
      <c r="K176" s="218"/>
      <c r="L176" s="217" t="str">
        <f t="shared" si="2"/>
        <v/>
      </c>
      <c r="M176" s="240"/>
      <c r="N176" s="225" t="str">
        <f>IF($K176="","",IF($K176=1,CONCATENATE("Base ",$M176," ",$K176," noche"),CONCATENATE("Base ",$M176," ",$K176," noches")))</f>
        <v/>
      </c>
      <c r="O176" s="239" t="str">
        <f>IFERROR((VLOOKUP($N176,Pricing!$D$2:$E$43,2,FALSE)),"")</f>
        <v/>
      </c>
      <c r="P176" s="196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71"/>
      <c r="AB176" s="272"/>
      <c r="AC176" s="272"/>
      <c r="AD176" s="272"/>
      <c r="AE176" s="272"/>
      <c r="AF176" s="272"/>
      <c r="AG176" s="272"/>
      <c r="AH176" s="272"/>
      <c r="AI176" s="267"/>
    </row>
    <row r="177" spans="1:35" x14ac:dyDescent="0.2">
      <c r="A177" s="208" t="str">
        <f>+IF(D177="","",CONCATENATE("GBL 00",Mantenedor!E176))</f>
        <v/>
      </c>
      <c r="B177" s="214"/>
      <c r="C177" s="215"/>
      <c r="D177" s="215"/>
      <c r="E177" s="215"/>
      <c r="F177" s="215"/>
      <c r="G177" s="215"/>
      <c r="H177" s="215"/>
      <c r="I177" s="216"/>
      <c r="J177" s="217"/>
      <c r="K177" s="218"/>
      <c r="L177" s="217" t="str">
        <f t="shared" si="2"/>
        <v/>
      </c>
      <c r="M177" s="240"/>
      <c r="N177" s="225" t="str">
        <f>IF($K177="","",IF($K177=1,CONCATENATE("Base ",$M177," ",$K177," noche"),CONCATENATE("Base ",$M177," ",$K177," noches")))</f>
        <v/>
      </c>
      <c r="O177" s="239" t="str">
        <f>IFERROR((VLOOKUP($N177,Pricing!$D$2:$E$43,2,FALSE)),"")</f>
        <v/>
      </c>
      <c r="P177" s="196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71"/>
      <c r="AB177" s="272"/>
      <c r="AC177" s="272"/>
      <c r="AD177" s="272"/>
      <c r="AE177" s="272"/>
      <c r="AF177" s="272"/>
      <c r="AG177" s="272"/>
      <c r="AH177" s="272"/>
      <c r="AI177" s="267"/>
    </row>
    <row r="178" spans="1:35" x14ac:dyDescent="0.2">
      <c r="A178" s="208" t="str">
        <f>+IF(D178="","",CONCATENATE("GBL 00",Mantenedor!E177))</f>
        <v/>
      </c>
      <c r="B178" s="214"/>
      <c r="C178" s="215"/>
      <c r="D178" s="215"/>
      <c r="E178" s="215"/>
      <c r="F178" s="215"/>
      <c r="G178" s="215"/>
      <c r="H178" s="215"/>
      <c r="I178" s="216"/>
      <c r="J178" s="217"/>
      <c r="K178" s="218"/>
      <c r="L178" s="217" t="str">
        <f t="shared" si="2"/>
        <v/>
      </c>
      <c r="M178" s="240"/>
      <c r="N178" s="225" t="str">
        <f>IF($K178="","",IF($K178=1,CONCATENATE("Base ",$M178," ",$K178," noche"),CONCATENATE("Base ",$M178," ",$K178," noches")))</f>
        <v/>
      </c>
      <c r="O178" s="239" t="str">
        <f>IFERROR((VLOOKUP($N178,Pricing!$D$2:$E$43,2,FALSE)),"")</f>
        <v/>
      </c>
      <c r="P178" s="196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71"/>
      <c r="AB178" s="272"/>
      <c r="AC178" s="272"/>
      <c r="AD178" s="272"/>
      <c r="AE178" s="272"/>
      <c r="AF178" s="272"/>
      <c r="AG178" s="272"/>
      <c r="AH178" s="272"/>
      <c r="AI178" s="267"/>
    </row>
    <row r="179" spans="1:35" x14ac:dyDescent="0.2">
      <c r="A179" s="208" t="str">
        <f>+IF(D179="","",CONCATENATE("GBL 00",Mantenedor!E178))</f>
        <v/>
      </c>
      <c r="B179" s="214"/>
      <c r="C179" s="215"/>
      <c r="D179" s="215"/>
      <c r="E179" s="215"/>
      <c r="F179" s="215"/>
      <c r="G179" s="215"/>
      <c r="H179" s="215"/>
      <c r="I179" s="216"/>
      <c r="J179" s="217"/>
      <c r="K179" s="218"/>
      <c r="L179" s="217" t="str">
        <f t="shared" si="2"/>
        <v/>
      </c>
      <c r="M179" s="240"/>
      <c r="N179" s="225" t="str">
        <f>IF($K179="","",IF($K179=1,CONCATENATE("Base ",$M179," ",$K179," noche"),CONCATENATE("Base ",$M179," ",$K179," noches")))</f>
        <v/>
      </c>
      <c r="O179" s="239" t="str">
        <f>IFERROR((VLOOKUP($N179,Pricing!$D$2:$E$43,2,FALSE)),"")</f>
        <v/>
      </c>
      <c r="P179" s="196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71"/>
      <c r="AB179" s="272"/>
      <c r="AC179" s="272"/>
      <c r="AD179" s="272"/>
      <c r="AE179" s="272"/>
      <c r="AF179" s="272"/>
      <c r="AG179" s="272"/>
      <c r="AH179" s="272"/>
      <c r="AI179" s="267"/>
    </row>
    <row r="180" spans="1:35" x14ac:dyDescent="0.2">
      <c r="A180" s="208" t="str">
        <f>+IF(D180="","",CONCATENATE("GBL 00",Mantenedor!E179))</f>
        <v/>
      </c>
      <c r="B180" s="214"/>
      <c r="C180" s="215"/>
      <c r="D180" s="215"/>
      <c r="E180" s="215"/>
      <c r="F180" s="215"/>
      <c r="G180" s="215"/>
      <c r="H180" s="215"/>
      <c r="I180" s="216"/>
      <c r="J180" s="217"/>
      <c r="K180" s="218"/>
      <c r="L180" s="217" t="str">
        <f t="shared" si="2"/>
        <v/>
      </c>
      <c r="M180" s="240"/>
      <c r="N180" s="225" t="str">
        <f>IF($K180="","",IF($K180=1,CONCATENATE("Base ",$M180," ",$K180," noche"),CONCATENATE("Base ",$M180," ",$K180," noches")))</f>
        <v/>
      </c>
      <c r="O180" s="239" t="str">
        <f>IFERROR((VLOOKUP($N180,Pricing!$D$2:$E$43,2,FALSE)),"")</f>
        <v/>
      </c>
      <c r="P180" s="196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71"/>
      <c r="AB180" s="272"/>
      <c r="AC180" s="272"/>
      <c r="AD180" s="272"/>
      <c r="AE180" s="272"/>
      <c r="AF180" s="272"/>
      <c r="AG180" s="272"/>
      <c r="AH180" s="272"/>
      <c r="AI180" s="267"/>
    </row>
    <row r="181" spans="1:35" x14ac:dyDescent="0.2">
      <c r="A181" s="208" t="str">
        <f>+IF(D181="","",CONCATENATE("GBL 00",Mantenedor!E180))</f>
        <v/>
      </c>
      <c r="B181" s="214"/>
      <c r="C181" s="215"/>
      <c r="D181" s="215"/>
      <c r="E181" s="215"/>
      <c r="F181" s="215"/>
      <c r="G181" s="215"/>
      <c r="H181" s="215"/>
      <c r="I181" s="216"/>
      <c r="J181" s="217"/>
      <c r="K181" s="218"/>
      <c r="L181" s="217" t="str">
        <f t="shared" si="2"/>
        <v/>
      </c>
      <c r="M181" s="240"/>
      <c r="N181" s="225" t="str">
        <f>IF($K181="","",IF($K181=1,CONCATENATE("Base ",$M181," ",$K181," noche"),CONCATENATE("Base ",$M181," ",$K181," noches")))</f>
        <v/>
      </c>
      <c r="O181" s="239" t="str">
        <f>IFERROR((VLOOKUP($N181,Pricing!$D$2:$E$43,2,FALSE)),"")</f>
        <v/>
      </c>
      <c r="P181" s="196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71"/>
      <c r="AB181" s="272"/>
      <c r="AC181" s="272"/>
      <c r="AD181" s="272"/>
      <c r="AE181" s="272"/>
      <c r="AF181" s="272"/>
      <c r="AG181" s="272"/>
      <c r="AH181" s="272"/>
      <c r="AI181" s="267"/>
    </row>
    <row r="182" spans="1:35" x14ac:dyDescent="0.2">
      <c r="A182" s="208" t="str">
        <f>+IF(D182="","",CONCATENATE("GBL 00",Mantenedor!E181))</f>
        <v/>
      </c>
      <c r="B182" s="214"/>
      <c r="C182" s="215"/>
      <c r="D182" s="215"/>
      <c r="E182" s="215"/>
      <c r="F182" s="215"/>
      <c r="G182" s="215"/>
      <c r="H182" s="215"/>
      <c r="I182" s="216"/>
      <c r="J182" s="217"/>
      <c r="K182" s="218"/>
      <c r="L182" s="217" t="str">
        <f t="shared" si="2"/>
        <v/>
      </c>
      <c r="M182" s="240"/>
      <c r="N182" s="225" t="str">
        <f>IF($K182="","",IF($K182=1,CONCATENATE("Base ",$M182," ",$K182," noche"),CONCATENATE("Base ",$M182," ",$K182," noches")))</f>
        <v/>
      </c>
      <c r="O182" s="239" t="str">
        <f>IFERROR((VLOOKUP($N182,Pricing!$D$2:$E$43,2,FALSE)),"")</f>
        <v/>
      </c>
      <c r="P182" s="196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71"/>
      <c r="AB182" s="272"/>
      <c r="AC182" s="272"/>
      <c r="AD182" s="272"/>
      <c r="AE182" s="272"/>
      <c r="AF182" s="272"/>
      <c r="AG182" s="272"/>
      <c r="AH182" s="272"/>
      <c r="AI182" s="267"/>
    </row>
    <row r="183" spans="1:35" x14ac:dyDescent="0.2">
      <c r="A183" s="208" t="str">
        <f>+IF(D183="","",CONCATENATE("GBL 00",Mantenedor!E182))</f>
        <v/>
      </c>
      <c r="B183" s="214"/>
      <c r="C183" s="215"/>
      <c r="D183" s="215"/>
      <c r="E183" s="215"/>
      <c r="F183" s="215"/>
      <c r="G183" s="215"/>
      <c r="H183" s="215"/>
      <c r="I183" s="216"/>
      <c r="J183" s="217"/>
      <c r="K183" s="218"/>
      <c r="L183" s="217" t="str">
        <f t="shared" si="2"/>
        <v/>
      </c>
      <c r="M183" s="240"/>
      <c r="N183" s="225" t="str">
        <f>IF($K183="","",IF($K183=1,CONCATENATE("Base ",$M183," ",$K183," noche"),CONCATENATE("Base ",$M183," ",$K183," noches")))</f>
        <v/>
      </c>
      <c r="O183" s="239" t="str">
        <f>IFERROR((VLOOKUP($N183,Pricing!$D$2:$E$43,2,FALSE)),"")</f>
        <v/>
      </c>
      <c r="P183" s="196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71"/>
      <c r="AB183" s="272"/>
      <c r="AC183" s="272"/>
      <c r="AD183" s="272"/>
      <c r="AE183" s="272"/>
      <c r="AF183" s="272"/>
      <c r="AG183" s="272"/>
      <c r="AH183" s="272"/>
      <c r="AI183" s="267"/>
    </row>
    <row r="184" spans="1:35" x14ac:dyDescent="0.2">
      <c r="A184" s="208" t="str">
        <f>+IF(D184="","",CONCATENATE("GBL 00",Mantenedor!E183))</f>
        <v/>
      </c>
      <c r="B184" s="214"/>
      <c r="C184" s="215"/>
      <c r="D184" s="215"/>
      <c r="E184" s="215"/>
      <c r="F184" s="215"/>
      <c r="G184" s="215"/>
      <c r="H184" s="215"/>
      <c r="I184" s="216"/>
      <c r="J184" s="217"/>
      <c r="K184" s="218"/>
      <c r="L184" s="217" t="str">
        <f t="shared" si="2"/>
        <v/>
      </c>
      <c r="M184" s="240"/>
      <c r="N184" s="225" t="str">
        <f>IF($K184="","",IF($K184=1,CONCATENATE("Base ",$M184," ",$K184," noche"),CONCATENATE("Base ",$M184," ",$K184," noches")))</f>
        <v/>
      </c>
      <c r="O184" s="239" t="str">
        <f>IFERROR((VLOOKUP($N184,Pricing!$D$2:$E$43,2,FALSE)),"")</f>
        <v/>
      </c>
      <c r="P184" s="196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71"/>
      <c r="AB184" s="272"/>
      <c r="AC184" s="272"/>
      <c r="AD184" s="272"/>
      <c r="AE184" s="272"/>
      <c r="AF184" s="272"/>
      <c r="AG184" s="272"/>
      <c r="AH184" s="272"/>
      <c r="AI184" s="267"/>
    </row>
    <row r="185" spans="1:35" x14ac:dyDescent="0.2">
      <c r="A185" s="208" t="str">
        <f>+IF(D185="","",CONCATENATE("GBL 00",Mantenedor!E184))</f>
        <v/>
      </c>
      <c r="B185" s="214"/>
      <c r="C185" s="215"/>
      <c r="D185" s="215"/>
      <c r="E185" s="215"/>
      <c r="F185" s="215"/>
      <c r="G185" s="215"/>
      <c r="H185" s="215"/>
      <c r="I185" s="216"/>
      <c r="J185" s="217"/>
      <c r="K185" s="218"/>
      <c r="L185" s="217" t="str">
        <f t="shared" si="2"/>
        <v/>
      </c>
      <c r="M185" s="240"/>
      <c r="N185" s="225" t="str">
        <f>IF($K185="","",IF($K185=1,CONCATENATE("Base ",$M185," ",$K185," noche"),CONCATENATE("Base ",$M185," ",$K185," noches")))</f>
        <v/>
      </c>
      <c r="O185" s="239" t="str">
        <f>IFERROR((VLOOKUP($N185,Pricing!$D$2:$E$43,2,FALSE)),"")</f>
        <v/>
      </c>
      <c r="P185" s="196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71"/>
      <c r="AB185" s="272"/>
      <c r="AC185" s="272"/>
      <c r="AD185" s="272"/>
      <c r="AE185" s="272"/>
      <c r="AF185" s="272"/>
      <c r="AG185" s="272"/>
      <c r="AH185" s="272"/>
      <c r="AI185" s="267"/>
    </row>
    <row r="186" spans="1:35" x14ac:dyDescent="0.2">
      <c r="A186" s="208" t="str">
        <f>+IF(D186="","",CONCATENATE("GBL 00",Mantenedor!E185))</f>
        <v/>
      </c>
      <c r="B186" s="214"/>
      <c r="C186" s="215"/>
      <c r="D186" s="215"/>
      <c r="E186" s="215"/>
      <c r="F186" s="215"/>
      <c r="G186" s="215"/>
      <c r="H186" s="215"/>
      <c r="I186" s="216"/>
      <c r="J186" s="217"/>
      <c r="K186" s="218"/>
      <c r="L186" s="217" t="str">
        <f t="shared" si="2"/>
        <v/>
      </c>
      <c r="M186" s="240"/>
      <c r="N186" s="225" t="str">
        <f>IF($K186="","",IF($K186=1,CONCATENATE("Base ",$M186," ",$K186," noche"),CONCATENATE("Base ",$M186," ",$K186," noches")))</f>
        <v/>
      </c>
      <c r="O186" s="239" t="str">
        <f>IFERROR((VLOOKUP($N186,Pricing!$D$2:$E$43,2,FALSE)),"")</f>
        <v/>
      </c>
      <c r="P186" s="196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71"/>
      <c r="AB186" s="272"/>
      <c r="AC186" s="272"/>
      <c r="AD186" s="272"/>
      <c r="AE186" s="272"/>
      <c r="AF186" s="272"/>
      <c r="AG186" s="272"/>
      <c r="AH186" s="272"/>
      <c r="AI186" s="267"/>
    </row>
    <row r="187" spans="1:35" x14ac:dyDescent="0.2">
      <c r="A187" s="208" t="str">
        <f>+IF(D187="","",CONCATENATE("GBL 00",Mantenedor!E186))</f>
        <v/>
      </c>
      <c r="B187" s="214"/>
      <c r="C187" s="215"/>
      <c r="D187" s="215"/>
      <c r="E187" s="215"/>
      <c r="F187" s="215"/>
      <c r="G187" s="215"/>
      <c r="H187" s="215"/>
      <c r="I187" s="216"/>
      <c r="J187" s="217"/>
      <c r="K187" s="218"/>
      <c r="L187" s="217" t="str">
        <f t="shared" si="2"/>
        <v/>
      </c>
      <c r="M187" s="240"/>
      <c r="N187" s="225" t="str">
        <f>IF($K187="","",IF($K187=1,CONCATENATE("Base ",$M187," ",$K187," noche"),CONCATENATE("Base ",$M187," ",$K187," noches")))</f>
        <v/>
      </c>
      <c r="O187" s="239" t="str">
        <f>IFERROR((VLOOKUP($N187,Pricing!$D$2:$E$43,2,FALSE)),"")</f>
        <v/>
      </c>
      <c r="P187" s="196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71"/>
      <c r="AB187" s="272"/>
      <c r="AC187" s="272"/>
      <c r="AD187" s="272"/>
      <c r="AE187" s="272"/>
      <c r="AF187" s="272"/>
      <c r="AG187" s="272"/>
      <c r="AH187" s="272"/>
      <c r="AI187" s="267"/>
    </row>
    <row r="188" spans="1:35" x14ac:dyDescent="0.2">
      <c r="A188" s="208" t="str">
        <f>+IF(D188="","",CONCATENATE("GBL 00",Mantenedor!E187))</f>
        <v/>
      </c>
      <c r="B188" s="214"/>
      <c r="C188" s="215"/>
      <c r="D188" s="215"/>
      <c r="E188" s="215"/>
      <c r="F188" s="215"/>
      <c r="G188" s="215"/>
      <c r="H188" s="215"/>
      <c r="I188" s="216"/>
      <c r="J188" s="217"/>
      <c r="K188" s="218"/>
      <c r="L188" s="217" t="str">
        <f t="shared" si="2"/>
        <v/>
      </c>
      <c r="M188" s="240"/>
      <c r="N188" s="225" t="str">
        <f>IF($K188="","",IF($K188=1,CONCATENATE("Base ",$M188," ",$K188," noche"),CONCATENATE("Base ",$M188," ",$K188," noches")))</f>
        <v/>
      </c>
      <c r="O188" s="239" t="str">
        <f>IFERROR((VLOOKUP($N188,Pricing!$D$2:$E$43,2,FALSE)),"")</f>
        <v/>
      </c>
      <c r="P188" s="196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71"/>
      <c r="AB188" s="272"/>
      <c r="AC188" s="272"/>
      <c r="AD188" s="272"/>
      <c r="AE188" s="272"/>
      <c r="AF188" s="272"/>
      <c r="AG188" s="272"/>
      <c r="AH188" s="272"/>
      <c r="AI188" s="267"/>
    </row>
    <row r="189" spans="1:35" x14ac:dyDescent="0.2">
      <c r="A189" s="208" t="str">
        <f>+IF(D189="","",CONCATENATE("GBL 00",Mantenedor!E188))</f>
        <v/>
      </c>
      <c r="B189" s="214"/>
      <c r="C189" s="215"/>
      <c r="D189" s="215"/>
      <c r="E189" s="215"/>
      <c r="F189" s="215"/>
      <c r="G189" s="215"/>
      <c r="H189" s="215"/>
      <c r="I189" s="216"/>
      <c r="J189" s="217"/>
      <c r="K189" s="218"/>
      <c r="L189" s="217" t="str">
        <f t="shared" si="2"/>
        <v/>
      </c>
      <c r="M189" s="240"/>
      <c r="N189" s="225" t="str">
        <f>IF($K189="","",IF($K189=1,CONCATENATE("Base ",$M189," ",$K189," noche"),CONCATENATE("Base ",$M189," ",$K189," noches")))</f>
        <v/>
      </c>
      <c r="O189" s="239" t="str">
        <f>IFERROR((VLOOKUP($N189,Pricing!$D$2:$E$43,2,FALSE)),"")</f>
        <v/>
      </c>
      <c r="P189" s="196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71"/>
      <c r="AB189" s="272"/>
      <c r="AC189" s="272"/>
      <c r="AD189" s="272"/>
      <c r="AE189" s="272"/>
      <c r="AF189" s="272"/>
      <c r="AG189" s="272"/>
      <c r="AH189" s="272"/>
      <c r="AI189" s="267"/>
    </row>
    <row r="190" spans="1:35" x14ac:dyDescent="0.2">
      <c r="A190" s="208" t="str">
        <f>+IF(D190="","",CONCATENATE("GBL 00",Mantenedor!E189))</f>
        <v/>
      </c>
      <c r="B190" s="214"/>
      <c r="C190" s="215"/>
      <c r="D190" s="215"/>
      <c r="E190" s="215"/>
      <c r="F190" s="215"/>
      <c r="G190" s="215"/>
      <c r="H190" s="215"/>
      <c r="I190" s="216"/>
      <c r="J190" s="217"/>
      <c r="K190" s="218"/>
      <c r="L190" s="217" t="str">
        <f t="shared" si="2"/>
        <v/>
      </c>
      <c r="M190" s="240"/>
      <c r="N190" s="225" t="str">
        <f>IF($K190="","",IF($K190=1,CONCATENATE("Base ",$M190," ",$K190," noche"),CONCATENATE("Base ",$M190," ",$K190," noches")))</f>
        <v/>
      </c>
      <c r="O190" s="239" t="str">
        <f>IFERROR((VLOOKUP($N190,Pricing!$D$2:$E$43,2,FALSE)),"")</f>
        <v/>
      </c>
      <c r="P190" s="196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71"/>
      <c r="AB190" s="272"/>
      <c r="AC190" s="272"/>
      <c r="AD190" s="272"/>
      <c r="AE190" s="272"/>
      <c r="AF190" s="272"/>
      <c r="AG190" s="272"/>
      <c r="AH190" s="272"/>
      <c r="AI190" s="267"/>
    </row>
    <row r="191" spans="1:35" x14ac:dyDescent="0.2">
      <c r="A191" s="208" t="str">
        <f>+IF(D191="","",CONCATENATE("GBL 00",Mantenedor!E190))</f>
        <v/>
      </c>
      <c r="B191" s="214"/>
      <c r="C191" s="215"/>
      <c r="D191" s="215"/>
      <c r="E191" s="215"/>
      <c r="F191" s="215"/>
      <c r="G191" s="215"/>
      <c r="H191" s="215"/>
      <c r="I191" s="216"/>
      <c r="J191" s="217"/>
      <c r="K191" s="218"/>
      <c r="L191" s="217" t="str">
        <f t="shared" si="2"/>
        <v/>
      </c>
      <c r="M191" s="240"/>
      <c r="N191" s="225" t="str">
        <f>IF($K191="","",IF($K191=1,CONCATENATE("Base ",$M191," ",$K191," noche"),CONCATENATE("Base ",$M191," ",$K191," noches")))</f>
        <v/>
      </c>
      <c r="O191" s="239" t="str">
        <f>IFERROR((VLOOKUP($N191,Pricing!$D$2:$E$43,2,FALSE)),"")</f>
        <v/>
      </c>
      <c r="P191" s="196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71"/>
      <c r="AB191" s="272"/>
      <c r="AC191" s="272"/>
      <c r="AD191" s="272"/>
      <c r="AE191" s="272"/>
      <c r="AF191" s="272"/>
      <c r="AG191" s="272"/>
      <c r="AH191" s="272"/>
      <c r="AI191" s="267"/>
    </row>
    <row r="192" spans="1:35" x14ac:dyDescent="0.2">
      <c r="A192" s="208" t="str">
        <f>+IF(D192="","",CONCATENATE("GBL 00",Mantenedor!E191))</f>
        <v/>
      </c>
      <c r="B192" s="214"/>
      <c r="C192" s="215"/>
      <c r="D192" s="215"/>
      <c r="E192" s="215"/>
      <c r="F192" s="215"/>
      <c r="G192" s="215"/>
      <c r="H192" s="215"/>
      <c r="I192" s="216"/>
      <c r="J192" s="217"/>
      <c r="K192" s="218"/>
      <c r="L192" s="217" t="str">
        <f t="shared" si="2"/>
        <v/>
      </c>
      <c r="M192" s="240"/>
      <c r="N192" s="225" t="str">
        <f>IF($K192="","",IF($K192=1,CONCATENATE("Base ",$M192," ",$K192," noche"),CONCATENATE("Base ",$M192," ",$K192," noches")))</f>
        <v/>
      </c>
      <c r="O192" s="239" t="str">
        <f>IFERROR((VLOOKUP($N192,Pricing!$D$2:$E$43,2,FALSE)),"")</f>
        <v/>
      </c>
      <c r="P192" s="196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71"/>
      <c r="AB192" s="272"/>
      <c r="AC192" s="272"/>
      <c r="AD192" s="272"/>
      <c r="AE192" s="272"/>
      <c r="AF192" s="272"/>
      <c r="AG192" s="272"/>
      <c r="AH192" s="272"/>
      <c r="AI192" s="267"/>
    </row>
    <row r="193" spans="1:35" x14ac:dyDescent="0.2">
      <c r="A193" s="208" t="str">
        <f>+IF(D193="","",CONCATENATE("GBL 00",Mantenedor!E192))</f>
        <v/>
      </c>
      <c r="B193" s="214"/>
      <c r="C193" s="215"/>
      <c r="D193" s="215"/>
      <c r="E193" s="215"/>
      <c r="F193" s="215"/>
      <c r="G193" s="215"/>
      <c r="H193" s="215"/>
      <c r="I193" s="216"/>
      <c r="J193" s="217"/>
      <c r="K193" s="218"/>
      <c r="L193" s="217" t="str">
        <f t="shared" si="2"/>
        <v/>
      </c>
      <c r="M193" s="240"/>
      <c r="N193" s="225" t="str">
        <f>IF($K193="","",IF($K193=1,CONCATENATE("Base ",$M193," ",$K193," noche"),CONCATENATE("Base ",$M193," ",$K193," noches")))</f>
        <v/>
      </c>
      <c r="O193" s="239" t="str">
        <f>IFERROR((VLOOKUP($N193,Pricing!$D$2:$E$43,2,FALSE)),"")</f>
        <v/>
      </c>
      <c r="P193" s="196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71"/>
      <c r="AB193" s="272"/>
      <c r="AC193" s="272"/>
      <c r="AD193" s="272"/>
      <c r="AE193" s="272"/>
      <c r="AF193" s="272"/>
      <c r="AG193" s="272"/>
      <c r="AH193" s="272"/>
      <c r="AI193" s="267"/>
    </row>
    <row r="194" spans="1:35" x14ac:dyDescent="0.2">
      <c r="A194" s="208" t="str">
        <f>+IF(D194="","",CONCATENATE("GBL 00",Mantenedor!E193))</f>
        <v/>
      </c>
      <c r="B194" s="214"/>
      <c r="C194" s="215"/>
      <c r="D194" s="215"/>
      <c r="E194" s="215"/>
      <c r="F194" s="215"/>
      <c r="G194" s="215"/>
      <c r="H194" s="215"/>
      <c r="I194" s="216"/>
      <c r="J194" s="217"/>
      <c r="K194" s="218"/>
      <c r="L194" s="217" t="str">
        <f t="shared" si="2"/>
        <v/>
      </c>
      <c r="M194" s="240"/>
      <c r="N194" s="225" t="str">
        <f>IF($K194="","",IF($K194=1,CONCATENATE("Base ",$M194," ",$K194," noche"),CONCATENATE("Base ",$M194," ",$K194," noches")))</f>
        <v/>
      </c>
      <c r="O194" s="239" t="str">
        <f>IFERROR((VLOOKUP($N194,Pricing!$D$2:$E$43,2,FALSE)),"")</f>
        <v/>
      </c>
      <c r="P194" s="196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71"/>
      <c r="AB194" s="272"/>
      <c r="AC194" s="272"/>
      <c r="AD194" s="272"/>
      <c r="AE194" s="272"/>
      <c r="AF194" s="272"/>
      <c r="AG194" s="272"/>
      <c r="AH194" s="272"/>
      <c r="AI194" s="267"/>
    </row>
    <row r="195" spans="1:35" x14ac:dyDescent="0.2">
      <c r="A195" s="208" t="str">
        <f>+IF(D195="","",CONCATENATE("GBL 00",Mantenedor!E194))</f>
        <v/>
      </c>
      <c r="B195" s="214"/>
      <c r="C195" s="215"/>
      <c r="D195" s="215"/>
      <c r="E195" s="215"/>
      <c r="F195" s="215"/>
      <c r="G195" s="215"/>
      <c r="H195" s="215"/>
      <c r="I195" s="216"/>
      <c r="J195" s="217"/>
      <c r="K195" s="218"/>
      <c r="L195" s="217" t="str">
        <f t="shared" si="2"/>
        <v/>
      </c>
      <c r="M195" s="240"/>
      <c r="N195" s="225" t="str">
        <f>IF($K195="","",IF($K195=1,CONCATENATE("Base ",$M195," ",$K195," noche"),CONCATENATE("Base ",$M195," ",$K195," noches")))</f>
        <v/>
      </c>
      <c r="O195" s="239" t="str">
        <f>IFERROR((VLOOKUP($N195,Pricing!$D$2:$E$43,2,FALSE)),"")</f>
        <v/>
      </c>
      <c r="P195" s="196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71"/>
      <c r="AB195" s="272"/>
      <c r="AC195" s="272"/>
      <c r="AD195" s="272"/>
      <c r="AE195" s="272"/>
      <c r="AF195" s="272"/>
      <c r="AG195" s="272"/>
      <c r="AH195" s="272"/>
      <c r="AI195" s="267"/>
    </row>
    <row r="196" spans="1:35" x14ac:dyDescent="0.2">
      <c r="A196" s="208" t="str">
        <f>+IF(D196="","",CONCATENATE("GBL 00",Mantenedor!E195))</f>
        <v/>
      </c>
      <c r="B196" s="214"/>
      <c r="C196" s="215"/>
      <c r="D196" s="215"/>
      <c r="E196" s="215"/>
      <c r="F196" s="215"/>
      <c r="G196" s="215"/>
      <c r="H196" s="215"/>
      <c r="I196" s="216"/>
      <c r="J196" s="217"/>
      <c r="K196" s="218"/>
      <c r="L196" s="217" t="str">
        <f t="shared" ref="L196:L259" si="3">IF(K196="","",(J196+K196))</f>
        <v/>
      </c>
      <c r="M196" s="240"/>
      <c r="N196" s="225" t="str">
        <f>IF($K196="","",IF($K196=1,CONCATENATE("Base ",$M196," ",$K196," noche"),CONCATENATE("Base ",$M196," ",$K196," noches")))</f>
        <v/>
      </c>
      <c r="O196" s="239" t="str">
        <f>IFERROR((VLOOKUP($N196,Pricing!$D$2:$E$43,2,FALSE)),"")</f>
        <v/>
      </c>
      <c r="P196" s="196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71"/>
      <c r="AB196" s="272"/>
      <c r="AC196" s="272"/>
      <c r="AD196" s="272"/>
      <c r="AE196" s="272"/>
      <c r="AF196" s="272"/>
      <c r="AG196" s="272"/>
      <c r="AH196" s="272"/>
      <c r="AI196" s="267"/>
    </row>
    <row r="197" spans="1:35" x14ac:dyDescent="0.2">
      <c r="A197" s="208" t="str">
        <f>+IF(D197="","",CONCATENATE("GBL 00",Mantenedor!E196))</f>
        <v/>
      </c>
      <c r="B197" s="214"/>
      <c r="C197" s="215"/>
      <c r="D197" s="215"/>
      <c r="E197" s="215"/>
      <c r="F197" s="215"/>
      <c r="G197" s="215"/>
      <c r="H197" s="215"/>
      <c r="I197" s="216"/>
      <c r="J197" s="217"/>
      <c r="K197" s="218"/>
      <c r="L197" s="217" t="str">
        <f t="shared" si="3"/>
        <v/>
      </c>
      <c r="M197" s="240"/>
      <c r="N197" s="225" t="str">
        <f>IF($K197="","",IF($K197=1,CONCATENATE("Base ",$M197," ",$K197," noche"),CONCATENATE("Base ",$M197," ",$K197," noches")))</f>
        <v/>
      </c>
      <c r="O197" s="239" t="str">
        <f>IFERROR((VLOOKUP($N197,Pricing!$D$2:$E$43,2,FALSE)),"")</f>
        <v/>
      </c>
      <c r="P197" s="196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71"/>
      <c r="AB197" s="272"/>
      <c r="AC197" s="272"/>
      <c r="AD197" s="272"/>
      <c r="AE197" s="272"/>
      <c r="AF197" s="272"/>
      <c r="AG197" s="272"/>
      <c r="AH197" s="272"/>
      <c r="AI197" s="267"/>
    </row>
    <row r="198" spans="1:35" x14ac:dyDescent="0.2">
      <c r="A198" s="208" t="str">
        <f>+IF(D198="","",CONCATENATE("GBL 00",Mantenedor!E197))</f>
        <v/>
      </c>
      <c r="B198" s="214"/>
      <c r="C198" s="215"/>
      <c r="D198" s="215"/>
      <c r="E198" s="215"/>
      <c r="F198" s="215"/>
      <c r="G198" s="215"/>
      <c r="H198" s="215"/>
      <c r="I198" s="216"/>
      <c r="J198" s="217"/>
      <c r="K198" s="218"/>
      <c r="L198" s="217" t="str">
        <f t="shared" si="3"/>
        <v/>
      </c>
      <c r="M198" s="240"/>
      <c r="N198" s="225" t="str">
        <f>IF($K198="","",IF($K198=1,CONCATENATE("Base ",$M198," ",$K198," noche"),CONCATENATE("Base ",$M198," ",$K198," noches")))</f>
        <v/>
      </c>
      <c r="O198" s="239" t="str">
        <f>IFERROR((VLOOKUP($N198,Pricing!$D$2:$E$43,2,FALSE)),"")</f>
        <v/>
      </c>
      <c r="P198" s="196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71"/>
      <c r="AB198" s="272"/>
      <c r="AC198" s="272"/>
      <c r="AD198" s="272"/>
      <c r="AE198" s="272"/>
      <c r="AF198" s="272"/>
      <c r="AG198" s="272"/>
      <c r="AH198" s="272"/>
      <c r="AI198" s="267"/>
    </row>
    <row r="199" spans="1:35" x14ac:dyDescent="0.2">
      <c r="A199" s="208" t="str">
        <f>+IF(D199="","",CONCATENATE("GBL 00",Mantenedor!E198))</f>
        <v/>
      </c>
      <c r="B199" s="214"/>
      <c r="C199" s="215"/>
      <c r="D199" s="215"/>
      <c r="E199" s="215"/>
      <c r="F199" s="215"/>
      <c r="G199" s="215"/>
      <c r="H199" s="215"/>
      <c r="I199" s="216"/>
      <c r="J199" s="217"/>
      <c r="K199" s="218"/>
      <c r="L199" s="217" t="str">
        <f t="shared" si="3"/>
        <v/>
      </c>
      <c r="M199" s="240"/>
      <c r="N199" s="225" t="str">
        <f>IF($K199="","",IF($K199=1,CONCATENATE("Base ",$M199," ",$K199," noche"),CONCATENATE("Base ",$M199," ",$K199," noches")))</f>
        <v/>
      </c>
      <c r="O199" s="239" t="str">
        <f>IFERROR((VLOOKUP($N199,Pricing!$D$2:$E$43,2,FALSE)),"")</f>
        <v/>
      </c>
      <c r="P199" s="196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71"/>
      <c r="AB199" s="272"/>
      <c r="AC199" s="272"/>
      <c r="AD199" s="272"/>
      <c r="AE199" s="272"/>
      <c r="AF199" s="272"/>
      <c r="AG199" s="272"/>
      <c r="AH199" s="272"/>
      <c r="AI199" s="267"/>
    </row>
    <row r="200" spans="1:35" x14ac:dyDescent="0.2">
      <c r="A200" s="208" t="str">
        <f>+IF(D200="","",CONCATENATE("GBL 00",Mantenedor!E199))</f>
        <v/>
      </c>
      <c r="B200" s="214"/>
      <c r="C200" s="215"/>
      <c r="D200" s="215"/>
      <c r="E200" s="215"/>
      <c r="F200" s="215"/>
      <c r="G200" s="215"/>
      <c r="H200" s="215"/>
      <c r="I200" s="216"/>
      <c r="J200" s="217"/>
      <c r="K200" s="218"/>
      <c r="L200" s="217" t="str">
        <f t="shared" si="3"/>
        <v/>
      </c>
      <c r="M200" s="240"/>
      <c r="N200" s="225" t="str">
        <f>IF($K200="","",IF($K200=1,CONCATENATE("Base ",$M200," ",$K200," noche"),CONCATENATE("Base ",$M200," ",$K200," noches")))</f>
        <v/>
      </c>
      <c r="O200" s="239" t="str">
        <f>IFERROR((VLOOKUP($N200,Pricing!$D$2:$E$43,2,FALSE)),"")</f>
        <v/>
      </c>
      <c r="P200" s="196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71"/>
      <c r="AB200" s="272"/>
      <c r="AC200" s="272"/>
      <c r="AD200" s="272"/>
      <c r="AE200" s="272"/>
      <c r="AF200" s="272"/>
      <c r="AG200" s="272"/>
      <c r="AH200" s="272"/>
      <c r="AI200" s="267"/>
    </row>
    <row r="201" spans="1:35" x14ac:dyDescent="0.2">
      <c r="A201" s="208" t="str">
        <f>+IF(D201="","",CONCATENATE("GBL 00",Mantenedor!E200))</f>
        <v/>
      </c>
      <c r="B201" s="214"/>
      <c r="C201" s="215"/>
      <c r="D201" s="215"/>
      <c r="E201" s="215"/>
      <c r="F201" s="215"/>
      <c r="G201" s="215"/>
      <c r="H201" s="215"/>
      <c r="I201" s="216"/>
      <c r="J201" s="217"/>
      <c r="K201" s="218"/>
      <c r="L201" s="217" t="str">
        <f t="shared" si="3"/>
        <v/>
      </c>
      <c r="M201" s="240"/>
      <c r="N201" s="225" t="str">
        <f>IF($K201="","",IF($K201=1,CONCATENATE("Base ",$M201," ",$K201," noche"),CONCATENATE("Base ",$M201," ",$K201," noches")))</f>
        <v/>
      </c>
      <c r="O201" s="239" t="str">
        <f>IFERROR((VLOOKUP($N201,Pricing!$D$2:$E$43,2,FALSE)),"")</f>
        <v/>
      </c>
      <c r="P201" s="196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71"/>
      <c r="AB201" s="272"/>
      <c r="AC201" s="272"/>
      <c r="AD201" s="272"/>
      <c r="AE201" s="272"/>
      <c r="AF201" s="272"/>
      <c r="AG201" s="272"/>
      <c r="AH201" s="272"/>
      <c r="AI201" s="267"/>
    </row>
    <row r="202" spans="1:35" x14ac:dyDescent="0.2">
      <c r="A202" s="208" t="str">
        <f>+IF(D202="","",CONCATENATE("GBL 00",Mantenedor!E201))</f>
        <v/>
      </c>
      <c r="B202" s="214"/>
      <c r="C202" s="215"/>
      <c r="D202" s="215"/>
      <c r="E202" s="215"/>
      <c r="F202" s="215"/>
      <c r="G202" s="215"/>
      <c r="H202" s="215"/>
      <c r="I202" s="216"/>
      <c r="J202" s="217"/>
      <c r="K202" s="218"/>
      <c r="L202" s="217" t="str">
        <f t="shared" si="3"/>
        <v/>
      </c>
      <c r="M202" s="240"/>
      <c r="N202" s="225" t="str">
        <f>IF($K202="","",IF($K202=1,CONCATENATE("Base ",$M202," ",$K202," noche"),CONCATENATE("Base ",$M202," ",$K202," noches")))</f>
        <v/>
      </c>
      <c r="O202" s="239" t="str">
        <f>IFERROR((VLOOKUP($N202,Pricing!$D$2:$E$43,2,FALSE)),"")</f>
        <v/>
      </c>
      <c r="P202" s="196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71"/>
      <c r="AB202" s="272"/>
      <c r="AC202" s="272"/>
      <c r="AD202" s="272"/>
      <c r="AE202" s="272"/>
      <c r="AF202" s="272"/>
      <c r="AG202" s="272"/>
      <c r="AH202" s="272"/>
      <c r="AI202" s="267"/>
    </row>
    <row r="203" spans="1:35" x14ac:dyDescent="0.2">
      <c r="A203" s="208" t="str">
        <f>+IF(D203="","",CONCATENATE("GBL 00",Mantenedor!E202))</f>
        <v/>
      </c>
      <c r="B203" s="214"/>
      <c r="C203" s="215"/>
      <c r="D203" s="215"/>
      <c r="E203" s="215"/>
      <c r="F203" s="215"/>
      <c r="G203" s="215"/>
      <c r="H203" s="215"/>
      <c r="I203" s="216"/>
      <c r="J203" s="217"/>
      <c r="K203" s="218"/>
      <c r="L203" s="217" t="str">
        <f t="shared" si="3"/>
        <v/>
      </c>
      <c r="M203" s="240"/>
      <c r="N203" s="225" t="str">
        <f>IF($K203="","",IF($K203=1,CONCATENATE("Base ",$M203," ",$K203," noche"),CONCATENATE("Base ",$M203," ",$K203," noches")))</f>
        <v/>
      </c>
      <c r="O203" s="239" t="str">
        <f>IFERROR((VLOOKUP($N203,Pricing!$D$2:$E$43,2,FALSE)),"")</f>
        <v/>
      </c>
      <c r="P203" s="196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71"/>
      <c r="AB203" s="272"/>
      <c r="AC203" s="272"/>
      <c r="AD203" s="272"/>
      <c r="AE203" s="272"/>
      <c r="AF203" s="272"/>
      <c r="AG203" s="272"/>
      <c r="AH203" s="272"/>
      <c r="AI203" s="267"/>
    </row>
    <row r="204" spans="1:35" x14ac:dyDescent="0.2">
      <c r="A204" s="208" t="str">
        <f>+IF(D204="","",CONCATENATE("GBL 00",Mantenedor!E203))</f>
        <v/>
      </c>
      <c r="B204" s="214"/>
      <c r="C204" s="215"/>
      <c r="D204" s="215"/>
      <c r="E204" s="215"/>
      <c r="F204" s="215"/>
      <c r="G204" s="215"/>
      <c r="H204" s="215"/>
      <c r="I204" s="216"/>
      <c r="J204" s="217"/>
      <c r="K204" s="218"/>
      <c r="L204" s="217" t="str">
        <f t="shared" si="3"/>
        <v/>
      </c>
      <c r="M204" s="240"/>
      <c r="N204" s="225" t="str">
        <f>IF($K204="","",IF($K204=1,CONCATENATE("Base ",$M204," ",$K204," noche"),CONCATENATE("Base ",$M204," ",$K204," noches")))</f>
        <v/>
      </c>
      <c r="O204" s="239" t="str">
        <f>IFERROR((VLOOKUP($N204,Pricing!$D$2:$E$43,2,FALSE)),"")</f>
        <v/>
      </c>
      <c r="P204" s="196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71"/>
      <c r="AB204" s="272"/>
      <c r="AC204" s="272"/>
      <c r="AD204" s="272"/>
      <c r="AE204" s="272"/>
      <c r="AF204" s="272"/>
      <c r="AG204" s="272"/>
      <c r="AH204" s="272"/>
      <c r="AI204" s="267"/>
    </row>
    <row r="205" spans="1:35" x14ac:dyDescent="0.2">
      <c r="A205" s="208" t="str">
        <f>+IF(D205="","",CONCATENATE("GBL 00",Mantenedor!E204))</f>
        <v/>
      </c>
      <c r="B205" s="214"/>
      <c r="C205" s="215"/>
      <c r="D205" s="215"/>
      <c r="E205" s="215"/>
      <c r="F205" s="215"/>
      <c r="G205" s="215"/>
      <c r="H205" s="215"/>
      <c r="I205" s="216"/>
      <c r="J205" s="217"/>
      <c r="K205" s="218"/>
      <c r="L205" s="217" t="str">
        <f t="shared" si="3"/>
        <v/>
      </c>
      <c r="M205" s="240"/>
      <c r="N205" s="225" t="str">
        <f>IF($K205="","",IF($K205=1,CONCATENATE("Base ",$M205," ",$K205," noche"),CONCATENATE("Base ",$M205," ",$K205," noches")))</f>
        <v/>
      </c>
      <c r="O205" s="239" t="str">
        <f>IFERROR((VLOOKUP($N205,Pricing!$D$2:$E$43,2,FALSE)),"")</f>
        <v/>
      </c>
      <c r="P205" s="196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71"/>
      <c r="AB205" s="272"/>
      <c r="AC205" s="272"/>
      <c r="AD205" s="272"/>
      <c r="AE205" s="272"/>
      <c r="AF205" s="272"/>
      <c r="AG205" s="272"/>
      <c r="AH205" s="272"/>
      <c r="AI205" s="267"/>
    </row>
    <row r="206" spans="1:35" x14ac:dyDescent="0.2">
      <c r="A206" s="208" t="str">
        <f>+IF(D206="","",CONCATENATE("GBL 00",Mantenedor!E205))</f>
        <v/>
      </c>
      <c r="B206" s="214"/>
      <c r="C206" s="215"/>
      <c r="D206" s="215"/>
      <c r="E206" s="215"/>
      <c r="F206" s="215"/>
      <c r="G206" s="215"/>
      <c r="H206" s="215"/>
      <c r="I206" s="216"/>
      <c r="J206" s="217"/>
      <c r="K206" s="218"/>
      <c r="L206" s="217" t="str">
        <f t="shared" si="3"/>
        <v/>
      </c>
      <c r="M206" s="240"/>
      <c r="N206" s="225" t="str">
        <f>IF($K206="","",IF($K206=1,CONCATENATE("Base ",$M206," ",$K206," noche"),CONCATENATE("Base ",$M206," ",$K206," noches")))</f>
        <v/>
      </c>
      <c r="O206" s="239" t="str">
        <f>IFERROR((VLOOKUP($N206,Pricing!$D$2:$E$43,2,FALSE)),"")</f>
        <v/>
      </c>
      <c r="P206" s="196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71"/>
      <c r="AB206" s="272"/>
      <c r="AC206" s="272"/>
      <c r="AD206" s="272"/>
      <c r="AE206" s="272"/>
      <c r="AF206" s="272"/>
      <c r="AG206" s="272"/>
      <c r="AH206" s="272"/>
      <c r="AI206" s="267"/>
    </row>
    <row r="207" spans="1:35" x14ac:dyDescent="0.2">
      <c r="A207" s="208" t="str">
        <f>+IF(D207="","",CONCATENATE("GBL 00",Mantenedor!E206))</f>
        <v/>
      </c>
      <c r="B207" s="214"/>
      <c r="C207" s="215"/>
      <c r="D207" s="215"/>
      <c r="E207" s="215"/>
      <c r="F207" s="215"/>
      <c r="G207" s="215"/>
      <c r="H207" s="215"/>
      <c r="I207" s="216"/>
      <c r="J207" s="217"/>
      <c r="K207" s="218"/>
      <c r="L207" s="217" t="str">
        <f t="shared" si="3"/>
        <v/>
      </c>
      <c r="M207" s="240"/>
      <c r="N207" s="225" t="str">
        <f>IF($K207="","",IF($K207=1,CONCATENATE("Base ",$M207," ",$K207," noche"),CONCATENATE("Base ",$M207," ",$K207," noches")))</f>
        <v/>
      </c>
      <c r="O207" s="239" t="str">
        <f>IFERROR((VLOOKUP($N207,Pricing!$D$2:$E$43,2,FALSE)),"")</f>
        <v/>
      </c>
      <c r="P207" s="196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71"/>
      <c r="AB207" s="272"/>
      <c r="AC207" s="272"/>
      <c r="AD207" s="272"/>
      <c r="AE207" s="272"/>
      <c r="AF207" s="272"/>
      <c r="AG207" s="272"/>
      <c r="AH207" s="272"/>
      <c r="AI207" s="267"/>
    </row>
    <row r="208" spans="1:35" x14ac:dyDescent="0.2">
      <c r="A208" s="208" t="str">
        <f>+IF(D208="","",CONCATENATE("GBL 00",Mantenedor!E207))</f>
        <v/>
      </c>
      <c r="B208" s="214"/>
      <c r="C208" s="215"/>
      <c r="D208" s="215"/>
      <c r="E208" s="215"/>
      <c r="F208" s="215"/>
      <c r="G208" s="215"/>
      <c r="H208" s="215"/>
      <c r="I208" s="216"/>
      <c r="J208" s="217"/>
      <c r="K208" s="218"/>
      <c r="L208" s="217" t="str">
        <f t="shared" si="3"/>
        <v/>
      </c>
      <c r="M208" s="240"/>
      <c r="N208" s="225" t="str">
        <f>IF($K208="","",IF($K208=1,CONCATENATE("Base ",$M208," ",$K208," noche"),CONCATENATE("Base ",$M208," ",$K208," noches")))</f>
        <v/>
      </c>
      <c r="O208" s="239" t="str">
        <f>IFERROR((VLOOKUP($N208,Pricing!$D$2:$E$43,2,FALSE)),"")</f>
        <v/>
      </c>
      <c r="P208" s="196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71"/>
      <c r="AB208" s="272"/>
      <c r="AC208" s="272"/>
      <c r="AD208" s="272"/>
      <c r="AE208" s="272"/>
      <c r="AF208" s="272"/>
      <c r="AG208" s="272"/>
      <c r="AH208" s="272"/>
      <c r="AI208" s="267"/>
    </row>
    <row r="209" spans="1:35" x14ac:dyDescent="0.2">
      <c r="A209" s="208" t="str">
        <f>+IF(D209="","",CONCATENATE("GBL 00",Mantenedor!E208))</f>
        <v/>
      </c>
      <c r="B209" s="214"/>
      <c r="C209" s="215"/>
      <c r="D209" s="215"/>
      <c r="E209" s="215"/>
      <c r="F209" s="215"/>
      <c r="G209" s="215"/>
      <c r="H209" s="215"/>
      <c r="I209" s="216"/>
      <c r="J209" s="217"/>
      <c r="K209" s="218"/>
      <c r="L209" s="217" t="str">
        <f t="shared" si="3"/>
        <v/>
      </c>
      <c r="M209" s="240"/>
      <c r="N209" s="225" t="str">
        <f>IF($K209="","",IF($K209=1,CONCATENATE("Base ",$M209," ",$K209," noche"),CONCATENATE("Base ",$M209," ",$K209," noches")))</f>
        <v/>
      </c>
      <c r="O209" s="239" t="str">
        <f>IFERROR((VLOOKUP($N209,Pricing!$D$2:$E$43,2,FALSE)),"")</f>
        <v/>
      </c>
      <c r="P209" s="196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71"/>
      <c r="AB209" s="272"/>
      <c r="AC209" s="272"/>
      <c r="AD209" s="272"/>
      <c r="AE209" s="272"/>
      <c r="AF209" s="272"/>
      <c r="AG209" s="272"/>
      <c r="AH209" s="272"/>
      <c r="AI209" s="267"/>
    </row>
    <row r="210" spans="1:35" x14ac:dyDescent="0.2">
      <c r="A210" s="208" t="str">
        <f>+IF(D210="","",CONCATENATE("GBL 00",Mantenedor!E209))</f>
        <v/>
      </c>
      <c r="B210" s="214"/>
      <c r="C210" s="215"/>
      <c r="D210" s="215"/>
      <c r="E210" s="215"/>
      <c r="F210" s="215"/>
      <c r="G210" s="215"/>
      <c r="H210" s="215"/>
      <c r="I210" s="216"/>
      <c r="J210" s="217"/>
      <c r="K210" s="218"/>
      <c r="L210" s="217" t="str">
        <f t="shared" si="3"/>
        <v/>
      </c>
      <c r="M210" s="240"/>
      <c r="N210" s="225" t="str">
        <f>IF($K210="","",IF($K210=1,CONCATENATE("Base ",$M210," ",$K210," noche"),CONCATENATE("Base ",$M210," ",$K210," noches")))</f>
        <v/>
      </c>
      <c r="O210" s="239" t="str">
        <f>IFERROR((VLOOKUP($N210,Pricing!$D$2:$E$43,2,FALSE)),"")</f>
        <v/>
      </c>
      <c r="P210" s="196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71"/>
      <c r="AB210" s="272"/>
      <c r="AC210" s="272"/>
      <c r="AD210" s="272"/>
      <c r="AE210" s="272"/>
      <c r="AF210" s="272"/>
      <c r="AG210" s="272"/>
      <c r="AH210" s="272"/>
      <c r="AI210" s="267"/>
    </row>
    <row r="211" spans="1:35" x14ac:dyDescent="0.2">
      <c r="A211" s="208" t="str">
        <f>+IF(D211="","",CONCATENATE("GBL 00",Mantenedor!E210))</f>
        <v/>
      </c>
      <c r="B211" s="214"/>
      <c r="C211" s="215"/>
      <c r="D211" s="215"/>
      <c r="E211" s="215"/>
      <c r="F211" s="215"/>
      <c r="G211" s="215"/>
      <c r="H211" s="215"/>
      <c r="I211" s="216"/>
      <c r="J211" s="217"/>
      <c r="K211" s="218"/>
      <c r="L211" s="217" t="str">
        <f t="shared" si="3"/>
        <v/>
      </c>
      <c r="M211" s="240"/>
      <c r="N211" s="225" t="str">
        <f>IF($K211="","",IF($K211=1,CONCATENATE("Base ",$M211," ",$K211," noche"),CONCATENATE("Base ",$M211," ",$K211," noches")))</f>
        <v/>
      </c>
      <c r="O211" s="239" t="str">
        <f>IFERROR((VLOOKUP($N211,Pricing!$D$2:$E$43,2,FALSE)),"")</f>
        <v/>
      </c>
      <c r="P211" s="196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71"/>
      <c r="AB211" s="272"/>
      <c r="AC211" s="272"/>
      <c r="AD211" s="272"/>
      <c r="AE211" s="272"/>
      <c r="AF211" s="272"/>
      <c r="AG211" s="272"/>
      <c r="AH211" s="272"/>
      <c r="AI211" s="267"/>
    </row>
    <row r="212" spans="1:35" x14ac:dyDescent="0.2">
      <c r="A212" s="208" t="str">
        <f>+IF(D212="","",CONCATENATE("GBL 00",Mantenedor!E211))</f>
        <v/>
      </c>
      <c r="B212" s="214"/>
      <c r="C212" s="215"/>
      <c r="D212" s="215"/>
      <c r="E212" s="215"/>
      <c r="F212" s="215"/>
      <c r="G212" s="215"/>
      <c r="H212" s="215"/>
      <c r="I212" s="216"/>
      <c r="J212" s="217"/>
      <c r="K212" s="218"/>
      <c r="L212" s="217" t="str">
        <f t="shared" si="3"/>
        <v/>
      </c>
      <c r="M212" s="240"/>
      <c r="N212" s="225" t="str">
        <f>IF($K212="","",IF($K212=1,CONCATENATE("Base ",$M212," ",$K212," noche"),CONCATENATE("Base ",$M212," ",$K212," noches")))</f>
        <v/>
      </c>
      <c r="O212" s="239" t="str">
        <f>IFERROR((VLOOKUP($N212,Pricing!$D$2:$E$43,2,FALSE)),"")</f>
        <v/>
      </c>
      <c r="P212" s="196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71"/>
      <c r="AB212" s="272"/>
      <c r="AC212" s="272"/>
      <c r="AD212" s="272"/>
      <c r="AE212" s="272"/>
      <c r="AF212" s="272"/>
      <c r="AG212" s="272"/>
      <c r="AH212" s="272"/>
      <c r="AI212" s="267"/>
    </row>
    <row r="213" spans="1:35" x14ac:dyDescent="0.2">
      <c r="A213" s="208" t="str">
        <f>+IF(D213="","",CONCATENATE("GBL 00",Mantenedor!E212))</f>
        <v/>
      </c>
      <c r="B213" s="214"/>
      <c r="C213" s="215"/>
      <c r="D213" s="215"/>
      <c r="E213" s="215"/>
      <c r="F213" s="215"/>
      <c r="G213" s="215"/>
      <c r="H213" s="215"/>
      <c r="I213" s="216"/>
      <c r="J213" s="217"/>
      <c r="K213" s="218"/>
      <c r="L213" s="217" t="str">
        <f t="shared" si="3"/>
        <v/>
      </c>
      <c r="M213" s="240"/>
      <c r="N213" s="225" t="str">
        <f>IF($K213="","",IF($K213=1,CONCATENATE("Base ",$M213," ",$K213," noche"),CONCATENATE("Base ",$M213," ",$K213," noches")))</f>
        <v/>
      </c>
      <c r="O213" s="239" t="str">
        <f>IFERROR((VLOOKUP($N213,Pricing!$D$2:$E$43,2,FALSE)),"")</f>
        <v/>
      </c>
      <c r="P213" s="196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71"/>
      <c r="AB213" s="272"/>
      <c r="AC213" s="272"/>
      <c r="AD213" s="272"/>
      <c r="AE213" s="272"/>
      <c r="AF213" s="272"/>
      <c r="AG213" s="272"/>
      <c r="AH213" s="272"/>
      <c r="AI213" s="267"/>
    </row>
    <row r="214" spans="1:35" x14ac:dyDescent="0.2">
      <c r="A214" s="208" t="str">
        <f>+IF(D214="","",CONCATENATE("GBL 00",Mantenedor!E213))</f>
        <v/>
      </c>
      <c r="B214" s="214"/>
      <c r="C214" s="215"/>
      <c r="D214" s="215"/>
      <c r="E214" s="215"/>
      <c r="F214" s="215"/>
      <c r="G214" s="215"/>
      <c r="H214" s="215"/>
      <c r="I214" s="216"/>
      <c r="J214" s="217"/>
      <c r="K214" s="218"/>
      <c r="L214" s="217" t="str">
        <f t="shared" si="3"/>
        <v/>
      </c>
      <c r="M214" s="240"/>
      <c r="N214" s="225" t="str">
        <f>IF($K214="","",IF($K214=1,CONCATENATE("Base ",$M214," ",$K214," noche"),CONCATENATE("Base ",$M214," ",$K214," noches")))</f>
        <v/>
      </c>
      <c r="O214" s="239" t="str">
        <f>IFERROR((VLOOKUP($N214,Pricing!$D$2:$E$43,2,FALSE)),"")</f>
        <v/>
      </c>
      <c r="P214" s="196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71"/>
      <c r="AB214" s="272"/>
      <c r="AC214" s="272"/>
      <c r="AD214" s="272"/>
      <c r="AE214" s="272"/>
      <c r="AF214" s="272"/>
      <c r="AG214" s="272"/>
      <c r="AH214" s="272"/>
      <c r="AI214" s="267"/>
    </row>
    <row r="215" spans="1:35" x14ac:dyDescent="0.2">
      <c r="A215" s="208" t="str">
        <f>+IF(D215="","",CONCATENATE("GBL 00",Mantenedor!E214))</f>
        <v/>
      </c>
      <c r="B215" s="214"/>
      <c r="C215" s="215"/>
      <c r="D215" s="215"/>
      <c r="E215" s="215"/>
      <c r="F215" s="215"/>
      <c r="G215" s="215"/>
      <c r="H215" s="215"/>
      <c r="I215" s="216"/>
      <c r="J215" s="217"/>
      <c r="K215" s="218"/>
      <c r="L215" s="217" t="str">
        <f t="shared" si="3"/>
        <v/>
      </c>
      <c r="M215" s="240"/>
      <c r="N215" s="225" t="str">
        <f>IF($K215="","",IF($K215=1,CONCATENATE("Base ",$M215," ",$K215," noche"),CONCATENATE("Base ",$M215," ",$K215," noches")))</f>
        <v/>
      </c>
      <c r="O215" s="239" t="str">
        <f>IFERROR((VLOOKUP($N215,Pricing!$D$2:$E$43,2,FALSE)),"")</f>
        <v/>
      </c>
      <c r="P215" s="196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71"/>
      <c r="AB215" s="272"/>
      <c r="AC215" s="272"/>
      <c r="AD215" s="272"/>
      <c r="AE215" s="272"/>
      <c r="AF215" s="272"/>
      <c r="AG215" s="272"/>
      <c r="AH215" s="272"/>
      <c r="AI215" s="267"/>
    </row>
    <row r="216" spans="1:35" x14ac:dyDescent="0.2">
      <c r="A216" s="208" t="str">
        <f>+IF(D216="","",CONCATENATE("GBL 00",Mantenedor!E215))</f>
        <v/>
      </c>
      <c r="B216" s="214"/>
      <c r="C216" s="215"/>
      <c r="D216" s="215"/>
      <c r="E216" s="215"/>
      <c r="F216" s="215"/>
      <c r="G216" s="215"/>
      <c r="H216" s="215"/>
      <c r="I216" s="216"/>
      <c r="J216" s="217"/>
      <c r="K216" s="218"/>
      <c r="L216" s="217" t="str">
        <f t="shared" si="3"/>
        <v/>
      </c>
      <c r="M216" s="240"/>
      <c r="N216" s="225" t="str">
        <f>IF($K216="","",IF($K216=1,CONCATENATE("Base ",$M216," ",$K216," noche"),CONCATENATE("Base ",$M216," ",$K216," noches")))</f>
        <v/>
      </c>
      <c r="O216" s="239" t="str">
        <f>IFERROR((VLOOKUP($N216,Pricing!$D$2:$E$43,2,FALSE)),"")</f>
        <v/>
      </c>
      <c r="P216" s="196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71"/>
      <c r="AB216" s="272"/>
      <c r="AC216" s="272"/>
      <c r="AD216" s="272"/>
      <c r="AE216" s="272"/>
      <c r="AF216" s="272"/>
      <c r="AG216" s="272"/>
      <c r="AH216" s="272"/>
      <c r="AI216" s="267"/>
    </row>
    <row r="217" spans="1:35" x14ac:dyDescent="0.2">
      <c r="A217" s="208" t="str">
        <f>+IF(D217="","",CONCATENATE("GBL 00",Mantenedor!E216))</f>
        <v/>
      </c>
      <c r="B217" s="214"/>
      <c r="C217" s="215"/>
      <c r="D217" s="215"/>
      <c r="E217" s="215"/>
      <c r="F217" s="215"/>
      <c r="G217" s="215"/>
      <c r="H217" s="215"/>
      <c r="I217" s="216"/>
      <c r="J217" s="217"/>
      <c r="K217" s="218"/>
      <c r="L217" s="217" t="str">
        <f t="shared" si="3"/>
        <v/>
      </c>
      <c r="M217" s="240"/>
      <c r="N217" s="225" t="str">
        <f>IF($K217="","",IF($K217=1,CONCATENATE("Base ",$M217," ",$K217," noche"),CONCATENATE("Base ",$M217," ",$K217," noches")))</f>
        <v/>
      </c>
      <c r="O217" s="239" t="str">
        <f>IFERROR((VLOOKUP($N217,Pricing!$D$2:$E$43,2,FALSE)),"")</f>
        <v/>
      </c>
      <c r="P217" s="196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71"/>
      <c r="AB217" s="272"/>
      <c r="AC217" s="272"/>
      <c r="AD217" s="272"/>
      <c r="AE217" s="272"/>
      <c r="AF217" s="272"/>
      <c r="AG217" s="272"/>
      <c r="AH217" s="272"/>
      <c r="AI217" s="267"/>
    </row>
    <row r="218" spans="1:35" x14ac:dyDescent="0.2">
      <c r="A218" s="208" t="str">
        <f>+IF(D218="","",CONCATENATE("GBL 00",Mantenedor!E217))</f>
        <v/>
      </c>
      <c r="B218" s="214"/>
      <c r="C218" s="215"/>
      <c r="D218" s="215"/>
      <c r="E218" s="215"/>
      <c r="F218" s="215"/>
      <c r="G218" s="215"/>
      <c r="H218" s="215"/>
      <c r="I218" s="216"/>
      <c r="J218" s="217"/>
      <c r="K218" s="218"/>
      <c r="L218" s="217" t="str">
        <f t="shared" si="3"/>
        <v/>
      </c>
      <c r="M218" s="240"/>
      <c r="N218" s="225" t="str">
        <f>IF($K218="","",IF($K218=1,CONCATENATE("Base ",$M218," ",$K218," noche"),CONCATENATE("Base ",$M218," ",$K218," noches")))</f>
        <v/>
      </c>
      <c r="O218" s="239" t="str">
        <f>IFERROR((VLOOKUP($N218,Pricing!$D$2:$E$43,2,FALSE)),"")</f>
        <v/>
      </c>
      <c r="P218" s="196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71"/>
      <c r="AB218" s="272"/>
      <c r="AC218" s="272"/>
      <c r="AD218" s="272"/>
      <c r="AE218" s="272"/>
      <c r="AF218" s="272"/>
      <c r="AG218" s="272"/>
      <c r="AH218" s="272"/>
      <c r="AI218" s="267"/>
    </row>
    <row r="219" spans="1:35" x14ac:dyDescent="0.2">
      <c r="A219" s="208" t="str">
        <f>+IF(D219="","",CONCATENATE("GBL 00",Mantenedor!E218))</f>
        <v/>
      </c>
      <c r="B219" s="214"/>
      <c r="C219" s="215"/>
      <c r="D219" s="215"/>
      <c r="E219" s="215"/>
      <c r="F219" s="215"/>
      <c r="G219" s="215"/>
      <c r="H219" s="215"/>
      <c r="I219" s="216"/>
      <c r="J219" s="217"/>
      <c r="K219" s="218"/>
      <c r="L219" s="217" t="str">
        <f t="shared" si="3"/>
        <v/>
      </c>
      <c r="M219" s="240"/>
      <c r="N219" s="225" t="str">
        <f>IF($K219="","",IF($K219=1,CONCATENATE("Base ",$M219," ",$K219," noche"),CONCATENATE("Base ",$M219," ",$K219," noches")))</f>
        <v/>
      </c>
      <c r="O219" s="239" t="str">
        <f>IFERROR((VLOOKUP($N219,Pricing!$D$2:$E$43,2,FALSE)),"")</f>
        <v/>
      </c>
      <c r="P219" s="196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71"/>
      <c r="AB219" s="272"/>
      <c r="AC219" s="272"/>
      <c r="AD219" s="272"/>
      <c r="AE219" s="272"/>
      <c r="AF219" s="272"/>
      <c r="AG219" s="272"/>
      <c r="AH219" s="272"/>
      <c r="AI219" s="267"/>
    </row>
    <row r="220" spans="1:35" x14ac:dyDescent="0.2">
      <c r="A220" s="208" t="str">
        <f>+IF(D220="","",CONCATENATE("GBL 00",Mantenedor!E219))</f>
        <v/>
      </c>
      <c r="B220" s="214"/>
      <c r="C220" s="215"/>
      <c r="D220" s="215"/>
      <c r="E220" s="215"/>
      <c r="F220" s="215"/>
      <c r="G220" s="215"/>
      <c r="H220" s="215"/>
      <c r="I220" s="216"/>
      <c r="J220" s="217"/>
      <c r="K220" s="218"/>
      <c r="L220" s="217" t="str">
        <f t="shared" si="3"/>
        <v/>
      </c>
      <c r="M220" s="240"/>
      <c r="N220" s="225" t="str">
        <f>IF($K220="","",IF($K220=1,CONCATENATE("Base ",$M220," ",$K220," noche"),CONCATENATE("Base ",$M220," ",$K220," noches")))</f>
        <v/>
      </c>
      <c r="O220" s="239" t="str">
        <f>IFERROR((VLOOKUP($N220,Pricing!$D$2:$E$43,2,FALSE)),"")</f>
        <v/>
      </c>
      <c r="P220" s="196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71"/>
      <c r="AB220" s="272"/>
      <c r="AC220" s="272"/>
      <c r="AD220" s="272"/>
      <c r="AE220" s="272"/>
      <c r="AF220" s="272"/>
      <c r="AG220" s="272"/>
      <c r="AH220" s="272"/>
      <c r="AI220" s="267"/>
    </row>
    <row r="221" spans="1:35" x14ac:dyDescent="0.2">
      <c r="A221" s="208" t="str">
        <f>+IF(D221="","",CONCATENATE("GBL 00",Mantenedor!E220))</f>
        <v/>
      </c>
      <c r="B221" s="214"/>
      <c r="C221" s="215"/>
      <c r="D221" s="215"/>
      <c r="E221" s="215"/>
      <c r="F221" s="215"/>
      <c r="G221" s="215"/>
      <c r="H221" s="215"/>
      <c r="I221" s="216"/>
      <c r="J221" s="217"/>
      <c r="K221" s="218"/>
      <c r="L221" s="217" t="str">
        <f t="shared" si="3"/>
        <v/>
      </c>
      <c r="M221" s="240"/>
      <c r="N221" s="225" t="str">
        <f>IF($K221="","",IF($K221=1,CONCATENATE("Base ",$M221," ",$K221," noche"),CONCATENATE("Base ",$M221," ",$K221," noches")))</f>
        <v/>
      </c>
      <c r="O221" s="239" t="str">
        <f>IFERROR((VLOOKUP($N221,Pricing!$D$2:$E$43,2,FALSE)),"")</f>
        <v/>
      </c>
      <c r="P221" s="196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71"/>
      <c r="AB221" s="272"/>
      <c r="AC221" s="272"/>
      <c r="AD221" s="272"/>
      <c r="AE221" s="272"/>
      <c r="AF221" s="272"/>
      <c r="AG221" s="272"/>
      <c r="AH221" s="272"/>
      <c r="AI221" s="267"/>
    </row>
    <row r="222" spans="1:35" x14ac:dyDescent="0.2">
      <c r="A222" s="208" t="str">
        <f>+IF(D222="","",CONCATENATE("GBL 00",Mantenedor!E221))</f>
        <v/>
      </c>
      <c r="B222" s="214"/>
      <c r="C222" s="215"/>
      <c r="D222" s="215"/>
      <c r="E222" s="215"/>
      <c r="F222" s="215"/>
      <c r="G222" s="215"/>
      <c r="H222" s="215"/>
      <c r="I222" s="216"/>
      <c r="J222" s="217"/>
      <c r="K222" s="218"/>
      <c r="L222" s="217" t="str">
        <f t="shared" si="3"/>
        <v/>
      </c>
      <c r="M222" s="240"/>
      <c r="N222" s="225" t="str">
        <f>IF($K222="","",IF($K222=1,CONCATENATE("Base ",$M222," ",$K222," noche"),CONCATENATE("Base ",$M222," ",$K222," noches")))</f>
        <v/>
      </c>
      <c r="O222" s="239" t="str">
        <f>IFERROR((VLOOKUP($N222,Pricing!$D$2:$E$43,2,FALSE)),"")</f>
        <v/>
      </c>
      <c r="P222" s="196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71"/>
      <c r="AB222" s="272"/>
      <c r="AC222" s="272"/>
      <c r="AD222" s="272"/>
      <c r="AE222" s="272"/>
      <c r="AF222" s="272"/>
      <c r="AG222" s="272"/>
      <c r="AH222" s="272"/>
      <c r="AI222" s="267"/>
    </row>
    <row r="223" spans="1:35" x14ac:dyDescent="0.2">
      <c r="A223" s="208" t="str">
        <f>+IF(D223="","",CONCATENATE("GBL 00",Mantenedor!E222))</f>
        <v/>
      </c>
      <c r="B223" s="214"/>
      <c r="C223" s="215"/>
      <c r="D223" s="215"/>
      <c r="E223" s="215"/>
      <c r="F223" s="215"/>
      <c r="G223" s="215"/>
      <c r="H223" s="215"/>
      <c r="I223" s="216"/>
      <c r="J223" s="217"/>
      <c r="K223" s="218"/>
      <c r="L223" s="217" t="str">
        <f t="shared" si="3"/>
        <v/>
      </c>
      <c r="M223" s="240"/>
      <c r="N223" s="225" t="str">
        <f>IF($K223="","",IF($K223=1,CONCATENATE("Base ",$M223," ",$K223," noche"),CONCATENATE("Base ",$M223," ",$K223," noches")))</f>
        <v/>
      </c>
      <c r="O223" s="239" t="str">
        <f>IFERROR((VLOOKUP($N223,Pricing!$D$2:$E$43,2,FALSE)),"")</f>
        <v/>
      </c>
      <c r="P223" s="196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71"/>
      <c r="AB223" s="272"/>
      <c r="AC223" s="272"/>
      <c r="AD223" s="272"/>
      <c r="AE223" s="272"/>
      <c r="AF223" s="272"/>
      <c r="AG223" s="272"/>
      <c r="AH223" s="272"/>
      <c r="AI223" s="267"/>
    </row>
    <row r="224" spans="1:35" x14ac:dyDescent="0.2">
      <c r="A224" s="208" t="str">
        <f>+IF(D224="","",CONCATENATE("GBL 00",Mantenedor!E223))</f>
        <v/>
      </c>
      <c r="B224" s="214"/>
      <c r="C224" s="215"/>
      <c r="D224" s="215"/>
      <c r="E224" s="215"/>
      <c r="F224" s="215"/>
      <c r="G224" s="215"/>
      <c r="H224" s="215"/>
      <c r="I224" s="216"/>
      <c r="J224" s="217"/>
      <c r="K224" s="218"/>
      <c r="L224" s="217" t="str">
        <f t="shared" si="3"/>
        <v/>
      </c>
      <c r="M224" s="240"/>
      <c r="N224" s="225" t="str">
        <f>IF($K224="","",IF($K224=1,CONCATENATE("Base ",$M224," ",$K224," noche"),CONCATENATE("Base ",$M224," ",$K224," noches")))</f>
        <v/>
      </c>
      <c r="O224" s="239" t="str">
        <f>IFERROR((VLOOKUP($N224,Pricing!$D$2:$E$43,2,FALSE)),"")</f>
        <v/>
      </c>
      <c r="P224" s="196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71"/>
      <c r="AB224" s="272"/>
      <c r="AC224" s="272"/>
      <c r="AD224" s="272"/>
      <c r="AE224" s="272"/>
      <c r="AF224" s="272"/>
      <c r="AG224" s="272"/>
      <c r="AH224" s="272"/>
      <c r="AI224" s="267"/>
    </row>
    <row r="225" spans="1:35" x14ac:dyDescent="0.2">
      <c r="A225" s="208" t="str">
        <f>+IF(D225="","",CONCATENATE("GBL 00",Mantenedor!E224))</f>
        <v/>
      </c>
      <c r="B225" s="214"/>
      <c r="C225" s="215"/>
      <c r="D225" s="215"/>
      <c r="E225" s="215"/>
      <c r="F225" s="215"/>
      <c r="G225" s="215"/>
      <c r="H225" s="215"/>
      <c r="I225" s="216"/>
      <c r="J225" s="217"/>
      <c r="K225" s="218"/>
      <c r="L225" s="217" t="str">
        <f t="shared" si="3"/>
        <v/>
      </c>
      <c r="M225" s="240"/>
      <c r="N225" s="225" t="str">
        <f>IF($K225="","",IF($K225=1,CONCATENATE("Base ",$M225," ",$K225," noche"),CONCATENATE("Base ",$M225," ",$K225," noches")))</f>
        <v/>
      </c>
      <c r="O225" s="239" t="str">
        <f>IFERROR((VLOOKUP($N225,Pricing!$D$2:$E$43,2,FALSE)),"")</f>
        <v/>
      </c>
      <c r="P225" s="196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71"/>
      <c r="AB225" s="272"/>
      <c r="AC225" s="272"/>
      <c r="AD225" s="272"/>
      <c r="AE225" s="272"/>
      <c r="AF225" s="272"/>
      <c r="AG225" s="272"/>
      <c r="AH225" s="272"/>
      <c r="AI225" s="267"/>
    </row>
    <row r="226" spans="1:35" x14ac:dyDescent="0.2">
      <c r="A226" s="208" t="str">
        <f>+IF(D226="","",CONCATENATE("GBL 00",Mantenedor!E225))</f>
        <v/>
      </c>
      <c r="B226" s="214"/>
      <c r="C226" s="215"/>
      <c r="D226" s="215"/>
      <c r="E226" s="215"/>
      <c r="F226" s="215"/>
      <c r="G226" s="215"/>
      <c r="H226" s="215"/>
      <c r="I226" s="216"/>
      <c r="J226" s="217"/>
      <c r="K226" s="218"/>
      <c r="L226" s="217" t="str">
        <f t="shared" si="3"/>
        <v/>
      </c>
      <c r="M226" s="240"/>
      <c r="N226" s="225" t="str">
        <f>IF($K226="","",IF($K226=1,CONCATENATE("Base ",$M226," ",$K226," noche"),CONCATENATE("Base ",$M226," ",$K226," noches")))</f>
        <v/>
      </c>
      <c r="O226" s="239" t="str">
        <f>IFERROR((VLOOKUP($N226,Pricing!$D$2:$E$43,2,FALSE)),"")</f>
        <v/>
      </c>
      <c r="P226" s="196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71"/>
      <c r="AB226" s="272"/>
      <c r="AC226" s="272"/>
      <c r="AD226" s="272"/>
      <c r="AE226" s="272"/>
      <c r="AF226" s="272"/>
      <c r="AG226" s="272"/>
      <c r="AH226" s="272"/>
      <c r="AI226" s="267"/>
    </row>
    <row r="227" spans="1:35" x14ac:dyDescent="0.2">
      <c r="A227" s="208" t="str">
        <f>+IF(D227="","",CONCATENATE("GBL 00",Mantenedor!E226))</f>
        <v/>
      </c>
      <c r="B227" s="214"/>
      <c r="C227" s="215"/>
      <c r="D227" s="215"/>
      <c r="E227" s="215"/>
      <c r="F227" s="215"/>
      <c r="G227" s="215"/>
      <c r="H227" s="215"/>
      <c r="I227" s="216"/>
      <c r="J227" s="217"/>
      <c r="K227" s="218"/>
      <c r="L227" s="217" t="str">
        <f t="shared" si="3"/>
        <v/>
      </c>
      <c r="M227" s="240"/>
      <c r="N227" s="225" t="str">
        <f>IF($K227="","",IF($K227=1,CONCATENATE("Base ",$M227," ",$K227," noche"),CONCATENATE("Base ",$M227," ",$K227," noches")))</f>
        <v/>
      </c>
      <c r="O227" s="239" t="str">
        <f>IFERROR((VLOOKUP($N227,Pricing!$D$2:$E$43,2,FALSE)),"")</f>
        <v/>
      </c>
      <c r="P227" s="196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71"/>
      <c r="AB227" s="272"/>
      <c r="AC227" s="272"/>
      <c r="AD227" s="272"/>
      <c r="AE227" s="272"/>
      <c r="AF227" s="272"/>
      <c r="AG227" s="272"/>
      <c r="AH227" s="272"/>
      <c r="AI227" s="267"/>
    </row>
    <row r="228" spans="1:35" x14ac:dyDescent="0.2">
      <c r="A228" s="208" t="str">
        <f>+IF(D228="","",CONCATENATE("GBL 00",Mantenedor!E227))</f>
        <v/>
      </c>
      <c r="B228" s="214"/>
      <c r="C228" s="215"/>
      <c r="D228" s="215"/>
      <c r="E228" s="215"/>
      <c r="F228" s="215"/>
      <c r="G228" s="215"/>
      <c r="H228" s="215"/>
      <c r="I228" s="216"/>
      <c r="J228" s="217"/>
      <c r="K228" s="218"/>
      <c r="L228" s="217" t="str">
        <f t="shared" si="3"/>
        <v/>
      </c>
      <c r="M228" s="240"/>
      <c r="N228" s="225" t="str">
        <f>IF($K228="","",IF($K228=1,CONCATENATE("Base ",$M228," ",$K228," noche"),CONCATENATE("Base ",$M228," ",$K228," noches")))</f>
        <v/>
      </c>
      <c r="O228" s="239" t="str">
        <f>IFERROR((VLOOKUP($N228,Pricing!$D$2:$E$43,2,FALSE)),"")</f>
        <v/>
      </c>
      <c r="P228" s="196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71"/>
      <c r="AB228" s="272"/>
      <c r="AC228" s="272"/>
      <c r="AD228" s="272"/>
      <c r="AE228" s="272"/>
      <c r="AF228" s="272"/>
      <c r="AG228" s="272"/>
      <c r="AH228" s="272"/>
      <c r="AI228" s="267"/>
    </row>
    <row r="229" spans="1:35" x14ac:dyDescent="0.2">
      <c r="A229" s="208" t="str">
        <f>+IF(D229="","",CONCATENATE("GBL 00",Mantenedor!E228))</f>
        <v/>
      </c>
      <c r="B229" s="214"/>
      <c r="C229" s="215"/>
      <c r="D229" s="215"/>
      <c r="E229" s="215"/>
      <c r="F229" s="215"/>
      <c r="G229" s="215"/>
      <c r="H229" s="215"/>
      <c r="I229" s="216"/>
      <c r="J229" s="217"/>
      <c r="K229" s="218"/>
      <c r="L229" s="217" t="str">
        <f t="shared" si="3"/>
        <v/>
      </c>
      <c r="M229" s="240"/>
      <c r="N229" s="225" t="str">
        <f>IF($K229="","",IF($K229=1,CONCATENATE("Base ",$M229," ",$K229," noche"),CONCATENATE("Base ",$M229," ",$K229," noches")))</f>
        <v/>
      </c>
      <c r="O229" s="239" t="str">
        <f>IFERROR((VLOOKUP($N229,Pricing!$D$2:$E$43,2,FALSE)),"")</f>
        <v/>
      </c>
      <c r="P229" s="196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71"/>
      <c r="AB229" s="272"/>
      <c r="AC229" s="272"/>
      <c r="AD229" s="272"/>
      <c r="AE229" s="272"/>
      <c r="AF229" s="272"/>
      <c r="AG229" s="272"/>
      <c r="AH229" s="272"/>
      <c r="AI229" s="267"/>
    </row>
    <row r="230" spans="1:35" x14ac:dyDescent="0.2">
      <c r="A230" s="208" t="str">
        <f>+IF(D230="","",CONCATENATE("GBL 00",Mantenedor!E229))</f>
        <v/>
      </c>
      <c r="B230" s="214"/>
      <c r="C230" s="215"/>
      <c r="D230" s="215"/>
      <c r="E230" s="215"/>
      <c r="F230" s="215"/>
      <c r="G230" s="215"/>
      <c r="H230" s="215"/>
      <c r="I230" s="216"/>
      <c r="J230" s="217"/>
      <c r="K230" s="218"/>
      <c r="L230" s="217" t="str">
        <f t="shared" si="3"/>
        <v/>
      </c>
      <c r="M230" s="240"/>
      <c r="N230" s="225" t="str">
        <f>IF($K230="","",IF($K230=1,CONCATENATE("Base ",$M230," ",$K230," noche"),CONCATENATE("Base ",$M230," ",$K230," noches")))</f>
        <v/>
      </c>
      <c r="O230" s="239" t="str">
        <f>IFERROR((VLOOKUP($N230,Pricing!$D$2:$E$43,2,FALSE)),"")</f>
        <v/>
      </c>
      <c r="P230" s="196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71"/>
      <c r="AB230" s="272"/>
      <c r="AC230" s="272"/>
      <c r="AD230" s="272"/>
      <c r="AE230" s="272"/>
      <c r="AF230" s="272"/>
      <c r="AG230" s="272"/>
      <c r="AH230" s="272"/>
      <c r="AI230" s="267"/>
    </row>
    <row r="231" spans="1:35" x14ac:dyDescent="0.2">
      <c r="A231" s="208" t="str">
        <f>+IF(D231="","",CONCATENATE("GBL 00",Mantenedor!E230))</f>
        <v/>
      </c>
      <c r="B231" s="214"/>
      <c r="C231" s="215"/>
      <c r="D231" s="215"/>
      <c r="E231" s="215"/>
      <c r="F231" s="215"/>
      <c r="G231" s="215"/>
      <c r="H231" s="215"/>
      <c r="I231" s="216"/>
      <c r="J231" s="217"/>
      <c r="K231" s="218"/>
      <c r="L231" s="217" t="str">
        <f t="shared" si="3"/>
        <v/>
      </c>
      <c r="M231" s="240"/>
      <c r="N231" s="225" t="str">
        <f>IF($K231="","",IF($K231=1,CONCATENATE("Base ",$M231," ",$K231," noche"),CONCATENATE("Base ",$M231," ",$K231," noches")))</f>
        <v/>
      </c>
      <c r="O231" s="239" t="str">
        <f>IFERROR((VLOOKUP($N231,Pricing!$D$2:$E$43,2,FALSE)),"")</f>
        <v/>
      </c>
      <c r="P231" s="196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71"/>
      <c r="AB231" s="272"/>
      <c r="AC231" s="272"/>
      <c r="AD231" s="272"/>
      <c r="AE231" s="272"/>
      <c r="AF231" s="272"/>
      <c r="AG231" s="272"/>
      <c r="AH231" s="272"/>
      <c r="AI231" s="267"/>
    </row>
    <row r="232" spans="1:35" x14ac:dyDescent="0.2">
      <c r="A232" s="208" t="str">
        <f>+IF(D232="","",CONCATENATE("GBL 00",Mantenedor!E231))</f>
        <v/>
      </c>
      <c r="B232" s="214"/>
      <c r="C232" s="215"/>
      <c r="D232" s="215"/>
      <c r="E232" s="215"/>
      <c r="F232" s="215"/>
      <c r="G232" s="215"/>
      <c r="H232" s="215"/>
      <c r="I232" s="216"/>
      <c r="J232" s="217"/>
      <c r="K232" s="218"/>
      <c r="L232" s="217" t="str">
        <f t="shared" si="3"/>
        <v/>
      </c>
      <c r="M232" s="240"/>
      <c r="N232" s="225" t="str">
        <f>IF($K232="","",IF($K232=1,CONCATENATE("Base ",$M232," ",$K232," noche"),CONCATENATE("Base ",$M232," ",$K232," noches")))</f>
        <v/>
      </c>
      <c r="O232" s="239" t="str">
        <f>IFERROR((VLOOKUP($N232,Pricing!$D$2:$E$43,2,FALSE)),"")</f>
        <v/>
      </c>
      <c r="P232" s="196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71"/>
      <c r="AB232" s="272"/>
      <c r="AC232" s="272"/>
      <c r="AD232" s="272"/>
      <c r="AE232" s="272"/>
      <c r="AF232" s="272"/>
      <c r="AG232" s="272"/>
      <c r="AH232" s="272"/>
      <c r="AI232" s="267"/>
    </row>
    <row r="233" spans="1:35" x14ac:dyDescent="0.2">
      <c r="A233" s="208" t="str">
        <f>+IF(D233="","",CONCATENATE("GBL 00",Mantenedor!E232))</f>
        <v/>
      </c>
      <c r="B233" s="214"/>
      <c r="C233" s="215"/>
      <c r="D233" s="215"/>
      <c r="E233" s="215"/>
      <c r="F233" s="215"/>
      <c r="G233" s="215"/>
      <c r="H233" s="215"/>
      <c r="I233" s="216"/>
      <c r="J233" s="217"/>
      <c r="K233" s="218"/>
      <c r="L233" s="217" t="str">
        <f t="shared" si="3"/>
        <v/>
      </c>
      <c r="M233" s="240"/>
      <c r="N233" s="225" t="str">
        <f>IF($K233="","",IF($K233=1,CONCATENATE("Base ",$M233," ",$K233," noche"),CONCATENATE("Base ",$M233," ",$K233," noches")))</f>
        <v/>
      </c>
      <c r="O233" s="239" t="str">
        <f>IFERROR((VLOOKUP($N233,Pricing!$D$2:$E$43,2,FALSE)),"")</f>
        <v/>
      </c>
      <c r="P233" s="196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71"/>
      <c r="AB233" s="272"/>
      <c r="AC233" s="272"/>
      <c r="AD233" s="272"/>
      <c r="AE233" s="272"/>
      <c r="AF233" s="272"/>
      <c r="AG233" s="272"/>
      <c r="AH233" s="272"/>
      <c r="AI233" s="267"/>
    </row>
    <row r="234" spans="1:35" x14ac:dyDescent="0.2">
      <c r="A234" s="208" t="str">
        <f>+IF(D234="","",CONCATENATE("GBL 00",Mantenedor!E233))</f>
        <v/>
      </c>
      <c r="B234" s="214"/>
      <c r="C234" s="215"/>
      <c r="D234" s="215"/>
      <c r="E234" s="215"/>
      <c r="F234" s="215"/>
      <c r="G234" s="215"/>
      <c r="H234" s="215"/>
      <c r="I234" s="216"/>
      <c r="J234" s="217"/>
      <c r="K234" s="218"/>
      <c r="L234" s="217" t="str">
        <f t="shared" si="3"/>
        <v/>
      </c>
      <c r="M234" s="240"/>
      <c r="N234" s="225" t="str">
        <f>IF($K234="","",IF($K234=1,CONCATENATE("Base ",$M234," ",$K234," noche"),CONCATENATE("Base ",$M234," ",$K234," noches")))</f>
        <v/>
      </c>
      <c r="O234" s="239" t="str">
        <f>IFERROR((VLOOKUP($N234,Pricing!$D$2:$E$43,2,FALSE)),"")</f>
        <v/>
      </c>
      <c r="P234" s="196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71"/>
      <c r="AB234" s="272"/>
      <c r="AC234" s="272"/>
      <c r="AD234" s="272"/>
      <c r="AE234" s="272"/>
      <c r="AF234" s="272"/>
      <c r="AG234" s="272"/>
      <c r="AH234" s="272"/>
      <c r="AI234" s="267"/>
    </row>
    <row r="235" spans="1:35" x14ac:dyDescent="0.2">
      <c r="A235" s="208" t="str">
        <f>+IF(D235="","",CONCATENATE("GBL 00",Mantenedor!E234))</f>
        <v/>
      </c>
      <c r="B235" s="214"/>
      <c r="C235" s="215"/>
      <c r="D235" s="215"/>
      <c r="E235" s="215"/>
      <c r="F235" s="215"/>
      <c r="G235" s="215"/>
      <c r="H235" s="215"/>
      <c r="I235" s="216"/>
      <c r="J235" s="217"/>
      <c r="K235" s="218"/>
      <c r="L235" s="217" t="str">
        <f t="shared" si="3"/>
        <v/>
      </c>
      <c r="M235" s="240"/>
      <c r="N235" s="225" t="str">
        <f>IF($K235="","",IF($K235=1,CONCATENATE("Base ",$M235," ",$K235," noche"),CONCATENATE("Base ",$M235," ",$K235," noches")))</f>
        <v/>
      </c>
      <c r="O235" s="239" t="str">
        <f>IFERROR((VLOOKUP($N235,Pricing!$D$2:$E$43,2,FALSE)),"")</f>
        <v/>
      </c>
      <c r="P235" s="196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71"/>
      <c r="AB235" s="272"/>
      <c r="AC235" s="272"/>
      <c r="AD235" s="272"/>
      <c r="AE235" s="272"/>
      <c r="AF235" s="272"/>
      <c r="AG235" s="272"/>
      <c r="AH235" s="272"/>
      <c r="AI235" s="267"/>
    </row>
    <row r="236" spans="1:35" x14ac:dyDescent="0.2">
      <c r="A236" s="208" t="str">
        <f>+IF(D236="","",CONCATENATE("GBL 00",Mantenedor!E235))</f>
        <v/>
      </c>
      <c r="B236" s="214"/>
      <c r="C236" s="215"/>
      <c r="D236" s="215"/>
      <c r="E236" s="215"/>
      <c r="F236" s="215"/>
      <c r="G236" s="215"/>
      <c r="H236" s="215"/>
      <c r="I236" s="216"/>
      <c r="J236" s="217"/>
      <c r="K236" s="218"/>
      <c r="L236" s="217" t="str">
        <f t="shared" si="3"/>
        <v/>
      </c>
      <c r="M236" s="240"/>
      <c r="N236" s="225" t="str">
        <f>IF($K236="","",IF($K236=1,CONCATENATE("Base ",$M236," ",$K236," noche"),CONCATENATE("Base ",$M236," ",$K236," noches")))</f>
        <v/>
      </c>
      <c r="O236" s="239" t="str">
        <f>IFERROR((VLOOKUP($N236,Pricing!$D$2:$E$43,2,FALSE)),"")</f>
        <v/>
      </c>
      <c r="P236" s="196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71"/>
      <c r="AB236" s="272"/>
      <c r="AC236" s="272"/>
      <c r="AD236" s="272"/>
      <c r="AE236" s="272"/>
      <c r="AF236" s="272"/>
      <c r="AG236" s="272"/>
      <c r="AH236" s="272"/>
      <c r="AI236" s="267"/>
    </row>
    <row r="237" spans="1:35" x14ac:dyDescent="0.2">
      <c r="A237" s="208" t="str">
        <f>+IF(D237="","",CONCATENATE("GBL 00",Mantenedor!E236))</f>
        <v/>
      </c>
      <c r="B237" s="214"/>
      <c r="C237" s="215"/>
      <c r="D237" s="215"/>
      <c r="E237" s="215"/>
      <c r="F237" s="215"/>
      <c r="G237" s="215"/>
      <c r="H237" s="215"/>
      <c r="I237" s="216"/>
      <c r="J237" s="217"/>
      <c r="K237" s="218"/>
      <c r="L237" s="217" t="str">
        <f t="shared" si="3"/>
        <v/>
      </c>
      <c r="M237" s="240"/>
      <c r="N237" s="225" t="str">
        <f>IF($K237="","",IF($K237=1,CONCATENATE("Base ",$M237," ",$K237," noche"),CONCATENATE("Base ",$M237," ",$K237," noches")))</f>
        <v/>
      </c>
      <c r="O237" s="239" t="str">
        <f>IFERROR((VLOOKUP($N237,Pricing!$D$2:$E$43,2,FALSE)),"")</f>
        <v/>
      </c>
      <c r="P237" s="196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71"/>
      <c r="AB237" s="272"/>
      <c r="AC237" s="272"/>
      <c r="AD237" s="272"/>
      <c r="AE237" s="272"/>
      <c r="AF237" s="272"/>
      <c r="AG237" s="272"/>
      <c r="AH237" s="272"/>
      <c r="AI237" s="267"/>
    </row>
    <row r="238" spans="1:35" x14ac:dyDescent="0.2">
      <c r="A238" s="208" t="str">
        <f>+IF(D238="","",CONCATENATE("GBL 00",Mantenedor!E237))</f>
        <v/>
      </c>
      <c r="B238" s="214"/>
      <c r="C238" s="215"/>
      <c r="D238" s="215"/>
      <c r="E238" s="215"/>
      <c r="F238" s="215"/>
      <c r="G238" s="215"/>
      <c r="H238" s="215"/>
      <c r="I238" s="216"/>
      <c r="J238" s="217"/>
      <c r="K238" s="218"/>
      <c r="L238" s="217" t="str">
        <f t="shared" si="3"/>
        <v/>
      </c>
      <c r="M238" s="240"/>
      <c r="N238" s="225" t="str">
        <f>IF($K238="","",IF($K238=1,CONCATENATE("Base ",$M238," ",$K238," noche"),CONCATENATE("Base ",$M238," ",$K238," noches")))</f>
        <v/>
      </c>
      <c r="O238" s="239" t="str">
        <f>IFERROR((VLOOKUP($N238,Pricing!$D$2:$E$43,2,FALSE)),"")</f>
        <v/>
      </c>
      <c r="P238" s="196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71"/>
      <c r="AB238" s="272"/>
      <c r="AC238" s="272"/>
      <c r="AD238" s="272"/>
      <c r="AE238" s="272"/>
      <c r="AF238" s="272"/>
      <c r="AG238" s="272"/>
      <c r="AH238" s="272"/>
      <c r="AI238" s="267"/>
    </row>
    <row r="239" spans="1:35" x14ac:dyDescent="0.2">
      <c r="A239" s="208" t="str">
        <f>+IF(D239="","",CONCATENATE("GBL 00",Mantenedor!E238))</f>
        <v/>
      </c>
      <c r="B239" s="214"/>
      <c r="C239" s="215"/>
      <c r="D239" s="215"/>
      <c r="E239" s="215"/>
      <c r="F239" s="215"/>
      <c r="G239" s="215"/>
      <c r="H239" s="215"/>
      <c r="I239" s="216"/>
      <c r="J239" s="217"/>
      <c r="K239" s="218"/>
      <c r="L239" s="217" t="str">
        <f t="shared" si="3"/>
        <v/>
      </c>
      <c r="M239" s="240"/>
      <c r="N239" s="225" t="str">
        <f>IF($K239="","",IF($K239=1,CONCATENATE("Base ",$M239," ",$K239," noche"),CONCATENATE("Base ",$M239," ",$K239," noches")))</f>
        <v/>
      </c>
      <c r="O239" s="239" t="str">
        <f>IFERROR((VLOOKUP($N239,Pricing!$D$2:$E$43,2,FALSE)),"")</f>
        <v/>
      </c>
      <c r="P239" s="196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71"/>
      <c r="AB239" s="272"/>
      <c r="AC239" s="272"/>
      <c r="AD239" s="272"/>
      <c r="AE239" s="272"/>
      <c r="AF239" s="272"/>
      <c r="AG239" s="272"/>
      <c r="AH239" s="272"/>
      <c r="AI239" s="267"/>
    </row>
    <row r="240" spans="1:35" x14ac:dyDescent="0.2">
      <c r="A240" s="208" t="str">
        <f>+IF(D240="","",CONCATENATE("GBL 00",Mantenedor!E239))</f>
        <v/>
      </c>
      <c r="B240" s="214"/>
      <c r="C240" s="215"/>
      <c r="D240" s="215"/>
      <c r="E240" s="215"/>
      <c r="F240" s="215"/>
      <c r="G240" s="215"/>
      <c r="H240" s="215"/>
      <c r="I240" s="216"/>
      <c r="J240" s="217"/>
      <c r="K240" s="218"/>
      <c r="L240" s="217" t="str">
        <f t="shared" si="3"/>
        <v/>
      </c>
      <c r="M240" s="240"/>
      <c r="N240" s="225" t="str">
        <f>IF($K240="","",IF($K240=1,CONCATENATE("Base ",$M240," ",$K240," noche"),CONCATENATE("Base ",$M240," ",$K240," noches")))</f>
        <v/>
      </c>
      <c r="O240" s="239" t="str">
        <f>IFERROR((VLOOKUP($N240,Pricing!$D$2:$E$43,2,FALSE)),"")</f>
        <v/>
      </c>
      <c r="P240" s="196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71"/>
      <c r="AB240" s="272"/>
      <c r="AC240" s="272"/>
      <c r="AD240" s="272"/>
      <c r="AE240" s="272"/>
      <c r="AF240" s="272"/>
      <c r="AG240" s="272"/>
      <c r="AH240" s="272"/>
      <c r="AI240" s="267"/>
    </row>
    <row r="241" spans="1:35" x14ac:dyDescent="0.2">
      <c r="A241" s="208" t="str">
        <f>+IF(D241="","",CONCATENATE("GBL 00",Mantenedor!E240))</f>
        <v/>
      </c>
      <c r="B241" s="214"/>
      <c r="C241" s="215"/>
      <c r="D241" s="215"/>
      <c r="E241" s="215"/>
      <c r="F241" s="215"/>
      <c r="G241" s="215"/>
      <c r="H241" s="215"/>
      <c r="I241" s="216"/>
      <c r="J241" s="217"/>
      <c r="K241" s="218"/>
      <c r="L241" s="217" t="str">
        <f t="shared" si="3"/>
        <v/>
      </c>
      <c r="M241" s="240"/>
      <c r="N241" s="225" t="str">
        <f>IF($K241="","",IF($K241=1,CONCATENATE("Base ",$M241," ",$K241," noche"),CONCATENATE("Base ",$M241," ",$K241," noches")))</f>
        <v/>
      </c>
      <c r="O241" s="239" t="str">
        <f>IFERROR((VLOOKUP($N241,Pricing!$D$2:$E$43,2,FALSE)),"")</f>
        <v/>
      </c>
      <c r="P241" s="196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71"/>
      <c r="AB241" s="272"/>
      <c r="AC241" s="272"/>
      <c r="AD241" s="272"/>
      <c r="AE241" s="272"/>
      <c r="AF241" s="272"/>
      <c r="AG241" s="272"/>
      <c r="AH241" s="272"/>
      <c r="AI241" s="267"/>
    </row>
    <row r="242" spans="1:35" x14ac:dyDescent="0.2">
      <c r="A242" s="208" t="str">
        <f>+IF(D242="","",CONCATENATE("GBL 00",Mantenedor!E241))</f>
        <v/>
      </c>
      <c r="B242" s="214"/>
      <c r="C242" s="215"/>
      <c r="D242" s="215"/>
      <c r="E242" s="215"/>
      <c r="F242" s="215"/>
      <c r="G242" s="215"/>
      <c r="H242" s="215"/>
      <c r="I242" s="216"/>
      <c r="J242" s="217"/>
      <c r="K242" s="218"/>
      <c r="L242" s="217" t="str">
        <f t="shared" si="3"/>
        <v/>
      </c>
      <c r="M242" s="240"/>
      <c r="N242" s="225" t="str">
        <f>IF($K242="","",IF($K242=1,CONCATENATE("Base ",$M242," ",$K242," noche"),CONCATENATE("Base ",$M242," ",$K242," noches")))</f>
        <v/>
      </c>
      <c r="O242" s="239" t="str">
        <f>IFERROR((VLOOKUP($N242,Pricing!$D$2:$E$43,2,FALSE)),"")</f>
        <v/>
      </c>
      <c r="P242" s="196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71"/>
      <c r="AB242" s="272"/>
      <c r="AC242" s="272"/>
      <c r="AD242" s="272"/>
      <c r="AE242" s="272"/>
      <c r="AF242" s="272"/>
      <c r="AG242" s="272"/>
      <c r="AH242" s="272"/>
      <c r="AI242" s="267"/>
    </row>
    <row r="243" spans="1:35" x14ac:dyDescent="0.2">
      <c r="A243" s="208" t="str">
        <f>+IF(D243="","",CONCATENATE("GBL 00",Mantenedor!E242))</f>
        <v/>
      </c>
      <c r="B243" s="214"/>
      <c r="C243" s="215"/>
      <c r="D243" s="215"/>
      <c r="E243" s="215"/>
      <c r="F243" s="215"/>
      <c r="G243" s="215"/>
      <c r="H243" s="215"/>
      <c r="I243" s="216"/>
      <c r="J243" s="217"/>
      <c r="K243" s="218"/>
      <c r="L243" s="217" t="str">
        <f t="shared" si="3"/>
        <v/>
      </c>
      <c r="M243" s="240"/>
      <c r="N243" s="225" t="str">
        <f>IF($K243="","",IF($K243=1,CONCATENATE("Base ",$M243," ",$K243," noche"),CONCATENATE("Base ",$M243," ",$K243," noches")))</f>
        <v/>
      </c>
      <c r="O243" s="239" t="str">
        <f>IFERROR((VLOOKUP($N243,Pricing!$D$2:$E$43,2,FALSE)),"")</f>
        <v/>
      </c>
      <c r="P243" s="196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71"/>
      <c r="AB243" s="272"/>
      <c r="AC243" s="272"/>
      <c r="AD243" s="272"/>
      <c r="AE243" s="272"/>
      <c r="AF243" s="272"/>
      <c r="AG243" s="272"/>
      <c r="AH243" s="272"/>
      <c r="AI243" s="267"/>
    </row>
    <row r="244" spans="1:35" x14ac:dyDescent="0.2">
      <c r="A244" s="208" t="str">
        <f>+IF(D244="","",CONCATENATE("GBL 00",Mantenedor!E243))</f>
        <v/>
      </c>
      <c r="B244" s="214"/>
      <c r="C244" s="215"/>
      <c r="D244" s="215"/>
      <c r="E244" s="215"/>
      <c r="F244" s="215"/>
      <c r="G244" s="215"/>
      <c r="H244" s="215"/>
      <c r="I244" s="216"/>
      <c r="J244" s="217"/>
      <c r="K244" s="218"/>
      <c r="L244" s="217" t="str">
        <f t="shared" si="3"/>
        <v/>
      </c>
      <c r="M244" s="240"/>
      <c r="N244" s="225" t="str">
        <f>IF($K244="","",IF($K244=1,CONCATENATE("Base ",$M244," ",$K244," noche"),CONCATENATE("Base ",$M244," ",$K244," noches")))</f>
        <v/>
      </c>
      <c r="O244" s="239" t="str">
        <f>IFERROR((VLOOKUP($N244,Pricing!$D$2:$E$43,2,FALSE)),"")</f>
        <v/>
      </c>
      <c r="P244" s="196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71"/>
      <c r="AB244" s="272"/>
      <c r="AC244" s="272"/>
      <c r="AD244" s="272"/>
      <c r="AE244" s="272"/>
      <c r="AF244" s="272"/>
      <c r="AG244" s="272"/>
      <c r="AH244" s="272"/>
      <c r="AI244" s="267"/>
    </row>
    <row r="245" spans="1:35" x14ac:dyDescent="0.2">
      <c r="A245" s="208" t="str">
        <f>+IF(D245="","",CONCATENATE("GBL 00",Mantenedor!E244))</f>
        <v/>
      </c>
      <c r="B245" s="214"/>
      <c r="C245" s="215"/>
      <c r="D245" s="215"/>
      <c r="E245" s="215"/>
      <c r="F245" s="215"/>
      <c r="G245" s="215"/>
      <c r="H245" s="215"/>
      <c r="I245" s="216"/>
      <c r="J245" s="217"/>
      <c r="K245" s="218"/>
      <c r="L245" s="217" t="str">
        <f t="shared" si="3"/>
        <v/>
      </c>
      <c r="M245" s="240"/>
      <c r="N245" s="225" t="str">
        <f>IF($K245="","",IF($K245=1,CONCATENATE("Base ",$M245," ",$K245," noche"),CONCATENATE("Base ",$M245," ",$K245," noches")))</f>
        <v/>
      </c>
      <c r="O245" s="239" t="str">
        <f>IFERROR((VLOOKUP($N245,Pricing!$D$2:$E$43,2,FALSE)),"")</f>
        <v/>
      </c>
      <c r="P245" s="196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71"/>
      <c r="AB245" s="272"/>
      <c r="AC245" s="272"/>
      <c r="AD245" s="272"/>
      <c r="AE245" s="272"/>
      <c r="AF245" s="272"/>
      <c r="AG245" s="272"/>
      <c r="AH245" s="272"/>
      <c r="AI245" s="267"/>
    </row>
    <row r="246" spans="1:35" x14ac:dyDescent="0.2">
      <c r="A246" s="208" t="str">
        <f>+IF(D246="","",CONCATENATE("GBL 00",Mantenedor!E245))</f>
        <v/>
      </c>
      <c r="B246" s="214"/>
      <c r="C246" s="215"/>
      <c r="D246" s="215"/>
      <c r="E246" s="215"/>
      <c r="F246" s="215"/>
      <c r="G246" s="215"/>
      <c r="H246" s="215"/>
      <c r="I246" s="216"/>
      <c r="J246" s="217"/>
      <c r="K246" s="218"/>
      <c r="L246" s="217" t="str">
        <f t="shared" si="3"/>
        <v/>
      </c>
      <c r="M246" s="240"/>
      <c r="N246" s="225" t="str">
        <f>IF($K246="","",IF($K246=1,CONCATENATE("Base ",$M246," ",$K246," noche"),CONCATENATE("Base ",$M246," ",$K246," noches")))</f>
        <v/>
      </c>
      <c r="O246" s="239" t="str">
        <f>IFERROR((VLOOKUP($N246,Pricing!$D$2:$E$43,2,FALSE)),"")</f>
        <v/>
      </c>
      <c r="P246" s="196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71"/>
      <c r="AB246" s="272"/>
      <c r="AC246" s="272"/>
      <c r="AD246" s="272"/>
      <c r="AE246" s="272"/>
      <c r="AF246" s="272"/>
      <c r="AG246" s="272"/>
      <c r="AH246" s="272"/>
      <c r="AI246" s="267"/>
    </row>
    <row r="247" spans="1:35" x14ac:dyDescent="0.2">
      <c r="A247" s="208" t="str">
        <f>+IF(D247="","",CONCATENATE("GBL 00",Mantenedor!E246))</f>
        <v/>
      </c>
      <c r="B247" s="214"/>
      <c r="C247" s="215"/>
      <c r="D247" s="215"/>
      <c r="E247" s="215"/>
      <c r="F247" s="215"/>
      <c r="G247" s="215"/>
      <c r="H247" s="215"/>
      <c r="I247" s="216"/>
      <c r="J247" s="217"/>
      <c r="K247" s="218"/>
      <c r="L247" s="217" t="str">
        <f t="shared" si="3"/>
        <v/>
      </c>
      <c r="M247" s="240"/>
      <c r="N247" s="225" t="str">
        <f>IF($K247="","",IF($K247=1,CONCATENATE("Base ",$M247," ",$K247," noche"),CONCATENATE("Base ",$M247," ",$K247," noches")))</f>
        <v/>
      </c>
      <c r="O247" s="239" t="str">
        <f>IFERROR((VLOOKUP($N247,Pricing!$D$2:$E$43,2,FALSE)),"")</f>
        <v/>
      </c>
      <c r="P247" s="196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71"/>
      <c r="AB247" s="272"/>
      <c r="AC247" s="272"/>
      <c r="AD247" s="272"/>
      <c r="AE247" s="272"/>
      <c r="AF247" s="272"/>
      <c r="AG247" s="272"/>
      <c r="AH247" s="272"/>
      <c r="AI247" s="267"/>
    </row>
    <row r="248" spans="1:35" x14ac:dyDescent="0.2">
      <c r="A248" s="208" t="str">
        <f>+IF(D248="","",CONCATENATE("GBL 00",Mantenedor!E247))</f>
        <v/>
      </c>
      <c r="B248" s="214"/>
      <c r="C248" s="215"/>
      <c r="D248" s="215"/>
      <c r="E248" s="215"/>
      <c r="F248" s="215"/>
      <c r="G248" s="215"/>
      <c r="H248" s="215"/>
      <c r="I248" s="216"/>
      <c r="J248" s="217"/>
      <c r="K248" s="218"/>
      <c r="L248" s="217" t="str">
        <f t="shared" si="3"/>
        <v/>
      </c>
      <c r="M248" s="240"/>
      <c r="N248" s="225" t="str">
        <f>IF($K248="","",IF($K248=1,CONCATENATE("Base ",$M248," ",$K248," noche"),CONCATENATE("Base ",$M248," ",$K248," noches")))</f>
        <v/>
      </c>
      <c r="O248" s="239" t="str">
        <f>IFERROR((VLOOKUP($N248,Pricing!$D$2:$E$43,2,FALSE)),"")</f>
        <v/>
      </c>
      <c r="P248" s="196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71"/>
      <c r="AB248" s="272"/>
      <c r="AC248" s="272"/>
      <c r="AD248" s="272"/>
      <c r="AE248" s="272"/>
      <c r="AF248" s="272"/>
      <c r="AG248" s="272"/>
      <c r="AH248" s="272"/>
      <c r="AI248" s="267"/>
    </row>
    <row r="249" spans="1:35" x14ac:dyDescent="0.2">
      <c r="A249" s="208" t="str">
        <f>+IF(D249="","",CONCATENATE("GBL 00",Mantenedor!E248))</f>
        <v/>
      </c>
      <c r="B249" s="214"/>
      <c r="C249" s="215"/>
      <c r="D249" s="215"/>
      <c r="E249" s="215"/>
      <c r="F249" s="215"/>
      <c r="G249" s="215"/>
      <c r="H249" s="215"/>
      <c r="I249" s="216"/>
      <c r="J249" s="217"/>
      <c r="K249" s="218"/>
      <c r="L249" s="217" t="str">
        <f t="shared" si="3"/>
        <v/>
      </c>
      <c r="M249" s="240"/>
      <c r="N249" s="225" t="str">
        <f>IF($K249="","",IF($K249=1,CONCATENATE("Base ",$M249," ",$K249," noche"),CONCATENATE("Base ",$M249," ",$K249," noches")))</f>
        <v/>
      </c>
      <c r="O249" s="239" t="str">
        <f>IFERROR((VLOOKUP($N249,Pricing!$D$2:$E$43,2,FALSE)),"")</f>
        <v/>
      </c>
      <c r="P249" s="196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71"/>
      <c r="AB249" s="272"/>
      <c r="AC249" s="272"/>
      <c r="AD249" s="272"/>
      <c r="AE249" s="272"/>
      <c r="AF249" s="272"/>
      <c r="AG249" s="272"/>
      <c r="AH249" s="272"/>
      <c r="AI249" s="267"/>
    </row>
    <row r="250" spans="1:35" x14ac:dyDescent="0.2">
      <c r="A250" s="208" t="str">
        <f>+IF(D250="","",CONCATENATE("GBL 00",Mantenedor!E249))</f>
        <v/>
      </c>
      <c r="B250" s="214"/>
      <c r="C250" s="215"/>
      <c r="D250" s="215"/>
      <c r="E250" s="215"/>
      <c r="F250" s="215"/>
      <c r="G250" s="215"/>
      <c r="H250" s="215"/>
      <c r="I250" s="216"/>
      <c r="J250" s="217"/>
      <c r="K250" s="218"/>
      <c r="L250" s="217" t="str">
        <f t="shared" si="3"/>
        <v/>
      </c>
      <c r="M250" s="240"/>
      <c r="N250" s="225" t="str">
        <f>IF($K250="","",IF($K250=1,CONCATENATE("Base ",$M250," ",$K250," noche"),CONCATENATE("Base ",$M250," ",$K250," noches")))</f>
        <v/>
      </c>
      <c r="O250" s="239" t="str">
        <f>IFERROR((VLOOKUP($N250,Pricing!$D$2:$E$43,2,FALSE)),"")</f>
        <v/>
      </c>
      <c r="P250" s="196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71"/>
      <c r="AB250" s="272"/>
      <c r="AC250" s="272"/>
      <c r="AD250" s="272"/>
      <c r="AE250" s="272"/>
      <c r="AF250" s="272"/>
      <c r="AG250" s="272"/>
      <c r="AH250" s="272"/>
      <c r="AI250" s="267"/>
    </row>
    <row r="251" spans="1:35" x14ac:dyDescent="0.2">
      <c r="A251" s="208" t="str">
        <f>+IF(D251="","",CONCATENATE("GBL 00",Mantenedor!E250))</f>
        <v/>
      </c>
      <c r="B251" s="214"/>
      <c r="C251" s="215"/>
      <c r="D251" s="215"/>
      <c r="E251" s="215"/>
      <c r="F251" s="215"/>
      <c r="G251" s="215"/>
      <c r="H251" s="215"/>
      <c r="I251" s="216"/>
      <c r="J251" s="217"/>
      <c r="K251" s="218"/>
      <c r="L251" s="217" t="str">
        <f t="shared" si="3"/>
        <v/>
      </c>
      <c r="M251" s="240"/>
      <c r="N251" s="225" t="str">
        <f>IF($K251="","",IF($K251=1,CONCATENATE("Base ",$M251," ",$K251," noche"),CONCATENATE("Base ",$M251," ",$K251," noches")))</f>
        <v/>
      </c>
      <c r="O251" s="239" t="str">
        <f>IFERROR((VLOOKUP($N251,Pricing!$D$2:$E$43,2,FALSE)),"")</f>
        <v/>
      </c>
      <c r="P251" s="196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71"/>
      <c r="AB251" s="272"/>
      <c r="AC251" s="272"/>
      <c r="AD251" s="272"/>
      <c r="AE251" s="272"/>
      <c r="AF251" s="272"/>
      <c r="AG251" s="272"/>
      <c r="AH251" s="272"/>
      <c r="AI251" s="267"/>
    </row>
    <row r="252" spans="1:35" x14ac:dyDescent="0.2">
      <c r="A252" s="208" t="str">
        <f>+IF(D252="","",CONCATENATE("GBL 00",Mantenedor!E251))</f>
        <v/>
      </c>
      <c r="B252" s="214"/>
      <c r="C252" s="215"/>
      <c r="D252" s="215"/>
      <c r="E252" s="215"/>
      <c r="F252" s="215"/>
      <c r="G252" s="215"/>
      <c r="H252" s="215"/>
      <c r="I252" s="216"/>
      <c r="J252" s="217"/>
      <c r="K252" s="218"/>
      <c r="L252" s="217" t="str">
        <f t="shared" si="3"/>
        <v/>
      </c>
      <c r="M252" s="240"/>
      <c r="N252" s="225" t="str">
        <f>IF($K252="","",IF($K252=1,CONCATENATE("Base ",$M252," ",$K252," noche"),CONCATENATE("Base ",$M252," ",$K252," noches")))</f>
        <v/>
      </c>
      <c r="O252" s="239" t="str">
        <f>IFERROR((VLOOKUP($N252,Pricing!$D$2:$E$43,2,FALSE)),"")</f>
        <v/>
      </c>
      <c r="P252" s="196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71"/>
      <c r="AB252" s="272"/>
      <c r="AC252" s="272"/>
      <c r="AD252" s="272"/>
      <c r="AE252" s="272"/>
      <c r="AF252" s="272"/>
      <c r="AG252" s="272"/>
      <c r="AH252" s="272"/>
      <c r="AI252" s="267"/>
    </row>
    <row r="253" spans="1:35" x14ac:dyDescent="0.2">
      <c r="A253" s="208" t="str">
        <f>+IF(D253="","",CONCATENATE("GBL 00",Mantenedor!E252))</f>
        <v/>
      </c>
      <c r="B253" s="214"/>
      <c r="C253" s="215"/>
      <c r="D253" s="215"/>
      <c r="E253" s="215"/>
      <c r="F253" s="215"/>
      <c r="G253" s="215"/>
      <c r="H253" s="215"/>
      <c r="I253" s="216"/>
      <c r="J253" s="217"/>
      <c r="K253" s="218"/>
      <c r="L253" s="217" t="str">
        <f t="shared" si="3"/>
        <v/>
      </c>
      <c r="M253" s="240"/>
      <c r="N253" s="225" t="str">
        <f>IF($K253="","",IF($K253=1,CONCATENATE("Base ",$M253," ",$K253," noche"),CONCATENATE("Base ",$M253," ",$K253," noches")))</f>
        <v/>
      </c>
      <c r="O253" s="239" t="str">
        <f>IFERROR((VLOOKUP($N253,Pricing!$D$2:$E$43,2,FALSE)),"")</f>
        <v/>
      </c>
      <c r="P253" s="196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71"/>
      <c r="AB253" s="272"/>
      <c r="AC253" s="272"/>
      <c r="AD253" s="272"/>
      <c r="AE253" s="272"/>
      <c r="AF253" s="272"/>
      <c r="AG253" s="272"/>
      <c r="AH253" s="272"/>
      <c r="AI253" s="267"/>
    </row>
    <row r="254" spans="1:35" x14ac:dyDescent="0.2">
      <c r="A254" s="208" t="str">
        <f>+IF(D254="","",CONCATENATE("GBL 00",Mantenedor!E253))</f>
        <v/>
      </c>
      <c r="B254" s="214"/>
      <c r="C254" s="215"/>
      <c r="D254" s="215"/>
      <c r="E254" s="215"/>
      <c r="F254" s="215"/>
      <c r="G254" s="215"/>
      <c r="H254" s="215"/>
      <c r="I254" s="216"/>
      <c r="J254" s="217"/>
      <c r="K254" s="218"/>
      <c r="L254" s="217" t="str">
        <f t="shared" si="3"/>
        <v/>
      </c>
      <c r="M254" s="240"/>
      <c r="N254" s="225" t="str">
        <f>IF($K254="","",IF($K254=1,CONCATENATE("Base ",$M254," ",$K254," noche"),CONCATENATE("Base ",$M254," ",$K254," noches")))</f>
        <v/>
      </c>
      <c r="O254" s="239" t="str">
        <f>IFERROR((VLOOKUP($N254,Pricing!$D$2:$E$43,2,FALSE)),"")</f>
        <v/>
      </c>
      <c r="P254" s="196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71"/>
      <c r="AB254" s="272"/>
      <c r="AC254" s="272"/>
      <c r="AD254" s="272"/>
      <c r="AE254" s="272"/>
      <c r="AF254" s="272"/>
      <c r="AG254" s="272"/>
      <c r="AH254" s="272"/>
      <c r="AI254" s="267"/>
    </row>
    <row r="255" spans="1:35" x14ac:dyDescent="0.2">
      <c r="A255" s="208" t="str">
        <f>+IF(D255="","",CONCATENATE("GBL 00",Mantenedor!E254))</f>
        <v/>
      </c>
      <c r="B255" s="214"/>
      <c r="C255" s="215"/>
      <c r="D255" s="215"/>
      <c r="E255" s="215"/>
      <c r="F255" s="215"/>
      <c r="G255" s="215"/>
      <c r="H255" s="215"/>
      <c r="I255" s="216"/>
      <c r="J255" s="217"/>
      <c r="K255" s="218"/>
      <c r="L255" s="217" t="str">
        <f t="shared" si="3"/>
        <v/>
      </c>
      <c r="M255" s="240"/>
      <c r="N255" s="225" t="str">
        <f>IF($K255="","",IF($K255=1,CONCATENATE("Base ",$M255," ",$K255," noche"),CONCATENATE("Base ",$M255," ",$K255," noches")))</f>
        <v/>
      </c>
      <c r="O255" s="239" t="str">
        <f>IFERROR((VLOOKUP($N255,Pricing!$D$2:$E$43,2,FALSE)),"")</f>
        <v/>
      </c>
      <c r="P255" s="196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71"/>
      <c r="AB255" s="272"/>
      <c r="AC255" s="272"/>
      <c r="AD255" s="272"/>
      <c r="AE255" s="272"/>
      <c r="AF255" s="272"/>
      <c r="AG255" s="272"/>
      <c r="AH255" s="272"/>
      <c r="AI255" s="267"/>
    </row>
    <row r="256" spans="1:35" x14ac:dyDescent="0.2">
      <c r="A256" s="208" t="str">
        <f>+IF(D256="","",CONCATENATE("GBL 00",Mantenedor!E255))</f>
        <v/>
      </c>
      <c r="B256" s="214"/>
      <c r="C256" s="215"/>
      <c r="D256" s="215"/>
      <c r="E256" s="215"/>
      <c r="F256" s="215"/>
      <c r="G256" s="215"/>
      <c r="H256" s="215"/>
      <c r="I256" s="216"/>
      <c r="J256" s="217"/>
      <c r="K256" s="218"/>
      <c r="L256" s="217" t="str">
        <f t="shared" si="3"/>
        <v/>
      </c>
      <c r="M256" s="240"/>
      <c r="N256" s="225" t="str">
        <f>IF($K256="","",IF($K256=1,CONCATENATE("Base ",$M256," ",$K256," noche"),CONCATENATE("Base ",$M256," ",$K256," noches")))</f>
        <v/>
      </c>
      <c r="O256" s="239" t="str">
        <f>IFERROR((VLOOKUP($N256,Pricing!$D$2:$E$43,2,FALSE)),"")</f>
        <v/>
      </c>
      <c r="P256" s="196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71"/>
      <c r="AB256" s="272"/>
      <c r="AC256" s="272"/>
      <c r="AD256" s="272"/>
      <c r="AE256" s="272"/>
      <c r="AF256" s="272"/>
      <c r="AG256" s="272"/>
      <c r="AH256" s="272"/>
      <c r="AI256" s="267"/>
    </row>
    <row r="257" spans="1:35" x14ac:dyDescent="0.2">
      <c r="A257" s="208" t="str">
        <f>+IF(D257="","",CONCATENATE("GBL 00",Mantenedor!E256))</f>
        <v/>
      </c>
      <c r="B257" s="214"/>
      <c r="C257" s="215"/>
      <c r="D257" s="215"/>
      <c r="E257" s="215"/>
      <c r="F257" s="215"/>
      <c r="G257" s="215"/>
      <c r="H257" s="215"/>
      <c r="I257" s="216"/>
      <c r="J257" s="217"/>
      <c r="K257" s="218"/>
      <c r="L257" s="217" t="str">
        <f t="shared" si="3"/>
        <v/>
      </c>
      <c r="M257" s="240"/>
      <c r="N257" s="225" t="str">
        <f>IF($K257="","",IF($K257=1,CONCATENATE("Base ",$M257," ",$K257," noche"),CONCATENATE("Base ",$M257," ",$K257," noches")))</f>
        <v/>
      </c>
      <c r="O257" s="239" t="str">
        <f>IFERROR((VLOOKUP($N257,Pricing!$D$2:$E$43,2,FALSE)),"")</f>
        <v/>
      </c>
      <c r="P257" s="196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71"/>
      <c r="AB257" s="272"/>
      <c r="AC257" s="272"/>
      <c r="AD257" s="272"/>
      <c r="AE257" s="272"/>
      <c r="AF257" s="272"/>
      <c r="AG257" s="272"/>
      <c r="AH257" s="272"/>
      <c r="AI257" s="267"/>
    </row>
    <row r="258" spans="1:35" x14ac:dyDescent="0.2">
      <c r="A258" s="208" t="str">
        <f>+IF(D258="","",CONCATENATE("GBL 00",Mantenedor!E257))</f>
        <v/>
      </c>
      <c r="B258" s="214"/>
      <c r="C258" s="215"/>
      <c r="D258" s="215"/>
      <c r="E258" s="215"/>
      <c r="F258" s="215"/>
      <c r="G258" s="215"/>
      <c r="H258" s="215"/>
      <c r="I258" s="216"/>
      <c r="J258" s="217"/>
      <c r="K258" s="218"/>
      <c r="L258" s="217" t="str">
        <f t="shared" si="3"/>
        <v/>
      </c>
      <c r="M258" s="240"/>
      <c r="N258" s="225" t="str">
        <f>IF($K258="","",IF($K258=1,CONCATENATE("Base ",$M258," ",$K258," noche"),CONCATENATE("Base ",$M258," ",$K258," noches")))</f>
        <v/>
      </c>
      <c r="O258" s="239" t="str">
        <f>IFERROR((VLOOKUP($N258,Pricing!$D$2:$E$43,2,FALSE)),"")</f>
        <v/>
      </c>
      <c r="P258" s="196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71"/>
      <c r="AB258" s="272"/>
      <c r="AC258" s="272"/>
      <c r="AD258" s="272"/>
      <c r="AE258" s="272"/>
      <c r="AF258" s="272"/>
      <c r="AG258" s="272"/>
      <c r="AH258" s="272"/>
      <c r="AI258" s="267"/>
    </row>
    <row r="259" spans="1:35" x14ac:dyDescent="0.2">
      <c r="A259" s="208" t="str">
        <f>+IF(D259="","",CONCATENATE("GBL 00",Mantenedor!E258))</f>
        <v/>
      </c>
      <c r="B259" s="214"/>
      <c r="C259" s="215"/>
      <c r="D259" s="215"/>
      <c r="E259" s="215"/>
      <c r="F259" s="215"/>
      <c r="G259" s="215"/>
      <c r="H259" s="215"/>
      <c r="I259" s="216"/>
      <c r="J259" s="217"/>
      <c r="K259" s="218"/>
      <c r="L259" s="217" t="str">
        <f t="shared" si="3"/>
        <v/>
      </c>
      <c r="M259" s="240"/>
      <c r="N259" s="225" t="str">
        <f>IF($K259="","",IF($K259=1,CONCATENATE("Base ",$M259," ",$K259," noche"),CONCATENATE("Base ",$M259," ",$K259," noches")))</f>
        <v/>
      </c>
      <c r="O259" s="239" t="str">
        <f>IFERROR((VLOOKUP($N259,Pricing!$D$2:$E$43,2,FALSE)),"")</f>
        <v/>
      </c>
      <c r="P259" s="196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71"/>
      <c r="AB259" s="272"/>
      <c r="AC259" s="272"/>
      <c r="AD259" s="272"/>
      <c r="AE259" s="272"/>
      <c r="AF259" s="272"/>
      <c r="AG259" s="272"/>
      <c r="AH259" s="272"/>
      <c r="AI259" s="267"/>
    </row>
    <row r="260" spans="1:35" x14ac:dyDescent="0.2">
      <c r="A260" s="208" t="str">
        <f>+IF(D260="","",CONCATENATE("GBL 00",Mantenedor!E259))</f>
        <v/>
      </c>
      <c r="B260" s="214"/>
      <c r="C260" s="215"/>
      <c r="D260" s="215"/>
      <c r="E260" s="215"/>
      <c r="F260" s="215"/>
      <c r="G260" s="215"/>
      <c r="H260" s="215"/>
      <c r="I260" s="216"/>
      <c r="J260" s="217"/>
      <c r="K260" s="218"/>
      <c r="L260" s="217" t="str">
        <f t="shared" ref="L260:L323" si="4">IF(K260="","",(J260+K260))</f>
        <v/>
      </c>
      <c r="M260" s="240"/>
      <c r="N260" s="225" t="str">
        <f>IF($K260="","",IF($K260=1,CONCATENATE("Base ",$M260," ",$K260," noche"),CONCATENATE("Base ",$M260," ",$K260," noches")))</f>
        <v/>
      </c>
      <c r="O260" s="239" t="str">
        <f>IFERROR((VLOOKUP($N260,Pricing!$D$2:$E$43,2,FALSE)),"")</f>
        <v/>
      </c>
      <c r="P260" s="196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71"/>
      <c r="AB260" s="272"/>
      <c r="AC260" s="272"/>
      <c r="AD260" s="272"/>
      <c r="AE260" s="272"/>
      <c r="AF260" s="272"/>
      <c r="AG260" s="272"/>
      <c r="AH260" s="272"/>
      <c r="AI260" s="267"/>
    </row>
    <row r="261" spans="1:35" x14ac:dyDescent="0.2">
      <c r="A261" s="208" t="str">
        <f>+IF(D261="","",CONCATENATE("GBL 00",Mantenedor!E260))</f>
        <v/>
      </c>
      <c r="B261" s="214"/>
      <c r="C261" s="215"/>
      <c r="D261" s="215"/>
      <c r="E261" s="215"/>
      <c r="F261" s="215"/>
      <c r="G261" s="215"/>
      <c r="H261" s="215"/>
      <c r="I261" s="216"/>
      <c r="J261" s="217"/>
      <c r="K261" s="218"/>
      <c r="L261" s="217" t="str">
        <f t="shared" si="4"/>
        <v/>
      </c>
      <c r="M261" s="240"/>
      <c r="N261" s="225" t="str">
        <f>IF($K261="","",IF($K261=1,CONCATENATE("Base ",$M261," ",$K261," noche"),CONCATENATE("Base ",$M261," ",$K261," noches")))</f>
        <v/>
      </c>
      <c r="O261" s="239" t="str">
        <f>IFERROR((VLOOKUP($N261,Pricing!$D$2:$E$43,2,FALSE)),"")</f>
        <v/>
      </c>
      <c r="P261" s="196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71"/>
      <c r="AB261" s="272"/>
      <c r="AC261" s="272"/>
      <c r="AD261" s="272"/>
      <c r="AE261" s="272"/>
      <c r="AF261" s="272"/>
      <c r="AG261" s="272"/>
      <c r="AH261" s="272"/>
      <c r="AI261" s="267"/>
    </row>
    <row r="262" spans="1:35" x14ac:dyDescent="0.2">
      <c r="A262" s="208" t="str">
        <f>+IF(D262="","",CONCATENATE("GBL 00",Mantenedor!E261))</f>
        <v/>
      </c>
      <c r="B262" s="214"/>
      <c r="C262" s="215"/>
      <c r="D262" s="215"/>
      <c r="E262" s="215"/>
      <c r="F262" s="215"/>
      <c r="G262" s="215"/>
      <c r="H262" s="215"/>
      <c r="I262" s="216"/>
      <c r="J262" s="217"/>
      <c r="K262" s="218"/>
      <c r="L262" s="217" t="str">
        <f t="shared" si="4"/>
        <v/>
      </c>
      <c r="M262" s="240"/>
      <c r="N262" s="225" t="str">
        <f>IF($K262="","",IF($K262=1,CONCATENATE("Base ",$M262," ",$K262," noche"),CONCATENATE("Base ",$M262," ",$K262," noches")))</f>
        <v/>
      </c>
      <c r="O262" s="239" t="str">
        <f>IFERROR((VLOOKUP($N262,Pricing!$D$2:$E$43,2,FALSE)),"")</f>
        <v/>
      </c>
      <c r="P262" s="196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71"/>
      <c r="AB262" s="272"/>
      <c r="AC262" s="272"/>
      <c r="AD262" s="272"/>
      <c r="AE262" s="272"/>
      <c r="AF262" s="272"/>
      <c r="AG262" s="272"/>
      <c r="AH262" s="272"/>
      <c r="AI262" s="267"/>
    </row>
    <row r="263" spans="1:35" x14ac:dyDescent="0.2">
      <c r="A263" s="208" t="str">
        <f>+IF(D263="","",CONCATENATE("GBL 00",Mantenedor!E262))</f>
        <v/>
      </c>
      <c r="B263" s="214"/>
      <c r="C263" s="215"/>
      <c r="D263" s="215"/>
      <c r="E263" s="215"/>
      <c r="F263" s="215"/>
      <c r="G263" s="215"/>
      <c r="H263" s="215"/>
      <c r="I263" s="216"/>
      <c r="J263" s="217"/>
      <c r="K263" s="218"/>
      <c r="L263" s="217" t="str">
        <f t="shared" si="4"/>
        <v/>
      </c>
      <c r="M263" s="240"/>
      <c r="N263" s="225" t="str">
        <f>IF($K263="","",IF($K263=1,CONCATENATE("Base ",$M263," ",$K263," noche"),CONCATENATE("Base ",$M263," ",$K263," noches")))</f>
        <v/>
      </c>
      <c r="O263" s="239" t="str">
        <f>IFERROR((VLOOKUP($N263,Pricing!$D$2:$E$43,2,FALSE)),"")</f>
        <v/>
      </c>
      <c r="P263" s="196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71"/>
      <c r="AB263" s="272"/>
      <c r="AC263" s="272"/>
      <c r="AD263" s="272"/>
      <c r="AE263" s="272"/>
      <c r="AF263" s="272"/>
      <c r="AG263" s="272"/>
      <c r="AH263" s="272"/>
      <c r="AI263" s="267"/>
    </row>
    <row r="264" spans="1:35" x14ac:dyDescent="0.2">
      <c r="A264" s="208" t="str">
        <f>+IF(D264="","",CONCATENATE("GBL 00",Mantenedor!E263))</f>
        <v/>
      </c>
      <c r="B264" s="214"/>
      <c r="C264" s="215"/>
      <c r="D264" s="215"/>
      <c r="E264" s="215"/>
      <c r="F264" s="215"/>
      <c r="G264" s="215"/>
      <c r="H264" s="215"/>
      <c r="I264" s="216"/>
      <c r="J264" s="217"/>
      <c r="K264" s="218"/>
      <c r="L264" s="217" t="str">
        <f t="shared" si="4"/>
        <v/>
      </c>
      <c r="M264" s="240"/>
      <c r="N264" s="225" t="str">
        <f>IF($K264="","",IF($K264=1,CONCATENATE("Base ",$M264," ",$K264," noche"),CONCATENATE("Base ",$M264," ",$K264," noches")))</f>
        <v/>
      </c>
      <c r="O264" s="239" t="str">
        <f>IFERROR((VLOOKUP($N264,Pricing!$D$2:$E$43,2,FALSE)),"")</f>
        <v/>
      </c>
      <c r="P264" s="196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71"/>
      <c r="AB264" s="272"/>
      <c r="AC264" s="272"/>
      <c r="AD264" s="272"/>
      <c r="AE264" s="272"/>
      <c r="AF264" s="272"/>
      <c r="AG264" s="272"/>
      <c r="AH264" s="272"/>
      <c r="AI264" s="267"/>
    </row>
    <row r="265" spans="1:35" x14ac:dyDescent="0.2">
      <c r="A265" s="208" t="str">
        <f>+IF(D265="","",CONCATENATE("GBL 00",Mantenedor!E264))</f>
        <v/>
      </c>
      <c r="B265" s="214"/>
      <c r="C265" s="215"/>
      <c r="D265" s="215"/>
      <c r="E265" s="215"/>
      <c r="F265" s="215"/>
      <c r="G265" s="215"/>
      <c r="H265" s="215"/>
      <c r="I265" s="216"/>
      <c r="J265" s="217"/>
      <c r="K265" s="218"/>
      <c r="L265" s="217" t="str">
        <f t="shared" si="4"/>
        <v/>
      </c>
      <c r="M265" s="240"/>
      <c r="N265" s="225" t="str">
        <f>IF($K265="","",IF($K265=1,CONCATENATE("Base ",$M265," ",$K265," noche"),CONCATENATE("Base ",$M265," ",$K265," noches")))</f>
        <v/>
      </c>
      <c r="O265" s="239" t="str">
        <f>IFERROR((VLOOKUP($N265,Pricing!$D$2:$E$43,2,FALSE)),"")</f>
        <v/>
      </c>
      <c r="P265" s="196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71"/>
      <c r="AB265" s="272"/>
      <c r="AC265" s="272"/>
      <c r="AD265" s="272"/>
      <c r="AE265" s="272"/>
      <c r="AF265" s="272"/>
      <c r="AG265" s="272"/>
      <c r="AH265" s="272"/>
      <c r="AI265" s="267"/>
    </row>
    <row r="266" spans="1:35" x14ac:dyDescent="0.2">
      <c r="A266" s="208" t="str">
        <f>+IF(D266="","",CONCATENATE("GBL 00",Mantenedor!E265))</f>
        <v/>
      </c>
      <c r="B266" s="214"/>
      <c r="C266" s="215"/>
      <c r="D266" s="215"/>
      <c r="E266" s="215"/>
      <c r="F266" s="215"/>
      <c r="G266" s="215"/>
      <c r="H266" s="215"/>
      <c r="I266" s="216"/>
      <c r="J266" s="217"/>
      <c r="K266" s="218"/>
      <c r="L266" s="217" t="str">
        <f t="shared" si="4"/>
        <v/>
      </c>
      <c r="M266" s="240"/>
      <c r="N266" s="225" t="str">
        <f>IF($K266="","",IF($K266=1,CONCATENATE("Base ",$M266," ",$K266," noche"),CONCATENATE("Base ",$M266," ",$K266," noches")))</f>
        <v/>
      </c>
      <c r="O266" s="239" t="str">
        <f>IFERROR((VLOOKUP($N266,Pricing!$D$2:$E$43,2,FALSE)),"")</f>
        <v/>
      </c>
      <c r="P266" s="196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71"/>
      <c r="AB266" s="272"/>
      <c r="AC266" s="272"/>
      <c r="AD266" s="272"/>
      <c r="AE266" s="272"/>
      <c r="AF266" s="272"/>
      <c r="AG266" s="272"/>
      <c r="AH266" s="272"/>
      <c r="AI266" s="267"/>
    </row>
    <row r="267" spans="1:35" x14ac:dyDescent="0.2">
      <c r="A267" s="208" t="str">
        <f>+IF(D267="","",CONCATENATE("GBL 00",Mantenedor!E266))</f>
        <v/>
      </c>
      <c r="B267" s="214"/>
      <c r="C267" s="215"/>
      <c r="D267" s="215"/>
      <c r="E267" s="215"/>
      <c r="F267" s="215"/>
      <c r="G267" s="215"/>
      <c r="H267" s="215"/>
      <c r="I267" s="216"/>
      <c r="J267" s="217"/>
      <c r="K267" s="218"/>
      <c r="L267" s="217" t="str">
        <f t="shared" si="4"/>
        <v/>
      </c>
      <c r="M267" s="240"/>
      <c r="N267" s="225" t="str">
        <f>IF($K267="","",IF($K267=1,CONCATENATE("Base ",$M267," ",$K267," noche"),CONCATENATE("Base ",$M267," ",$K267," noches")))</f>
        <v/>
      </c>
      <c r="O267" s="239" t="str">
        <f>IFERROR((VLOOKUP($N267,Pricing!$D$2:$E$43,2,FALSE)),"")</f>
        <v/>
      </c>
      <c r="P267" s="196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71"/>
      <c r="AB267" s="272"/>
      <c r="AC267" s="272"/>
      <c r="AD267" s="272"/>
      <c r="AE267" s="272"/>
      <c r="AF267" s="272"/>
      <c r="AG267" s="272"/>
      <c r="AH267" s="272"/>
      <c r="AI267" s="267"/>
    </row>
    <row r="268" spans="1:35" x14ac:dyDescent="0.2">
      <c r="A268" s="208" t="str">
        <f>+IF(D268="","",CONCATENATE("GBL 00",Mantenedor!E267))</f>
        <v/>
      </c>
      <c r="B268" s="214"/>
      <c r="C268" s="215"/>
      <c r="D268" s="215"/>
      <c r="E268" s="215"/>
      <c r="F268" s="215"/>
      <c r="G268" s="215"/>
      <c r="H268" s="215"/>
      <c r="I268" s="216"/>
      <c r="J268" s="217"/>
      <c r="K268" s="218"/>
      <c r="L268" s="217" t="str">
        <f t="shared" si="4"/>
        <v/>
      </c>
      <c r="M268" s="240"/>
      <c r="N268" s="225" t="str">
        <f>IF($K268="","",IF($K268=1,CONCATENATE("Base ",$M268," ",$K268," noche"),CONCATENATE("Base ",$M268," ",$K268," noches")))</f>
        <v/>
      </c>
      <c r="O268" s="239" t="str">
        <f>IFERROR((VLOOKUP($N268,Pricing!$D$2:$E$43,2,FALSE)),"")</f>
        <v/>
      </c>
      <c r="P268" s="196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71"/>
      <c r="AB268" s="272"/>
      <c r="AC268" s="272"/>
      <c r="AD268" s="272"/>
      <c r="AE268" s="272"/>
      <c r="AF268" s="272"/>
      <c r="AG268" s="272"/>
      <c r="AH268" s="272"/>
      <c r="AI268" s="267"/>
    </row>
    <row r="269" spans="1:35" x14ac:dyDescent="0.2">
      <c r="A269" s="208" t="str">
        <f>+IF(D269="","",CONCATENATE("GBL 00",Mantenedor!E268))</f>
        <v/>
      </c>
      <c r="B269" s="214"/>
      <c r="C269" s="215"/>
      <c r="D269" s="215"/>
      <c r="E269" s="215"/>
      <c r="F269" s="215"/>
      <c r="G269" s="215"/>
      <c r="H269" s="215"/>
      <c r="I269" s="216"/>
      <c r="J269" s="217"/>
      <c r="K269" s="218"/>
      <c r="L269" s="217" t="str">
        <f t="shared" si="4"/>
        <v/>
      </c>
      <c r="M269" s="240"/>
      <c r="N269" s="225" t="str">
        <f>IF($K269="","",IF($K269=1,CONCATENATE("Base ",$M269," ",$K269," noche"),CONCATENATE("Base ",$M269," ",$K269," noches")))</f>
        <v/>
      </c>
      <c r="O269" s="239" t="str">
        <f>IFERROR((VLOOKUP($N269,Pricing!$D$2:$E$43,2,FALSE)),"")</f>
        <v/>
      </c>
      <c r="P269" s="196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71"/>
      <c r="AB269" s="272"/>
      <c r="AC269" s="272"/>
      <c r="AD269" s="272"/>
      <c r="AE269" s="272"/>
      <c r="AF269" s="272"/>
      <c r="AG269" s="272"/>
      <c r="AH269" s="272"/>
      <c r="AI269" s="267"/>
    </row>
    <row r="270" spans="1:35" x14ac:dyDescent="0.2">
      <c r="A270" s="208" t="str">
        <f>+IF(D270="","",CONCATENATE("GBL 00",Mantenedor!E269))</f>
        <v/>
      </c>
      <c r="B270" s="214"/>
      <c r="C270" s="215"/>
      <c r="D270" s="215"/>
      <c r="E270" s="215"/>
      <c r="F270" s="215"/>
      <c r="G270" s="215"/>
      <c r="H270" s="215"/>
      <c r="I270" s="216"/>
      <c r="J270" s="217"/>
      <c r="K270" s="218"/>
      <c r="L270" s="217" t="str">
        <f t="shared" si="4"/>
        <v/>
      </c>
      <c r="M270" s="240"/>
      <c r="N270" s="225" t="str">
        <f>IF($K270="","",IF($K270=1,CONCATENATE("Base ",$M270," ",$K270," noche"),CONCATENATE("Base ",$M270," ",$K270," noches")))</f>
        <v/>
      </c>
      <c r="O270" s="239" t="str">
        <f>IFERROR((VLOOKUP($N270,Pricing!$D$2:$E$43,2,FALSE)),"")</f>
        <v/>
      </c>
      <c r="P270" s="196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71"/>
      <c r="AB270" s="272"/>
      <c r="AC270" s="272"/>
      <c r="AD270" s="272"/>
      <c r="AE270" s="272"/>
      <c r="AF270" s="272"/>
      <c r="AG270" s="272"/>
      <c r="AH270" s="272"/>
      <c r="AI270" s="267"/>
    </row>
    <row r="271" spans="1:35" x14ac:dyDescent="0.2">
      <c r="A271" s="208" t="str">
        <f>+IF(D271="","",CONCATENATE("GBL 00",Mantenedor!E270))</f>
        <v/>
      </c>
      <c r="B271" s="214"/>
      <c r="C271" s="215"/>
      <c r="D271" s="215"/>
      <c r="E271" s="215"/>
      <c r="F271" s="215"/>
      <c r="G271" s="215"/>
      <c r="H271" s="215"/>
      <c r="I271" s="216"/>
      <c r="J271" s="217"/>
      <c r="K271" s="218"/>
      <c r="L271" s="217" t="str">
        <f t="shared" si="4"/>
        <v/>
      </c>
      <c r="M271" s="240"/>
      <c r="N271" s="225" t="str">
        <f>IF($K271="","",IF($K271=1,CONCATENATE("Base ",$M271," ",$K271," noche"),CONCATENATE("Base ",$M271," ",$K271," noches")))</f>
        <v/>
      </c>
      <c r="O271" s="239" t="str">
        <f>IFERROR((VLOOKUP($N271,Pricing!$D$2:$E$43,2,FALSE)),"")</f>
        <v/>
      </c>
      <c r="P271" s="196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71"/>
      <c r="AB271" s="272"/>
      <c r="AC271" s="272"/>
      <c r="AD271" s="272"/>
      <c r="AE271" s="272"/>
      <c r="AF271" s="272"/>
      <c r="AG271" s="272"/>
      <c r="AH271" s="272"/>
      <c r="AI271" s="267"/>
    </row>
    <row r="272" spans="1:35" x14ac:dyDescent="0.2">
      <c r="A272" s="208" t="str">
        <f>+IF(D272="","",CONCATENATE("GBL 00",Mantenedor!E271))</f>
        <v/>
      </c>
      <c r="B272" s="214"/>
      <c r="C272" s="215"/>
      <c r="D272" s="215"/>
      <c r="E272" s="215"/>
      <c r="F272" s="215"/>
      <c r="G272" s="215"/>
      <c r="H272" s="215"/>
      <c r="I272" s="216"/>
      <c r="J272" s="217"/>
      <c r="K272" s="218"/>
      <c r="L272" s="217" t="str">
        <f t="shared" si="4"/>
        <v/>
      </c>
      <c r="M272" s="240"/>
      <c r="N272" s="225" t="str">
        <f>IF($K272="","",IF($K272=1,CONCATENATE("Base ",$M272," ",$K272," noche"),CONCATENATE("Base ",$M272," ",$K272," noches")))</f>
        <v/>
      </c>
      <c r="O272" s="239" t="str">
        <f>IFERROR((VLOOKUP($N272,Pricing!$D$2:$E$43,2,FALSE)),"")</f>
        <v/>
      </c>
      <c r="P272" s="196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71"/>
      <c r="AB272" s="272"/>
      <c r="AC272" s="272"/>
      <c r="AD272" s="272"/>
      <c r="AE272" s="272"/>
      <c r="AF272" s="272"/>
      <c r="AG272" s="272"/>
      <c r="AH272" s="272"/>
      <c r="AI272" s="267"/>
    </row>
    <row r="273" spans="1:35" x14ac:dyDescent="0.2">
      <c r="A273" s="208" t="str">
        <f>+IF(D273="","",CONCATENATE("GBL 00",Mantenedor!E272))</f>
        <v/>
      </c>
      <c r="B273" s="214"/>
      <c r="C273" s="215"/>
      <c r="D273" s="215"/>
      <c r="E273" s="215"/>
      <c r="F273" s="215"/>
      <c r="G273" s="215"/>
      <c r="H273" s="215"/>
      <c r="I273" s="216"/>
      <c r="J273" s="217"/>
      <c r="K273" s="218"/>
      <c r="L273" s="217" t="str">
        <f t="shared" si="4"/>
        <v/>
      </c>
      <c r="M273" s="240"/>
      <c r="N273" s="225" t="str">
        <f>IF($K273="","",IF($K273=1,CONCATENATE("Base ",$M273," ",$K273," noche"),CONCATENATE("Base ",$M273," ",$K273," noches")))</f>
        <v/>
      </c>
      <c r="O273" s="239" t="str">
        <f>IFERROR((VLOOKUP($N273,Pricing!$D$2:$E$43,2,FALSE)),"")</f>
        <v/>
      </c>
      <c r="P273" s="196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71"/>
      <c r="AB273" s="272"/>
      <c r="AC273" s="272"/>
      <c r="AD273" s="272"/>
      <c r="AE273" s="272"/>
      <c r="AF273" s="272"/>
      <c r="AG273" s="272"/>
      <c r="AH273" s="272"/>
      <c r="AI273" s="267"/>
    </row>
    <row r="274" spans="1:35" x14ac:dyDescent="0.2">
      <c r="A274" s="208" t="str">
        <f>+IF(D274="","",CONCATENATE("GBL 00",Mantenedor!E273))</f>
        <v/>
      </c>
      <c r="B274" s="214"/>
      <c r="C274" s="215"/>
      <c r="D274" s="215"/>
      <c r="E274" s="215"/>
      <c r="F274" s="215"/>
      <c r="G274" s="215"/>
      <c r="H274" s="215"/>
      <c r="I274" s="216"/>
      <c r="J274" s="217"/>
      <c r="K274" s="218"/>
      <c r="L274" s="217" t="str">
        <f t="shared" si="4"/>
        <v/>
      </c>
      <c r="M274" s="240"/>
      <c r="N274" s="225" t="str">
        <f>IF($K274="","",IF($K274=1,CONCATENATE("Base ",$M274," ",$K274," noche"),CONCATENATE("Base ",$M274," ",$K274," noches")))</f>
        <v/>
      </c>
      <c r="O274" s="239" t="str">
        <f>IFERROR((VLOOKUP($N274,Pricing!$D$2:$E$43,2,FALSE)),"")</f>
        <v/>
      </c>
      <c r="P274" s="196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71"/>
      <c r="AB274" s="272"/>
      <c r="AC274" s="272"/>
      <c r="AD274" s="272"/>
      <c r="AE274" s="272"/>
      <c r="AF274" s="272"/>
      <c r="AG274" s="272"/>
      <c r="AH274" s="272"/>
      <c r="AI274" s="267"/>
    </row>
    <row r="275" spans="1:35" x14ac:dyDescent="0.2">
      <c r="A275" s="208" t="str">
        <f>+IF(D275="","",CONCATENATE("GBL 00",Mantenedor!E274))</f>
        <v/>
      </c>
      <c r="B275" s="214"/>
      <c r="C275" s="215"/>
      <c r="D275" s="215"/>
      <c r="E275" s="215"/>
      <c r="F275" s="215"/>
      <c r="G275" s="215"/>
      <c r="H275" s="215"/>
      <c r="I275" s="216"/>
      <c r="J275" s="217"/>
      <c r="K275" s="218"/>
      <c r="L275" s="217" t="str">
        <f t="shared" si="4"/>
        <v/>
      </c>
      <c r="M275" s="240"/>
      <c r="N275" s="225" t="str">
        <f>IF($K275="","",IF($K275=1,CONCATENATE("Base ",$M275," ",$K275," noche"),CONCATENATE("Base ",$M275," ",$K275," noches")))</f>
        <v/>
      </c>
      <c r="O275" s="239" t="str">
        <f>IFERROR((VLOOKUP($N275,Pricing!$D$2:$E$43,2,FALSE)),"")</f>
        <v/>
      </c>
      <c r="P275" s="196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71"/>
      <c r="AB275" s="272"/>
      <c r="AC275" s="272"/>
      <c r="AD275" s="272"/>
      <c r="AE275" s="272"/>
      <c r="AF275" s="272"/>
      <c r="AG275" s="272"/>
      <c r="AH275" s="272"/>
      <c r="AI275" s="267"/>
    </row>
    <row r="276" spans="1:35" x14ac:dyDescent="0.2">
      <c r="A276" s="208" t="str">
        <f>+IF(D276="","",CONCATENATE("GBL 00",Mantenedor!E275))</f>
        <v/>
      </c>
      <c r="B276" s="214"/>
      <c r="C276" s="215"/>
      <c r="D276" s="215"/>
      <c r="E276" s="215"/>
      <c r="F276" s="215"/>
      <c r="G276" s="215"/>
      <c r="H276" s="215"/>
      <c r="I276" s="216"/>
      <c r="J276" s="217"/>
      <c r="K276" s="218"/>
      <c r="L276" s="217" t="str">
        <f t="shared" si="4"/>
        <v/>
      </c>
      <c r="M276" s="240"/>
      <c r="N276" s="225" t="str">
        <f>IF($K276="","",IF($K276=1,CONCATENATE("Base ",$M276," ",$K276," noche"),CONCATENATE("Base ",$M276," ",$K276," noches")))</f>
        <v/>
      </c>
      <c r="O276" s="239" t="str">
        <f>IFERROR((VLOOKUP($N276,Pricing!$D$2:$E$43,2,FALSE)),"")</f>
        <v/>
      </c>
      <c r="P276" s="196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71"/>
      <c r="AB276" s="272"/>
      <c r="AC276" s="272"/>
      <c r="AD276" s="272"/>
      <c r="AE276" s="272"/>
      <c r="AF276" s="272"/>
      <c r="AG276" s="272"/>
      <c r="AH276" s="272"/>
      <c r="AI276" s="267"/>
    </row>
    <row r="277" spans="1:35" x14ac:dyDescent="0.2">
      <c r="A277" s="208" t="str">
        <f>+IF(D277="","",CONCATENATE("GBL 00",Mantenedor!E276))</f>
        <v/>
      </c>
      <c r="B277" s="214"/>
      <c r="C277" s="215"/>
      <c r="D277" s="215"/>
      <c r="E277" s="215"/>
      <c r="F277" s="215"/>
      <c r="G277" s="215"/>
      <c r="H277" s="215"/>
      <c r="I277" s="216"/>
      <c r="J277" s="217"/>
      <c r="K277" s="218"/>
      <c r="L277" s="217" t="str">
        <f t="shared" si="4"/>
        <v/>
      </c>
      <c r="M277" s="240"/>
      <c r="N277" s="225" t="str">
        <f>IF($K277="","",IF($K277=1,CONCATENATE("Base ",$M277," ",$K277," noche"),CONCATENATE("Base ",$M277," ",$K277," noches")))</f>
        <v/>
      </c>
      <c r="O277" s="239" t="str">
        <f>IFERROR((VLOOKUP($N277,Pricing!$D$2:$E$43,2,FALSE)),"")</f>
        <v/>
      </c>
      <c r="P277" s="196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71"/>
      <c r="AB277" s="272"/>
      <c r="AC277" s="272"/>
      <c r="AD277" s="272"/>
      <c r="AE277" s="272"/>
      <c r="AF277" s="272"/>
      <c r="AG277" s="272"/>
      <c r="AH277" s="272"/>
      <c r="AI277" s="267"/>
    </row>
    <row r="278" spans="1:35" x14ac:dyDescent="0.2">
      <c r="A278" s="208" t="str">
        <f>+IF(D278="","",CONCATENATE("GBL 00",Mantenedor!E277))</f>
        <v/>
      </c>
      <c r="B278" s="214"/>
      <c r="C278" s="215"/>
      <c r="D278" s="215"/>
      <c r="E278" s="215"/>
      <c r="F278" s="215"/>
      <c r="G278" s="215"/>
      <c r="H278" s="215"/>
      <c r="I278" s="216"/>
      <c r="J278" s="217"/>
      <c r="K278" s="218"/>
      <c r="L278" s="217" t="str">
        <f t="shared" si="4"/>
        <v/>
      </c>
      <c r="M278" s="240"/>
      <c r="N278" s="225" t="str">
        <f>IF($K278="","",IF($K278=1,CONCATENATE("Base ",$M278," ",$K278," noche"),CONCATENATE("Base ",$M278," ",$K278," noches")))</f>
        <v/>
      </c>
      <c r="O278" s="239" t="str">
        <f>IFERROR((VLOOKUP($N278,Pricing!$D$2:$E$43,2,FALSE)),"")</f>
        <v/>
      </c>
      <c r="P278" s="196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71"/>
      <c r="AB278" s="272"/>
      <c r="AC278" s="272"/>
      <c r="AD278" s="272"/>
      <c r="AE278" s="272"/>
      <c r="AF278" s="272"/>
      <c r="AG278" s="272"/>
      <c r="AH278" s="272"/>
      <c r="AI278" s="267"/>
    </row>
    <row r="279" spans="1:35" x14ac:dyDescent="0.2">
      <c r="A279" s="208" t="str">
        <f>+IF(D279="","",CONCATENATE("GBL 00",Mantenedor!E278))</f>
        <v/>
      </c>
      <c r="B279" s="214"/>
      <c r="C279" s="215"/>
      <c r="D279" s="215"/>
      <c r="E279" s="215"/>
      <c r="F279" s="215"/>
      <c r="G279" s="215"/>
      <c r="H279" s="215"/>
      <c r="I279" s="216"/>
      <c r="J279" s="217"/>
      <c r="K279" s="218"/>
      <c r="L279" s="217" t="str">
        <f t="shared" si="4"/>
        <v/>
      </c>
      <c r="M279" s="240"/>
      <c r="N279" s="225" t="str">
        <f>IF($K279="","",IF($K279=1,CONCATENATE("Base ",$M279," ",$K279," noche"),CONCATENATE("Base ",$M279," ",$K279," noches")))</f>
        <v/>
      </c>
      <c r="O279" s="239" t="str">
        <f>IFERROR((VLOOKUP($N279,Pricing!$D$2:$E$43,2,FALSE)),"")</f>
        <v/>
      </c>
      <c r="P279" s="196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71"/>
      <c r="AB279" s="272"/>
      <c r="AC279" s="272"/>
      <c r="AD279" s="272"/>
      <c r="AE279" s="272"/>
      <c r="AF279" s="272"/>
      <c r="AG279" s="272"/>
      <c r="AH279" s="272"/>
      <c r="AI279" s="267"/>
    </row>
    <row r="280" spans="1:35" x14ac:dyDescent="0.2">
      <c r="A280" s="208" t="str">
        <f>+IF(D280="","",CONCATENATE("GBL 00",Mantenedor!E279))</f>
        <v/>
      </c>
      <c r="B280" s="214"/>
      <c r="C280" s="215"/>
      <c r="D280" s="215"/>
      <c r="E280" s="215"/>
      <c r="F280" s="215"/>
      <c r="G280" s="215"/>
      <c r="H280" s="215"/>
      <c r="I280" s="216"/>
      <c r="J280" s="217"/>
      <c r="K280" s="218"/>
      <c r="L280" s="217" t="str">
        <f t="shared" si="4"/>
        <v/>
      </c>
      <c r="M280" s="240"/>
      <c r="N280" s="225" t="str">
        <f>IF($K280="","",IF($K280=1,CONCATENATE("Base ",$M280," ",$K280," noche"),CONCATENATE("Base ",$M280," ",$K280," noches")))</f>
        <v/>
      </c>
      <c r="O280" s="239" t="str">
        <f>IFERROR((VLOOKUP($N280,Pricing!$D$2:$E$43,2,FALSE)),"")</f>
        <v/>
      </c>
      <c r="P280" s="196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71"/>
      <c r="AB280" s="272"/>
      <c r="AC280" s="272"/>
      <c r="AD280" s="272"/>
      <c r="AE280" s="272"/>
      <c r="AF280" s="272"/>
      <c r="AG280" s="272"/>
      <c r="AH280" s="272"/>
      <c r="AI280" s="267"/>
    </row>
    <row r="281" spans="1:35" x14ac:dyDescent="0.2">
      <c r="A281" s="208" t="str">
        <f>+IF(D281="","",CONCATENATE("GBL 00",Mantenedor!E280))</f>
        <v/>
      </c>
      <c r="B281" s="214"/>
      <c r="C281" s="215"/>
      <c r="D281" s="215"/>
      <c r="E281" s="215"/>
      <c r="F281" s="215"/>
      <c r="G281" s="215"/>
      <c r="H281" s="215"/>
      <c r="I281" s="216"/>
      <c r="J281" s="217"/>
      <c r="K281" s="218"/>
      <c r="L281" s="217" t="str">
        <f t="shared" si="4"/>
        <v/>
      </c>
      <c r="M281" s="240"/>
      <c r="N281" s="225" t="str">
        <f>IF($K281="","",IF($K281=1,CONCATENATE("Base ",$M281," ",$K281," noche"),CONCATENATE("Base ",$M281," ",$K281," noches")))</f>
        <v/>
      </c>
      <c r="O281" s="239" t="str">
        <f>IFERROR((VLOOKUP($N281,Pricing!$D$2:$E$43,2,FALSE)),"")</f>
        <v/>
      </c>
      <c r="P281" s="196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71"/>
      <c r="AB281" s="272"/>
      <c r="AC281" s="272"/>
      <c r="AD281" s="272"/>
      <c r="AE281" s="272"/>
      <c r="AF281" s="272"/>
      <c r="AG281" s="272"/>
      <c r="AH281" s="272"/>
      <c r="AI281" s="267"/>
    </row>
    <row r="282" spans="1:35" x14ac:dyDescent="0.2">
      <c r="A282" s="208" t="str">
        <f>+IF(D282="","",CONCATENATE("GBL 00",Mantenedor!E281))</f>
        <v/>
      </c>
      <c r="B282" s="214"/>
      <c r="C282" s="215"/>
      <c r="D282" s="215"/>
      <c r="E282" s="215"/>
      <c r="F282" s="215"/>
      <c r="G282" s="215"/>
      <c r="H282" s="215"/>
      <c r="I282" s="216"/>
      <c r="J282" s="217"/>
      <c r="K282" s="218"/>
      <c r="L282" s="217" t="str">
        <f t="shared" si="4"/>
        <v/>
      </c>
      <c r="M282" s="240"/>
      <c r="N282" s="225" t="str">
        <f>IF($K282="","",IF($K282=1,CONCATENATE("Base ",$M282," ",$K282," noche"),CONCATENATE("Base ",$M282," ",$K282," noches")))</f>
        <v/>
      </c>
      <c r="O282" s="239" t="str">
        <f>IFERROR((VLOOKUP($N282,Pricing!$D$2:$E$43,2,FALSE)),"")</f>
        <v/>
      </c>
      <c r="P282" s="196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71"/>
      <c r="AB282" s="272"/>
      <c r="AC282" s="272"/>
      <c r="AD282" s="272"/>
      <c r="AE282" s="272"/>
      <c r="AF282" s="272"/>
      <c r="AG282" s="272"/>
      <c r="AH282" s="272"/>
      <c r="AI282" s="267"/>
    </row>
    <row r="283" spans="1:35" x14ac:dyDescent="0.2">
      <c r="A283" s="208" t="str">
        <f>+IF(D283="","",CONCATENATE("GBL 00",Mantenedor!E282))</f>
        <v/>
      </c>
      <c r="B283" s="214"/>
      <c r="C283" s="215"/>
      <c r="D283" s="215"/>
      <c r="E283" s="215"/>
      <c r="F283" s="215"/>
      <c r="G283" s="215"/>
      <c r="H283" s="215"/>
      <c r="I283" s="216"/>
      <c r="J283" s="217"/>
      <c r="K283" s="218"/>
      <c r="L283" s="217" t="str">
        <f t="shared" si="4"/>
        <v/>
      </c>
      <c r="M283" s="240"/>
      <c r="N283" s="225" t="str">
        <f>IF($K283="","",IF($K283=1,CONCATENATE("Base ",$M283," ",$K283," noche"),CONCATENATE("Base ",$M283," ",$K283," noches")))</f>
        <v/>
      </c>
      <c r="O283" s="239" t="str">
        <f>IFERROR((VLOOKUP($N283,Pricing!$D$2:$E$43,2,FALSE)),"")</f>
        <v/>
      </c>
      <c r="P283" s="196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71"/>
      <c r="AB283" s="272"/>
      <c r="AC283" s="272"/>
      <c r="AD283" s="272"/>
      <c r="AE283" s="272"/>
      <c r="AF283" s="272"/>
      <c r="AG283" s="272"/>
      <c r="AH283" s="272"/>
      <c r="AI283" s="267"/>
    </row>
    <row r="284" spans="1:35" x14ac:dyDescent="0.2">
      <c r="A284" s="208" t="str">
        <f>+IF(D284="","",CONCATENATE("GBL 00",Mantenedor!E283))</f>
        <v/>
      </c>
      <c r="B284" s="214"/>
      <c r="C284" s="215"/>
      <c r="D284" s="215"/>
      <c r="E284" s="215"/>
      <c r="F284" s="215"/>
      <c r="G284" s="215"/>
      <c r="H284" s="215"/>
      <c r="I284" s="216"/>
      <c r="J284" s="217"/>
      <c r="K284" s="218"/>
      <c r="L284" s="217" t="str">
        <f t="shared" si="4"/>
        <v/>
      </c>
      <c r="M284" s="240"/>
      <c r="N284" s="225" t="str">
        <f>IF($K284="","",IF($K284=1,CONCATENATE("Base ",$M284," ",$K284," noche"),CONCATENATE("Base ",$M284," ",$K284," noches")))</f>
        <v/>
      </c>
      <c r="O284" s="239" t="str">
        <f>IFERROR((VLOOKUP($N284,Pricing!$D$2:$E$43,2,FALSE)),"")</f>
        <v/>
      </c>
      <c r="P284" s="196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71"/>
      <c r="AB284" s="272"/>
      <c r="AC284" s="272"/>
      <c r="AD284" s="272"/>
      <c r="AE284" s="272"/>
      <c r="AF284" s="272"/>
      <c r="AG284" s="272"/>
      <c r="AH284" s="272"/>
      <c r="AI284" s="267"/>
    </row>
    <row r="285" spans="1:35" x14ac:dyDescent="0.2">
      <c r="A285" s="208" t="str">
        <f>+IF(D285="","",CONCATENATE("GBL 00",Mantenedor!E284))</f>
        <v/>
      </c>
      <c r="B285" s="214"/>
      <c r="C285" s="215"/>
      <c r="D285" s="215"/>
      <c r="E285" s="215"/>
      <c r="F285" s="215"/>
      <c r="G285" s="215"/>
      <c r="H285" s="215"/>
      <c r="I285" s="216"/>
      <c r="J285" s="217"/>
      <c r="K285" s="218"/>
      <c r="L285" s="217" t="str">
        <f t="shared" si="4"/>
        <v/>
      </c>
      <c r="M285" s="240"/>
      <c r="N285" s="225" t="str">
        <f>IF($K285="","",IF($K285=1,CONCATENATE("Base ",$M285," ",$K285," noche"),CONCATENATE("Base ",$M285," ",$K285," noches")))</f>
        <v/>
      </c>
      <c r="O285" s="239" t="str">
        <f>IFERROR((VLOOKUP($N285,Pricing!$D$2:$E$43,2,FALSE)),"")</f>
        <v/>
      </c>
      <c r="P285" s="196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71"/>
      <c r="AB285" s="272"/>
      <c r="AC285" s="272"/>
      <c r="AD285" s="272"/>
      <c r="AE285" s="272"/>
      <c r="AF285" s="272"/>
      <c r="AG285" s="272"/>
      <c r="AH285" s="272"/>
      <c r="AI285" s="267"/>
    </row>
    <row r="286" spans="1:35" x14ac:dyDescent="0.2">
      <c r="A286" s="208" t="str">
        <f>+IF(D286="","",CONCATENATE("GBL 00",Mantenedor!E285))</f>
        <v/>
      </c>
      <c r="B286" s="214"/>
      <c r="C286" s="215"/>
      <c r="D286" s="215"/>
      <c r="E286" s="215"/>
      <c r="F286" s="215"/>
      <c r="G286" s="215"/>
      <c r="H286" s="215"/>
      <c r="I286" s="216"/>
      <c r="J286" s="217"/>
      <c r="K286" s="218"/>
      <c r="L286" s="217" t="str">
        <f t="shared" si="4"/>
        <v/>
      </c>
      <c r="M286" s="240"/>
      <c r="N286" s="225" t="str">
        <f>IF($K286="","",IF($K286=1,CONCATENATE("Base ",$M286," ",$K286," noche"),CONCATENATE("Base ",$M286," ",$K286," noches")))</f>
        <v/>
      </c>
      <c r="O286" s="239" t="str">
        <f>IFERROR((VLOOKUP($N286,Pricing!$D$2:$E$43,2,FALSE)),"")</f>
        <v/>
      </c>
      <c r="P286" s="196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71"/>
      <c r="AB286" s="272"/>
      <c r="AC286" s="272"/>
      <c r="AD286" s="272"/>
      <c r="AE286" s="272"/>
      <c r="AF286" s="272"/>
      <c r="AG286" s="272"/>
      <c r="AH286" s="272"/>
      <c r="AI286" s="267"/>
    </row>
    <row r="287" spans="1:35" x14ac:dyDescent="0.2">
      <c r="A287" s="208" t="str">
        <f>+IF(D287="","",CONCATENATE("GBL 00",Mantenedor!E286))</f>
        <v/>
      </c>
      <c r="B287" s="214"/>
      <c r="C287" s="215"/>
      <c r="D287" s="215"/>
      <c r="E287" s="215"/>
      <c r="F287" s="215"/>
      <c r="G287" s="215"/>
      <c r="H287" s="215"/>
      <c r="I287" s="216"/>
      <c r="J287" s="217"/>
      <c r="K287" s="218"/>
      <c r="L287" s="217" t="str">
        <f t="shared" si="4"/>
        <v/>
      </c>
      <c r="M287" s="240"/>
      <c r="N287" s="225" t="str">
        <f>IF($K287="","",IF($K287=1,CONCATENATE("Base ",$M287," ",$K287," noche"),CONCATENATE("Base ",$M287," ",$K287," noches")))</f>
        <v/>
      </c>
      <c r="O287" s="239" t="str">
        <f>IFERROR((VLOOKUP($N287,Pricing!$D$2:$E$43,2,FALSE)),"")</f>
        <v/>
      </c>
      <c r="P287" s="196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71"/>
      <c r="AB287" s="272"/>
      <c r="AC287" s="272"/>
      <c r="AD287" s="272"/>
      <c r="AE287" s="272"/>
      <c r="AF287" s="272"/>
      <c r="AG287" s="272"/>
      <c r="AH287" s="272"/>
      <c r="AI287" s="267"/>
    </row>
    <row r="288" spans="1:35" x14ac:dyDescent="0.2">
      <c r="A288" s="208" t="str">
        <f>+IF(D288="","",CONCATENATE("GBL 00",Mantenedor!E287))</f>
        <v/>
      </c>
      <c r="B288" s="214"/>
      <c r="C288" s="215"/>
      <c r="D288" s="215"/>
      <c r="E288" s="215"/>
      <c r="F288" s="215"/>
      <c r="G288" s="215"/>
      <c r="H288" s="215"/>
      <c r="I288" s="216"/>
      <c r="J288" s="217"/>
      <c r="K288" s="218"/>
      <c r="L288" s="217" t="str">
        <f t="shared" si="4"/>
        <v/>
      </c>
      <c r="M288" s="240"/>
      <c r="N288" s="225" t="str">
        <f>IF($K288="","",IF($K288=1,CONCATENATE("Base ",$M288," ",$K288," noche"),CONCATENATE("Base ",$M288," ",$K288," noches")))</f>
        <v/>
      </c>
      <c r="O288" s="239" t="str">
        <f>IFERROR((VLOOKUP($N288,Pricing!$D$2:$E$43,2,FALSE)),"")</f>
        <v/>
      </c>
      <c r="P288" s="196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71"/>
      <c r="AB288" s="272"/>
      <c r="AC288" s="272"/>
      <c r="AD288" s="272"/>
      <c r="AE288" s="272"/>
      <c r="AF288" s="272"/>
      <c r="AG288" s="272"/>
      <c r="AH288" s="272"/>
      <c r="AI288" s="267"/>
    </row>
    <row r="289" spans="1:35" x14ac:dyDescent="0.2">
      <c r="A289" s="208" t="str">
        <f>+IF(D289="","",CONCATENATE("GBL 00",Mantenedor!E288))</f>
        <v/>
      </c>
      <c r="B289" s="214"/>
      <c r="C289" s="215"/>
      <c r="D289" s="215"/>
      <c r="E289" s="215"/>
      <c r="F289" s="215"/>
      <c r="G289" s="215"/>
      <c r="H289" s="215"/>
      <c r="I289" s="216"/>
      <c r="J289" s="217"/>
      <c r="K289" s="218"/>
      <c r="L289" s="217" t="str">
        <f t="shared" si="4"/>
        <v/>
      </c>
      <c r="M289" s="240"/>
      <c r="N289" s="225" t="str">
        <f>IF($K289="","",IF($K289=1,CONCATENATE("Base ",$M289," ",$K289," noche"),CONCATENATE("Base ",$M289," ",$K289," noches")))</f>
        <v/>
      </c>
      <c r="O289" s="239" t="str">
        <f>IFERROR((VLOOKUP($N289,Pricing!$D$2:$E$43,2,FALSE)),"")</f>
        <v/>
      </c>
      <c r="P289" s="196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71"/>
      <c r="AB289" s="272"/>
      <c r="AC289" s="272"/>
      <c r="AD289" s="272"/>
      <c r="AE289" s="272"/>
      <c r="AF289" s="272"/>
      <c r="AG289" s="272"/>
      <c r="AH289" s="272"/>
      <c r="AI289" s="267"/>
    </row>
    <row r="290" spans="1:35" x14ac:dyDescent="0.2">
      <c r="A290" s="208" t="str">
        <f>+IF(D290="","",CONCATENATE("GBL 00",Mantenedor!E289))</f>
        <v/>
      </c>
      <c r="B290" s="214"/>
      <c r="C290" s="215"/>
      <c r="D290" s="215"/>
      <c r="E290" s="215"/>
      <c r="F290" s="215"/>
      <c r="G290" s="215"/>
      <c r="H290" s="215"/>
      <c r="I290" s="216"/>
      <c r="J290" s="217"/>
      <c r="K290" s="218"/>
      <c r="L290" s="217" t="str">
        <f t="shared" si="4"/>
        <v/>
      </c>
      <c r="M290" s="240"/>
      <c r="N290" s="225" t="str">
        <f>IF($K290="","",IF($K290=1,CONCATENATE("Base ",$M290," ",$K290," noche"),CONCATENATE("Base ",$M290," ",$K290," noches")))</f>
        <v/>
      </c>
      <c r="O290" s="239" t="str">
        <f>IFERROR((VLOOKUP($N290,Pricing!$D$2:$E$43,2,FALSE)),"")</f>
        <v/>
      </c>
      <c r="P290" s="196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71"/>
      <c r="AB290" s="272"/>
      <c r="AC290" s="272"/>
      <c r="AD290" s="272"/>
      <c r="AE290" s="272"/>
      <c r="AF290" s="272"/>
      <c r="AG290" s="272"/>
      <c r="AH290" s="272"/>
      <c r="AI290" s="267"/>
    </row>
    <row r="291" spans="1:35" x14ac:dyDescent="0.2">
      <c r="A291" s="208" t="str">
        <f>+IF(D291="","",CONCATENATE("GBL 00",Mantenedor!E290))</f>
        <v/>
      </c>
      <c r="B291" s="214"/>
      <c r="C291" s="215"/>
      <c r="D291" s="215"/>
      <c r="E291" s="215"/>
      <c r="F291" s="215"/>
      <c r="G291" s="215"/>
      <c r="H291" s="215"/>
      <c r="I291" s="216"/>
      <c r="J291" s="217"/>
      <c r="K291" s="218"/>
      <c r="L291" s="217" t="str">
        <f t="shared" si="4"/>
        <v/>
      </c>
      <c r="M291" s="240"/>
      <c r="N291" s="225" t="str">
        <f>IF($K291="","",IF($K291=1,CONCATENATE("Base ",$M291," ",$K291," noche"),CONCATENATE("Base ",$M291," ",$K291," noches")))</f>
        <v/>
      </c>
      <c r="O291" s="239" t="str">
        <f>IFERROR((VLOOKUP($N291,Pricing!$D$2:$E$43,2,FALSE)),"")</f>
        <v/>
      </c>
      <c r="P291" s="196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71"/>
      <c r="AB291" s="272"/>
      <c r="AC291" s="272"/>
      <c r="AD291" s="272"/>
      <c r="AE291" s="272"/>
      <c r="AF291" s="272"/>
      <c r="AG291" s="272"/>
      <c r="AH291" s="272"/>
      <c r="AI291" s="267"/>
    </row>
    <row r="292" spans="1:35" x14ac:dyDescent="0.2">
      <c r="A292" s="208" t="str">
        <f>+IF(D292="","",CONCATENATE("GBL 00",Mantenedor!E291))</f>
        <v/>
      </c>
      <c r="B292" s="214"/>
      <c r="C292" s="215"/>
      <c r="D292" s="215"/>
      <c r="E292" s="215"/>
      <c r="F292" s="215"/>
      <c r="G292" s="215"/>
      <c r="H292" s="215"/>
      <c r="I292" s="216"/>
      <c r="J292" s="217"/>
      <c r="K292" s="218"/>
      <c r="L292" s="217" t="str">
        <f t="shared" si="4"/>
        <v/>
      </c>
      <c r="M292" s="240"/>
      <c r="N292" s="225" t="str">
        <f>IF($K292="","",IF($K292=1,CONCATENATE("Base ",$M292," ",$K292," noche"),CONCATENATE("Base ",$M292," ",$K292," noches")))</f>
        <v/>
      </c>
      <c r="O292" s="239" t="str">
        <f>IFERROR((VLOOKUP($N292,Pricing!$D$2:$E$43,2,FALSE)),"")</f>
        <v/>
      </c>
      <c r="P292" s="196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71"/>
      <c r="AB292" s="272"/>
      <c r="AC292" s="272"/>
      <c r="AD292" s="272"/>
      <c r="AE292" s="272"/>
      <c r="AF292" s="272"/>
      <c r="AG292" s="272"/>
      <c r="AH292" s="272"/>
      <c r="AI292" s="267"/>
    </row>
    <row r="293" spans="1:35" x14ac:dyDescent="0.2">
      <c r="A293" s="208" t="str">
        <f>+IF(D293="","",CONCATENATE("GBL 00",Mantenedor!E292))</f>
        <v/>
      </c>
      <c r="B293" s="214"/>
      <c r="C293" s="215"/>
      <c r="D293" s="215"/>
      <c r="E293" s="215"/>
      <c r="F293" s="215"/>
      <c r="G293" s="215"/>
      <c r="H293" s="215"/>
      <c r="I293" s="216"/>
      <c r="J293" s="217"/>
      <c r="K293" s="218"/>
      <c r="L293" s="217" t="str">
        <f t="shared" si="4"/>
        <v/>
      </c>
      <c r="M293" s="240"/>
      <c r="N293" s="225" t="str">
        <f>IF($K293="","",IF($K293=1,CONCATENATE("Base ",$M293," ",$K293," noche"),CONCATENATE("Base ",$M293," ",$K293," noches")))</f>
        <v/>
      </c>
      <c r="O293" s="239" t="str">
        <f>IFERROR((VLOOKUP($N293,Pricing!$D$2:$E$43,2,FALSE)),"")</f>
        <v/>
      </c>
      <c r="P293" s="196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71"/>
      <c r="AB293" s="272"/>
      <c r="AC293" s="272"/>
      <c r="AD293" s="272"/>
      <c r="AE293" s="272"/>
      <c r="AF293" s="272"/>
      <c r="AG293" s="272"/>
      <c r="AH293" s="272"/>
      <c r="AI293" s="267"/>
    </row>
    <row r="294" spans="1:35" x14ac:dyDescent="0.2">
      <c r="A294" s="208" t="str">
        <f>+IF(D294="","",CONCATENATE("GBL 00",Mantenedor!E293))</f>
        <v/>
      </c>
      <c r="B294" s="214"/>
      <c r="C294" s="215"/>
      <c r="D294" s="215"/>
      <c r="E294" s="215"/>
      <c r="F294" s="215"/>
      <c r="G294" s="215"/>
      <c r="H294" s="215"/>
      <c r="I294" s="216"/>
      <c r="J294" s="217"/>
      <c r="K294" s="218"/>
      <c r="L294" s="217" t="str">
        <f t="shared" si="4"/>
        <v/>
      </c>
      <c r="M294" s="240"/>
      <c r="N294" s="225" t="str">
        <f>IF($K294="","",IF($K294=1,CONCATENATE("Base ",$M294," ",$K294," noche"),CONCATENATE("Base ",$M294," ",$K294," noches")))</f>
        <v/>
      </c>
      <c r="O294" s="239" t="str">
        <f>IFERROR((VLOOKUP($N294,Pricing!$D$2:$E$43,2,FALSE)),"")</f>
        <v/>
      </c>
      <c r="P294" s="196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71"/>
      <c r="AB294" s="272"/>
      <c r="AC294" s="272"/>
      <c r="AD294" s="272"/>
      <c r="AE294" s="272"/>
      <c r="AF294" s="272"/>
      <c r="AG294" s="272"/>
      <c r="AH294" s="272"/>
      <c r="AI294" s="267"/>
    </row>
    <row r="295" spans="1:35" x14ac:dyDescent="0.2">
      <c r="A295" s="208" t="str">
        <f>+IF(D295="","",CONCATENATE("GBL 00",Mantenedor!E294))</f>
        <v/>
      </c>
      <c r="B295" s="214"/>
      <c r="C295" s="215"/>
      <c r="D295" s="215"/>
      <c r="E295" s="215"/>
      <c r="F295" s="215"/>
      <c r="G295" s="215"/>
      <c r="H295" s="215"/>
      <c r="I295" s="216"/>
      <c r="J295" s="217"/>
      <c r="K295" s="218"/>
      <c r="L295" s="217" t="str">
        <f t="shared" si="4"/>
        <v/>
      </c>
      <c r="M295" s="240"/>
      <c r="N295" s="225" t="str">
        <f>IF($K295="","",IF($K295=1,CONCATENATE("Base ",$M295," ",$K295," noche"),CONCATENATE("Base ",$M295," ",$K295," noches")))</f>
        <v/>
      </c>
      <c r="O295" s="239" t="str">
        <f>IFERROR((VLOOKUP($N295,Pricing!$D$2:$E$43,2,FALSE)),"")</f>
        <v/>
      </c>
      <c r="P295" s="196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71"/>
      <c r="AB295" s="272"/>
      <c r="AC295" s="272"/>
      <c r="AD295" s="272"/>
      <c r="AE295" s="272"/>
      <c r="AF295" s="272"/>
      <c r="AG295" s="272"/>
      <c r="AH295" s="272"/>
      <c r="AI295" s="267"/>
    </row>
    <row r="296" spans="1:35" x14ac:dyDescent="0.2">
      <c r="A296" s="208" t="str">
        <f>+IF(D296="","",CONCATENATE("GBL 00",Mantenedor!E295))</f>
        <v/>
      </c>
      <c r="B296" s="214"/>
      <c r="C296" s="215"/>
      <c r="D296" s="215"/>
      <c r="E296" s="215"/>
      <c r="F296" s="215"/>
      <c r="G296" s="215"/>
      <c r="H296" s="215"/>
      <c r="I296" s="216"/>
      <c r="J296" s="217"/>
      <c r="K296" s="218"/>
      <c r="L296" s="217" t="str">
        <f t="shared" si="4"/>
        <v/>
      </c>
      <c r="M296" s="240"/>
      <c r="N296" s="225" t="str">
        <f>IF($K296="","",IF($K296=1,CONCATENATE("Base ",$M296," ",$K296," noche"),CONCATENATE("Base ",$M296," ",$K296," noches")))</f>
        <v/>
      </c>
      <c r="O296" s="239" t="str">
        <f>IFERROR((VLOOKUP($N296,Pricing!$D$2:$E$43,2,FALSE)),"")</f>
        <v/>
      </c>
      <c r="P296" s="196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71"/>
      <c r="AB296" s="272"/>
      <c r="AC296" s="272"/>
      <c r="AD296" s="272"/>
      <c r="AE296" s="272"/>
      <c r="AF296" s="272"/>
      <c r="AG296" s="272"/>
      <c r="AH296" s="272"/>
      <c r="AI296" s="267"/>
    </row>
    <row r="297" spans="1:35" x14ac:dyDescent="0.2">
      <c r="A297" s="208" t="str">
        <f>+IF(D297="","",CONCATENATE("GBL 00",Mantenedor!E296))</f>
        <v/>
      </c>
      <c r="B297" s="214"/>
      <c r="C297" s="215"/>
      <c r="D297" s="215"/>
      <c r="E297" s="215"/>
      <c r="F297" s="215"/>
      <c r="G297" s="215"/>
      <c r="H297" s="215"/>
      <c r="I297" s="216"/>
      <c r="J297" s="217"/>
      <c r="K297" s="218"/>
      <c r="L297" s="217" t="str">
        <f t="shared" si="4"/>
        <v/>
      </c>
      <c r="M297" s="240"/>
      <c r="N297" s="225" t="str">
        <f>IF($K297="","",IF($K297=1,CONCATENATE("Base ",$M297," ",$K297," noche"),CONCATENATE("Base ",$M297," ",$K297," noches")))</f>
        <v/>
      </c>
      <c r="O297" s="239" t="str">
        <f>IFERROR((VLOOKUP($N297,Pricing!$D$2:$E$43,2,FALSE)),"")</f>
        <v/>
      </c>
      <c r="P297" s="196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71"/>
      <c r="AB297" s="272"/>
      <c r="AC297" s="272"/>
      <c r="AD297" s="272"/>
      <c r="AE297" s="272"/>
      <c r="AF297" s="272"/>
      <c r="AG297" s="272"/>
      <c r="AH297" s="272"/>
      <c r="AI297" s="267"/>
    </row>
    <row r="298" spans="1:35" x14ac:dyDescent="0.2">
      <c r="A298" s="208" t="str">
        <f>+IF(D298="","",CONCATENATE("GBL 00",Mantenedor!E297))</f>
        <v/>
      </c>
      <c r="B298" s="214"/>
      <c r="C298" s="215"/>
      <c r="D298" s="215"/>
      <c r="E298" s="215"/>
      <c r="F298" s="215"/>
      <c r="G298" s="215"/>
      <c r="H298" s="215"/>
      <c r="I298" s="216"/>
      <c r="J298" s="217"/>
      <c r="K298" s="218"/>
      <c r="L298" s="217" t="str">
        <f t="shared" si="4"/>
        <v/>
      </c>
      <c r="M298" s="240"/>
      <c r="N298" s="225" t="str">
        <f>IF($K298="","",IF($K298=1,CONCATENATE("Base ",$M298," ",$K298," noche"),CONCATENATE("Base ",$M298," ",$K298," noches")))</f>
        <v/>
      </c>
      <c r="O298" s="239" t="str">
        <f>IFERROR((VLOOKUP($N298,Pricing!$D$2:$E$43,2,FALSE)),"")</f>
        <v/>
      </c>
      <c r="P298" s="196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71"/>
      <c r="AB298" s="272"/>
      <c r="AC298" s="272"/>
      <c r="AD298" s="272"/>
      <c r="AE298" s="272"/>
      <c r="AF298" s="272"/>
      <c r="AG298" s="272"/>
      <c r="AH298" s="272"/>
      <c r="AI298" s="267"/>
    </row>
    <row r="299" spans="1:35" x14ac:dyDescent="0.2">
      <c r="A299" s="208" t="str">
        <f>+IF(D299="","",CONCATENATE("GBL 00",Mantenedor!E298))</f>
        <v/>
      </c>
      <c r="B299" s="214"/>
      <c r="C299" s="215"/>
      <c r="D299" s="215"/>
      <c r="E299" s="215"/>
      <c r="F299" s="215"/>
      <c r="G299" s="215"/>
      <c r="H299" s="215"/>
      <c r="I299" s="216"/>
      <c r="J299" s="217"/>
      <c r="K299" s="218"/>
      <c r="L299" s="217" t="str">
        <f t="shared" si="4"/>
        <v/>
      </c>
      <c r="M299" s="240"/>
      <c r="N299" s="225" t="str">
        <f>IF($K299="","",IF($K299=1,CONCATENATE("Base ",$M299," ",$K299," noche"),CONCATENATE("Base ",$M299," ",$K299," noches")))</f>
        <v/>
      </c>
      <c r="O299" s="239" t="str">
        <f>IFERROR((VLOOKUP($N299,Pricing!$D$2:$E$43,2,FALSE)),"")</f>
        <v/>
      </c>
      <c r="P299" s="196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71"/>
      <c r="AB299" s="272"/>
      <c r="AC299" s="272"/>
      <c r="AD299" s="272"/>
      <c r="AE299" s="272"/>
      <c r="AF299" s="272"/>
      <c r="AG299" s="272"/>
      <c r="AH299" s="272"/>
      <c r="AI299" s="267"/>
    </row>
    <row r="300" spans="1:35" x14ac:dyDescent="0.2">
      <c r="A300" s="208" t="str">
        <f>+IF(D300="","",CONCATENATE("GBL 00",Mantenedor!E299))</f>
        <v/>
      </c>
      <c r="B300" s="214"/>
      <c r="C300" s="215"/>
      <c r="D300" s="215"/>
      <c r="E300" s="215"/>
      <c r="F300" s="215"/>
      <c r="G300" s="215"/>
      <c r="H300" s="215"/>
      <c r="I300" s="216"/>
      <c r="J300" s="217"/>
      <c r="K300" s="218"/>
      <c r="L300" s="217" t="str">
        <f t="shared" si="4"/>
        <v/>
      </c>
      <c r="M300" s="240"/>
      <c r="N300" s="225" t="str">
        <f>IF($K300="","",IF($K300=1,CONCATENATE("Base ",$M300," ",$K300," noche"),CONCATENATE("Base ",$M300," ",$K300," noches")))</f>
        <v/>
      </c>
      <c r="O300" s="239" t="str">
        <f>IFERROR((VLOOKUP($N300,Pricing!$D$2:$E$43,2,FALSE)),"")</f>
        <v/>
      </c>
      <c r="P300" s="196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71"/>
      <c r="AB300" s="272"/>
      <c r="AC300" s="272"/>
      <c r="AD300" s="272"/>
      <c r="AE300" s="272"/>
      <c r="AF300" s="272"/>
      <c r="AG300" s="272"/>
      <c r="AH300" s="272"/>
      <c r="AI300" s="267"/>
    </row>
    <row r="301" spans="1:35" x14ac:dyDescent="0.2">
      <c r="A301" s="208" t="str">
        <f>+IF(D301="","",CONCATENATE("GBL 00",Mantenedor!E300))</f>
        <v/>
      </c>
      <c r="B301" s="214"/>
      <c r="C301" s="215"/>
      <c r="D301" s="215"/>
      <c r="E301" s="215"/>
      <c r="F301" s="215"/>
      <c r="G301" s="215"/>
      <c r="H301" s="215"/>
      <c r="I301" s="216"/>
      <c r="J301" s="217"/>
      <c r="K301" s="218"/>
      <c r="L301" s="217" t="str">
        <f t="shared" si="4"/>
        <v/>
      </c>
      <c r="M301" s="240"/>
      <c r="N301" s="225" t="str">
        <f>IF($K301="","",IF($K301=1,CONCATENATE("Base ",$M301," ",$K301," noche"),CONCATENATE("Base ",$M301," ",$K301," noches")))</f>
        <v/>
      </c>
      <c r="O301" s="239" t="str">
        <f>IFERROR((VLOOKUP($N301,Pricing!$D$2:$E$43,2,FALSE)),"")</f>
        <v/>
      </c>
      <c r="P301" s="196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71"/>
      <c r="AB301" s="272"/>
      <c r="AC301" s="272"/>
      <c r="AD301" s="272"/>
      <c r="AE301" s="272"/>
      <c r="AF301" s="272"/>
      <c r="AG301" s="272"/>
      <c r="AH301" s="272"/>
      <c r="AI301" s="267"/>
    </row>
    <row r="302" spans="1:35" x14ac:dyDescent="0.2">
      <c r="A302" s="208" t="str">
        <f>+IF(D302="","",CONCATENATE("GBL 00",Mantenedor!E301))</f>
        <v/>
      </c>
      <c r="B302" s="214"/>
      <c r="C302" s="215"/>
      <c r="D302" s="215"/>
      <c r="E302" s="215"/>
      <c r="F302" s="215"/>
      <c r="G302" s="215"/>
      <c r="H302" s="215"/>
      <c r="I302" s="216"/>
      <c r="J302" s="217"/>
      <c r="K302" s="218"/>
      <c r="L302" s="217" t="str">
        <f t="shared" si="4"/>
        <v/>
      </c>
      <c r="M302" s="240"/>
      <c r="N302" s="225" t="str">
        <f>IF($K302="","",IF($K302=1,CONCATENATE("Base ",$M302," ",$K302," noche"),CONCATENATE("Base ",$M302," ",$K302," noches")))</f>
        <v/>
      </c>
      <c r="O302" s="239" t="str">
        <f>IFERROR((VLOOKUP($N302,Pricing!$D$2:$E$43,2,FALSE)),"")</f>
        <v/>
      </c>
      <c r="P302" s="196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71"/>
      <c r="AB302" s="272"/>
      <c r="AC302" s="272"/>
      <c r="AD302" s="272"/>
      <c r="AE302" s="272"/>
      <c r="AF302" s="272"/>
      <c r="AG302" s="272"/>
      <c r="AH302" s="272"/>
      <c r="AI302" s="267"/>
    </row>
    <row r="303" spans="1:35" x14ac:dyDescent="0.2">
      <c r="A303" s="208" t="str">
        <f>+IF(D303="","",CONCATENATE("GBL 00",Mantenedor!E302))</f>
        <v/>
      </c>
      <c r="B303" s="214"/>
      <c r="C303" s="215"/>
      <c r="D303" s="215"/>
      <c r="E303" s="215"/>
      <c r="F303" s="215"/>
      <c r="G303" s="215"/>
      <c r="H303" s="215"/>
      <c r="I303" s="216"/>
      <c r="J303" s="217"/>
      <c r="K303" s="218"/>
      <c r="L303" s="217" t="str">
        <f t="shared" si="4"/>
        <v/>
      </c>
      <c r="M303" s="240"/>
      <c r="N303" s="225" t="str">
        <f>IF($K303="","",IF($K303=1,CONCATENATE("Base ",$M303," ",$K303," noche"),CONCATENATE("Base ",$M303," ",$K303," noches")))</f>
        <v/>
      </c>
      <c r="O303" s="239" t="str">
        <f>IFERROR((VLOOKUP($N303,Pricing!$D$2:$E$43,2,FALSE)),"")</f>
        <v/>
      </c>
      <c r="P303" s="196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71"/>
      <c r="AB303" s="272"/>
      <c r="AC303" s="272"/>
      <c r="AD303" s="272"/>
      <c r="AE303" s="272"/>
      <c r="AF303" s="272"/>
      <c r="AG303" s="272"/>
      <c r="AH303" s="272"/>
      <c r="AI303" s="267"/>
    </row>
    <row r="304" spans="1:35" x14ac:dyDescent="0.2">
      <c r="A304" s="208" t="str">
        <f>+IF(D304="","",CONCATENATE("GBL 00",Mantenedor!E303))</f>
        <v/>
      </c>
      <c r="B304" s="214"/>
      <c r="C304" s="215"/>
      <c r="D304" s="215"/>
      <c r="E304" s="215"/>
      <c r="F304" s="215"/>
      <c r="G304" s="215"/>
      <c r="H304" s="215"/>
      <c r="I304" s="216"/>
      <c r="J304" s="217"/>
      <c r="K304" s="218"/>
      <c r="L304" s="217" t="str">
        <f t="shared" si="4"/>
        <v/>
      </c>
      <c r="M304" s="240"/>
      <c r="N304" s="225" t="str">
        <f>IF($K304="","",IF($K304=1,CONCATENATE("Base ",$M304," ",$K304," noche"),CONCATENATE("Base ",$M304," ",$K304," noches")))</f>
        <v/>
      </c>
      <c r="O304" s="239" t="str">
        <f>IFERROR((VLOOKUP($N304,Pricing!$D$2:$E$43,2,FALSE)),"")</f>
        <v/>
      </c>
      <c r="P304" s="196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71"/>
      <c r="AB304" s="272"/>
      <c r="AC304" s="272"/>
      <c r="AD304" s="272"/>
      <c r="AE304" s="272"/>
      <c r="AF304" s="272"/>
      <c r="AG304" s="272"/>
      <c r="AH304" s="272"/>
      <c r="AI304" s="267"/>
    </row>
    <row r="305" spans="1:35" x14ac:dyDescent="0.2">
      <c r="A305" s="208" t="str">
        <f>+IF(D305="","",CONCATENATE("GBL 00",Mantenedor!E304))</f>
        <v/>
      </c>
      <c r="B305" s="214"/>
      <c r="C305" s="215"/>
      <c r="D305" s="215"/>
      <c r="E305" s="215"/>
      <c r="F305" s="215"/>
      <c r="G305" s="215"/>
      <c r="H305" s="215"/>
      <c r="I305" s="216"/>
      <c r="J305" s="217"/>
      <c r="K305" s="218"/>
      <c r="L305" s="217" t="str">
        <f t="shared" si="4"/>
        <v/>
      </c>
      <c r="M305" s="240"/>
      <c r="N305" s="225" t="str">
        <f>IF($K305="","",IF($K305=1,CONCATENATE("Base ",$M305," ",$K305," noche"),CONCATENATE("Base ",$M305," ",$K305," noches")))</f>
        <v/>
      </c>
      <c r="O305" s="239" t="str">
        <f>IFERROR((VLOOKUP($N305,Pricing!$D$2:$E$43,2,FALSE)),"")</f>
        <v/>
      </c>
      <c r="P305" s="196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71"/>
      <c r="AB305" s="272"/>
      <c r="AC305" s="272"/>
      <c r="AD305" s="272"/>
      <c r="AE305" s="272"/>
      <c r="AF305" s="272"/>
      <c r="AG305" s="272"/>
      <c r="AH305" s="272"/>
      <c r="AI305" s="267"/>
    </row>
    <row r="306" spans="1:35" x14ac:dyDescent="0.2">
      <c r="A306" s="208" t="str">
        <f>+IF(D306="","",CONCATENATE("GBL 00",Mantenedor!E305))</f>
        <v/>
      </c>
      <c r="B306" s="214"/>
      <c r="C306" s="215"/>
      <c r="D306" s="215"/>
      <c r="E306" s="215"/>
      <c r="F306" s="215"/>
      <c r="G306" s="215"/>
      <c r="H306" s="215"/>
      <c r="I306" s="216"/>
      <c r="J306" s="217"/>
      <c r="K306" s="218"/>
      <c r="L306" s="217" t="str">
        <f t="shared" si="4"/>
        <v/>
      </c>
      <c r="M306" s="240"/>
      <c r="N306" s="225" t="str">
        <f>IF($K306="","",IF($K306=1,CONCATENATE("Base ",$M306," ",$K306," noche"),CONCATENATE("Base ",$M306," ",$K306," noches")))</f>
        <v/>
      </c>
      <c r="O306" s="239" t="str">
        <f>IFERROR((VLOOKUP($N306,Pricing!$D$2:$E$43,2,FALSE)),"")</f>
        <v/>
      </c>
      <c r="P306" s="196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71"/>
      <c r="AB306" s="272"/>
      <c r="AC306" s="272"/>
      <c r="AD306" s="272"/>
      <c r="AE306" s="272"/>
      <c r="AF306" s="272"/>
      <c r="AG306" s="272"/>
      <c r="AH306" s="272"/>
      <c r="AI306" s="267"/>
    </row>
    <row r="307" spans="1:35" x14ac:dyDescent="0.2">
      <c r="A307" s="208" t="str">
        <f>+IF(D307="","",CONCATENATE("GBL 00",Mantenedor!E306))</f>
        <v/>
      </c>
      <c r="B307" s="214"/>
      <c r="C307" s="215"/>
      <c r="D307" s="215"/>
      <c r="E307" s="215"/>
      <c r="F307" s="215"/>
      <c r="G307" s="215"/>
      <c r="H307" s="215"/>
      <c r="I307" s="216"/>
      <c r="J307" s="217"/>
      <c r="K307" s="218"/>
      <c r="L307" s="217" t="str">
        <f t="shared" si="4"/>
        <v/>
      </c>
      <c r="M307" s="240"/>
      <c r="N307" s="225" t="str">
        <f>IF($K307="","",IF($K307=1,CONCATENATE("Base ",$M307," ",$K307," noche"),CONCATENATE("Base ",$M307," ",$K307," noches")))</f>
        <v/>
      </c>
      <c r="O307" s="239" t="str">
        <f>IFERROR((VLOOKUP($N307,Pricing!$D$2:$E$43,2,FALSE)),"")</f>
        <v/>
      </c>
      <c r="P307" s="196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71"/>
      <c r="AB307" s="272"/>
      <c r="AC307" s="272"/>
      <c r="AD307" s="272"/>
      <c r="AE307" s="272"/>
      <c r="AF307" s="272"/>
      <c r="AG307" s="272"/>
      <c r="AH307" s="272"/>
      <c r="AI307" s="267"/>
    </row>
    <row r="308" spans="1:35" x14ac:dyDescent="0.2">
      <c r="A308" s="208" t="str">
        <f>+IF(D308="","",CONCATENATE("GBL 00",Mantenedor!E307))</f>
        <v/>
      </c>
      <c r="B308" s="214"/>
      <c r="C308" s="215"/>
      <c r="D308" s="215"/>
      <c r="E308" s="215"/>
      <c r="F308" s="215"/>
      <c r="G308" s="215"/>
      <c r="H308" s="215"/>
      <c r="I308" s="216"/>
      <c r="J308" s="217"/>
      <c r="K308" s="218"/>
      <c r="L308" s="217" t="str">
        <f t="shared" si="4"/>
        <v/>
      </c>
      <c r="M308" s="240"/>
      <c r="N308" s="225" t="str">
        <f>IF($K308="","",IF($K308=1,CONCATENATE("Base ",$M308," ",$K308," noche"),CONCATENATE("Base ",$M308," ",$K308," noches")))</f>
        <v/>
      </c>
      <c r="O308" s="239" t="str">
        <f>IFERROR((VLOOKUP($N308,Pricing!$D$2:$E$43,2,FALSE)),"")</f>
        <v/>
      </c>
      <c r="P308" s="196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71"/>
      <c r="AB308" s="272"/>
      <c r="AC308" s="272"/>
      <c r="AD308" s="272"/>
      <c r="AE308" s="272"/>
      <c r="AF308" s="272"/>
      <c r="AG308" s="272"/>
      <c r="AH308" s="272"/>
      <c r="AI308" s="267"/>
    </row>
    <row r="309" spans="1:35" x14ac:dyDescent="0.2">
      <c r="A309" s="208" t="str">
        <f>+IF(D309="","",CONCATENATE("GBL 00",Mantenedor!E308))</f>
        <v/>
      </c>
      <c r="B309" s="214"/>
      <c r="C309" s="215"/>
      <c r="D309" s="215"/>
      <c r="E309" s="215"/>
      <c r="F309" s="215"/>
      <c r="G309" s="215"/>
      <c r="H309" s="215"/>
      <c r="I309" s="216"/>
      <c r="J309" s="217"/>
      <c r="K309" s="218"/>
      <c r="L309" s="217" t="str">
        <f t="shared" si="4"/>
        <v/>
      </c>
      <c r="M309" s="240"/>
      <c r="N309" s="225" t="str">
        <f>IF($K309="","",IF($K309=1,CONCATENATE("Base ",$M309," ",$K309," noche"),CONCATENATE("Base ",$M309," ",$K309," noches")))</f>
        <v/>
      </c>
      <c r="O309" s="239" t="str">
        <f>IFERROR((VLOOKUP($N309,Pricing!$D$2:$E$43,2,FALSE)),"")</f>
        <v/>
      </c>
      <c r="P309" s="196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71"/>
      <c r="AB309" s="272"/>
      <c r="AC309" s="272"/>
      <c r="AD309" s="272"/>
      <c r="AE309" s="272"/>
      <c r="AF309" s="272"/>
      <c r="AG309" s="272"/>
      <c r="AH309" s="272"/>
      <c r="AI309" s="267"/>
    </row>
    <row r="310" spans="1:35" x14ac:dyDescent="0.2">
      <c r="A310" s="208" t="str">
        <f>+IF(D310="","",CONCATENATE("GBL 00",Mantenedor!E309))</f>
        <v/>
      </c>
      <c r="B310" s="214"/>
      <c r="C310" s="215"/>
      <c r="D310" s="215"/>
      <c r="E310" s="215"/>
      <c r="F310" s="215"/>
      <c r="G310" s="215"/>
      <c r="H310" s="215"/>
      <c r="I310" s="216"/>
      <c r="J310" s="217"/>
      <c r="K310" s="218"/>
      <c r="L310" s="217" t="str">
        <f t="shared" si="4"/>
        <v/>
      </c>
      <c r="M310" s="240"/>
      <c r="N310" s="225" t="str">
        <f>IF($K310="","",IF($K310=1,CONCATENATE("Base ",$M310," ",$K310," noche"),CONCATENATE("Base ",$M310," ",$K310," noches")))</f>
        <v/>
      </c>
      <c r="O310" s="239" t="str">
        <f>IFERROR((VLOOKUP($N310,Pricing!$D$2:$E$43,2,FALSE)),"")</f>
        <v/>
      </c>
      <c r="P310" s="196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71"/>
      <c r="AB310" s="272"/>
      <c r="AC310" s="272"/>
      <c r="AD310" s="272"/>
      <c r="AE310" s="272"/>
      <c r="AF310" s="272"/>
      <c r="AG310" s="272"/>
      <c r="AH310" s="272"/>
      <c r="AI310" s="267"/>
    </row>
    <row r="311" spans="1:35" x14ac:dyDescent="0.2">
      <c r="A311" s="208" t="str">
        <f>+IF(D311="","",CONCATENATE("GBL 00",Mantenedor!E310))</f>
        <v/>
      </c>
      <c r="B311" s="214"/>
      <c r="C311" s="215"/>
      <c r="D311" s="215"/>
      <c r="E311" s="215"/>
      <c r="F311" s="215"/>
      <c r="G311" s="215"/>
      <c r="H311" s="215"/>
      <c r="I311" s="216"/>
      <c r="J311" s="217"/>
      <c r="K311" s="218"/>
      <c r="L311" s="217" t="str">
        <f t="shared" si="4"/>
        <v/>
      </c>
      <c r="M311" s="240"/>
      <c r="N311" s="225" t="str">
        <f>IF($K311="","",IF($K311=1,CONCATENATE("Base ",$M311," ",$K311," noche"),CONCATENATE("Base ",$M311," ",$K311," noches")))</f>
        <v/>
      </c>
      <c r="O311" s="239" t="str">
        <f>IFERROR((VLOOKUP($N311,Pricing!$D$2:$E$43,2,FALSE)),"")</f>
        <v/>
      </c>
      <c r="P311" s="196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71"/>
      <c r="AB311" s="272"/>
      <c r="AC311" s="272"/>
      <c r="AD311" s="272"/>
      <c r="AE311" s="272"/>
      <c r="AF311" s="272"/>
      <c r="AG311" s="272"/>
      <c r="AH311" s="272"/>
      <c r="AI311" s="267"/>
    </row>
    <row r="312" spans="1:35" x14ac:dyDescent="0.2">
      <c r="A312" s="208" t="str">
        <f>+IF(D312="","",CONCATENATE("GBL 00",Mantenedor!E311))</f>
        <v/>
      </c>
      <c r="B312" s="214"/>
      <c r="C312" s="215"/>
      <c r="D312" s="215"/>
      <c r="E312" s="215"/>
      <c r="F312" s="215"/>
      <c r="G312" s="215"/>
      <c r="H312" s="215"/>
      <c r="I312" s="216"/>
      <c r="J312" s="217"/>
      <c r="K312" s="218"/>
      <c r="L312" s="217" t="str">
        <f t="shared" si="4"/>
        <v/>
      </c>
      <c r="M312" s="240"/>
      <c r="N312" s="225" t="str">
        <f>IF($K312="","",IF($K312=1,CONCATENATE("Base ",$M312," ",$K312," noche"),CONCATENATE("Base ",$M312," ",$K312," noches")))</f>
        <v/>
      </c>
      <c r="O312" s="239" t="str">
        <f>IFERROR((VLOOKUP($N312,Pricing!$D$2:$E$43,2,FALSE)),"")</f>
        <v/>
      </c>
      <c r="P312" s="196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71"/>
      <c r="AB312" s="272"/>
      <c r="AC312" s="272"/>
      <c r="AD312" s="272"/>
      <c r="AE312" s="272"/>
      <c r="AF312" s="272"/>
      <c r="AG312" s="272"/>
      <c r="AH312" s="272"/>
      <c r="AI312" s="267"/>
    </row>
    <row r="313" spans="1:35" x14ac:dyDescent="0.2">
      <c r="A313" s="208" t="str">
        <f>+IF(D313="","",CONCATENATE("GBL 00",Mantenedor!E312))</f>
        <v/>
      </c>
      <c r="B313" s="214"/>
      <c r="C313" s="215"/>
      <c r="D313" s="215"/>
      <c r="E313" s="215"/>
      <c r="F313" s="215"/>
      <c r="G313" s="215"/>
      <c r="H313" s="215"/>
      <c r="I313" s="216"/>
      <c r="J313" s="217"/>
      <c r="K313" s="218"/>
      <c r="L313" s="217" t="str">
        <f t="shared" si="4"/>
        <v/>
      </c>
      <c r="M313" s="240"/>
      <c r="N313" s="225" t="str">
        <f>IF($K313="","",IF($K313=1,CONCATENATE("Base ",$M313," ",$K313," noche"),CONCATENATE("Base ",$M313," ",$K313," noches")))</f>
        <v/>
      </c>
      <c r="O313" s="239" t="str">
        <f>IFERROR((VLOOKUP($N313,Pricing!$D$2:$E$43,2,FALSE)),"")</f>
        <v/>
      </c>
      <c r="P313" s="196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71"/>
      <c r="AB313" s="272"/>
      <c r="AC313" s="272"/>
      <c r="AD313" s="272"/>
      <c r="AE313" s="272"/>
      <c r="AF313" s="272"/>
      <c r="AG313" s="272"/>
      <c r="AH313" s="272"/>
      <c r="AI313" s="267"/>
    </row>
    <row r="314" spans="1:35" x14ac:dyDescent="0.2">
      <c r="A314" s="208" t="str">
        <f>+IF(D314="","",CONCATENATE("GBL 00",Mantenedor!E313))</f>
        <v/>
      </c>
      <c r="B314" s="214"/>
      <c r="C314" s="215"/>
      <c r="D314" s="215"/>
      <c r="E314" s="215"/>
      <c r="F314" s="215"/>
      <c r="G314" s="215"/>
      <c r="H314" s="215"/>
      <c r="I314" s="216"/>
      <c r="J314" s="217"/>
      <c r="K314" s="218"/>
      <c r="L314" s="217" t="str">
        <f t="shared" si="4"/>
        <v/>
      </c>
      <c r="M314" s="240"/>
      <c r="N314" s="225" t="str">
        <f>IF($K314="","",IF($K314=1,CONCATENATE("Base ",$M314," ",$K314," noche"),CONCATENATE("Base ",$M314," ",$K314," noches")))</f>
        <v/>
      </c>
      <c r="O314" s="239" t="str">
        <f>IFERROR((VLOOKUP($N314,Pricing!$D$2:$E$43,2,FALSE)),"")</f>
        <v/>
      </c>
      <c r="P314" s="196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71"/>
      <c r="AB314" s="272"/>
      <c r="AC314" s="272"/>
      <c r="AD314" s="272"/>
      <c r="AE314" s="272"/>
      <c r="AF314" s="272"/>
      <c r="AG314" s="272"/>
      <c r="AH314" s="272"/>
      <c r="AI314" s="267"/>
    </row>
    <row r="315" spans="1:35" x14ac:dyDescent="0.2">
      <c r="A315" s="208" t="str">
        <f>+IF(D315="","",CONCATENATE("GBL 00",Mantenedor!E314))</f>
        <v/>
      </c>
      <c r="B315" s="214"/>
      <c r="C315" s="215"/>
      <c r="D315" s="215"/>
      <c r="E315" s="215"/>
      <c r="F315" s="215"/>
      <c r="G315" s="215"/>
      <c r="H315" s="215"/>
      <c r="I315" s="216"/>
      <c r="J315" s="217"/>
      <c r="K315" s="218"/>
      <c r="L315" s="217" t="str">
        <f t="shared" si="4"/>
        <v/>
      </c>
      <c r="M315" s="240"/>
      <c r="N315" s="225" t="str">
        <f>IF($K315="","",IF($K315=1,CONCATENATE("Base ",$M315," ",$K315," noche"),CONCATENATE("Base ",$M315," ",$K315," noches")))</f>
        <v/>
      </c>
      <c r="O315" s="239" t="str">
        <f>IFERROR((VLOOKUP($N315,Pricing!$D$2:$E$43,2,FALSE)),"")</f>
        <v/>
      </c>
      <c r="P315" s="196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71"/>
      <c r="AB315" s="272"/>
      <c r="AC315" s="272"/>
      <c r="AD315" s="272"/>
      <c r="AE315" s="272"/>
      <c r="AF315" s="272"/>
      <c r="AG315" s="272"/>
      <c r="AH315" s="272"/>
      <c r="AI315" s="267"/>
    </row>
    <row r="316" spans="1:35" x14ac:dyDescent="0.2">
      <c r="A316" s="208" t="str">
        <f>+IF(D316="","",CONCATENATE("GBL 00",Mantenedor!E315))</f>
        <v/>
      </c>
      <c r="B316" s="214"/>
      <c r="C316" s="215"/>
      <c r="D316" s="215"/>
      <c r="E316" s="215"/>
      <c r="F316" s="215"/>
      <c r="G316" s="215"/>
      <c r="H316" s="215"/>
      <c r="I316" s="216"/>
      <c r="J316" s="217"/>
      <c r="K316" s="218"/>
      <c r="L316" s="217" t="str">
        <f t="shared" si="4"/>
        <v/>
      </c>
      <c r="M316" s="240"/>
      <c r="N316" s="225" t="str">
        <f>IF($K316="","",IF($K316=1,CONCATENATE("Base ",$M316," ",$K316," noche"),CONCATENATE("Base ",$M316," ",$K316," noches")))</f>
        <v/>
      </c>
      <c r="O316" s="239" t="str">
        <f>IFERROR((VLOOKUP($N316,Pricing!$D$2:$E$43,2,FALSE)),"")</f>
        <v/>
      </c>
      <c r="P316" s="196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71"/>
      <c r="AB316" s="272"/>
      <c r="AC316" s="272"/>
      <c r="AD316" s="272"/>
      <c r="AE316" s="272"/>
      <c r="AF316" s="272"/>
      <c r="AG316" s="272"/>
      <c r="AH316" s="272"/>
      <c r="AI316" s="267"/>
    </row>
    <row r="317" spans="1:35" x14ac:dyDescent="0.2">
      <c r="A317" s="208" t="str">
        <f>+IF(D317="","",CONCATENATE("GBL 00",Mantenedor!E316))</f>
        <v/>
      </c>
      <c r="B317" s="214"/>
      <c r="C317" s="215"/>
      <c r="D317" s="215"/>
      <c r="E317" s="215"/>
      <c r="F317" s="215"/>
      <c r="G317" s="215"/>
      <c r="H317" s="215"/>
      <c r="I317" s="216"/>
      <c r="J317" s="217"/>
      <c r="K317" s="218"/>
      <c r="L317" s="217" t="str">
        <f t="shared" si="4"/>
        <v/>
      </c>
      <c r="M317" s="240"/>
      <c r="N317" s="225" t="str">
        <f>IF($K317="","",IF($K317=1,CONCATENATE("Base ",$M317," ",$K317," noche"),CONCATENATE("Base ",$M317," ",$K317," noches")))</f>
        <v/>
      </c>
      <c r="O317" s="239" t="str">
        <f>IFERROR((VLOOKUP($N317,Pricing!$D$2:$E$43,2,FALSE)),"")</f>
        <v/>
      </c>
      <c r="P317" s="196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71"/>
      <c r="AB317" s="272"/>
      <c r="AC317" s="272"/>
      <c r="AD317" s="272"/>
      <c r="AE317" s="272"/>
      <c r="AF317" s="272"/>
      <c r="AG317" s="272"/>
      <c r="AH317" s="272"/>
      <c r="AI317" s="267"/>
    </row>
    <row r="318" spans="1:35" x14ac:dyDescent="0.2">
      <c r="A318" s="208" t="str">
        <f>+IF(D318="","",CONCATENATE("GBL 00",Mantenedor!E317))</f>
        <v/>
      </c>
      <c r="B318" s="214"/>
      <c r="C318" s="215"/>
      <c r="D318" s="215"/>
      <c r="E318" s="215"/>
      <c r="F318" s="215"/>
      <c r="G318" s="215"/>
      <c r="H318" s="215"/>
      <c r="I318" s="216"/>
      <c r="J318" s="217"/>
      <c r="K318" s="218"/>
      <c r="L318" s="217" t="str">
        <f t="shared" si="4"/>
        <v/>
      </c>
      <c r="M318" s="240"/>
      <c r="N318" s="225" t="str">
        <f>IF($K318="","",IF($K318=1,CONCATENATE("Base ",$M318," ",$K318," noche"),CONCATENATE("Base ",$M318," ",$K318," noches")))</f>
        <v/>
      </c>
      <c r="O318" s="239" t="str">
        <f>IFERROR((VLOOKUP($N318,Pricing!$D$2:$E$43,2,FALSE)),"")</f>
        <v/>
      </c>
      <c r="P318" s="196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71"/>
      <c r="AB318" s="272"/>
      <c r="AC318" s="272"/>
      <c r="AD318" s="272"/>
      <c r="AE318" s="272"/>
      <c r="AF318" s="272"/>
      <c r="AG318" s="272"/>
      <c r="AH318" s="272"/>
      <c r="AI318" s="267"/>
    </row>
    <row r="319" spans="1:35" x14ac:dyDescent="0.2">
      <c r="A319" s="208" t="str">
        <f>+IF(D319="","",CONCATENATE("GBL 00",Mantenedor!E318))</f>
        <v/>
      </c>
      <c r="B319" s="214"/>
      <c r="C319" s="215"/>
      <c r="D319" s="215"/>
      <c r="E319" s="215"/>
      <c r="F319" s="215"/>
      <c r="G319" s="215"/>
      <c r="H319" s="215"/>
      <c r="I319" s="216"/>
      <c r="J319" s="217"/>
      <c r="K319" s="218"/>
      <c r="L319" s="217" t="str">
        <f t="shared" si="4"/>
        <v/>
      </c>
      <c r="M319" s="240"/>
      <c r="N319" s="225" t="str">
        <f>IF($K319="","",IF($K319=1,CONCATENATE("Base ",$M319," ",$K319," noche"),CONCATENATE("Base ",$M319," ",$K319," noches")))</f>
        <v/>
      </c>
      <c r="O319" s="239" t="str">
        <f>IFERROR((VLOOKUP($N319,Pricing!$D$2:$E$43,2,FALSE)),"")</f>
        <v/>
      </c>
      <c r="P319" s="196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71"/>
      <c r="AB319" s="272"/>
      <c r="AC319" s="272"/>
      <c r="AD319" s="272"/>
      <c r="AE319" s="272"/>
      <c r="AF319" s="272"/>
      <c r="AG319" s="272"/>
      <c r="AH319" s="272"/>
      <c r="AI319" s="267"/>
    </row>
    <row r="320" spans="1:35" x14ac:dyDescent="0.2">
      <c r="A320" s="208" t="str">
        <f>+IF(D320="","",CONCATENATE("GBL 00",Mantenedor!E319))</f>
        <v/>
      </c>
      <c r="B320" s="214"/>
      <c r="C320" s="215"/>
      <c r="D320" s="215"/>
      <c r="E320" s="215"/>
      <c r="F320" s="215"/>
      <c r="G320" s="215"/>
      <c r="H320" s="215"/>
      <c r="I320" s="216"/>
      <c r="J320" s="217"/>
      <c r="K320" s="218"/>
      <c r="L320" s="217" t="str">
        <f t="shared" si="4"/>
        <v/>
      </c>
      <c r="M320" s="240"/>
      <c r="N320" s="225" t="str">
        <f>IF($K320="","",IF($K320=1,CONCATENATE("Base ",$M320," ",$K320," noche"),CONCATENATE("Base ",$M320," ",$K320," noches")))</f>
        <v/>
      </c>
      <c r="O320" s="239" t="str">
        <f>IFERROR((VLOOKUP($N320,Pricing!$D$2:$E$43,2,FALSE)),"")</f>
        <v/>
      </c>
      <c r="P320" s="196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71"/>
      <c r="AB320" s="272"/>
      <c r="AC320" s="272"/>
      <c r="AD320" s="272"/>
      <c r="AE320" s="272"/>
      <c r="AF320" s="272"/>
      <c r="AG320" s="272"/>
      <c r="AH320" s="272"/>
      <c r="AI320" s="267"/>
    </row>
    <row r="321" spans="1:35" x14ac:dyDescent="0.2">
      <c r="A321" s="208" t="str">
        <f>+IF(D321="","",CONCATENATE("GBL 00",Mantenedor!E320))</f>
        <v/>
      </c>
      <c r="B321" s="214"/>
      <c r="C321" s="215"/>
      <c r="D321" s="215"/>
      <c r="E321" s="215"/>
      <c r="F321" s="215"/>
      <c r="G321" s="215"/>
      <c r="H321" s="215"/>
      <c r="I321" s="216"/>
      <c r="J321" s="217"/>
      <c r="K321" s="218"/>
      <c r="L321" s="217" t="str">
        <f t="shared" si="4"/>
        <v/>
      </c>
      <c r="M321" s="240"/>
      <c r="N321" s="225" t="str">
        <f>IF($K321="","",IF($K321=1,CONCATENATE("Base ",$M321," ",$K321," noche"),CONCATENATE("Base ",$M321," ",$K321," noches")))</f>
        <v/>
      </c>
      <c r="O321" s="239" t="str">
        <f>IFERROR((VLOOKUP($N321,Pricing!$D$2:$E$43,2,FALSE)),"")</f>
        <v/>
      </c>
      <c r="P321" s="196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71"/>
      <c r="AB321" s="272"/>
      <c r="AC321" s="272"/>
      <c r="AD321" s="272"/>
      <c r="AE321" s="272"/>
      <c r="AF321" s="272"/>
      <c r="AG321" s="272"/>
      <c r="AH321" s="272"/>
      <c r="AI321" s="267"/>
    </row>
    <row r="322" spans="1:35" x14ac:dyDescent="0.2">
      <c r="A322" s="208" t="str">
        <f>+IF(D322="","",CONCATENATE("GBL 00",Mantenedor!E321))</f>
        <v/>
      </c>
      <c r="B322" s="214"/>
      <c r="C322" s="215"/>
      <c r="D322" s="215"/>
      <c r="E322" s="215"/>
      <c r="F322" s="215"/>
      <c r="G322" s="215"/>
      <c r="H322" s="215"/>
      <c r="I322" s="216"/>
      <c r="J322" s="217"/>
      <c r="K322" s="218"/>
      <c r="L322" s="217" t="str">
        <f t="shared" si="4"/>
        <v/>
      </c>
      <c r="M322" s="240"/>
      <c r="N322" s="225" t="str">
        <f>IF($K322="","",IF($K322=1,CONCATENATE("Base ",$M322," ",$K322," noche"),CONCATENATE("Base ",$M322," ",$K322," noches")))</f>
        <v/>
      </c>
      <c r="O322" s="239" t="str">
        <f>IFERROR((VLOOKUP($N322,Pricing!$D$2:$E$43,2,FALSE)),"")</f>
        <v/>
      </c>
      <c r="P322" s="196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71"/>
      <c r="AB322" s="272"/>
      <c r="AC322" s="272"/>
      <c r="AD322" s="272"/>
      <c r="AE322" s="272"/>
      <c r="AF322" s="272"/>
      <c r="AG322" s="272"/>
      <c r="AH322" s="272"/>
      <c r="AI322" s="267"/>
    </row>
    <row r="323" spans="1:35" x14ac:dyDescent="0.2">
      <c r="A323" s="208" t="str">
        <f>+IF(D323="","",CONCATENATE("GBL 00",Mantenedor!E322))</f>
        <v/>
      </c>
      <c r="B323" s="214"/>
      <c r="C323" s="215"/>
      <c r="D323" s="215"/>
      <c r="E323" s="215"/>
      <c r="F323" s="215"/>
      <c r="G323" s="215"/>
      <c r="H323" s="215"/>
      <c r="I323" s="216"/>
      <c r="J323" s="217"/>
      <c r="K323" s="218"/>
      <c r="L323" s="217" t="str">
        <f t="shared" si="4"/>
        <v/>
      </c>
      <c r="M323" s="240"/>
      <c r="N323" s="225" t="str">
        <f>IF($K323="","",IF($K323=1,CONCATENATE("Base ",$M323," ",$K323," noche"),CONCATENATE("Base ",$M323," ",$K323," noches")))</f>
        <v/>
      </c>
      <c r="O323" s="239" t="str">
        <f>IFERROR((VLOOKUP($N323,Pricing!$D$2:$E$43,2,FALSE)),"")</f>
        <v/>
      </c>
      <c r="P323" s="196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71"/>
      <c r="AB323" s="272"/>
      <c r="AC323" s="272"/>
      <c r="AD323" s="272"/>
      <c r="AE323" s="272"/>
      <c r="AF323" s="272"/>
      <c r="AG323" s="272"/>
      <c r="AH323" s="272"/>
      <c r="AI323" s="267"/>
    </row>
    <row r="324" spans="1:35" x14ac:dyDescent="0.2">
      <c r="A324" s="208" t="str">
        <f>+IF(D324="","",CONCATENATE("GBL 00",Mantenedor!E323))</f>
        <v/>
      </c>
      <c r="B324" s="214"/>
      <c r="C324" s="215"/>
      <c r="D324" s="215"/>
      <c r="E324" s="215"/>
      <c r="F324" s="215"/>
      <c r="G324" s="215"/>
      <c r="H324" s="215"/>
      <c r="I324" s="216"/>
      <c r="J324" s="217"/>
      <c r="K324" s="218"/>
      <c r="L324" s="217" t="str">
        <f t="shared" ref="L324:L387" si="5">IF(K324="","",(J324+K324))</f>
        <v/>
      </c>
      <c r="M324" s="240"/>
      <c r="N324" s="225" t="str">
        <f>IF($K324="","",IF($K324=1,CONCATENATE("Base ",$M324," ",$K324," noche"),CONCATENATE("Base ",$M324," ",$K324," noches")))</f>
        <v/>
      </c>
      <c r="O324" s="239" t="str">
        <f>IFERROR((VLOOKUP($N324,Pricing!$D$2:$E$43,2,FALSE)),"")</f>
        <v/>
      </c>
      <c r="P324" s="196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71"/>
      <c r="AB324" s="272"/>
      <c r="AC324" s="272"/>
      <c r="AD324" s="272"/>
      <c r="AE324" s="272"/>
      <c r="AF324" s="272"/>
      <c r="AG324" s="272"/>
      <c r="AH324" s="272"/>
      <c r="AI324" s="267"/>
    </row>
    <row r="325" spans="1:35" x14ac:dyDescent="0.2">
      <c r="A325" s="208" t="str">
        <f>+IF(D325="","",CONCATENATE("GBL 00",Mantenedor!E324))</f>
        <v/>
      </c>
      <c r="B325" s="214"/>
      <c r="C325" s="215"/>
      <c r="D325" s="215"/>
      <c r="E325" s="215"/>
      <c r="F325" s="215"/>
      <c r="G325" s="215"/>
      <c r="H325" s="215"/>
      <c r="I325" s="216"/>
      <c r="J325" s="217"/>
      <c r="K325" s="218"/>
      <c r="L325" s="217" t="str">
        <f t="shared" si="5"/>
        <v/>
      </c>
      <c r="M325" s="240"/>
      <c r="N325" s="225" t="str">
        <f>IF($K325="","",IF($K325=1,CONCATENATE("Base ",$M325," ",$K325," noche"),CONCATENATE("Base ",$M325," ",$K325," noches")))</f>
        <v/>
      </c>
      <c r="O325" s="239" t="str">
        <f>IFERROR((VLOOKUP($N325,Pricing!$D$2:$E$43,2,FALSE)),"")</f>
        <v/>
      </c>
      <c r="P325" s="196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71"/>
      <c r="AB325" s="272"/>
      <c r="AC325" s="272"/>
      <c r="AD325" s="272"/>
      <c r="AE325" s="272"/>
      <c r="AF325" s="272"/>
      <c r="AG325" s="272"/>
      <c r="AH325" s="272"/>
      <c r="AI325" s="267"/>
    </row>
    <row r="326" spans="1:35" x14ac:dyDescent="0.2">
      <c r="A326" s="208" t="str">
        <f>+IF(D326="","",CONCATENATE("GBL 00",Mantenedor!E325))</f>
        <v/>
      </c>
      <c r="B326" s="214"/>
      <c r="C326" s="215"/>
      <c r="D326" s="215"/>
      <c r="E326" s="215"/>
      <c r="F326" s="215"/>
      <c r="G326" s="215"/>
      <c r="H326" s="215"/>
      <c r="I326" s="216"/>
      <c r="J326" s="217"/>
      <c r="K326" s="218"/>
      <c r="L326" s="217" t="str">
        <f t="shared" si="5"/>
        <v/>
      </c>
      <c r="M326" s="240"/>
      <c r="N326" s="225" t="str">
        <f>IF($K326="","",IF($K326=1,CONCATENATE("Base ",$M326," ",$K326," noche"),CONCATENATE("Base ",$M326," ",$K326," noches")))</f>
        <v/>
      </c>
      <c r="O326" s="239" t="str">
        <f>IFERROR((VLOOKUP($N326,Pricing!$D$2:$E$43,2,FALSE)),"")</f>
        <v/>
      </c>
      <c r="P326" s="196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71"/>
      <c r="AB326" s="272"/>
      <c r="AC326" s="272"/>
      <c r="AD326" s="272"/>
      <c r="AE326" s="272"/>
      <c r="AF326" s="272"/>
      <c r="AG326" s="272"/>
      <c r="AH326" s="272"/>
      <c r="AI326" s="267"/>
    </row>
    <row r="327" spans="1:35" x14ac:dyDescent="0.2">
      <c r="A327" s="208" t="str">
        <f>+IF(D327="","",CONCATENATE("GBL 00",Mantenedor!E326))</f>
        <v/>
      </c>
      <c r="B327" s="214"/>
      <c r="C327" s="215"/>
      <c r="D327" s="215"/>
      <c r="E327" s="215"/>
      <c r="F327" s="215"/>
      <c r="G327" s="215"/>
      <c r="H327" s="215"/>
      <c r="I327" s="216"/>
      <c r="J327" s="217"/>
      <c r="K327" s="218"/>
      <c r="L327" s="217" t="str">
        <f t="shared" si="5"/>
        <v/>
      </c>
      <c r="M327" s="240"/>
      <c r="N327" s="225" t="str">
        <f>IF($K327="","",IF($K327=1,CONCATENATE("Base ",$M327," ",$K327," noche"),CONCATENATE("Base ",$M327," ",$K327," noches")))</f>
        <v/>
      </c>
      <c r="O327" s="239" t="str">
        <f>IFERROR((VLOOKUP($N327,Pricing!$D$2:$E$43,2,FALSE)),"")</f>
        <v/>
      </c>
      <c r="P327" s="196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71"/>
      <c r="AB327" s="272"/>
      <c r="AC327" s="272"/>
      <c r="AD327" s="272"/>
      <c r="AE327" s="272"/>
      <c r="AF327" s="272"/>
      <c r="AG327" s="272"/>
      <c r="AH327" s="272"/>
      <c r="AI327" s="267"/>
    </row>
    <row r="328" spans="1:35" x14ac:dyDescent="0.2">
      <c r="A328" s="208" t="str">
        <f>+IF(D328="","",CONCATENATE("GBL 00",Mantenedor!E327))</f>
        <v/>
      </c>
      <c r="B328" s="214"/>
      <c r="C328" s="215"/>
      <c r="D328" s="215"/>
      <c r="E328" s="215"/>
      <c r="F328" s="215"/>
      <c r="G328" s="215"/>
      <c r="H328" s="215"/>
      <c r="I328" s="216"/>
      <c r="J328" s="217"/>
      <c r="K328" s="218"/>
      <c r="L328" s="217" t="str">
        <f t="shared" si="5"/>
        <v/>
      </c>
      <c r="M328" s="240"/>
      <c r="N328" s="225" t="str">
        <f>IF($K328="","",IF($K328=1,CONCATENATE("Base ",$M328," ",$K328," noche"),CONCATENATE("Base ",$M328," ",$K328," noches")))</f>
        <v/>
      </c>
      <c r="O328" s="239" t="str">
        <f>IFERROR((VLOOKUP($N328,Pricing!$D$2:$E$43,2,FALSE)),"")</f>
        <v/>
      </c>
      <c r="P328" s="196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71"/>
      <c r="AB328" s="272"/>
      <c r="AC328" s="272"/>
      <c r="AD328" s="272"/>
      <c r="AE328" s="272"/>
      <c r="AF328" s="272"/>
      <c r="AG328" s="272"/>
      <c r="AH328" s="272"/>
      <c r="AI328" s="267"/>
    </row>
    <row r="329" spans="1:35" x14ac:dyDescent="0.2">
      <c r="A329" s="208" t="str">
        <f>+IF(D329="","",CONCATENATE("GBL 00",Mantenedor!E328))</f>
        <v/>
      </c>
      <c r="B329" s="214"/>
      <c r="C329" s="215"/>
      <c r="D329" s="215"/>
      <c r="E329" s="215"/>
      <c r="F329" s="215"/>
      <c r="G329" s="215"/>
      <c r="H329" s="215"/>
      <c r="I329" s="216"/>
      <c r="J329" s="217"/>
      <c r="K329" s="218"/>
      <c r="L329" s="217" t="str">
        <f t="shared" si="5"/>
        <v/>
      </c>
      <c r="M329" s="240"/>
      <c r="N329" s="225" t="str">
        <f>IF($K329="","",IF($K329=1,CONCATENATE("Base ",$M329," ",$K329," noche"),CONCATENATE("Base ",$M329," ",$K329," noches")))</f>
        <v/>
      </c>
      <c r="O329" s="239" t="str">
        <f>IFERROR((VLOOKUP($N329,Pricing!$D$2:$E$43,2,FALSE)),"")</f>
        <v/>
      </c>
      <c r="P329" s="196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71"/>
      <c r="AB329" s="272"/>
      <c r="AC329" s="272"/>
      <c r="AD329" s="272"/>
      <c r="AE329" s="272"/>
      <c r="AF329" s="272"/>
      <c r="AG329" s="272"/>
      <c r="AH329" s="272"/>
      <c r="AI329" s="267"/>
    </row>
    <row r="330" spans="1:35" x14ac:dyDescent="0.2">
      <c r="A330" s="208" t="str">
        <f>+IF(D330="","",CONCATENATE("GBL 00",Mantenedor!E329))</f>
        <v/>
      </c>
      <c r="B330" s="214"/>
      <c r="C330" s="215"/>
      <c r="D330" s="215"/>
      <c r="E330" s="215"/>
      <c r="F330" s="215"/>
      <c r="G330" s="215"/>
      <c r="H330" s="215"/>
      <c r="I330" s="216"/>
      <c r="J330" s="217"/>
      <c r="K330" s="218"/>
      <c r="L330" s="217" t="str">
        <f t="shared" si="5"/>
        <v/>
      </c>
      <c r="M330" s="240"/>
      <c r="N330" s="225" t="str">
        <f>IF($K330="","",IF($K330=1,CONCATENATE("Base ",$M330," ",$K330," noche"),CONCATENATE("Base ",$M330," ",$K330," noches")))</f>
        <v/>
      </c>
      <c r="O330" s="239" t="str">
        <f>IFERROR((VLOOKUP($N330,Pricing!$D$2:$E$43,2,FALSE)),"")</f>
        <v/>
      </c>
      <c r="P330" s="196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71"/>
      <c r="AB330" s="272"/>
      <c r="AC330" s="272"/>
      <c r="AD330" s="272"/>
      <c r="AE330" s="272"/>
      <c r="AF330" s="272"/>
      <c r="AG330" s="272"/>
      <c r="AH330" s="272"/>
      <c r="AI330" s="267"/>
    </row>
    <row r="331" spans="1:35" x14ac:dyDescent="0.2">
      <c r="A331" s="208" t="str">
        <f>+IF(D331="","",CONCATENATE("GBL 00",Mantenedor!E330))</f>
        <v/>
      </c>
      <c r="B331" s="214"/>
      <c r="C331" s="215"/>
      <c r="D331" s="215"/>
      <c r="E331" s="215"/>
      <c r="F331" s="215"/>
      <c r="G331" s="215"/>
      <c r="H331" s="215"/>
      <c r="I331" s="216"/>
      <c r="J331" s="217"/>
      <c r="K331" s="218"/>
      <c r="L331" s="217" t="str">
        <f t="shared" si="5"/>
        <v/>
      </c>
      <c r="M331" s="240"/>
      <c r="N331" s="225" t="str">
        <f>IF($K331="","",IF($K331=1,CONCATENATE("Base ",$M331," ",$K331," noche"),CONCATENATE("Base ",$M331," ",$K331," noches")))</f>
        <v/>
      </c>
      <c r="O331" s="239" t="str">
        <f>IFERROR((VLOOKUP($N331,Pricing!$D$2:$E$43,2,FALSE)),"")</f>
        <v/>
      </c>
      <c r="P331" s="196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71"/>
      <c r="AB331" s="272"/>
      <c r="AC331" s="272"/>
      <c r="AD331" s="272"/>
      <c r="AE331" s="272"/>
      <c r="AF331" s="272"/>
      <c r="AG331" s="272"/>
      <c r="AH331" s="272"/>
      <c r="AI331" s="267"/>
    </row>
    <row r="332" spans="1:35" x14ac:dyDescent="0.2">
      <c r="A332" s="208" t="str">
        <f>+IF(D332="","",CONCATENATE("GBL 00",Mantenedor!E331))</f>
        <v/>
      </c>
      <c r="B332" s="214"/>
      <c r="C332" s="215"/>
      <c r="D332" s="215"/>
      <c r="E332" s="215"/>
      <c r="F332" s="215"/>
      <c r="G332" s="215"/>
      <c r="H332" s="215"/>
      <c r="I332" s="216"/>
      <c r="J332" s="217"/>
      <c r="K332" s="218"/>
      <c r="L332" s="217" t="str">
        <f t="shared" si="5"/>
        <v/>
      </c>
      <c r="M332" s="240"/>
      <c r="N332" s="225" t="str">
        <f>IF($K332="","",IF($K332=1,CONCATENATE("Base ",$M332," ",$K332," noche"),CONCATENATE("Base ",$M332," ",$K332," noches")))</f>
        <v/>
      </c>
      <c r="O332" s="239" t="str">
        <f>IFERROR((VLOOKUP($N332,Pricing!$D$2:$E$43,2,FALSE)),"")</f>
        <v/>
      </c>
      <c r="P332" s="196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71"/>
      <c r="AB332" s="272"/>
      <c r="AC332" s="272"/>
      <c r="AD332" s="272"/>
      <c r="AE332" s="272"/>
      <c r="AF332" s="272"/>
      <c r="AG332" s="272"/>
      <c r="AH332" s="272"/>
      <c r="AI332" s="267"/>
    </row>
    <row r="333" spans="1:35" x14ac:dyDescent="0.2">
      <c r="A333" s="208" t="str">
        <f>+IF(D333="","",CONCATENATE("GBL 00",Mantenedor!E332))</f>
        <v/>
      </c>
      <c r="B333" s="214"/>
      <c r="C333" s="215"/>
      <c r="D333" s="215"/>
      <c r="E333" s="215"/>
      <c r="F333" s="215"/>
      <c r="G333" s="215"/>
      <c r="H333" s="215"/>
      <c r="I333" s="216"/>
      <c r="J333" s="217"/>
      <c r="K333" s="218"/>
      <c r="L333" s="217" t="str">
        <f t="shared" si="5"/>
        <v/>
      </c>
      <c r="M333" s="240"/>
      <c r="N333" s="225" t="str">
        <f>IF($K333="","",IF($K333=1,CONCATENATE("Base ",$M333," ",$K333," noche"),CONCATENATE("Base ",$M333," ",$K333," noches")))</f>
        <v/>
      </c>
      <c r="O333" s="239" t="str">
        <f>IFERROR((VLOOKUP($N333,Pricing!$D$2:$E$43,2,FALSE)),"")</f>
        <v/>
      </c>
      <c r="P333" s="196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71"/>
      <c r="AB333" s="272"/>
      <c r="AC333" s="272"/>
      <c r="AD333" s="272"/>
      <c r="AE333" s="272"/>
      <c r="AF333" s="272"/>
      <c r="AG333" s="272"/>
      <c r="AH333" s="272"/>
      <c r="AI333" s="267"/>
    </row>
    <row r="334" spans="1:35" x14ac:dyDescent="0.2">
      <c r="A334" s="208" t="str">
        <f>+IF(D334="","",CONCATENATE("GBL 00",Mantenedor!E333))</f>
        <v/>
      </c>
      <c r="B334" s="214"/>
      <c r="C334" s="215"/>
      <c r="D334" s="215"/>
      <c r="E334" s="215"/>
      <c r="F334" s="215"/>
      <c r="G334" s="215"/>
      <c r="H334" s="215"/>
      <c r="I334" s="216"/>
      <c r="J334" s="217"/>
      <c r="K334" s="218"/>
      <c r="L334" s="217" t="str">
        <f t="shared" si="5"/>
        <v/>
      </c>
      <c r="M334" s="240"/>
      <c r="N334" s="225" t="str">
        <f>IF($K334="","",IF($K334=1,CONCATENATE("Base ",$M334," ",$K334," noche"),CONCATENATE("Base ",$M334," ",$K334," noches")))</f>
        <v/>
      </c>
      <c r="O334" s="239" t="str">
        <f>IFERROR((VLOOKUP($N334,Pricing!$D$2:$E$43,2,FALSE)),"")</f>
        <v/>
      </c>
      <c r="P334" s="196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71"/>
      <c r="AB334" s="272"/>
      <c r="AC334" s="272"/>
      <c r="AD334" s="272"/>
      <c r="AE334" s="272"/>
      <c r="AF334" s="272"/>
      <c r="AG334" s="272"/>
      <c r="AH334" s="272"/>
      <c r="AI334" s="267"/>
    </row>
    <row r="335" spans="1:35" x14ac:dyDescent="0.2">
      <c r="A335" s="208" t="str">
        <f>+IF(D335="","",CONCATENATE("GBL 00",Mantenedor!E334))</f>
        <v/>
      </c>
      <c r="B335" s="214"/>
      <c r="C335" s="215"/>
      <c r="D335" s="215"/>
      <c r="E335" s="215"/>
      <c r="F335" s="215"/>
      <c r="G335" s="215"/>
      <c r="H335" s="215"/>
      <c r="I335" s="216"/>
      <c r="J335" s="217"/>
      <c r="K335" s="218"/>
      <c r="L335" s="217" t="str">
        <f t="shared" si="5"/>
        <v/>
      </c>
      <c r="M335" s="240"/>
      <c r="N335" s="225" t="str">
        <f>IF($K335="","",IF($K335=1,CONCATENATE("Base ",$M335," ",$K335," noche"),CONCATENATE("Base ",$M335," ",$K335," noches")))</f>
        <v/>
      </c>
      <c r="O335" s="239" t="str">
        <f>IFERROR((VLOOKUP($N335,Pricing!$D$2:$E$43,2,FALSE)),"")</f>
        <v/>
      </c>
      <c r="P335" s="196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71"/>
      <c r="AB335" s="272"/>
      <c r="AC335" s="272"/>
      <c r="AD335" s="272"/>
      <c r="AE335" s="272"/>
      <c r="AF335" s="272"/>
      <c r="AG335" s="272"/>
      <c r="AH335" s="272"/>
      <c r="AI335" s="267"/>
    </row>
    <row r="336" spans="1:35" x14ac:dyDescent="0.2">
      <c r="A336" s="208" t="str">
        <f>+IF(D336="","",CONCATENATE("GBL 00",Mantenedor!E335))</f>
        <v/>
      </c>
      <c r="B336" s="214"/>
      <c r="C336" s="215"/>
      <c r="D336" s="215"/>
      <c r="E336" s="215"/>
      <c r="F336" s="215"/>
      <c r="G336" s="215"/>
      <c r="H336" s="215"/>
      <c r="I336" s="216"/>
      <c r="J336" s="217"/>
      <c r="K336" s="218"/>
      <c r="L336" s="217" t="str">
        <f t="shared" si="5"/>
        <v/>
      </c>
      <c r="M336" s="240"/>
      <c r="N336" s="225" t="str">
        <f>IF($K336="","",IF($K336=1,CONCATENATE("Base ",$M336," ",$K336," noche"),CONCATENATE("Base ",$M336," ",$K336," noches")))</f>
        <v/>
      </c>
      <c r="O336" s="239" t="str">
        <f>IFERROR((VLOOKUP($N336,Pricing!$D$2:$E$43,2,FALSE)),"")</f>
        <v/>
      </c>
      <c r="P336" s="196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71"/>
      <c r="AB336" s="272"/>
      <c r="AC336" s="272"/>
      <c r="AD336" s="272"/>
      <c r="AE336" s="272"/>
      <c r="AF336" s="272"/>
      <c r="AG336" s="272"/>
      <c r="AH336" s="272"/>
      <c r="AI336" s="267"/>
    </row>
    <row r="337" spans="1:35" x14ac:dyDescent="0.2">
      <c r="A337" s="208" t="str">
        <f>+IF(D337="","",CONCATENATE("GBL 00",Mantenedor!E336))</f>
        <v/>
      </c>
      <c r="B337" s="214"/>
      <c r="C337" s="215"/>
      <c r="D337" s="215"/>
      <c r="E337" s="215"/>
      <c r="F337" s="215"/>
      <c r="G337" s="215"/>
      <c r="H337" s="215"/>
      <c r="I337" s="216"/>
      <c r="J337" s="217"/>
      <c r="K337" s="218"/>
      <c r="L337" s="217" t="str">
        <f t="shared" si="5"/>
        <v/>
      </c>
      <c r="M337" s="240"/>
      <c r="N337" s="225" t="str">
        <f>IF($K337="","",IF($K337=1,CONCATENATE("Base ",$M337," ",$K337," noche"),CONCATENATE("Base ",$M337," ",$K337," noches")))</f>
        <v/>
      </c>
      <c r="O337" s="239" t="str">
        <f>IFERROR((VLOOKUP($N337,Pricing!$D$2:$E$43,2,FALSE)),"")</f>
        <v/>
      </c>
      <c r="P337" s="196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71"/>
      <c r="AB337" s="272"/>
      <c r="AC337" s="272"/>
      <c r="AD337" s="272"/>
      <c r="AE337" s="272"/>
      <c r="AF337" s="272"/>
      <c r="AG337" s="272"/>
      <c r="AH337" s="272"/>
      <c r="AI337" s="267"/>
    </row>
    <row r="338" spans="1:35" x14ac:dyDescent="0.2">
      <c r="A338" s="208" t="str">
        <f>+IF(D338="","",CONCATENATE("GBL 00",Mantenedor!E337))</f>
        <v/>
      </c>
      <c r="B338" s="214"/>
      <c r="C338" s="215"/>
      <c r="D338" s="215"/>
      <c r="E338" s="215"/>
      <c r="F338" s="215"/>
      <c r="G338" s="215"/>
      <c r="H338" s="215"/>
      <c r="I338" s="216"/>
      <c r="J338" s="217"/>
      <c r="K338" s="218"/>
      <c r="L338" s="217" t="str">
        <f t="shared" si="5"/>
        <v/>
      </c>
      <c r="M338" s="240"/>
      <c r="N338" s="225" t="str">
        <f>IF($K338="","",IF($K338=1,CONCATENATE("Base ",$M338," ",$K338," noche"),CONCATENATE("Base ",$M338," ",$K338," noches")))</f>
        <v/>
      </c>
      <c r="O338" s="239" t="str">
        <f>IFERROR((VLOOKUP($N338,Pricing!$D$2:$E$43,2,FALSE)),"")</f>
        <v/>
      </c>
      <c r="P338" s="196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71"/>
      <c r="AB338" s="272"/>
      <c r="AC338" s="272"/>
      <c r="AD338" s="272"/>
      <c r="AE338" s="272"/>
      <c r="AF338" s="272"/>
      <c r="AG338" s="272"/>
      <c r="AH338" s="272"/>
      <c r="AI338" s="267"/>
    </row>
    <row r="339" spans="1:35" x14ac:dyDescent="0.2">
      <c r="A339" s="208" t="str">
        <f>+IF(D339="","",CONCATENATE("GBL 00",Mantenedor!E338))</f>
        <v/>
      </c>
      <c r="B339" s="214"/>
      <c r="C339" s="215"/>
      <c r="D339" s="215"/>
      <c r="E339" s="215"/>
      <c r="F339" s="215"/>
      <c r="G339" s="215"/>
      <c r="H339" s="215"/>
      <c r="I339" s="216"/>
      <c r="J339" s="217"/>
      <c r="K339" s="218"/>
      <c r="L339" s="217" t="str">
        <f t="shared" si="5"/>
        <v/>
      </c>
      <c r="M339" s="240"/>
      <c r="N339" s="225" t="str">
        <f>IF($K339="","",IF($K339=1,CONCATENATE("Base ",$M339," ",$K339," noche"),CONCATENATE("Base ",$M339," ",$K339," noches")))</f>
        <v/>
      </c>
      <c r="O339" s="239" t="str">
        <f>IFERROR((VLOOKUP($N339,Pricing!$D$2:$E$43,2,FALSE)),"")</f>
        <v/>
      </c>
      <c r="P339" s="196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71"/>
      <c r="AB339" s="272"/>
      <c r="AC339" s="272"/>
      <c r="AD339" s="272"/>
      <c r="AE339" s="272"/>
      <c r="AF339" s="272"/>
      <c r="AG339" s="272"/>
      <c r="AH339" s="272"/>
      <c r="AI339" s="267"/>
    </row>
    <row r="340" spans="1:35" x14ac:dyDescent="0.2">
      <c r="A340" s="208" t="str">
        <f>+IF(D340="","",CONCATENATE("GBL 00",Mantenedor!E339))</f>
        <v/>
      </c>
      <c r="B340" s="214"/>
      <c r="C340" s="215"/>
      <c r="D340" s="215"/>
      <c r="E340" s="215"/>
      <c r="F340" s="215"/>
      <c r="G340" s="215"/>
      <c r="H340" s="215"/>
      <c r="I340" s="216"/>
      <c r="J340" s="217"/>
      <c r="K340" s="218"/>
      <c r="L340" s="217" t="str">
        <f t="shared" si="5"/>
        <v/>
      </c>
      <c r="M340" s="240"/>
      <c r="N340" s="225" t="str">
        <f>IF($K340="","",IF($K340=1,CONCATENATE("Base ",$M340," ",$K340," noche"),CONCATENATE("Base ",$M340," ",$K340," noches")))</f>
        <v/>
      </c>
      <c r="O340" s="239" t="str">
        <f>IFERROR((VLOOKUP($N340,Pricing!$D$2:$E$43,2,FALSE)),"")</f>
        <v/>
      </c>
      <c r="P340" s="196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71"/>
      <c r="AB340" s="272"/>
      <c r="AC340" s="272"/>
      <c r="AD340" s="272"/>
      <c r="AE340" s="272"/>
      <c r="AF340" s="272"/>
      <c r="AG340" s="272"/>
      <c r="AH340" s="272"/>
      <c r="AI340" s="267"/>
    </row>
    <row r="341" spans="1:35" x14ac:dyDescent="0.2">
      <c r="A341" s="208" t="str">
        <f>+IF(D341="","",CONCATENATE("GBL 00",Mantenedor!E340))</f>
        <v/>
      </c>
      <c r="B341" s="214"/>
      <c r="C341" s="215"/>
      <c r="D341" s="215"/>
      <c r="E341" s="215"/>
      <c r="F341" s="215"/>
      <c r="G341" s="215"/>
      <c r="H341" s="215"/>
      <c r="I341" s="216"/>
      <c r="J341" s="217"/>
      <c r="K341" s="218"/>
      <c r="L341" s="217" t="str">
        <f t="shared" si="5"/>
        <v/>
      </c>
      <c r="M341" s="240"/>
      <c r="N341" s="225" t="str">
        <f>IF($K341="","",IF($K341=1,CONCATENATE("Base ",$M341," ",$K341," noche"),CONCATENATE("Base ",$M341," ",$K341," noches")))</f>
        <v/>
      </c>
      <c r="O341" s="239" t="str">
        <f>IFERROR((VLOOKUP($N341,Pricing!$D$2:$E$43,2,FALSE)),"")</f>
        <v/>
      </c>
      <c r="P341" s="196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71"/>
      <c r="AB341" s="272"/>
      <c r="AC341" s="272"/>
      <c r="AD341" s="272"/>
      <c r="AE341" s="272"/>
      <c r="AF341" s="272"/>
      <c r="AG341" s="272"/>
      <c r="AH341" s="272"/>
      <c r="AI341" s="267"/>
    </row>
    <row r="342" spans="1:35" x14ac:dyDescent="0.2">
      <c r="A342" s="208" t="str">
        <f>+IF(D342="","",CONCATENATE("GBL 00",Mantenedor!E341))</f>
        <v/>
      </c>
      <c r="B342" s="214"/>
      <c r="C342" s="215"/>
      <c r="D342" s="215"/>
      <c r="E342" s="215"/>
      <c r="F342" s="215"/>
      <c r="G342" s="215"/>
      <c r="H342" s="215"/>
      <c r="I342" s="216"/>
      <c r="J342" s="217"/>
      <c r="K342" s="218"/>
      <c r="L342" s="217" t="str">
        <f t="shared" si="5"/>
        <v/>
      </c>
      <c r="M342" s="240"/>
      <c r="N342" s="225" t="str">
        <f>IF($K342="","",IF($K342=1,CONCATENATE("Base ",$M342," ",$K342," noche"),CONCATENATE("Base ",$M342," ",$K342," noches")))</f>
        <v/>
      </c>
      <c r="O342" s="239" t="str">
        <f>IFERROR((VLOOKUP($N342,Pricing!$D$2:$E$43,2,FALSE)),"")</f>
        <v/>
      </c>
      <c r="P342" s="196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71"/>
      <c r="AB342" s="272"/>
      <c r="AC342" s="272"/>
      <c r="AD342" s="272"/>
      <c r="AE342" s="272"/>
      <c r="AF342" s="272"/>
      <c r="AG342" s="272"/>
      <c r="AH342" s="272"/>
      <c r="AI342" s="267"/>
    </row>
    <row r="343" spans="1:35" x14ac:dyDescent="0.2">
      <c r="A343" s="208" t="str">
        <f>+IF(D343="","",CONCATENATE("GBL 00",Mantenedor!E342))</f>
        <v/>
      </c>
      <c r="B343" s="214"/>
      <c r="C343" s="215"/>
      <c r="D343" s="215"/>
      <c r="E343" s="215"/>
      <c r="F343" s="215"/>
      <c r="G343" s="215"/>
      <c r="H343" s="215"/>
      <c r="I343" s="216"/>
      <c r="J343" s="217"/>
      <c r="K343" s="218"/>
      <c r="L343" s="217" t="str">
        <f t="shared" si="5"/>
        <v/>
      </c>
      <c r="M343" s="240"/>
      <c r="N343" s="225" t="str">
        <f>IF($K343="","",IF($K343=1,CONCATENATE("Base ",$M343," ",$K343," noche"),CONCATENATE("Base ",$M343," ",$K343," noches")))</f>
        <v/>
      </c>
      <c r="O343" s="239" t="str">
        <f>IFERROR((VLOOKUP($N343,Pricing!$D$2:$E$43,2,FALSE)),"")</f>
        <v/>
      </c>
      <c r="P343" s="196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71"/>
      <c r="AB343" s="272"/>
      <c r="AC343" s="272"/>
      <c r="AD343" s="272"/>
      <c r="AE343" s="272"/>
      <c r="AF343" s="272"/>
      <c r="AG343" s="272"/>
      <c r="AH343" s="272"/>
      <c r="AI343" s="267"/>
    </row>
    <row r="344" spans="1:35" x14ac:dyDescent="0.2">
      <c r="A344" s="208" t="str">
        <f>+IF(D344="","",CONCATENATE("GBL 00",Mantenedor!E343))</f>
        <v/>
      </c>
      <c r="B344" s="214"/>
      <c r="C344" s="215"/>
      <c r="D344" s="215"/>
      <c r="E344" s="215"/>
      <c r="F344" s="215"/>
      <c r="G344" s="215"/>
      <c r="H344" s="215"/>
      <c r="I344" s="216"/>
      <c r="J344" s="217"/>
      <c r="K344" s="218"/>
      <c r="L344" s="217" t="str">
        <f t="shared" si="5"/>
        <v/>
      </c>
      <c r="M344" s="240"/>
      <c r="N344" s="225" t="str">
        <f>IF($K344="","",IF($K344=1,CONCATENATE("Base ",$M344," ",$K344," noche"),CONCATENATE("Base ",$M344," ",$K344," noches")))</f>
        <v/>
      </c>
      <c r="O344" s="239" t="str">
        <f>IFERROR((VLOOKUP($N344,Pricing!$D$2:$E$43,2,FALSE)),"")</f>
        <v/>
      </c>
      <c r="P344" s="196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71"/>
      <c r="AB344" s="272"/>
      <c r="AC344" s="272"/>
      <c r="AD344" s="272"/>
      <c r="AE344" s="272"/>
      <c r="AF344" s="272"/>
      <c r="AG344" s="272"/>
      <c r="AH344" s="272"/>
      <c r="AI344" s="267"/>
    </row>
    <row r="345" spans="1:35" x14ac:dyDescent="0.2">
      <c r="A345" s="208" t="str">
        <f>+IF(D345="","",CONCATENATE("GBL 00",Mantenedor!E344))</f>
        <v/>
      </c>
      <c r="B345" s="214"/>
      <c r="C345" s="215"/>
      <c r="D345" s="215"/>
      <c r="E345" s="215"/>
      <c r="F345" s="215"/>
      <c r="G345" s="215"/>
      <c r="H345" s="215"/>
      <c r="I345" s="216"/>
      <c r="J345" s="217"/>
      <c r="K345" s="218"/>
      <c r="L345" s="217" t="str">
        <f t="shared" si="5"/>
        <v/>
      </c>
      <c r="M345" s="240"/>
      <c r="N345" s="225" t="str">
        <f>IF($K345="","",IF($K345=1,CONCATENATE("Base ",$M345," ",$K345," noche"),CONCATENATE("Base ",$M345," ",$K345," noches")))</f>
        <v/>
      </c>
      <c r="O345" s="239" t="str">
        <f>IFERROR((VLOOKUP($N345,Pricing!$D$2:$E$43,2,FALSE)),"")</f>
        <v/>
      </c>
      <c r="P345" s="196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71"/>
      <c r="AB345" s="272"/>
      <c r="AC345" s="272"/>
      <c r="AD345" s="272"/>
      <c r="AE345" s="272"/>
      <c r="AF345" s="272"/>
      <c r="AG345" s="272"/>
      <c r="AH345" s="272"/>
      <c r="AI345" s="267"/>
    </row>
    <row r="346" spans="1:35" x14ac:dyDescent="0.2">
      <c r="A346" s="208" t="str">
        <f>+IF(D346="","",CONCATENATE("GBL 00",Mantenedor!E345))</f>
        <v/>
      </c>
      <c r="B346" s="214"/>
      <c r="C346" s="215"/>
      <c r="D346" s="215"/>
      <c r="E346" s="215"/>
      <c r="F346" s="215"/>
      <c r="G346" s="215"/>
      <c r="H346" s="215"/>
      <c r="I346" s="216"/>
      <c r="J346" s="217"/>
      <c r="K346" s="218"/>
      <c r="L346" s="217" t="str">
        <f t="shared" si="5"/>
        <v/>
      </c>
      <c r="M346" s="240"/>
      <c r="N346" s="225" t="str">
        <f>IF($K346="","",IF($K346=1,CONCATENATE("Base ",$M346," ",$K346," noche"),CONCATENATE("Base ",$M346," ",$K346," noches")))</f>
        <v/>
      </c>
      <c r="O346" s="239" t="str">
        <f>IFERROR((VLOOKUP($N346,Pricing!$D$2:$E$43,2,FALSE)),"")</f>
        <v/>
      </c>
      <c r="P346" s="196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71"/>
      <c r="AB346" s="272"/>
      <c r="AC346" s="272"/>
      <c r="AD346" s="272"/>
      <c r="AE346" s="272"/>
      <c r="AF346" s="272"/>
      <c r="AG346" s="272"/>
      <c r="AH346" s="272"/>
      <c r="AI346" s="267"/>
    </row>
    <row r="347" spans="1:35" x14ac:dyDescent="0.2">
      <c r="A347" s="208" t="str">
        <f>+IF(D347="","",CONCATENATE("GBL 00",Mantenedor!E346))</f>
        <v/>
      </c>
      <c r="B347" s="214"/>
      <c r="C347" s="215"/>
      <c r="D347" s="215"/>
      <c r="E347" s="215"/>
      <c r="F347" s="215"/>
      <c r="G347" s="215"/>
      <c r="H347" s="215"/>
      <c r="I347" s="216"/>
      <c r="J347" s="217"/>
      <c r="K347" s="218"/>
      <c r="L347" s="217" t="str">
        <f t="shared" si="5"/>
        <v/>
      </c>
      <c r="M347" s="240"/>
      <c r="N347" s="225" t="str">
        <f>IF($K347="","",IF($K347=1,CONCATENATE("Base ",$M347," ",$K347," noche"),CONCATENATE("Base ",$M347," ",$K347," noches")))</f>
        <v/>
      </c>
      <c r="O347" s="239" t="str">
        <f>IFERROR((VLOOKUP($N347,Pricing!$D$2:$E$43,2,FALSE)),"")</f>
        <v/>
      </c>
      <c r="P347" s="196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71"/>
      <c r="AB347" s="272"/>
      <c r="AC347" s="272"/>
      <c r="AD347" s="272"/>
      <c r="AE347" s="272"/>
      <c r="AF347" s="272"/>
      <c r="AG347" s="272"/>
      <c r="AH347" s="272"/>
      <c r="AI347" s="267"/>
    </row>
    <row r="348" spans="1:35" x14ac:dyDescent="0.2">
      <c r="A348" s="208" t="str">
        <f>+IF(D348="","",CONCATENATE("GBL 00",Mantenedor!E347))</f>
        <v/>
      </c>
      <c r="B348" s="214"/>
      <c r="C348" s="215"/>
      <c r="D348" s="215"/>
      <c r="E348" s="215"/>
      <c r="F348" s="215"/>
      <c r="G348" s="215"/>
      <c r="H348" s="215"/>
      <c r="I348" s="216"/>
      <c r="J348" s="217"/>
      <c r="K348" s="218"/>
      <c r="L348" s="217" t="str">
        <f t="shared" si="5"/>
        <v/>
      </c>
      <c r="M348" s="240"/>
      <c r="N348" s="225" t="str">
        <f>IF($K348="","",IF($K348=1,CONCATENATE("Base ",$M348," ",$K348," noche"),CONCATENATE("Base ",$M348," ",$K348," noches")))</f>
        <v/>
      </c>
      <c r="O348" s="239" t="str">
        <f>IFERROR((VLOOKUP($N348,Pricing!$D$2:$E$43,2,FALSE)),"")</f>
        <v/>
      </c>
      <c r="P348" s="196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71"/>
      <c r="AB348" s="272"/>
      <c r="AC348" s="272"/>
      <c r="AD348" s="272"/>
      <c r="AE348" s="272"/>
      <c r="AF348" s="272"/>
      <c r="AG348" s="272"/>
      <c r="AH348" s="272"/>
      <c r="AI348" s="267"/>
    </row>
    <row r="349" spans="1:35" x14ac:dyDescent="0.2">
      <c r="A349" s="208" t="str">
        <f>+IF(D349="","",CONCATENATE("GBL 00",Mantenedor!E348))</f>
        <v/>
      </c>
      <c r="B349" s="214"/>
      <c r="C349" s="215"/>
      <c r="D349" s="215"/>
      <c r="E349" s="215"/>
      <c r="F349" s="215"/>
      <c r="G349" s="215"/>
      <c r="H349" s="215"/>
      <c r="I349" s="216"/>
      <c r="J349" s="217"/>
      <c r="K349" s="218"/>
      <c r="L349" s="217" t="str">
        <f t="shared" si="5"/>
        <v/>
      </c>
      <c r="M349" s="240"/>
      <c r="N349" s="225" t="str">
        <f>IF($K349="","",IF($K349=1,CONCATENATE("Base ",$M349," ",$K349," noche"),CONCATENATE("Base ",$M349," ",$K349," noches")))</f>
        <v/>
      </c>
      <c r="O349" s="239" t="str">
        <f>IFERROR((VLOOKUP($N349,Pricing!$D$2:$E$43,2,FALSE)),"")</f>
        <v/>
      </c>
      <c r="P349" s="196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71"/>
      <c r="AB349" s="272"/>
      <c r="AC349" s="272"/>
      <c r="AD349" s="272"/>
      <c r="AE349" s="272"/>
      <c r="AF349" s="272"/>
      <c r="AG349" s="272"/>
      <c r="AH349" s="272"/>
      <c r="AI349" s="267"/>
    </row>
    <row r="350" spans="1:35" x14ac:dyDescent="0.2">
      <c r="A350" s="208" t="str">
        <f>+IF(D350="","",CONCATENATE("GBL 00",Mantenedor!E349))</f>
        <v/>
      </c>
      <c r="B350" s="214"/>
      <c r="C350" s="215"/>
      <c r="D350" s="215"/>
      <c r="E350" s="215"/>
      <c r="F350" s="215"/>
      <c r="G350" s="215"/>
      <c r="H350" s="215"/>
      <c r="I350" s="216"/>
      <c r="J350" s="217"/>
      <c r="K350" s="218"/>
      <c r="L350" s="217" t="str">
        <f t="shared" si="5"/>
        <v/>
      </c>
      <c r="M350" s="240"/>
      <c r="N350" s="225" t="str">
        <f>IF($K350="","",IF($K350=1,CONCATENATE("Base ",$M350," ",$K350," noche"),CONCATENATE("Base ",$M350," ",$K350," noches")))</f>
        <v/>
      </c>
      <c r="O350" s="239" t="str">
        <f>IFERROR((VLOOKUP($N350,Pricing!$D$2:$E$43,2,FALSE)),"")</f>
        <v/>
      </c>
      <c r="P350" s="196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71"/>
      <c r="AB350" s="272"/>
      <c r="AC350" s="272"/>
      <c r="AD350" s="272"/>
      <c r="AE350" s="272"/>
      <c r="AF350" s="272"/>
      <c r="AG350" s="272"/>
      <c r="AH350" s="272"/>
      <c r="AI350" s="267"/>
    </row>
    <row r="351" spans="1:35" x14ac:dyDescent="0.2">
      <c r="A351" s="208" t="str">
        <f>+IF(D351="","",CONCATENATE("GBL 00",Mantenedor!E350))</f>
        <v/>
      </c>
      <c r="B351" s="214"/>
      <c r="C351" s="215"/>
      <c r="D351" s="215"/>
      <c r="E351" s="215"/>
      <c r="F351" s="215"/>
      <c r="G351" s="215"/>
      <c r="H351" s="215"/>
      <c r="I351" s="216"/>
      <c r="J351" s="217"/>
      <c r="K351" s="218"/>
      <c r="L351" s="217" t="str">
        <f t="shared" si="5"/>
        <v/>
      </c>
      <c r="M351" s="240"/>
      <c r="N351" s="225" t="str">
        <f>IF($K351="","",IF($K351=1,CONCATENATE("Base ",$M351," ",$K351," noche"),CONCATENATE("Base ",$M351," ",$K351," noches")))</f>
        <v/>
      </c>
      <c r="O351" s="239" t="str">
        <f>IFERROR((VLOOKUP($N351,Pricing!$D$2:$E$43,2,FALSE)),"")</f>
        <v/>
      </c>
      <c r="P351" s="196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71"/>
      <c r="AB351" s="272"/>
      <c r="AC351" s="272"/>
      <c r="AD351" s="272"/>
      <c r="AE351" s="272"/>
      <c r="AF351" s="272"/>
      <c r="AG351" s="272"/>
      <c r="AH351" s="272"/>
      <c r="AI351" s="267"/>
    </row>
    <row r="352" spans="1:35" x14ac:dyDescent="0.2">
      <c r="A352" s="208" t="str">
        <f>+IF(D352="","",CONCATENATE("GBL 00",Mantenedor!E351))</f>
        <v/>
      </c>
      <c r="B352" s="214"/>
      <c r="C352" s="215"/>
      <c r="D352" s="215"/>
      <c r="E352" s="215"/>
      <c r="F352" s="215"/>
      <c r="G352" s="215"/>
      <c r="H352" s="215"/>
      <c r="I352" s="216"/>
      <c r="J352" s="217"/>
      <c r="K352" s="218"/>
      <c r="L352" s="217" t="str">
        <f t="shared" si="5"/>
        <v/>
      </c>
      <c r="M352" s="240"/>
      <c r="N352" s="225" t="str">
        <f>IF($K352="","",IF($K352=1,CONCATENATE("Base ",$M352," ",$K352," noche"),CONCATENATE("Base ",$M352," ",$K352," noches")))</f>
        <v/>
      </c>
      <c r="O352" s="239" t="str">
        <f>IFERROR((VLOOKUP($N352,Pricing!$D$2:$E$43,2,FALSE)),"")</f>
        <v/>
      </c>
      <c r="P352" s="196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71"/>
      <c r="AB352" s="272"/>
      <c r="AC352" s="272"/>
      <c r="AD352" s="272"/>
      <c r="AE352" s="272"/>
      <c r="AF352" s="272"/>
      <c r="AG352" s="272"/>
      <c r="AH352" s="272"/>
      <c r="AI352" s="267"/>
    </row>
    <row r="353" spans="1:35" x14ac:dyDescent="0.2">
      <c r="A353" s="208" t="str">
        <f>+IF(D353="","",CONCATENATE("GBL 00",Mantenedor!E352))</f>
        <v/>
      </c>
      <c r="B353" s="214"/>
      <c r="C353" s="215"/>
      <c r="D353" s="215"/>
      <c r="E353" s="215"/>
      <c r="F353" s="215"/>
      <c r="G353" s="215"/>
      <c r="H353" s="215"/>
      <c r="I353" s="216"/>
      <c r="J353" s="217"/>
      <c r="K353" s="218"/>
      <c r="L353" s="217" t="str">
        <f t="shared" si="5"/>
        <v/>
      </c>
      <c r="M353" s="240"/>
      <c r="N353" s="225" t="str">
        <f>IF($K353="","",IF($K353=1,CONCATENATE("Base ",$M353," ",$K353," noche"),CONCATENATE("Base ",$M353," ",$K353," noches")))</f>
        <v/>
      </c>
      <c r="O353" s="239" t="str">
        <f>IFERROR((VLOOKUP($N353,Pricing!$D$2:$E$43,2,FALSE)),"")</f>
        <v/>
      </c>
      <c r="P353" s="196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71"/>
      <c r="AB353" s="272"/>
      <c r="AC353" s="272"/>
      <c r="AD353" s="272"/>
      <c r="AE353" s="272"/>
      <c r="AF353" s="272"/>
      <c r="AG353" s="272"/>
      <c r="AH353" s="272"/>
      <c r="AI353" s="267"/>
    </row>
    <row r="354" spans="1:35" x14ac:dyDescent="0.2">
      <c r="A354" s="208" t="str">
        <f>+IF(D354="","",CONCATENATE("GBL 00",Mantenedor!E353))</f>
        <v/>
      </c>
      <c r="B354" s="214"/>
      <c r="C354" s="215"/>
      <c r="D354" s="215"/>
      <c r="E354" s="215"/>
      <c r="F354" s="215"/>
      <c r="G354" s="215"/>
      <c r="H354" s="215"/>
      <c r="I354" s="216"/>
      <c r="J354" s="217"/>
      <c r="K354" s="218"/>
      <c r="L354" s="217" t="str">
        <f t="shared" si="5"/>
        <v/>
      </c>
      <c r="M354" s="240"/>
      <c r="N354" s="225" t="str">
        <f>IF($K354="","",IF($K354=1,CONCATENATE("Base ",$M354," ",$K354," noche"),CONCATENATE("Base ",$M354," ",$K354," noches")))</f>
        <v/>
      </c>
      <c r="O354" s="239" t="str">
        <f>IFERROR((VLOOKUP($N354,Pricing!$D$2:$E$43,2,FALSE)),"")</f>
        <v/>
      </c>
      <c r="P354" s="196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71"/>
      <c r="AB354" s="272"/>
      <c r="AC354" s="272"/>
      <c r="AD354" s="272"/>
      <c r="AE354" s="272"/>
      <c r="AF354" s="272"/>
      <c r="AG354" s="272"/>
      <c r="AH354" s="272"/>
      <c r="AI354" s="267"/>
    </row>
    <row r="355" spans="1:35" x14ac:dyDescent="0.2">
      <c r="A355" s="208" t="str">
        <f>+IF(D355="","",CONCATENATE("GBL 00",Mantenedor!E354))</f>
        <v/>
      </c>
      <c r="B355" s="214"/>
      <c r="C355" s="215"/>
      <c r="D355" s="215"/>
      <c r="E355" s="215"/>
      <c r="F355" s="215"/>
      <c r="G355" s="215"/>
      <c r="H355" s="215"/>
      <c r="I355" s="216"/>
      <c r="J355" s="217"/>
      <c r="K355" s="218"/>
      <c r="L355" s="217" t="str">
        <f t="shared" si="5"/>
        <v/>
      </c>
      <c r="M355" s="240"/>
      <c r="N355" s="225" t="str">
        <f>IF($K355="","",IF($K355=1,CONCATENATE("Base ",$M355," ",$K355," noche"),CONCATENATE("Base ",$M355," ",$K355," noches")))</f>
        <v/>
      </c>
      <c r="O355" s="239" t="str">
        <f>IFERROR((VLOOKUP($N355,Pricing!$D$2:$E$43,2,FALSE)),"")</f>
        <v/>
      </c>
      <c r="P355" s="196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71"/>
      <c r="AB355" s="272"/>
      <c r="AC355" s="272"/>
      <c r="AD355" s="272"/>
      <c r="AE355" s="272"/>
      <c r="AF355" s="272"/>
      <c r="AG355" s="272"/>
      <c r="AH355" s="272"/>
      <c r="AI355" s="267"/>
    </row>
    <row r="356" spans="1:35" x14ac:dyDescent="0.2">
      <c r="A356" s="208" t="str">
        <f>+IF(D356="","",CONCATENATE("GBL 00",Mantenedor!E355))</f>
        <v/>
      </c>
      <c r="B356" s="214"/>
      <c r="C356" s="215"/>
      <c r="D356" s="215"/>
      <c r="E356" s="215"/>
      <c r="F356" s="215"/>
      <c r="G356" s="215"/>
      <c r="H356" s="215"/>
      <c r="I356" s="216"/>
      <c r="J356" s="217"/>
      <c r="K356" s="218"/>
      <c r="L356" s="217" t="str">
        <f t="shared" si="5"/>
        <v/>
      </c>
      <c r="M356" s="240"/>
      <c r="N356" s="225" t="str">
        <f>IF($K356="","",IF($K356=1,CONCATENATE("Base ",$M356," ",$K356," noche"),CONCATENATE("Base ",$M356," ",$K356," noches")))</f>
        <v/>
      </c>
      <c r="O356" s="239" t="str">
        <f>IFERROR((VLOOKUP($N356,Pricing!$D$2:$E$43,2,FALSE)),"")</f>
        <v/>
      </c>
      <c r="P356" s="196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71"/>
      <c r="AB356" s="272"/>
      <c r="AC356" s="272"/>
      <c r="AD356" s="272"/>
      <c r="AE356" s="272"/>
      <c r="AF356" s="272"/>
      <c r="AG356" s="272"/>
      <c r="AH356" s="272"/>
      <c r="AI356" s="267"/>
    </row>
    <row r="357" spans="1:35" x14ac:dyDescent="0.2">
      <c r="A357" s="208" t="str">
        <f>+IF(D357="","",CONCATENATE("GBL 00",Mantenedor!E356))</f>
        <v/>
      </c>
      <c r="B357" s="214"/>
      <c r="C357" s="215"/>
      <c r="D357" s="215"/>
      <c r="E357" s="215"/>
      <c r="F357" s="215"/>
      <c r="G357" s="215"/>
      <c r="H357" s="215"/>
      <c r="I357" s="216"/>
      <c r="J357" s="217"/>
      <c r="K357" s="218"/>
      <c r="L357" s="217" t="str">
        <f t="shared" si="5"/>
        <v/>
      </c>
      <c r="M357" s="240"/>
      <c r="N357" s="225" t="str">
        <f>IF($K357="","",IF($K357=1,CONCATENATE("Base ",$M357," ",$K357," noche"),CONCATENATE("Base ",$M357," ",$K357," noches")))</f>
        <v/>
      </c>
      <c r="O357" s="239" t="str">
        <f>IFERROR((VLOOKUP($N357,Pricing!$D$2:$E$43,2,FALSE)),"")</f>
        <v/>
      </c>
      <c r="P357" s="196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71"/>
      <c r="AB357" s="272"/>
      <c r="AC357" s="272"/>
      <c r="AD357" s="272"/>
      <c r="AE357" s="272"/>
      <c r="AF357" s="272"/>
      <c r="AG357" s="272"/>
      <c r="AH357" s="272"/>
      <c r="AI357" s="267"/>
    </row>
    <row r="358" spans="1:35" x14ac:dyDescent="0.2">
      <c r="A358" s="208" t="str">
        <f>+IF(D358="","",CONCATENATE("GBL 00",Mantenedor!E357))</f>
        <v/>
      </c>
      <c r="B358" s="214"/>
      <c r="C358" s="215"/>
      <c r="D358" s="215"/>
      <c r="E358" s="215"/>
      <c r="F358" s="215"/>
      <c r="G358" s="215"/>
      <c r="H358" s="215"/>
      <c r="I358" s="216"/>
      <c r="J358" s="217"/>
      <c r="K358" s="218"/>
      <c r="L358" s="217" t="str">
        <f t="shared" si="5"/>
        <v/>
      </c>
      <c r="M358" s="240"/>
      <c r="N358" s="225" t="str">
        <f>IF($K358="","",IF($K358=1,CONCATENATE("Base ",$M358," ",$K358," noche"),CONCATENATE("Base ",$M358," ",$K358," noches")))</f>
        <v/>
      </c>
      <c r="O358" s="239" t="str">
        <f>IFERROR((VLOOKUP($N358,Pricing!$D$2:$E$43,2,FALSE)),"")</f>
        <v/>
      </c>
      <c r="P358" s="196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71"/>
      <c r="AB358" s="272"/>
      <c r="AC358" s="272"/>
      <c r="AD358" s="272"/>
      <c r="AE358" s="272"/>
      <c r="AF358" s="272"/>
      <c r="AG358" s="272"/>
      <c r="AH358" s="272"/>
      <c r="AI358" s="267"/>
    </row>
    <row r="359" spans="1:35" x14ac:dyDescent="0.2">
      <c r="A359" s="208" t="str">
        <f>+IF(D359="","",CONCATENATE("GBL 00",Mantenedor!E358))</f>
        <v/>
      </c>
      <c r="B359" s="214"/>
      <c r="C359" s="215"/>
      <c r="D359" s="215"/>
      <c r="E359" s="215"/>
      <c r="F359" s="215"/>
      <c r="G359" s="215"/>
      <c r="H359" s="215"/>
      <c r="I359" s="216"/>
      <c r="J359" s="217"/>
      <c r="K359" s="218"/>
      <c r="L359" s="217" t="str">
        <f t="shared" si="5"/>
        <v/>
      </c>
      <c r="M359" s="240"/>
      <c r="N359" s="225" t="str">
        <f>IF($K359="","",IF($K359=1,CONCATENATE("Base ",$M359," ",$K359," noche"),CONCATENATE("Base ",$M359," ",$K359," noches")))</f>
        <v/>
      </c>
      <c r="O359" s="239" t="str">
        <f>IFERROR((VLOOKUP($N359,Pricing!$D$2:$E$43,2,FALSE)),"")</f>
        <v/>
      </c>
      <c r="P359" s="196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71"/>
      <c r="AB359" s="272"/>
      <c r="AC359" s="272"/>
      <c r="AD359" s="272"/>
      <c r="AE359" s="272"/>
      <c r="AF359" s="272"/>
      <c r="AG359" s="272"/>
      <c r="AH359" s="272"/>
      <c r="AI359" s="267"/>
    </row>
    <row r="360" spans="1:35" x14ac:dyDescent="0.2">
      <c r="A360" s="208" t="str">
        <f>+IF(D360="","",CONCATENATE("GBL 00",Mantenedor!E359))</f>
        <v/>
      </c>
      <c r="B360" s="214"/>
      <c r="C360" s="215"/>
      <c r="D360" s="215"/>
      <c r="E360" s="215"/>
      <c r="F360" s="215"/>
      <c r="G360" s="215"/>
      <c r="H360" s="215"/>
      <c r="I360" s="216"/>
      <c r="J360" s="217"/>
      <c r="K360" s="218"/>
      <c r="L360" s="217" t="str">
        <f t="shared" si="5"/>
        <v/>
      </c>
      <c r="M360" s="240"/>
      <c r="N360" s="225" t="str">
        <f>IF($K360="","",IF($K360=1,CONCATENATE("Base ",$M360," ",$K360," noche"),CONCATENATE("Base ",$M360," ",$K360," noches")))</f>
        <v/>
      </c>
      <c r="O360" s="239" t="str">
        <f>IFERROR((VLOOKUP($N360,Pricing!$D$2:$E$43,2,FALSE)),"")</f>
        <v/>
      </c>
      <c r="P360" s="196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71"/>
      <c r="AB360" s="272"/>
      <c r="AC360" s="272"/>
      <c r="AD360" s="272"/>
      <c r="AE360" s="272"/>
      <c r="AF360" s="272"/>
      <c r="AG360" s="272"/>
      <c r="AH360" s="272"/>
      <c r="AI360" s="267"/>
    </row>
    <row r="361" spans="1:35" x14ac:dyDescent="0.2">
      <c r="A361" s="208" t="str">
        <f>+IF(D361="","",CONCATENATE("GBL 00",Mantenedor!E360))</f>
        <v/>
      </c>
      <c r="B361" s="214"/>
      <c r="C361" s="215"/>
      <c r="D361" s="215"/>
      <c r="E361" s="215"/>
      <c r="F361" s="215"/>
      <c r="G361" s="215"/>
      <c r="H361" s="215"/>
      <c r="I361" s="216"/>
      <c r="J361" s="217"/>
      <c r="K361" s="218"/>
      <c r="L361" s="217" t="str">
        <f t="shared" si="5"/>
        <v/>
      </c>
      <c r="M361" s="240"/>
      <c r="N361" s="225" t="str">
        <f>IF($K361="","",IF($K361=1,CONCATENATE("Base ",$M361," ",$K361," noche"),CONCATENATE("Base ",$M361," ",$K361," noches")))</f>
        <v/>
      </c>
      <c r="O361" s="239" t="str">
        <f>IFERROR((VLOOKUP($N361,Pricing!$D$2:$E$43,2,FALSE)),"")</f>
        <v/>
      </c>
      <c r="P361" s="196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71"/>
      <c r="AB361" s="272"/>
      <c r="AC361" s="272"/>
      <c r="AD361" s="272"/>
      <c r="AE361" s="272"/>
      <c r="AF361" s="272"/>
      <c r="AG361" s="272"/>
      <c r="AH361" s="272"/>
      <c r="AI361" s="267"/>
    </row>
    <row r="362" spans="1:35" x14ac:dyDescent="0.2">
      <c r="A362" s="208" t="str">
        <f>+IF(D362="","",CONCATENATE("GBL 00",Mantenedor!E361))</f>
        <v/>
      </c>
      <c r="B362" s="214"/>
      <c r="C362" s="215"/>
      <c r="D362" s="215"/>
      <c r="E362" s="215"/>
      <c r="F362" s="215"/>
      <c r="G362" s="215"/>
      <c r="H362" s="215"/>
      <c r="I362" s="216"/>
      <c r="J362" s="217"/>
      <c r="K362" s="218"/>
      <c r="L362" s="217" t="str">
        <f t="shared" si="5"/>
        <v/>
      </c>
      <c r="M362" s="240"/>
      <c r="N362" s="225" t="str">
        <f>IF($K362="","",IF($K362=1,CONCATENATE("Base ",$M362," ",$K362," noche"),CONCATENATE("Base ",$M362," ",$K362," noches")))</f>
        <v/>
      </c>
      <c r="O362" s="239" t="str">
        <f>IFERROR((VLOOKUP($N362,Pricing!$D$2:$E$43,2,FALSE)),"")</f>
        <v/>
      </c>
      <c r="P362" s="196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71"/>
      <c r="AB362" s="272"/>
      <c r="AC362" s="272"/>
      <c r="AD362" s="272"/>
      <c r="AE362" s="272"/>
      <c r="AF362" s="272"/>
      <c r="AG362" s="272"/>
      <c r="AH362" s="272"/>
      <c r="AI362" s="267"/>
    </row>
    <row r="363" spans="1:35" x14ac:dyDescent="0.2">
      <c r="A363" s="208" t="str">
        <f>+IF(D363="","",CONCATENATE("GBL 00",Mantenedor!E362))</f>
        <v/>
      </c>
      <c r="B363" s="214"/>
      <c r="C363" s="215"/>
      <c r="D363" s="215"/>
      <c r="E363" s="215"/>
      <c r="F363" s="215"/>
      <c r="G363" s="215"/>
      <c r="H363" s="215"/>
      <c r="I363" s="216"/>
      <c r="J363" s="217"/>
      <c r="K363" s="218"/>
      <c r="L363" s="217" t="str">
        <f t="shared" si="5"/>
        <v/>
      </c>
      <c r="M363" s="240"/>
      <c r="N363" s="225" t="str">
        <f>IF($K363="","",IF($K363=1,CONCATENATE("Base ",$M363," ",$K363," noche"),CONCATENATE("Base ",$M363," ",$K363," noches")))</f>
        <v/>
      </c>
      <c r="O363" s="239" t="str">
        <f>IFERROR((VLOOKUP($N363,Pricing!$D$2:$E$43,2,FALSE)),"")</f>
        <v/>
      </c>
      <c r="P363" s="196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71"/>
      <c r="AB363" s="272"/>
      <c r="AC363" s="272"/>
      <c r="AD363" s="272"/>
      <c r="AE363" s="272"/>
      <c r="AF363" s="272"/>
      <c r="AG363" s="272"/>
      <c r="AH363" s="272"/>
      <c r="AI363" s="267"/>
    </row>
    <row r="364" spans="1:35" x14ac:dyDescent="0.2">
      <c r="A364" s="208" t="str">
        <f>+IF(D364="","",CONCATENATE("GBL 00",Mantenedor!E363))</f>
        <v/>
      </c>
      <c r="B364" s="214"/>
      <c r="C364" s="215"/>
      <c r="D364" s="215"/>
      <c r="E364" s="215"/>
      <c r="F364" s="215"/>
      <c r="G364" s="215"/>
      <c r="H364" s="215"/>
      <c r="I364" s="216"/>
      <c r="J364" s="217"/>
      <c r="K364" s="218"/>
      <c r="L364" s="217" t="str">
        <f t="shared" si="5"/>
        <v/>
      </c>
      <c r="M364" s="240"/>
      <c r="N364" s="225" t="str">
        <f>IF($K364="","",IF($K364=1,CONCATENATE("Base ",$M364," ",$K364," noche"),CONCATENATE("Base ",$M364," ",$K364," noches")))</f>
        <v/>
      </c>
      <c r="O364" s="239" t="str">
        <f>IFERROR((VLOOKUP($N364,Pricing!$D$2:$E$43,2,FALSE)),"")</f>
        <v/>
      </c>
      <c r="P364" s="196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71"/>
      <c r="AB364" s="272"/>
      <c r="AC364" s="272"/>
      <c r="AD364" s="272"/>
      <c r="AE364" s="272"/>
      <c r="AF364" s="272"/>
      <c r="AG364" s="272"/>
      <c r="AH364" s="272"/>
      <c r="AI364" s="267"/>
    </row>
    <row r="365" spans="1:35" x14ac:dyDescent="0.2">
      <c r="A365" s="208" t="str">
        <f>+IF(D365="","",CONCATENATE("GBL 00",Mantenedor!E364))</f>
        <v/>
      </c>
      <c r="B365" s="214"/>
      <c r="C365" s="215"/>
      <c r="D365" s="215"/>
      <c r="E365" s="215"/>
      <c r="F365" s="215"/>
      <c r="G365" s="215"/>
      <c r="H365" s="215"/>
      <c r="I365" s="216"/>
      <c r="J365" s="217"/>
      <c r="K365" s="218"/>
      <c r="L365" s="217" t="str">
        <f t="shared" si="5"/>
        <v/>
      </c>
      <c r="M365" s="240"/>
      <c r="N365" s="225" t="str">
        <f>IF($K365="","",IF($K365=1,CONCATENATE("Base ",$M365," ",$K365," noche"),CONCATENATE("Base ",$M365," ",$K365," noches")))</f>
        <v/>
      </c>
      <c r="O365" s="239" t="str">
        <f>IFERROR((VLOOKUP($N365,Pricing!$D$2:$E$43,2,FALSE)),"")</f>
        <v/>
      </c>
      <c r="P365" s="196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71"/>
      <c r="AB365" s="272"/>
      <c r="AC365" s="272"/>
      <c r="AD365" s="272"/>
      <c r="AE365" s="272"/>
      <c r="AF365" s="272"/>
      <c r="AG365" s="272"/>
      <c r="AH365" s="272"/>
      <c r="AI365" s="267"/>
    </row>
    <row r="366" spans="1:35" x14ac:dyDescent="0.2">
      <c r="A366" s="208" t="str">
        <f>+IF(D366="","",CONCATENATE("GBL 00",Mantenedor!E365))</f>
        <v/>
      </c>
      <c r="B366" s="214"/>
      <c r="C366" s="215"/>
      <c r="D366" s="215"/>
      <c r="E366" s="215"/>
      <c r="F366" s="215"/>
      <c r="G366" s="215"/>
      <c r="H366" s="215"/>
      <c r="I366" s="216"/>
      <c r="J366" s="217"/>
      <c r="K366" s="218"/>
      <c r="L366" s="217" t="str">
        <f t="shared" si="5"/>
        <v/>
      </c>
      <c r="M366" s="240"/>
      <c r="N366" s="225" t="str">
        <f>IF($K366="","",IF($K366=1,CONCATENATE("Base ",$M366," ",$K366," noche"),CONCATENATE("Base ",$M366," ",$K366," noches")))</f>
        <v/>
      </c>
      <c r="O366" s="239" t="str">
        <f>IFERROR((VLOOKUP($N366,Pricing!$D$2:$E$43,2,FALSE)),"")</f>
        <v/>
      </c>
      <c r="P366" s="196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71"/>
      <c r="AB366" s="272"/>
      <c r="AC366" s="272"/>
      <c r="AD366" s="272"/>
      <c r="AE366" s="272"/>
      <c r="AF366" s="272"/>
      <c r="AG366" s="272"/>
      <c r="AH366" s="272"/>
      <c r="AI366" s="267"/>
    </row>
    <row r="367" spans="1:35" x14ac:dyDescent="0.2">
      <c r="A367" s="208" t="str">
        <f>+IF(D367="","",CONCATENATE("GBL 00",Mantenedor!E366))</f>
        <v/>
      </c>
      <c r="B367" s="214"/>
      <c r="C367" s="215"/>
      <c r="D367" s="215"/>
      <c r="E367" s="215"/>
      <c r="F367" s="215"/>
      <c r="G367" s="215"/>
      <c r="H367" s="215"/>
      <c r="I367" s="216"/>
      <c r="J367" s="217"/>
      <c r="K367" s="218"/>
      <c r="L367" s="217" t="str">
        <f t="shared" si="5"/>
        <v/>
      </c>
      <c r="M367" s="240"/>
      <c r="N367" s="225" t="str">
        <f>IF($K367="","",IF($K367=1,CONCATENATE("Base ",$M367," ",$K367," noche"),CONCATENATE("Base ",$M367," ",$K367," noches")))</f>
        <v/>
      </c>
      <c r="O367" s="239" t="str">
        <f>IFERROR((VLOOKUP($N367,Pricing!$D$2:$E$43,2,FALSE)),"")</f>
        <v/>
      </c>
      <c r="P367" s="196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71"/>
      <c r="AB367" s="272"/>
      <c r="AC367" s="272"/>
      <c r="AD367" s="272"/>
      <c r="AE367" s="272"/>
      <c r="AF367" s="272"/>
      <c r="AG367" s="272"/>
      <c r="AH367" s="272"/>
      <c r="AI367" s="267"/>
    </row>
    <row r="368" spans="1:35" x14ac:dyDescent="0.2">
      <c r="A368" s="208" t="str">
        <f>+IF(D368="","",CONCATENATE("GBL 00",Mantenedor!E367))</f>
        <v/>
      </c>
      <c r="B368" s="214"/>
      <c r="C368" s="215"/>
      <c r="D368" s="215"/>
      <c r="E368" s="215"/>
      <c r="F368" s="215"/>
      <c r="G368" s="215"/>
      <c r="H368" s="215"/>
      <c r="I368" s="216"/>
      <c r="J368" s="217"/>
      <c r="K368" s="218"/>
      <c r="L368" s="217" t="str">
        <f t="shared" si="5"/>
        <v/>
      </c>
      <c r="M368" s="240"/>
      <c r="N368" s="225" t="str">
        <f>IF($K368="","",IF($K368=1,CONCATENATE("Base ",$M368," ",$K368," noche"),CONCATENATE("Base ",$M368," ",$K368," noches")))</f>
        <v/>
      </c>
      <c r="O368" s="239" t="str">
        <f>IFERROR((VLOOKUP($N368,Pricing!$D$2:$E$43,2,FALSE)),"")</f>
        <v/>
      </c>
      <c r="P368" s="196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71"/>
      <c r="AB368" s="272"/>
      <c r="AC368" s="272"/>
      <c r="AD368" s="272"/>
      <c r="AE368" s="272"/>
      <c r="AF368" s="272"/>
      <c r="AG368" s="272"/>
      <c r="AH368" s="272"/>
      <c r="AI368" s="267"/>
    </row>
    <row r="369" spans="1:35" x14ac:dyDescent="0.2">
      <c r="A369" s="208" t="str">
        <f>+IF(D369="","",CONCATENATE("GBL 00",Mantenedor!E368))</f>
        <v/>
      </c>
      <c r="B369" s="214"/>
      <c r="C369" s="215"/>
      <c r="D369" s="215"/>
      <c r="E369" s="215"/>
      <c r="F369" s="215"/>
      <c r="G369" s="215"/>
      <c r="H369" s="215"/>
      <c r="I369" s="216"/>
      <c r="J369" s="217"/>
      <c r="K369" s="218"/>
      <c r="L369" s="217" t="str">
        <f t="shared" si="5"/>
        <v/>
      </c>
      <c r="M369" s="240"/>
      <c r="N369" s="225" t="str">
        <f>IF($K369="","",IF($K369=1,CONCATENATE("Base ",$M369," ",$K369," noche"),CONCATENATE("Base ",$M369," ",$K369," noches")))</f>
        <v/>
      </c>
      <c r="O369" s="239" t="str">
        <f>IFERROR((VLOOKUP($N369,Pricing!$D$2:$E$43,2,FALSE)),"")</f>
        <v/>
      </c>
      <c r="P369" s="196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71"/>
      <c r="AB369" s="272"/>
      <c r="AC369" s="272"/>
      <c r="AD369" s="272"/>
      <c r="AE369" s="272"/>
      <c r="AF369" s="272"/>
      <c r="AG369" s="272"/>
      <c r="AH369" s="272"/>
      <c r="AI369" s="267"/>
    </row>
    <row r="370" spans="1:35" x14ac:dyDescent="0.2">
      <c r="A370" s="208" t="str">
        <f>+IF(D370="","",CONCATENATE("GBL 00",Mantenedor!E369))</f>
        <v/>
      </c>
      <c r="B370" s="214"/>
      <c r="C370" s="215"/>
      <c r="D370" s="215"/>
      <c r="E370" s="215"/>
      <c r="F370" s="215"/>
      <c r="G370" s="215"/>
      <c r="H370" s="215"/>
      <c r="I370" s="216"/>
      <c r="J370" s="217"/>
      <c r="K370" s="218"/>
      <c r="L370" s="217" t="str">
        <f t="shared" si="5"/>
        <v/>
      </c>
      <c r="M370" s="240"/>
      <c r="N370" s="225" t="str">
        <f>IF($K370="","",IF($K370=1,CONCATENATE("Base ",$M370," ",$K370," noche"),CONCATENATE("Base ",$M370," ",$K370," noches")))</f>
        <v/>
      </c>
      <c r="O370" s="239" t="str">
        <f>IFERROR((VLOOKUP($N370,Pricing!$D$2:$E$43,2,FALSE)),"")</f>
        <v/>
      </c>
      <c r="P370" s="196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71"/>
      <c r="AB370" s="272"/>
      <c r="AC370" s="272"/>
      <c r="AD370" s="272"/>
      <c r="AE370" s="272"/>
      <c r="AF370" s="272"/>
      <c r="AG370" s="272"/>
      <c r="AH370" s="272"/>
      <c r="AI370" s="267"/>
    </row>
    <row r="371" spans="1:35" x14ac:dyDescent="0.2">
      <c r="A371" s="208" t="str">
        <f>+IF(D371="","",CONCATENATE("GBL 00",Mantenedor!E370))</f>
        <v/>
      </c>
      <c r="B371" s="214"/>
      <c r="C371" s="215"/>
      <c r="D371" s="215"/>
      <c r="E371" s="215"/>
      <c r="F371" s="215"/>
      <c r="G371" s="215"/>
      <c r="H371" s="215"/>
      <c r="I371" s="216"/>
      <c r="J371" s="217"/>
      <c r="K371" s="218"/>
      <c r="L371" s="217" t="str">
        <f t="shared" si="5"/>
        <v/>
      </c>
      <c r="M371" s="240"/>
      <c r="N371" s="225" t="str">
        <f>IF($K371="","",IF($K371=1,CONCATENATE("Base ",$M371," ",$K371," noche"),CONCATENATE("Base ",$M371," ",$K371," noches")))</f>
        <v/>
      </c>
      <c r="O371" s="239" t="str">
        <f>IFERROR((VLOOKUP($N371,Pricing!$D$2:$E$43,2,FALSE)),"")</f>
        <v/>
      </c>
      <c r="P371" s="196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71"/>
      <c r="AB371" s="272"/>
      <c r="AC371" s="272"/>
      <c r="AD371" s="272"/>
      <c r="AE371" s="272"/>
      <c r="AF371" s="272"/>
      <c r="AG371" s="272"/>
      <c r="AH371" s="272"/>
      <c r="AI371" s="267"/>
    </row>
    <row r="372" spans="1:35" x14ac:dyDescent="0.2">
      <c r="A372" s="208" t="str">
        <f>+IF(D372="","",CONCATENATE("GBL 00",Mantenedor!E371))</f>
        <v/>
      </c>
      <c r="B372" s="214"/>
      <c r="C372" s="215"/>
      <c r="D372" s="215"/>
      <c r="E372" s="215"/>
      <c r="F372" s="215"/>
      <c r="G372" s="215"/>
      <c r="H372" s="215"/>
      <c r="I372" s="216"/>
      <c r="J372" s="217"/>
      <c r="K372" s="218"/>
      <c r="L372" s="217" t="str">
        <f t="shared" si="5"/>
        <v/>
      </c>
      <c r="M372" s="240"/>
      <c r="N372" s="225" t="str">
        <f>IF($K372="","",IF($K372=1,CONCATENATE("Base ",$M372," ",$K372," noche"),CONCATENATE("Base ",$M372," ",$K372," noches")))</f>
        <v/>
      </c>
      <c r="O372" s="239" t="str">
        <f>IFERROR((VLOOKUP($N372,Pricing!$D$2:$E$43,2,FALSE)),"")</f>
        <v/>
      </c>
      <c r="P372" s="196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71"/>
      <c r="AB372" s="272"/>
      <c r="AC372" s="272"/>
      <c r="AD372" s="272"/>
      <c r="AE372" s="272"/>
      <c r="AF372" s="272"/>
      <c r="AG372" s="272"/>
      <c r="AH372" s="272"/>
      <c r="AI372" s="267"/>
    </row>
    <row r="373" spans="1:35" x14ac:dyDescent="0.2">
      <c r="A373" s="208" t="str">
        <f>+IF(D373="","",CONCATENATE("GBL 00",Mantenedor!E372))</f>
        <v/>
      </c>
      <c r="B373" s="214"/>
      <c r="C373" s="215"/>
      <c r="D373" s="215"/>
      <c r="E373" s="215"/>
      <c r="F373" s="215"/>
      <c r="G373" s="215"/>
      <c r="H373" s="215"/>
      <c r="I373" s="216"/>
      <c r="J373" s="217"/>
      <c r="K373" s="218"/>
      <c r="L373" s="217" t="str">
        <f t="shared" si="5"/>
        <v/>
      </c>
      <c r="M373" s="240"/>
      <c r="N373" s="225" t="str">
        <f>IF($K373="","",IF($K373=1,CONCATENATE("Base ",$M373," ",$K373," noche"),CONCATENATE("Base ",$M373," ",$K373," noches")))</f>
        <v/>
      </c>
      <c r="O373" s="239" t="str">
        <f>IFERROR((VLOOKUP($N373,Pricing!$D$2:$E$43,2,FALSE)),"")</f>
        <v/>
      </c>
      <c r="P373" s="196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71"/>
      <c r="AB373" s="272"/>
      <c r="AC373" s="272"/>
      <c r="AD373" s="272"/>
      <c r="AE373" s="272"/>
      <c r="AF373" s="272"/>
      <c r="AG373" s="272"/>
      <c r="AH373" s="272"/>
      <c r="AI373" s="267"/>
    </row>
    <row r="374" spans="1:35" x14ac:dyDescent="0.2">
      <c r="A374" s="208" t="str">
        <f>+IF(D374="","",CONCATENATE("GBL 00",Mantenedor!E373))</f>
        <v/>
      </c>
      <c r="B374" s="214"/>
      <c r="C374" s="215"/>
      <c r="D374" s="215"/>
      <c r="E374" s="215"/>
      <c r="F374" s="215"/>
      <c r="G374" s="215"/>
      <c r="H374" s="215"/>
      <c r="I374" s="216"/>
      <c r="J374" s="217"/>
      <c r="K374" s="218"/>
      <c r="L374" s="217" t="str">
        <f t="shared" si="5"/>
        <v/>
      </c>
      <c r="M374" s="240"/>
      <c r="N374" s="225" t="str">
        <f>IF($K374="","",IF($K374=1,CONCATENATE("Base ",$M374," ",$K374," noche"),CONCATENATE("Base ",$M374," ",$K374," noches")))</f>
        <v/>
      </c>
      <c r="O374" s="239" t="str">
        <f>IFERROR((VLOOKUP($N374,Pricing!$D$2:$E$43,2,FALSE)),"")</f>
        <v/>
      </c>
      <c r="P374" s="196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71"/>
      <c r="AB374" s="272"/>
      <c r="AC374" s="272"/>
      <c r="AD374" s="272"/>
      <c r="AE374" s="272"/>
      <c r="AF374" s="272"/>
      <c r="AG374" s="272"/>
      <c r="AH374" s="272"/>
      <c r="AI374" s="267"/>
    </row>
    <row r="375" spans="1:35" x14ac:dyDescent="0.2">
      <c r="A375" s="208" t="str">
        <f>+IF(D375="","",CONCATENATE("GBL 00",Mantenedor!E374))</f>
        <v/>
      </c>
      <c r="B375" s="214"/>
      <c r="C375" s="215"/>
      <c r="D375" s="215"/>
      <c r="E375" s="215"/>
      <c r="F375" s="215"/>
      <c r="G375" s="215"/>
      <c r="H375" s="215"/>
      <c r="I375" s="216"/>
      <c r="J375" s="217"/>
      <c r="K375" s="218"/>
      <c r="L375" s="217" t="str">
        <f t="shared" si="5"/>
        <v/>
      </c>
      <c r="M375" s="240"/>
      <c r="N375" s="225" t="str">
        <f>IF($K375="","",IF($K375=1,CONCATENATE("Base ",$M375," ",$K375," noche"),CONCATENATE("Base ",$M375," ",$K375," noches")))</f>
        <v/>
      </c>
      <c r="O375" s="239" t="str">
        <f>IFERROR((VLOOKUP($N375,Pricing!$D$2:$E$43,2,FALSE)),"")</f>
        <v/>
      </c>
      <c r="P375" s="196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71"/>
      <c r="AB375" s="272"/>
      <c r="AC375" s="272"/>
      <c r="AD375" s="272"/>
      <c r="AE375" s="272"/>
      <c r="AF375" s="272"/>
      <c r="AG375" s="272"/>
      <c r="AH375" s="272"/>
      <c r="AI375" s="267"/>
    </row>
    <row r="376" spans="1:35" x14ac:dyDescent="0.2">
      <c r="A376" s="208" t="str">
        <f>+IF(D376="","",CONCATENATE("GBL 00",Mantenedor!E375))</f>
        <v/>
      </c>
      <c r="B376" s="214"/>
      <c r="C376" s="215"/>
      <c r="D376" s="215"/>
      <c r="E376" s="215"/>
      <c r="F376" s="215"/>
      <c r="G376" s="215"/>
      <c r="H376" s="215"/>
      <c r="I376" s="216"/>
      <c r="J376" s="217"/>
      <c r="K376" s="218"/>
      <c r="L376" s="217" t="str">
        <f t="shared" si="5"/>
        <v/>
      </c>
      <c r="M376" s="240"/>
      <c r="N376" s="225" t="str">
        <f>IF($K376="","",IF($K376=1,CONCATENATE("Base ",$M376," ",$K376," noche"),CONCATENATE("Base ",$M376," ",$K376," noches")))</f>
        <v/>
      </c>
      <c r="O376" s="239" t="str">
        <f>IFERROR((VLOOKUP($N376,Pricing!$D$2:$E$43,2,FALSE)),"")</f>
        <v/>
      </c>
      <c r="P376" s="196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71"/>
      <c r="AB376" s="272"/>
      <c r="AC376" s="272"/>
      <c r="AD376" s="272"/>
      <c r="AE376" s="272"/>
      <c r="AF376" s="272"/>
      <c r="AG376" s="272"/>
      <c r="AH376" s="272"/>
      <c r="AI376" s="267"/>
    </row>
    <row r="377" spans="1:35" x14ac:dyDescent="0.2">
      <c r="A377" s="208" t="str">
        <f>+IF(D377="","",CONCATENATE("GBL 00",Mantenedor!E376))</f>
        <v/>
      </c>
      <c r="B377" s="214"/>
      <c r="C377" s="215"/>
      <c r="D377" s="215"/>
      <c r="E377" s="215"/>
      <c r="F377" s="215"/>
      <c r="G377" s="215"/>
      <c r="H377" s="215"/>
      <c r="I377" s="216"/>
      <c r="J377" s="217"/>
      <c r="K377" s="218"/>
      <c r="L377" s="217" t="str">
        <f t="shared" si="5"/>
        <v/>
      </c>
      <c r="M377" s="240"/>
      <c r="N377" s="225" t="str">
        <f>IF($K377="","",IF($K377=1,CONCATENATE("Base ",$M377," ",$K377," noche"),CONCATENATE("Base ",$M377," ",$K377," noches")))</f>
        <v/>
      </c>
      <c r="O377" s="239" t="str">
        <f>IFERROR((VLOOKUP($N377,Pricing!$D$2:$E$43,2,FALSE)),"")</f>
        <v/>
      </c>
      <c r="P377" s="196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71"/>
      <c r="AB377" s="272"/>
      <c r="AC377" s="272"/>
      <c r="AD377" s="272"/>
      <c r="AE377" s="272"/>
      <c r="AF377" s="272"/>
      <c r="AG377" s="272"/>
      <c r="AH377" s="272"/>
      <c r="AI377" s="267"/>
    </row>
    <row r="378" spans="1:35" x14ac:dyDescent="0.2">
      <c r="A378" s="208" t="str">
        <f>+IF(D378="","",CONCATENATE("GBL 00",Mantenedor!E377))</f>
        <v/>
      </c>
      <c r="B378" s="214"/>
      <c r="C378" s="215"/>
      <c r="D378" s="215"/>
      <c r="E378" s="215"/>
      <c r="F378" s="215"/>
      <c r="G378" s="215"/>
      <c r="H378" s="215"/>
      <c r="I378" s="216"/>
      <c r="J378" s="217"/>
      <c r="K378" s="218"/>
      <c r="L378" s="217" t="str">
        <f t="shared" si="5"/>
        <v/>
      </c>
      <c r="M378" s="240"/>
      <c r="N378" s="225" t="str">
        <f>IF($K378="","",IF($K378=1,CONCATENATE("Base ",$M378," ",$K378," noche"),CONCATENATE("Base ",$M378," ",$K378," noches")))</f>
        <v/>
      </c>
      <c r="O378" s="239" t="str">
        <f>IFERROR((VLOOKUP($N378,Pricing!$D$2:$E$43,2,FALSE)),"")</f>
        <v/>
      </c>
      <c r="P378" s="196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71"/>
      <c r="AB378" s="272"/>
      <c r="AC378" s="272"/>
      <c r="AD378" s="272"/>
      <c r="AE378" s="272"/>
      <c r="AF378" s="272"/>
      <c r="AG378" s="272"/>
      <c r="AH378" s="272"/>
      <c r="AI378" s="267"/>
    </row>
    <row r="379" spans="1:35" x14ac:dyDescent="0.2">
      <c r="A379" s="208" t="str">
        <f>+IF(D379="","",CONCATENATE("GBL 00",Mantenedor!E378))</f>
        <v/>
      </c>
      <c r="B379" s="214"/>
      <c r="C379" s="215"/>
      <c r="D379" s="215"/>
      <c r="E379" s="215"/>
      <c r="F379" s="215"/>
      <c r="G379" s="215"/>
      <c r="H379" s="215"/>
      <c r="I379" s="216"/>
      <c r="J379" s="217"/>
      <c r="K379" s="218"/>
      <c r="L379" s="217" t="str">
        <f t="shared" si="5"/>
        <v/>
      </c>
      <c r="M379" s="240"/>
      <c r="N379" s="225" t="str">
        <f>IF($K379="","",IF($K379=1,CONCATENATE("Base ",$M379," ",$K379," noche"),CONCATENATE("Base ",$M379," ",$K379," noches")))</f>
        <v/>
      </c>
      <c r="O379" s="239" t="str">
        <f>IFERROR((VLOOKUP($N379,Pricing!$D$2:$E$43,2,FALSE)),"")</f>
        <v/>
      </c>
      <c r="P379" s="196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71"/>
      <c r="AB379" s="272"/>
      <c r="AC379" s="272"/>
      <c r="AD379" s="272"/>
      <c r="AE379" s="272"/>
      <c r="AF379" s="272"/>
      <c r="AG379" s="272"/>
      <c r="AH379" s="272"/>
      <c r="AI379" s="267"/>
    </row>
    <row r="380" spans="1:35" x14ac:dyDescent="0.2">
      <c r="A380" s="208" t="str">
        <f>+IF(D380="","",CONCATENATE("GBL 00",Mantenedor!E379))</f>
        <v/>
      </c>
      <c r="B380" s="214"/>
      <c r="C380" s="215"/>
      <c r="D380" s="215"/>
      <c r="E380" s="215"/>
      <c r="F380" s="215"/>
      <c r="G380" s="215"/>
      <c r="H380" s="215"/>
      <c r="I380" s="216"/>
      <c r="J380" s="217"/>
      <c r="K380" s="218"/>
      <c r="L380" s="217" t="str">
        <f t="shared" si="5"/>
        <v/>
      </c>
      <c r="M380" s="240"/>
      <c r="N380" s="225" t="str">
        <f>IF($K380="","",IF($K380=1,CONCATENATE("Base ",$M380," ",$K380," noche"),CONCATENATE("Base ",$M380," ",$K380," noches")))</f>
        <v/>
      </c>
      <c r="O380" s="239" t="str">
        <f>IFERROR((VLOOKUP($N380,Pricing!$D$2:$E$43,2,FALSE)),"")</f>
        <v/>
      </c>
      <c r="P380" s="196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71"/>
      <c r="AB380" s="272"/>
      <c r="AC380" s="272"/>
      <c r="AD380" s="272"/>
      <c r="AE380" s="272"/>
      <c r="AF380" s="272"/>
      <c r="AG380" s="272"/>
      <c r="AH380" s="272"/>
      <c r="AI380" s="267"/>
    </row>
    <row r="381" spans="1:35" x14ac:dyDescent="0.2">
      <c r="A381" s="208" t="str">
        <f>+IF(D381="","",CONCATENATE("GBL 00",Mantenedor!E380))</f>
        <v/>
      </c>
      <c r="B381" s="214"/>
      <c r="C381" s="215"/>
      <c r="D381" s="215"/>
      <c r="E381" s="215"/>
      <c r="F381" s="215"/>
      <c r="G381" s="215"/>
      <c r="H381" s="215"/>
      <c r="I381" s="216"/>
      <c r="J381" s="217"/>
      <c r="K381" s="218"/>
      <c r="L381" s="217" t="str">
        <f t="shared" si="5"/>
        <v/>
      </c>
      <c r="M381" s="240"/>
      <c r="N381" s="225" t="str">
        <f>IF($K381="","",IF($K381=1,CONCATENATE("Base ",$M381," ",$K381," noche"),CONCATENATE("Base ",$M381," ",$K381," noches")))</f>
        <v/>
      </c>
      <c r="O381" s="239" t="str">
        <f>IFERROR((VLOOKUP($N381,Pricing!$D$2:$E$43,2,FALSE)),"")</f>
        <v/>
      </c>
      <c r="P381" s="196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71"/>
      <c r="AB381" s="272"/>
      <c r="AC381" s="272"/>
      <c r="AD381" s="272"/>
      <c r="AE381" s="272"/>
      <c r="AF381" s="272"/>
      <c r="AG381" s="272"/>
      <c r="AH381" s="272"/>
      <c r="AI381" s="267"/>
    </row>
    <row r="382" spans="1:35" x14ac:dyDescent="0.2">
      <c r="A382" s="208" t="str">
        <f>+IF(D382="","",CONCATENATE("GBL 00",Mantenedor!E381))</f>
        <v/>
      </c>
      <c r="B382" s="214"/>
      <c r="C382" s="215"/>
      <c r="D382" s="215"/>
      <c r="E382" s="215"/>
      <c r="F382" s="215"/>
      <c r="G382" s="215"/>
      <c r="H382" s="215"/>
      <c r="I382" s="216"/>
      <c r="J382" s="217"/>
      <c r="K382" s="218"/>
      <c r="L382" s="217" t="str">
        <f t="shared" si="5"/>
        <v/>
      </c>
      <c r="M382" s="240"/>
      <c r="N382" s="225" t="str">
        <f>IF($K382="","",IF($K382=1,CONCATENATE("Base ",$M382," ",$K382," noche"),CONCATENATE("Base ",$M382," ",$K382," noches")))</f>
        <v/>
      </c>
      <c r="O382" s="239" t="str">
        <f>IFERROR((VLOOKUP($N382,Pricing!$D$2:$E$43,2,FALSE)),"")</f>
        <v/>
      </c>
      <c r="P382" s="196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71"/>
      <c r="AB382" s="272"/>
      <c r="AC382" s="272"/>
      <c r="AD382" s="272"/>
      <c r="AE382" s="272"/>
      <c r="AF382" s="272"/>
      <c r="AG382" s="272"/>
      <c r="AH382" s="272"/>
      <c r="AI382" s="267"/>
    </row>
    <row r="383" spans="1:35" x14ac:dyDescent="0.2">
      <c r="A383" s="208" t="str">
        <f>+IF(D383="","",CONCATENATE("GBL 00",Mantenedor!E382))</f>
        <v/>
      </c>
      <c r="B383" s="214"/>
      <c r="C383" s="215"/>
      <c r="D383" s="215"/>
      <c r="E383" s="215"/>
      <c r="F383" s="215"/>
      <c r="G383" s="215"/>
      <c r="H383" s="215"/>
      <c r="I383" s="216"/>
      <c r="J383" s="217"/>
      <c r="K383" s="218"/>
      <c r="L383" s="217" t="str">
        <f t="shared" si="5"/>
        <v/>
      </c>
      <c r="M383" s="240"/>
      <c r="N383" s="225" t="str">
        <f>IF($K383="","",IF($K383=1,CONCATENATE("Base ",$M383," ",$K383," noche"),CONCATENATE("Base ",$M383," ",$K383," noches")))</f>
        <v/>
      </c>
      <c r="O383" s="239" t="str">
        <f>IFERROR((VLOOKUP($N383,Pricing!$D$2:$E$43,2,FALSE)),"")</f>
        <v/>
      </c>
      <c r="P383" s="196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71"/>
      <c r="AB383" s="272"/>
      <c r="AC383" s="272"/>
      <c r="AD383" s="272"/>
      <c r="AE383" s="272"/>
      <c r="AF383" s="272"/>
      <c r="AG383" s="272"/>
      <c r="AH383" s="272"/>
      <c r="AI383" s="267"/>
    </row>
    <row r="384" spans="1:35" x14ac:dyDescent="0.2">
      <c r="A384" s="208" t="str">
        <f>+IF(D384="","",CONCATENATE("GBL 00",Mantenedor!E383))</f>
        <v/>
      </c>
      <c r="B384" s="214"/>
      <c r="C384" s="215"/>
      <c r="D384" s="215"/>
      <c r="E384" s="215"/>
      <c r="F384" s="215"/>
      <c r="G384" s="215"/>
      <c r="H384" s="215"/>
      <c r="I384" s="216"/>
      <c r="J384" s="217"/>
      <c r="K384" s="218"/>
      <c r="L384" s="217" t="str">
        <f t="shared" si="5"/>
        <v/>
      </c>
      <c r="M384" s="240"/>
      <c r="N384" s="225" t="str">
        <f>IF($K384="","",IF($K384=1,CONCATENATE("Base ",$M384," ",$K384," noche"),CONCATENATE("Base ",$M384," ",$K384," noches")))</f>
        <v/>
      </c>
      <c r="O384" s="239" t="str">
        <f>IFERROR((VLOOKUP($N384,Pricing!$D$2:$E$43,2,FALSE)),"")</f>
        <v/>
      </c>
      <c r="P384" s="196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71"/>
      <c r="AB384" s="272"/>
      <c r="AC384" s="272"/>
      <c r="AD384" s="272"/>
      <c r="AE384" s="272"/>
      <c r="AF384" s="272"/>
      <c r="AG384" s="272"/>
      <c r="AH384" s="272"/>
      <c r="AI384" s="267"/>
    </row>
    <row r="385" spans="1:35" x14ac:dyDescent="0.2">
      <c r="A385" s="208" t="str">
        <f>+IF(D385="","",CONCATENATE("GBL 00",Mantenedor!E384))</f>
        <v/>
      </c>
      <c r="B385" s="214"/>
      <c r="C385" s="215"/>
      <c r="D385" s="215"/>
      <c r="E385" s="215"/>
      <c r="F385" s="215"/>
      <c r="G385" s="215"/>
      <c r="H385" s="215"/>
      <c r="I385" s="216"/>
      <c r="J385" s="217"/>
      <c r="K385" s="218"/>
      <c r="L385" s="217" t="str">
        <f t="shared" si="5"/>
        <v/>
      </c>
      <c r="M385" s="240"/>
      <c r="N385" s="225" t="str">
        <f>IF($K385="","",IF($K385=1,CONCATENATE("Base ",$M385," ",$K385," noche"),CONCATENATE("Base ",$M385," ",$K385," noches")))</f>
        <v/>
      </c>
      <c r="O385" s="239" t="str">
        <f>IFERROR((VLOOKUP($N385,Pricing!$D$2:$E$43,2,FALSE)),"")</f>
        <v/>
      </c>
      <c r="P385" s="196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71"/>
      <c r="AB385" s="272"/>
      <c r="AC385" s="272"/>
      <c r="AD385" s="272"/>
      <c r="AE385" s="272"/>
      <c r="AF385" s="272"/>
      <c r="AG385" s="272"/>
      <c r="AH385" s="272"/>
      <c r="AI385" s="267"/>
    </row>
    <row r="386" spans="1:35" x14ac:dyDescent="0.2">
      <c r="A386" s="208" t="str">
        <f>+IF(D386="","",CONCATENATE("GBL 00",Mantenedor!E385))</f>
        <v/>
      </c>
      <c r="B386" s="214"/>
      <c r="C386" s="215"/>
      <c r="D386" s="215"/>
      <c r="E386" s="215"/>
      <c r="F386" s="215"/>
      <c r="G386" s="215"/>
      <c r="H386" s="215"/>
      <c r="I386" s="216"/>
      <c r="J386" s="217"/>
      <c r="K386" s="218"/>
      <c r="L386" s="217" t="str">
        <f t="shared" si="5"/>
        <v/>
      </c>
      <c r="M386" s="240"/>
      <c r="N386" s="225" t="str">
        <f>IF($K386="","",IF($K386=1,CONCATENATE("Base ",$M386," ",$K386," noche"),CONCATENATE("Base ",$M386," ",$K386," noches")))</f>
        <v/>
      </c>
      <c r="O386" s="239" t="str">
        <f>IFERROR((VLOOKUP($N386,Pricing!$D$2:$E$43,2,FALSE)),"")</f>
        <v/>
      </c>
      <c r="P386" s="196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71"/>
      <c r="AB386" s="272"/>
      <c r="AC386" s="272"/>
      <c r="AD386" s="272"/>
      <c r="AE386" s="272"/>
      <c r="AF386" s="272"/>
      <c r="AG386" s="272"/>
      <c r="AH386" s="272"/>
      <c r="AI386" s="267"/>
    </row>
    <row r="387" spans="1:35" x14ac:dyDescent="0.2">
      <c r="A387" s="208" t="str">
        <f>+IF(D387="","",CONCATENATE("GBL 00",Mantenedor!E386))</f>
        <v/>
      </c>
      <c r="B387" s="214"/>
      <c r="C387" s="215"/>
      <c r="D387" s="215"/>
      <c r="E387" s="215"/>
      <c r="F387" s="215"/>
      <c r="G387" s="215"/>
      <c r="H387" s="215"/>
      <c r="I387" s="216"/>
      <c r="J387" s="217"/>
      <c r="K387" s="218"/>
      <c r="L387" s="217" t="str">
        <f t="shared" si="5"/>
        <v/>
      </c>
      <c r="M387" s="240"/>
      <c r="N387" s="225" t="str">
        <f>IF($K387="","",IF($K387=1,CONCATENATE("Base ",$M387," ",$K387," noche"),CONCATENATE("Base ",$M387," ",$K387," noches")))</f>
        <v/>
      </c>
      <c r="O387" s="239" t="str">
        <f>IFERROR((VLOOKUP($N387,Pricing!$D$2:$E$43,2,FALSE)),"")</f>
        <v/>
      </c>
      <c r="P387" s="196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71"/>
      <c r="AB387" s="272"/>
      <c r="AC387" s="272"/>
      <c r="AD387" s="272"/>
      <c r="AE387" s="272"/>
      <c r="AF387" s="272"/>
      <c r="AG387" s="272"/>
      <c r="AH387" s="272"/>
      <c r="AI387" s="267"/>
    </row>
    <row r="388" spans="1:35" x14ac:dyDescent="0.2">
      <c r="A388" s="208" t="str">
        <f>+IF(D388="","",CONCATENATE("GBL 00",Mantenedor!E387))</f>
        <v/>
      </c>
      <c r="B388" s="214"/>
      <c r="C388" s="215"/>
      <c r="D388" s="215"/>
      <c r="E388" s="215"/>
      <c r="F388" s="215"/>
      <c r="G388" s="215"/>
      <c r="H388" s="215"/>
      <c r="I388" s="216"/>
      <c r="J388" s="217"/>
      <c r="K388" s="218"/>
      <c r="L388" s="217" t="str">
        <f t="shared" ref="L388:L451" si="6">IF(K388="","",(J388+K388))</f>
        <v/>
      </c>
      <c r="M388" s="240"/>
      <c r="N388" s="225" t="str">
        <f>IF($K388="","",IF($K388=1,CONCATENATE("Base ",$M388," ",$K388," noche"),CONCATENATE("Base ",$M388," ",$K388," noches")))</f>
        <v/>
      </c>
      <c r="O388" s="239" t="str">
        <f>IFERROR((VLOOKUP($N388,Pricing!$D$2:$E$43,2,FALSE)),"")</f>
        <v/>
      </c>
      <c r="P388" s="196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71"/>
      <c r="AB388" s="272"/>
      <c r="AC388" s="272"/>
      <c r="AD388" s="272"/>
      <c r="AE388" s="272"/>
      <c r="AF388" s="272"/>
      <c r="AG388" s="272"/>
      <c r="AH388" s="272"/>
      <c r="AI388" s="267"/>
    </row>
    <row r="389" spans="1:35" x14ac:dyDescent="0.2">
      <c r="A389" s="208" t="str">
        <f>+IF(D389="","",CONCATENATE("GBL 00",Mantenedor!E388))</f>
        <v/>
      </c>
      <c r="B389" s="214"/>
      <c r="C389" s="215"/>
      <c r="D389" s="215"/>
      <c r="E389" s="215"/>
      <c r="F389" s="215"/>
      <c r="G389" s="215"/>
      <c r="H389" s="215"/>
      <c r="I389" s="216"/>
      <c r="J389" s="217"/>
      <c r="K389" s="218"/>
      <c r="L389" s="217" t="str">
        <f t="shared" si="6"/>
        <v/>
      </c>
      <c r="M389" s="240"/>
      <c r="N389" s="225" t="str">
        <f>IF($K389="","",IF($K389=1,CONCATENATE("Base ",$M389," ",$K389," noche"),CONCATENATE("Base ",$M389," ",$K389," noches")))</f>
        <v/>
      </c>
      <c r="O389" s="239" t="str">
        <f>IFERROR((VLOOKUP($N389,Pricing!$D$2:$E$43,2,FALSE)),"")</f>
        <v/>
      </c>
      <c r="P389" s="196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71"/>
      <c r="AB389" s="272"/>
      <c r="AC389" s="272"/>
      <c r="AD389" s="272"/>
      <c r="AE389" s="272"/>
      <c r="AF389" s="272"/>
      <c r="AG389" s="272"/>
      <c r="AH389" s="272"/>
      <c r="AI389" s="267"/>
    </row>
    <row r="390" spans="1:35" x14ac:dyDescent="0.2">
      <c r="A390" s="208" t="str">
        <f>+IF(D390="","",CONCATENATE("GBL 00",Mantenedor!E389))</f>
        <v/>
      </c>
      <c r="B390" s="214"/>
      <c r="C390" s="215"/>
      <c r="D390" s="215"/>
      <c r="E390" s="215"/>
      <c r="F390" s="215"/>
      <c r="G390" s="215"/>
      <c r="H390" s="215"/>
      <c r="I390" s="216"/>
      <c r="J390" s="217"/>
      <c r="K390" s="218"/>
      <c r="L390" s="217" t="str">
        <f t="shared" si="6"/>
        <v/>
      </c>
      <c r="M390" s="240"/>
      <c r="N390" s="225" t="str">
        <f>IF($K390="","",IF($K390=1,CONCATENATE("Base ",$M390," ",$K390," noche"),CONCATENATE("Base ",$M390," ",$K390," noches")))</f>
        <v/>
      </c>
      <c r="O390" s="239" t="str">
        <f>IFERROR((VLOOKUP($N390,Pricing!$D$2:$E$43,2,FALSE)),"")</f>
        <v/>
      </c>
      <c r="P390" s="196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71"/>
      <c r="AB390" s="272"/>
      <c r="AC390" s="272"/>
      <c r="AD390" s="272"/>
      <c r="AE390" s="272"/>
      <c r="AF390" s="272"/>
      <c r="AG390" s="272"/>
      <c r="AH390" s="272"/>
      <c r="AI390" s="267"/>
    </row>
    <row r="391" spans="1:35" x14ac:dyDescent="0.2">
      <c r="A391" s="208" t="str">
        <f>+IF(D391="","",CONCATENATE("GBL 00",Mantenedor!E390))</f>
        <v/>
      </c>
      <c r="B391" s="214"/>
      <c r="C391" s="215"/>
      <c r="D391" s="215"/>
      <c r="E391" s="215"/>
      <c r="F391" s="215"/>
      <c r="G391" s="215"/>
      <c r="H391" s="215"/>
      <c r="I391" s="216"/>
      <c r="J391" s="217"/>
      <c r="K391" s="218"/>
      <c r="L391" s="217" t="str">
        <f t="shared" si="6"/>
        <v/>
      </c>
      <c r="M391" s="240"/>
      <c r="N391" s="225" t="str">
        <f>IF($K391="","",IF($K391=1,CONCATENATE("Base ",$M391," ",$K391," noche"),CONCATENATE("Base ",$M391," ",$K391," noches")))</f>
        <v/>
      </c>
      <c r="O391" s="239" t="str">
        <f>IFERROR((VLOOKUP($N391,Pricing!$D$2:$E$43,2,FALSE)),"")</f>
        <v/>
      </c>
      <c r="P391" s="196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71"/>
      <c r="AB391" s="272"/>
      <c r="AC391" s="272"/>
      <c r="AD391" s="272"/>
      <c r="AE391" s="272"/>
      <c r="AF391" s="272"/>
      <c r="AG391" s="272"/>
      <c r="AH391" s="272"/>
      <c r="AI391" s="267"/>
    </row>
    <row r="392" spans="1:35" x14ac:dyDescent="0.2">
      <c r="A392" s="208" t="str">
        <f>+IF(D392="","",CONCATENATE("GBL 00",Mantenedor!E391))</f>
        <v/>
      </c>
      <c r="B392" s="214"/>
      <c r="C392" s="215"/>
      <c r="D392" s="215"/>
      <c r="E392" s="215"/>
      <c r="F392" s="215"/>
      <c r="G392" s="215"/>
      <c r="H392" s="215"/>
      <c r="I392" s="216"/>
      <c r="J392" s="217"/>
      <c r="K392" s="218"/>
      <c r="L392" s="217" t="str">
        <f t="shared" si="6"/>
        <v/>
      </c>
      <c r="M392" s="240"/>
      <c r="N392" s="225" t="str">
        <f>IF($K392="","",IF($K392=1,CONCATENATE("Base ",$M392," ",$K392," noche"),CONCATENATE("Base ",$M392," ",$K392," noches")))</f>
        <v/>
      </c>
      <c r="O392" s="239" t="str">
        <f>IFERROR((VLOOKUP($N392,Pricing!$D$2:$E$43,2,FALSE)),"")</f>
        <v/>
      </c>
      <c r="P392" s="196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71"/>
      <c r="AB392" s="272"/>
      <c r="AC392" s="272"/>
      <c r="AD392" s="272"/>
      <c r="AE392" s="272"/>
      <c r="AF392" s="272"/>
      <c r="AG392" s="272"/>
      <c r="AH392" s="272"/>
      <c r="AI392" s="267"/>
    </row>
    <row r="393" spans="1:35" x14ac:dyDescent="0.2">
      <c r="A393" s="208" t="str">
        <f>+IF(D393="","",CONCATENATE("GBL 00",Mantenedor!E392))</f>
        <v/>
      </c>
      <c r="B393" s="214"/>
      <c r="C393" s="215"/>
      <c r="D393" s="215"/>
      <c r="E393" s="215"/>
      <c r="F393" s="215"/>
      <c r="G393" s="215"/>
      <c r="H393" s="215"/>
      <c r="I393" s="216"/>
      <c r="J393" s="217"/>
      <c r="K393" s="218"/>
      <c r="L393" s="217" t="str">
        <f t="shared" si="6"/>
        <v/>
      </c>
      <c r="M393" s="240"/>
      <c r="N393" s="225" t="str">
        <f>IF($K393="","",IF($K393=1,CONCATENATE("Base ",$M393," ",$K393," noche"),CONCATENATE("Base ",$M393," ",$K393," noches")))</f>
        <v/>
      </c>
      <c r="O393" s="239" t="str">
        <f>IFERROR((VLOOKUP($N393,Pricing!$D$2:$E$43,2,FALSE)),"")</f>
        <v/>
      </c>
      <c r="P393" s="196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71"/>
      <c r="AB393" s="272"/>
      <c r="AC393" s="272"/>
      <c r="AD393" s="272"/>
      <c r="AE393" s="272"/>
      <c r="AF393" s="272"/>
      <c r="AG393" s="272"/>
      <c r="AH393" s="272"/>
      <c r="AI393" s="267"/>
    </row>
    <row r="394" spans="1:35" x14ac:dyDescent="0.2">
      <c r="A394" s="208" t="str">
        <f>+IF(D394="","",CONCATENATE("GBL 00",Mantenedor!E393))</f>
        <v/>
      </c>
      <c r="B394" s="214"/>
      <c r="C394" s="215"/>
      <c r="D394" s="215"/>
      <c r="E394" s="215"/>
      <c r="F394" s="215"/>
      <c r="G394" s="215"/>
      <c r="H394" s="215"/>
      <c r="I394" s="216"/>
      <c r="J394" s="217"/>
      <c r="K394" s="218"/>
      <c r="L394" s="217" t="str">
        <f t="shared" si="6"/>
        <v/>
      </c>
      <c r="M394" s="240"/>
      <c r="N394" s="225" t="str">
        <f>IF($K394="","",IF($K394=1,CONCATENATE("Base ",$M394," ",$K394," noche"),CONCATENATE("Base ",$M394," ",$K394," noches")))</f>
        <v/>
      </c>
      <c r="O394" s="239" t="str">
        <f>IFERROR((VLOOKUP($N394,Pricing!$D$2:$E$43,2,FALSE)),"")</f>
        <v/>
      </c>
      <c r="P394" s="196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71"/>
      <c r="AB394" s="272"/>
      <c r="AC394" s="272"/>
      <c r="AD394" s="272"/>
      <c r="AE394" s="272"/>
      <c r="AF394" s="272"/>
      <c r="AG394" s="272"/>
      <c r="AH394" s="272"/>
      <c r="AI394" s="267"/>
    </row>
    <row r="395" spans="1:35" x14ac:dyDescent="0.2">
      <c r="A395" s="208" t="str">
        <f>+IF(D395="","",CONCATENATE("GBL 00",Mantenedor!E394))</f>
        <v/>
      </c>
      <c r="B395" s="214"/>
      <c r="C395" s="215"/>
      <c r="D395" s="215"/>
      <c r="E395" s="215"/>
      <c r="F395" s="215"/>
      <c r="G395" s="215"/>
      <c r="H395" s="215"/>
      <c r="I395" s="216"/>
      <c r="J395" s="217"/>
      <c r="K395" s="218"/>
      <c r="L395" s="217" t="str">
        <f t="shared" si="6"/>
        <v/>
      </c>
      <c r="M395" s="240"/>
      <c r="N395" s="225" t="str">
        <f>IF($K395="","",IF($K395=1,CONCATENATE("Base ",$M395," ",$K395," noche"),CONCATENATE("Base ",$M395," ",$K395," noches")))</f>
        <v/>
      </c>
      <c r="O395" s="239" t="str">
        <f>IFERROR((VLOOKUP($N395,Pricing!$D$2:$E$43,2,FALSE)),"")</f>
        <v/>
      </c>
      <c r="P395" s="196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71"/>
      <c r="AB395" s="272"/>
      <c r="AC395" s="272"/>
      <c r="AD395" s="272"/>
      <c r="AE395" s="272"/>
      <c r="AF395" s="272"/>
      <c r="AG395" s="272"/>
      <c r="AH395" s="272"/>
      <c r="AI395" s="267"/>
    </row>
    <row r="396" spans="1:35" x14ac:dyDescent="0.2">
      <c r="A396" s="208" t="str">
        <f>+IF(D396="","",CONCATENATE("GBL 00",Mantenedor!E395))</f>
        <v/>
      </c>
      <c r="B396" s="214"/>
      <c r="C396" s="215"/>
      <c r="D396" s="215"/>
      <c r="E396" s="215"/>
      <c r="F396" s="215"/>
      <c r="G396" s="215"/>
      <c r="H396" s="215"/>
      <c r="I396" s="216"/>
      <c r="J396" s="217"/>
      <c r="K396" s="218"/>
      <c r="L396" s="217" t="str">
        <f t="shared" si="6"/>
        <v/>
      </c>
      <c r="M396" s="240"/>
      <c r="N396" s="225" t="str">
        <f>IF($K396="","",IF($K396=1,CONCATENATE("Base ",$M396," ",$K396," noche"),CONCATENATE("Base ",$M396," ",$K396," noches")))</f>
        <v/>
      </c>
      <c r="O396" s="239" t="str">
        <f>IFERROR((VLOOKUP($N396,Pricing!$D$2:$E$43,2,FALSE)),"")</f>
        <v/>
      </c>
      <c r="P396" s="196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71"/>
      <c r="AB396" s="272"/>
      <c r="AC396" s="272"/>
      <c r="AD396" s="272"/>
      <c r="AE396" s="272"/>
      <c r="AF396" s="272"/>
      <c r="AG396" s="272"/>
      <c r="AH396" s="272"/>
      <c r="AI396" s="267"/>
    </row>
    <row r="397" spans="1:35" x14ac:dyDescent="0.2">
      <c r="A397" s="208" t="str">
        <f>+IF(D397="","",CONCATENATE("GBL 00",Mantenedor!E396))</f>
        <v/>
      </c>
      <c r="B397" s="214"/>
      <c r="C397" s="215"/>
      <c r="D397" s="215"/>
      <c r="E397" s="215"/>
      <c r="F397" s="215"/>
      <c r="G397" s="215"/>
      <c r="H397" s="215"/>
      <c r="I397" s="216"/>
      <c r="J397" s="217"/>
      <c r="K397" s="218"/>
      <c r="L397" s="217" t="str">
        <f t="shared" si="6"/>
        <v/>
      </c>
      <c r="M397" s="240"/>
      <c r="N397" s="225" t="str">
        <f>IF($K397="","",IF($K397=1,CONCATENATE("Base ",$M397," ",$K397," noche"),CONCATENATE("Base ",$M397," ",$K397," noches")))</f>
        <v/>
      </c>
      <c r="O397" s="239" t="str">
        <f>IFERROR((VLOOKUP($N397,Pricing!$D$2:$E$43,2,FALSE)),"")</f>
        <v/>
      </c>
      <c r="P397" s="196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71"/>
      <c r="AB397" s="272"/>
      <c r="AC397" s="272"/>
      <c r="AD397" s="272"/>
      <c r="AE397" s="272"/>
      <c r="AF397" s="272"/>
      <c r="AG397" s="272"/>
      <c r="AH397" s="272"/>
      <c r="AI397" s="267"/>
    </row>
    <row r="398" spans="1:35" x14ac:dyDescent="0.2">
      <c r="A398" s="208" t="str">
        <f>+IF(D398="","",CONCATENATE("GBL 00",Mantenedor!E397))</f>
        <v/>
      </c>
      <c r="B398" s="214"/>
      <c r="C398" s="215"/>
      <c r="D398" s="215"/>
      <c r="E398" s="215"/>
      <c r="F398" s="215"/>
      <c r="G398" s="215"/>
      <c r="H398" s="215"/>
      <c r="I398" s="216"/>
      <c r="J398" s="217"/>
      <c r="K398" s="218"/>
      <c r="L398" s="217" t="str">
        <f t="shared" si="6"/>
        <v/>
      </c>
      <c r="M398" s="240"/>
      <c r="N398" s="225" t="str">
        <f>IF($K398="","",IF($K398=1,CONCATENATE("Base ",$M398," ",$K398," noche"),CONCATENATE("Base ",$M398," ",$K398," noches")))</f>
        <v/>
      </c>
      <c r="O398" s="239" t="str">
        <f>IFERROR((VLOOKUP($N398,Pricing!$D$2:$E$43,2,FALSE)),"")</f>
        <v/>
      </c>
      <c r="P398" s="196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71"/>
      <c r="AB398" s="272"/>
      <c r="AC398" s="272"/>
      <c r="AD398" s="272"/>
      <c r="AE398" s="272"/>
      <c r="AF398" s="272"/>
      <c r="AG398" s="272"/>
      <c r="AH398" s="272"/>
      <c r="AI398" s="267"/>
    </row>
    <row r="399" spans="1:35" x14ac:dyDescent="0.2">
      <c r="A399" s="208" t="str">
        <f>+IF(D399="","",CONCATENATE("GBL 00",Mantenedor!E398))</f>
        <v/>
      </c>
      <c r="B399" s="214"/>
      <c r="C399" s="215"/>
      <c r="D399" s="215"/>
      <c r="E399" s="215"/>
      <c r="F399" s="215"/>
      <c r="G399" s="215"/>
      <c r="H399" s="215"/>
      <c r="I399" s="216"/>
      <c r="J399" s="217"/>
      <c r="K399" s="218"/>
      <c r="L399" s="217" t="str">
        <f t="shared" si="6"/>
        <v/>
      </c>
      <c r="M399" s="240"/>
      <c r="N399" s="225" t="str">
        <f>IF($K399="","",IF($K399=1,CONCATENATE("Base ",$M399," ",$K399," noche"),CONCATENATE("Base ",$M399," ",$K399," noches")))</f>
        <v/>
      </c>
      <c r="O399" s="239" t="str">
        <f>IFERROR((VLOOKUP($N399,Pricing!$D$2:$E$43,2,FALSE)),"")</f>
        <v/>
      </c>
      <c r="P399" s="196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71"/>
      <c r="AB399" s="272"/>
      <c r="AC399" s="272"/>
      <c r="AD399" s="272"/>
      <c r="AE399" s="272"/>
      <c r="AF399" s="272"/>
      <c r="AG399" s="272"/>
      <c r="AH399" s="272"/>
      <c r="AI399" s="267"/>
    </row>
    <row r="400" spans="1:35" x14ac:dyDescent="0.2">
      <c r="A400" s="208" t="str">
        <f>+IF(D400="","",CONCATENATE("GBL 00",Mantenedor!E399))</f>
        <v/>
      </c>
      <c r="B400" s="214"/>
      <c r="C400" s="215"/>
      <c r="D400" s="215"/>
      <c r="E400" s="215"/>
      <c r="F400" s="215"/>
      <c r="G400" s="215"/>
      <c r="H400" s="215"/>
      <c r="I400" s="216"/>
      <c r="J400" s="217"/>
      <c r="K400" s="218"/>
      <c r="L400" s="217" t="str">
        <f t="shared" si="6"/>
        <v/>
      </c>
      <c r="M400" s="240"/>
      <c r="N400" s="225" t="str">
        <f>IF($K400="","",IF($K400=1,CONCATENATE("Base ",$M400," ",$K400," noche"),CONCATENATE("Base ",$M400," ",$K400," noches")))</f>
        <v/>
      </c>
      <c r="O400" s="239" t="str">
        <f>IFERROR((VLOOKUP($N400,Pricing!$D$2:$E$43,2,FALSE)),"")</f>
        <v/>
      </c>
      <c r="P400" s="196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71"/>
      <c r="AB400" s="272"/>
      <c r="AC400" s="272"/>
      <c r="AD400" s="272"/>
      <c r="AE400" s="272"/>
      <c r="AF400" s="272"/>
      <c r="AG400" s="272"/>
      <c r="AH400" s="272"/>
      <c r="AI400" s="267"/>
    </row>
    <row r="401" spans="1:35" x14ac:dyDescent="0.2">
      <c r="A401" s="208" t="str">
        <f>+IF(D401="","",CONCATENATE("GBL 00",Mantenedor!E400))</f>
        <v/>
      </c>
      <c r="B401" s="214"/>
      <c r="C401" s="215"/>
      <c r="D401" s="215"/>
      <c r="E401" s="215"/>
      <c r="F401" s="215"/>
      <c r="G401" s="215"/>
      <c r="H401" s="215"/>
      <c r="I401" s="216"/>
      <c r="J401" s="217"/>
      <c r="K401" s="218"/>
      <c r="L401" s="217" t="str">
        <f t="shared" si="6"/>
        <v/>
      </c>
      <c r="M401" s="240"/>
      <c r="N401" s="225" t="str">
        <f>IF($K401="","",IF($K401=1,CONCATENATE("Base ",$M401," ",$K401," noche"),CONCATENATE("Base ",$M401," ",$K401," noches")))</f>
        <v/>
      </c>
      <c r="O401" s="239" t="str">
        <f>IFERROR((VLOOKUP($N401,Pricing!$D$2:$E$43,2,FALSE)),"")</f>
        <v/>
      </c>
      <c r="P401" s="196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71"/>
      <c r="AB401" s="272"/>
      <c r="AC401" s="272"/>
      <c r="AD401" s="272"/>
      <c r="AE401" s="272"/>
      <c r="AF401" s="272"/>
      <c r="AG401" s="272"/>
      <c r="AH401" s="272"/>
      <c r="AI401" s="267"/>
    </row>
    <row r="402" spans="1:35" x14ac:dyDescent="0.2">
      <c r="A402" s="208" t="str">
        <f>+IF(D402="","",CONCATENATE("GBL 00",Mantenedor!E401))</f>
        <v/>
      </c>
      <c r="B402" s="214"/>
      <c r="C402" s="215"/>
      <c r="D402" s="215"/>
      <c r="E402" s="215"/>
      <c r="F402" s="215"/>
      <c r="G402" s="215"/>
      <c r="H402" s="215"/>
      <c r="I402" s="216"/>
      <c r="J402" s="217"/>
      <c r="K402" s="218"/>
      <c r="L402" s="217" t="str">
        <f t="shared" si="6"/>
        <v/>
      </c>
      <c r="M402" s="240"/>
      <c r="N402" s="225" t="str">
        <f>IF($K402="","",IF($K402=1,CONCATENATE("Base ",$M402," ",$K402," noche"),CONCATENATE("Base ",$M402," ",$K402," noches")))</f>
        <v/>
      </c>
      <c r="O402" s="239" t="str">
        <f>IFERROR((VLOOKUP($N402,Pricing!$D$2:$E$43,2,FALSE)),"")</f>
        <v/>
      </c>
      <c r="P402" s="196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71"/>
      <c r="AB402" s="272"/>
      <c r="AC402" s="272"/>
      <c r="AD402" s="272"/>
      <c r="AE402" s="272"/>
      <c r="AF402" s="272"/>
      <c r="AG402" s="272"/>
      <c r="AH402" s="272"/>
      <c r="AI402" s="267"/>
    </row>
    <row r="403" spans="1:35" x14ac:dyDescent="0.2">
      <c r="A403" s="208" t="str">
        <f>+IF(D403="","",CONCATENATE("GBL 00",Mantenedor!E402))</f>
        <v/>
      </c>
      <c r="B403" s="214"/>
      <c r="C403" s="215"/>
      <c r="D403" s="215"/>
      <c r="E403" s="215"/>
      <c r="F403" s="215"/>
      <c r="G403" s="215"/>
      <c r="H403" s="215"/>
      <c r="I403" s="216"/>
      <c r="J403" s="217"/>
      <c r="K403" s="218"/>
      <c r="L403" s="217" t="str">
        <f t="shared" si="6"/>
        <v/>
      </c>
      <c r="M403" s="240"/>
      <c r="N403" s="225" t="str">
        <f>IF($K403="","",IF($K403=1,CONCATENATE("Base ",$M403," ",$K403," noche"),CONCATENATE("Base ",$M403," ",$K403," noches")))</f>
        <v/>
      </c>
      <c r="O403" s="239" t="str">
        <f>IFERROR((VLOOKUP($N403,Pricing!$D$2:$E$43,2,FALSE)),"")</f>
        <v/>
      </c>
      <c r="P403" s="196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71"/>
      <c r="AB403" s="272"/>
      <c r="AC403" s="272"/>
      <c r="AD403" s="272"/>
      <c r="AE403" s="272"/>
      <c r="AF403" s="272"/>
      <c r="AG403" s="272"/>
      <c r="AH403" s="272"/>
      <c r="AI403" s="267"/>
    </row>
    <row r="404" spans="1:35" x14ac:dyDescent="0.2">
      <c r="A404" s="208" t="str">
        <f>+IF(D404="","",CONCATENATE("GBL 00",Mantenedor!E403))</f>
        <v/>
      </c>
      <c r="B404" s="214"/>
      <c r="C404" s="215"/>
      <c r="D404" s="215"/>
      <c r="E404" s="215"/>
      <c r="F404" s="215"/>
      <c r="G404" s="215"/>
      <c r="H404" s="215"/>
      <c r="I404" s="216"/>
      <c r="J404" s="217"/>
      <c r="K404" s="218"/>
      <c r="L404" s="217" t="str">
        <f t="shared" si="6"/>
        <v/>
      </c>
      <c r="M404" s="240"/>
      <c r="N404" s="225" t="str">
        <f>IF($K404="","",IF($K404=1,CONCATENATE("Base ",$M404," ",$K404," noche"),CONCATENATE("Base ",$M404," ",$K404," noches")))</f>
        <v/>
      </c>
      <c r="O404" s="239" t="str">
        <f>IFERROR((VLOOKUP($N404,Pricing!$D$2:$E$43,2,FALSE)),"")</f>
        <v/>
      </c>
      <c r="P404" s="196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71"/>
      <c r="AB404" s="272"/>
      <c r="AC404" s="272"/>
      <c r="AD404" s="272"/>
      <c r="AE404" s="272"/>
      <c r="AF404" s="272"/>
      <c r="AG404" s="272"/>
      <c r="AH404" s="272"/>
      <c r="AI404" s="267"/>
    </row>
    <row r="405" spans="1:35" x14ac:dyDescent="0.2">
      <c r="A405" s="208" t="str">
        <f>+IF(D405="","",CONCATENATE("GBL 00",Mantenedor!E404))</f>
        <v/>
      </c>
      <c r="B405" s="214"/>
      <c r="C405" s="215"/>
      <c r="D405" s="215"/>
      <c r="E405" s="215"/>
      <c r="F405" s="215"/>
      <c r="G405" s="215"/>
      <c r="H405" s="215"/>
      <c r="I405" s="216"/>
      <c r="J405" s="217"/>
      <c r="K405" s="218"/>
      <c r="L405" s="217" t="str">
        <f t="shared" si="6"/>
        <v/>
      </c>
      <c r="M405" s="240"/>
      <c r="N405" s="225" t="str">
        <f>IF($K405="","",IF($K405=1,CONCATENATE("Base ",$M405," ",$K405," noche"),CONCATENATE("Base ",$M405," ",$K405," noches")))</f>
        <v/>
      </c>
      <c r="O405" s="239" t="str">
        <f>IFERROR((VLOOKUP($N405,Pricing!$D$2:$E$43,2,FALSE)),"")</f>
        <v/>
      </c>
      <c r="P405" s="196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71"/>
      <c r="AB405" s="272"/>
      <c r="AC405" s="272"/>
      <c r="AD405" s="272"/>
      <c r="AE405" s="272"/>
      <c r="AF405" s="272"/>
      <c r="AG405" s="272"/>
      <c r="AH405" s="272"/>
      <c r="AI405" s="267"/>
    </row>
    <row r="406" spans="1:35" x14ac:dyDescent="0.2">
      <c r="A406" s="208" t="str">
        <f>+IF(D406="","",CONCATENATE("GBL 00",Mantenedor!E405))</f>
        <v/>
      </c>
      <c r="B406" s="214"/>
      <c r="C406" s="215"/>
      <c r="D406" s="215"/>
      <c r="E406" s="215"/>
      <c r="F406" s="215"/>
      <c r="G406" s="215"/>
      <c r="H406" s="215"/>
      <c r="I406" s="216"/>
      <c r="J406" s="217"/>
      <c r="K406" s="218"/>
      <c r="L406" s="217" t="str">
        <f t="shared" si="6"/>
        <v/>
      </c>
      <c r="M406" s="240"/>
      <c r="N406" s="225" t="str">
        <f>IF($K406="","",IF($K406=1,CONCATENATE("Base ",$M406," ",$K406," noche"),CONCATENATE("Base ",$M406," ",$K406," noches")))</f>
        <v/>
      </c>
      <c r="O406" s="239" t="str">
        <f>IFERROR((VLOOKUP($N406,Pricing!$D$2:$E$43,2,FALSE)),"")</f>
        <v/>
      </c>
      <c r="P406" s="196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71"/>
      <c r="AB406" s="272"/>
      <c r="AC406" s="272"/>
      <c r="AD406" s="272"/>
      <c r="AE406" s="272"/>
      <c r="AF406" s="272"/>
      <c r="AG406" s="272"/>
      <c r="AH406" s="272"/>
      <c r="AI406" s="267"/>
    </row>
    <row r="407" spans="1:35" x14ac:dyDescent="0.2">
      <c r="A407" s="208" t="str">
        <f>+IF(D407="","",CONCATENATE("GBL 00",Mantenedor!E406))</f>
        <v/>
      </c>
      <c r="B407" s="214"/>
      <c r="C407" s="215"/>
      <c r="D407" s="215"/>
      <c r="E407" s="215"/>
      <c r="F407" s="215"/>
      <c r="G407" s="215"/>
      <c r="H407" s="215"/>
      <c r="I407" s="216"/>
      <c r="J407" s="217"/>
      <c r="K407" s="218"/>
      <c r="L407" s="217" t="str">
        <f t="shared" si="6"/>
        <v/>
      </c>
      <c r="M407" s="240"/>
      <c r="N407" s="225" t="str">
        <f>IF($K407="","",IF($K407=1,CONCATENATE("Base ",$M407," ",$K407," noche"),CONCATENATE("Base ",$M407," ",$K407," noches")))</f>
        <v/>
      </c>
      <c r="O407" s="239" t="str">
        <f>IFERROR((VLOOKUP($N407,Pricing!$D$2:$E$43,2,FALSE)),"")</f>
        <v/>
      </c>
      <c r="P407" s="196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  <c r="AA407" s="271"/>
      <c r="AB407" s="272"/>
      <c r="AC407" s="272"/>
      <c r="AD407" s="272"/>
      <c r="AE407" s="272"/>
      <c r="AF407" s="272"/>
      <c r="AG407" s="272"/>
      <c r="AH407" s="272"/>
      <c r="AI407" s="267"/>
    </row>
    <row r="408" spans="1:35" x14ac:dyDescent="0.2">
      <c r="A408" s="208" t="str">
        <f>+IF(D408="","",CONCATENATE("GBL 00",Mantenedor!E407))</f>
        <v/>
      </c>
      <c r="B408" s="214"/>
      <c r="C408" s="215"/>
      <c r="D408" s="215"/>
      <c r="E408" s="215"/>
      <c r="F408" s="215"/>
      <c r="G408" s="215"/>
      <c r="H408" s="215"/>
      <c r="I408" s="216"/>
      <c r="J408" s="217"/>
      <c r="K408" s="218"/>
      <c r="L408" s="217" t="str">
        <f t="shared" si="6"/>
        <v/>
      </c>
      <c r="M408" s="240"/>
      <c r="N408" s="225" t="str">
        <f>IF($K408="","",IF($K408=1,CONCATENATE("Base ",$M408," ",$K408," noche"),CONCATENATE("Base ",$M408," ",$K408," noches")))</f>
        <v/>
      </c>
      <c r="O408" s="239" t="str">
        <f>IFERROR((VLOOKUP($N408,Pricing!$D$2:$E$43,2,FALSE)),"")</f>
        <v/>
      </c>
      <c r="P408" s="196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  <c r="AA408" s="271"/>
      <c r="AB408" s="272"/>
      <c r="AC408" s="272"/>
      <c r="AD408" s="272"/>
      <c r="AE408" s="272"/>
      <c r="AF408" s="272"/>
      <c r="AG408" s="272"/>
      <c r="AH408" s="272"/>
      <c r="AI408" s="267"/>
    </row>
    <row r="409" spans="1:35" x14ac:dyDescent="0.2">
      <c r="A409" s="208" t="str">
        <f>+IF(D409="","",CONCATENATE("GBL 00",Mantenedor!E408))</f>
        <v/>
      </c>
      <c r="B409" s="214"/>
      <c r="C409" s="215"/>
      <c r="D409" s="215"/>
      <c r="E409" s="215"/>
      <c r="F409" s="215"/>
      <c r="G409" s="215"/>
      <c r="H409" s="215"/>
      <c r="I409" s="216"/>
      <c r="J409" s="217"/>
      <c r="K409" s="218"/>
      <c r="L409" s="217" t="str">
        <f t="shared" si="6"/>
        <v/>
      </c>
      <c r="M409" s="240"/>
      <c r="N409" s="225" t="str">
        <f>IF($K409="","",IF($K409=1,CONCATENATE("Base ",$M409," ",$K409," noche"),CONCATENATE("Base ",$M409," ",$K409," noches")))</f>
        <v/>
      </c>
      <c r="O409" s="239" t="str">
        <f>IFERROR((VLOOKUP($N409,Pricing!$D$2:$E$43,2,FALSE)),"")</f>
        <v/>
      </c>
      <c r="P409" s="196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  <c r="AA409" s="271"/>
      <c r="AB409" s="272"/>
      <c r="AC409" s="272"/>
      <c r="AD409" s="272"/>
      <c r="AE409" s="272"/>
      <c r="AF409" s="272"/>
      <c r="AG409" s="272"/>
      <c r="AH409" s="272"/>
      <c r="AI409" s="267"/>
    </row>
    <row r="410" spans="1:35" x14ac:dyDescent="0.2">
      <c r="A410" s="208" t="str">
        <f>+IF(D410="","",CONCATENATE("GBL 00",Mantenedor!E409))</f>
        <v/>
      </c>
      <c r="B410" s="214"/>
      <c r="C410" s="215"/>
      <c r="D410" s="215"/>
      <c r="E410" s="215"/>
      <c r="F410" s="215"/>
      <c r="G410" s="215"/>
      <c r="H410" s="215"/>
      <c r="I410" s="216"/>
      <c r="J410" s="217"/>
      <c r="K410" s="218"/>
      <c r="L410" s="217" t="str">
        <f t="shared" si="6"/>
        <v/>
      </c>
      <c r="M410" s="240"/>
      <c r="N410" s="225" t="str">
        <f>IF($K410="","",IF($K410=1,CONCATENATE("Base ",$M410," ",$K410," noche"),CONCATENATE("Base ",$M410," ",$K410," noches")))</f>
        <v/>
      </c>
      <c r="O410" s="239" t="str">
        <f>IFERROR((VLOOKUP($N410,Pricing!$D$2:$E$43,2,FALSE)),"")</f>
        <v/>
      </c>
      <c r="P410" s="196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  <c r="AA410" s="271"/>
      <c r="AB410" s="272"/>
      <c r="AC410" s="272"/>
      <c r="AD410" s="272"/>
      <c r="AE410" s="272"/>
      <c r="AF410" s="272"/>
      <c r="AG410" s="272"/>
      <c r="AH410" s="272"/>
      <c r="AI410" s="267"/>
    </row>
    <row r="411" spans="1:35" x14ac:dyDescent="0.2">
      <c r="A411" s="208" t="str">
        <f>+IF(D411="","",CONCATENATE("GBL 00",Mantenedor!E410))</f>
        <v/>
      </c>
      <c r="B411" s="214"/>
      <c r="C411" s="215"/>
      <c r="D411" s="215"/>
      <c r="E411" s="215"/>
      <c r="F411" s="215"/>
      <c r="G411" s="215"/>
      <c r="H411" s="215"/>
      <c r="I411" s="216"/>
      <c r="J411" s="217"/>
      <c r="K411" s="218"/>
      <c r="L411" s="217" t="str">
        <f t="shared" si="6"/>
        <v/>
      </c>
      <c r="M411" s="240"/>
      <c r="N411" s="225" t="str">
        <f>IF($K411="","",IF($K411=1,CONCATENATE("Base ",$M411," ",$K411," noche"),CONCATENATE("Base ",$M411," ",$K411," noches")))</f>
        <v/>
      </c>
      <c r="O411" s="239" t="str">
        <f>IFERROR((VLOOKUP($N411,Pricing!$D$2:$E$43,2,FALSE)),"")</f>
        <v/>
      </c>
      <c r="P411" s="196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  <c r="AA411" s="271"/>
      <c r="AB411" s="272"/>
      <c r="AC411" s="272"/>
      <c r="AD411" s="272"/>
      <c r="AE411" s="272"/>
      <c r="AF411" s="272"/>
      <c r="AG411" s="272"/>
      <c r="AH411" s="272"/>
      <c r="AI411" s="267"/>
    </row>
    <row r="412" spans="1:35" x14ac:dyDescent="0.2">
      <c r="A412" s="208" t="str">
        <f>+IF(D412="","",CONCATENATE("GBL 00",Mantenedor!E411))</f>
        <v/>
      </c>
      <c r="B412" s="214"/>
      <c r="C412" s="215"/>
      <c r="D412" s="215"/>
      <c r="E412" s="215"/>
      <c r="F412" s="215"/>
      <c r="G412" s="215"/>
      <c r="H412" s="215"/>
      <c r="I412" s="216"/>
      <c r="J412" s="217"/>
      <c r="K412" s="218"/>
      <c r="L412" s="217" t="str">
        <f t="shared" si="6"/>
        <v/>
      </c>
      <c r="M412" s="240"/>
      <c r="N412" s="225" t="str">
        <f>IF($K412="","",IF($K412=1,CONCATENATE("Base ",$M412," ",$K412," noche"),CONCATENATE("Base ",$M412," ",$K412," noches")))</f>
        <v/>
      </c>
      <c r="O412" s="239" t="str">
        <f>IFERROR((VLOOKUP($N412,Pricing!$D$2:$E$43,2,FALSE)),"")</f>
        <v/>
      </c>
      <c r="P412" s="196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  <c r="AA412" s="271"/>
      <c r="AB412" s="272"/>
      <c r="AC412" s="272"/>
      <c r="AD412" s="272"/>
      <c r="AE412" s="272"/>
      <c r="AF412" s="272"/>
      <c r="AG412" s="272"/>
      <c r="AH412" s="272"/>
      <c r="AI412" s="267"/>
    </row>
    <row r="413" spans="1:35" x14ac:dyDescent="0.2">
      <c r="A413" s="208" t="str">
        <f>+IF(D413="","",CONCATENATE("GBL 00",Mantenedor!E412))</f>
        <v/>
      </c>
      <c r="B413" s="214"/>
      <c r="C413" s="215"/>
      <c r="D413" s="215"/>
      <c r="E413" s="215"/>
      <c r="F413" s="215"/>
      <c r="G413" s="215"/>
      <c r="H413" s="215"/>
      <c r="I413" s="216"/>
      <c r="J413" s="217"/>
      <c r="K413" s="218"/>
      <c r="L413" s="217" t="str">
        <f t="shared" si="6"/>
        <v/>
      </c>
      <c r="M413" s="240"/>
      <c r="N413" s="225" t="str">
        <f>IF($K413="","",IF($K413=1,CONCATENATE("Base ",$M413," ",$K413," noche"),CONCATENATE("Base ",$M413," ",$K413," noches")))</f>
        <v/>
      </c>
      <c r="O413" s="239" t="str">
        <f>IFERROR((VLOOKUP($N413,Pricing!$D$2:$E$43,2,FALSE)),"")</f>
        <v/>
      </c>
      <c r="P413" s="196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  <c r="AA413" s="271"/>
      <c r="AB413" s="272"/>
      <c r="AC413" s="272"/>
      <c r="AD413" s="272"/>
      <c r="AE413" s="272"/>
      <c r="AF413" s="272"/>
      <c r="AG413" s="272"/>
      <c r="AH413" s="272"/>
      <c r="AI413" s="267"/>
    </row>
    <row r="414" spans="1:35" x14ac:dyDescent="0.2">
      <c r="A414" s="208" t="str">
        <f>+IF(D414="","",CONCATENATE("GBL 00",Mantenedor!E413))</f>
        <v/>
      </c>
      <c r="B414" s="214"/>
      <c r="C414" s="215"/>
      <c r="D414" s="215"/>
      <c r="E414" s="215"/>
      <c r="F414" s="215"/>
      <c r="G414" s="215"/>
      <c r="H414" s="215"/>
      <c r="I414" s="216"/>
      <c r="J414" s="217"/>
      <c r="K414" s="218"/>
      <c r="L414" s="217" t="str">
        <f t="shared" si="6"/>
        <v/>
      </c>
      <c r="M414" s="240"/>
      <c r="N414" s="225" t="str">
        <f>IF($K414="","",IF($K414=1,CONCATENATE("Base ",$M414," ",$K414," noche"),CONCATENATE("Base ",$M414," ",$K414," noches")))</f>
        <v/>
      </c>
      <c r="O414" s="239" t="str">
        <f>IFERROR((VLOOKUP($N414,Pricing!$D$2:$E$43,2,FALSE)),"")</f>
        <v/>
      </c>
      <c r="P414" s="196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  <c r="AA414" s="271"/>
      <c r="AB414" s="272"/>
      <c r="AC414" s="272"/>
      <c r="AD414" s="272"/>
      <c r="AE414" s="272"/>
      <c r="AF414" s="272"/>
      <c r="AG414" s="272"/>
      <c r="AH414" s="272"/>
      <c r="AI414" s="267"/>
    </row>
    <row r="415" spans="1:35" x14ac:dyDescent="0.2">
      <c r="A415" s="208" t="str">
        <f>+IF(D415="","",CONCATENATE("GBL 00",Mantenedor!E414))</f>
        <v/>
      </c>
      <c r="B415" s="214"/>
      <c r="C415" s="215"/>
      <c r="D415" s="215"/>
      <c r="E415" s="215"/>
      <c r="F415" s="215"/>
      <c r="G415" s="215"/>
      <c r="H415" s="215"/>
      <c r="I415" s="216"/>
      <c r="J415" s="217"/>
      <c r="K415" s="218"/>
      <c r="L415" s="217" t="str">
        <f t="shared" si="6"/>
        <v/>
      </c>
      <c r="M415" s="240"/>
      <c r="N415" s="225" t="str">
        <f>IF($K415="","",IF($K415=1,CONCATENATE("Base ",$M415," ",$K415," noche"),CONCATENATE("Base ",$M415," ",$K415," noches")))</f>
        <v/>
      </c>
      <c r="O415" s="239" t="str">
        <f>IFERROR((VLOOKUP($N415,Pricing!$D$2:$E$43,2,FALSE)),"")</f>
        <v/>
      </c>
      <c r="P415" s="196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71"/>
      <c r="AB415" s="272"/>
      <c r="AC415" s="272"/>
      <c r="AD415" s="272"/>
      <c r="AE415" s="272"/>
      <c r="AF415" s="272"/>
      <c r="AG415" s="272"/>
      <c r="AH415" s="272"/>
      <c r="AI415" s="267"/>
    </row>
    <row r="416" spans="1:35" x14ac:dyDescent="0.2">
      <c r="A416" s="208" t="str">
        <f>+IF(D416="","",CONCATENATE("GBL 00",Mantenedor!E415))</f>
        <v/>
      </c>
      <c r="B416" s="214"/>
      <c r="C416" s="215"/>
      <c r="D416" s="215"/>
      <c r="E416" s="215"/>
      <c r="F416" s="215"/>
      <c r="G416" s="215"/>
      <c r="H416" s="215"/>
      <c r="I416" s="216"/>
      <c r="J416" s="217"/>
      <c r="K416" s="218"/>
      <c r="L416" s="217" t="str">
        <f t="shared" si="6"/>
        <v/>
      </c>
      <c r="M416" s="240"/>
      <c r="N416" s="225" t="str">
        <f>IF($K416="","",IF($K416=1,CONCATENATE("Base ",$M416," ",$K416," noche"),CONCATENATE("Base ",$M416," ",$K416," noches")))</f>
        <v/>
      </c>
      <c r="O416" s="239" t="str">
        <f>IFERROR((VLOOKUP($N416,Pricing!$D$2:$E$43,2,FALSE)),"")</f>
        <v/>
      </c>
      <c r="P416" s="196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  <c r="AA416" s="271"/>
      <c r="AB416" s="272"/>
      <c r="AC416" s="272"/>
      <c r="AD416" s="272"/>
      <c r="AE416" s="272"/>
      <c r="AF416" s="272"/>
      <c r="AG416" s="272"/>
      <c r="AH416" s="272"/>
      <c r="AI416" s="267"/>
    </row>
    <row r="417" spans="1:35" x14ac:dyDescent="0.2">
      <c r="A417" s="208" t="str">
        <f>+IF(D417="","",CONCATENATE("GBL 00",Mantenedor!E416))</f>
        <v/>
      </c>
      <c r="B417" s="214"/>
      <c r="C417" s="215"/>
      <c r="D417" s="215"/>
      <c r="E417" s="215"/>
      <c r="F417" s="215"/>
      <c r="G417" s="215"/>
      <c r="H417" s="215"/>
      <c r="I417" s="216"/>
      <c r="J417" s="217"/>
      <c r="K417" s="218"/>
      <c r="L417" s="217" t="str">
        <f t="shared" si="6"/>
        <v/>
      </c>
      <c r="M417" s="240"/>
      <c r="N417" s="225" t="str">
        <f>IF($K417="","",IF($K417=1,CONCATENATE("Base ",$M417," ",$K417," noche"),CONCATENATE("Base ",$M417," ",$K417," noches")))</f>
        <v/>
      </c>
      <c r="O417" s="239" t="str">
        <f>IFERROR((VLOOKUP($N417,Pricing!$D$2:$E$43,2,FALSE)),"")</f>
        <v/>
      </c>
      <c r="P417" s="196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71"/>
      <c r="AB417" s="272"/>
      <c r="AC417" s="272"/>
      <c r="AD417" s="272"/>
      <c r="AE417" s="272"/>
      <c r="AF417" s="272"/>
      <c r="AG417" s="272"/>
      <c r="AH417" s="272"/>
      <c r="AI417" s="267"/>
    </row>
    <row r="418" spans="1:35" x14ac:dyDescent="0.2">
      <c r="A418" s="208" t="str">
        <f>+IF(D418="","",CONCATENATE("GBL 00",Mantenedor!E417))</f>
        <v/>
      </c>
      <c r="B418" s="214"/>
      <c r="C418" s="215"/>
      <c r="D418" s="215"/>
      <c r="E418" s="215"/>
      <c r="F418" s="215"/>
      <c r="G418" s="215"/>
      <c r="H418" s="215"/>
      <c r="I418" s="216"/>
      <c r="J418" s="217"/>
      <c r="K418" s="218"/>
      <c r="L418" s="217" t="str">
        <f t="shared" si="6"/>
        <v/>
      </c>
      <c r="M418" s="240"/>
      <c r="N418" s="225" t="str">
        <f>IF($K418="","",IF($K418=1,CONCATENATE("Base ",$M418," ",$K418," noche"),CONCATENATE("Base ",$M418," ",$K418," noches")))</f>
        <v/>
      </c>
      <c r="O418" s="239" t="str">
        <f>IFERROR((VLOOKUP($N418,Pricing!$D$2:$E$43,2,FALSE)),"")</f>
        <v/>
      </c>
      <c r="P418" s="196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71"/>
      <c r="AB418" s="272"/>
      <c r="AC418" s="272"/>
      <c r="AD418" s="272"/>
      <c r="AE418" s="272"/>
      <c r="AF418" s="272"/>
      <c r="AG418" s="272"/>
      <c r="AH418" s="272"/>
      <c r="AI418" s="267"/>
    </row>
    <row r="419" spans="1:35" x14ac:dyDescent="0.2">
      <c r="A419" s="208" t="str">
        <f>+IF(D419="","",CONCATENATE("GBL 00",Mantenedor!E418))</f>
        <v/>
      </c>
      <c r="B419" s="214"/>
      <c r="C419" s="215"/>
      <c r="D419" s="215"/>
      <c r="E419" s="215"/>
      <c r="F419" s="215"/>
      <c r="G419" s="215"/>
      <c r="H419" s="215"/>
      <c r="I419" s="216"/>
      <c r="J419" s="217"/>
      <c r="K419" s="218"/>
      <c r="L419" s="217" t="str">
        <f t="shared" si="6"/>
        <v/>
      </c>
      <c r="M419" s="240"/>
      <c r="N419" s="225" t="str">
        <f>IF($K419="","",IF($K419=1,CONCATENATE("Base ",$M419," ",$K419," noche"),CONCATENATE("Base ",$M419," ",$K419," noches")))</f>
        <v/>
      </c>
      <c r="O419" s="239" t="str">
        <f>IFERROR((VLOOKUP($N419,Pricing!$D$2:$E$43,2,FALSE)),"")</f>
        <v/>
      </c>
      <c r="P419" s="196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71"/>
      <c r="AB419" s="272"/>
      <c r="AC419" s="272"/>
      <c r="AD419" s="272"/>
      <c r="AE419" s="272"/>
      <c r="AF419" s="272"/>
      <c r="AG419" s="272"/>
      <c r="AH419" s="272"/>
      <c r="AI419" s="267"/>
    </row>
    <row r="420" spans="1:35" x14ac:dyDescent="0.2">
      <c r="A420" s="208" t="str">
        <f>+IF(D420="","",CONCATENATE("GBL 00",Mantenedor!E419))</f>
        <v/>
      </c>
      <c r="B420" s="214"/>
      <c r="C420" s="215"/>
      <c r="D420" s="215"/>
      <c r="E420" s="215"/>
      <c r="F420" s="215"/>
      <c r="G420" s="215"/>
      <c r="H420" s="215"/>
      <c r="I420" s="216"/>
      <c r="J420" s="217"/>
      <c r="K420" s="218"/>
      <c r="L420" s="217" t="str">
        <f t="shared" si="6"/>
        <v/>
      </c>
      <c r="M420" s="240"/>
      <c r="N420" s="225" t="str">
        <f>IF($K420="","",IF($K420=1,CONCATENATE("Base ",$M420," ",$K420," noche"),CONCATENATE("Base ",$M420," ",$K420," noches")))</f>
        <v/>
      </c>
      <c r="O420" s="239" t="str">
        <f>IFERROR((VLOOKUP($N420,Pricing!$D$2:$E$43,2,FALSE)),"")</f>
        <v/>
      </c>
      <c r="P420" s="196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71"/>
      <c r="AB420" s="272"/>
      <c r="AC420" s="272"/>
      <c r="AD420" s="272"/>
      <c r="AE420" s="272"/>
      <c r="AF420" s="272"/>
      <c r="AG420" s="272"/>
      <c r="AH420" s="272"/>
      <c r="AI420" s="267"/>
    </row>
    <row r="421" spans="1:35" x14ac:dyDescent="0.2">
      <c r="A421" s="208" t="str">
        <f>+IF(D421="","",CONCATENATE("GBL 00",Mantenedor!E420))</f>
        <v/>
      </c>
      <c r="B421" s="214"/>
      <c r="C421" s="215"/>
      <c r="D421" s="215"/>
      <c r="E421" s="215"/>
      <c r="F421" s="215"/>
      <c r="G421" s="215"/>
      <c r="H421" s="215"/>
      <c r="I421" s="216"/>
      <c r="J421" s="217"/>
      <c r="K421" s="218"/>
      <c r="L421" s="217" t="str">
        <f t="shared" si="6"/>
        <v/>
      </c>
      <c r="M421" s="240"/>
      <c r="N421" s="225" t="str">
        <f>IF($K421="","",IF($K421=1,CONCATENATE("Base ",$M421," ",$K421," noche"),CONCATENATE("Base ",$M421," ",$K421," noches")))</f>
        <v/>
      </c>
      <c r="O421" s="239" t="str">
        <f>IFERROR((VLOOKUP($N421,Pricing!$D$2:$E$43,2,FALSE)),"")</f>
        <v/>
      </c>
      <c r="P421" s="196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71"/>
      <c r="AB421" s="272"/>
      <c r="AC421" s="272"/>
      <c r="AD421" s="272"/>
      <c r="AE421" s="272"/>
      <c r="AF421" s="272"/>
      <c r="AG421" s="272"/>
      <c r="AH421" s="272"/>
      <c r="AI421" s="267"/>
    </row>
    <row r="422" spans="1:35" x14ac:dyDescent="0.2">
      <c r="A422" s="208" t="str">
        <f>+IF(D422="","",CONCATENATE("GBL 00",Mantenedor!E421))</f>
        <v/>
      </c>
      <c r="B422" s="214"/>
      <c r="C422" s="215"/>
      <c r="D422" s="215"/>
      <c r="E422" s="215"/>
      <c r="F422" s="215"/>
      <c r="G422" s="215"/>
      <c r="H422" s="215"/>
      <c r="I422" s="216"/>
      <c r="J422" s="217"/>
      <c r="K422" s="218"/>
      <c r="L422" s="217" t="str">
        <f t="shared" si="6"/>
        <v/>
      </c>
      <c r="M422" s="240"/>
      <c r="N422" s="225" t="str">
        <f>IF($K422="","",IF($K422=1,CONCATENATE("Base ",$M422," ",$K422," noche"),CONCATENATE("Base ",$M422," ",$K422," noches")))</f>
        <v/>
      </c>
      <c r="O422" s="239" t="str">
        <f>IFERROR((VLOOKUP($N422,Pricing!$D$2:$E$43,2,FALSE)),"")</f>
        <v/>
      </c>
      <c r="P422" s="196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  <c r="AA422" s="271"/>
      <c r="AB422" s="272"/>
      <c r="AC422" s="272"/>
      <c r="AD422" s="272"/>
      <c r="AE422" s="272"/>
      <c r="AF422" s="272"/>
      <c r="AG422" s="272"/>
      <c r="AH422" s="272"/>
      <c r="AI422" s="267"/>
    </row>
    <row r="423" spans="1:35" x14ac:dyDescent="0.2">
      <c r="A423" s="208" t="str">
        <f>+IF(D423="","",CONCATENATE("GBL 00",Mantenedor!E422))</f>
        <v/>
      </c>
      <c r="B423" s="214"/>
      <c r="C423" s="215"/>
      <c r="D423" s="215"/>
      <c r="E423" s="215"/>
      <c r="F423" s="215"/>
      <c r="G423" s="215"/>
      <c r="H423" s="215"/>
      <c r="I423" s="216"/>
      <c r="J423" s="217"/>
      <c r="K423" s="218"/>
      <c r="L423" s="217" t="str">
        <f t="shared" si="6"/>
        <v/>
      </c>
      <c r="M423" s="240"/>
      <c r="N423" s="225" t="str">
        <f>IF($K423="","",IF($K423=1,CONCATENATE("Base ",$M423," ",$K423," noche"),CONCATENATE("Base ",$M423," ",$K423," noches")))</f>
        <v/>
      </c>
      <c r="O423" s="239" t="str">
        <f>IFERROR((VLOOKUP($N423,Pricing!$D$2:$E$43,2,FALSE)),"")</f>
        <v/>
      </c>
      <c r="P423" s="196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  <c r="AA423" s="271"/>
      <c r="AB423" s="272"/>
      <c r="AC423" s="272"/>
      <c r="AD423" s="272"/>
      <c r="AE423" s="272"/>
      <c r="AF423" s="272"/>
      <c r="AG423" s="272"/>
      <c r="AH423" s="272"/>
      <c r="AI423" s="267"/>
    </row>
    <row r="424" spans="1:35" x14ac:dyDescent="0.2">
      <c r="A424" s="208" t="str">
        <f>+IF(D424="","",CONCATENATE("GBL 00",Mantenedor!E423))</f>
        <v/>
      </c>
      <c r="B424" s="214"/>
      <c r="C424" s="215"/>
      <c r="D424" s="215"/>
      <c r="E424" s="215"/>
      <c r="F424" s="215"/>
      <c r="G424" s="215"/>
      <c r="H424" s="215"/>
      <c r="I424" s="216"/>
      <c r="J424" s="217"/>
      <c r="K424" s="218"/>
      <c r="L424" s="217" t="str">
        <f t="shared" si="6"/>
        <v/>
      </c>
      <c r="M424" s="240"/>
      <c r="N424" s="225" t="str">
        <f>IF($K424="","",IF($K424=1,CONCATENATE("Base ",$M424," ",$K424," noche"),CONCATENATE("Base ",$M424," ",$K424," noches")))</f>
        <v/>
      </c>
      <c r="O424" s="239" t="str">
        <f>IFERROR((VLOOKUP($N424,Pricing!$D$2:$E$43,2,FALSE)),"")</f>
        <v/>
      </c>
      <c r="P424" s="196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  <c r="AA424" s="271"/>
      <c r="AB424" s="272"/>
      <c r="AC424" s="272"/>
      <c r="AD424" s="272"/>
      <c r="AE424" s="272"/>
      <c r="AF424" s="272"/>
      <c r="AG424" s="272"/>
      <c r="AH424" s="272"/>
      <c r="AI424" s="267"/>
    </row>
    <row r="425" spans="1:35" x14ac:dyDescent="0.2">
      <c r="A425" s="208" t="str">
        <f>+IF(D425="","",CONCATENATE("GBL 00",Mantenedor!E424))</f>
        <v/>
      </c>
      <c r="B425" s="214"/>
      <c r="C425" s="215"/>
      <c r="D425" s="215"/>
      <c r="E425" s="215"/>
      <c r="F425" s="215"/>
      <c r="G425" s="215"/>
      <c r="H425" s="215"/>
      <c r="I425" s="216"/>
      <c r="J425" s="217"/>
      <c r="K425" s="218"/>
      <c r="L425" s="217" t="str">
        <f t="shared" si="6"/>
        <v/>
      </c>
      <c r="M425" s="240"/>
      <c r="N425" s="225" t="str">
        <f>IF($K425="","",IF($K425=1,CONCATENATE("Base ",$M425," ",$K425," noche"),CONCATENATE("Base ",$M425," ",$K425," noches")))</f>
        <v/>
      </c>
      <c r="O425" s="239" t="str">
        <f>IFERROR((VLOOKUP($N425,Pricing!$D$2:$E$43,2,FALSE)),"")</f>
        <v/>
      </c>
      <c r="P425" s="196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  <c r="AA425" s="271"/>
      <c r="AB425" s="272"/>
      <c r="AC425" s="272"/>
      <c r="AD425" s="272"/>
      <c r="AE425" s="272"/>
      <c r="AF425" s="272"/>
      <c r="AG425" s="272"/>
      <c r="AH425" s="272"/>
      <c r="AI425" s="267"/>
    </row>
    <row r="426" spans="1:35" x14ac:dyDescent="0.2">
      <c r="A426" s="208" t="str">
        <f>+IF(D426="","",CONCATENATE("GBL 00",Mantenedor!E425))</f>
        <v/>
      </c>
      <c r="B426" s="214"/>
      <c r="C426" s="215"/>
      <c r="D426" s="215"/>
      <c r="E426" s="215"/>
      <c r="F426" s="215"/>
      <c r="G426" s="215"/>
      <c r="H426" s="215"/>
      <c r="I426" s="216"/>
      <c r="J426" s="217"/>
      <c r="K426" s="218"/>
      <c r="L426" s="217" t="str">
        <f t="shared" si="6"/>
        <v/>
      </c>
      <c r="M426" s="240"/>
      <c r="N426" s="225" t="str">
        <f>IF($K426="","",IF($K426=1,CONCATENATE("Base ",$M426," ",$K426," noche"),CONCATENATE("Base ",$M426," ",$K426," noches")))</f>
        <v/>
      </c>
      <c r="O426" s="239" t="str">
        <f>IFERROR((VLOOKUP($N426,Pricing!$D$2:$E$43,2,FALSE)),"")</f>
        <v/>
      </c>
      <c r="P426" s="196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  <c r="AA426" s="271"/>
      <c r="AB426" s="272"/>
      <c r="AC426" s="272"/>
      <c r="AD426" s="272"/>
      <c r="AE426" s="272"/>
      <c r="AF426" s="272"/>
      <c r="AG426" s="272"/>
      <c r="AH426" s="272"/>
      <c r="AI426" s="267"/>
    </row>
    <row r="427" spans="1:35" x14ac:dyDescent="0.2">
      <c r="A427" s="208" t="str">
        <f>+IF(D427="","",CONCATENATE("GBL 00",Mantenedor!E426))</f>
        <v/>
      </c>
      <c r="B427" s="214"/>
      <c r="C427" s="215"/>
      <c r="D427" s="215"/>
      <c r="E427" s="215"/>
      <c r="F427" s="215"/>
      <c r="G427" s="215"/>
      <c r="H427" s="215"/>
      <c r="I427" s="216"/>
      <c r="J427" s="217"/>
      <c r="K427" s="218"/>
      <c r="L427" s="217" t="str">
        <f t="shared" si="6"/>
        <v/>
      </c>
      <c r="M427" s="240"/>
      <c r="N427" s="225" t="str">
        <f>IF($K427="","",IF($K427=1,CONCATENATE("Base ",$M427," ",$K427," noche"),CONCATENATE("Base ",$M427," ",$K427," noches")))</f>
        <v/>
      </c>
      <c r="O427" s="239" t="str">
        <f>IFERROR((VLOOKUP($N427,Pricing!$D$2:$E$43,2,FALSE)),"")</f>
        <v/>
      </c>
      <c r="P427" s="196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  <c r="AA427" s="271"/>
      <c r="AB427" s="272"/>
      <c r="AC427" s="272"/>
      <c r="AD427" s="272"/>
      <c r="AE427" s="272"/>
      <c r="AF427" s="272"/>
      <c r="AG427" s="272"/>
      <c r="AH427" s="272"/>
      <c r="AI427" s="267"/>
    </row>
    <row r="428" spans="1:35" x14ac:dyDescent="0.2">
      <c r="A428" s="208" t="str">
        <f>+IF(D428="","",CONCATENATE("GBL 00",Mantenedor!E427))</f>
        <v/>
      </c>
      <c r="B428" s="214"/>
      <c r="C428" s="215"/>
      <c r="D428" s="215"/>
      <c r="E428" s="215"/>
      <c r="F428" s="215"/>
      <c r="G428" s="215"/>
      <c r="H428" s="215"/>
      <c r="I428" s="216"/>
      <c r="J428" s="217"/>
      <c r="K428" s="218"/>
      <c r="L428" s="217" t="str">
        <f t="shared" si="6"/>
        <v/>
      </c>
      <c r="M428" s="240"/>
      <c r="N428" s="225" t="str">
        <f>IF($K428="","",IF($K428=1,CONCATENATE("Base ",$M428," ",$K428," noche"),CONCATENATE("Base ",$M428," ",$K428," noches")))</f>
        <v/>
      </c>
      <c r="O428" s="239" t="str">
        <f>IFERROR((VLOOKUP($N428,Pricing!$D$2:$E$43,2,FALSE)),"")</f>
        <v/>
      </c>
      <c r="P428" s="196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  <c r="AA428" s="271"/>
      <c r="AB428" s="272"/>
      <c r="AC428" s="272"/>
      <c r="AD428" s="272"/>
      <c r="AE428" s="272"/>
      <c r="AF428" s="272"/>
      <c r="AG428" s="272"/>
      <c r="AH428" s="272"/>
      <c r="AI428" s="267"/>
    </row>
    <row r="429" spans="1:35" x14ac:dyDescent="0.2">
      <c r="A429" s="208" t="str">
        <f>+IF(D429="","",CONCATENATE("GBL 00",Mantenedor!E428))</f>
        <v/>
      </c>
      <c r="B429" s="214"/>
      <c r="C429" s="215"/>
      <c r="D429" s="215"/>
      <c r="E429" s="215"/>
      <c r="F429" s="215"/>
      <c r="G429" s="215"/>
      <c r="H429" s="215"/>
      <c r="I429" s="216"/>
      <c r="J429" s="217"/>
      <c r="K429" s="218"/>
      <c r="L429" s="217" t="str">
        <f t="shared" si="6"/>
        <v/>
      </c>
      <c r="M429" s="240"/>
      <c r="N429" s="225" t="str">
        <f>IF($K429="","",IF($K429=1,CONCATENATE("Base ",$M429," ",$K429," noche"),CONCATENATE("Base ",$M429," ",$K429," noches")))</f>
        <v/>
      </c>
      <c r="O429" s="239" t="str">
        <f>IFERROR((VLOOKUP($N429,Pricing!$D$2:$E$43,2,FALSE)),"")</f>
        <v/>
      </c>
      <c r="P429" s="196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  <c r="AA429" s="271"/>
      <c r="AB429" s="272"/>
      <c r="AC429" s="272"/>
      <c r="AD429" s="272"/>
      <c r="AE429" s="272"/>
      <c r="AF429" s="272"/>
      <c r="AG429" s="272"/>
      <c r="AH429" s="272"/>
      <c r="AI429" s="267"/>
    </row>
    <row r="430" spans="1:35" x14ac:dyDescent="0.2">
      <c r="A430" s="208" t="str">
        <f>+IF(D430="","",CONCATENATE("GBL 00",Mantenedor!E429))</f>
        <v/>
      </c>
      <c r="B430" s="214"/>
      <c r="C430" s="215"/>
      <c r="D430" s="215"/>
      <c r="E430" s="215"/>
      <c r="F430" s="215"/>
      <c r="G430" s="215"/>
      <c r="H430" s="215"/>
      <c r="I430" s="216"/>
      <c r="J430" s="217"/>
      <c r="K430" s="218"/>
      <c r="L430" s="217" t="str">
        <f t="shared" si="6"/>
        <v/>
      </c>
      <c r="M430" s="240"/>
      <c r="N430" s="225" t="str">
        <f>IF($K430="","",IF($K430=1,CONCATENATE("Base ",$M430," ",$K430," noche"),CONCATENATE("Base ",$M430," ",$K430," noches")))</f>
        <v/>
      </c>
      <c r="O430" s="239" t="str">
        <f>IFERROR((VLOOKUP($N430,Pricing!$D$2:$E$43,2,FALSE)),"")</f>
        <v/>
      </c>
      <c r="P430" s="196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  <c r="AA430" s="271"/>
      <c r="AB430" s="272"/>
      <c r="AC430" s="272"/>
      <c r="AD430" s="272"/>
      <c r="AE430" s="272"/>
      <c r="AF430" s="272"/>
      <c r="AG430" s="272"/>
      <c r="AH430" s="272"/>
      <c r="AI430" s="267"/>
    </row>
    <row r="431" spans="1:35" x14ac:dyDescent="0.2">
      <c r="A431" s="208" t="str">
        <f>+IF(D431="","",CONCATENATE("GBL 00",Mantenedor!E430))</f>
        <v/>
      </c>
      <c r="B431" s="214"/>
      <c r="C431" s="215"/>
      <c r="D431" s="215"/>
      <c r="E431" s="215"/>
      <c r="F431" s="215"/>
      <c r="G431" s="215"/>
      <c r="H431" s="215"/>
      <c r="I431" s="216"/>
      <c r="J431" s="217"/>
      <c r="K431" s="218"/>
      <c r="L431" s="217" t="str">
        <f t="shared" si="6"/>
        <v/>
      </c>
      <c r="M431" s="240"/>
      <c r="N431" s="225" t="str">
        <f>IF($K431="","",IF($K431=1,CONCATENATE("Base ",$M431," ",$K431," noche"),CONCATENATE("Base ",$M431," ",$K431," noches")))</f>
        <v/>
      </c>
      <c r="O431" s="239" t="str">
        <f>IFERROR((VLOOKUP($N431,Pricing!$D$2:$E$43,2,FALSE)),"")</f>
        <v/>
      </c>
      <c r="P431" s="196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  <c r="AA431" s="271"/>
      <c r="AB431" s="272"/>
      <c r="AC431" s="272"/>
      <c r="AD431" s="272"/>
      <c r="AE431" s="272"/>
      <c r="AF431" s="272"/>
      <c r="AG431" s="272"/>
      <c r="AH431" s="272"/>
      <c r="AI431" s="267"/>
    </row>
    <row r="432" spans="1:35" x14ac:dyDescent="0.2">
      <c r="A432" s="208" t="str">
        <f>+IF(D432="","",CONCATENATE("GBL 00",Mantenedor!E431))</f>
        <v/>
      </c>
      <c r="B432" s="214"/>
      <c r="C432" s="215"/>
      <c r="D432" s="215"/>
      <c r="E432" s="215"/>
      <c r="F432" s="215"/>
      <c r="G432" s="215"/>
      <c r="H432" s="215"/>
      <c r="I432" s="216"/>
      <c r="J432" s="217"/>
      <c r="K432" s="218"/>
      <c r="L432" s="217" t="str">
        <f t="shared" si="6"/>
        <v/>
      </c>
      <c r="M432" s="240"/>
      <c r="N432" s="225" t="str">
        <f>IF($K432="","",IF($K432=1,CONCATENATE("Base ",$M432," ",$K432," noche"),CONCATENATE("Base ",$M432," ",$K432," noches")))</f>
        <v/>
      </c>
      <c r="O432" s="239" t="str">
        <f>IFERROR((VLOOKUP($N432,Pricing!$D$2:$E$43,2,FALSE)),"")</f>
        <v/>
      </c>
      <c r="P432" s="196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  <c r="AA432" s="271"/>
      <c r="AB432" s="272"/>
      <c r="AC432" s="272"/>
      <c r="AD432" s="272"/>
      <c r="AE432" s="272"/>
      <c r="AF432" s="272"/>
      <c r="AG432" s="272"/>
      <c r="AH432" s="272"/>
      <c r="AI432" s="267"/>
    </row>
    <row r="433" spans="1:35" x14ac:dyDescent="0.2">
      <c r="A433" s="208" t="str">
        <f>+IF(D433="","",CONCATENATE("GBL 00",Mantenedor!E432))</f>
        <v/>
      </c>
      <c r="B433" s="214"/>
      <c r="C433" s="215"/>
      <c r="D433" s="215"/>
      <c r="E433" s="215"/>
      <c r="F433" s="215"/>
      <c r="G433" s="215"/>
      <c r="H433" s="215"/>
      <c r="I433" s="216"/>
      <c r="J433" s="217"/>
      <c r="K433" s="218"/>
      <c r="L433" s="217" t="str">
        <f t="shared" si="6"/>
        <v/>
      </c>
      <c r="M433" s="240"/>
      <c r="N433" s="225" t="str">
        <f>IF($K433="","",IF($K433=1,CONCATENATE("Base ",$M433," ",$K433," noche"),CONCATENATE("Base ",$M433," ",$K433," noches")))</f>
        <v/>
      </c>
      <c r="O433" s="239" t="str">
        <f>IFERROR((VLOOKUP($N433,Pricing!$D$2:$E$43,2,FALSE)),"")</f>
        <v/>
      </c>
      <c r="P433" s="196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  <c r="AA433" s="271"/>
      <c r="AB433" s="272"/>
      <c r="AC433" s="272"/>
      <c r="AD433" s="272"/>
      <c r="AE433" s="272"/>
      <c r="AF433" s="272"/>
      <c r="AG433" s="272"/>
      <c r="AH433" s="272"/>
      <c r="AI433" s="267"/>
    </row>
    <row r="434" spans="1:35" x14ac:dyDescent="0.2">
      <c r="A434" s="208" t="str">
        <f>+IF(D434="","",CONCATENATE("GBL 00",Mantenedor!E433))</f>
        <v/>
      </c>
      <c r="B434" s="214"/>
      <c r="C434" s="215"/>
      <c r="D434" s="215"/>
      <c r="E434" s="215"/>
      <c r="F434" s="215"/>
      <c r="G434" s="215"/>
      <c r="H434" s="215"/>
      <c r="I434" s="216"/>
      <c r="J434" s="217"/>
      <c r="K434" s="218"/>
      <c r="L434" s="217" t="str">
        <f t="shared" si="6"/>
        <v/>
      </c>
      <c r="M434" s="240"/>
      <c r="N434" s="225" t="str">
        <f>IF($K434="","",IF($K434=1,CONCATENATE("Base ",$M434," ",$K434," noche"),CONCATENATE("Base ",$M434," ",$K434," noches")))</f>
        <v/>
      </c>
      <c r="O434" s="239" t="str">
        <f>IFERROR((VLOOKUP($N434,Pricing!$D$2:$E$43,2,FALSE)),"")</f>
        <v/>
      </c>
      <c r="P434" s="196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  <c r="AA434" s="271"/>
      <c r="AB434" s="272"/>
      <c r="AC434" s="272"/>
      <c r="AD434" s="272"/>
      <c r="AE434" s="272"/>
      <c r="AF434" s="272"/>
      <c r="AG434" s="272"/>
      <c r="AH434" s="272"/>
      <c r="AI434" s="267"/>
    </row>
    <row r="435" spans="1:35" x14ac:dyDescent="0.2">
      <c r="A435" s="208" t="str">
        <f>+IF(D435="","",CONCATENATE("GBL 00",Mantenedor!E434))</f>
        <v/>
      </c>
      <c r="B435" s="214"/>
      <c r="C435" s="215"/>
      <c r="D435" s="215"/>
      <c r="E435" s="215"/>
      <c r="F435" s="215"/>
      <c r="G435" s="215"/>
      <c r="H435" s="215"/>
      <c r="I435" s="216"/>
      <c r="J435" s="217"/>
      <c r="K435" s="218"/>
      <c r="L435" s="217" t="str">
        <f t="shared" si="6"/>
        <v/>
      </c>
      <c r="M435" s="240"/>
      <c r="N435" s="225" t="str">
        <f>IF($K435="","",IF($K435=1,CONCATENATE("Base ",$M435," ",$K435," noche"),CONCATENATE("Base ",$M435," ",$K435," noches")))</f>
        <v/>
      </c>
      <c r="O435" s="239" t="str">
        <f>IFERROR((VLOOKUP($N435,Pricing!$D$2:$E$43,2,FALSE)),"")</f>
        <v/>
      </c>
      <c r="P435" s="196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  <c r="AA435" s="271"/>
      <c r="AB435" s="272"/>
      <c r="AC435" s="272"/>
      <c r="AD435" s="272"/>
      <c r="AE435" s="272"/>
      <c r="AF435" s="272"/>
      <c r="AG435" s="272"/>
      <c r="AH435" s="272"/>
      <c r="AI435" s="267"/>
    </row>
    <row r="436" spans="1:35" x14ac:dyDescent="0.2">
      <c r="A436" s="208" t="str">
        <f>+IF(D436="","",CONCATENATE("GBL 00",Mantenedor!E435))</f>
        <v/>
      </c>
      <c r="B436" s="214"/>
      <c r="C436" s="215"/>
      <c r="D436" s="215"/>
      <c r="E436" s="215"/>
      <c r="F436" s="215"/>
      <c r="G436" s="215"/>
      <c r="H436" s="215"/>
      <c r="I436" s="216"/>
      <c r="J436" s="217"/>
      <c r="K436" s="218"/>
      <c r="L436" s="217" t="str">
        <f t="shared" si="6"/>
        <v/>
      </c>
      <c r="M436" s="240"/>
      <c r="N436" s="225" t="str">
        <f>IF($K436="","",IF($K436=1,CONCATENATE("Base ",$M436," ",$K436," noche"),CONCATENATE("Base ",$M436," ",$K436," noches")))</f>
        <v/>
      </c>
      <c r="O436" s="239" t="str">
        <f>IFERROR((VLOOKUP($N436,Pricing!$D$2:$E$43,2,FALSE)),"")</f>
        <v/>
      </c>
      <c r="P436" s="196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  <c r="AA436" s="271"/>
      <c r="AB436" s="272"/>
      <c r="AC436" s="272"/>
      <c r="AD436" s="272"/>
      <c r="AE436" s="272"/>
      <c r="AF436" s="272"/>
      <c r="AG436" s="272"/>
      <c r="AH436" s="272"/>
      <c r="AI436" s="267"/>
    </row>
    <row r="437" spans="1:35" x14ac:dyDescent="0.2">
      <c r="A437" s="208" t="str">
        <f>+IF(D437="","",CONCATENATE("GBL 00",Mantenedor!E436))</f>
        <v/>
      </c>
      <c r="B437" s="214"/>
      <c r="C437" s="215"/>
      <c r="D437" s="215"/>
      <c r="E437" s="215"/>
      <c r="F437" s="215"/>
      <c r="G437" s="215"/>
      <c r="H437" s="215"/>
      <c r="I437" s="216"/>
      <c r="J437" s="217"/>
      <c r="K437" s="218"/>
      <c r="L437" s="217" t="str">
        <f t="shared" si="6"/>
        <v/>
      </c>
      <c r="M437" s="240"/>
      <c r="N437" s="225" t="str">
        <f>IF($K437="","",IF($K437=1,CONCATENATE("Base ",$M437," ",$K437," noche"),CONCATENATE("Base ",$M437," ",$K437," noches")))</f>
        <v/>
      </c>
      <c r="O437" s="239" t="str">
        <f>IFERROR((VLOOKUP($N437,Pricing!$D$2:$E$43,2,FALSE)),"")</f>
        <v/>
      </c>
      <c r="P437" s="196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  <c r="AA437" s="271"/>
      <c r="AB437" s="272"/>
      <c r="AC437" s="272"/>
      <c r="AD437" s="272"/>
      <c r="AE437" s="272"/>
      <c r="AF437" s="272"/>
      <c r="AG437" s="272"/>
      <c r="AH437" s="272"/>
      <c r="AI437" s="267"/>
    </row>
    <row r="438" spans="1:35" x14ac:dyDescent="0.2">
      <c r="A438" s="208" t="str">
        <f>+IF(D438="","",CONCATENATE("GBL 00",Mantenedor!E437))</f>
        <v/>
      </c>
      <c r="B438" s="214"/>
      <c r="C438" s="215"/>
      <c r="D438" s="215"/>
      <c r="E438" s="215"/>
      <c r="F438" s="215"/>
      <c r="G438" s="215"/>
      <c r="H438" s="215"/>
      <c r="I438" s="216"/>
      <c r="J438" s="217"/>
      <c r="K438" s="218"/>
      <c r="L438" s="217" t="str">
        <f t="shared" si="6"/>
        <v/>
      </c>
      <c r="M438" s="240"/>
      <c r="N438" s="225" t="str">
        <f>IF($K438="","",IF($K438=1,CONCATENATE("Base ",$M438," ",$K438," noche"),CONCATENATE("Base ",$M438," ",$K438," noches")))</f>
        <v/>
      </c>
      <c r="O438" s="239" t="str">
        <f>IFERROR((VLOOKUP($N438,Pricing!$D$2:$E$43,2,FALSE)),"")</f>
        <v/>
      </c>
      <c r="P438" s="196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  <c r="AA438" s="271"/>
      <c r="AB438" s="272"/>
      <c r="AC438" s="272"/>
      <c r="AD438" s="272"/>
      <c r="AE438" s="272"/>
      <c r="AF438" s="272"/>
      <c r="AG438" s="272"/>
      <c r="AH438" s="272"/>
      <c r="AI438" s="267"/>
    </row>
    <row r="439" spans="1:35" x14ac:dyDescent="0.2">
      <c r="A439" s="208" t="str">
        <f>+IF(D439="","",CONCATENATE("GBL 00",Mantenedor!E438))</f>
        <v/>
      </c>
      <c r="B439" s="214"/>
      <c r="C439" s="215"/>
      <c r="D439" s="215"/>
      <c r="E439" s="215"/>
      <c r="F439" s="215"/>
      <c r="G439" s="215"/>
      <c r="H439" s="215"/>
      <c r="I439" s="216"/>
      <c r="J439" s="217"/>
      <c r="K439" s="218"/>
      <c r="L439" s="217" t="str">
        <f t="shared" si="6"/>
        <v/>
      </c>
      <c r="M439" s="240"/>
      <c r="N439" s="225" t="str">
        <f>IF($K439="","",IF($K439=1,CONCATENATE("Base ",$M439," ",$K439," noche"),CONCATENATE("Base ",$M439," ",$K439," noches")))</f>
        <v/>
      </c>
      <c r="O439" s="239" t="str">
        <f>IFERROR((VLOOKUP($N439,Pricing!$D$2:$E$43,2,FALSE)),"")</f>
        <v/>
      </c>
      <c r="P439" s="196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  <c r="AA439" s="271"/>
      <c r="AB439" s="272"/>
      <c r="AC439" s="272"/>
      <c r="AD439" s="272"/>
      <c r="AE439" s="272"/>
      <c r="AF439" s="272"/>
      <c r="AG439" s="272"/>
      <c r="AH439" s="272"/>
      <c r="AI439" s="267"/>
    </row>
    <row r="440" spans="1:35" x14ac:dyDescent="0.2">
      <c r="A440" s="208" t="str">
        <f>+IF(D440="","",CONCATENATE("GBL 00",Mantenedor!E439))</f>
        <v/>
      </c>
      <c r="B440" s="214"/>
      <c r="C440" s="215"/>
      <c r="D440" s="215"/>
      <c r="E440" s="215"/>
      <c r="F440" s="215"/>
      <c r="G440" s="215"/>
      <c r="H440" s="215"/>
      <c r="I440" s="216"/>
      <c r="J440" s="217"/>
      <c r="K440" s="218"/>
      <c r="L440" s="217" t="str">
        <f t="shared" si="6"/>
        <v/>
      </c>
      <c r="M440" s="240"/>
      <c r="N440" s="225" t="str">
        <f>IF($K440="","",IF($K440=1,CONCATENATE("Base ",$M440," ",$K440," noche"),CONCATENATE("Base ",$M440," ",$K440," noches")))</f>
        <v/>
      </c>
      <c r="O440" s="239" t="str">
        <f>IFERROR((VLOOKUP($N440,Pricing!$D$2:$E$43,2,FALSE)),"")</f>
        <v/>
      </c>
      <c r="P440" s="196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  <c r="AA440" s="271"/>
      <c r="AB440" s="272"/>
      <c r="AC440" s="272"/>
      <c r="AD440" s="272"/>
      <c r="AE440" s="272"/>
      <c r="AF440" s="272"/>
      <c r="AG440" s="272"/>
      <c r="AH440" s="272"/>
      <c r="AI440" s="267"/>
    </row>
    <row r="441" spans="1:35" x14ac:dyDescent="0.2">
      <c r="A441" s="208" t="str">
        <f>+IF(D441="","",CONCATENATE("GBL 00",Mantenedor!E440))</f>
        <v/>
      </c>
      <c r="B441" s="214"/>
      <c r="C441" s="215"/>
      <c r="D441" s="215"/>
      <c r="E441" s="215"/>
      <c r="F441" s="215"/>
      <c r="G441" s="215"/>
      <c r="H441" s="215"/>
      <c r="I441" s="216"/>
      <c r="J441" s="217"/>
      <c r="K441" s="218"/>
      <c r="L441" s="217" t="str">
        <f t="shared" si="6"/>
        <v/>
      </c>
      <c r="M441" s="240"/>
      <c r="N441" s="225" t="str">
        <f>IF($K441="","",IF($K441=1,CONCATENATE("Base ",$M441," ",$K441," noche"),CONCATENATE("Base ",$M441," ",$K441," noches")))</f>
        <v/>
      </c>
      <c r="O441" s="239" t="str">
        <f>IFERROR((VLOOKUP($N441,Pricing!$D$2:$E$43,2,FALSE)),"")</f>
        <v/>
      </c>
      <c r="P441" s="196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  <c r="AA441" s="271"/>
      <c r="AB441" s="272"/>
      <c r="AC441" s="272"/>
      <c r="AD441" s="272"/>
      <c r="AE441" s="272"/>
      <c r="AF441" s="272"/>
      <c r="AG441" s="272"/>
      <c r="AH441" s="272"/>
      <c r="AI441" s="267"/>
    </row>
    <row r="442" spans="1:35" x14ac:dyDescent="0.2">
      <c r="A442" s="208" t="str">
        <f>+IF(D442="","",CONCATENATE("GBL 00",Mantenedor!E441))</f>
        <v/>
      </c>
      <c r="B442" s="214"/>
      <c r="C442" s="215"/>
      <c r="D442" s="215"/>
      <c r="E442" s="215"/>
      <c r="F442" s="215"/>
      <c r="G442" s="215"/>
      <c r="H442" s="215"/>
      <c r="I442" s="216"/>
      <c r="J442" s="217"/>
      <c r="K442" s="218"/>
      <c r="L442" s="217" t="str">
        <f t="shared" si="6"/>
        <v/>
      </c>
      <c r="M442" s="240"/>
      <c r="N442" s="225" t="str">
        <f>IF($K442="","",IF($K442=1,CONCATENATE("Base ",$M442," ",$K442," noche"),CONCATENATE("Base ",$M442," ",$K442," noches")))</f>
        <v/>
      </c>
      <c r="O442" s="239" t="str">
        <f>IFERROR((VLOOKUP($N442,Pricing!$D$2:$E$43,2,FALSE)),"")</f>
        <v/>
      </c>
      <c r="P442" s="196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  <c r="AA442" s="271"/>
      <c r="AB442" s="272"/>
      <c r="AC442" s="272"/>
      <c r="AD442" s="272"/>
      <c r="AE442" s="272"/>
      <c r="AF442" s="272"/>
      <c r="AG442" s="272"/>
      <c r="AH442" s="272"/>
      <c r="AI442" s="267"/>
    </row>
    <row r="443" spans="1:35" x14ac:dyDescent="0.2">
      <c r="A443" s="208" t="str">
        <f>+IF(D443="","",CONCATENATE("GBL 00",Mantenedor!E442))</f>
        <v/>
      </c>
      <c r="B443" s="214"/>
      <c r="C443" s="215"/>
      <c r="D443" s="215"/>
      <c r="E443" s="215"/>
      <c r="F443" s="215"/>
      <c r="G443" s="215"/>
      <c r="H443" s="215"/>
      <c r="I443" s="216"/>
      <c r="J443" s="217"/>
      <c r="K443" s="218"/>
      <c r="L443" s="217" t="str">
        <f t="shared" si="6"/>
        <v/>
      </c>
      <c r="M443" s="240"/>
      <c r="N443" s="225" t="str">
        <f>IF($K443="","",IF($K443=1,CONCATENATE("Base ",$M443," ",$K443," noche"),CONCATENATE("Base ",$M443," ",$K443," noches")))</f>
        <v/>
      </c>
      <c r="O443" s="239" t="str">
        <f>IFERROR((VLOOKUP($N443,Pricing!$D$2:$E$43,2,FALSE)),"")</f>
        <v/>
      </c>
      <c r="P443" s="196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  <c r="AA443" s="271"/>
      <c r="AB443" s="272"/>
      <c r="AC443" s="272"/>
      <c r="AD443" s="272"/>
      <c r="AE443" s="272"/>
      <c r="AF443" s="272"/>
      <c r="AG443" s="272"/>
      <c r="AH443" s="272"/>
      <c r="AI443" s="267"/>
    </row>
    <row r="444" spans="1:35" x14ac:dyDescent="0.2">
      <c r="A444" s="208" t="str">
        <f>+IF(D444="","",CONCATENATE("GBL 00",Mantenedor!E443))</f>
        <v/>
      </c>
      <c r="B444" s="214"/>
      <c r="C444" s="215"/>
      <c r="D444" s="215"/>
      <c r="E444" s="215"/>
      <c r="F444" s="215"/>
      <c r="G444" s="215"/>
      <c r="H444" s="215"/>
      <c r="I444" s="216"/>
      <c r="J444" s="217"/>
      <c r="K444" s="218"/>
      <c r="L444" s="217" t="str">
        <f t="shared" si="6"/>
        <v/>
      </c>
      <c r="M444" s="240"/>
      <c r="N444" s="225" t="str">
        <f>IF($K444="","",IF($K444=1,CONCATENATE("Base ",$M444," ",$K444," noche"),CONCATENATE("Base ",$M444," ",$K444," noches")))</f>
        <v/>
      </c>
      <c r="O444" s="239" t="str">
        <f>IFERROR((VLOOKUP($N444,Pricing!$D$2:$E$43,2,FALSE)),"")</f>
        <v/>
      </c>
      <c r="P444" s="196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  <c r="AA444" s="271"/>
      <c r="AB444" s="272"/>
      <c r="AC444" s="272"/>
      <c r="AD444" s="272"/>
      <c r="AE444" s="272"/>
      <c r="AF444" s="272"/>
      <c r="AG444" s="272"/>
      <c r="AH444" s="272"/>
      <c r="AI444" s="267"/>
    </row>
    <row r="445" spans="1:35" x14ac:dyDescent="0.2">
      <c r="A445" s="208" t="str">
        <f>+IF(D445="","",CONCATENATE("GBL 00",Mantenedor!E444))</f>
        <v/>
      </c>
      <c r="B445" s="214"/>
      <c r="C445" s="215"/>
      <c r="D445" s="215"/>
      <c r="E445" s="215"/>
      <c r="F445" s="215"/>
      <c r="G445" s="215"/>
      <c r="H445" s="215"/>
      <c r="I445" s="216"/>
      <c r="J445" s="217"/>
      <c r="K445" s="218"/>
      <c r="L445" s="217" t="str">
        <f t="shared" si="6"/>
        <v/>
      </c>
      <c r="M445" s="240"/>
      <c r="N445" s="225" t="str">
        <f>IF($K445="","",IF($K445=1,CONCATENATE("Base ",$M445," ",$K445," noche"),CONCATENATE("Base ",$M445," ",$K445," noches")))</f>
        <v/>
      </c>
      <c r="O445" s="239" t="str">
        <f>IFERROR((VLOOKUP($N445,Pricing!$D$2:$E$43,2,FALSE)),"")</f>
        <v/>
      </c>
      <c r="P445" s="196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71"/>
      <c r="AB445" s="272"/>
      <c r="AC445" s="272"/>
      <c r="AD445" s="272"/>
      <c r="AE445" s="272"/>
      <c r="AF445" s="272"/>
      <c r="AG445" s="272"/>
      <c r="AH445" s="272"/>
      <c r="AI445" s="267"/>
    </row>
    <row r="446" spans="1:35" x14ac:dyDescent="0.2">
      <c r="A446" s="208" t="str">
        <f>+IF(D446="","",CONCATENATE("GBL 00",Mantenedor!E445))</f>
        <v/>
      </c>
      <c r="B446" s="214"/>
      <c r="C446" s="215"/>
      <c r="D446" s="215"/>
      <c r="E446" s="215"/>
      <c r="F446" s="215"/>
      <c r="G446" s="215"/>
      <c r="H446" s="215"/>
      <c r="I446" s="216"/>
      <c r="J446" s="217"/>
      <c r="K446" s="218"/>
      <c r="L446" s="217" t="str">
        <f t="shared" si="6"/>
        <v/>
      </c>
      <c r="M446" s="240"/>
      <c r="N446" s="225" t="str">
        <f>IF($K446="","",IF($K446=1,CONCATENATE("Base ",$M446," ",$K446," noche"),CONCATENATE("Base ",$M446," ",$K446," noches")))</f>
        <v/>
      </c>
      <c r="O446" s="239" t="str">
        <f>IFERROR((VLOOKUP($N446,Pricing!$D$2:$E$43,2,FALSE)),"")</f>
        <v/>
      </c>
      <c r="P446" s="196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71"/>
      <c r="AB446" s="272"/>
      <c r="AC446" s="272"/>
      <c r="AD446" s="272"/>
      <c r="AE446" s="272"/>
      <c r="AF446" s="272"/>
      <c r="AG446" s="272"/>
      <c r="AH446" s="272"/>
      <c r="AI446" s="267"/>
    </row>
    <row r="447" spans="1:35" x14ac:dyDescent="0.2">
      <c r="A447" s="208" t="str">
        <f>+IF(D447="","",CONCATENATE("GBL 00",Mantenedor!E446))</f>
        <v/>
      </c>
      <c r="B447" s="214"/>
      <c r="C447" s="215"/>
      <c r="D447" s="215"/>
      <c r="E447" s="215"/>
      <c r="F447" s="215"/>
      <c r="G447" s="215"/>
      <c r="H447" s="215"/>
      <c r="I447" s="216"/>
      <c r="J447" s="217"/>
      <c r="K447" s="218"/>
      <c r="L447" s="217" t="str">
        <f t="shared" si="6"/>
        <v/>
      </c>
      <c r="M447" s="240"/>
      <c r="N447" s="225" t="str">
        <f>IF($K447="","",IF($K447=1,CONCATENATE("Base ",$M447," ",$K447," noche"),CONCATENATE("Base ",$M447," ",$K447," noches")))</f>
        <v/>
      </c>
      <c r="O447" s="239" t="str">
        <f>IFERROR((VLOOKUP($N447,Pricing!$D$2:$E$43,2,FALSE)),"")</f>
        <v/>
      </c>
      <c r="P447" s="196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71"/>
      <c r="AB447" s="272"/>
      <c r="AC447" s="272"/>
      <c r="AD447" s="272"/>
      <c r="AE447" s="272"/>
      <c r="AF447" s="272"/>
      <c r="AG447" s="272"/>
      <c r="AH447" s="272"/>
      <c r="AI447" s="267"/>
    </row>
    <row r="448" spans="1:35" x14ac:dyDescent="0.2">
      <c r="A448" s="208" t="str">
        <f>+IF(D448="","",CONCATENATE("GBL 00",Mantenedor!E447))</f>
        <v/>
      </c>
      <c r="B448" s="214"/>
      <c r="C448" s="215"/>
      <c r="D448" s="215"/>
      <c r="E448" s="215"/>
      <c r="F448" s="215"/>
      <c r="G448" s="215"/>
      <c r="H448" s="215"/>
      <c r="I448" s="216"/>
      <c r="J448" s="217"/>
      <c r="K448" s="218"/>
      <c r="L448" s="217" t="str">
        <f t="shared" si="6"/>
        <v/>
      </c>
      <c r="M448" s="240"/>
      <c r="N448" s="225" t="str">
        <f>IF($K448="","",IF($K448=1,CONCATENATE("Base ",$M448," ",$K448," noche"),CONCATENATE("Base ",$M448," ",$K448," noches")))</f>
        <v/>
      </c>
      <c r="O448" s="239" t="str">
        <f>IFERROR((VLOOKUP($N448,Pricing!$D$2:$E$43,2,FALSE)),"")</f>
        <v/>
      </c>
      <c r="P448" s="196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71"/>
      <c r="AB448" s="272"/>
      <c r="AC448" s="272"/>
      <c r="AD448" s="272"/>
      <c r="AE448" s="272"/>
      <c r="AF448" s="272"/>
      <c r="AG448" s="272"/>
      <c r="AH448" s="272"/>
      <c r="AI448" s="267"/>
    </row>
    <row r="449" spans="1:35" x14ac:dyDescent="0.2">
      <c r="A449" s="208" t="str">
        <f>+IF(D449="","",CONCATENATE("GBL 00",Mantenedor!E448))</f>
        <v/>
      </c>
      <c r="B449" s="214"/>
      <c r="C449" s="215"/>
      <c r="D449" s="215"/>
      <c r="E449" s="215"/>
      <c r="F449" s="215"/>
      <c r="G449" s="215"/>
      <c r="H449" s="215"/>
      <c r="I449" s="216"/>
      <c r="J449" s="217"/>
      <c r="K449" s="218"/>
      <c r="L449" s="217" t="str">
        <f t="shared" si="6"/>
        <v/>
      </c>
      <c r="M449" s="240"/>
      <c r="N449" s="225" t="str">
        <f>IF($K449="","",IF($K449=1,CONCATENATE("Base ",$M449," ",$K449," noche"),CONCATENATE("Base ",$M449," ",$K449," noches")))</f>
        <v/>
      </c>
      <c r="O449" s="239" t="str">
        <f>IFERROR((VLOOKUP($N449,Pricing!$D$2:$E$43,2,FALSE)),"")</f>
        <v/>
      </c>
      <c r="P449" s="196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71"/>
      <c r="AB449" s="272"/>
      <c r="AC449" s="272"/>
      <c r="AD449" s="272"/>
      <c r="AE449" s="272"/>
      <c r="AF449" s="272"/>
      <c r="AG449" s="272"/>
      <c r="AH449" s="272"/>
      <c r="AI449" s="267"/>
    </row>
    <row r="450" spans="1:35" x14ac:dyDescent="0.2">
      <c r="A450" s="208" t="str">
        <f>+IF(D450="","",CONCATENATE("GBL 00",Mantenedor!E449))</f>
        <v/>
      </c>
      <c r="B450" s="214"/>
      <c r="C450" s="215"/>
      <c r="D450" s="215"/>
      <c r="E450" s="215"/>
      <c r="F450" s="215"/>
      <c r="G450" s="215"/>
      <c r="H450" s="215"/>
      <c r="I450" s="216"/>
      <c r="J450" s="217"/>
      <c r="K450" s="218"/>
      <c r="L450" s="217" t="str">
        <f t="shared" si="6"/>
        <v/>
      </c>
      <c r="M450" s="240"/>
      <c r="N450" s="225" t="str">
        <f>IF($K450="","",IF($K450=1,CONCATENATE("Base ",$M450," ",$K450," noche"),CONCATENATE("Base ",$M450," ",$K450," noches")))</f>
        <v/>
      </c>
      <c r="O450" s="239" t="str">
        <f>IFERROR((VLOOKUP($N450,Pricing!$D$2:$E$43,2,FALSE)),"")</f>
        <v/>
      </c>
      <c r="P450" s="196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  <c r="AA450" s="271"/>
      <c r="AB450" s="272"/>
      <c r="AC450" s="272"/>
      <c r="AD450" s="272"/>
      <c r="AE450" s="272"/>
      <c r="AF450" s="272"/>
      <c r="AG450" s="272"/>
      <c r="AH450" s="272"/>
      <c r="AI450" s="267"/>
    </row>
    <row r="451" spans="1:35" x14ac:dyDescent="0.2">
      <c r="A451" s="208" t="str">
        <f>+IF(D451="","",CONCATENATE("GBL 00",Mantenedor!E450))</f>
        <v/>
      </c>
      <c r="B451" s="214"/>
      <c r="C451" s="215"/>
      <c r="D451" s="215"/>
      <c r="E451" s="215"/>
      <c r="F451" s="215"/>
      <c r="G451" s="215"/>
      <c r="H451" s="215"/>
      <c r="I451" s="216"/>
      <c r="J451" s="217"/>
      <c r="K451" s="218"/>
      <c r="L451" s="217" t="str">
        <f t="shared" si="6"/>
        <v/>
      </c>
      <c r="M451" s="240"/>
      <c r="N451" s="225" t="str">
        <f>IF($K451="","",IF($K451=1,CONCATENATE("Base ",$M451," ",$K451," noche"),CONCATENATE("Base ",$M451," ",$K451," noches")))</f>
        <v/>
      </c>
      <c r="O451" s="239" t="str">
        <f>IFERROR((VLOOKUP($N451,Pricing!$D$2:$E$43,2,FALSE)),"")</f>
        <v/>
      </c>
      <c r="P451" s="196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  <c r="AA451" s="271"/>
      <c r="AB451" s="272"/>
      <c r="AC451" s="272"/>
      <c r="AD451" s="272"/>
      <c r="AE451" s="272"/>
      <c r="AF451" s="272"/>
      <c r="AG451" s="272"/>
      <c r="AH451" s="272"/>
      <c r="AI451" s="267"/>
    </row>
    <row r="452" spans="1:35" x14ac:dyDescent="0.2">
      <c r="A452" s="208" t="str">
        <f>+IF(D452="","",CONCATENATE("GBL 00",Mantenedor!E451))</f>
        <v/>
      </c>
      <c r="B452" s="214"/>
      <c r="C452" s="215"/>
      <c r="D452" s="215"/>
      <c r="E452" s="215"/>
      <c r="F452" s="215"/>
      <c r="G452" s="215"/>
      <c r="H452" s="215"/>
      <c r="I452" s="216"/>
      <c r="J452" s="217"/>
      <c r="K452" s="218"/>
      <c r="L452" s="217" t="str">
        <f t="shared" ref="L452:L502" si="7">IF(K452="","",(J452+K452))</f>
        <v/>
      </c>
      <c r="M452" s="240"/>
      <c r="N452" s="225" t="str">
        <f>IF($K452="","",IF($K452=1,CONCATENATE("Base ",$M452," ",$K452," noche"),CONCATENATE("Base ",$M452," ",$K452," noches")))</f>
        <v/>
      </c>
      <c r="O452" s="239" t="str">
        <f>IFERROR((VLOOKUP($N452,Pricing!$D$2:$E$43,2,FALSE)),"")</f>
        <v/>
      </c>
      <c r="P452" s="196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  <c r="AA452" s="271"/>
      <c r="AB452" s="272"/>
      <c r="AC452" s="272"/>
      <c r="AD452" s="272"/>
      <c r="AE452" s="272"/>
      <c r="AF452" s="272"/>
      <c r="AG452" s="272"/>
      <c r="AH452" s="272"/>
      <c r="AI452" s="267"/>
    </row>
    <row r="453" spans="1:35" x14ac:dyDescent="0.2">
      <c r="A453" s="208" t="str">
        <f>+IF(D453="","",CONCATENATE("GBL 00",Mantenedor!E452))</f>
        <v/>
      </c>
      <c r="B453" s="214"/>
      <c r="C453" s="215"/>
      <c r="D453" s="215"/>
      <c r="E453" s="215"/>
      <c r="F453" s="215"/>
      <c r="G453" s="215"/>
      <c r="H453" s="215"/>
      <c r="I453" s="216"/>
      <c r="J453" s="217"/>
      <c r="K453" s="218"/>
      <c r="L453" s="217" t="str">
        <f t="shared" si="7"/>
        <v/>
      </c>
      <c r="M453" s="240"/>
      <c r="N453" s="225" t="str">
        <f>IF($K453="","",IF($K453=1,CONCATENATE("Base ",$M453," ",$K453," noche"),CONCATENATE("Base ",$M453," ",$K453," noches")))</f>
        <v/>
      </c>
      <c r="O453" s="239" t="str">
        <f>IFERROR((VLOOKUP($N453,Pricing!$D$2:$E$43,2,FALSE)),"")</f>
        <v/>
      </c>
      <c r="P453" s="196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  <c r="AA453" s="271"/>
      <c r="AB453" s="272"/>
      <c r="AC453" s="272"/>
      <c r="AD453" s="272"/>
      <c r="AE453" s="272"/>
      <c r="AF453" s="272"/>
      <c r="AG453" s="272"/>
      <c r="AH453" s="272"/>
      <c r="AI453" s="267"/>
    </row>
    <row r="454" spans="1:35" x14ac:dyDescent="0.2">
      <c r="A454" s="208" t="str">
        <f>+IF(D454="","",CONCATENATE("GBL 00",Mantenedor!E453))</f>
        <v/>
      </c>
      <c r="B454" s="214"/>
      <c r="C454" s="215"/>
      <c r="D454" s="215"/>
      <c r="E454" s="215"/>
      <c r="F454" s="215"/>
      <c r="G454" s="215"/>
      <c r="H454" s="215"/>
      <c r="I454" s="216"/>
      <c r="J454" s="217"/>
      <c r="K454" s="218"/>
      <c r="L454" s="217" t="str">
        <f t="shared" si="7"/>
        <v/>
      </c>
      <c r="M454" s="240"/>
      <c r="N454" s="225" t="str">
        <f>IF($K454="","",IF($K454=1,CONCATENATE("Base ",$M454," ",$K454," noche"),CONCATENATE("Base ",$M454," ",$K454," noches")))</f>
        <v/>
      </c>
      <c r="O454" s="239" t="str">
        <f>IFERROR((VLOOKUP($N454,Pricing!$D$2:$E$43,2,FALSE)),"")</f>
        <v/>
      </c>
      <c r="P454" s="196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  <c r="AA454" s="271"/>
      <c r="AB454" s="272"/>
      <c r="AC454" s="272"/>
      <c r="AD454" s="272"/>
      <c r="AE454" s="272"/>
      <c r="AF454" s="272"/>
      <c r="AG454" s="272"/>
      <c r="AH454" s="272"/>
      <c r="AI454" s="267"/>
    </row>
    <row r="455" spans="1:35" x14ac:dyDescent="0.2">
      <c r="A455" s="208" t="str">
        <f>+IF(D455="","",CONCATENATE("GBL 00",Mantenedor!E454))</f>
        <v/>
      </c>
      <c r="B455" s="214"/>
      <c r="C455" s="215"/>
      <c r="D455" s="215"/>
      <c r="E455" s="215"/>
      <c r="F455" s="215"/>
      <c r="G455" s="215"/>
      <c r="H455" s="215"/>
      <c r="I455" s="216"/>
      <c r="J455" s="217"/>
      <c r="K455" s="218"/>
      <c r="L455" s="217" t="str">
        <f t="shared" si="7"/>
        <v/>
      </c>
      <c r="M455" s="240"/>
      <c r="N455" s="225" t="str">
        <f>IF($K455="","",IF($K455=1,CONCATENATE("Base ",$M455," ",$K455," noche"),CONCATENATE("Base ",$M455," ",$K455," noches")))</f>
        <v/>
      </c>
      <c r="O455" s="239" t="str">
        <f>IFERROR((VLOOKUP($N455,Pricing!$D$2:$E$43,2,FALSE)),"")</f>
        <v/>
      </c>
      <c r="P455" s="196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  <c r="AA455" s="271"/>
      <c r="AB455" s="272"/>
      <c r="AC455" s="272"/>
      <c r="AD455" s="272"/>
      <c r="AE455" s="272"/>
      <c r="AF455" s="272"/>
      <c r="AG455" s="272"/>
      <c r="AH455" s="272"/>
      <c r="AI455" s="267"/>
    </row>
    <row r="456" spans="1:35" x14ac:dyDescent="0.2">
      <c r="A456" s="208" t="str">
        <f>+IF(D456="","",CONCATENATE("GBL 00",Mantenedor!E455))</f>
        <v/>
      </c>
      <c r="B456" s="214"/>
      <c r="C456" s="215"/>
      <c r="D456" s="215"/>
      <c r="E456" s="215"/>
      <c r="F456" s="215"/>
      <c r="G456" s="215"/>
      <c r="H456" s="215"/>
      <c r="I456" s="216"/>
      <c r="J456" s="217"/>
      <c r="K456" s="218"/>
      <c r="L456" s="217" t="str">
        <f t="shared" si="7"/>
        <v/>
      </c>
      <c r="M456" s="240"/>
      <c r="N456" s="225" t="str">
        <f>IF($K456="","",IF($K456=1,CONCATENATE("Base ",$M456," ",$K456," noche"),CONCATENATE("Base ",$M456," ",$K456," noches")))</f>
        <v/>
      </c>
      <c r="O456" s="239" t="str">
        <f>IFERROR((VLOOKUP($N456,Pricing!$D$2:$E$43,2,FALSE)),"")</f>
        <v/>
      </c>
      <c r="P456" s="196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  <c r="AA456" s="271"/>
      <c r="AB456" s="272"/>
      <c r="AC456" s="272"/>
      <c r="AD456" s="272"/>
      <c r="AE456" s="272"/>
      <c r="AF456" s="272"/>
      <c r="AG456" s="272"/>
      <c r="AH456" s="272"/>
      <c r="AI456" s="267"/>
    </row>
    <row r="457" spans="1:35" x14ac:dyDescent="0.2">
      <c r="A457" s="208" t="str">
        <f>+IF(D457="","",CONCATENATE("GBL 00",Mantenedor!E456))</f>
        <v/>
      </c>
      <c r="B457" s="214"/>
      <c r="C457" s="215"/>
      <c r="D457" s="215"/>
      <c r="E457" s="215"/>
      <c r="F457" s="215"/>
      <c r="G457" s="215"/>
      <c r="H457" s="215"/>
      <c r="I457" s="216"/>
      <c r="J457" s="217"/>
      <c r="K457" s="218"/>
      <c r="L457" s="217" t="str">
        <f t="shared" si="7"/>
        <v/>
      </c>
      <c r="M457" s="240"/>
      <c r="N457" s="225" t="str">
        <f>IF($K457="","",IF($K457=1,CONCATENATE("Base ",$M457," ",$K457," noche"),CONCATENATE("Base ",$M457," ",$K457," noches")))</f>
        <v/>
      </c>
      <c r="O457" s="239" t="str">
        <f>IFERROR((VLOOKUP($N457,Pricing!$D$2:$E$43,2,FALSE)),"")</f>
        <v/>
      </c>
      <c r="P457" s="196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  <c r="AA457" s="271"/>
      <c r="AB457" s="272"/>
      <c r="AC457" s="272"/>
      <c r="AD457" s="272"/>
      <c r="AE457" s="272"/>
      <c r="AF457" s="272"/>
      <c r="AG457" s="272"/>
      <c r="AH457" s="272"/>
      <c r="AI457" s="267"/>
    </row>
    <row r="458" spans="1:35" x14ac:dyDescent="0.2">
      <c r="A458" s="208" t="str">
        <f>+IF(D458="","",CONCATENATE("GBL 00",Mantenedor!E457))</f>
        <v/>
      </c>
      <c r="B458" s="214"/>
      <c r="C458" s="215"/>
      <c r="D458" s="215"/>
      <c r="E458" s="215"/>
      <c r="F458" s="215"/>
      <c r="G458" s="215"/>
      <c r="H458" s="215"/>
      <c r="I458" s="216"/>
      <c r="J458" s="217"/>
      <c r="K458" s="218"/>
      <c r="L458" s="217" t="str">
        <f t="shared" si="7"/>
        <v/>
      </c>
      <c r="M458" s="240"/>
      <c r="N458" s="225" t="str">
        <f>IF($K458="","",IF($K458=1,CONCATENATE("Base ",$M458," ",$K458," noche"),CONCATENATE("Base ",$M458," ",$K458," noches")))</f>
        <v/>
      </c>
      <c r="O458" s="239" t="str">
        <f>IFERROR((VLOOKUP($N458,Pricing!$D$2:$E$43,2,FALSE)),"")</f>
        <v/>
      </c>
      <c r="P458" s="196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  <c r="AA458" s="271"/>
      <c r="AB458" s="272"/>
      <c r="AC458" s="272"/>
      <c r="AD458" s="272"/>
      <c r="AE458" s="272"/>
      <c r="AF458" s="272"/>
      <c r="AG458" s="272"/>
      <c r="AH458" s="272"/>
      <c r="AI458" s="267"/>
    </row>
    <row r="459" spans="1:35" x14ac:dyDescent="0.2">
      <c r="A459" s="208" t="str">
        <f>+IF(D459="","",CONCATENATE("GBL 00",Mantenedor!E458))</f>
        <v/>
      </c>
      <c r="B459" s="214"/>
      <c r="C459" s="215"/>
      <c r="D459" s="215"/>
      <c r="E459" s="215"/>
      <c r="F459" s="215"/>
      <c r="G459" s="215"/>
      <c r="H459" s="215"/>
      <c r="I459" s="216"/>
      <c r="J459" s="217"/>
      <c r="K459" s="218"/>
      <c r="L459" s="217" t="str">
        <f t="shared" si="7"/>
        <v/>
      </c>
      <c r="M459" s="240"/>
      <c r="N459" s="225" t="str">
        <f>IF($K459="","",IF($K459=1,CONCATENATE("Base ",$M459," ",$K459," noche"),CONCATENATE("Base ",$M459," ",$K459," noches")))</f>
        <v/>
      </c>
      <c r="O459" s="239" t="str">
        <f>IFERROR((VLOOKUP($N459,Pricing!$D$2:$E$43,2,FALSE)),"")</f>
        <v/>
      </c>
      <c r="P459" s="196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  <c r="AA459" s="271"/>
      <c r="AB459" s="272"/>
      <c r="AC459" s="272"/>
      <c r="AD459" s="272"/>
      <c r="AE459" s="272"/>
      <c r="AF459" s="272"/>
      <c r="AG459" s="272"/>
      <c r="AH459" s="272"/>
      <c r="AI459" s="267"/>
    </row>
    <row r="460" spans="1:35" x14ac:dyDescent="0.2">
      <c r="A460" s="208" t="str">
        <f>+IF(D460="","",CONCATENATE("GBL 00",Mantenedor!E459))</f>
        <v/>
      </c>
      <c r="B460" s="214"/>
      <c r="C460" s="215"/>
      <c r="D460" s="215"/>
      <c r="E460" s="215"/>
      <c r="F460" s="215"/>
      <c r="G460" s="215"/>
      <c r="H460" s="215"/>
      <c r="I460" s="216"/>
      <c r="J460" s="217"/>
      <c r="K460" s="218"/>
      <c r="L460" s="217" t="str">
        <f t="shared" si="7"/>
        <v/>
      </c>
      <c r="M460" s="240"/>
      <c r="N460" s="225" t="str">
        <f>IF($K460="","",IF($K460=1,CONCATENATE("Base ",$M460," ",$K460," noche"),CONCATENATE("Base ",$M460," ",$K460," noches")))</f>
        <v/>
      </c>
      <c r="O460" s="239" t="str">
        <f>IFERROR((VLOOKUP($N460,Pricing!$D$2:$E$43,2,FALSE)),"")</f>
        <v/>
      </c>
      <c r="P460" s="196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  <c r="AA460" s="271"/>
      <c r="AB460" s="272"/>
      <c r="AC460" s="272"/>
      <c r="AD460" s="272"/>
      <c r="AE460" s="272"/>
      <c r="AF460" s="272"/>
      <c r="AG460" s="272"/>
      <c r="AH460" s="272"/>
      <c r="AI460" s="267"/>
    </row>
    <row r="461" spans="1:35" x14ac:dyDescent="0.2">
      <c r="A461" s="208" t="str">
        <f>+IF(D461="","",CONCATENATE("GBL 00",Mantenedor!E460))</f>
        <v/>
      </c>
      <c r="B461" s="214"/>
      <c r="C461" s="215"/>
      <c r="D461" s="215"/>
      <c r="E461" s="215"/>
      <c r="F461" s="215"/>
      <c r="G461" s="215"/>
      <c r="H461" s="215"/>
      <c r="I461" s="216"/>
      <c r="J461" s="217"/>
      <c r="K461" s="218"/>
      <c r="L461" s="217" t="str">
        <f t="shared" si="7"/>
        <v/>
      </c>
      <c r="M461" s="240"/>
      <c r="N461" s="225" t="str">
        <f>IF($K461="","",IF($K461=1,CONCATENATE("Base ",$M461," ",$K461," noche"),CONCATENATE("Base ",$M461," ",$K461," noches")))</f>
        <v/>
      </c>
      <c r="O461" s="239" t="str">
        <f>IFERROR((VLOOKUP($N461,Pricing!$D$2:$E$43,2,FALSE)),"")</f>
        <v/>
      </c>
      <c r="P461" s="196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  <c r="AA461" s="271"/>
      <c r="AB461" s="272"/>
      <c r="AC461" s="272"/>
      <c r="AD461" s="272"/>
      <c r="AE461" s="272"/>
      <c r="AF461" s="272"/>
      <c r="AG461" s="272"/>
      <c r="AH461" s="272"/>
      <c r="AI461" s="267"/>
    </row>
    <row r="462" spans="1:35" x14ac:dyDescent="0.2">
      <c r="A462" s="208" t="str">
        <f>+IF(D462="","",CONCATENATE("GBL 00",Mantenedor!E461))</f>
        <v/>
      </c>
      <c r="B462" s="214"/>
      <c r="C462" s="215"/>
      <c r="D462" s="215"/>
      <c r="E462" s="215"/>
      <c r="F462" s="215"/>
      <c r="G462" s="215"/>
      <c r="H462" s="215"/>
      <c r="I462" s="216"/>
      <c r="J462" s="217"/>
      <c r="K462" s="218"/>
      <c r="L462" s="217" t="str">
        <f t="shared" si="7"/>
        <v/>
      </c>
      <c r="M462" s="240"/>
      <c r="N462" s="225" t="str">
        <f>IF($K462="","",IF($K462=1,CONCATENATE("Base ",$M462," ",$K462," noche"),CONCATENATE("Base ",$M462," ",$K462," noches")))</f>
        <v/>
      </c>
      <c r="O462" s="239" t="str">
        <f>IFERROR((VLOOKUP($N462,Pricing!$D$2:$E$43,2,FALSE)),"")</f>
        <v/>
      </c>
      <c r="P462" s="196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  <c r="AA462" s="271"/>
      <c r="AB462" s="272"/>
      <c r="AC462" s="272"/>
      <c r="AD462" s="272"/>
      <c r="AE462" s="272"/>
      <c r="AF462" s="272"/>
      <c r="AG462" s="272"/>
      <c r="AH462" s="272"/>
      <c r="AI462" s="267"/>
    </row>
    <row r="463" spans="1:35" x14ac:dyDescent="0.2">
      <c r="A463" s="208" t="str">
        <f>+IF(D463="","",CONCATENATE("GBL 00",Mantenedor!E462))</f>
        <v/>
      </c>
      <c r="B463" s="214"/>
      <c r="C463" s="215"/>
      <c r="D463" s="215"/>
      <c r="E463" s="215"/>
      <c r="F463" s="215"/>
      <c r="G463" s="215"/>
      <c r="H463" s="215"/>
      <c r="I463" s="216"/>
      <c r="J463" s="217"/>
      <c r="K463" s="218"/>
      <c r="L463" s="217" t="str">
        <f t="shared" si="7"/>
        <v/>
      </c>
      <c r="M463" s="240"/>
      <c r="N463" s="225" t="str">
        <f>IF($K463="","",IF($K463=1,CONCATENATE("Base ",$M463," ",$K463," noche"),CONCATENATE("Base ",$M463," ",$K463," noches")))</f>
        <v/>
      </c>
      <c r="O463" s="239" t="str">
        <f>IFERROR((VLOOKUP($N463,Pricing!$D$2:$E$43,2,FALSE)),"")</f>
        <v/>
      </c>
      <c r="P463" s="196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  <c r="AA463" s="271"/>
      <c r="AB463" s="272"/>
      <c r="AC463" s="272"/>
      <c r="AD463" s="272"/>
      <c r="AE463" s="272"/>
      <c r="AF463" s="272"/>
      <c r="AG463" s="272"/>
      <c r="AH463" s="272"/>
      <c r="AI463" s="267"/>
    </row>
    <row r="464" spans="1:35" x14ac:dyDescent="0.2">
      <c r="A464" s="208" t="str">
        <f>+IF(D464="","",CONCATENATE("GBL 00",Mantenedor!E463))</f>
        <v/>
      </c>
      <c r="B464" s="214"/>
      <c r="C464" s="215"/>
      <c r="D464" s="215"/>
      <c r="E464" s="215"/>
      <c r="F464" s="215"/>
      <c r="G464" s="215"/>
      <c r="H464" s="215"/>
      <c r="I464" s="216"/>
      <c r="J464" s="217"/>
      <c r="K464" s="218"/>
      <c r="L464" s="217" t="str">
        <f t="shared" si="7"/>
        <v/>
      </c>
      <c r="M464" s="240"/>
      <c r="N464" s="225" t="str">
        <f>IF($K464="","",IF($K464=1,CONCATENATE("Base ",$M464," ",$K464," noche"),CONCATENATE("Base ",$M464," ",$K464," noches")))</f>
        <v/>
      </c>
      <c r="O464" s="239" t="str">
        <f>IFERROR((VLOOKUP($N464,Pricing!$D$2:$E$43,2,FALSE)),"")</f>
        <v/>
      </c>
      <c r="P464" s="196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  <c r="AA464" s="271"/>
      <c r="AB464" s="272"/>
      <c r="AC464" s="272"/>
      <c r="AD464" s="272"/>
      <c r="AE464" s="272"/>
      <c r="AF464" s="272"/>
      <c r="AG464" s="272"/>
      <c r="AH464" s="272"/>
      <c r="AI464" s="267"/>
    </row>
    <row r="465" spans="1:35" x14ac:dyDescent="0.2">
      <c r="A465" s="208" t="str">
        <f>+IF(D465="","",CONCATENATE("GBL 00",Mantenedor!E464))</f>
        <v/>
      </c>
      <c r="B465" s="214"/>
      <c r="C465" s="215"/>
      <c r="D465" s="215"/>
      <c r="E465" s="215"/>
      <c r="F465" s="215"/>
      <c r="G465" s="215"/>
      <c r="H465" s="215"/>
      <c r="I465" s="216"/>
      <c r="J465" s="217"/>
      <c r="K465" s="218"/>
      <c r="L465" s="217" t="str">
        <f t="shared" si="7"/>
        <v/>
      </c>
      <c r="M465" s="240"/>
      <c r="N465" s="225" t="str">
        <f>IF($K465="","",IF($K465=1,CONCATENATE("Base ",$M465," ",$K465," noche"),CONCATENATE("Base ",$M465," ",$K465," noches")))</f>
        <v/>
      </c>
      <c r="O465" s="239" t="str">
        <f>IFERROR((VLOOKUP($N465,Pricing!$D$2:$E$43,2,FALSE)),"")</f>
        <v/>
      </c>
      <c r="P465" s="196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  <c r="AA465" s="271"/>
      <c r="AB465" s="272"/>
      <c r="AC465" s="272"/>
      <c r="AD465" s="272"/>
      <c r="AE465" s="272"/>
      <c r="AF465" s="272"/>
      <c r="AG465" s="272"/>
      <c r="AH465" s="272"/>
      <c r="AI465" s="267"/>
    </row>
    <row r="466" spans="1:35" x14ac:dyDescent="0.2">
      <c r="A466" s="208" t="str">
        <f>+IF(D466="","",CONCATENATE("GBL 00",Mantenedor!E465))</f>
        <v/>
      </c>
      <c r="B466" s="214"/>
      <c r="C466" s="215"/>
      <c r="D466" s="215"/>
      <c r="E466" s="215"/>
      <c r="F466" s="215"/>
      <c r="G466" s="215"/>
      <c r="H466" s="215"/>
      <c r="I466" s="216"/>
      <c r="J466" s="217"/>
      <c r="K466" s="218"/>
      <c r="L466" s="217" t="str">
        <f t="shared" si="7"/>
        <v/>
      </c>
      <c r="M466" s="240"/>
      <c r="N466" s="225" t="str">
        <f>IF($K466="","",IF($K466=1,CONCATENATE("Base ",$M466," ",$K466," noche"),CONCATENATE("Base ",$M466," ",$K466," noches")))</f>
        <v/>
      </c>
      <c r="O466" s="239" t="str">
        <f>IFERROR((VLOOKUP($N466,Pricing!$D$2:$E$43,2,FALSE)),"")</f>
        <v/>
      </c>
      <c r="P466" s="196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  <c r="AA466" s="271"/>
      <c r="AB466" s="272"/>
      <c r="AC466" s="272"/>
      <c r="AD466" s="272"/>
      <c r="AE466" s="272"/>
      <c r="AF466" s="272"/>
      <c r="AG466" s="272"/>
      <c r="AH466" s="272"/>
      <c r="AI466" s="267"/>
    </row>
    <row r="467" spans="1:35" x14ac:dyDescent="0.2">
      <c r="A467" s="208" t="str">
        <f>+IF(D467="","",CONCATENATE("GBL 00",Mantenedor!E466))</f>
        <v/>
      </c>
      <c r="B467" s="214"/>
      <c r="C467" s="215"/>
      <c r="D467" s="215"/>
      <c r="E467" s="215"/>
      <c r="F467" s="215"/>
      <c r="G467" s="215"/>
      <c r="H467" s="215"/>
      <c r="I467" s="216"/>
      <c r="J467" s="217"/>
      <c r="K467" s="218"/>
      <c r="L467" s="217" t="str">
        <f t="shared" si="7"/>
        <v/>
      </c>
      <c r="M467" s="240"/>
      <c r="N467" s="225" t="str">
        <f>IF($K467="","",IF($K467=1,CONCATENATE("Base ",$M467," ",$K467," noche"),CONCATENATE("Base ",$M467," ",$K467," noches")))</f>
        <v/>
      </c>
      <c r="O467" s="239" t="str">
        <f>IFERROR((VLOOKUP($N467,Pricing!$D$2:$E$43,2,FALSE)),"")</f>
        <v/>
      </c>
      <c r="P467" s="196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  <c r="AA467" s="271"/>
      <c r="AB467" s="272"/>
      <c r="AC467" s="272"/>
      <c r="AD467" s="272"/>
      <c r="AE467" s="272"/>
      <c r="AF467" s="272"/>
      <c r="AG467" s="272"/>
      <c r="AH467" s="272"/>
      <c r="AI467" s="267"/>
    </row>
    <row r="468" spans="1:35" x14ac:dyDescent="0.2">
      <c r="A468" s="208" t="str">
        <f>+IF(D468="","",CONCATENATE("GBL 00",Mantenedor!E467))</f>
        <v/>
      </c>
      <c r="B468" s="214"/>
      <c r="C468" s="215"/>
      <c r="D468" s="215"/>
      <c r="E468" s="215"/>
      <c r="F468" s="215"/>
      <c r="G468" s="215"/>
      <c r="H468" s="215"/>
      <c r="I468" s="216"/>
      <c r="J468" s="217"/>
      <c r="K468" s="218"/>
      <c r="L468" s="217" t="str">
        <f t="shared" si="7"/>
        <v/>
      </c>
      <c r="M468" s="240"/>
      <c r="N468" s="225" t="str">
        <f>IF($K468="","",IF($K468=1,CONCATENATE("Base ",$M468," ",$K468," noche"),CONCATENATE("Base ",$M468," ",$K468," noches")))</f>
        <v/>
      </c>
      <c r="O468" s="239" t="str">
        <f>IFERROR((VLOOKUP($N468,Pricing!$D$2:$E$43,2,FALSE)),"")</f>
        <v/>
      </c>
      <c r="P468" s="196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  <c r="AA468" s="271"/>
      <c r="AB468" s="272"/>
      <c r="AC468" s="272"/>
      <c r="AD468" s="272"/>
      <c r="AE468" s="272"/>
      <c r="AF468" s="272"/>
      <c r="AG468" s="272"/>
      <c r="AH468" s="272"/>
      <c r="AI468" s="267"/>
    </row>
    <row r="469" spans="1:35" x14ac:dyDescent="0.2">
      <c r="A469" s="208" t="str">
        <f>+IF(D469="","",CONCATENATE("GBL 00",Mantenedor!E468))</f>
        <v/>
      </c>
      <c r="B469" s="214"/>
      <c r="C469" s="215"/>
      <c r="D469" s="215"/>
      <c r="E469" s="215"/>
      <c r="F469" s="215"/>
      <c r="G469" s="215"/>
      <c r="H469" s="215"/>
      <c r="I469" s="216"/>
      <c r="J469" s="217"/>
      <c r="K469" s="218"/>
      <c r="L469" s="217" t="str">
        <f t="shared" si="7"/>
        <v/>
      </c>
      <c r="M469" s="240"/>
      <c r="N469" s="225" t="str">
        <f>IF($K469="","",IF($K469=1,CONCATENATE("Base ",$M469," ",$K469," noche"),CONCATENATE("Base ",$M469," ",$K469," noches")))</f>
        <v/>
      </c>
      <c r="O469" s="239" t="str">
        <f>IFERROR((VLOOKUP($N469,Pricing!$D$2:$E$43,2,FALSE)),"")</f>
        <v/>
      </c>
      <c r="P469" s="196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  <c r="AA469" s="271"/>
      <c r="AB469" s="272"/>
      <c r="AC469" s="272"/>
      <c r="AD469" s="272"/>
      <c r="AE469" s="272"/>
      <c r="AF469" s="272"/>
      <c r="AG469" s="272"/>
      <c r="AH469" s="272"/>
      <c r="AI469" s="267"/>
    </row>
    <row r="470" spans="1:35" x14ac:dyDescent="0.2">
      <c r="A470" s="208" t="str">
        <f>+IF(D470="","",CONCATENATE("GBL 00",Mantenedor!E469))</f>
        <v/>
      </c>
      <c r="B470" s="214"/>
      <c r="C470" s="215"/>
      <c r="D470" s="215"/>
      <c r="E470" s="215"/>
      <c r="F470" s="215"/>
      <c r="G470" s="215"/>
      <c r="H470" s="215"/>
      <c r="I470" s="216"/>
      <c r="J470" s="217"/>
      <c r="K470" s="218"/>
      <c r="L470" s="217" t="str">
        <f t="shared" si="7"/>
        <v/>
      </c>
      <c r="M470" s="240"/>
      <c r="N470" s="225" t="str">
        <f>IF($K470="","",IF($K470=1,CONCATENATE("Base ",$M470," ",$K470," noche"),CONCATENATE("Base ",$M470," ",$K470," noches")))</f>
        <v/>
      </c>
      <c r="O470" s="239" t="str">
        <f>IFERROR((VLOOKUP($N470,Pricing!$D$2:$E$43,2,FALSE)),"")</f>
        <v/>
      </c>
      <c r="P470" s="196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  <c r="AA470" s="271"/>
      <c r="AB470" s="272"/>
      <c r="AC470" s="272"/>
      <c r="AD470" s="272"/>
      <c r="AE470" s="272"/>
      <c r="AF470" s="272"/>
      <c r="AG470" s="272"/>
      <c r="AH470" s="272"/>
      <c r="AI470" s="267"/>
    </row>
    <row r="471" spans="1:35" x14ac:dyDescent="0.2">
      <c r="A471" s="208" t="str">
        <f>+IF(D471="","",CONCATENATE("GBL 00",Mantenedor!E470))</f>
        <v/>
      </c>
      <c r="B471" s="214"/>
      <c r="C471" s="215"/>
      <c r="D471" s="215"/>
      <c r="E471" s="215"/>
      <c r="F471" s="215"/>
      <c r="G471" s="215"/>
      <c r="H471" s="215"/>
      <c r="I471" s="216"/>
      <c r="J471" s="217"/>
      <c r="K471" s="218"/>
      <c r="L471" s="217" t="str">
        <f t="shared" si="7"/>
        <v/>
      </c>
      <c r="M471" s="240"/>
      <c r="N471" s="225" t="str">
        <f>IF($K471="","",IF($K471=1,CONCATENATE("Base ",$M471," ",$K471," noche"),CONCATENATE("Base ",$M471," ",$K471," noches")))</f>
        <v/>
      </c>
      <c r="O471" s="239" t="str">
        <f>IFERROR((VLOOKUP($N471,Pricing!$D$2:$E$43,2,FALSE)),"")</f>
        <v/>
      </c>
      <c r="P471" s="196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  <c r="AA471" s="271"/>
      <c r="AB471" s="272"/>
      <c r="AC471" s="272"/>
      <c r="AD471" s="272"/>
      <c r="AE471" s="272"/>
      <c r="AF471" s="272"/>
      <c r="AG471" s="272"/>
      <c r="AH471" s="272"/>
      <c r="AI471" s="267"/>
    </row>
    <row r="472" spans="1:35" x14ac:dyDescent="0.2">
      <c r="A472" s="208" t="str">
        <f>+IF(D472="","",CONCATENATE("GBL 00",Mantenedor!E471))</f>
        <v/>
      </c>
      <c r="B472" s="214"/>
      <c r="C472" s="215"/>
      <c r="D472" s="215"/>
      <c r="E472" s="215"/>
      <c r="F472" s="215"/>
      <c r="G472" s="215"/>
      <c r="H472" s="215"/>
      <c r="I472" s="216"/>
      <c r="J472" s="217"/>
      <c r="K472" s="218"/>
      <c r="L472" s="217" t="str">
        <f t="shared" si="7"/>
        <v/>
      </c>
      <c r="M472" s="240"/>
      <c r="N472" s="225" t="str">
        <f>IF($K472="","",IF($K472=1,CONCATENATE("Base ",$M472," ",$K472," noche"),CONCATENATE("Base ",$M472," ",$K472," noches")))</f>
        <v/>
      </c>
      <c r="O472" s="239" t="str">
        <f>IFERROR((VLOOKUP($N472,Pricing!$D$2:$E$43,2,FALSE)),"")</f>
        <v/>
      </c>
      <c r="P472" s="196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  <c r="AA472" s="271"/>
      <c r="AB472" s="272"/>
      <c r="AC472" s="272"/>
      <c r="AD472" s="272"/>
      <c r="AE472" s="272"/>
      <c r="AF472" s="272"/>
      <c r="AG472" s="272"/>
      <c r="AH472" s="272"/>
      <c r="AI472" s="267"/>
    </row>
    <row r="473" spans="1:35" x14ac:dyDescent="0.2">
      <c r="A473" s="208" t="str">
        <f>+IF(D473="","",CONCATENATE("GBL 00",Mantenedor!E472))</f>
        <v/>
      </c>
      <c r="B473" s="214"/>
      <c r="C473" s="215"/>
      <c r="D473" s="215"/>
      <c r="E473" s="215"/>
      <c r="F473" s="215"/>
      <c r="G473" s="215"/>
      <c r="H473" s="215"/>
      <c r="I473" s="216"/>
      <c r="J473" s="217"/>
      <c r="K473" s="218"/>
      <c r="L473" s="217" t="str">
        <f t="shared" si="7"/>
        <v/>
      </c>
      <c r="M473" s="240"/>
      <c r="N473" s="225" t="str">
        <f>IF($K473="","",IF($K473=1,CONCATENATE("Base ",$M473," ",$K473," noche"),CONCATENATE("Base ",$M473," ",$K473," noches")))</f>
        <v/>
      </c>
      <c r="O473" s="239" t="str">
        <f>IFERROR((VLOOKUP($N473,Pricing!$D$2:$E$43,2,FALSE)),"")</f>
        <v/>
      </c>
      <c r="P473" s="196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71"/>
      <c r="AB473" s="272"/>
      <c r="AC473" s="272"/>
      <c r="AD473" s="272"/>
      <c r="AE473" s="272"/>
      <c r="AF473" s="272"/>
      <c r="AG473" s="272"/>
      <c r="AH473" s="272"/>
      <c r="AI473" s="267"/>
    </row>
    <row r="474" spans="1:35" x14ac:dyDescent="0.2">
      <c r="A474" s="208" t="str">
        <f>+IF(D474="","",CONCATENATE("GBL 00",Mantenedor!E473))</f>
        <v/>
      </c>
      <c r="B474" s="214"/>
      <c r="C474" s="215"/>
      <c r="D474" s="215"/>
      <c r="E474" s="215"/>
      <c r="F474" s="215"/>
      <c r="G474" s="215"/>
      <c r="H474" s="215"/>
      <c r="I474" s="216"/>
      <c r="J474" s="217"/>
      <c r="K474" s="218"/>
      <c r="L474" s="217" t="str">
        <f t="shared" si="7"/>
        <v/>
      </c>
      <c r="M474" s="240"/>
      <c r="N474" s="225" t="str">
        <f>IF($K474="","",IF($K474=1,CONCATENATE("Base ",$M474," ",$K474," noche"),CONCATENATE("Base ",$M474," ",$K474," noches")))</f>
        <v/>
      </c>
      <c r="O474" s="239" t="str">
        <f>IFERROR((VLOOKUP($N474,Pricing!$D$2:$E$43,2,FALSE)),"")</f>
        <v/>
      </c>
      <c r="P474" s="196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71"/>
      <c r="AB474" s="272"/>
      <c r="AC474" s="272"/>
      <c r="AD474" s="272"/>
      <c r="AE474" s="272"/>
      <c r="AF474" s="272"/>
      <c r="AG474" s="272"/>
      <c r="AH474" s="272"/>
      <c r="AI474" s="267"/>
    </row>
    <row r="475" spans="1:35" x14ac:dyDescent="0.2">
      <c r="A475" s="208" t="str">
        <f>+IF(D475="","",CONCATENATE("GBL 00",Mantenedor!E474))</f>
        <v/>
      </c>
      <c r="B475" s="214"/>
      <c r="C475" s="215"/>
      <c r="D475" s="215"/>
      <c r="E475" s="215"/>
      <c r="F475" s="215"/>
      <c r="G475" s="215"/>
      <c r="H475" s="215"/>
      <c r="I475" s="216"/>
      <c r="J475" s="217"/>
      <c r="K475" s="218"/>
      <c r="L475" s="217" t="str">
        <f t="shared" si="7"/>
        <v/>
      </c>
      <c r="M475" s="240"/>
      <c r="N475" s="225" t="str">
        <f>IF($K475="","",IF($K475=1,CONCATENATE("Base ",$M475," ",$K475," noche"),CONCATENATE("Base ",$M475," ",$K475," noches")))</f>
        <v/>
      </c>
      <c r="O475" s="239" t="str">
        <f>IFERROR((VLOOKUP($N475,Pricing!$D$2:$E$43,2,FALSE)),"")</f>
        <v/>
      </c>
      <c r="P475" s="196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71"/>
      <c r="AB475" s="272"/>
      <c r="AC475" s="272"/>
      <c r="AD475" s="272"/>
      <c r="AE475" s="272"/>
      <c r="AF475" s="272"/>
      <c r="AG475" s="272"/>
      <c r="AH475" s="272"/>
      <c r="AI475" s="267"/>
    </row>
    <row r="476" spans="1:35" x14ac:dyDescent="0.2">
      <c r="A476" s="208" t="str">
        <f>+IF(D476="","",CONCATENATE("GBL 00",Mantenedor!E475))</f>
        <v/>
      </c>
      <c r="B476" s="214"/>
      <c r="C476" s="215"/>
      <c r="D476" s="215"/>
      <c r="E476" s="215"/>
      <c r="F476" s="215"/>
      <c r="G476" s="215"/>
      <c r="H476" s="215"/>
      <c r="I476" s="216"/>
      <c r="J476" s="217"/>
      <c r="K476" s="218"/>
      <c r="L476" s="217" t="str">
        <f t="shared" si="7"/>
        <v/>
      </c>
      <c r="M476" s="240"/>
      <c r="N476" s="225" t="str">
        <f>IF($K476="","",IF($K476=1,CONCATENATE("Base ",$M476," ",$K476," noche"),CONCATENATE("Base ",$M476," ",$K476," noches")))</f>
        <v/>
      </c>
      <c r="O476" s="239" t="str">
        <f>IFERROR((VLOOKUP($N476,Pricing!$D$2:$E$43,2,FALSE)),"")</f>
        <v/>
      </c>
      <c r="P476" s="196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71"/>
      <c r="AB476" s="272"/>
      <c r="AC476" s="272"/>
      <c r="AD476" s="272"/>
      <c r="AE476" s="272"/>
      <c r="AF476" s="272"/>
      <c r="AG476" s="272"/>
      <c r="AH476" s="272"/>
      <c r="AI476" s="267"/>
    </row>
    <row r="477" spans="1:35" x14ac:dyDescent="0.2">
      <c r="A477" s="208" t="str">
        <f>+IF(D477="","",CONCATENATE("GBL 00",Mantenedor!E476))</f>
        <v/>
      </c>
      <c r="B477" s="214"/>
      <c r="C477" s="215"/>
      <c r="D477" s="215"/>
      <c r="E477" s="215"/>
      <c r="F477" s="215"/>
      <c r="G477" s="215"/>
      <c r="H477" s="215"/>
      <c r="I477" s="216"/>
      <c r="J477" s="217"/>
      <c r="K477" s="218"/>
      <c r="L477" s="217" t="str">
        <f t="shared" si="7"/>
        <v/>
      </c>
      <c r="M477" s="240"/>
      <c r="N477" s="225" t="str">
        <f>IF($K477="","",IF($K477=1,CONCATENATE("Base ",$M477," ",$K477," noche"),CONCATENATE("Base ",$M477," ",$K477," noches")))</f>
        <v/>
      </c>
      <c r="O477" s="239" t="str">
        <f>IFERROR((VLOOKUP($N477,Pricing!$D$2:$E$43,2,FALSE)),"")</f>
        <v/>
      </c>
      <c r="P477" s="196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71"/>
      <c r="AB477" s="272"/>
      <c r="AC477" s="272"/>
      <c r="AD477" s="272"/>
      <c r="AE477" s="272"/>
      <c r="AF477" s="272"/>
      <c r="AG477" s="272"/>
      <c r="AH477" s="272"/>
      <c r="AI477" s="267"/>
    </row>
    <row r="478" spans="1:35" x14ac:dyDescent="0.2">
      <c r="A478" s="208" t="str">
        <f>+IF(D478="","",CONCATENATE("GBL 00",Mantenedor!E477))</f>
        <v/>
      </c>
      <c r="B478" s="214"/>
      <c r="C478" s="215"/>
      <c r="D478" s="215"/>
      <c r="E478" s="215"/>
      <c r="F478" s="215"/>
      <c r="G478" s="215"/>
      <c r="H478" s="215"/>
      <c r="I478" s="216"/>
      <c r="J478" s="217"/>
      <c r="K478" s="218"/>
      <c r="L478" s="217" t="str">
        <f t="shared" si="7"/>
        <v/>
      </c>
      <c r="M478" s="240"/>
      <c r="N478" s="225" t="str">
        <f>IF($K478="","",IF($K478=1,CONCATENATE("Base ",$M478," ",$K478," noche"),CONCATENATE("Base ",$M478," ",$K478," noches")))</f>
        <v/>
      </c>
      <c r="O478" s="239" t="str">
        <f>IFERROR((VLOOKUP($N478,Pricing!$D$2:$E$43,2,FALSE)),"")</f>
        <v/>
      </c>
      <c r="P478" s="196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  <c r="AA478" s="271"/>
      <c r="AB478" s="272"/>
      <c r="AC478" s="272"/>
      <c r="AD478" s="272"/>
      <c r="AE478" s="272"/>
      <c r="AF478" s="272"/>
      <c r="AG478" s="272"/>
      <c r="AH478" s="272"/>
      <c r="AI478" s="267"/>
    </row>
    <row r="479" spans="1:35" x14ac:dyDescent="0.2">
      <c r="A479" s="208" t="str">
        <f>+IF(D479="","",CONCATENATE("GBL 00",Mantenedor!E478))</f>
        <v/>
      </c>
      <c r="B479" s="214"/>
      <c r="C479" s="215"/>
      <c r="D479" s="215"/>
      <c r="E479" s="215"/>
      <c r="F479" s="215"/>
      <c r="G479" s="215"/>
      <c r="H479" s="215"/>
      <c r="I479" s="216"/>
      <c r="J479" s="217"/>
      <c r="K479" s="218"/>
      <c r="L479" s="217" t="str">
        <f t="shared" si="7"/>
        <v/>
      </c>
      <c r="M479" s="240"/>
      <c r="N479" s="225" t="str">
        <f>IF($K479="","",IF($K479=1,CONCATENATE("Base ",$M479," ",$K479," noche"),CONCATENATE("Base ",$M479," ",$K479," noches")))</f>
        <v/>
      </c>
      <c r="O479" s="239" t="str">
        <f>IFERROR((VLOOKUP($N479,Pricing!$D$2:$E$43,2,FALSE)),"")</f>
        <v/>
      </c>
      <c r="P479" s="196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  <c r="AA479" s="271"/>
      <c r="AB479" s="272"/>
      <c r="AC479" s="272"/>
      <c r="AD479" s="272"/>
      <c r="AE479" s="272"/>
      <c r="AF479" s="272"/>
      <c r="AG479" s="272"/>
      <c r="AH479" s="272"/>
      <c r="AI479" s="267"/>
    </row>
    <row r="480" spans="1:35" x14ac:dyDescent="0.2">
      <c r="A480" s="208" t="str">
        <f>+IF(D480="","",CONCATENATE("GBL 00",Mantenedor!E479))</f>
        <v/>
      </c>
      <c r="B480" s="214"/>
      <c r="C480" s="215"/>
      <c r="D480" s="215"/>
      <c r="E480" s="215"/>
      <c r="F480" s="215"/>
      <c r="G480" s="215"/>
      <c r="H480" s="215"/>
      <c r="I480" s="216"/>
      <c r="J480" s="217"/>
      <c r="K480" s="218"/>
      <c r="L480" s="217" t="str">
        <f t="shared" si="7"/>
        <v/>
      </c>
      <c r="M480" s="240"/>
      <c r="N480" s="225" t="str">
        <f>IF($K480="","",IF($K480=1,CONCATENATE("Base ",$M480," ",$K480," noche"),CONCATENATE("Base ",$M480," ",$K480," noches")))</f>
        <v/>
      </c>
      <c r="O480" s="239" t="str">
        <f>IFERROR((VLOOKUP($N480,Pricing!$D$2:$E$43,2,FALSE)),"")</f>
        <v/>
      </c>
      <c r="P480" s="196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  <c r="AA480" s="271"/>
      <c r="AB480" s="272"/>
      <c r="AC480" s="272"/>
      <c r="AD480" s="272"/>
      <c r="AE480" s="272"/>
      <c r="AF480" s="272"/>
      <c r="AG480" s="272"/>
      <c r="AH480" s="272"/>
      <c r="AI480" s="267"/>
    </row>
    <row r="481" spans="1:35" x14ac:dyDescent="0.2">
      <c r="A481" s="208" t="str">
        <f>+IF(D481="","",CONCATENATE("GBL 00",Mantenedor!E480))</f>
        <v/>
      </c>
      <c r="B481" s="214"/>
      <c r="C481" s="215"/>
      <c r="D481" s="215"/>
      <c r="E481" s="215"/>
      <c r="F481" s="215"/>
      <c r="G481" s="215"/>
      <c r="H481" s="215"/>
      <c r="I481" s="216"/>
      <c r="J481" s="217"/>
      <c r="K481" s="218"/>
      <c r="L481" s="217" t="str">
        <f t="shared" si="7"/>
        <v/>
      </c>
      <c r="M481" s="240"/>
      <c r="N481" s="225" t="str">
        <f>IF($K481="","",IF($K481=1,CONCATENATE("Base ",$M481," ",$K481," noche"),CONCATENATE("Base ",$M481," ",$K481," noches")))</f>
        <v/>
      </c>
      <c r="O481" s="239" t="str">
        <f>IFERROR((VLOOKUP($N481,Pricing!$D$2:$E$43,2,FALSE)),"")</f>
        <v/>
      </c>
      <c r="P481" s="196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  <c r="AA481" s="271"/>
      <c r="AB481" s="272"/>
      <c r="AC481" s="272"/>
      <c r="AD481" s="272"/>
      <c r="AE481" s="272"/>
      <c r="AF481" s="272"/>
      <c r="AG481" s="272"/>
      <c r="AH481" s="272"/>
      <c r="AI481" s="267"/>
    </row>
    <row r="482" spans="1:35" x14ac:dyDescent="0.2">
      <c r="A482" s="208" t="str">
        <f>+IF(D482="","",CONCATENATE("GBL 00",Mantenedor!E481))</f>
        <v/>
      </c>
      <c r="B482" s="214"/>
      <c r="C482" s="215"/>
      <c r="D482" s="215"/>
      <c r="E482" s="215"/>
      <c r="F482" s="215"/>
      <c r="G482" s="215"/>
      <c r="H482" s="215"/>
      <c r="I482" s="216"/>
      <c r="J482" s="217"/>
      <c r="K482" s="218"/>
      <c r="L482" s="217" t="str">
        <f t="shared" si="7"/>
        <v/>
      </c>
      <c r="M482" s="240"/>
      <c r="N482" s="225" t="str">
        <f>IF($K482="","",IF($K482=1,CONCATENATE("Base ",$M482," ",$K482," noche"),CONCATENATE("Base ",$M482," ",$K482," noches")))</f>
        <v/>
      </c>
      <c r="O482" s="239" t="str">
        <f>IFERROR((VLOOKUP($N482,Pricing!$D$2:$E$43,2,FALSE)),"")</f>
        <v/>
      </c>
      <c r="P482" s="196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  <c r="AA482" s="271"/>
      <c r="AB482" s="272"/>
      <c r="AC482" s="272"/>
      <c r="AD482" s="272"/>
      <c r="AE482" s="272"/>
      <c r="AF482" s="272"/>
      <c r="AG482" s="272"/>
      <c r="AH482" s="272"/>
      <c r="AI482" s="267"/>
    </row>
    <row r="483" spans="1:35" x14ac:dyDescent="0.2">
      <c r="A483" s="208" t="str">
        <f>+IF(D483="","",CONCATENATE("GBL 00",Mantenedor!E482))</f>
        <v/>
      </c>
      <c r="B483" s="214"/>
      <c r="C483" s="215"/>
      <c r="D483" s="215"/>
      <c r="E483" s="215"/>
      <c r="F483" s="215"/>
      <c r="G483" s="215"/>
      <c r="H483" s="215"/>
      <c r="I483" s="216"/>
      <c r="J483" s="217"/>
      <c r="K483" s="218"/>
      <c r="L483" s="217" t="str">
        <f t="shared" si="7"/>
        <v/>
      </c>
      <c r="M483" s="240"/>
      <c r="N483" s="225" t="str">
        <f>IF($K483="","",IF($K483=1,CONCATENATE("Base ",$M483," ",$K483," noche"),CONCATENATE("Base ",$M483," ",$K483," noches")))</f>
        <v/>
      </c>
      <c r="O483" s="239" t="str">
        <f>IFERROR((VLOOKUP($N483,Pricing!$D$2:$E$43,2,FALSE)),"")</f>
        <v/>
      </c>
      <c r="P483" s="196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  <c r="AA483" s="271"/>
      <c r="AB483" s="272"/>
      <c r="AC483" s="272"/>
      <c r="AD483" s="272"/>
      <c r="AE483" s="272"/>
      <c r="AF483" s="272"/>
      <c r="AG483" s="272"/>
      <c r="AH483" s="272"/>
      <c r="AI483" s="267"/>
    </row>
    <row r="484" spans="1:35" x14ac:dyDescent="0.2">
      <c r="A484" s="208" t="str">
        <f>+IF(D484="","",CONCATENATE("GBL 00",Mantenedor!E483))</f>
        <v/>
      </c>
      <c r="B484" s="214"/>
      <c r="C484" s="215"/>
      <c r="D484" s="215"/>
      <c r="E484" s="215"/>
      <c r="F484" s="215"/>
      <c r="G484" s="215"/>
      <c r="H484" s="215"/>
      <c r="I484" s="216"/>
      <c r="J484" s="217"/>
      <c r="K484" s="218"/>
      <c r="L484" s="217" t="str">
        <f t="shared" si="7"/>
        <v/>
      </c>
      <c r="M484" s="240"/>
      <c r="N484" s="225" t="str">
        <f>IF($K484="","",IF($K484=1,CONCATENATE("Base ",$M484," ",$K484," noche"),CONCATENATE("Base ",$M484," ",$K484," noches")))</f>
        <v/>
      </c>
      <c r="O484" s="239" t="str">
        <f>IFERROR((VLOOKUP($N484,Pricing!$D$2:$E$43,2,FALSE)),"")</f>
        <v/>
      </c>
      <c r="P484" s="196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  <c r="AA484" s="271"/>
      <c r="AB484" s="272"/>
      <c r="AC484" s="272"/>
      <c r="AD484" s="272"/>
      <c r="AE484" s="272"/>
      <c r="AF484" s="272"/>
      <c r="AG484" s="272"/>
      <c r="AH484" s="272"/>
      <c r="AI484" s="267"/>
    </row>
    <row r="485" spans="1:35" x14ac:dyDescent="0.2">
      <c r="A485" s="208" t="str">
        <f>+IF(D485="","",CONCATENATE("GBL 00",Mantenedor!E484))</f>
        <v/>
      </c>
      <c r="B485" s="214"/>
      <c r="C485" s="215"/>
      <c r="D485" s="215"/>
      <c r="E485" s="215"/>
      <c r="F485" s="215"/>
      <c r="G485" s="215"/>
      <c r="H485" s="215"/>
      <c r="I485" s="216"/>
      <c r="J485" s="217"/>
      <c r="K485" s="218"/>
      <c r="L485" s="217" t="str">
        <f t="shared" si="7"/>
        <v/>
      </c>
      <c r="M485" s="240"/>
      <c r="N485" s="225" t="str">
        <f>IF($K485="","",IF($K485=1,CONCATENATE("Base ",$M485," ",$K485," noche"),CONCATENATE("Base ",$M485," ",$K485," noches")))</f>
        <v/>
      </c>
      <c r="O485" s="239" t="str">
        <f>IFERROR((VLOOKUP($N485,Pricing!$D$2:$E$43,2,FALSE)),"")</f>
        <v/>
      </c>
      <c r="P485" s="196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  <c r="AA485" s="271"/>
      <c r="AB485" s="272"/>
      <c r="AC485" s="272"/>
      <c r="AD485" s="272"/>
      <c r="AE485" s="272"/>
      <c r="AF485" s="272"/>
      <c r="AG485" s="272"/>
      <c r="AH485" s="272"/>
      <c r="AI485" s="267"/>
    </row>
    <row r="486" spans="1:35" x14ac:dyDescent="0.2">
      <c r="A486" s="208" t="str">
        <f>+IF(D486="","",CONCATENATE("GBL 00",Mantenedor!E485))</f>
        <v/>
      </c>
      <c r="B486" s="214"/>
      <c r="C486" s="215"/>
      <c r="D486" s="215"/>
      <c r="E486" s="215"/>
      <c r="F486" s="215"/>
      <c r="G486" s="215"/>
      <c r="H486" s="215"/>
      <c r="I486" s="216"/>
      <c r="J486" s="217"/>
      <c r="K486" s="218"/>
      <c r="L486" s="217" t="str">
        <f t="shared" si="7"/>
        <v/>
      </c>
      <c r="M486" s="240"/>
      <c r="N486" s="225" t="str">
        <f>IF($K486="","",IF($K486=1,CONCATENATE("Base ",$M486," ",$K486," noche"),CONCATENATE("Base ",$M486," ",$K486," noches")))</f>
        <v/>
      </c>
      <c r="O486" s="239" t="str">
        <f>IFERROR((VLOOKUP($N486,Pricing!$D$2:$E$43,2,FALSE)),"")</f>
        <v/>
      </c>
      <c r="P486" s="196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  <c r="AA486" s="271"/>
      <c r="AB486" s="272"/>
      <c r="AC486" s="272"/>
      <c r="AD486" s="272"/>
      <c r="AE486" s="272"/>
      <c r="AF486" s="272"/>
      <c r="AG486" s="272"/>
      <c r="AH486" s="272"/>
      <c r="AI486" s="267"/>
    </row>
    <row r="487" spans="1:35" x14ac:dyDescent="0.2">
      <c r="A487" s="208" t="str">
        <f>+IF(D487="","",CONCATENATE("GBL 00",Mantenedor!E486))</f>
        <v/>
      </c>
      <c r="B487" s="214"/>
      <c r="C487" s="215"/>
      <c r="D487" s="215"/>
      <c r="E487" s="215"/>
      <c r="F487" s="215"/>
      <c r="G487" s="215"/>
      <c r="H487" s="215"/>
      <c r="I487" s="216"/>
      <c r="J487" s="217"/>
      <c r="K487" s="218"/>
      <c r="L487" s="217" t="str">
        <f t="shared" si="7"/>
        <v/>
      </c>
      <c r="M487" s="240"/>
      <c r="N487" s="225" t="str">
        <f>IF($K487="","",IF($K487=1,CONCATENATE("Base ",$M487," ",$K487," noche"),CONCATENATE("Base ",$M487," ",$K487," noches")))</f>
        <v/>
      </c>
      <c r="O487" s="239" t="str">
        <f>IFERROR((VLOOKUP($N487,Pricing!$D$2:$E$43,2,FALSE)),"")</f>
        <v/>
      </c>
      <c r="P487" s="196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  <c r="AA487" s="271"/>
      <c r="AB487" s="272"/>
      <c r="AC487" s="272"/>
      <c r="AD487" s="272"/>
      <c r="AE487" s="272"/>
      <c r="AF487" s="272"/>
      <c r="AG487" s="272"/>
      <c r="AH487" s="272"/>
      <c r="AI487" s="267"/>
    </row>
    <row r="488" spans="1:35" x14ac:dyDescent="0.2">
      <c r="A488" s="208" t="str">
        <f>+IF(D488="","",CONCATENATE("GBL 00",Mantenedor!E487))</f>
        <v/>
      </c>
      <c r="B488" s="214"/>
      <c r="C488" s="215"/>
      <c r="D488" s="215"/>
      <c r="E488" s="215"/>
      <c r="F488" s="215"/>
      <c r="G488" s="215"/>
      <c r="H488" s="215"/>
      <c r="I488" s="216"/>
      <c r="J488" s="217"/>
      <c r="K488" s="218"/>
      <c r="L488" s="217" t="str">
        <f t="shared" si="7"/>
        <v/>
      </c>
      <c r="M488" s="240"/>
      <c r="N488" s="225" t="str">
        <f>IF($K488="","",IF($K488=1,CONCATENATE("Base ",$M488," ",$K488," noche"),CONCATENATE("Base ",$M488," ",$K488," noches")))</f>
        <v/>
      </c>
      <c r="O488" s="239" t="str">
        <f>IFERROR((VLOOKUP($N488,Pricing!$D$2:$E$43,2,FALSE)),"")</f>
        <v/>
      </c>
      <c r="P488" s="196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  <c r="AA488" s="271"/>
      <c r="AB488" s="272"/>
      <c r="AC488" s="272"/>
      <c r="AD488" s="272"/>
      <c r="AE488" s="272"/>
      <c r="AF488" s="272"/>
      <c r="AG488" s="272"/>
      <c r="AH488" s="272"/>
      <c r="AI488" s="267"/>
    </row>
    <row r="489" spans="1:35" x14ac:dyDescent="0.2">
      <c r="A489" s="208" t="str">
        <f>+IF(D489="","",CONCATENATE("GBL 00",Mantenedor!E488))</f>
        <v/>
      </c>
      <c r="B489" s="214"/>
      <c r="C489" s="215"/>
      <c r="D489" s="215"/>
      <c r="E489" s="215"/>
      <c r="F489" s="215"/>
      <c r="G489" s="215"/>
      <c r="H489" s="215"/>
      <c r="I489" s="216"/>
      <c r="J489" s="217"/>
      <c r="K489" s="218"/>
      <c r="L489" s="217" t="str">
        <f t="shared" si="7"/>
        <v/>
      </c>
      <c r="M489" s="240"/>
      <c r="N489" s="225" t="str">
        <f>IF($K489="","",IF($K489=1,CONCATENATE("Base ",$M489," ",$K489," noche"),CONCATENATE("Base ",$M489," ",$K489," noches")))</f>
        <v/>
      </c>
      <c r="O489" s="239" t="str">
        <f>IFERROR((VLOOKUP($N489,Pricing!$D$2:$E$43,2,FALSE)),"")</f>
        <v/>
      </c>
      <c r="P489" s="196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  <c r="AA489" s="271"/>
      <c r="AB489" s="272"/>
      <c r="AC489" s="272"/>
      <c r="AD489" s="272"/>
      <c r="AE489" s="272"/>
      <c r="AF489" s="272"/>
      <c r="AG489" s="272"/>
      <c r="AH489" s="272"/>
      <c r="AI489" s="267"/>
    </row>
    <row r="490" spans="1:35" x14ac:dyDescent="0.2">
      <c r="A490" s="208" t="str">
        <f>+IF(D490="","",CONCATENATE("GBL 00",Mantenedor!E489))</f>
        <v/>
      </c>
      <c r="B490" s="214"/>
      <c r="C490" s="215"/>
      <c r="D490" s="215"/>
      <c r="E490" s="215"/>
      <c r="F490" s="215"/>
      <c r="G490" s="215"/>
      <c r="H490" s="215"/>
      <c r="I490" s="216"/>
      <c r="J490" s="217"/>
      <c r="K490" s="218"/>
      <c r="L490" s="217" t="str">
        <f t="shared" si="7"/>
        <v/>
      </c>
      <c r="M490" s="240"/>
      <c r="N490" s="225" t="str">
        <f>IF($K490="","",IF($K490=1,CONCATENATE("Base ",$M490," ",$K490," noche"),CONCATENATE("Base ",$M490," ",$K490," noches")))</f>
        <v/>
      </c>
      <c r="O490" s="239" t="str">
        <f>IFERROR((VLOOKUP($N490,Pricing!$D$2:$E$43,2,FALSE)),"")</f>
        <v/>
      </c>
      <c r="P490" s="196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  <c r="AA490" s="271"/>
      <c r="AB490" s="272"/>
      <c r="AC490" s="272"/>
      <c r="AD490" s="272"/>
      <c r="AE490" s="272"/>
      <c r="AF490" s="272"/>
      <c r="AG490" s="272"/>
      <c r="AH490" s="272"/>
      <c r="AI490" s="267"/>
    </row>
    <row r="491" spans="1:35" x14ac:dyDescent="0.2">
      <c r="A491" s="208" t="str">
        <f>+IF(D491="","",CONCATENATE("GBL 00",Mantenedor!E490))</f>
        <v/>
      </c>
      <c r="B491" s="214"/>
      <c r="C491" s="215"/>
      <c r="D491" s="215"/>
      <c r="E491" s="215"/>
      <c r="F491" s="215"/>
      <c r="G491" s="215"/>
      <c r="H491" s="215"/>
      <c r="I491" s="216"/>
      <c r="J491" s="217"/>
      <c r="K491" s="218"/>
      <c r="L491" s="217" t="str">
        <f t="shared" si="7"/>
        <v/>
      </c>
      <c r="M491" s="240"/>
      <c r="N491" s="225" t="str">
        <f>IF($K491="","",IF($K491=1,CONCATENATE("Base ",$M491," ",$K491," noche"),CONCATENATE("Base ",$M491," ",$K491," noches")))</f>
        <v/>
      </c>
      <c r="O491" s="239" t="str">
        <f>IFERROR((VLOOKUP($N491,Pricing!$D$2:$E$43,2,FALSE)),"")</f>
        <v/>
      </c>
      <c r="P491" s="196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  <c r="AA491" s="271"/>
      <c r="AB491" s="272"/>
      <c r="AC491" s="272"/>
      <c r="AD491" s="272"/>
      <c r="AE491" s="272"/>
      <c r="AF491" s="272"/>
      <c r="AG491" s="272"/>
      <c r="AH491" s="272"/>
      <c r="AI491" s="267"/>
    </row>
    <row r="492" spans="1:35" x14ac:dyDescent="0.2">
      <c r="A492" s="208" t="str">
        <f>+IF(D492="","",CONCATENATE("GBL 00",Mantenedor!E491))</f>
        <v/>
      </c>
      <c r="B492" s="214"/>
      <c r="C492" s="215"/>
      <c r="D492" s="215"/>
      <c r="E492" s="215"/>
      <c r="F492" s="215"/>
      <c r="G492" s="215"/>
      <c r="H492" s="215"/>
      <c r="I492" s="216"/>
      <c r="J492" s="217"/>
      <c r="K492" s="218"/>
      <c r="L492" s="217" t="str">
        <f t="shared" si="7"/>
        <v/>
      </c>
      <c r="M492" s="240"/>
      <c r="N492" s="225" t="str">
        <f>IF($K492="","",IF($K492=1,CONCATENATE("Base ",$M492," ",$K492," noche"),CONCATENATE("Base ",$M492," ",$K492," noches")))</f>
        <v/>
      </c>
      <c r="O492" s="239" t="str">
        <f>IFERROR((VLOOKUP($N492,Pricing!$D$2:$E$43,2,FALSE)),"")</f>
        <v/>
      </c>
      <c r="P492" s="196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  <c r="AA492" s="271"/>
      <c r="AB492" s="272"/>
      <c r="AC492" s="272"/>
      <c r="AD492" s="272"/>
      <c r="AE492" s="272"/>
      <c r="AF492" s="272"/>
      <c r="AG492" s="272"/>
      <c r="AH492" s="272"/>
      <c r="AI492" s="267"/>
    </row>
    <row r="493" spans="1:35" x14ac:dyDescent="0.2">
      <c r="A493" s="208" t="str">
        <f>+IF(D493="","",CONCATENATE("GBL 00",Mantenedor!E492))</f>
        <v/>
      </c>
      <c r="B493" s="214"/>
      <c r="C493" s="215"/>
      <c r="D493" s="215"/>
      <c r="E493" s="215"/>
      <c r="F493" s="215"/>
      <c r="G493" s="215"/>
      <c r="H493" s="215"/>
      <c r="I493" s="216"/>
      <c r="J493" s="217"/>
      <c r="K493" s="218"/>
      <c r="L493" s="217" t="str">
        <f t="shared" si="7"/>
        <v/>
      </c>
      <c r="M493" s="240"/>
      <c r="N493" s="225" t="str">
        <f>IF($K493="","",IF($K493=1,CONCATENATE("Base ",$M493," ",$K493," noche"),CONCATENATE("Base ",$M493," ",$K493," noches")))</f>
        <v/>
      </c>
      <c r="O493" s="239" t="str">
        <f>IFERROR((VLOOKUP($N493,Pricing!$D$2:$E$43,2,FALSE)),"")</f>
        <v/>
      </c>
      <c r="P493" s="196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  <c r="AA493" s="271"/>
      <c r="AB493" s="272"/>
      <c r="AC493" s="272"/>
      <c r="AD493" s="272"/>
      <c r="AE493" s="272"/>
      <c r="AF493" s="272"/>
      <c r="AG493" s="272"/>
      <c r="AH493" s="272"/>
      <c r="AI493" s="267"/>
    </row>
    <row r="494" spans="1:35" x14ac:dyDescent="0.2">
      <c r="A494" s="208" t="str">
        <f>+IF(D494="","",CONCATENATE("GBL 00",Mantenedor!E493))</f>
        <v/>
      </c>
      <c r="B494" s="214"/>
      <c r="C494" s="215"/>
      <c r="D494" s="215"/>
      <c r="E494" s="215"/>
      <c r="F494" s="215"/>
      <c r="G494" s="215"/>
      <c r="H494" s="215"/>
      <c r="I494" s="216"/>
      <c r="J494" s="217"/>
      <c r="K494" s="218"/>
      <c r="L494" s="217" t="str">
        <f t="shared" si="7"/>
        <v/>
      </c>
      <c r="M494" s="240"/>
      <c r="N494" s="225" t="str">
        <f>IF($K494="","",IF($K494=1,CONCATENATE("Base ",$M494," ",$K494," noche"),CONCATENATE("Base ",$M494," ",$K494," noches")))</f>
        <v/>
      </c>
      <c r="O494" s="239" t="str">
        <f>IFERROR((VLOOKUP($N494,Pricing!$D$2:$E$43,2,FALSE)),"")</f>
        <v/>
      </c>
      <c r="P494" s="196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  <c r="AA494" s="271"/>
      <c r="AB494" s="272"/>
      <c r="AC494" s="272"/>
      <c r="AD494" s="272"/>
      <c r="AE494" s="272"/>
      <c r="AF494" s="272"/>
      <c r="AG494" s="272"/>
      <c r="AH494" s="272"/>
      <c r="AI494" s="267"/>
    </row>
    <row r="495" spans="1:35" x14ac:dyDescent="0.2">
      <c r="A495" s="208" t="str">
        <f>+IF(D495="","",CONCATENATE("GBL 00",Mantenedor!E494))</f>
        <v/>
      </c>
      <c r="B495" s="214"/>
      <c r="C495" s="215"/>
      <c r="D495" s="215"/>
      <c r="E495" s="215"/>
      <c r="F495" s="215"/>
      <c r="G495" s="215"/>
      <c r="H495" s="215"/>
      <c r="I495" s="216"/>
      <c r="J495" s="217"/>
      <c r="K495" s="218"/>
      <c r="L495" s="217" t="str">
        <f t="shared" si="7"/>
        <v/>
      </c>
      <c r="M495" s="240"/>
      <c r="N495" s="225" t="str">
        <f>IF($K495="","",IF($K495=1,CONCATENATE("Base ",$M495," ",$K495," noche"),CONCATENATE("Base ",$M495," ",$K495," noches")))</f>
        <v/>
      </c>
      <c r="O495" s="239" t="str">
        <f>IFERROR((VLOOKUP($N495,Pricing!$D$2:$E$43,2,FALSE)),"")</f>
        <v/>
      </c>
      <c r="P495" s="196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  <c r="AA495" s="271"/>
      <c r="AB495" s="272"/>
      <c r="AC495" s="272"/>
      <c r="AD495" s="272"/>
      <c r="AE495" s="272"/>
      <c r="AF495" s="272"/>
      <c r="AG495" s="272"/>
      <c r="AH495" s="272"/>
      <c r="AI495" s="267"/>
    </row>
    <row r="496" spans="1:35" x14ac:dyDescent="0.2">
      <c r="A496" s="208" t="str">
        <f>+IF(D496="","",CONCATENATE("GBL 00",Mantenedor!E495))</f>
        <v/>
      </c>
      <c r="B496" s="214"/>
      <c r="C496" s="215"/>
      <c r="D496" s="215"/>
      <c r="E496" s="215"/>
      <c r="F496" s="215"/>
      <c r="G496" s="215"/>
      <c r="H496" s="215"/>
      <c r="I496" s="216"/>
      <c r="J496" s="217"/>
      <c r="K496" s="218"/>
      <c r="L496" s="217" t="str">
        <f t="shared" si="7"/>
        <v/>
      </c>
      <c r="M496" s="240"/>
      <c r="N496" s="225" t="str">
        <f>IF($K496="","",IF($K496=1,CONCATENATE("Base ",$M496," ",$K496," noche"),CONCATENATE("Base ",$M496," ",$K496," noches")))</f>
        <v/>
      </c>
      <c r="O496" s="239" t="str">
        <f>IFERROR((VLOOKUP($N496,Pricing!$D$2:$E$43,2,FALSE)),"")</f>
        <v/>
      </c>
      <c r="P496" s="196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  <c r="AA496" s="271"/>
      <c r="AB496" s="272"/>
      <c r="AC496" s="272"/>
      <c r="AD496" s="272"/>
      <c r="AE496" s="272"/>
      <c r="AF496" s="272"/>
      <c r="AG496" s="272"/>
      <c r="AH496" s="272"/>
      <c r="AI496" s="267"/>
    </row>
    <row r="497" spans="1:35" x14ac:dyDescent="0.2">
      <c r="A497" s="208" t="str">
        <f>+IF(D497="","",CONCATENATE("GBL 00",Mantenedor!E496))</f>
        <v/>
      </c>
      <c r="B497" s="214"/>
      <c r="C497" s="215"/>
      <c r="D497" s="215"/>
      <c r="E497" s="215"/>
      <c r="F497" s="215"/>
      <c r="G497" s="215"/>
      <c r="H497" s="215"/>
      <c r="I497" s="216"/>
      <c r="J497" s="217"/>
      <c r="K497" s="218"/>
      <c r="L497" s="217" t="str">
        <f t="shared" si="7"/>
        <v/>
      </c>
      <c r="M497" s="240"/>
      <c r="N497" s="225" t="str">
        <f>IF($K497="","",IF($K497=1,CONCATENATE("Base ",$M497," ",$K497," noche"),CONCATENATE("Base ",$M497," ",$K497," noches")))</f>
        <v/>
      </c>
      <c r="O497" s="239" t="str">
        <f>IFERROR((VLOOKUP($N497,Pricing!$D$2:$E$43,2,FALSE)),"")</f>
        <v/>
      </c>
      <c r="P497" s="196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  <c r="AA497" s="271"/>
      <c r="AB497" s="272"/>
      <c r="AC497" s="272"/>
      <c r="AD497" s="272"/>
      <c r="AE497" s="272"/>
      <c r="AF497" s="272"/>
      <c r="AG497" s="272"/>
      <c r="AH497" s="272"/>
      <c r="AI497" s="267"/>
    </row>
    <row r="498" spans="1:35" x14ac:dyDescent="0.2">
      <c r="A498" s="208" t="str">
        <f>+IF(D498="","",CONCATENATE("GBL 00",Mantenedor!E497))</f>
        <v/>
      </c>
      <c r="B498" s="214"/>
      <c r="C498" s="215"/>
      <c r="D498" s="215"/>
      <c r="E498" s="215"/>
      <c r="F498" s="215"/>
      <c r="G498" s="215"/>
      <c r="H498" s="215"/>
      <c r="I498" s="216"/>
      <c r="J498" s="217"/>
      <c r="K498" s="218"/>
      <c r="L498" s="217" t="str">
        <f t="shared" si="7"/>
        <v/>
      </c>
      <c r="M498" s="240"/>
      <c r="N498" s="225" t="str">
        <f>IF($K498="","",IF($K498=1,CONCATENATE("Base ",$M498," ",$K498," noche"),CONCATENATE("Base ",$M498," ",$K498," noches")))</f>
        <v/>
      </c>
      <c r="O498" s="239" t="str">
        <f>IFERROR((VLOOKUP($N498,Pricing!$D$2:$E$43,2,FALSE)),"")</f>
        <v/>
      </c>
      <c r="P498" s="196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  <c r="AA498" s="271"/>
      <c r="AB498" s="272"/>
      <c r="AC498" s="272"/>
      <c r="AD498" s="272"/>
      <c r="AE498" s="272"/>
      <c r="AF498" s="272"/>
      <c r="AG498" s="272"/>
      <c r="AH498" s="272"/>
      <c r="AI498" s="267"/>
    </row>
    <row r="499" spans="1:35" x14ac:dyDescent="0.2">
      <c r="A499" s="208" t="str">
        <f>+IF(D499="","",CONCATENATE("GBL 00",Mantenedor!E498))</f>
        <v/>
      </c>
      <c r="B499" s="214"/>
      <c r="C499" s="215"/>
      <c r="D499" s="215"/>
      <c r="E499" s="215"/>
      <c r="F499" s="215"/>
      <c r="G499" s="215"/>
      <c r="H499" s="215"/>
      <c r="I499" s="216"/>
      <c r="J499" s="217"/>
      <c r="K499" s="218"/>
      <c r="L499" s="217" t="str">
        <f t="shared" si="7"/>
        <v/>
      </c>
      <c r="M499" s="240"/>
      <c r="N499" s="225" t="str">
        <f>IF($K499="","",IF($K499=1,CONCATENATE("Base ",$M499," ",$K499," noche"),CONCATENATE("Base ",$M499," ",$K499," noches")))</f>
        <v/>
      </c>
      <c r="O499" s="239" t="str">
        <f>IFERROR((VLOOKUP($N499,Pricing!$D$2:$E$43,2,FALSE)),"")</f>
        <v/>
      </c>
      <c r="P499" s="196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  <c r="AA499" s="271"/>
      <c r="AB499" s="272"/>
      <c r="AC499" s="272"/>
      <c r="AD499" s="272"/>
      <c r="AE499" s="272"/>
      <c r="AF499" s="272"/>
      <c r="AG499" s="272"/>
      <c r="AH499" s="272"/>
      <c r="AI499" s="267"/>
    </row>
    <row r="500" spans="1:35" x14ac:dyDescent="0.2">
      <c r="A500" s="208" t="str">
        <f>+IF(D500="","",CONCATENATE("GBL 00",Mantenedor!E499))</f>
        <v/>
      </c>
      <c r="B500" s="214"/>
      <c r="C500" s="215"/>
      <c r="D500" s="215"/>
      <c r="E500" s="215"/>
      <c r="F500" s="215"/>
      <c r="G500" s="215"/>
      <c r="H500" s="215"/>
      <c r="I500" s="216"/>
      <c r="J500" s="217"/>
      <c r="K500" s="218"/>
      <c r="L500" s="217" t="str">
        <f t="shared" si="7"/>
        <v/>
      </c>
      <c r="M500" s="240"/>
      <c r="N500" s="225" t="str">
        <f>IF($K500="","",IF($K500=1,CONCATENATE("Base ",$M500," ",$K500," noche"),CONCATENATE("Base ",$M500," ",$K500," noches")))</f>
        <v/>
      </c>
      <c r="O500" s="239" t="str">
        <f>IFERROR((VLOOKUP($N500,Pricing!$D$2:$E$43,2,FALSE)),"")</f>
        <v/>
      </c>
      <c r="P500" s="196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  <c r="AA500" s="271"/>
      <c r="AB500" s="272"/>
      <c r="AC500" s="272"/>
      <c r="AD500" s="272"/>
      <c r="AE500" s="272"/>
      <c r="AF500" s="272"/>
      <c r="AG500" s="272"/>
      <c r="AH500" s="272"/>
      <c r="AI500" s="267"/>
    </row>
    <row r="501" spans="1:35" x14ac:dyDescent="0.2">
      <c r="A501" s="208" t="str">
        <f>+IF(D501="","",CONCATENATE("GBL 00",Mantenedor!E500))</f>
        <v/>
      </c>
      <c r="B501" s="214"/>
      <c r="C501" s="215"/>
      <c r="D501" s="215"/>
      <c r="E501" s="215"/>
      <c r="F501" s="215"/>
      <c r="G501" s="215"/>
      <c r="H501" s="215"/>
      <c r="I501" s="216"/>
      <c r="J501" s="217"/>
      <c r="K501" s="218"/>
      <c r="L501" s="217" t="str">
        <f t="shared" si="7"/>
        <v/>
      </c>
      <c r="M501" s="240"/>
      <c r="N501" s="225" t="str">
        <f>IF($K501="","",IF($K501=1,CONCATENATE("Base ",$M501," ",$K501," noche"),CONCATENATE("Base ",$M501," ",$K501," noches")))</f>
        <v/>
      </c>
      <c r="O501" s="239" t="str">
        <f>IFERROR((VLOOKUP($N501,Pricing!$D$2:$E$43,2,FALSE)),"")</f>
        <v/>
      </c>
      <c r="P501" s="196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71"/>
      <c r="AB501" s="272"/>
      <c r="AC501" s="272"/>
      <c r="AD501" s="272"/>
      <c r="AE501" s="272"/>
      <c r="AF501" s="272"/>
      <c r="AG501" s="272"/>
      <c r="AH501" s="272"/>
      <c r="AI501" s="267"/>
    </row>
    <row r="502" spans="1:35" ht="16" thickBot="1" x14ac:dyDescent="0.25">
      <c r="A502" s="219" t="str">
        <f>+IF(D502="","",CONCATENATE("GBL 00",Mantenedor!E501))</f>
        <v/>
      </c>
      <c r="B502" s="220"/>
      <c r="C502" s="215"/>
      <c r="D502" s="221"/>
      <c r="E502" s="221"/>
      <c r="F502" s="221"/>
      <c r="G502" s="221"/>
      <c r="H502" s="221"/>
      <c r="I502" s="222"/>
      <c r="J502" s="223"/>
      <c r="K502" s="224"/>
      <c r="L502" s="223" t="str">
        <f t="shared" si="7"/>
        <v/>
      </c>
      <c r="M502" s="205"/>
      <c r="N502" s="206" t="str">
        <f>IF($K502="","",IF($K502=1,CONCATENATE("Base ",$M502," ",$K502," noche"),CONCATENATE("Base ",$M502," ",$K502," noches")))</f>
        <v/>
      </c>
      <c r="O502" s="241" t="str">
        <f>IFERROR((VLOOKUP($N502,Pricing!$D$2:$E$43,2,FALSE)),"")</f>
        <v/>
      </c>
      <c r="P502" s="197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73"/>
      <c r="AB502" s="274"/>
      <c r="AC502" s="274"/>
      <c r="AD502" s="274"/>
      <c r="AE502" s="274"/>
      <c r="AF502" s="274"/>
      <c r="AG502" s="274"/>
      <c r="AH502" s="274"/>
      <c r="AI502" s="268"/>
    </row>
    <row r="503" spans="1:35" x14ac:dyDescent="0.2">
      <c r="A503" t="s">
        <v>151</v>
      </c>
      <c r="D503" t="s">
        <v>151</v>
      </c>
      <c r="F503" t="s">
        <v>151</v>
      </c>
      <c r="I503" t="s">
        <v>151</v>
      </c>
      <c r="J503" t="s">
        <v>151</v>
      </c>
      <c r="K503" t="s">
        <v>151</v>
      </c>
      <c r="L503" t="s">
        <v>151</v>
      </c>
      <c r="M503" t="s">
        <v>151</v>
      </c>
      <c r="N503" t="s">
        <v>151</v>
      </c>
      <c r="O503" t="s">
        <v>151</v>
      </c>
      <c r="P503" t="s">
        <v>151</v>
      </c>
      <c r="Q503" t="s">
        <v>151</v>
      </c>
      <c r="R503" t="s">
        <v>151</v>
      </c>
      <c r="S503" t="s">
        <v>151</v>
      </c>
      <c r="T503" t="s">
        <v>151</v>
      </c>
      <c r="U503" t="s">
        <v>151</v>
      </c>
      <c r="V503" t="s">
        <v>151</v>
      </c>
      <c r="W503" t="s">
        <v>151</v>
      </c>
      <c r="AA503" t="s">
        <v>151</v>
      </c>
      <c r="AB503" t="s">
        <v>151</v>
      </c>
      <c r="AC503" t="s">
        <v>151</v>
      </c>
      <c r="AD503" t="s">
        <v>151</v>
      </c>
      <c r="AE503" t="s">
        <v>151</v>
      </c>
      <c r="AF503" t="s">
        <v>151</v>
      </c>
      <c r="AG503" t="s">
        <v>151</v>
      </c>
      <c r="AH503" t="s">
        <v>151</v>
      </c>
      <c r="AI503" t="s">
        <v>151</v>
      </c>
    </row>
  </sheetData>
  <protectedRanges>
    <protectedRange algorithmName="SHA-512" hashValue="Ii1uNFQ78C/+LDS9CNdb2rDqLNDjcbwVlsy54fmrFHUPMymC2UNkxk9nIMKKPk/fl6BRxeWLrNRWPiFFYEqW8A==" saltValue="LfW5Wnuifj019r4/cLCVTA==" spinCount="100000" sqref="D12:F502 I3:K502 M3:M502 D3:D11 F3:F11" name="Rango1"/>
  </protectedRanges>
  <mergeCells count="7">
    <mergeCell ref="Q1:Z1"/>
    <mergeCell ref="AA1:AH1"/>
    <mergeCell ref="AI1:AI2"/>
    <mergeCell ref="B1:H1"/>
    <mergeCell ref="I1:L1"/>
    <mergeCell ref="A1:A2"/>
    <mergeCell ref="M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E5BE-0C67-A044-B72A-9DAC1F94EC0D}">
  <sheetPr>
    <tabColor theme="9" tint="0.79998168889431442"/>
  </sheetPr>
  <dimension ref="A1:L33"/>
  <sheetViews>
    <sheetView zoomScale="113" zoomScaleNormal="113" workbookViewId="0">
      <selection activeCell="C3" sqref="C3"/>
    </sheetView>
  </sheetViews>
  <sheetFormatPr baseColWidth="10" defaultRowHeight="15" x14ac:dyDescent="0.2"/>
  <cols>
    <col min="1" max="1" width="4" customWidth="1"/>
    <col min="2" max="2" width="22.5" customWidth="1"/>
    <col min="3" max="3" width="16.83203125" customWidth="1"/>
    <col min="4" max="4" width="17.6640625" bestFit="1" customWidth="1"/>
    <col min="5" max="10" width="19.6640625" customWidth="1"/>
    <col min="11" max="11" width="19.1640625" customWidth="1"/>
    <col min="12" max="12" width="14.83203125" customWidth="1"/>
  </cols>
  <sheetData>
    <row r="1" spans="1:12" s="167" customFormat="1" ht="87" customHeight="1" x14ac:dyDescent="0.2">
      <c r="D1" s="168"/>
      <c r="E1" s="168"/>
      <c r="F1" s="173"/>
      <c r="G1" s="173"/>
      <c r="H1" s="173"/>
      <c r="I1" s="173"/>
      <c r="J1" s="173"/>
      <c r="K1" s="174"/>
      <c r="L1" s="174"/>
    </row>
    <row r="2" spans="1:12" s="167" customFormat="1" ht="80" customHeight="1" x14ac:dyDescent="0.2"/>
    <row r="3" spans="1:12" s="167" customFormat="1" ht="44" customHeight="1" x14ac:dyDescent="0.2">
      <c r="B3" s="204" t="s">
        <v>200</v>
      </c>
    </row>
    <row r="4" spans="1:12" ht="30" customHeight="1" thickBot="1" x14ac:dyDescent="0.25"/>
    <row r="5" spans="1:12" ht="23" thickBot="1" x14ac:dyDescent="0.35">
      <c r="B5" s="170" t="s">
        <v>172</v>
      </c>
      <c r="C5" s="171"/>
      <c r="D5" s="171"/>
      <c r="E5" s="171"/>
      <c r="F5" s="171"/>
      <c r="G5" s="171"/>
      <c r="H5" s="171"/>
      <c r="I5" s="171"/>
      <c r="J5" s="171"/>
      <c r="K5" s="172"/>
    </row>
    <row r="6" spans="1:12" ht="22" x14ac:dyDescent="0.3">
      <c r="B6" s="176" t="s">
        <v>198</v>
      </c>
      <c r="C6" s="177"/>
      <c r="D6" s="177"/>
      <c r="E6" s="177"/>
      <c r="F6" s="177"/>
      <c r="G6" s="187" t="s">
        <v>197</v>
      </c>
      <c r="H6" s="188"/>
      <c r="I6" s="188"/>
      <c r="J6" s="188"/>
      <c r="K6" s="189"/>
    </row>
    <row r="7" spans="1:12" ht="17" thickBot="1" x14ac:dyDescent="0.25">
      <c r="B7" s="192" t="s">
        <v>190</v>
      </c>
      <c r="C7" s="193" t="s">
        <v>170</v>
      </c>
      <c r="D7" s="193" t="s">
        <v>171</v>
      </c>
      <c r="E7" s="193" t="s">
        <v>140</v>
      </c>
      <c r="F7" s="193" t="s">
        <v>194</v>
      </c>
      <c r="G7" s="198" t="s">
        <v>143</v>
      </c>
      <c r="H7" s="199" t="s">
        <v>192</v>
      </c>
      <c r="I7" s="199" t="s">
        <v>186</v>
      </c>
      <c r="J7" s="199" t="s">
        <v>193</v>
      </c>
      <c r="K7" s="200" t="s">
        <v>187</v>
      </c>
    </row>
    <row r="8" spans="1:12" x14ac:dyDescent="0.2">
      <c r="B8" s="194" t="s">
        <v>173</v>
      </c>
      <c r="C8" s="195" t="s">
        <v>191</v>
      </c>
      <c r="D8" s="195">
        <v>12312413</v>
      </c>
      <c r="E8" s="195" t="e" cm="1">
        <f t="array" ref="E8">IF(#REF!="","",(_xlfn.IFS(#REF!="No",#REF!="",#REF!="Si",#REF!="")))</f>
        <v>#REF!</v>
      </c>
      <c r="F8" s="195"/>
      <c r="G8" s="201" t="s">
        <v>148</v>
      </c>
      <c r="H8" s="202"/>
      <c r="I8" s="202"/>
      <c r="J8" s="202">
        <f>+H8+I8</f>
        <v>0</v>
      </c>
      <c r="K8" s="203" t="s">
        <v>147</v>
      </c>
    </row>
    <row r="9" spans="1:12" x14ac:dyDescent="0.2">
      <c r="B9" s="179" t="s">
        <v>174</v>
      </c>
      <c r="C9" s="180"/>
      <c r="D9" s="180"/>
      <c r="E9" s="180"/>
      <c r="F9" s="180"/>
      <c r="G9" s="190" t="s">
        <v>148</v>
      </c>
      <c r="H9" s="183"/>
      <c r="I9" s="183"/>
      <c r="J9" s="183">
        <f t="shared" ref="J9:J12" si="0">+H9+I9</f>
        <v>0</v>
      </c>
      <c r="K9" s="184" t="s">
        <v>147</v>
      </c>
    </row>
    <row r="10" spans="1:12" x14ac:dyDescent="0.2">
      <c r="B10" s="179" t="s">
        <v>175</v>
      </c>
      <c r="C10" s="180"/>
      <c r="D10" s="180"/>
      <c r="E10" s="180"/>
      <c r="F10" s="180"/>
      <c r="G10" s="190" t="s">
        <v>149</v>
      </c>
      <c r="H10" s="183"/>
      <c r="I10" s="183"/>
      <c r="J10" s="183">
        <f t="shared" si="0"/>
        <v>0</v>
      </c>
      <c r="K10" s="184" t="s">
        <v>147</v>
      </c>
    </row>
    <row r="11" spans="1:12" x14ac:dyDescent="0.2">
      <c r="A11" t="s">
        <v>145</v>
      </c>
      <c r="B11" s="179" t="s">
        <v>176</v>
      </c>
      <c r="C11" s="180"/>
      <c r="D11" s="180"/>
      <c r="E11" s="180"/>
      <c r="F11" s="180"/>
      <c r="G11" s="190" t="s">
        <v>149</v>
      </c>
      <c r="H11" s="183"/>
      <c r="I11" s="183"/>
      <c r="J11" s="183">
        <f t="shared" si="0"/>
        <v>0</v>
      </c>
      <c r="K11" s="184" t="s">
        <v>147</v>
      </c>
    </row>
    <row r="12" spans="1:12" x14ac:dyDescent="0.2">
      <c r="A12" t="s">
        <v>145</v>
      </c>
      <c r="B12" s="179" t="s">
        <v>177</v>
      </c>
      <c r="C12" s="180"/>
      <c r="D12" s="180"/>
      <c r="E12" s="180"/>
      <c r="F12" s="180"/>
      <c r="G12" s="190" t="s">
        <v>148</v>
      </c>
      <c r="H12" s="183"/>
      <c r="I12" s="183"/>
      <c r="J12" s="183">
        <f t="shared" si="0"/>
        <v>0</v>
      </c>
      <c r="K12" s="184" t="s">
        <v>147</v>
      </c>
    </row>
    <row r="13" spans="1:12" x14ac:dyDescent="0.2">
      <c r="A13" t="s">
        <v>145</v>
      </c>
      <c r="B13" s="179" t="s">
        <v>178</v>
      </c>
      <c r="C13" s="180"/>
      <c r="D13" s="180"/>
      <c r="E13" s="180"/>
      <c r="F13" s="180"/>
      <c r="G13" s="190"/>
      <c r="H13" s="183"/>
      <c r="I13" s="183"/>
      <c r="J13" s="183"/>
      <c r="K13" s="184" t="s">
        <v>147</v>
      </c>
    </row>
    <row r="14" spans="1:12" hidden="1" x14ac:dyDescent="0.2">
      <c r="A14" t="s">
        <v>146</v>
      </c>
      <c r="B14" s="179" t="s">
        <v>179</v>
      </c>
      <c r="C14" s="180"/>
      <c r="D14" s="180"/>
      <c r="E14" s="180"/>
      <c r="F14" s="180"/>
      <c r="G14" s="190"/>
      <c r="H14" s="183"/>
      <c r="I14" s="183"/>
      <c r="J14" s="183"/>
      <c r="K14" s="184" t="s">
        <v>147</v>
      </c>
    </row>
    <row r="15" spans="1:12" hidden="1" x14ac:dyDescent="0.2">
      <c r="A15" t="s">
        <v>146</v>
      </c>
      <c r="B15" s="179" t="s">
        <v>180</v>
      </c>
      <c r="C15" s="180"/>
      <c r="D15" s="180"/>
      <c r="E15" s="180"/>
      <c r="F15" s="180"/>
      <c r="G15" s="190"/>
      <c r="H15" s="183"/>
      <c r="I15" s="183"/>
      <c r="J15" s="183"/>
      <c r="K15" s="184" t="s">
        <v>147</v>
      </c>
    </row>
    <row r="16" spans="1:12" hidden="1" x14ac:dyDescent="0.2">
      <c r="A16" t="s">
        <v>146</v>
      </c>
      <c r="B16" s="179" t="s">
        <v>181</v>
      </c>
      <c r="C16" s="180"/>
      <c r="D16" s="180"/>
      <c r="E16" s="180"/>
      <c r="F16" s="180"/>
      <c r="G16" s="190"/>
      <c r="H16" s="183"/>
      <c r="I16" s="183"/>
      <c r="J16" s="183"/>
      <c r="K16" s="184" t="s">
        <v>147</v>
      </c>
    </row>
    <row r="17" spans="2:12" ht="16" thickBot="1" x14ac:dyDescent="0.25">
      <c r="B17" s="151" t="s">
        <v>182</v>
      </c>
      <c r="C17" s="150"/>
      <c r="D17" s="150"/>
      <c r="E17" s="150"/>
      <c r="F17" s="150"/>
      <c r="G17" s="191"/>
      <c r="H17" s="185"/>
      <c r="I17" s="185"/>
      <c r="J17" s="185"/>
      <c r="K17" s="186" t="s">
        <v>147</v>
      </c>
    </row>
    <row r="23" spans="2:12" ht="16" x14ac:dyDescent="0.2">
      <c r="L23" s="175"/>
    </row>
    <row r="29" spans="2:12" hidden="1" x14ac:dyDescent="0.2"/>
    <row r="30" spans="2:12" hidden="1" x14ac:dyDescent="0.2"/>
    <row r="31" spans="2:12" hidden="1" x14ac:dyDescent="0.2"/>
    <row r="32" spans="2:12" hidden="1" x14ac:dyDescent="0.2"/>
    <row r="33" hidden="1" x14ac:dyDescent="0.2"/>
  </sheetData>
  <mergeCells count="4">
    <mergeCell ref="B5:K5"/>
    <mergeCell ref="B6:F6"/>
    <mergeCell ref="G6:K6"/>
    <mergeCell ref="D1:E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B6888E1-2F3A-8D4B-947F-E745CF4E9F71}">
          <x14:formula1>
            <xm:f>Mantenedor!$G$2:$G$3</xm:f>
          </x14:formula1>
          <xm:sqref>F8:F12</xm:sqref>
        </x14:dataValidation>
        <x14:dataValidation type="list" allowBlank="1" showInputMessage="1" showErrorMessage="1" xr:uid="{1EC49A17-30B3-0E45-A849-653DAF12CD79}">
          <x14:formula1>
            <xm:f>Mantenedor!$B$2:$B$11</xm:f>
          </x14:formula1>
          <xm:sqref>I8:I12</xm:sqref>
        </x14:dataValidation>
        <x14:dataValidation type="list" allowBlank="1" showInputMessage="1" showErrorMessage="1" xr:uid="{8604F1EA-3695-FD4C-BAC9-0B4F9CC1F9F6}">
          <x14:formula1>
            <xm:f>Mantenedor!$D$2:$D$4</xm:f>
          </x14:formula1>
          <xm:sqref>G8:H16 I13:J16</xm:sqref>
        </x14:dataValidation>
        <x14:dataValidation type="list" allowBlank="1" showInputMessage="1" showErrorMessage="1" xr:uid="{81F792F5-931B-6040-A282-DB4D34BBECE3}">
          <x14:formula1>
            <xm:f>Mantenedor!$C$2:$C$3</xm:f>
          </x14:formula1>
          <xm:sqref>K8:K17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5BC4-2BF4-F545-9EE0-C1BEE5F29847}">
  <sheetPr>
    <tabColor theme="5" tint="0.79998168889431442"/>
  </sheetPr>
  <dimension ref="B1:L24"/>
  <sheetViews>
    <sheetView zoomScale="95" zoomScaleNormal="95" workbookViewId="0">
      <selection activeCell="B24" sqref="B20:B24"/>
    </sheetView>
  </sheetViews>
  <sheetFormatPr baseColWidth="10" defaultRowHeight="15" x14ac:dyDescent="0.2"/>
  <cols>
    <col min="1" max="1" width="4" customWidth="1"/>
    <col min="2" max="2" width="20.1640625" customWidth="1"/>
    <col min="3" max="3" width="16.83203125" customWidth="1"/>
    <col min="4" max="4" width="17.6640625" bestFit="1" customWidth="1"/>
    <col min="5" max="10" width="19.6640625" customWidth="1"/>
    <col min="11" max="11" width="19.1640625" customWidth="1"/>
    <col min="12" max="12" width="14.83203125" customWidth="1"/>
  </cols>
  <sheetData>
    <row r="1" spans="2:12" s="167" customFormat="1" ht="87" customHeight="1" x14ac:dyDescent="0.2">
      <c r="D1" s="168"/>
      <c r="E1" s="168"/>
      <c r="F1" s="173"/>
      <c r="G1" s="173"/>
      <c r="H1" s="173"/>
      <c r="I1" s="173"/>
      <c r="J1" s="173"/>
      <c r="K1" s="174"/>
      <c r="L1" s="174"/>
    </row>
    <row r="2" spans="2:12" s="167" customFormat="1" ht="80" customHeight="1" x14ac:dyDescent="0.2"/>
    <row r="3" spans="2:12" ht="30" customHeight="1" x14ac:dyDescent="0.2"/>
    <row r="4" spans="2:12" s="245" customFormat="1" ht="32" x14ac:dyDescent="0.4">
      <c r="B4" s="248" t="s">
        <v>200</v>
      </c>
      <c r="C4" s="248"/>
      <c r="D4" s="248"/>
      <c r="E4" s="248"/>
      <c r="F4" s="248"/>
      <c r="G4" s="248"/>
      <c r="H4" s="248"/>
      <c r="I4" s="248"/>
      <c r="J4" s="248"/>
      <c r="K4" s="248"/>
    </row>
    <row r="5" spans="2:12" x14ac:dyDescent="0.2">
      <c r="B5" t="s">
        <v>138</v>
      </c>
    </row>
    <row r="6" spans="2:12" x14ac:dyDescent="0.2">
      <c r="B6" t="s">
        <v>192</v>
      </c>
    </row>
    <row r="8" spans="2:12" ht="27" x14ac:dyDescent="0.35">
      <c r="B8" s="263" t="s">
        <v>112</v>
      </c>
    </row>
    <row r="9" spans="2:12" ht="22" x14ac:dyDescent="0.3">
      <c r="B9" s="264" t="s">
        <v>215</v>
      </c>
      <c r="C9" s="264" t="s">
        <v>113</v>
      </c>
    </row>
    <row r="10" spans="2:12" x14ac:dyDescent="0.2">
      <c r="B10" t="s">
        <v>221</v>
      </c>
    </row>
    <row r="11" spans="2:12" x14ac:dyDescent="0.2">
      <c r="B11" t="s">
        <v>220</v>
      </c>
    </row>
    <row r="12" spans="2:12" x14ac:dyDescent="0.2">
      <c r="B12" t="s">
        <v>219</v>
      </c>
    </row>
    <row r="13" spans="2:12" x14ac:dyDescent="0.2">
      <c r="B13" t="s">
        <v>218</v>
      </c>
    </row>
    <row r="14" spans="2:12" x14ac:dyDescent="0.2">
      <c r="B14" t="s">
        <v>217</v>
      </c>
    </row>
    <row r="15" spans="2:12" x14ac:dyDescent="0.2">
      <c r="B15" t="s">
        <v>216</v>
      </c>
    </row>
    <row r="16" spans="2:12" x14ac:dyDescent="0.2">
      <c r="B16" t="s">
        <v>222</v>
      </c>
    </row>
    <row r="18" spans="2:3" ht="27" x14ac:dyDescent="0.35">
      <c r="B18" s="263" t="s">
        <v>114</v>
      </c>
    </row>
    <row r="19" spans="2:3" ht="22" x14ac:dyDescent="0.3">
      <c r="B19" s="264" t="s">
        <v>215</v>
      </c>
      <c r="C19" s="264" t="s">
        <v>113</v>
      </c>
    </row>
    <row r="20" spans="2:3" x14ac:dyDescent="0.2">
      <c r="B20" t="s">
        <v>224</v>
      </c>
    </row>
    <row r="21" spans="2:3" x14ac:dyDescent="0.2">
      <c r="B21" t="s">
        <v>225</v>
      </c>
    </row>
    <row r="22" spans="2:3" x14ac:dyDescent="0.2">
      <c r="B22" t="s">
        <v>226</v>
      </c>
    </row>
    <row r="23" spans="2:3" x14ac:dyDescent="0.2">
      <c r="B23" t="s">
        <v>227</v>
      </c>
    </row>
    <row r="24" spans="2:3" x14ac:dyDescent="0.2">
      <c r="B24" t="s">
        <v>223</v>
      </c>
    </row>
  </sheetData>
  <mergeCells count="1">
    <mergeCell ref="D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ED35-24B6-4724-99F4-EBC7C1271275}">
  <dimension ref="A1:T55"/>
  <sheetViews>
    <sheetView zoomScale="80" zoomScaleNormal="80" workbookViewId="0">
      <selection activeCell="B6" sqref="A1:XFD1048576"/>
    </sheetView>
  </sheetViews>
  <sheetFormatPr baseColWidth="10" defaultRowHeight="15" customHeight="1" x14ac:dyDescent="0.2"/>
  <cols>
    <col min="1" max="1" width="7.1640625" customWidth="1"/>
    <col min="2" max="2" width="28.83203125" customWidth="1"/>
    <col min="3" max="3" width="35.83203125" customWidth="1"/>
    <col min="4" max="4" width="7.5" bestFit="1" customWidth="1"/>
    <col min="5" max="5" width="13.5" customWidth="1"/>
    <col min="6" max="6" width="9.83203125" customWidth="1"/>
    <col min="7" max="7" width="12" customWidth="1"/>
    <col min="8" max="8" width="15.1640625" customWidth="1"/>
    <col min="9" max="9" width="8.83203125" customWidth="1"/>
    <col min="10" max="10" width="12.5" customWidth="1"/>
    <col min="11" max="14" width="12.83203125" customWidth="1"/>
    <col min="20" max="20" width="41.83203125" customWidth="1"/>
  </cols>
  <sheetData>
    <row r="1" spans="1:11" ht="15" customHeight="1" x14ac:dyDescent="0.2">
      <c r="A1" s="27" t="s">
        <v>37</v>
      </c>
      <c r="C1" s="119">
        <v>45929</v>
      </c>
      <c r="F1" s="3" t="s">
        <v>110</v>
      </c>
      <c r="G1" s="3"/>
      <c r="H1" s="121"/>
      <c r="I1" t="s">
        <v>111</v>
      </c>
    </row>
    <row r="2" spans="1:11" ht="15" customHeight="1" x14ac:dyDescent="0.2">
      <c r="A2" s="27" t="s">
        <v>38</v>
      </c>
      <c r="F2" s="3" t="s">
        <v>110</v>
      </c>
      <c r="G2" s="3"/>
      <c r="H2" s="120"/>
      <c r="I2" t="s">
        <v>111</v>
      </c>
    </row>
    <row r="3" spans="1:11" ht="15" customHeight="1" x14ac:dyDescent="0.2">
      <c r="A3" s="27" t="s">
        <v>204</v>
      </c>
      <c r="B3" s="2"/>
      <c r="C3" s="2"/>
      <c r="D3" s="2"/>
      <c r="E3" s="2"/>
      <c r="F3" s="2"/>
      <c r="G3" s="2"/>
      <c r="H3" s="2"/>
      <c r="I3" s="2"/>
    </row>
    <row r="4" spans="1:11" ht="15" customHeight="1" thickBot="1" x14ac:dyDescent="0.25">
      <c r="B4" s="2"/>
      <c r="C4" s="2"/>
      <c r="D4" s="2"/>
      <c r="E4" s="2"/>
      <c r="F4" s="2"/>
      <c r="G4" s="2"/>
      <c r="H4" s="2"/>
      <c r="I4" s="2"/>
    </row>
    <row r="5" spans="1:11" ht="15" customHeight="1" thickBot="1" x14ac:dyDescent="0.25">
      <c r="A5" s="4" t="s">
        <v>10</v>
      </c>
      <c r="B5" s="157" t="s">
        <v>0</v>
      </c>
      <c r="C5" s="158"/>
      <c r="D5" s="158"/>
      <c r="E5" s="158"/>
      <c r="F5" s="158"/>
      <c r="G5" s="158"/>
      <c r="H5" s="158"/>
      <c r="I5" s="159"/>
    </row>
    <row r="6" spans="1:11" ht="15" customHeight="1" x14ac:dyDescent="0.2">
      <c r="A6" s="10"/>
      <c r="B6" s="29" t="s">
        <v>19</v>
      </c>
      <c r="C6" s="52">
        <v>45853</v>
      </c>
      <c r="D6" s="53"/>
      <c r="E6" s="53"/>
      <c r="F6" s="53"/>
      <c r="G6" s="53"/>
      <c r="H6" s="53"/>
      <c r="I6" s="54"/>
    </row>
    <row r="7" spans="1:11" ht="15" customHeight="1" x14ac:dyDescent="0.2">
      <c r="A7" s="15"/>
      <c r="B7" s="14" t="s">
        <v>3</v>
      </c>
      <c r="C7" s="39" t="s">
        <v>40</v>
      </c>
      <c r="D7" s="236"/>
      <c r="E7" s="116" t="s">
        <v>106</v>
      </c>
      <c r="F7" s="117" t="s">
        <v>102</v>
      </c>
      <c r="G7" s="117"/>
      <c r="H7" s="118"/>
      <c r="I7" s="141" t="s">
        <v>108</v>
      </c>
    </row>
    <row r="8" spans="1:11" ht="15" customHeight="1" x14ac:dyDescent="0.2">
      <c r="A8" s="15"/>
      <c r="B8" s="14" t="s">
        <v>1</v>
      </c>
      <c r="C8" s="40" t="s">
        <v>41</v>
      </c>
      <c r="D8" s="236"/>
      <c r="E8" s="116" t="s">
        <v>106</v>
      </c>
      <c r="F8" s="117" t="s">
        <v>107</v>
      </c>
      <c r="G8" s="117"/>
      <c r="H8" s="118"/>
      <c r="I8" s="141"/>
    </row>
    <row r="9" spans="1:11" ht="15" customHeight="1" x14ac:dyDescent="0.2">
      <c r="A9" s="15"/>
      <c r="B9" s="14" t="s">
        <v>2</v>
      </c>
      <c r="C9" s="39" t="s">
        <v>42</v>
      </c>
      <c r="D9" s="236"/>
      <c r="E9" s="116" t="s">
        <v>106</v>
      </c>
      <c r="F9" s="117" t="s">
        <v>107</v>
      </c>
      <c r="G9" s="117"/>
      <c r="H9" s="118"/>
      <c r="I9" s="141"/>
    </row>
    <row r="10" spans="1:11" ht="15" customHeight="1" x14ac:dyDescent="0.2">
      <c r="A10" s="15"/>
      <c r="B10" s="14" t="s">
        <v>9</v>
      </c>
      <c r="C10" s="33">
        <f>+precio!B6</f>
        <v>0</v>
      </c>
      <c r="D10" s="236"/>
      <c r="E10" s="236"/>
      <c r="F10" s="236"/>
      <c r="G10" s="236"/>
      <c r="H10" s="236"/>
      <c r="I10" s="31">
        <f>COUNT(I7:I9)</f>
        <v>0</v>
      </c>
    </row>
    <row r="11" spans="1:11" ht="15" customHeight="1" x14ac:dyDescent="0.2">
      <c r="A11" s="15"/>
      <c r="B11" s="36" t="s">
        <v>4</v>
      </c>
      <c r="C11" s="41">
        <v>46006</v>
      </c>
      <c r="D11" s="236"/>
      <c r="E11" s="236"/>
      <c r="F11" s="236"/>
      <c r="G11" s="236"/>
      <c r="H11" s="236"/>
      <c r="I11" s="31"/>
    </row>
    <row r="12" spans="1:11" ht="15" customHeight="1" x14ac:dyDescent="0.2">
      <c r="A12" s="15"/>
      <c r="B12" s="14" t="s">
        <v>5</v>
      </c>
      <c r="C12" s="38">
        <f>+C11+C13</f>
        <v>46012</v>
      </c>
      <c r="D12" s="236"/>
      <c r="E12" s="236"/>
      <c r="F12" s="236"/>
      <c r="G12" s="236"/>
      <c r="H12" s="236"/>
      <c r="I12" s="31"/>
    </row>
    <row r="13" spans="1:11" ht="15" customHeight="1" x14ac:dyDescent="0.2">
      <c r="A13" s="15"/>
      <c r="B13" s="14" t="s">
        <v>47</v>
      </c>
      <c r="C13" s="43">
        <v>6</v>
      </c>
      <c r="D13" s="236"/>
      <c r="E13" s="236"/>
      <c r="F13" s="236"/>
      <c r="G13" s="236"/>
      <c r="H13" s="236"/>
      <c r="I13" s="31"/>
    </row>
    <row r="14" spans="1:11" ht="15" customHeight="1" x14ac:dyDescent="0.2">
      <c r="A14" s="32"/>
      <c r="B14" s="15"/>
      <c r="C14" s="169"/>
      <c r="D14" s="160" t="s">
        <v>109</v>
      </c>
      <c r="E14" s="160"/>
      <c r="F14" s="160"/>
      <c r="G14" s="160"/>
      <c r="H14" s="160"/>
      <c r="I14" s="161"/>
    </row>
    <row r="15" spans="1:11" ht="15" customHeight="1" x14ac:dyDescent="0.2">
      <c r="A15" s="15"/>
      <c r="B15" s="16" t="s">
        <v>18</v>
      </c>
      <c r="C15" s="12" t="s">
        <v>14</v>
      </c>
      <c r="D15" s="6" t="s">
        <v>15</v>
      </c>
      <c r="E15" s="6" t="s">
        <v>99</v>
      </c>
      <c r="F15" s="6" t="s">
        <v>100</v>
      </c>
      <c r="G15" s="6"/>
      <c r="H15" s="6" t="s">
        <v>101</v>
      </c>
      <c r="I15" s="17" t="s">
        <v>39</v>
      </c>
    </row>
    <row r="16" spans="1:11" ht="15" customHeight="1" x14ac:dyDescent="0.2">
      <c r="A16" s="11">
        <v>0</v>
      </c>
      <c r="B16" s="56" t="s">
        <v>122</v>
      </c>
      <c r="C16" s="39"/>
      <c r="D16" s="34">
        <f>+C13</f>
        <v>6</v>
      </c>
      <c r="E16" s="34">
        <f>+precio!B6</f>
        <v>0</v>
      </c>
      <c r="F16" s="44">
        <v>0.2</v>
      </c>
      <c r="G16" s="44"/>
      <c r="H16" s="34">
        <f>+E16*(1-F16)</f>
        <v>0</v>
      </c>
      <c r="I16" s="45" t="s">
        <v>46</v>
      </c>
      <c r="K16">
        <f>17*200</f>
        <v>3400</v>
      </c>
    </row>
    <row r="17" spans="1:20" ht="15" customHeight="1" x14ac:dyDescent="0.2">
      <c r="A17" s="11">
        <v>0</v>
      </c>
      <c r="B17" s="111" t="s">
        <v>43</v>
      </c>
      <c r="C17" s="112"/>
      <c r="D17" s="113">
        <f>+D16</f>
        <v>6</v>
      </c>
      <c r="E17" s="113">
        <f>+precio!B6</f>
        <v>0</v>
      </c>
      <c r="F17" s="114">
        <v>1</v>
      </c>
      <c r="G17" s="114"/>
      <c r="H17" s="113">
        <v>0</v>
      </c>
      <c r="I17" s="115" t="str">
        <f>+I16</f>
        <v>FSN</v>
      </c>
    </row>
    <row r="18" spans="1:20" ht="15" customHeight="1" x14ac:dyDescent="0.2">
      <c r="A18" s="11"/>
      <c r="B18" s="56" t="s">
        <v>44</v>
      </c>
      <c r="C18" s="39"/>
      <c r="D18" s="34">
        <f>+D17</f>
        <v>6</v>
      </c>
      <c r="E18" s="34">
        <f>+precio!B6</f>
        <v>0</v>
      </c>
      <c r="F18" s="44">
        <v>0.2</v>
      </c>
      <c r="G18" s="44"/>
      <c r="H18" s="34">
        <f>+E18*(1-F18)</f>
        <v>0</v>
      </c>
      <c r="I18" s="45" t="str">
        <f t="shared" ref="I18:I20" si="0">+I17</f>
        <v>FSN</v>
      </c>
    </row>
    <row r="19" spans="1:20" ht="15" customHeight="1" x14ac:dyDescent="0.2">
      <c r="A19" s="11"/>
      <c r="B19" s="105" t="s">
        <v>102</v>
      </c>
      <c r="C19" s="106"/>
      <c r="D19" s="107">
        <f t="shared" ref="D19:D20" si="1">+D18</f>
        <v>6</v>
      </c>
      <c r="E19" s="107">
        <f>+precio!B7</f>
        <v>0</v>
      </c>
      <c r="F19" s="108">
        <v>0.2</v>
      </c>
      <c r="G19" s="108"/>
      <c r="H19" s="107"/>
      <c r="I19" s="109" t="str">
        <f t="shared" si="0"/>
        <v>FSN</v>
      </c>
    </row>
    <row r="20" spans="1:20" ht="15" customHeight="1" x14ac:dyDescent="0.2">
      <c r="A20" s="11"/>
      <c r="B20" s="56" t="s">
        <v>103</v>
      </c>
      <c r="C20" s="39"/>
      <c r="D20" s="34">
        <f t="shared" si="1"/>
        <v>6</v>
      </c>
      <c r="E20" s="34">
        <f>+precio!B8</f>
        <v>0</v>
      </c>
      <c r="F20" s="44">
        <v>0.2</v>
      </c>
      <c r="G20" s="44"/>
      <c r="H20" s="34"/>
      <c r="I20" s="45" t="str">
        <f t="shared" si="0"/>
        <v>FSN</v>
      </c>
    </row>
    <row r="21" spans="1:20" ht="15" customHeight="1" x14ac:dyDescent="0.2">
      <c r="A21" s="11"/>
      <c r="B21" s="56" t="s">
        <v>45</v>
      </c>
      <c r="C21" s="39"/>
      <c r="D21" s="34">
        <f>+D18</f>
        <v>6</v>
      </c>
      <c r="E21" s="34">
        <f>+precio!B6</f>
        <v>0</v>
      </c>
      <c r="F21" s="44">
        <f t="shared" ref="F21" si="2">+F18</f>
        <v>0.2</v>
      </c>
      <c r="G21" s="44"/>
      <c r="H21" s="34">
        <f>+E21*(1-F21)</f>
        <v>0</v>
      </c>
      <c r="I21" s="45" t="str">
        <f>+I18</f>
        <v>FSN</v>
      </c>
    </row>
    <row r="22" spans="1:20" ht="15" customHeight="1" thickBot="1" x14ac:dyDescent="0.25">
      <c r="A22" s="15"/>
      <c r="B22" s="237" t="s">
        <v>105</v>
      </c>
      <c r="C22" s="8"/>
      <c r="D22" s="35">
        <f>SUM(D16:D21)</f>
        <v>36</v>
      </c>
      <c r="E22" s="55">
        <f>+(D22-F22)/D22</f>
        <v>1</v>
      </c>
      <c r="F22" s="35">
        <f>SUM(H16:H21)</f>
        <v>0</v>
      </c>
      <c r="G22" s="137"/>
      <c r="H22" s="9"/>
      <c r="I22" s="9"/>
    </row>
    <row r="24" spans="1:20" ht="15" hidden="1" customHeight="1" thickBot="1" x14ac:dyDescent="0.25">
      <c r="B24" s="2"/>
      <c r="C24" s="2"/>
      <c r="D24" s="2"/>
      <c r="E24" s="2"/>
      <c r="F24" s="2"/>
      <c r="G24" s="2"/>
      <c r="H24" s="2"/>
      <c r="I24" s="2"/>
      <c r="J24" s="13" t="s">
        <v>6</v>
      </c>
      <c r="K24" s="153" t="s">
        <v>34</v>
      </c>
      <c r="L24" s="155"/>
      <c r="M24" s="153" t="s">
        <v>35</v>
      </c>
      <c r="N24" s="154"/>
      <c r="O24" s="83" t="s">
        <v>16</v>
      </c>
      <c r="P24" s="85" t="s">
        <v>7</v>
      </c>
      <c r="Q24" s="85" t="s">
        <v>33</v>
      </c>
      <c r="R24" s="85" t="s">
        <v>8</v>
      </c>
      <c r="S24" s="84" t="s">
        <v>8</v>
      </c>
      <c r="T24" s="131" t="s">
        <v>20</v>
      </c>
    </row>
    <row r="25" spans="1:20" ht="15" hidden="1" customHeight="1" thickBot="1" x14ac:dyDescent="0.25">
      <c r="A25" s="4" t="s">
        <v>10</v>
      </c>
      <c r="B25" s="157" t="s">
        <v>0</v>
      </c>
      <c r="C25" s="158"/>
      <c r="D25" s="158"/>
      <c r="E25" s="158"/>
      <c r="F25" s="158"/>
      <c r="G25" s="158"/>
      <c r="H25" s="158"/>
      <c r="I25" s="159"/>
      <c r="J25" s="75" t="s">
        <v>13</v>
      </c>
      <c r="K25" s="7" t="s">
        <v>28</v>
      </c>
      <c r="L25" s="9" t="s">
        <v>16</v>
      </c>
      <c r="M25" s="7" t="s">
        <v>28</v>
      </c>
      <c r="N25" s="28" t="s">
        <v>16</v>
      </c>
      <c r="O25" s="7" t="s">
        <v>12</v>
      </c>
      <c r="P25" s="8" t="s">
        <v>17</v>
      </c>
      <c r="Q25" s="8" t="s">
        <v>12</v>
      </c>
      <c r="R25" s="8" t="s">
        <v>11</v>
      </c>
      <c r="S25" s="9" t="s">
        <v>49</v>
      </c>
      <c r="T25" s="132"/>
    </row>
    <row r="26" spans="1:20" ht="15" hidden="1" customHeight="1" thickBot="1" x14ac:dyDescent="0.25">
      <c r="A26" s="10"/>
      <c r="B26" s="29" t="s">
        <v>19</v>
      </c>
      <c r="C26" s="52"/>
      <c r="D26" s="53"/>
      <c r="E26" s="53"/>
      <c r="F26" s="126" t="s">
        <v>123</v>
      </c>
      <c r="G26" s="147"/>
      <c r="H26" s="162" t="s">
        <v>136</v>
      </c>
      <c r="I26" s="163"/>
      <c r="J26" s="146"/>
      <c r="K26" s="25" t="s">
        <v>128</v>
      </c>
      <c r="L26" s="130"/>
      <c r="M26" s="25" t="s">
        <v>29</v>
      </c>
      <c r="N26" s="78">
        <f>+C31-45</f>
        <v>45950</v>
      </c>
      <c r="O26" s="57"/>
      <c r="P26" s="59"/>
      <c r="Q26" s="46"/>
      <c r="R26" s="65" t="e">
        <f>+(F41/2)-P26</f>
        <v>#DIV/0!</v>
      </c>
      <c r="S26" s="58" t="e">
        <f>+F41-P26</f>
        <v>#DIV/0!</v>
      </c>
      <c r="T26" s="22"/>
    </row>
    <row r="27" spans="1:20" ht="15" hidden="1" customHeight="1" thickBot="1" x14ac:dyDescent="0.25">
      <c r="A27" s="15"/>
      <c r="B27" s="14" t="s">
        <v>3</v>
      </c>
      <c r="C27" s="122" t="s">
        <v>116</v>
      </c>
      <c r="D27" s="1"/>
      <c r="E27" s="116" t="s">
        <v>106</v>
      </c>
      <c r="F27" s="116"/>
      <c r="G27" s="117"/>
      <c r="H27" s="118"/>
      <c r="I27" s="141"/>
      <c r="K27" s="18" t="s">
        <v>129</v>
      </c>
      <c r="L27" s="77"/>
      <c r="M27" s="18" t="s">
        <v>30</v>
      </c>
      <c r="N27" s="79">
        <f>+C31-30</f>
        <v>45965</v>
      </c>
      <c r="O27" s="47"/>
      <c r="P27" s="60"/>
      <c r="Q27" s="48"/>
      <c r="R27" s="66"/>
      <c r="S27" s="67"/>
      <c r="T27" s="23"/>
    </row>
    <row r="28" spans="1:20" ht="15" hidden="1" customHeight="1" thickBot="1" x14ac:dyDescent="0.25">
      <c r="A28" s="15"/>
      <c r="B28" s="14" t="s">
        <v>1</v>
      </c>
      <c r="C28" s="123" t="s">
        <v>117</v>
      </c>
      <c r="D28" s="1"/>
      <c r="E28" s="116" t="s">
        <v>106</v>
      </c>
      <c r="F28" s="116"/>
      <c r="G28" s="117"/>
      <c r="H28" s="118"/>
      <c r="I28" s="141"/>
      <c r="K28" s="18" t="s">
        <v>130</v>
      </c>
      <c r="L28" s="77"/>
      <c r="M28" s="18" t="s">
        <v>31</v>
      </c>
      <c r="N28" s="79">
        <f>+C31-15</f>
        <v>45980</v>
      </c>
      <c r="O28" s="47"/>
      <c r="P28" s="60"/>
      <c r="Q28" s="48"/>
      <c r="R28" s="66"/>
      <c r="S28" s="67"/>
      <c r="T28" s="23"/>
    </row>
    <row r="29" spans="1:20" ht="15" hidden="1" customHeight="1" x14ac:dyDescent="0.2">
      <c r="A29" s="15"/>
      <c r="B29" s="14" t="s">
        <v>2</v>
      </c>
      <c r="C29" s="39"/>
      <c r="D29" s="1"/>
      <c r="E29" s="116" t="s">
        <v>106</v>
      </c>
      <c r="F29" s="116"/>
      <c r="G29" s="117"/>
      <c r="H29" s="118"/>
      <c r="I29" s="141"/>
      <c r="K29" s="18" t="s">
        <v>131</v>
      </c>
      <c r="L29" s="77"/>
      <c r="M29" s="18" t="s">
        <v>32</v>
      </c>
      <c r="N29" s="79">
        <f>+C31-7</f>
        <v>45988</v>
      </c>
      <c r="O29" s="47"/>
      <c r="P29" s="60"/>
      <c r="Q29" s="48"/>
      <c r="R29" s="66"/>
      <c r="S29" s="67"/>
      <c r="T29" s="23"/>
    </row>
    <row r="30" spans="1:20" ht="15" hidden="1" customHeight="1" thickBot="1" x14ac:dyDescent="0.25">
      <c r="A30" s="15"/>
      <c r="B30" s="14" t="s">
        <v>9</v>
      </c>
      <c r="C30" s="33"/>
      <c r="D30" s="1"/>
      <c r="H30" s="129" t="s">
        <v>125</v>
      </c>
      <c r="I30" s="142"/>
      <c r="K30" s="18" t="s">
        <v>132</v>
      </c>
      <c r="L30" s="77"/>
      <c r="M30" s="7" t="s">
        <v>27</v>
      </c>
      <c r="N30" s="20"/>
      <c r="O30" s="49"/>
      <c r="P30" s="61"/>
      <c r="Q30" s="50"/>
      <c r="R30" s="68"/>
      <c r="S30" s="69"/>
      <c r="T30" s="37"/>
    </row>
    <row r="31" spans="1:20" ht="15" hidden="1" customHeight="1" thickBot="1" x14ac:dyDescent="0.25">
      <c r="A31" s="15"/>
      <c r="B31" s="36" t="s">
        <v>4</v>
      </c>
      <c r="C31" s="125">
        <v>45995</v>
      </c>
      <c r="D31" s="1"/>
      <c r="E31" s="127" t="s">
        <v>124</v>
      </c>
      <c r="F31" s="127"/>
      <c r="G31" s="127"/>
      <c r="H31" s="127"/>
      <c r="I31" s="128"/>
      <c r="K31" s="18" t="s">
        <v>133</v>
      </c>
      <c r="L31" s="77"/>
      <c r="O31" s="51"/>
      <c r="P31" s="62"/>
      <c r="Q31" s="42"/>
      <c r="R31" s="70"/>
      <c r="S31" s="71"/>
      <c r="T31" s="24"/>
    </row>
    <row r="32" spans="1:20" ht="15" hidden="1" customHeight="1" thickBot="1" x14ac:dyDescent="0.25">
      <c r="A32" s="15"/>
      <c r="B32" s="14" t="s">
        <v>5</v>
      </c>
      <c r="C32" s="135">
        <f>+C31+C33</f>
        <v>45999</v>
      </c>
      <c r="D32" s="1"/>
      <c r="E32" s="1"/>
      <c r="F32" s="1"/>
      <c r="G32" s="1"/>
      <c r="H32" s="1"/>
      <c r="I32" s="31"/>
      <c r="K32" s="7" t="s">
        <v>27</v>
      </c>
      <c r="L32" s="19"/>
    </row>
    <row r="33" spans="1:12" ht="15" hidden="1" customHeight="1" thickBot="1" x14ac:dyDescent="0.25">
      <c r="A33" s="15"/>
      <c r="B33" s="14" t="s">
        <v>47</v>
      </c>
      <c r="C33" s="124">
        <v>4</v>
      </c>
      <c r="D33" s="1"/>
      <c r="E33" s="1"/>
      <c r="F33" s="1"/>
      <c r="G33" s="1"/>
      <c r="H33" s="1"/>
      <c r="I33" s="31"/>
    </row>
    <row r="34" spans="1:12" ht="15" hidden="1" customHeight="1" x14ac:dyDescent="0.2">
      <c r="A34" s="32"/>
      <c r="B34" s="15"/>
      <c r="D34" s="160" t="s">
        <v>127</v>
      </c>
      <c r="E34" s="160"/>
      <c r="F34" s="160"/>
      <c r="G34" s="160"/>
      <c r="H34" s="160"/>
      <c r="I34" s="161"/>
    </row>
    <row r="35" spans="1:12" ht="15" hidden="1" customHeight="1" thickBot="1" x14ac:dyDescent="0.25">
      <c r="A35" s="15"/>
      <c r="B35" s="133" t="s">
        <v>18</v>
      </c>
      <c r="C35" s="134" t="s">
        <v>14</v>
      </c>
      <c r="D35" s="6" t="s">
        <v>15</v>
      </c>
      <c r="E35" s="6" t="s">
        <v>135</v>
      </c>
      <c r="F35" s="6" t="s">
        <v>126</v>
      </c>
      <c r="G35" s="6" t="s">
        <v>134</v>
      </c>
      <c r="H35" s="6" t="s">
        <v>101</v>
      </c>
      <c r="I35" s="17" t="s">
        <v>39</v>
      </c>
    </row>
    <row r="36" spans="1:12" ht="15" hidden="1" customHeight="1" thickBot="1" x14ac:dyDescent="0.25">
      <c r="A36" s="139">
        <v>1</v>
      </c>
      <c r="B36" s="143" t="s">
        <v>116</v>
      </c>
      <c r="C36" s="48"/>
      <c r="D36" s="34" t="e">
        <f>+#REF!</f>
        <v>#REF!</v>
      </c>
      <c r="E36" s="34">
        <f>+C30</f>
        <v>0</v>
      </c>
      <c r="F36" s="136">
        <v>0</v>
      </c>
      <c r="G36" s="136">
        <v>0</v>
      </c>
      <c r="H36" s="34"/>
      <c r="I36" s="17"/>
    </row>
    <row r="37" spans="1:12" ht="15" hidden="1" customHeight="1" thickBot="1" x14ac:dyDescent="0.25">
      <c r="A37" s="139">
        <f>+A36+1</f>
        <v>2</v>
      </c>
      <c r="B37" s="143" t="s">
        <v>118</v>
      </c>
      <c r="C37" s="48"/>
      <c r="D37" s="34" t="e">
        <f>+#REF!</f>
        <v>#REF!</v>
      </c>
      <c r="E37" s="34"/>
      <c r="F37" s="136">
        <f>+F36</f>
        <v>0</v>
      </c>
      <c r="G37" s="136"/>
      <c r="H37" s="34"/>
      <c r="I37" s="17"/>
    </row>
    <row r="38" spans="1:12" ht="15" hidden="1" customHeight="1" thickBot="1" x14ac:dyDescent="0.25">
      <c r="A38" s="139">
        <f t="shared" ref="A38:A40" si="3">+A37+1</f>
        <v>3</v>
      </c>
      <c r="B38" s="143" t="s">
        <v>119</v>
      </c>
      <c r="C38" s="48"/>
      <c r="D38" s="34" t="e">
        <f>+#REF!</f>
        <v>#REF!</v>
      </c>
      <c r="E38" s="34"/>
      <c r="F38" s="136">
        <f t="shared" ref="F38:F40" si="4">+F37</f>
        <v>0</v>
      </c>
      <c r="G38" s="136"/>
      <c r="H38" s="34"/>
      <c r="I38" s="17"/>
    </row>
    <row r="39" spans="1:12" ht="15" hidden="1" customHeight="1" thickBot="1" x14ac:dyDescent="0.25">
      <c r="A39" s="139">
        <f t="shared" si="3"/>
        <v>4</v>
      </c>
      <c r="B39" s="143" t="s">
        <v>120</v>
      </c>
      <c r="C39" s="48"/>
      <c r="D39" s="34" t="e">
        <f>+#REF!</f>
        <v>#REF!</v>
      </c>
      <c r="E39" s="34"/>
      <c r="F39" s="136">
        <f t="shared" si="4"/>
        <v>0</v>
      </c>
      <c r="G39" s="136"/>
      <c r="H39" s="34"/>
      <c r="I39" s="17"/>
    </row>
    <row r="40" spans="1:12" ht="15" hidden="1" customHeight="1" thickBot="1" x14ac:dyDescent="0.25">
      <c r="A40" s="140">
        <f t="shared" si="3"/>
        <v>5</v>
      </c>
      <c r="B40" s="144" t="s">
        <v>121</v>
      </c>
      <c r="C40" s="48"/>
      <c r="D40" s="34" t="e">
        <f>+#REF!</f>
        <v>#REF!</v>
      </c>
      <c r="E40" s="34"/>
      <c r="F40" s="136">
        <f t="shared" si="4"/>
        <v>0</v>
      </c>
      <c r="G40" s="148"/>
      <c r="H40" s="138"/>
      <c r="I40" s="21"/>
    </row>
    <row r="41" spans="1:12" ht="15" hidden="1" customHeight="1" thickBot="1" x14ac:dyDescent="0.25">
      <c r="A41" s="15"/>
      <c r="B41" s="145" t="s">
        <v>105</v>
      </c>
      <c r="C41" s="26"/>
      <c r="D41" s="35" t="e">
        <f>SUM(D36:D40)</f>
        <v>#REF!</v>
      </c>
      <c r="E41" s="55"/>
      <c r="F41" s="137" t="e">
        <f>+(E41-H41)/E41</f>
        <v>#DIV/0!</v>
      </c>
      <c r="G41" s="137"/>
      <c r="H41" s="8"/>
      <c r="I41" s="9"/>
    </row>
    <row r="44" spans="1:12" ht="15" customHeight="1" x14ac:dyDescent="0.2">
      <c r="A44" s="27" t="s">
        <v>203</v>
      </c>
    </row>
    <row r="45" spans="1:12" ht="15" customHeight="1" thickBot="1" x14ac:dyDescent="0.25"/>
    <row r="46" spans="1:12" ht="15" customHeight="1" thickBot="1" x14ac:dyDescent="0.25">
      <c r="G46" s="153" t="s">
        <v>36</v>
      </c>
      <c r="H46" s="156"/>
      <c r="I46" s="156"/>
      <c r="J46" s="156"/>
      <c r="K46" s="155"/>
    </row>
    <row r="47" spans="1:12" ht="15" customHeight="1" x14ac:dyDescent="0.2">
      <c r="B47" s="13" t="s">
        <v>6</v>
      </c>
      <c r="C47" s="153" t="s">
        <v>34</v>
      </c>
      <c r="D47" s="155"/>
      <c r="E47" s="153" t="s">
        <v>35</v>
      </c>
      <c r="F47" s="154"/>
      <c r="G47" s="30" t="s">
        <v>16</v>
      </c>
      <c r="H47" s="3" t="s">
        <v>7</v>
      </c>
      <c r="I47" s="3" t="s">
        <v>33</v>
      </c>
      <c r="J47" s="3" t="s">
        <v>8</v>
      </c>
      <c r="K47" s="72" t="s">
        <v>8</v>
      </c>
      <c r="L47" s="63" t="s">
        <v>20</v>
      </c>
    </row>
    <row r="48" spans="1:12" ht="15" customHeight="1" thickBot="1" x14ac:dyDescent="0.25">
      <c r="B48" s="75" t="s">
        <v>13</v>
      </c>
      <c r="C48" s="7" t="s">
        <v>28</v>
      </c>
      <c r="D48" s="9" t="s">
        <v>16</v>
      </c>
      <c r="E48" s="7" t="s">
        <v>28</v>
      </c>
      <c r="F48" s="28" t="s">
        <v>16</v>
      </c>
      <c r="G48" s="73" t="s">
        <v>12</v>
      </c>
      <c r="H48" s="74" t="s">
        <v>17</v>
      </c>
      <c r="I48" s="74" t="s">
        <v>12</v>
      </c>
      <c r="J48" s="74" t="s">
        <v>11</v>
      </c>
      <c r="K48" s="75" t="s">
        <v>49</v>
      </c>
      <c r="L48" s="64"/>
    </row>
    <row r="49" spans="2:12" ht="15" customHeight="1" thickBot="1" x14ac:dyDescent="0.25">
      <c r="B49" s="76">
        <v>45855</v>
      </c>
      <c r="C49" s="25" t="s">
        <v>21</v>
      </c>
      <c r="D49" s="81">
        <f>+C6+30</f>
        <v>45883</v>
      </c>
      <c r="E49" s="25" t="s">
        <v>29</v>
      </c>
      <c r="F49" s="78">
        <f>+C11-45</f>
        <v>45961</v>
      </c>
      <c r="G49" s="57">
        <v>45912</v>
      </c>
      <c r="H49" s="59">
        <v>3500000</v>
      </c>
      <c r="I49" s="46" t="s">
        <v>48</v>
      </c>
      <c r="J49" s="65">
        <f>+(F22/2)-H49</f>
        <v>-3500000</v>
      </c>
      <c r="K49" s="58">
        <f>+F22-H49</f>
        <v>-3500000</v>
      </c>
      <c r="L49" s="22" t="s">
        <v>50</v>
      </c>
    </row>
    <row r="50" spans="2:12" ht="15" customHeight="1" x14ac:dyDescent="0.2">
      <c r="C50" s="18" t="s">
        <v>22</v>
      </c>
      <c r="D50" s="82">
        <f>+C6+45</f>
        <v>45898</v>
      </c>
      <c r="E50" s="18" t="s">
        <v>30</v>
      </c>
      <c r="F50" s="79">
        <f>+C11-30</f>
        <v>45976</v>
      </c>
      <c r="G50" s="47"/>
      <c r="H50" s="60"/>
      <c r="I50" s="48"/>
      <c r="J50" s="66"/>
      <c r="K50" s="67"/>
      <c r="L50" s="110" t="s">
        <v>104</v>
      </c>
    </row>
    <row r="51" spans="2:12" ht="15" customHeight="1" x14ac:dyDescent="0.2">
      <c r="C51" s="18" t="s">
        <v>23</v>
      </c>
      <c r="D51" s="77">
        <f>+C6+60</f>
        <v>45913</v>
      </c>
      <c r="E51" s="18" t="s">
        <v>31</v>
      </c>
      <c r="F51" s="79">
        <f>+C11-15</f>
        <v>45991</v>
      </c>
      <c r="G51" s="47"/>
      <c r="H51" s="60"/>
      <c r="I51" s="48"/>
      <c r="J51" s="66"/>
      <c r="K51" s="67"/>
      <c r="L51" s="23"/>
    </row>
    <row r="52" spans="2:12" ht="15" customHeight="1" x14ac:dyDescent="0.2">
      <c r="C52" s="18" t="s">
        <v>24</v>
      </c>
      <c r="D52" s="77">
        <f>+C6+75</f>
        <v>45928</v>
      </c>
      <c r="E52" s="18" t="s">
        <v>32</v>
      </c>
      <c r="F52" s="79">
        <f>+C11-7</f>
        <v>45999</v>
      </c>
      <c r="G52" s="47"/>
      <c r="H52" s="60"/>
      <c r="I52" s="48"/>
      <c r="J52" s="66"/>
      <c r="K52" s="67"/>
      <c r="L52" s="23"/>
    </row>
    <row r="53" spans="2:12" ht="15" customHeight="1" thickBot="1" x14ac:dyDescent="0.25">
      <c r="C53" s="18" t="s">
        <v>25</v>
      </c>
      <c r="D53" s="77">
        <f>+C6+90</f>
        <v>45943</v>
      </c>
      <c r="E53" s="7" t="s">
        <v>27</v>
      </c>
      <c r="F53" s="20"/>
      <c r="G53" s="49"/>
      <c r="H53" s="61"/>
      <c r="I53" s="50"/>
      <c r="J53" s="68"/>
      <c r="K53" s="69"/>
      <c r="L53" s="37"/>
    </row>
    <row r="54" spans="2:12" ht="15" customHeight="1" thickBot="1" x14ac:dyDescent="0.25">
      <c r="C54" s="18" t="s">
        <v>26</v>
      </c>
      <c r="D54" s="77">
        <f>+C6+105</f>
        <v>45958</v>
      </c>
      <c r="G54" s="51"/>
      <c r="H54" s="62"/>
      <c r="I54" s="42"/>
      <c r="J54" s="70"/>
      <c r="K54" s="71"/>
      <c r="L54" s="24"/>
    </row>
    <row r="55" spans="2:12" ht="15" customHeight="1" thickBot="1" x14ac:dyDescent="0.25">
      <c r="C55" s="7" t="s">
        <v>27</v>
      </c>
      <c r="D55" s="19"/>
    </row>
  </sheetData>
  <mergeCells count="10">
    <mergeCell ref="K24:L24"/>
    <mergeCell ref="M24:N24"/>
    <mergeCell ref="B25:I25"/>
    <mergeCell ref="D34:I34"/>
    <mergeCell ref="H26:I26"/>
    <mergeCell ref="E47:F47"/>
    <mergeCell ref="C47:D47"/>
    <mergeCell ref="G46:K46"/>
    <mergeCell ref="B5:I5"/>
    <mergeCell ref="D14:I14"/>
  </mergeCells>
  <phoneticPr fontId="3" type="noConversion"/>
  <hyperlinks>
    <hyperlink ref="C8" r:id="rId1" xr:uid="{BAD73A44-485D-4653-81D1-5BCD03D25E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23E4-6C45-491E-A519-E2AD8A0A56EC}">
  <dimension ref="A1:V57"/>
  <sheetViews>
    <sheetView workbookViewId="0">
      <selection activeCell="V1" sqref="G1:V1048576"/>
    </sheetView>
  </sheetViews>
  <sheetFormatPr baseColWidth="10" defaultRowHeight="15" x14ac:dyDescent="0.2"/>
  <cols>
    <col min="1" max="1" width="17" bestFit="1" customWidth="1"/>
    <col min="4" max="4" width="26.5" bestFit="1" customWidth="1"/>
    <col min="7" max="7" width="29.6640625" style="152" bestFit="1" customWidth="1"/>
    <col min="8" max="8" width="14.1640625" bestFit="1" customWidth="1"/>
    <col min="9" max="9" width="9.6640625" bestFit="1" customWidth="1"/>
    <col min="10" max="11" width="11.1640625" bestFit="1" customWidth="1"/>
    <col min="12" max="12" width="53.5" bestFit="1" customWidth="1"/>
    <col min="13" max="21" width="11.1640625" bestFit="1" customWidth="1"/>
    <col min="22" max="22" width="12.1640625" bestFit="1" customWidth="1"/>
  </cols>
  <sheetData>
    <row r="1" spans="1:22" x14ac:dyDescent="0.2">
      <c r="A1" s="27" t="s">
        <v>143</v>
      </c>
      <c r="B1" s="27" t="s">
        <v>141</v>
      </c>
      <c r="C1" s="27" t="s">
        <v>15</v>
      </c>
      <c r="D1" s="27" t="s">
        <v>153</v>
      </c>
      <c r="E1" s="27" t="s">
        <v>152</v>
      </c>
    </row>
    <row r="2" spans="1:22" x14ac:dyDescent="0.2">
      <c r="A2" t="s">
        <v>83</v>
      </c>
      <c r="B2">
        <v>1</v>
      </c>
      <c r="C2" s="149" t="s">
        <v>69</v>
      </c>
      <c r="D2" s="149" t="str">
        <f>+CONCATENATE(A2," ",C2)</f>
        <v>Base single 1 noche</v>
      </c>
      <c r="E2" s="149">
        <v>770000</v>
      </c>
    </row>
    <row r="3" spans="1:22" x14ac:dyDescent="0.2">
      <c r="A3" t="s">
        <v>84</v>
      </c>
      <c r="B3">
        <v>1</v>
      </c>
      <c r="C3" s="149" t="s">
        <v>69</v>
      </c>
      <c r="D3" s="149" t="str">
        <f t="shared" ref="D3:D57" si="0">+CONCATENATE(A3," ",C3)</f>
        <v>Base doble 1 noche</v>
      </c>
      <c r="E3" s="149">
        <v>550000</v>
      </c>
    </row>
    <row r="4" spans="1:22" x14ac:dyDescent="0.2">
      <c r="A4" t="s">
        <v>85</v>
      </c>
      <c r="B4">
        <v>1</v>
      </c>
      <c r="C4" s="149" t="s">
        <v>69</v>
      </c>
      <c r="D4" s="149" t="str">
        <f t="shared" si="0"/>
        <v>Non angler nacional 1 noche</v>
      </c>
      <c r="E4" s="149">
        <v>550000</v>
      </c>
      <c r="G4" s="278" t="s">
        <v>53</v>
      </c>
      <c r="H4" s="86" t="s">
        <v>54</v>
      </c>
      <c r="I4" s="6" t="s">
        <v>55</v>
      </c>
      <c r="J4" s="6" t="s">
        <v>56</v>
      </c>
      <c r="K4" s="6" t="s">
        <v>57</v>
      </c>
      <c r="L4" s="6" t="s">
        <v>58</v>
      </c>
      <c r="M4" s="6" t="s">
        <v>59</v>
      </c>
      <c r="N4" s="6" t="s">
        <v>60</v>
      </c>
      <c r="O4" s="6" t="s">
        <v>61</v>
      </c>
      <c r="P4" s="6" t="s">
        <v>62</v>
      </c>
      <c r="Q4" s="6" t="s">
        <v>63</v>
      </c>
      <c r="R4" s="6" t="s">
        <v>64</v>
      </c>
      <c r="S4" s="6" t="s">
        <v>65</v>
      </c>
      <c r="T4" s="6" t="s">
        <v>66</v>
      </c>
      <c r="U4" s="6" t="s">
        <v>67</v>
      </c>
      <c r="V4" s="6" t="s">
        <v>68</v>
      </c>
    </row>
    <row r="5" spans="1:22" x14ac:dyDescent="0.2">
      <c r="A5" t="s">
        <v>83</v>
      </c>
      <c r="B5">
        <f>+B2+1</f>
        <v>2</v>
      </c>
      <c r="C5" s="149" t="s">
        <v>70</v>
      </c>
      <c r="D5" s="149" t="str">
        <f t="shared" si="0"/>
        <v>Base single 2 noches</v>
      </c>
      <c r="E5" s="149">
        <v>1330000</v>
      </c>
      <c r="G5" s="279">
        <v>200000</v>
      </c>
      <c r="H5" s="87">
        <v>350000</v>
      </c>
      <c r="I5" s="87">
        <v>400000</v>
      </c>
      <c r="J5" s="87">
        <v>400000</v>
      </c>
      <c r="K5" s="88">
        <v>400000</v>
      </c>
      <c r="L5" s="88">
        <v>400000</v>
      </c>
      <c r="M5" s="88">
        <v>400000</v>
      </c>
      <c r="N5" s="88">
        <v>400000</v>
      </c>
      <c r="O5" s="88">
        <v>400000</v>
      </c>
      <c r="P5" s="88">
        <v>400000</v>
      </c>
      <c r="Q5" s="88">
        <v>400000</v>
      </c>
      <c r="R5" s="88">
        <v>400000</v>
      </c>
      <c r="S5" s="88">
        <v>400000</v>
      </c>
      <c r="T5" s="88">
        <v>400000</v>
      </c>
      <c r="U5" s="88">
        <v>400000</v>
      </c>
      <c r="V5" s="88">
        <v>200000</v>
      </c>
    </row>
    <row r="6" spans="1:22" x14ac:dyDescent="0.2">
      <c r="A6" t="s">
        <v>84</v>
      </c>
      <c r="B6">
        <f t="shared" ref="B6:B43" si="1">+B3+1</f>
        <v>2</v>
      </c>
      <c r="C6" s="149" t="s">
        <v>70</v>
      </c>
      <c r="D6" s="149" t="str">
        <f t="shared" si="0"/>
        <v>Base doble 2 noches</v>
      </c>
      <c r="E6" s="149">
        <v>950000</v>
      </c>
      <c r="F6" s="149"/>
      <c r="G6" s="279"/>
      <c r="H6" s="87"/>
      <c r="I6" s="6" t="s">
        <v>69</v>
      </c>
      <c r="J6" s="6" t="s">
        <v>70</v>
      </c>
      <c r="K6" s="6" t="s">
        <v>71</v>
      </c>
      <c r="L6" s="80" t="s">
        <v>72</v>
      </c>
      <c r="M6" s="6" t="s">
        <v>73</v>
      </c>
      <c r="N6" s="6" t="s">
        <v>74</v>
      </c>
      <c r="O6" s="80" t="s">
        <v>75</v>
      </c>
      <c r="P6" s="6" t="s">
        <v>76</v>
      </c>
      <c r="Q6" s="6" t="s">
        <v>77</v>
      </c>
      <c r="R6" s="80" t="s">
        <v>78</v>
      </c>
      <c r="S6" s="80" t="s">
        <v>79</v>
      </c>
      <c r="T6" s="6" t="s">
        <v>80</v>
      </c>
      <c r="U6" s="6" t="s">
        <v>81</v>
      </c>
      <c r="V6" s="80" t="s">
        <v>82</v>
      </c>
    </row>
    <row r="7" spans="1:22" x14ac:dyDescent="0.2">
      <c r="A7" t="s">
        <v>85</v>
      </c>
      <c r="B7">
        <f t="shared" si="1"/>
        <v>2</v>
      </c>
      <c r="C7" s="149" t="s">
        <v>70</v>
      </c>
      <c r="D7" s="149" t="str">
        <f t="shared" si="0"/>
        <v>Non angler nacional 2 noches</v>
      </c>
      <c r="E7" s="149">
        <v>950000</v>
      </c>
      <c r="G7" s="278" t="s">
        <v>83</v>
      </c>
      <c r="H7" s="89"/>
      <c r="I7" s="89">
        <v>770000</v>
      </c>
      <c r="J7" s="89">
        <v>1330000</v>
      </c>
      <c r="K7" s="89">
        <v>1889999.9999999998</v>
      </c>
      <c r="L7" s="90">
        <v>2450000</v>
      </c>
      <c r="M7" s="89">
        <v>3010000</v>
      </c>
      <c r="N7" s="89">
        <v>3570000</v>
      </c>
      <c r="O7" s="90">
        <v>4129999.9999999995</v>
      </c>
      <c r="P7" s="91">
        <v>4690000</v>
      </c>
      <c r="Q7" s="91">
        <v>5250000</v>
      </c>
      <c r="R7" s="90">
        <v>5810000</v>
      </c>
      <c r="S7" s="90">
        <v>6370000</v>
      </c>
      <c r="T7" s="91">
        <v>6930000</v>
      </c>
      <c r="U7" s="91">
        <v>7489999.9999999991</v>
      </c>
      <c r="V7" s="90">
        <v>8049999.9999999991</v>
      </c>
    </row>
    <row r="8" spans="1:22" x14ac:dyDescent="0.2">
      <c r="A8" t="s">
        <v>83</v>
      </c>
      <c r="B8">
        <f t="shared" si="1"/>
        <v>3</v>
      </c>
      <c r="C8" s="149" t="s">
        <v>71</v>
      </c>
      <c r="D8" s="149" t="str">
        <f t="shared" si="0"/>
        <v>Base single 3 noches</v>
      </c>
      <c r="E8" s="149">
        <v>1889999.9999999998</v>
      </c>
      <c r="G8" s="278" t="s">
        <v>84</v>
      </c>
      <c r="H8" s="89"/>
      <c r="I8" s="89">
        <v>550000</v>
      </c>
      <c r="J8" s="89">
        <v>950000</v>
      </c>
      <c r="K8" s="89">
        <v>1350000</v>
      </c>
      <c r="L8" s="90">
        <v>1750000</v>
      </c>
      <c r="M8" s="89">
        <v>2150000</v>
      </c>
      <c r="N8" s="89">
        <v>2550000</v>
      </c>
      <c r="O8" s="90">
        <v>2950000</v>
      </c>
      <c r="P8" s="89">
        <v>3350000</v>
      </c>
      <c r="Q8" s="89">
        <v>3750000</v>
      </c>
      <c r="R8" s="90">
        <v>4150000</v>
      </c>
      <c r="S8" s="90">
        <v>4550000</v>
      </c>
      <c r="T8" s="89">
        <v>4950000</v>
      </c>
      <c r="U8" s="89">
        <v>5350000</v>
      </c>
      <c r="V8" s="90">
        <v>5750000</v>
      </c>
    </row>
    <row r="9" spans="1:22" x14ac:dyDescent="0.2">
      <c r="A9" t="s">
        <v>84</v>
      </c>
      <c r="B9">
        <f t="shared" si="1"/>
        <v>3</v>
      </c>
      <c r="C9" s="149" t="s">
        <v>71</v>
      </c>
      <c r="D9" s="149" t="str">
        <f t="shared" si="0"/>
        <v>Base doble 3 noches</v>
      </c>
      <c r="E9" s="149">
        <v>1350000</v>
      </c>
      <c r="G9" s="278" t="s">
        <v>85</v>
      </c>
      <c r="H9" s="89"/>
      <c r="I9" s="89">
        <v>550000</v>
      </c>
      <c r="J9" s="89">
        <v>950000</v>
      </c>
      <c r="K9" s="89">
        <v>1350000</v>
      </c>
      <c r="L9" s="90">
        <v>1750000</v>
      </c>
      <c r="M9" s="89">
        <v>2150000</v>
      </c>
      <c r="N9" s="89">
        <v>2550000</v>
      </c>
      <c r="O9" s="90">
        <v>2950000</v>
      </c>
      <c r="P9" s="89">
        <v>3350000</v>
      </c>
      <c r="Q9" s="89">
        <v>3750000</v>
      </c>
      <c r="R9" s="90">
        <v>4150000</v>
      </c>
      <c r="S9" s="90">
        <v>4550000</v>
      </c>
      <c r="T9" s="89">
        <v>4950000</v>
      </c>
      <c r="U9" s="89">
        <v>5350000</v>
      </c>
      <c r="V9" s="90">
        <v>5750000</v>
      </c>
    </row>
    <row r="10" spans="1:22" x14ac:dyDescent="0.2">
      <c r="A10" t="s">
        <v>85</v>
      </c>
      <c r="B10">
        <f t="shared" si="1"/>
        <v>3</v>
      </c>
      <c r="C10" s="149" t="s">
        <v>71</v>
      </c>
      <c r="D10" s="149" t="str">
        <f t="shared" si="0"/>
        <v>Non angler nacional 3 noches</v>
      </c>
      <c r="E10" s="149">
        <v>1350000</v>
      </c>
      <c r="G10" s="280"/>
      <c r="H10" s="92"/>
      <c r="I10" s="92"/>
      <c r="J10" s="92"/>
      <c r="K10" s="92"/>
      <c r="L10" s="93">
        <v>9.375E-2</v>
      </c>
      <c r="M10" s="92"/>
      <c r="N10" s="92"/>
      <c r="O10" s="94"/>
    </row>
    <row r="11" spans="1:22" x14ac:dyDescent="0.2">
      <c r="A11" t="s">
        <v>83</v>
      </c>
      <c r="B11">
        <f t="shared" si="1"/>
        <v>4</v>
      </c>
      <c r="C11" s="149" t="s">
        <v>72</v>
      </c>
      <c r="D11" s="149" t="str">
        <f t="shared" si="0"/>
        <v>Base single 4 noches</v>
      </c>
      <c r="E11" s="149">
        <v>2450000</v>
      </c>
      <c r="G11" s="281" t="s">
        <v>51</v>
      </c>
      <c r="H11" s="27" t="s">
        <v>86</v>
      </c>
      <c r="L11" s="27"/>
      <c r="O11" s="27"/>
    </row>
    <row r="12" spans="1:22" x14ac:dyDescent="0.2">
      <c r="A12" t="s">
        <v>84</v>
      </c>
      <c r="B12">
        <f t="shared" si="1"/>
        <v>4</v>
      </c>
      <c r="C12" s="149" t="s">
        <v>72</v>
      </c>
      <c r="D12" s="149" t="str">
        <f t="shared" si="0"/>
        <v>Base doble 4 noches</v>
      </c>
      <c r="E12" s="149">
        <v>1750000</v>
      </c>
      <c r="G12" s="278"/>
      <c r="H12" s="6"/>
      <c r="I12" s="6" t="s">
        <v>69</v>
      </c>
      <c r="J12" s="6" t="s">
        <v>70</v>
      </c>
      <c r="K12" s="6" t="s">
        <v>71</v>
      </c>
      <c r="L12" s="6" t="s">
        <v>72</v>
      </c>
      <c r="M12" s="6" t="s">
        <v>73</v>
      </c>
      <c r="N12" s="6" t="s">
        <v>74</v>
      </c>
      <c r="O12" s="6" t="s">
        <v>75</v>
      </c>
      <c r="P12" s="6" t="s">
        <v>76</v>
      </c>
      <c r="Q12" s="6" t="s">
        <v>77</v>
      </c>
      <c r="R12" s="6" t="s">
        <v>78</v>
      </c>
      <c r="S12" s="6" t="s">
        <v>79</v>
      </c>
      <c r="T12" s="6" t="s">
        <v>80</v>
      </c>
      <c r="U12" s="6" t="s">
        <v>81</v>
      </c>
      <c r="V12" s="6" t="s">
        <v>82</v>
      </c>
    </row>
    <row r="13" spans="1:22" x14ac:dyDescent="0.2">
      <c r="A13" t="s">
        <v>85</v>
      </c>
      <c r="B13">
        <f t="shared" si="1"/>
        <v>4</v>
      </c>
      <c r="C13" s="149" t="s">
        <v>72</v>
      </c>
      <c r="D13" s="149" t="str">
        <f t="shared" si="0"/>
        <v>Non angler nacional 4 noches</v>
      </c>
      <c r="E13" s="149">
        <v>1750000</v>
      </c>
      <c r="G13" s="278" t="s">
        <v>87</v>
      </c>
      <c r="H13" s="95" t="s">
        <v>88</v>
      </c>
      <c r="I13" s="6" t="s">
        <v>55</v>
      </c>
      <c r="J13" s="6" t="s">
        <v>56</v>
      </c>
      <c r="K13" s="6" t="s">
        <v>57</v>
      </c>
      <c r="L13" s="6" t="s">
        <v>58</v>
      </c>
      <c r="M13" s="6" t="s">
        <v>59</v>
      </c>
      <c r="N13" s="6" t="s">
        <v>60</v>
      </c>
      <c r="O13" s="6" t="s">
        <v>61</v>
      </c>
      <c r="P13" s="6" t="s">
        <v>62</v>
      </c>
      <c r="Q13" s="6" t="s">
        <v>63</v>
      </c>
      <c r="R13" s="6" t="s">
        <v>64</v>
      </c>
      <c r="S13" s="6" t="s">
        <v>65</v>
      </c>
      <c r="T13" s="6" t="s">
        <v>66</v>
      </c>
      <c r="U13" s="6" t="s">
        <v>67</v>
      </c>
      <c r="V13" s="6" t="s">
        <v>68</v>
      </c>
    </row>
    <row r="14" spans="1:22" x14ac:dyDescent="0.2">
      <c r="A14" t="s">
        <v>83</v>
      </c>
      <c r="B14">
        <f t="shared" si="1"/>
        <v>5</v>
      </c>
      <c r="C14" s="149" t="s">
        <v>73</v>
      </c>
      <c r="D14" s="149" t="str">
        <f t="shared" si="0"/>
        <v>Base single 5 noches</v>
      </c>
      <c r="E14" s="149">
        <v>3010000</v>
      </c>
      <c r="G14" s="282">
        <v>350</v>
      </c>
      <c r="H14" s="96">
        <v>1000</v>
      </c>
      <c r="I14" s="97">
        <v>900</v>
      </c>
      <c r="J14" s="97">
        <v>900</v>
      </c>
      <c r="K14" s="97">
        <v>900</v>
      </c>
      <c r="L14" s="97">
        <v>900</v>
      </c>
      <c r="M14" s="97">
        <v>900</v>
      </c>
      <c r="N14" s="97">
        <v>900</v>
      </c>
      <c r="O14" s="97">
        <v>900</v>
      </c>
      <c r="P14" s="97">
        <v>900</v>
      </c>
      <c r="Q14" s="97">
        <v>900</v>
      </c>
      <c r="R14" s="97">
        <v>900</v>
      </c>
      <c r="S14" s="97">
        <v>900</v>
      </c>
      <c r="T14" s="97">
        <v>900</v>
      </c>
      <c r="U14" s="97">
        <v>900</v>
      </c>
      <c r="V14" s="97">
        <v>350</v>
      </c>
    </row>
    <row r="15" spans="1:22" x14ac:dyDescent="0.2">
      <c r="A15" t="s">
        <v>84</v>
      </c>
      <c r="B15">
        <f t="shared" si="1"/>
        <v>5</v>
      </c>
      <c r="C15" s="149" t="s">
        <v>73</v>
      </c>
      <c r="D15" s="149" t="str">
        <f t="shared" si="0"/>
        <v>Base doble 5 noches</v>
      </c>
      <c r="E15" s="149">
        <v>2150000</v>
      </c>
      <c r="G15" s="282"/>
      <c r="H15" s="96"/>
      <c r="I15" s="6" t="s">
        <v>69</v>
      </c>
      <c r="J15" s="6" t="s">
        <v>70</v>
      </c>
      <c r="K15" s="6" t="s">
        <v>71</v>
      </c>
      <c r="L15" s="80" t="s">
        <v>72</v>
      </c>
      <c r="M15" s="6" t="s">
        <v>73</v>
      </c>
      <c r="N15" s="6" t="s">
        <v>74</v>
      </c>
      <c r="O15" s="80" t="s">
        <v>75</v>
      </c>
      <c r="P15" s="6" t="s">
        <v>76</v>
      </c>
      <c r="Q15" s="6" t="s">
        <v>77</v>
      </c>
      <c r="R15" s="80" t="s">
        <v>78</v>
      </c>
      <c r="S15" s="80" t="s">
        <v>79</v>
      </c>
      <c r="T15" s="6" t="s">
        <v>80</v>
      </c>
      <c r="U15" s="6" t="s">
        <v>81</v>
      </c>
      <c r="V15" s="80" t="s">
        <v>82</v>
      </c>
    </row>
    <row r="16" spans="1:22" x14ac:dyDescent="0.2">
      <c r="A16" t="s">
        <v>85</v>
      </c>
      <c r="B16">
        <f t="shared" si="1"/>
        <v>5</v>
      </c>
      <c r="C16" s="149" t="s">
        <v>73</v>
      </c>
      <c r="D16" s="149" t="str">
        <f t="shared" si="0"/>
        <v>Non angler nacional 5 noches</v>
      </c>
      <c r="E16" s="149">
        <v>2150000</v>
      </c>
      <c r="G16" s="278" t="s">
        <v>83</v>
      </c>
      <c r="H16" s="96"/>
      <c r="I16" s="96">
        <v>1889.9999999999998</v>
      </c>
      <c r="J16" s="96">
        <v>3150</v>
      </c>
      <c r="K16" s="96">
        <v>4410</v>
      </c>
      <c r="L16" s="98">
        <v>5670</v>
      </c>
      <c r="M16" s="96">
        <v>6930</v>
      </c>
      <c r="N16" s="96">
        <v>8189.9999999999991</v>
      </c>
      <c r="O16" s="98">
        <v>9450</v>
      </c>
      <c r="P16" s="97">
        <v>10710</v>
      </c>
      <c r="Q16" s="97">
        <v>11970</v>
      </c>
      <c r="R16" s="98">
        <v>13230</v>
      </c>
      <c r="S16" s="98">
        <v>14489.999999999998</v>
      </c>
      <c r="T16" s="97">
        <v>15749.999999999998</v>
      </c>
      <c r="U16" s="97">
        <v>17010</v>
      </c>
      <c r="V16" s="98">
        <v>18270</v>
      </c>
    </row>
    <row r="17" spans="1:22" x14ac:dyDescent="0.2">
      <c r="A17" t="s">
        <v>83</v>
      </c>
      <c r="B17">
        <f t="shared" si="1"/>
        <v>6</v>
      </c>
      <c r="C17" s="149" t="s">
        <v>74</v>
      </c>
      <c r="D17" s="149" t="str">
        <f t="shared" si="0"/>
        <v>Base single 6 noches</v>
      </c>
      <c r="E17" s="149">
        <v>3570000</v>
      </c>
      <c r="G17" s="278" t="s">
        <v>84</v>
      </c>
      <c r="H17" s="89"/>
      <c r="I17" s="96">
        <v>1350</v>
      </c>
      <c r="J17" s="96">
        <v>2250</v>
      </c>
      <c r="K17" s="96">
        <v>3150</v>
      </c>
      <c r="L17" s="98">
        <v>4050</v>
      </c>
      <c r="M17" s="96">
        <v>4950</v>
      </c>
      <c r="N17" s="96">
        <v>5850</v>
      </c>
      <c r="O17" s="98">
        <v>6750</v>
      </c>
      <c r="P17" s="97">
        <v>7650</v>
      </c>
      <c r="Q17" s="97">
        <v>8550</v>
      </c>
      <c r="R17" s="98">
        <v>9450</v>
      </c>
      <c r="S17" s="98">
        <v>10350</v>
      </c>
      <c r="T17" s="97">
        <v>11250</v>
      </c>
      <c r="U17" s="97">
        <v>12150</v>
      </c>
      <c r="V17" s="98">
        <v>13050</v>
      </c>
    </row>
    <row r="18" spans="1:22" x14ac:dyDescent="0.2">
      <c r="A18" t="s">
        <v>84</v>
      </c>
      <c r="B18">
        <f t="shared" si="1"/>
        <v>6</v>
      </c>
      <c r="C18" s="149" t="s">
        <v>74</v>
      </c>
      <c r="D18" s="149" t="str">
        <f t="shared" si="0"/>
        <v>Base doble 6 noches</v>
      </c>
      <c r="E18" s="149">
        <v>2550000</v>
      </c>
      <c r="G18" s="278" t="s">
        <v>89</v>
      </c>
      <c r="H18" s="89"/>
      <c r="I18" s="96">
        <v>944.99999999999989</v>
      </c>
      <c r="J18" s="96">
        <v>1575</v>
      </c>
      <c r="K18" s="96">
        <v>2205</v>
      </c>
      <c r="L18" s="98">
        <v>2835</v>
      </c>
      <c r="M18" s="96">
        <v>3465</v>
      </c>
      <c r="N18" s="96">
        <v>4094.9999999999995</v>
      </c>
      <c r="O18" s="98">
        <v>4725</v>
      </c>
      <c r="P18" s="97">
        <v>5355</v>
      </c>
      <c r="Q18" s="97">
        <v>5985</v>
      </c>
      <c r="R18" s="98">
        <v>6615</v>
      </c>
      <c r="S18" s="98">
        <v>7244.9999999999991</v>
      </c>
      <c r="T18" s="97">
        <v>7874.9999999999991</v>
      </c>
      <c r="U18" s="97">
        <v>8505</v>
      </c>
      <c r="V18" s="98">
        <v>9135</v>
      </c>
    </row>
    <row r="19" spans="1:22" x14ac:dyDescent="0.2">
      <c r="A19" t="s">
        <v>85</v>
      </c>
      <c r="B19">
        <f t="shared" si="1"/>
        <v>6</v>
      </c>
      <c r="C19" s="149" t="s">
        <v>74</v>
      </c>
      <c r="D19" s="149" t="str">
        <f t="shared" si="0"/>
        <v>Non angler nacional 6 noches</v>
      </c>
      <c r="E19" s="149">
        <v>2550000</v>
      </c>
      <c r="G19" s="280"/>
      <c r="H19" s="92"/>
      <c r="I19" s="92"/>
      <c r="J19" s="92"/>
      <c r="K19" s="92"/>
      <c r="L19" s="94"/>
      <c r="M19" s="92"/>
      <c r="N19" s="92"/>
      <c r="O19" s="93">
        <v>0.10655737704918034</v>
      </c>
    </row>
    <row r="20" spans="1:22" x14ac:dyDescent="0.2">
      <c r="A20" t="s">
        <v>83</v>
      </c>
      <c r="B20">
        <f t="shared" si="1"/>
        <v>7</v>
      </c>
      <c r="C20" s="149" t="s">
        <v>75</v>
      </c>
      <c r="D20" s="149" t="str">
        <f t="shared" si="0"/>
        <v>Base single 7 noches</v>
      </c>
      <c r="E20" s="149">
        <v>4129999.9999999995</v>
      </c>
      <c r="G20" s="281" t="s">
        <v>90</v>
      </c>
      <c r="I20" s="92"/>
      <c r="J20" s="92"/>
      <c r="K20" s="92"/>
      <c r="L20" s="94"/>
      <c r="M20" s="92"/>
      <c r="N20" s="92"/>
      <c r="O20" s="27"/>
    </row>
    <row r="21" spans="1:22" x14ac:dyDescent="0.2">
      <c r="A21" t="s">
        <v>84</v>
      </c>
      <c r="B21">
        <f t="shared" si="1"/>
        <v>7</v>
      </c>
      <c r="C21" s="149" t="s">
        <v>75</v>
      </c>
      <c r="D21" s="149" t="str">
        <f t="shared" si="0"/>
        <v>Base doble 7 noches</v>
      </c>
      <c r="E21" s="149">
        <v>2950000</v>
      </c>
      <c r="I21" s="99" t="s">
        <v>52</v>
      </c>
      <c r="J21" s="99" t="s">
        <v>86</v>
      </c>
      <c r="K21" s="92"/>
      <c r="L21" s="94"/>
      <c r="M21" s="92"/>
      <c r="N21" s="92"/>
      <c r="O21" s="27"/>
    </row>
    <row r="22" spans="1:22" x14ac:dyDescent="0.2">
      <c r="A22" t="s">
        <v>85</v>
      </c>
      <c r="B22">
        <f t="shared" si="1"/>
        <v>7</v>
      </c>
      <c r="C22" s="149" t="s">
        <v>75</v>
      </c>
      <c r="D22" s="149" t="str">
        <f t="shared" si="0"/>
        <v>Non angler nacional 7 noches</v>
      </c>
      <c r="E22" s="149">
        <v>2950000</v>
      </c>
      <c r="G22" s="152" t="s">
        <v>91</v>
      </c>
      <c r="H22" s="100"/>
      <c r="I22" s="101">
        <v>350000</v>
      </c>
      <c r="J22" s="102">
        <v>390</v>
      </c>
      <c r="K22" s="93">
        <v>0.16666666666666674</v>
      </c>
      <c r="L22" s="102" t="s">
        <v>92</v>
      </c>
      <c r="M22" s="100"/>
      <c r="N22" s="100"/>
      <c r="O22" s="102"/>
    </row>
    <row r="23" spans="1:22" x14ac:dyDescent="0.2">
      <c r="A23" t="s">
        <v>83</v>
      </c>
      <c r="B23">
        <f t="shared" si="1"/>
        <v>8</v>
      </c>
      <c r="C23" s="149" t="s">
        <v>76</v>
      </c>
      <c r="D23" s="149" t="str">
        <f t="shared" si="0"/>
        <v>Base single 8 noches</v>
      </c>
      <c r="E23" s="149">
        <v>4690000</v>
      </c>
      <c r="G23" s="152" t="s">
        <v>93</v>
      </c>
      <c r="H23" s="100"/>
      <c r="I23" s="101">
        <v>500000</v>
      </c>
      <c r="J23" s="102">
        <v>550</v>
      </c>
      <c r="K23" s="93">
        <v>0.11111111111111116</v>
      </c>
      <c r="L23" s="102" t="s">
        <v>94</v>
      </c>
      <c r="M23" s="100"/>
      <c r="N23" s="100"/>
      <c r="O23" s="102"/>
    </row>
    <row r="24" spans="1:22" x14ac:dyDescent="0.2">
      <c r="A24" t="s">
        <v>84</v>
      </c>
      <c r="B24">
        <f t="shared" si="1"/>
        <v>8</v>
      </c>
      <c r="C24" s="149" t="s">
        <v>76</v>
      </c>
      <c r="D24" s="149" t="str">
        <f t="shared" si="0"/>
        <v>Base doble 8 noches</v>
      </c>
      <c r="E24" s="149">
        <v>3350000</v>
      </c>
      <c r="G24" s="283"/>
      <c r="H24" s="103"/>
      <c r="I24" s="103"/>
      <c r="J24" s="103"/>
      <c r="K24" s="103"/>
      <c r="L24" s="104"/>
      <c r="M24" s="103"/>
      <c r="N24" s="103"/>
      <c r="O24" s="104"/>
    </row>
    <row r="25" spans="1:22" x14ac:dyDescent="0.2">
      <c r="A25" t="s">
        <v>85</v>
      </c>
      <c r="B25">
        <f t="shared" si="1"/>
        <v>8</v>
      </c>
      <c r="C25" s="149" t="s">
        <v>76</v>
      </c>
      <c r="D25" s="149" t="str">
        <f t="shared" si="0"/>
        <v>Non angler nacional 8 noches</v>
      </c>
      <c r="E25" s="149">
        <v>3350000</v>
      </c>
      <c r="G25" s="284" t="s">
        <v>95</v>
      </c>
      <c r="H25" s="100"/>
      <c r="I25" s="103"/>
      <c r="J25" s="103"/>
      <c r="K25" s="103"/>
      <c r="L25" s="104"/>
      <c r="M25" s="103"/>
      <c r="N25" s="103"/>
      <c r="O25" s="104"/>
    </row>
    <row r="26" spans="1:22" x14ac:dyDescent="0.2">
      <c r="A26" t="s">
        <v>83</v>
      </c>
      <c r="B26">
        <f t="shared" si="1"/>
        <v>9</v>
      </c>
      <c r="C26" s="149" t="s">
        <v>77</v>
      </c>
      <c r="D26" s="149" t="str">
        <f t="shared" si="0"/>
        <v>Base single 9 noches</v>
      </c>
      <c r="E26" s="149">
        <v>5250000</v>
      </c>
      <c r="G26" s="284" t="s">
        <v>96</v>
      </c>
      <c r="H26" s="100"/>
      <c r="I26" s="103"/>
      <c r="J26" s="103"/>
      <c r="K26" s="103"/>
      <c r="L26" s="104"/>
      <c r="M26" s="103"/>
      <c r="N26" s="103"/>
      <c r="O26" s="104"/>
    </row>
    <row r="27" spans="1:22" x14ac:dyDescent="0.2">
      <c r="A27" t="s">
        <v>84</v>
      </c>
      <c r="B27">
        <f t="shared" si="1"/>
        <v>9</v>
      </c>
      <c r="C27" s="149" t="s">
        <v>77</v>
      </c>
      <c r="D27" s="149" t="str">
        <f t="shared" si="0"/>
        <v>Base doble 9 noches</v>
      </c>
      <c r="E27" s="149">
        <v>3750000</v>
      </c>
      <c r="G27" s="283"/>
      <c r="H27" s="103"/>
      <c r="I27" s="103"/>
      <c r="J27" s="103"/>
      <c r="K27" s="103"/>
      <c r="L27" s="104"/>
      <c r="M27" s="103"/>
      <c r="N27" s="103"/>
      <c r="O27" s="104"/>
    </row>
    <row r="28" spans="1:22" x14ac:dyDescent="0.2">
      <c r="A28" t="s">
        <v>85</v>
      </c>
      <c r="B28">
        <f t="shared" si="1"/>
        <v>9</v>
      </c>
      <c r="C28" s="149" t="s">
        <v>77</v>
      </c>
      <c r="D28" s="149" t="str">
        <f t="shared" si="0"/>
        <v>Non angler nacional 9 noches</v>
      </c>
      <c r="E28" s="149">
        <v>3750000</v>
      </c>
      <c r="G28" s="284" t="s">
        <v>97</v>
      </c>
      <c r="H28" s="102" t="s">
        <v>98</v>
      </c>
      <c r="I28" s="103"/>
      <c r="J28" s="103"/>
      <c r="K28" s="103"/>
      <c r="L28" s="104"/>
      <c r="M28" s="103"/>
      <c r="N28" s="103"/>
      <c r="O28" s="104"/>
    </row>
    <row r="29" spans="1:22" x14ac:dyDescent="0.2">
      <c r="A29" t="s">
        <v>83</v>
      </c>
      <c r="B29">
        <f t="shared" si="1"/>
        <v>10</v>
      </c>
      <c r="C29" s="149" t="s">
        <v>78</v>
      </c>
      <c r="D29" s="149" t="str">
        <f t="shared" si="0"/>
        <v>Base single 10 noches</v>
      </c>
      <c r="E29" s="149">
        <v>5810000</v>
      </c>
    </row>
    <row r="30" spans="1:22" x14ac:dyDescent="0.2">
      <c r="A30" t="s">
        <v>84</v>
      </c>
      <c r="B30">
        <f t="shared" si="1"/>
        <v>10</v>
      </c>
      <c r="C30" s="149" t="s">
        <v>78</v>
      </c>
      <c r="D30" s="149" t="str">
        <f t="shared" si="0"/>
        <v>Base doble 10 noches</v>
      </c>
      <c r="E30" s="149">
        <v>4150000</v>
      </c>
    </row>
    <row r="31" spans="1:22" x14ac:dyDescent="0.2">
      <c r="A31" t="s">
        <v>85</v>
      </c>
      <c r="B31">
        <f t="shared" si="1"/>
        <v>10</v>
      </c>
      <c r="C31" s="149" t="s">
        <v>78</v>
      </c>
      <c r="D31" s="149" t="str">
        <f t="shared" si="0"/>
        <v>Non angler nacional 10 noches</v>
      </c>
      <c r="E31" s="149">
        <v>4150000</v>
      </c>
    </row>
    <row r="32" spans="1:22" x14ac:dyDescent="0.2">
      <c r="A32" t="s">
        <v>83</v>
      </c>
      <c r="B32">
        <f t="shared" si="1"/>
        <v>11</v>
      </c>
      <c r="C32" s="149" t="s">
        <v>79</v>
      </c>
      <c r="D32" s="149" t="str">
        <f t="shared" si="0"/>
        <v>Base single 11 noches</v>
      </c>
      <c r="E32" s="149">
        <v>6370000</v>
      </c>
    </row>
    <row r="33" spans="1:5" x14ac:dyDescent="0.2">
      <c r="A33" t="s">
        <v>84</v>
      </c>
      <c r="B33">
        <f t="shared" si="1"/>
        <v>11</v>
      </c>
      <c r="C33" s="149" t="s">
        <v>79</v>
      </c>
      <c r="D33" s="149" t="str">
        <f t="shared" si="0"/>
        <v>Base doble 11 noches</v>
      </c>
      <c r="E33" s="149">
        <v>4550000</v>
      </c>
    </row>
    <row r="34" spans="1:5" x14ac:dyDescent="0.2">
      <c r="A34" t="s">
        <v>85</v>
      </c>
      <c r="B34">
        <f t="shared" si="1"/>
        <v>11</v>
      </c>
      <c r="C34" s="149" t="s">
        <v>79</v>
      </c>
      <c r="D34" s="149" t="str">
        <f t="shared" si="0"/>
        <v>Non angler nacional 11 noches</v>
      </c>
      <c r="E34" s="149">
        <v>4550000</v>
      </c>
    </row>
    <row r="35" spans="1:5" x14ac:dyDescent="0.2">
      <c r="A35" t="s">
        <v>83</v>
      </c>
      <c r="B35">
        <f t="shared" si="1"/>
        <v>12</v>
      </c>
      <c r="C35" s="149" t="s">
        <v>80</v>
      </c>
      <c r="D35" s="149" t="str">
        <f t="shared" si="0"/>
        <v>Base single 12 noches</v>
      </c>
      <c r="E35" s="149">
        <v>6930000</v>
      </c>
    </row>
    <row r="36" spans="1:5" x14ac:dyDescent="0.2">
      <c r="A36" t="s">
        <v>84</v>
      </c>
      <c r="B36">
        <f t="shared" si="1"/>
        <v>12</v>
      </c>
      <c r="C36" s="149" t="s">
        <v>80</v>
      </c>
      <c r="D36" s="149" t="str">
        <f t="shared" si="0"/>
        <v>Base doble 12 noches</v>
      </c>
      <c r="E36" s="149">
        <v>4950000</v>
      </c>
    </row>
    <row r="37" spans="1:5" x14ac:dyDescent="0.2">
      <c r="A37" t="s">
        <v>85</v>
      </c>
      <c r="B37">
        <f t="shared" si="1"/>
        <v>12</v>
      </c>
      <c r="C37" s="149" t="s">
        <v>80</v>
      </c>
      <c r="D37" s="149" t="str">
        <f t="shared" si="0"/>
        <v>Non angler nacional 12 noches</v>
      </c>
      <c r="E37" s="149">
        <v>4950000</v>
      </c>
    </row>
    <row r="38" spans="1:5" x14ac:dyDescent="0.2">
      <c r="A38" t="s">
        <v>83</v>
      </c>
      <c r="B38">
        <f t="shared" si="1"/>
        <v>13</v>
      </c>
      <c r="C38" s="149" t="s">
        <v>81</v>
      </c>
      <c r="D38" s="149" t="str">
        <f t="shared" si="0"/>
        <v>Base single 13 noches</v>
      </c>
      <c r="E38" s="149">
        <v>7489999.9999999991</v>
      </c>
    </row>
    <row r="39" spans="1:5" x14ac:dyDescent="0.2">
      <c r="A39" t="s">
        <v>84</v>
      </c>
      <c r="B39">
        <f t="shared" si="1"/>
        <v>13</v>
      </c>
      <c r="C39" s="149" t="s">
        <v>81</v>
      </c>
      <c r="D39" s="149" t="str">
        <f t="shared" si="0"/>
        <v>Base doble 13 noches</v>
      </c>
      <c r="E39" s="149">
        <v>5350000</v>
      </c>
    </row>
    <row r="40" spans="1:5" x14ac:dyDescent="0.2">
      <c r="A40" t="s">
        <v>85</v>
      </c>
      <c r="B40">
        <f t="shared" si="1"/>
        <v>13</v>
      </c>
      <c r="C40" s="149" t="s">
        <v>81</v>
      </c>
      <c r="D40" s="149" t="str">
        <f t="shared" si="0"/>
        <v>Non angler nacional 13 noches</v>
      </c>
      <c r="E40" s="149">
        <v>5350000</v>
      </c>
    </row>
    <row r="41" spans="1:5" x14ac:dyDescent="0.2">
      <c r="A41" t="s">
        <v>83</v>
      </c>
      <c r="B41">
        <f t="shared" si="1"/>
        <v>14</v>
      </c>
      <c r="C41" s="149" t="s">
        <v>82</v>
      </c>
      <c r="D41" s="149" t="str">
        <f t="shared" si="0"/>
        <v>Base single 14 noches</v>
      </c>
      <c r="E41" s="149">
        <v>8049999.9999999991</v>
      </c>
    </row>
    <row r="42" spans="1:5" x14ac:dyDescent="0.2">
      <c r="A42" t="s">
        <v>84</v>
      </c>
      <c r="B42">
        <f t="shared" si="1"/>
        <v>14</v>
      </c>
      <c r="C42" s="149" t="s">
        <v>82</v>
      </c>
      <c r="D42" s="149" t="str">
        <f t="shared" si="0"/>
        <v>Base doble 14 noches</v>
      </c>
      <c r="E42" s="149">
        <v>5750000</v>
      </c>
    </row>
    <row r="43" spans="1:5" x14ac:dyDescent="0.2">
      <c r="A43" t="s">
        <v>85</v>
      </c>
      <c r="B43">
        <f t="shared" si="1"/>
        <v>14</v>
      </c>
      <c r="C43" s="149" t="s">
        <v>82</v>
      </c>
      <c r="D43" s="149" t="str">
        <f t="shared" si="0"/>
        <v>Non angler nacional 14 noches</v>
      </c>
      <c r="E43" s="149">
        <v>5750000</v>
      </c>
    </row>
    <row r="44" spans="1:5" x14ac:dyDescent="0.2">
      <c r="A44" t="s">
        <v>156</v>
      </c>
      <c r="B44">
        <v>1</v>
      </c>
      <c r="C44" s="149" t="s">
        <v>69</v>
      </c>
      <c r="D44" s="149" t="str">
        <f t="shared" si="0"/>
        <v>Host 1 noche</v>
      </c>
      <c r="E44" s="149">
        <v>0</v>
      </c>
    </row>
    <row r="45" spans="1:5" x14ac:dyDescent="0.2">
      <c r="A45" t="s">
        <v>156</v>
      </c>
      <c r="B45">
        <v>2</v>
      </c>
      <c r="C45" s="149" t="s">
        <v>157</v>
      </c>
      <c r="D45" s="149" t="str">
        <f t="shared" si="0"/>
        <v>Host 2 Noches</v>
      </c>
      <c r="E45" s="149">
        <v>0</v>
      </c>
    </row>
    <row r="46" spans="1:5" x14ac:dyDescent="0.2">
      <c r="A46" t="s">
        <v>156</v>
      </c>
      <c r="B46">
        <v>3</v>
      </c>
      <c r="C46" s="149" t="s">
        <v>158</v>
      </c>
      <c r="D46" s="149" t="str">
        <f t="shared" si="0"/>
        <v>Host 3 Noches</v>
      </c>
      <c r="E46" s="149">
        <v>0</v>
      </c>
    </row>
    <row r="47" spans="1:5" x14ac:dyDescent="0.2">
      <c r="A47" t="s">
        <v>156</v>
      </c>
      <c r="B47">
        <v>4</v>
      </c>
      <c r="C47" s="149" t="s">
        <v>159</v>
      </c>
      <c r="D47" s="149" t="str">
        <f t="shared" si="0"/>
        <v>Host 4 Noches</v>
      </c>
      <c r="E47" s="149">
        <v>0</v>
      </c>
    </row>
    <row r="48" spans="1:5" x14ac:dyDescent="0.2">
      <c r="A48" t="s">
        <v>156</v>
      </c>
      <c r="B48">
        <v>5</v>
      </c>
      <c r="C48" s="149" t="s">
        <v>160</v>
      </c>
      <c r="D48" s="149" t="str">
        <f t="shared" si="0"/>
        <v>Host 5 Noches</v>
      </c>
      <c r="E48" s="149">
        <v>0</v>
      </c>
    </row>
    <row r="49" spans="1:5" x14ac:dyDescent="0.2">
      <c r="A49" t="s">
        <v>156</v>
      </c>
      <c r="B49">
        <v>6</v>
      </c>
      <c r="C49" s="149" t="s">
        <v>161</v>
      </c>
      <c r="D49" s="149" t="str">
        <f t="shared" si="0"/>
        <v>Host 6 Noches</v>
      </c>
      <c r="E49" s="149">
        <v>0</v>
      </c>
    </row>
    <row r="50" spans="1:5" x14ac:dyDescent="0.2">
      <c r="A50" t="s">
        <v>156</v>
      </c>
      <c r="B50">
        <v>7</v>
      </c>
      <c r="C50" s="149" t="s">
        <v>162</v>
      </c>
      <c r="D50" s="149" t="str">
        <f t="shared" si="0"/>
        <v>Host 7 Noches</v>
      </c>
      <c r="E50" s="149">
        <v>0</v>
      </c>
    </row>
    <row r="51" spans="1:5" x14ac:dyDescent="0.2">
      <c r="A51" t="s">
        <v>156</v>
      </c>
      <c r="B51">
        <v>8</v>
      </c>
      <c r="C51" s="149" t="s">
        <v>163</v>
      </c>
      <c r="D51" s="149" t="str">
        <f t="shared" si="0"/>
        <v>Host 8 Noches</v>
      </c>
      <c r="E51" s="149">
        <v>0</v>
      </c>
    </row>
    <row r="52" spans="1:5" x14ac:dyDescent="0.2">
      <c r="A52" t="s">
        <v>156</v>
      </c>
      <c r="B52">
        <v>9</v>
      </c>
      <c r="C52" s="149" t="s">
        <v>164</v>
      </c>
      <c r="D52" s="149" t="str">
        <f t="shared" si="0"/>
        <v>Host 9 Noches</v>
      </c>
      <c r="E52" s="149">
        <v>0</v>
      </c>
    </row>
    <row r="53" spans="1:5" x14ac:dyDescent="0.2">
      <c r="A53" t="s">
        <v>156</v>
      </c>
      <c r="B53">
        <v>10</v>
      </c>
      <c r="C53" s="149" t="s">
        <v>165</v>
      </c>
      <c r="D53" s="149" t="str">
        <f t="shared" si="0"/>
        <v>Host 10 Noches</v>
      </c>
      <c r="E53" s="149">
        <v>0</v>
      </c>
    </row>
    <row r="54" spans="1:5" x14ac:dyDescent="0.2">
      <c r="A54" t="s">
        <v>156</v>
      </c>
      <c r="B54">
        <v>11</v>
      </c>
      <c r="C54" s="149" t="s">
        <v>166</v>
      </c>
      <c r="D54" s="149" t="str">
        <f t="shared" si="0"/>
        <v>Host 11 Noches</v>
      </c>
      <c r="E54" s="149">
        <v>0</v>
      </c>
    </row>
    <row r="55" spans="1:5" x14ac:dyDescent="0.2">
      <c r="A55" t="s">
        <v>156</v>
      </c>
      <c r="B55">
        <v>12</v>
      </c>
      <c r="C55" s="149" t="s">
        <v>167</v>
      </c>
      <c r="D55" s="149" t="str">
        <f t="shared" si="0"/>
        <v>Host 12 Noches</v>
      </c>
      <c r="E55" s="149">
        <v>0</v>
      </c>
    </row>
    <row r="56" spans="1:5" x14ac:dyDescent="0.2">
      <c r="A56" t="s">
        <v>156</v>
      </c>
      <c r="B56">
        <v>13</v>
      </c>
      <c r="C56" s="149" t="s">
        <v>168</v>
      </c>
      <c r="D56" s="149" t="str">
        <f t="shared" si="0"/>
        <v>Host 13 Noches</v>
      </c>
      <c r="E56" s="149">
        <v>0</v>
      </c>
    </row>
    <row r="57" spans="1:5" x14ac:dyDescent="0.2">
      <c r="A57" t="s">
        <v>156</v>
      </c>
      <c r="B57">
        <v>14</v>
      </c>
      <c r="C57" s="149" t="s">
        <v>169</v>
      </c>
      <c r="D57" s="149" t="str">
        <f t="shared" si="0"/>
        <v>Host 14 Noches</v>
      </c>
      <c r="E57" s="149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51E4-F1BF-4703-91E7-76D10F11D1AC}">
  <dimension ref="A1:P41"/>
  <sheetViews>
    <sheetView workbookViewId="0">
      <selection activeCell="A3" sqref="A3:P27"/>
    </sheetView>
  </sheetViews>
  <sheetFormatPr baseColWidth="10" defaultRowHeight="15" x14ac:dyDescent="0.2"/>
  <cols>
    <col min="1" max="1" width="19.6640625" customWidth="1"/>
    <col min="2" max="2" width="13.33203125" customWidth="1"/>
    <col min="3" max="5" width="12.5" bestFit="1" customWidth="1"/>
    <col min="6" max="6" width="12.5" style="27" bestFit="1" customWidth="1"/>
    <col min="7" max="8" width="12.5" bestFit="1" customWidth="1"/>
    <col min="9" max="9" width="12.5" style="27" bestFit="1" customWidth="1"/>
    <col min="10" max="16" width="12.83203125" customWidth="1"/>
  </cols>
  <sheetData>
    <row r="1" spans="1:16" x14ac:dyDescent="0.2">
      <c r="A1" s="27" t="s">
        <v>51</v>
      </c>
      <c r="B1" s="27" t="s">
        <v>52</v>
      </c>
    </row>
    <row r="2" spans="1:16" x14ac:dyDescent="0.2">
      <c r="A2" s="3"/>
      <c r="B2" s="3"/>
    </row>
    <row r="3" spans="1:16" x14ac:dyDescent="0.2">
      <c r="A3" s="6" t="s">
        <v>53</v>
      </c>
      <c r="B3" s="8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64</v>
      </c>
      <c r="M3" s="6" t="s">
        <v>65</v>
      </c>
      <c r="N3" s="6" t="s">
        <v>66</v>
      </c>
      <c r="O3" s="6" t="s">
        <v>67</v>
      </c>
      <c r="P3" s="6" t="s">
        <v>68</v>
      </c>
    </row>
    <row r="4" spans="1:16" x14ac:dyDescent="0.2">
      <c r="A4" s="87">
        <v>200000</v>
      </c>
      <c r="B4" s="87">
        <v>350000</v>
      </c>
      <c r="C4" s="87">
        <v>400000</v>
      </c>
      <c r="D4" s="87">
        <f>+C4</f>
        <v>400000</v>
      </c>
      <c r="E4" s="88">
        <f t="shared" ref="E4:O4" si="0">+D4</f>
        <v>400000</v>
      </c>
      <c r="F4" s="88">
        <f t="shared" si="0"/>
        <v>400000</v>
      </c>
      <c r="G4" s="88">
        <f t="shared" si="0"/>
        <v>400000</v>
      </c>
      <c r="H4" s="88">
        <f t="shared" si="0"/>
        <v>400000</v>
      </c>
      <c r="I4" s="88">
        <f t="shared" si="0"/>
        <v>400000</v>
      </c>
      <c r="J4" s="88">
        <f t="shared" si="0"/>
        <v>400000</v>
      </c>
      <c r="K4" s="88">
        <f t="shared" si="0"/>
        <v>400000</v>
      </c>
      <c r="L4" s="88">
        <f t="shared" si="0"/>
        <v>400000</v>
      </c>
      <c r="M4" s="88">
        <f t="shared" si="0"/>
        <v>400000</v>
      </c>
      <c r="N4" s="88">
        <f t="shared" si="0"/>
        <v>400000</v>
      </c>
      <c r="O4" s="88">
        <f t="shared" si="0"/>
        <v>400000</v>
      </c>
      <c r="P4" s="88">
        <v>200000</v>
      </c>
    </row>
    <row r="5" spans="1:16" x14ac:dyDescent="0.2">
      <c r="A5" s="87"/>
      <c r="B5" s="87"/>
      <c r="C5" s="6" t="s">
        <v>69</v>
      </c>
      <c r="D5" s="6" t="s">
        <v>70</v>
      </c>
      <c r="E5" s="6" t="s">
        <v>71</v>
      </c>
      <c r="F5" s="80" t="s">
        <v>72</v>
      </c>
      <c r="G5" s="6" t="s">
        <v>73</v>
      </c>
      <c r="H5" s="6" t="s">
        <v>74</v>
      </c>
      <c r="I5" s="80" t="s">
        <v>75</v>
      </c>
      <c r="J5" s="6" t="s">
        <v>76</v>
      </c>
      <c r="K5" s="6" t="s">
        <v>77</v>
      </c>
      <c r="L5" s="80" t="s">
        <v>78</v>
      </c>
      <c r="M5" s="80" t="s">
        <v>79</v>
      </c>
      <c r="N5" s="6" t="s">
        <v>80</v>
      </c>
      <c r="O5" s="6" t="s">
        <v>81</v>
      </c>
      <c r="P5" s="80" t="s">
        <v>82</v>
      </c>
    </row>
    <row r="6" spans="1:16" x14ac:dyDescent="0.2">
      <c r="A6" s="5" t="s">
        <v>83</v>
      </c>
      <c r="B6" s="89"/>
      <c r="C6" s="89">
        <f>+C7*1.4</f>
        <v>770000</v>
      </c>
      <c r="D6" s="89">
        <f t="shared" ref="D6:P6" si="1">+D7*1.4</f>
        <v>1330000</v>
      </c>
      <c r="E6" s="89">
        <f t="shared" si="1"/>
        <v>1889999.9999999998</v>
      </c>
      <c r="F6" s="90">
        <f t="shared" si="1"/>
        <v>2450000</v>
      </c>
      <c r="G6" s="89">
        <f t="shared" si="1"/>
        <v>3010000</v>
      </c>
      <c r="H6" s="89">
        <f t="shared" si="1"/>
        <v>3570000</v>
      </c>
      <c r="I6" s="90">
        <f t="shared" si="1"/>
        <v>4129999.9999999995</v>
      </c>
      <c r="J6" s="91">
        <f t="shared" si="1"/>
        <v>4690000</v>
      </c>
      <c r="K6" s="91">
        <f t="shared" si="1"/>
        <v>5250000</v>
      </c>
      <c r="L6" s="90">
        <f t="shared" si="1"/>
        <v>5810000</v>
      </c>
      <c r="M6" s="90">
        <f t="shared" si="1"/>
        <v>6370000</v>
      </c>
      <c r="N6" s="91">
        <f t="shared" si="1"/>
        <v>6930000</v>
      </c>
      <c r="O6" s="91">
        <f t="shared" si="1"/>
        <v>7489999.9999999991</v>
      </c>
      <c r="P6" s="90">
        <f t="shared" si="1"/>
        <v>8049999.9999999991</v>
      </c>
    </row>
    <row r="7" spans="1:16" x14ac:dyDescent="0.2">
      <c r="A7" s="5" t="s">
        <v>84</v>
      </c>
      <c r="B7" s="89"/>
      <c r="C7" s="89">
        <f>($A4/2)+B4+($P4/2)</f>
        <v>550000</v>
      </c>
      <c r="D7" s="89">
        <f>($A4/2)+C4+B4+($P4/2)</f>
        <v>950000</v>
      </c>
      <c r="E7" s="89">
        <f>($A4/2)+B4+D4+C4+($P4/2)</f>
        <v>1350000</v>
      </c>
      <c r="F7" s="90">
        <f>($A4/2)+B4+C4+E4+D4+($P4/2)</f>
        <v>1750000</v>
      </c>
      <c r="G7" s="89">
        <f>($A4/2)+B4+C4+D4+F4+E4+($P4/2)</f>
        <v>2150000</v>
      </c>
      <c r="H7" s="89">
        <f>($A4/2)+B4+C4+D4+E4+G4+F4+($P4/2)</f>
        <v>2550000</v>
      </c>
      <c r="I7" s="90">
        <f>($A4/2)+B4+C4+D4+E4+F4+H4+G4+($P4/2)</f>
        <v>2950000</v>
      </c>
      <c r="J7" s="89">
        <f>($A4/2)+B4+C4+D4+E4+F4+G4+I4+H4+($P4/2)</f>
        <v>3350000</v>
      </c>
      <c r="K7" s="89">
        <f>($A4/2)+B4+C4+D4+E4+F4+G4+H4+J4+I4+($P4/2)</f>
        <v>3750000</v>
      </c>
      <c r="L7" s="90">
        <f>($A4/2)+B4+C4+D4+E4+F4+G4+H4+I4+K4+J4+($P4/2)</f>
        <v>4150000</v>
      </c>
      <c r="M7" s="90">
        <f>($A4/2)+B4+C4+D4+E4+F4+G4+H4+I4+J4+L4+K4+($P4/2)</f>
        <v>4550000</v>
      </c>
      <c r="N7" s="89">
        <f>($A4/2)+B4+C4+D4+E4+F4+G4+H4+I4+J4+K4+M4+L4+($P4/2)</f>
        <v>4950000</v>
      </c>
      <c r="O7" s="89">
        <f>($A4/2)+B4+C4+D4+E4+F4+G4+H4+I4+J4+K4+L4+N4+M4+($P4/2)</f>
        <v>5350000</v>
      </c>
      <c r="P7" s="90">
        <f>($A4/2)+B4+C4+D4+E4+F4+G4+H4+I4+J4+K4+L4+M4+O4+N4+($P4/2)</f>
        <v>5750000</v>
      </c>
    </row>
    <row r="8" spans="1:16" x14ac:dyDescent="0.2">
      <c r="A8" s="5" t="s">
        <v>85</v>
      </c>
      <c r="B8" s="89"/>
      <c r="C8" s="89">
        <f>+C7</f>
        <v>550000</v>
      </c>
      <c r="D8" s="89">
        <f t="shared" ref="D8:P8" si="2">+D7</f>
        <v>950000</v>
      </c>
      <c r="E8" s="89">
        <f t="shared" si="2"/>
        <v>1350000</v>
      </c>
      <c r="F8" s="90">
        <f t="shared" si="2"/>
        <v>1750000</v>
      </c>
      <c r="G8" s="89">
        <f t="shared" si="2"/>
        <v>2150000</v>
      </c>
      <c r="H8" s="89">
        <f t="shared" si="2"/>
        <v>2550000</v>
      </c>
      <c r="I8" s="90">
        <f t="shared" si="2"/>
        <v>2950000</v>
      </c>
      <c r="J8" s="89">
        <f t="shared" si="2"/>
        <v>3350000</v>
      </c>
      <c r="K8" s="89">
        <f t="shared" si="2"/>
        <v>3750000</v>
      </c>
      <c r="L8" s="90">
        <f t="shared" si="2"/>
        <v>4150000</v>
      </c>
      <c r="M8" s="90">
        <f t="shared" si="2"/>
        <v>4550000</v>
      </c>
      <c r="N8" s="89">
        <f t="shared" si="2"/>
        <v>4950000</v>
      </c>
      <c r="O8" s="89">
        <f t="shared" si="2"/>
        <v>5350000</v>
      </c>
      <c r="P8" s="90">
        <f t="shared" si="2"/>
        <v>5750000</v>
      </c>
    </row>
    <row r="9" spans="1:16" x14ac:dyDescent="0.2">
      <c r="A9" s="92"/>
      <c r="B9" s="92"/>
      <c r="C9" s="92"/>
      <c r="D9" s="92"/>
      <c r="E9" s="92"/>
      <c r="F9" s="93">
        <v>9.375E-2</v>
      </c>
      <c r="G9" s="92"/>
      <c r="H9" s="92"/>
      <c r="I9" s="94"/>
    </row>
    <row r="10" spans="1:16" x14ac:dyDescent="0.2">
      <c r="A10" s="27" t="s">
        <v>51</v>
      </c>
      <c r="B10" s="27" t="s">
        <v>86</v>
      </c>
    </row>
    <row r="11" spans="1:16" x14ac:dyDescent="0.2">
      <c r="A11" s="6"/>
      <c r="B11" s="6"/>
      <c r="C11" s="6" t="s">
        <v>69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76</v>
      </c>
      <c r="K11" s="6" t="s">
        <v>77</v>
      </c>
      <c r="L11" s="6" t="s">
        <v>78</v>
      </c>
      <c r="M11" s="6" t="s">
        <v>79</v>
      </c>
      <c r="N11" s="6" t="s">
        <v>80</v>
      </c>
      <c r="O11" s="6" t="s">
        <v>81</v>
      </c>
      <c r="P11" s="6" t="s">
        <v>82</v>
      </c>
    </row>
    <row r="12" spans="1:16" x14ac:dyDescent="0.2">
      <c r="A12" s="6" t="s">
        <v>87</v>
      </c>
      <c r="B12" s="95" t="s">
        <v>88</v>
      </c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6" t="s">
        <v>61</v>
      </c>
      <c r="J12" s="6" t="s">
        <v>62</v>
      </c>
      <c r="K12" s="6" t="s">
        <v>63</v>
      </c>
      <c r="L12" s="6" t="s">
        <v>64</v>
      </c>
      <c r="M12" s="6" t="s">
        <v>65</v>
      </c>
      <c r="N12" s="6" t="s">
        <v>66</v>
      </c>
      <c r="O12" s="6" t="s">
        <v>67</v>
      </c>
      <c r="P12" s="6" t="s">
        <v>68</v>
      </c>
    </row>
    <row r="13" spans="1:16" x14ac:dyDescent="0.2">
      <c r="A13" s="96">
        <v>350</v>
      </c>
      <c r="B13" s="96">
        <v>1000</v>
      </c>
      <c r="C13" s="97">
        <v>900</v>
      </c>
      <c r="D13" s="97">
        <f>+C13</f>
        <v>900</v>
      </c>
      <c r="E13" s="97">
        <f t="shared" ref="E13:H13" si="3">+D13</f>
        <v>900</v>
      </c>
      <c r="F13" s="97">
        <f t="shared" si="3"/>
        <v>900</v>
      </c>
      <c r="G13" s="97">
        <f t="shared" si="3"/>
        <v>900</v>
      </c>
      <c r="H13" s="97">
        <f t="shared" si="3"/>
        <v>900</v>
      </c>
      <c r="I13" s="97">
        <f>+H13</f>
        <v>900</v>
      </c>
      <c r="J13" s="97">
        <f t="shared" ref="J13:O13" si="4">+I13</f>
        <v>900</v>
      </c>
      <c r="K13" s="97">
        <f t="shared" si="4"/>
        <v>900</v>
      </c>
      <c r="L13" s="97">
        <f t="shared" si="4"/>
        <v>900</v>
      </c>
      <c r="M13" s="97">
        <f t="shared" si="4"/>
        <v>900</v>
      </c>
      <c r="N13" s="97">
        <f t="shared" si="4"/>
        <v>900</v>
      </c>
      <c r="O13" s="97">
        <f t="shared" si="4"/>
        <v>900</v>
      </c>
      <c r="P13" s="97">
        <f>+A13</f>
        <v>350</v>
      </c>
    </row>
    <row r="14" spans="1:16" x14ac:dyDescent="0.2">
      <c r="A14" s="96"/>
      <c r="B14" s="96"/>
      <c r="C14" s="6" t="s">
        <v>69</v>
      </c>
      <c r="D14" s="6" t="s">
        <v>70</v>
      </c>
      <c r="E14" s="6" t="s">
        <v>71</v>
      </c>
      <c r="F14" s="80" t="s">
        <v>72</v>
      </c>
      <c r="G14" s="6" t="s">
        <v>73</v>
      </c>
      <c r="H14" s="6" t="s">
        <v>74</v>
      </c>
      <c r="I14" s="80" t="s">
        <v>75</v>
      </c>
      <c r="J14" s="6" t="s">
        <v>76</v>
      </c>
      <c r="K14" s="6" t="s">
        <v>77</v>
      </c>
      <c r="L14" s="80" t="s">
        <v>78</v>
      </c>
      <c r="M14" s="80" t="s">
        <v>79</v>
      </c>
      <c r="N14" s="6" t="s">
        <v>80</v>
      </c>
      <c r="O14" s="6" t="s">
        <v>81</v>
      </c>
      <c r="P14" s="80" t="s">
        <v>82</v>
      </c>
    </row>
    <row r="15" spans="1:16" x14ac:dyDescent="0.2">
      <c r="A15" s="5" t="s">
        <v>83</v>
      </c>
      <c r="B15" s="96"/>
      <c r="C15" s="96">
        <f>+C16*1.4</f>
        <v>1889.9999999999998</v>
      </c>
      <c r="D15" s="96">
        <f t="shared" ref="D15:P15" si="5">+D16*1.4</f>
        <v>3150</v>
      </c>
      <c r="E15" s="96">
        <f t="shared" si="5"/>
        <v>4410</v>
      </c>
      <c r="F15" s="98">
        <f t="shared" si="5"/>
        <v>5670</v>
      </c>
      <c r="G15" s="96">
        <f t="shared" si="5"/>
        <v>6930</v>
      </c>
      <c r="H15" s="96">
        <f t="shared" si="5"/>
        <v>8189.9999999999991</v>
      </c>
      <c r="I15" s="98">
        <f t="shared" si="5"/>
        <v>9450</v>
      </c>
      <c r="J15" s="97">
        <f t="shared" si="5"/>
        <v>10710</v>
      </c>
      <c r="K15" s="97">
        <f t="shared" si="5"/>
        <v>11970</v>
      </c>
      <c r="L15" s="98">
        <f t="shared" si="5"/>
        <v>13230</v>
      </c>
      <c r="M15" s="98">
        <f t="shared" si="5"/>
        <v>14489.999999999998</v>
      </c>
      <c r="N15" s="97">
        <f t="shared" si="5"/>
        <v>15749.999999999998</v>
      </c>
      <c r="O15" s="97">
        <f t="shared" si="5"/>
        <v>17010</v>
      </c>
      <c r="P15" s="98">
        <f t="shared" si="5"/>
        <v>18270</v>
      </c>
    </row>
    <row r="16" spans="1:16" x14ac:dyDescent="0.2">
      <c r="A16" s="5" t="s">
        <v>84</v>
      </c>
      <c r="B16" s="89"/>
      <c r="C16" s="96">
        <f>($A13/2)+B13+($P13/2)</f>
        <v>1350</v>
      </c>
      <c r="D16" s="96">
        <f>($A13/2)+C13+B13+($P13/2)</f>
        <v>2250</v>
      </c>
      <c r="E16" s="96">
        <f>($A13/2)+B13+D13+C13+($P13/2)</f>
        <v>3150</v>
      </c>
      <c r="F16" s="98">
        <f>($A13/2)+B13+C13+E13+D13+($P13/2)</f>
        <v>4050</v>
      </c>
      <c r="G16" s="96">
        <f>($A13/2)+B13+C13+D13+F13+E13+($P13/2)</f>
        <v>4950</v>
      </c>
      <c r="H16" s="96">
        <f>($A13/2)+B13+C13+D13+E13+G13+F13+($P13/2)</f>
        <v>5850</v>
      </c>
      <c r="I16" s="98">
        <f>($A13/2)+B13+C13+D13+E13+F13+H13+G13+($P13/2)</f>
        <v>6750</v>
      </c>
      <c r="J16" s="97">
        <f>($A13/2)+B13+C13+D13+E13+F13+G13+I13+H13+($P13/2)</f>
        <v>7650</v>
      </c>
      <c r="K16" s="97">
        <f>($A13/2)+B13+C13+D13+E13+F13+G13+H13+J13+I13+($P13/2)</f>
        <v>8550</v>
      </c>
      <c r="L16" s="98">
        <f>($A13/2)+B13+C13+D13+E13+F13+G13+H13+I13+K13+J13+($P13/2)</f>
        <v>9450</v>
      </c>
      <c r="M16" s="98">
        <f>($A13/2)+B13+C13+D13+E13+F13+G13+H13+I13+J13+L13+K13+($P13/2)</f>
        <v>10350</v>
      </c>
      <c r="N16" s="97">
        <f>($A13/2)+B13+C13+D13+E13+F13+G13+H13+I13+J13+K13+M13+L13+($P13/2)</f>
        <v>11250</v>
      </c>
      <c r="O16" s="97">
        <f>($A13/2)+B13+C13+D13+E13+F13+G13+H13+I13+J13+K13+L13+N13+M13+($P13/2)</f>
        <v>12150</v>
      </c>
      <c r="P16" s="98">
        <f>($A13/2)+B13+C13+D13+E13+F13+G13+H13+I13+J13+K13+L13+M13+O13+N13+($P13/2)</f>
        <v>13050</v>
      </c>
    </row>
    <row r="17" spans="1:16" x14ac:dyDescent="0.2">
      <c r="A17" s="5" t="s">
        <v>89</v>
      </c>
      <c r="B17" s="89"/>
      <c r="C17" s="96">
        <f>+C16*0.7</f>
        <v>944.99999999999989</v>
      </c>
      <c r="D17" s="96">
        <f t="shared" ref="D17:P17" si="6">+D16*0.7</f>
        <v>1575</v>
      </c>
      <c r="E17" s="96">
        <f t="shared" si="6"/>
        <v>2205</v>
      </c>
      <c r="F17" s="98">
        <f t="shared" si="6"/>
        <v>2835</v>
      </c>
      <c r="G17" s="96">
        <f t="shared" si="6"/>
        <v>3465</v>
      </c>
      <c r="H17" s="96">
        <f t="shared" si="6"/>
        <v>4094.9999999999995</v>
      </c>
      <c r="I17" s="98">
        <f t="shared" si="6"/>
        <v>4725</v>
      </c>
      <c r="J17" s="97">
        <f t="shared" si="6"/>
        <v>5355</v>
      </c>
      <c r="K17" s="97">
        <f t="shared" si="6"/>
        <v>5985</v>
      </c>
      <c r="L17" s="98">
        <f t="shared" si="6"/>
        <v>6615</v>
      </c>
      <c r="M17" s="98">
        <f t="shared" si="6"/>
        <v>7244.9999999999991</v>
      </c>
      <c r="N17" s="97">
        <f t="shared" si="6"/>
        <v>7874.9999999999991</v>
      </c>
      <c r="O17" s="97">
        <f t="shared" si="6"/>
        <v>8505</v>
      </c>
      <c r="P17" s="98">
        <f t="shared" si="6"/>
        <v>9135</v>
      </c>
    </row>
    <row r="18" spans="1:16" x14ac:dyDescent="0.2">
      <c r="A18" s="92"/>
      <c r="B18" s="92"/>
      <c r="C18" s="92"/>
      <c r="D18" s="92"/>
      <c r="E18" s="92"/>
      <c r="F18" s="94"/>
      <c r="G18" s="92"/>
      <c r="H18" s="92"/>
      <c r="I18" s="93">
        <v>0.10655737704918034</v>
      </c>
    </row>
    <row r="19" spans="1:16" x14ac:dyDescent="0.2">
      <c r="A19" s="27" t="s">
        <v>90</v>
      </c>
      <c r="C19" s="92"/>
      <c r="D19" s="92"/>
      <c r="E19" s="92"/>
      <c r="F19" s="94"/>
      <c r="G19" s="92"/>
      <c r="H19" s="92"/>
    </row>
    <row r="20" spans="1:16" x14ac:dyDescent="0.2">
      <c r="C20" s="99" t="s">
        <v>52</v>
      </c>
      <c r="D20" s="99" t="s">
        <v>86</v>
      </c>
      <c r="E20" s="92"/>
      <c r="F20" s="94"/>
      <c r="G20" s="92"/>
      <c r="H20" s="92"/>
    </row>
    <row r="21" spans="1:16" x14ac:dyDescent="0.2">
      <c r="A21" t="s">
        <v>91</v>
      </c>
      <c r="B21" s="100"/>
      <c r="C21" s="101">
        <v>350000</v>
      </c>
      <c r="D21" s="102">
        <v>390</v>
      </c>
      <c r="E21" s="93">
        <v>0.16666666666666674</v>
      </c>
      <c r="F21" s="102" t="s">
        <v>92</v>
      </c>
      <c r="G21" s="100"/>
      <c r="H21" s="100"/>
      <c r="I21" s="102"/>
    </row>
    <row r="22" spans="1:16" x14ac:dyDescent="0.2">
      <c r="A22" t="s">
        <v>93</v>
      </c>
      <c r="B22" s="100"/>
      <c r="C22" s="101">
        <v>500000</v>
      </c>
      <c r="D22" s="102">
        <v>550</v>
      </c>
      <c r="E22" s="93">
        <v>0.11111111111111116</v>
      </c>
      <c r="F22" s="102" t="s">
        <v>94</v>
      </c>
      <c r="G22" s="100"/>
      <c r="H22" s="100"/>
      <c r="I22" s="102"/>
    </row>
    <row r="23" spans="1:16" x14ac:dyDescent="0.2">
      <c r="A23" s="103"/>
      <c r="B23" s="103"/>
      <c r="C23" s="103"/>
      <c r="D23" s="103"/>
      <c r="E23" s="103"/>
      <c r="F23" s="104"/>
      <c r="G23" s="103"/>
      <c r="H23" s="103"/>
      <c r="I23" s="104"/>
    </row>
    <row r="24" spans="1:16" x14ac:dyDescent="0.2">
      <c r="A24" s="102" t="s">
        <v>95</v>
      </c>
      <c r="B24" s="100"/>
      <c r="C24" s="103"/>
      <c r="D24" s="103"/>
      <c r="E24" s="103"/>
      <c r="F24" s="104"/>
      <c r="G24" s="103"/>
      <c r="H24" s="103"/>
      <c r="I24" s="104"/>
    </row>
    <row r="25" spans="1:16" x14ac:dyDescent="0.2">
      <c r="A25" s="102" t="s">
        <v>96</v>
      </c>
      <c r="B25" s="100"/>
      <c r="C25" s="103"/>
      <c r="D25" s="103"/>
      <c r="E25" s="103"/>
      <c r="F25" s="104"/>
      <c r="G25" s="103"/>
      <c r="H25" s="103"/>
      <c r="I25" s="104"/>
    </row>
    <row r="26" spans="1:16" x14ac:dyDescent="0.2">
      <c r="A26" s="103"/>
      <c r="B26" s="103"/>
      <c r="C26" s="103"/>
      <c r="D26" s="103"/>
      <c r="E26" s="103"/>
      <c r="F26" s="104"/>
      <c r="G26" s="103"/>
      <c r="H26" s="103"/>
      <c r="I26" s="104"/>
    </row>
    <row r="27" spans="1:16" x14ac:dyDescent="0.2">
      <c r="A27" s="102" t="s">
        <v>97</v>
      </c>
      <c r="B27" s="102" t="s">
        <v>98</v>
      </c>
      <c r="C27" s="103"/>
      <c r="D27" s="103"/>
      <c r="E27" s="103"/>
      <c r="F27" s="104"/>
      <c r="G27" s="103"/>
      <c r="H27" s="103"/>
      <c r="I27" s="104"/>
    </row>
    <row r="28" spans="1:16" x14ac:dyDescent="0.2">
      <c r="A28" s="103"/>
      <c r="B28" s="103"/>
      <c r="C28" s="103"/>
      <c r="D28" s="103"/>
      <c r="E28" s="103"/>
      <c r="F28" s="104"/>
      <c r="G28" s="103"/>
      <c r="H28" s="103"/>
      <c r="I28" s="104"/>
    </row>
    <row r="29" spans="1:16" x14ac:dyDescent="0.2">
      <c r="C29" s="103"/>
      <c r="D29" s="103"/>
      <c r="E29" s="103"/>
      <c r="F29" s="104"/>
      <c r="G29" s="103"/>
      <c r="H29" s="103"/>
      <c r="I29" s="104"/>
    </row>
    <row r="30" spans="1:16" x14ac:dyDescent="0.2">
      <c r="C30" s="103"/>
      <c r="D30" s="103"/>
      <c r="E30" s="103"/>
      <c r="F30" s="104"/>
      <c r="G30" s="103"/>
      <c r="H30" s="103"/>
      <c r="I30" s="104"/>
    </row>
    <row r="40" customFormat="1" x14ac:dyDescent="0.2"/>
    <row r="41" customForma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B527-E72B-4C6C-934F-66A65A6A46D2}">
  <sheetPr>
    <tabColor theme="1"/>
  </sheetPr>
  <dimension ref="A1:G501"/>
  <sheetViews>
    <sheetView workbookViewId="0">
      <selection activeCell="F4" sqref="F4"/>
    </sheetView>
  </sheetViews>
  <sheetFormatPr baseColWidth="10" defaultRowHeight="15" x14ac:dyDescent="0.2"/>
  <cols>
    <col min="2" max="2" width="10.83203125" style="3"/>
    <col min="5" max="5" width="10.83203125" style="3"/>
  </cols>
  <sheetData>
    <row r="1" spans="1:7" s="165" customFormat="1" ht="32" x14ac:dyDescent="0.2">
      <c r="A1" s="165" t="s">
        <v>139</v>
      </c>
      <c r="B1" s="166" t="s">
        <v>184</v>
      </c>
      <c r="C1" s="165" t="s">
        <v>142</v>
      </c>
      <c r="D1" s="165" t="s">
        <v>143</v>
      </c>
      <c r="E1" s="165" t="s">
        <v>150</v>
      </c>
      <c r="F1" s="165" t="s">
        <v>188</v>
      </c>
      <c r="G1" s="165" t="s">
        <v>194</v>
      </c>
    </row>
    <row r="2" spans="1:7" x14ac:dyDescent="0.2">
      <c r="A2" t="s">
        <v>145</v>
      </c>
      <c r="B2" s="3">
        <v>1</v>
      </c>
      <c r="C2" t="s">
        <v>147</v>
      </c>
      <c r="D2" t="s">
        <v>148</v>
      </c>
      <c r="E2" s="3">
        <v>1</v>
      </c>
      <c r="F2" t="s">
        <v>189</v>
      </c>
      <c r="G2" t="s">
        <v>195</v>
      </c>
    </row>
    <row r="3" spans="1:7" x14ac:dyDescent="0.2">
      <c r="A3" t="s">
        <v>146</v>
      </c>
      <c r="B3" s="3">
        <v>2</v>
      </c>
      <c r="C3" t="s">
        <v>106</v>
      </c>
      <c r="D3" t="s">
        <v>149</v>
      </c>
      <c r="E3" s="3">
        <v>2</v>
      </c>
      <c r="F3" t="s">
        <v>188</v>
      </c>
      <c r="G3" t="s">
        <v>196</v>
      </c>
    </row>
    <row r="4" spans="1:7" x14ac:dyDescent="0.2">
      <c r="B4" s="3">
        <v>3</v>
      </c>
      <c r="D4" t="s">
        <v>156</v>
      </c>
      <c r="E4" s="3">
        <v>3</v>
      </c>
    </row>
    <row r="5" spans="1:7" x14ac:dyDescent="0.2">
      <c r="B5" s="3">
        <v>4</v>
      </c>
      <c r="E5" s="3">
        <v>4</v>
      </c>
    </row>
    <row r="6" spans="1:7" x14ac:dyDescent="0.2">
      <c r="B6" s="3">
        <v>5</v>
      </c>
      <c r="E6" s="3">
        <v>5</v>
      </c>
    </row>
    <row r="7" spans="1:7" x14ac:dyDescent="0.2">
      <c r="B7" s="3">
        <v>6</v>
      </c>
      <c r="E7" s="3">
        <v>6</v>
      </c>
    </row>
    <row r="8" spans="1:7" x14ac:dyDescent="0.2">
      <c r="B8" s="3">
        <v>7</v>
      </c>
      <c r="E8" s="3">
        <v>7</v>
      </c>
    </row>
    <row r="9" spans="1:7" x14ac:dyDescent="0.2">
      <c r="B9" s="3">
        <v>8</v>
      </c>
      <c r="E9" s="3">
        <v>8</v>
      </c>
    </row>
    <row r="10" spans="1:7" x14ac:dyDescent="0.2">
      <c r="B10" s="3">
        <v>9</v>
      </c>
      <c r="E10" s="3">
        <v>9</v>
      </c>
    </row>
    <row r="11" spans="1:7" x14ac:dyDescent="0.2">
      <c r="B11" s="3">
        <v>10</v>
      </c>
      <c r="E11" s="3">
        <v>10</v>
      </c>
    </row>
    <row r="12" spans="1:7" x14ac:dyDescent="0.2">
      <c r="B12" s="3">
        <v>11</v>
      </c>
      <c r="E12" s="3">
        <v>11</v>
      </c>
    </row>
    <row r="13" spans="1:7" x14ac:dyDescent="0.2">
      <c r="B13" s="3">
        <v>12</v>
      </c>
      <c r="E13" s="3">
        <v>12</v>
      </c>
    </row>
    <row r="14" spans="1:7" x14ac:dyDescent="0.2">
      <c r="B14" s="3">
        <v>13</v>
      </c>
      <c r="E14" s="3">
        <v>13</v>
      </c>
    </row>
    <row r="15" spans="1:7" x14ac:dyDescent="0.2">
      <c r="B15" s="3">
        <v>14</v>
      </c>
      <c r="E15" s="3">
        <v>14</v>
      </c>
    </row>
    <row r="16" spans="1:7" x14ac:dyDescent="0.2">
      <c r="B16" s="3">
        <v>15</v>
      </c>
      <c r="E16" s="3">
        <v>15</v>
      </c>
    </row>
    <row r="17" spans="2:5" x14ac:dyDescent="0.2">
      <c r="B17" s="3">
        <v>16</v>
      </c>
      <c r="E17" s="3">
        <v>16</v>
      </c>
    </row>
    <row r="18" spans="2:5" x14ac:dyDescent="0.2">
      <c r="B18" s="3">
        <v>17</v>
      </c>
      <c r="E18" s="3">
        <v>17</v>
      </c>
    </row>
    <row r="19" spans="2:5" x14ac:dyDescent="0.2">
      <c r="B19" s="3">
        <v>18</v>
      </c>
      <c r="E19" s="3">
        <v>18</v>
      </c>
    </row>
    <row r="20" spans="2:5" x14ac:dyDescent="0.2">
      <c r="B20" s="3">
        <v>19</v>
      </c>
      <c r="E20" s="3">
        <v>19</v>
      </c>
    </row>
    <row r="21" spans="2:5" x14ac:dyDescent="0.2">
      <c r="B21" s="3">
        <v>20</v>
      </c>
      <c r="E21" s="3">
        <v>20</v>
      </c>
    </row>
    <row r="22" spans="2:5" x14ac:dyDescent="0.2">
      <c r="E22" s="3">
        <v>21</v>
      </c>
    </row>
    <row r="23" spans="2:5" x14ac:dyDescent="0.2">
      <c r="E23" s="3">
        <v>22</v>
      </c>
    </row>
    <row r="24" spans="2:5" x14ac:dyDescent="0.2">
      <c r="E24" s="3">
        <v>23</v>
      </c>
    </row>
    <row r="25" spans="2:5" x14ac:dyDescent="0.2">
      <c r="E25" s="3">
        <v>24</v>
      </c>
    </row>
    <row r="26" spans="2:5" x14ac:dyDescent="0.2">
      <c r="E26" s="3">
        <v>25</v>
      </c>
    </row>
    <row r="27" spans="2:5" x14ac:dyDescent="0.2">
      <c r="E27" s="3">
        <v>26</v>
      </c>
    </row>
    <row r="28" spans="2:5" x14ac:dyDescent="0.2">
      <c r="E28" s="3">
        <v>27</v>
      </c>
    </row>
    <row r="29" spans="2:5" x14ac:dyDescent="0.2">
      <c r="E29" s="3">
        <v>28</v>
      </c>
    </row>
    <row r="30" spans="2:5" x14ac:dyDescent="0.2">
      <c r="E30" s="3">
        <v>29</v>
      </c>
    </row>
    <row r="31" spans="2:5" x14ac:dyDescent="0.2">
      <c r="E31" s="3">
        <v>30</v>
      </c>
    </row>
    <row r="32" spans="2:5" x14ac:dyDescent="0.2">
      <c r="E32" s="3">
        <v>31</v>
      </c>
    </row>
    <row r="33" spans="5:5" x14ac:dyDescent="0.2">
      <c r="E33" s="3">
        <v>32</v>
      </c>
    </row>
    <row r="34" spans="5:5" x14ac:dyDescent="0.2">
      <c r="E34" s="3">
        <v>33</v>
      </c>
    </row>
    <row r="35" spans="5:5" x14ac:dyDescent="0.2">
      <c r="E35" s="3">
        <v>34</v>
      </c>
    </row>
    <row r="36" spans="5:5" x14ac:dyDescent="0.2">
      <c r="E36" s="3">
        <v>35</v>
      </c>
    </row>
    <row r="37" spans="5:5" x14ac:dyDescent="0.2">
      <c r="E37" s="3">
        <v>36</v>
      </c>
    </row>
    <row r="38" spans="5:5" x14ac:dyDescent="0.2">
      <c r="E38" s="3">
        <v>37</v>
      </c>
    </row>
    <row r="39" spans="5:5" x14ac:dyDescent="0.2">
      <c r="E39" s="3">
        <v>38</v>
      </c>
    </row>
    <row r="40" spans="5:5" x14ac:dyDescent="0.2">
      <c r="E40" s="3">
        <v>39</v>
      </c>
    </row>
    <row r="41" spans="5:5" x14ac:dyDescent="0.2">
      <c r="E41" s="3">
        <v>40</v>
      </c>
    </row>
    <row r="42" spans="5:5" x14ac:dyDescent="0.2">
      <c r="E42" s="3">
        <v>41</v>
      </c>
    </row>
    <row r="43" spans="5:5" x14ac:dyDescent="0.2">
      <c r="E43" s="3">
        <v>42</v>
      </c>
    </row>
    <row r="44" spans="5:5" x14ac:dyDescent="0.2">
      <c r="E44" s="3">
        <v>43</v>
      </c>
    </row>
    <row r="45" spans="5:5" x14ac:dyDescent="0.2">
      <c r="E45" s="3">
        <v>44</v>
      </c>
    </row>
    <row r="46" spans="5:5" x14ac:dyDescent="0.2">
      <c r="E46" s="3">
        <v>45</v>
      </c>
    </row>
    <row r="47" spans="5:5" x14ac:dyDescent="0.2">
      <c r="E47" s="3">
        <v>46</v>
      </c>
    </row>
    <row r="48" spans="5:5" x14ac:dyDescent="0.2">
      <c r="E48" s="3">
        <v>47</v>
      </c>
    </row>
    <row r="49" spans="5:5" x14ac:dyDescent="0.2">
      <c r="E49" s="3">
        <v>48</v>
      </c>
    </row>
    <row r="50" spans="5:5" x14ac:dyDescent="0.2">
      <c r="E50" s="3">
        <v>49</v>
      </c>
    </row>
    <row r="51" spans="5:5" x14ac:dyDescent="0.2">
      <c r="E51" s="3">
        <v>50</v>
      </c>
    </row>
    <row r="52" spans="5:5" x14ac:dyDescent="0.2">
      <c r="E52" s="3">
        <v>51</v>
      </c>
    </row>
    <row r="53" spans="5:5" x14ac:dyDescent="0.2">
      <c r="E53" s="3">
        <v>52</v>
      </c>
    </row>
    <row r="54" spans="5:5" x14ac:dyDescent="0.2">
      <c r="E54" s="3">
        <v>53</v>
      </c>
    </row>
    <row r="55" spans="5:5" x14ac:dyDescent="0.2">
      <c r="E55" s="3">
        <v>54</v>
      </c>
    </row>
    <row r="56" spans="5:5" x14ac:dyDescent="0.2">
      <c r="E56" s="3">
        <v>55</v>
      </c>
    </row>
    <row r="57" spans="5:5" x14ac:dyDescent="0.2">
      <c r="E57" s="3">
        <v>56</v>
      </c>
    </row>
    <row r="58" spans="5:5" x14ac:dyDescent="0.2">
      <c r="E58" s="3">
        <v>57</v>
      </c>
    </row>
    <row r="59" spans="5:5" x14ac:dyDescent="0.2">
      <c r="E59" s="3">
        <v>58</v>
      </c>
    </row>
    <row r="60" spans="5:5" x14ac:dyDescent="0.2">
      <c r="E60" s="3">
        <v>59</v>
      </c>
    </row>
    <row r="61" spans="5:5" x14ac:dyDescent="0.2">
      <c r="E61" s="3">
        <v>60</v>
      </c>
    </row>
    <row r="62" spans="5:5" x14ac:dyDescent="0.2">
      <c r="E62" s="3">
        <v>61</v>
      </c>
    </row>
    <row r="63" spans="5:5" x14ac:dyDescent="0.2">
      <c r="E63" s="3">
        <v>62</v>
      </c>
    </row>
    <row r="64" spans="5:5" x14ac:dyDescent="0.2">
      <c r="E64" s="3">
        <v>63</v>
      </c>
    </row>
    <row r="65" spans="5:5" x14ac:dyDescent="0.2">
      <c r="E65" s="3">
        <v>64</v>
      </c>
    </row>
    <row r="66" spans="5:5" x14ac:dyDescent="0.2">
      <c r="E66" s="3">
        <v>65</v>
      </c>
    </row>
    <row r="67" spans="5:5" x14ac:dyDescent="0.2">
      <c r="E67" s="3">
        <v>66</v>
      </c>
    </row>
    <row r="68" spans="5:5" x14ac:dyDescent="0.2">
      <c r="E68" s="3">
        <v>67</v>
      </c>
    </row>
    <row r="69" spans="5:5" x14ac:dyDescent="0.2">
      <c r="E69" s="3">
        <v>68</v>
      </c>
    </row>
    <row r="70" spans="5:5" x14ac:dyDescent="0.2">
      <c r="E70" s="3">
        <v>69</v>
      </c>
    </row>
    <row r="71" spans="5:5" x14ac:dyDescent="0.2">
      <c r="E71" s="3">
        <v>70</v>
      </c>
    </row>
    <row r="72" spans="5:5" x14ac:dyDescent="0.2">
      <c r="E72" s="3">
        <v>71</v>
      </c>
    </row>
    <row r="73" spans="5:5" x14ac:dyDescent="0.2">
      <c r="E73" s="3">
        <v>72</v>
      </c>
    </row>
    <row r="74" spans="5:5" x14ac:dyDescent="0.2">
      <c r="E74" s="3">
        <v>73</v>
      </c>
    </row>
    <row r="75" spans="5:5" x14ac:dyDescent="0.2">
      <c r="E75" s="3">
        <v>74</v>
      </c>
    </row>
    <row r="76" spans="5:5" x14ac:dyDescent="0.2">
      <c r="E76" s="3">
        <v>75</v>
      </c>
    </row>
    <row r="77" spans="5:5" x14ac:dyDescent="0.2">
      <c r="E77" s="3">
        <v>76</v>
      </c>
    </row>
    <row r="78" spans="5:5" x14ac:dyDescent="0.2">
      <c r="E78" s="3">
        <v>77</v>
      </c>
    </row>
    <row r="79" spans="5:5" x14ac:dyDescent="0.2">
      <c r="E79" s="3">
        <v>78</v>
      </c>
    </row>
    <row r="80" spans="5:5" x14ac:dyDescent="0.2">
      <c r="E80" s="3">
        <v>79</v>
      </c>
    </row>
    <row r="81" spans="5:5" x14ac:dyDescent="0.2">
      <c r="E81" s="3">
        <v>80</v>
      </c>
    </row>
    <row r="82" spans="5:5" x14ac:dyDescent="0.2">
      <c r="E82" s="3">
        <v>81</v>
      </c>
    </row>
    <row r="83" spans="5:5" x14ac:dyDescent="0.2">
      <c r="E83" s="3">
        <v>82</v>
      </c>
    </row>
    <row r="84" spans="5:5" x14ac:dyDescent="0.2">
      <c r="E84" s="3">
        <v>83</v>
      </c>
    </row>
    <row r="85" spans="5:5" x14ac:dyDescent="0.2">
      <c r="E85" s="3">
        <v>84</v>
      </c>
    </row>
    <row r="86" spans="5:5" x14ac:dyDescent="0.2">
      <c r="E86" s="3">
        <v>85</v>
      </c>
    </row>
    <row r="87" spans="5:5" x14ac:dyDescent="0.2">
      <c r="E87" s="3">
        <v>86</v>
      </c>
    </row>
    <row r="88" spans="5:5" x14ac:dyDescent="0.2">
      <c r="E88" s="3">
        <v>87</v>
      </c>
    </row>
    <row r="89" spans="5:5" x14ac:dyDescent="0.2">
      <c r="E89" s="3">
        <v>88</v>
      </c>
    </row>
    <row r="90" spans="5:5" x14ac:dyDescent="0.2">
      <c r="E90" s="3">
        <v>89</v>
      </c>
    </row>
    <row r="91" spans="5:5" x14ac:dyDescent="0.2">
      <c r="E91" s="3">
        <v>90</v>
      </c>
    </row>
    <row r="92" spans="5:5" x14ac:dyDescent="0.2">
      <c r="E92" s="3">
        <v>91</v>
      </c>
    </row>
    <row r="93" spans="5:5" x14ac:dyDescent="0.2">
      <c r="E93" s="3">
        <v>92</v>
      </c>
    </row>
    <row r="94" spans="5:5" x14ac:dyDescent="0.2">
      <c r="E94" s="3">
        <v>93</v>
      </c>
    </row>
    <row r="95" spans="5:5" x14ac:dyDescent="0.2">
      <c r="E95" s="3">
        <v>94</v>
      </c>
    </row>
    <row r="96" spans="5:5" x14ac:dyDescent="0.2">
      <c r="E96" s="3">
        <v>95</v>
      </c>
    </row>
    <row r="97" spans="5:5" x14ac:dyDescent="0.2">
      <c r="E97" s="3">
        <v>96</v>
      </c>
    </row>
    <row r="98" spans="5:5" x14ac:dyDescent="0.2">
      <c r="E98" s="3">
        <v>97</v>
      </c>
    </row>
    <row r="99" spans="5:5" x14ac:dyDescent="0.2">
      <c r="E99" s="3">
        <v>98</v>
      </c>
    </row>
    <row r="100" spans="5:5" x14ac:dyDescent="0.2">
      <c r="E100" s="3">
        <v>99</v>
      </c>
    </row>
    <row r="101" spans="5:5" x14ac:dyDescent="0.2">
      <c r="E101" s="3">
        <v>100</v>
      </c>
    </row>
    <row r="102" spans="5:5" x14ac:dyDescent="0.2">
      <c r="E102" s="3">
        <v>101</v>
      </c>
    </row>
    <row r="103" spans="5:5" x14ac:dyDescent="0.2">
      <c r="E103" s="3">
        <v>102</v>
      </c>
    </row>
    <row r="104" spans="5:5" x14ac:dyDescent="0.2">
      <c r="E104" s="3">
        <v>103</v>
      </c>
    </row>
    <row r="105" spans="5:5" x14ac:dyDescent="0.2">
      <c r="E105" s="3">
        <v>104</v>
      </c>
    </row>
    <row r="106" spans="5:5" x14ac:dyDescent="0.2">
      <c r="E106" s="3">
        <v>105</v>
      </c>
    </row>
    <row r="107" spans="5:5" x14ac:dyDescent="0.2">
      <c r="E107" s="3">
        <v>106</v>
      </c>
    </row>
    <row r="108" spans="5:5" x14ac:dyDescent="0.2">
      <c r="E108" s="3">
        <v>107</v>
      </c>
    </row>
    <row r="109" spans="5:5" x14ac:dyDescent="0.2">
      <c r="E109" s="3">
        <v>108</v>
      </c>
    </row>
    <row r="110" spans="5:5" x14ac:dyDescent="0.2">
      <c r="E110" s="3">
        <v>109</v>
      </c>
    </row>
    <row r="111" spans="5:5" x14ac:dyDescent="0.2">
      <c r="E111" s="3">
        <v>110</v>
      </c>
    </row>
    <row r="112" spans="5:5" x14ac:dyDescent="0.2">
      <c r="E112" s="3">
        <v>111</v>
      </c>
    </row>
    <row r="113" spans="5:5" x14ac:dyDescent="0.2">
      <c r="E113" s="3">
        <v>112</v>
      </c>
    </row>
    <row r="114" spans="5:5" x14ac:dyDescent="0.2">
      <c r="E114" s="3">
        <v>113</v>
      </c>
    </row>
    <row r="115" spans="5:5" x14ac:dyDescent="0.2">
      <c r="E115" s="3">
        <v>114</v>
      </c>
    </row>
    <row r="116" spans="5:5" x14ac:dyDescent="0.2">
      <c r="E116" s="3">
        <v>115</v>
      </c>
    </row>
    <row r="117" spans="5:5" x14ac:dyDescent="0.2">
      <c r="E117" s="3">
        <v>116</v>
      </c>
    </row>
    <row r="118" spans="5:5" x14ac:dyDescent="0.2">
      <c r="E118" s="3">
        <v>117</v>
      </c>
    </row>
    <row r="119" spans="5:5" x14ac:dyDescent="0.2">
      <c r="E119" s="3">
        <v>118</v>
      </c>
    </row>
    <row r="120" spans="5:5" x14ac:dyDescent="0.2">
      <c r="E120" s="3">
        <v>119</v>
      </c>
    </row>
    <row r="121" spans="5:5" x14ac:dyDescent="0.2">
      <c r="E121" s="3">
        <v>120</v>
      </c>
    </row>
    <row r="122" spans="5:5" x14ac:dyDescent="0.2">
      <c r="E122" s="3">
        <v>121</v>
      </c>
    </row>
    <row r="123" spans="5:5" x14ac:dyDescent="0.2">
      <c r="E123" s="3">
        <v>122</v>
      </c>
    </row>
    <row r="124" spans="5:5" x14ac:dyDescent="0.2">
      <c r="E124" s="3">
        <v>123</v>
      </c>
    </row>
    <row r="125" spans="5:5" x14ac:dyDescent="0.2">
      <c r="E125" s="3">
        <v>124</v>
      </c>
    </row>
    <row r="126" spans="5:5" x14ac:dyDescent="0.2">
      <c r="E126" s="3">
        <v>125</v>
      </c>
    </row>
    <row r="127" spans="5:5" x14ac:dyDescent="0.2">
      <c r="E127" s="3">
        <v>126</v>
      </c>
    </row>
    <row r="128" spans="5:5" x14ac:dyDescent="0.2">
      <c r="E128" s="3">
        <v>127</v>
      </c>
    </row>
    <row r="129" spans="5:5" x14ac:dyDescent="0.2">
      <c r="E129" s="3">
        <v>128</v>
      </c>
    </row>
    <row r="130" spans="5:5" x14ac:dyDescent="0.2">
      <c r="E130" s="3">
        <v>129</v>
      </c>
    </row>
    <row r="131" spans="5:5" x14ac:dyDescent="0.2">
      <c r="E131" s="3">
        <v>130</v>
      </c>
    </row>
    <row r="132" spans="5:5" x14ac:dyDescent="0.2">
      <c r="E132" s="3">
        <v>131</v>
      </c>
    </row>
    <row r="133" spans="5:5" x14ac:dyDescent="0.2">
      <c r="E133" s="3">
        <v>132</v>
      </c>
    </row>
    <row r="134" spans="5:5" x14ac:dyDescent="0.2">
      <c r="E134" s="3">
        <v>133</v>
      </c>
    </row>
    <row r="135" spans="5:5" x14ac:dyDescent="0.2">
      <c r="E135" s="3">
        <v>134</v>
      </c>
    </row>
    <row r="136" spans="5:5" x14ac:dyDescent="0.2">
      <c r="E136" s="3">
        <v>135</v>
      </c>
    </row>
    <row r="137" spans="5:5" x14ac:dyDescent="0.2">
      <c r="E137" s="3">
        <v>136</v>
      </c>
    </row>
    <row r="138" spans="5:5" x14ac:dyDescent="0.2">
      <c r="E138" s="3">
        <v>137</v>
      </c>
    </row>
    <row r="139" spans="5:5" x14ac:dyDescent="0.2">
      <c r="E139" s="3">
        <v>138</v>
      </c>
    </row>
    <row r="140" spans="5:5" x14ac:dyDescent="0.2">
      <c r="E140" s="3">
        <v>139</v>
      </c>
    </row>
    <row r="141" spans="5:5" x14ac:dyDescent="0.2">
      <c r="E141" s="3">
        <v>140</v>
      </c>
    </row>
    <row r="142" spans="5:5" x14ac:dyDescent="0.2">
      <c r="E142" s="3">
        <v>141</v>
      </c>
    </row>
    <row r="143" spans="5:5" x14ac:dyDescent="0.2">
      <c r="E143" s="3">
        <v>142</v>
      </c>
    </row>
    <row r="144" spans="5:5" x14ac:dyDescent="0.2">
      <c r="E144" s="3">
        <v>143</v>
      </c>
    </row>
    <row r="145" spans="5:5" x14ac:dyDescent="0.2">
      <c r="E145" s="3">
        <v>144</v>
      </c>
    </row>
    <row r="146" spans="5:5" x14ac:dyDescent="0.2">
      <c r="E146" s="3">
        <v>145</v>
      </c>
    </row>
    <row r="147" spans="5:5" x14ac:dyDescent="0.2">
      <c r="E147" s="3">
        <v>146</v>
      </c>
    </row>
    <row r="148" spans="5:5" x14ac:dyDescent="0.2">
      <c r="E148" s="3">
        <v>147</v>
      </c>
    </row>
    <row r="149" spans="5:5" x14ac:dyDescent="0.2">
      <c r="E149" s="3">
        <v>148</v>
      </c>
    </row>
    <row r="150" spans="5:5" x14ac:dyDescent="0.2">
      <c r="E150" s="3">
        <v>149</v>
      </c>
    </row>
    <row r="151" spans="5:5" x14ac:dyDescent="0.2">
      <c r="E151" s="3">
        <v>150</v>
      </c>
    </row>
    <row r="152" spans="5:5" x14ac:dyDescent="0.2">
      <c r="E152" s="3">
        <v>151</v>
      </c>
    </row>
    <row r="153" spans="5:5" x14ac:dyDescent="0.2">
      <c r="E153" s="3">
        <v>152</v>
      </c>
    </row>
    <row r="154" spans="5:5" x14ac:dyDescent="0.2">
      <c r="E154" s="3">
        <v>153</v>
      </c>
    </row>
    <row r="155" spans="5:5" x14ac:dyDescent="0.2">
      <c r="E155" s="3">
        <v>154</v>
      </c>
    </row>
    <row r="156" spans="5:5" x14ac:dyDescent="0.2">
      <c r="E156" s="3">
        <v>155</v>
      </c>
    </row>
    <row r="157" spans="5:5" x14ac:dyDescent="0.2">
      <c r="E157" s="3">
        <v>156</v>
      </c>
    </row>
    <row r="158" spans="5:5" x14ac:dyDescent="0.2">
      <c r="E158" s="3">
        <v>157</v>
      </c>
    </row>
    <row r="159" spans="5:5" x14ac:dyDescent="0.2">
      <c r="E159" s="3">
        <v>158</v>
      </c>
    </row>
    <row r="160" spans="5:5" x14ac:dyDescent="0.2">
      <c r="E160" s="3">
        <v>159</v>
      </c>
    </row>
    <row r="161" spans="5:5" x14ac:dyDescent="0.2">
      <c r="E161" s="3">
        <v>160</v>
      </c>
    </row>
    <row r="162" spans="5:5" x14ac:dyDescent="0.2">
      <c r="E162" s="3">
        <v>161</v>
      </c>
    </row>
    <row r="163" spans="5:5" x14ac:dyDescent="0.2">
      <c r="E163" s="3">
        <v>162</v>
      </c>
    </row>
    <row r="164" spans="5:5" x14ac:dyDescent="0.2">
      <c r="E164" s="3">
        <v>163</v>
      </c>
    </row>
    <row r="165" spans="5:5" x14ac:dyDescent="0.2">
      <c r="E165" s="3">
        <v>164</v>
      </c>
    </row>
    <row r="166" spans="5:5" x14ac:dyDescent="0.2">
      <c r="E166" s="3">
        <v>165</v>
      </c>
    </row>
    <row r="167" spans="5:5" x14ac:dyDescent="0.2">
      <c r="E167" s="3">
        <v>166</v>
      </c>
    </row>
    <row r="168" spans="5:5" x14ac:dyDescent="0.2">
      <c r="E168" s="3">
        <v>167</v>
      </c>
    </row>
    <row r="169" spans="5:5" x14ac:dyDescent="0.2">
      <c r="E169" s="3">
        <v>168</v>
      </c>
    </row>
    <row r="170" spans="5:5" x14ac:dyDescent="0.2">
      <c r="E170" s="3">
        <v>169</v>
      </c>
    </row>
    <row r="171" spans="5:5" x14ac:dyDescent="0.2">
      <c r="E171" s="3">
        <v>170</v>
      </c>
    </row>
    <row r="172" spans="5:5" x14ac:dyDescent="0.2">
      <c r="E172" s="3">
        <v>171</v>
      </c>
    </row>
    <row r="173" spans="5:5" x14ac:dyDescent="0.2">
      <c r="E173" s="3">
        <v>172</v>
      </c>
    </row>
    <row r="174" spans="5:5" x14ac:dyDescent="0.2">
      <c r="E174" s="3">
        <v>173</v>
      </c>
    </row>
    <row r="175" spans="5:5" x14ac:dyDescent="0.2">
      <c r="E175" s="3">
        <v>174</v>
      </c>
    </row>
    <row r="176" spans="5:5" x14ac:dyDescent="0.2">
      <c r="E176" s="3">
        <v>175</v>
      </c>
    </row>
    <row r="177" spans="5:5" x14ac:dyDescent="0.2">
      <c r="E177" s="3">
        <v>176</v>
      </c>
    </row>
    <row r="178" spans="5:5" x14ac:dyDescent="0.2">
      <c r="E178" s="3">
        <v>177</v>
      </c>
    </row>
    <row r="179" spans="5:5" x14ac:dyDescent="0.2">
      <c r="E179" s="3">
        <v>178</v>
      </c>
    </row>
    <row r="180" spans="5:5" x14ac:dyDescent="0.2">
      <c r="E180" s="3">
        <v>179</v>
      </c>
    </row>
    <row r="181" spans="5:5" x14ac:dyDescent="0.2">
      <c r="E181" s="3">
        <v>180</v>
      </c>
    </row>
    <row r="182" spans="5:5" x14ac:dyDescent="0.2">
      <c r="E182" s="3">
        <v>181</v>
      </c>
    </row>
    <row r="183" spans="5:5" x14ac:dyDescent="0.2">
      <c r="E183" s="3">
        <v>182</v>
      </c>
    </row>
    <row r="184" spans="5:5" x14ac:dyDescent="0.2">
      <c r="E184" s="3">
        <v>183</v>
      </c>
    </row>
    <row r="185" spans="5:5" x14ac:dyDescent="0.2">
      <c r="E185" s="3">
        <v>184</v>
      </c>
    </row>
    <row r="186" spans="5:5" x14ac:dyDescent="0.2">
      <c r="E186" s="3">
        <v>185</v>
      </c>
    </row>
    <row r="187" spans="5:5" x14ac:dyDescent="0.2">
      <c r="E187" s="3">
        <v>186</v>
      </c>
    </row>
    <row r="188" spans="5:5" x14ac:dyDescent="0.2">
      <c r="E188" s="3">
        <v>187</v>
      </c>
    </row>
    <row r="189" spans="5:5" x14ac:dyDescent="0.2">
      <c r="E189" s="3">
        <v>188</v>
      </c>
    </row>
    <row r="190" spans="5:5" x14ac:dyDescent="0.2">
      <c r="E190" s="3">
        <v>189</v>
      </c>
    </row>
    <row r="191" spans="5:5" x14ac:dyDescent="0.2">
      <c r="E191" s="3">
        <v>190</v>
      </c>
    </row>
    <row r="192" spans="5:5" x14ac:dyDescent="0.2">
      <c r="E192" s="3">
        <v>191</v>
      </c>
    </row>
    <row r="193" spans="5:5" x14ac:dyDescent="0.2">
      <c r="E193" s="3">
        <v>192</v>
      </c>
    </row>
    <row r="194" spans="5:5" x14ac:dyDescent="0.2">
      <c r="E194" s="3">
        <v>193</v>
      </c>
    </row>
    <row r="195" spans="5:5" x14ac:dyDescent="0.2">
      <c r="E195" s="3">
        <v>194</v>
      </c>
    </row>
    <row r="196" spans="5:5" x14ac:dyDescent="0.2">
      <c r="E196" s="3">
        <v>195</v>
      </c>
    </row>
    <row r="197" spans="5:5" x14ac:dyDescent="0.2">
      <c r="E197" s="3">
        <v>196</v>
      </c>
    </row>
    <row r="198" spans="5:5" x14ac:dyDescent="0.2">
      <c r="E198" s="3">
        <v>197</v>
      </c>
    </row>
    <row r="199" spans="5:5" x14ac:dyDescent="0.2">
      <c r="E199" s="3">
        <v>198</v>
      </c>
    </row>
    <row r="200" spans="5:5" x14ac:dyDescent="0.2">
      <c r="E200" s="3">
        <v>199</v>
      </c>
    </row>
    <row r="201" spans="5:5" x14ac:dyDescent="0.2">
      <c r="E201" s="3">
        <v>200</v>
      </c>
    </row>
    <row r="202" spans="5:5" x14ac:dyDescent="0.2">
      <c r="E202" s="3">
        <v>201</v>
      </c>
    </row>
    <row r="203" spans="5:5" x14ac:dyDescent="0.2">
      <c r="E203" s="3">
        <v>202</v>
      </c>
    </row>
    <row r="204" spans="5:5" x14ac:dyDescent="0.2">
      <c r="E204" s="3">
        <v>203</v>
      </c>
    </row>
    <row r="205" spans="5:5" x14ac:dyDescent="0.2">
      <c r="E205" s="3">
        <v>204</v>
      </c>
    </row>
    <row r="206" spans="5:5" x14ac:dyDescent="0.2">
      <c r="E206" s="3">
        <v>205</v>
      </c>
    </row>
    <row r="207" spans="5:5" x14ac:dyDescent="0.2">
      <c r="E207" s="3">
        <v>206</v>
      </c>
    </row>
    <row r="208" spans="5:5" x14ac:dyDescent="0.2">
      <c r="E208" s="3">
        <v>207</v>
      </c>
    </row>
    <row r="209" spans="5:5" x14ac:dyDescent="0.2">
      <c r="E209" s="3">
        <v>208</v>
      </c>
    </row>
    <row r="210" spans="5:5" x14ac:dyDescent="0.2">
      <c r="E210" s="3">
        <v>209</v>
      </c>
    </row>
    <row r="211" spans="5:5" x14ac:dyDescent="0.2">
      <c r="E211" s="3">
        <v>210</v>
      </c>
    </row>
    <row r="212" spans="5:5" x14ac:dyDescent="0.2">
      <c r="E212" s="3">
        <v>211</v>
      </c>
    </row>
    <row r="213" spans="5:5" x14ac:dyDescent="0.2">
      <c r="E213" s="3">
        <v>212</v>
      </c>
    </row>
    <row r="214" spans="5:5" x14ac:dyDescent="0.2">
      <c r="E214" s="3">
        <v>213</v>
      </c>
    </row>
    <row r="215" spans="5:5" x14ac:dyDescent="0.2">
      <c r="E215" s="3">
        <v>214</v>
      </c>
    </row>
    <row r="216" spans="5:5" x14ac:dyDescent="0.2">
      <c r="E216" s="3">
        <v>215</v>
      </c>
    </row>
    <row r="217" spans="5:5" x14ac:dyDescent="0.2">
      <c r="E217" s="3">
        <v>216</v>
      </c>
    </row>
    <row r="218" spans="5:5" x14ac:dyDescent="0.2">
      <c r="E218" s="3">
        <v>217</v>
      </c>
    </row>
    <row r="219" spans="5:5" x14ac:dyDescent="0.2">
      <c r="E219" s="3">
        <v>218</v>
      </c>
    </row>
    <row r="220" spans="5:5" x14ac:dyDescent="0.2">
      <c r="E220" s="3">
        <v>219</v>
      </c>
    </row>
    <row r="221" spans="5:5" x14ac:dyDescent="0.2">
      <c r="E221" s="3">
        <v>220</v>
      </c>
    </row>
    <row r="222" spans="5:5" x14ac:dyDescent="0.2">
      <c r="E222" s="3">
        <v>221</v>
      </c>
    </row>
    <row r="223" spans="5:5" x14ac:dyDescent="0.2">
      <c r="E223" s="3">
        <v>222</v>
      </c>
    </row>
    <row r="224" spans="5:5" x14ac:dyDescent="0.2">
      <c r="E224" s="3">
        <v>223</v>
      </c>
    </row>
    <row r="225" spans="5:5" x14ac:dyDescent="0.2">
      <c r="E225" s="3">
        <v>224</v>
      </c>
    </row>
    <row r="226" spans="5:5" x14ac:dyDescent="0.2">
      <c r="E226" s="3">
        <v>225</v>
      </c>
    </row>
    <row r="227" spans="5:5" x14ac:dyDescent="0.2">
      <c r="E227" s="3">
        <v>226</v>
      </c>
    </row>
    <row r="228" spans="5:5" x14ac:dyDescent="0.2">
      <c r="E228" s="3">
        <v>227</v>
      </c>
    </row>
    <row r="229" spans="5:5" x14ac:dyDescent="0.2">
      <c r="E229" s="3">
        <v>228</v>
      </c>
    </row>
    <row r="230" spans="5:5" x14ac:dyDescent="0.2">
      <c r="E230" s="3">
        <v>229</v>
      </c>
    </row>
    <row r="231" spans="5:5" x14ac:dyDescent="0.2">
      <c r="E231" s="3">
        <v>230</v>
      </c>
    </row>
    <row r="232" spans="5:5" x14ac:dyDescent="0.2">
      <c r="E232" s="3">
        <v>231</v>
      </c>
    </row>
    <row r="233" spans="5:5" x14ac:dyDescent="0.2">
      <c r="E233" s="3">
        <v>232</v>
      </c>
    </row>
    <row r="234" spans="5:5" x14ac:dyDescent="0.2">
      <c r="E234" s="3">
        <v>233</v>
      </c>
    </row>
    <row r="235" spans="5:5" x14ac:dyDescent="0.2">
      <c r="E235" s="3">
        <v>234</v>
      </c>
    </row>
    <row r="236" spans="5:5" x14ac:dyDescent="0.2">
      <c r="E236" s="3">
        <v>235</v>
      </c>
    </row>
    <row r="237" spans="5:5" x14ac:dyDescent="0.2">
      <c r="E237" s="3">
        <v>236</v>
      </c>
    </row>
    <row r="238" spans="5:5" x14ac:dyDescent="0.2">
      <c r="E238" s="3">
        <v>237</v>
      </c>
    </row>
    <row r="239" spans="5:5" x14ac:dyDescent="0.2">
      <c r="E239" s="3">
        <v>238</v>
      </c>
    </row>
    <row r="240" spans="5:5" x14ac:dyDescent="0.2">
      <c r="E240" s="3">
        <v>239</v>
      </c>
    </row>
    <row r="241" spans="5:5" x14ac:dyDescent="0.2">
      <c r="E241" s="3">
        <v>240</v>
      </c>
    </row>
    <row r="242" spans="5:5" x14ac:dyDescent="0.2">
      <c r="E242" s="3">
        <v>241</v>
      </c>
    </row>
    <row r="243" spans="5:5" x14ac:dyDescent="0.2">
      <c r="E243" s="3">
        <v>242</v>
      </c>
    </row>
    <row r="244" spans="5:5" x14ac:dyDescent="0.2">
      <c r="E244" s="3">
        <v>243</v>
      </c>
    </row>
    <row r="245" spans="5:5" x14ac:dyDescent="0.2">
      <c r="E245" s="3">
        <v>244</v>
      </c>
    </row>
    <row r="246" spans="5:5" x14ac:dyDescent="0.2">
      <c r="E246" s="3">
        <v>245</v>
      </c>
    </row>
    <row r="247" spans="5:5" x14ac:dyDescent="0.2">
      <c r="E247" s="3">
        <v>246</v>
      </c>
    </row>
    <row r="248" spans="5:5" x14ac:dyDescent="0.2">
      <c r="E248" s="3">
        <v>247</v>
      </c>
    </row>
    <row r="249" spans="5:5" x14ac:dyDescent="0.2">
      <c r="E249" s="3">
        <v>248</v>
      </c>
    </row>
    <row r="250" spans="5:5" x14ac:dyDescent="0.2">
      <c r="E250" s="3">
        <v>249</v>
      </c>
    </row>
    <row r="251" spans="5:5" x14ac:dyDescent="0.2">
      <c r="E251" s="3">
        <v>250</v>
      </c>
    </row>
    <row r="252" spans="5:5" x14ac:dyDescent="0.2">
      <c r="E252" s="3">
        <v>251</v>
      </c>
    </row>
    <row r="253" spans="5:5" x14ac:dyDescent="0.2">
      <c r="E253" s="3">
        <v>252</v>
      </c>
    </row>
    <row r="254" spans="5:5" x14ac:dyDescent="0.2">
      <c r="E254" s="3">
        <v>253</v>
      </c>
    </row>
    <row r="255" spans="5:5" x14ac:dyDescent="0.2">
      <c r="E255" s="3">
        <v>254</v>
      </c>
    </row>
    <row r="256" spans="5:5" x14ac:dyDescent="0.2">
      <c r="E256" s="3">
        <v>255</v>
      </c>
    </row>
    <row r="257" spans="5:5" x14ac:dyDescent="0.2">
      <c r="E257" s="3">
        <v>256</v>
      </c>
    </row>
    <row r="258" spans="5:5" x14ac:dyDescent="0.2">
      <c r="E258" s="3">
        <v>257</v>
      </c>
    </row>
    <row r="259" spans="5:5" x14ac:dyDescent="0.2">
      <c r="E259" s="3">
        <v>258</v>
      </c>
    </row>
    <row r="260" spans="5:5" x14ac:dyDescent="0.2">
      <c r="E260" s="3">
        <v>259</v>
      </c>
    </row>
    <row r="261" spans="5:5" x14ac:dyDescent="0.2">
      <c r="E261" s="3">
        <v>260</v>
      </c>
    </row>
    <row r="262" spans="5:5" x14ac:dyDescent="0.2">
      <c r="E262" s="3">
        <v>261</v>
      </c>
    </row>
    <row r="263" spans="5:5" x14ac:dyDescent="0.2">
      <c r="E263" s="3">
        <v>262</v>
      </c>
    </row>
    <row r="264" spans="5:5" x14ac:dyDescent="0.2">
      <c r="E264" s="3">
        <v>263</v>
      </c>
    </row>
    <row r="265" spans="5:5" x14ac:dyDescent="0.2">
      <c r="E265" s="3">
        <v>264</v>
      </c>
    </row>
    <row r="266" spans="5:5" x14ac:dyDescent="0.2">
      <c r="E266" s="3">
        <v>265</v>
      </c>
    </row>
    <row r="267" spans="5:5" x14ac:dyDescent="0.2">
      <c r="E267" s="3">
        <v>266</v>
      </c>
    </row>
    <row r="268" spans="5:5" x14ac:dyDescent="0.2">
      <c r="E268" s="3">
        <v>267</v>
      </c>
    </row>
    <row r="269" spans="5:5" x14ac:dyDescent="0.2">
      <c r="E269" s="3">
        <v>268</v>
      </c>
    </row>
    <row r="270" spans="5:5" x14ac:dyDescent="0.2">
      <c r="E270" s="3">
        <v>269</v>
      </c>
    </row>
    <row r="271" spans="5:5" x14ac:dyDescent="0.2">
      <c r="E271" s="3">
        <v>270</v>
      </c>
    </row>
    <row r="272" spans="5:5" x14ac:dyDescent="0.2">
      <c r="E272" s="3">
        <v>271</v>
      </c>
    </row>
    <row r="273" spans="5:5" x14ac:dyDescent="0.2">
      <c r="E273" s="3">
        <v>272</v>
      </c>
    </row>
    <row r="274" spans="5:5" x14ac:dyDescent="0.2">
      <c r="E274" s="3">
        <v>273</v>
      </c>
    </row>
    <row r="275" spans="5:5" x14ac:dyDescent="0.2">
      <c r="E275" s="3">
        <v>274</v>
      </c>
    </row>
    <row r="276" spans="5:5" x14ac:dyDescent="0.2">
      <c r="E276" s="3">
        <v>275</v>
      </c>
    </row>
    <row r="277" spans="5:5" x14ac:dyDescent="0.2">
      <c r="E277" s="3">
        <v>276</v>
      </c>
    </row>
    <row r="278" spans="5:5" x14ac:dyDescent="0.2">
      <c r="E278" s="3">
        <v>277</v>
      </c>
    </row>
    <row r="279" spans="5:5" x14ac:dyDescent="0.2">
      <c r="E279" s="3">
        <v>278</v>
      </c>
    </row>
    <row r="280" spans="5:5" x14ac:dyDescent="0.2">
      <c r="E280" s="3">
        <v>279</v>
      </c>
    </row>
    <row r="281" spans="5:5" x14ac:dyDescent="0.2">
      <c r="E281" s="3">
        <v>280</v>
      </c>
    </row>
    <row r="282" spans="5:5" x14ac:dyDescent="0.2">
      <c r="E282" s="3">
        <v>281</v>
      </c>
    </row>
    <row r="283" spans="5:5" x14ac:dyDescent="0.2">
      <c r="E283" s="3">
        <v>282</v>
      </c>
    </row>
    <row r="284" spans="5:5" x14ac:dyDescent="0.2">
      <c r="E284" s="3">
        <v>283</v>
      </c>
    </row>
    <row r="285" spans="5:5" x14ac:dyDescent="0.2">
      <c r="E285" s="3">
        <v>284</v>
      </c>
    </row>
    <row r="286" spans="5:5" x14ac:dyDescent="0.2">
      <c r="E286" s="3">
        <v>285</v>
      </c>
    </row>
    <row r="287" spans="5:5" x14ac:dyDescent="0.2">
      <c r="E287" s="3">
        <v>286</v>
      </c>
    </row>
    <row r="288" spans="5:5" x14ac:dyDescent="0.2">
      <c r="E288" s="3">
        <v>287</v>
      </c>
    </row>
    <row r="289" spans="5:5" x14ac:dyDescent="0.2">
      <c r="E289" s="3">
        <v>288</v>
      </c>
    </row>
    <row r="290" spans="5:5" x14ac:dyDescent="0.2">
      <c r="E290" s="3">
        <v>289</v>
      </c>
    </row>
    <row r="291" spans="5:5" x14ac:dyDescent="0.2">
      <c r="E291" s="3">
        <v>290</v>
      </c>
    </row>
    <row r="292" spans="5:5" x14ac:dyDescent="0.2">
      <c r="E292" s="3">
        <v>291</v>
      </c>
    </row>
    <row r="293" spans="5:5" x14ac:dyDescent="0.2">
      <c r="E293" s="3">
        <v>292</v>
      </c>
    </row>
    <row r="294" spans="5:5" x14ac:dyDescent="0.2">
      <c r="E294" s="3">
        <v>293</v>
      </c>
    </row>
    <row r="295" spans="5:5" x14ac:dyDescent="0.2">
      <c r="E295" s="3">
        <v>294</v>
      </c>
    </row>
    <row r="296" spans="5:5" x14ac:dyDescent="0.2">
      <c r="E296" s="3">
        <v>295</v>
      </c>
    </row>
    <row r="297" spans="5:5" x14ac:dyDescent="0.2">
      <c r="E297" s="3">
        <v>296</v>
      </c>
    </row>
    <row r="298" spans="5:5" x14ac:dyDescent="0.2">
      <c r="E298" s="3">
        <v>297</v>
      </c>
    </row>
    <row r="299" spans="5:5" x14ac:dyDescent="0.2">
      <c r="E299" s="3">
        <v>298</v>
      </c>
    </row>
    <row r="300" spans="5:5" x14ac:dyDescent="0.2">
      <c r="E300" s="3">
        <v>299</v>
      </c>
    </row>
    <row r="301" spans="5:5" x14ac:dyDescent="0.2">
      <c r="E301" s="3">
        <v>300</v>
      </c>
    </row>
    <row r="302" spans="5:5" x14ac:dyDescent="0.2">
      <c r="E302" s="3">
        <v>301</v>
      </c>
    </row>
    <row r="303" spans="5:5" x14ac:dyDescent="0.2">
      <c r="E303" s="3">
        <v>302</v>
      </c>
    </row>
    <row r="304" spans="5:5" x14ac:dyDescent="0.2">
      <c r="E304" s="3">
        <v>303</v>
      </c>
    </row>
    <row r="305" spans="5:5" x14ac:dyDescent="0.2">
      <c r="E305" s="3">
        <v>304</v>
      </c>
    </row>
    <row r="306" spans="5:5" x14ac:dyDescent="0.2">
      <c r="E306" s="3">
        <v>305</v>
      </c>
    </row>
    <row r="307" spans="5:5" x14ac:dyDescent="0.2">
      <c r="E307" s="3">
        <v>306</v>
      </c>
    </row>
    <row r="308" spans="5:5" x14ac:dyDescent="0.2">
      <c r="E308" s="3">
        <v>307</v>
      </c>
    </row>
    <row r="309" spans="5:5" x14ac:dyDescent="0.2">
      <c r="E309" s="3">
        <v>308</v>
      </c>
    </row>
    <row r="310" spans="5:5" x14ac:dyDescent="0.2">
      <c r="E310" s="3">
        <v>309</v>
      </c>
    </row>
    <row r="311" spans="5:5" x14ac:dyDescent="0.2">
      <c r="E311" s="3">
        <v>310</v>
      </c>
    </row>
    <row r="312" spans="5:5" x14ac:dyDescent="0.2">
      <c r="E312" s="3">
        <v>311</v>
      </c>
    </row>
    <row r="313" spans="5:5" x14ac:dyDescent="0.2">
      <c r="E313" s="3">
        <v>312</v>
      </c>
    </row>
    <row r="314" spans="5:5" x14ac:dyDescent="0.2">
      <c r="E314" s="3">
        <v>313</v>
      </c>
    </row>
    <row r="315" spans="5:5" x14ac:dyDescent="0.2">
      <c r="E315" s="3">
        <v>314</v>
      </c>
    </row>
    <row r="316" spans="5:5" x14ac:dyDescent="0.2">
      <c r="E316" s="3">
        <v>315</v>
      </c>
    </row>
    <row r="317" spans="5:5" x14ac:dyDescent="0.2">
      <c r="E317" s="3">
        <v>316</v>
      </c>
    </row>
    <row r="318" spans="5:5" x14ac:dyDescent="0.2">
      <c r="E318" s="3">
        <v>317</v>
      </c>
    </row>
    <row r="319" spans="5:5" x14ac:dyDescent="0.2">
      <c r="E319" s="3">
        <v>318</v>
      </c>
    </row>
    <row r="320" spans="5:5" x14ac:dyDescent="0.2">
      <c r="E320" s="3">
        <v>319</v>
      </c>
    </row>
    <row r="321" spans="5:5" x14ac:dyDescent="0.2">
      <c r="E321" s="3">
        <v>320</v>
      </c>
    </row>
    <row r="322" spans="5:5" x14ac:dyDescent="0.2">
      <c r="E322" s="3">
        <v>321</v>
      </c>
    </row>
    <row r="323" spans="5:5" x14ac:dyDescent="0.2">
      <c r="E323" s="3">
        <v>322</v>
      </c>
    </row>
    <row r="324" spans="5:5" x14ac:dyDescent="0.2">
      <c r="E324" s="3">
        <v>323</v>
      </c>
    </row>
    <row r="325" spans="5:5" x14ac:dyDescent="0.2">
      <c r="E325" s="3">
        <v>324</v>
      </c>
    </row>
    <row r="326" spans="5:5" x14ac:dyDescent="0.2">
      <c r="E326" s="3">
        <v>325</v>
      </c>
    </row>
    <row r="327" spans="5:5" x14ac:dyDescent="0.2">
      <c r="E327" s="3">
        <v>326</v>
      </c>
    </row>
    <row r="328" spans="5:5" x14ac:dyDescent="0.2">
      <c r="E328" s="3">
        <v>327</v>
      </c>
    </row>
    <row r="329" spans="5:5" x14ac:dyDescent="0.2">
      <c r="E329" s="3">
        <v>328</v>
      </c>
    </row>
    <row r="330" spans="5:5" x14ac:dyDescent="0.2">
      <c r="E330" s="3">
        <v>329</v>
      </c>
    </row>
    <row r="331" spans="5:5" x14ac:dyDescent="0.2">
      <c r="E331" s="3">
        <v>330</v>
      </c>
    </row>
    <row r="332" spans="5:5" x14ac:dyDescent="0.2">
      <c r="E332" s="3">
        <v>331</v>
      </c>
    </row>
    <row r="333" spans="5:5" x14ac:dyDescent="0.2">
      <c r="E333" s="3">
        <v>332</v>
      </c>
    </row>
    <row r="334" spans="5:5" x14ac:dyDescent="0.2">
      <c r="E334" s="3">
        <v>333</v>
      </c>
    </row>
    <row r="335" spans="5:5" x14ac:dyDescent="0.2">
      <c r="E335" s="3">
        <v>334</v>
      </c>
    </row>
    <row r="336" spans="5:5" x14ac:dyDescent="0.2">
      <c r="E336" s="3">
        <v>335</v>
      </c>
    </row>
    <row r="337" spans="5:5" x14ac:dyDescent="0.2">
      <c r="E337" s="3">
        <v>336</v>
      </c>
    </row>
    <row r="338" spans="5:5" x14ac:dyDescent="0.2">
      <c r="E338" s="3">
        <v>337</v>
      </c>
    </row>
    <row r="339" spans="5:5" x14ac:dyDescent="0.2">
      <c r="E339" s="3">
        <v>338</v>
      </c>
    </row>
    <row r="340" spans="5:5" x14ac:dyDescent="0.2">
      <c r="E340" s="3">
        <v>339</v>
      </c>
    </row>
    <row r="341" spans="5:5" x14ac:dyDescent="0.2">
      <c r="E341" s="3">
        <v>340</v>
      </c>
    </row>
    <row r="342" spans="5:5" x14ac:dyDescent="0.2">
      <c r="E342" s="3">
        <v>341</v>
      </c>
    </row>
    <row r="343" spans="5:5" x14ac:dyDescent="0.2">
      <c r="E343" s="3">
        <v>342</v>
      </c>
    </row>
    <row r="344" spans="5:5" x14ac:dyDescent="0.2">
      <c r="E344" s="3">
        <v>343</v>
      </c>
    </row>
    <row r="345" spans="5:5" x14ac:dyDescent="0.2">
      <c r="E345" s="3">
        <v>344</v>
      </c>
    </row>
    <row r="346" spans="5:5" x14ac:dyDescent="0.2">
      <c r="E346" s="3">
        <v>345</v>
      </c>
    </row>
    <row r="347" spans="5:5" x14ac:dyDescent="0.2">
      <c r="E347" s="3">
        <v>346</v>
      </c>
    </row>
    <row r="348" spans="5:5" x14ac:dyDescent="0.2">
      <c r="E348" s="3">
        <v>347</v>
      </c>
    </row>
    <row r="349" spans="5:5" x14ac:dyDescent="0.2">
      <c r="E349" s="3">
        <v>348</v>
      </c>
    </row>
    <row r="350" spans="5:5" x14ac:dyDescent="0.2">
      <c r="E350" s="3">
        <v>349</v>
      </c>
    </row>
    <row r="351" spans="5:5" x14ac:dyDescent="0.2">
      <c r="E351" s="3">
        <v>350</v>
      </c>
    </row>
    <row r="352" spans="5:5" x14ac:dyDescent="0.2">
      <c r="E352" s="3">
        <v>351</v>
      </c>
    </row>
    <row r="353" spans="5:5" x14ac:dyDescent="0.2">
      <c r="E353" s="3">
        <v>352</v>
      </c>
    </row>
    <row r="354" spans="5:5" x14ac:dyDescent="0.2">
      <c r="E354" s="3">
        <v>353</v>
      </c>
    </row>
    <row r="355" spans="5:5" x14ac:dyDescent="0.2">
      <c r="E355" s="3">
        <v>354</v>
      </c>
    </row>
    <row r="356" spans="5:5" x14ac:dyDescent="0.2">
      <c r="E356" s="3">
        <v>355</v>
      </c>
    </row>
    <row r="357" spans="5:5" x14ac:dyDescent="0.2">
      <c r="E357" s="3">
        <v>356</v>
      </c>
    </row>
    <row r="358" spans="5:5" x14ac:dyDescent="0.2">
      <c r="E358" s="3">
        <v>357</v>
      </c>
    </row>
    <row r="359" spans="5:5" x14ac:dyDescent="0.2">
      <c r="E359" s="3">
        <v>358</v>
      </c>
    </row>
    <row r="360" spans="5:5" x14ac:dyDescent="0.2">
      <c r="E360" s="3">
        <v>359</v>
      </c>
    </row>
    <row r="361" spans="5:5" x14ac:dyDescent="0.2">
      <c r="E361" s="3">
        <v>360</v>
      </c>
    </row>
    <row r="362" spans="5:5" x14ac:dyDescent="0.2">
      <c r="E362" s="3">
        <v>361</v>
      </c>
    </row>
    <row r="363" spans="5:5" x14ac:dyDescent="0.2">
      <c r="E363" s="3">
        <v>362</v>
      </c>
    </row>
    <row r="364" spans="5:5" x14ac:dyDescent="0.2">
      <c r="E364" s="3">
        <v>363</v>
      </c>
    </row>
    <row r="365" spans="5:5" x14ac:dyDescent="0.2">
      <c r="E365" s="3">
        <v>364</v>
      </c>
    </row>
    <row r="366" spans="5:5" x14ac:dyDescent="0.2">
      <c r="E366" s="3">
        <v>365</v>
      </c>
    </row>
    <row r="367" spans="5:5" x14ac:dyDescent="0.2">
      <c r="E367" s="3">
        <v>366</v>
      </c>
    </row>
    <row r="368" spans="5:5" x14ac:dyDescent="0.2">
      <c r="E368" s="3">
        <v>367</v>
      </c>
    </row>
    <row r="369" spans="5:5" x14ac:dyDescent="0.2">
      <c r="E369" s="3">
        <v>368</v>
      </c>
    </row>
    <row r="370" spans="5:5" x14ac:dyDescent="0.2">
      <c r="E370" s="3">
        <v>369</v>
      </c>
    </row>
    <row r="371" spans="5:5" x14ac:dyDescent="0.2">
      <c r="E371" s="3">
        <v>370</v>
      </c>
    </row>
    <row r="372" spans="5:5" x14ac:dyDescent="0.2">
      <c r="E372" s="3">
        <v>371</v>
      </c>
    </row>
    <row r="373" spans="5:5" x14ac:dyDescent="0.2">
      <c r="E373" s="3">
        <v>372</v>
      </c>
    </row>
    <row r="374" spans="5:5" x14ac:dyDescent="0.2">
      <c r="E374" s="3">
        <v>373</v>
      </c>
    </row>
    <row r="375" spans="5:5" x14ac:dyDescent="0.2">
      <c r="E375" s="3">
        <v>374</v>
      </c>
    </row>
    <row r="376" spans="5:5" x14ac:dyDescent="0.2">
      <c r="E376" s="3">
        <v>375</v>
      </c>
    </row>
    <row r="377" spans="5:5" x14ac:dyDescent="0.2">
      <c r="E377" s="3">
        <v>376</v>
      </c>
    </row>
    <row r="378" spans="5:5" x14ac:dyDescent="0.2">
      <c r="E378" s="3">
        <v>377</v>
      </c>
    </row>
    <row r="379" spans="5:5" x14ac:dyDescent="0.2">
      <c r="E379" s="3">
        <v>378</v>
      </c>
    </row>
    <row r="380" spans="5:5" x14ac:dyDescent="0.2">
      <c r="E380" s="3">
        <v>379</v>
      </c>
    </row>
    <row r="381" spans="5:5" x14ac:dyDescent="0.2">
      <c r="E381" s="3">
        <v>380</v>
      </c>
    </row>
    <row r="382" spans="5:5" x14ac:dyDescent="0.2">
      <c r="E382" s="3">
        <v>381</v>
      </c>
    </row>
    <row r="383" spans="5:5" x14ac:dyDescent="0.2">
      <c r="E383" s="3">
        <v>382</v>
      </c>
    </row>
    <row r="384" spans="5:5" x14ac:dyDescent="0.2">
      <c r="E384" s="3">
        <v>383</v>
      </c>
    </row>
    <row r="385" spans="5:5" x14ac:dyDescent="0.2">
      <c r="E385" s="3">
        <v>384</v>
      </c>
    </row>
    <row r="386" spans="5:5" x14ac:dyDescent="0.2">
      <c r="E386" s="3">
        <v>385</v>
      </c>
    </row>
    <row r="387" spans="5:5" x14ac:dyDescent="0.2">
      <c r="E387" s="3">
        <v>386</v>
      </c>
    </row>
    <row r="388" spans="5:5" x14ac:dyDescent="0.2">
      <c r="E388" s="3">
        <v>387</v>
      </c>
    </row>
    <row r="389" spans="5:5" x14ac:dyDescent="0.2">
      <c r="E389" s="3">
        <v>388</v>
      </c>
    </row>
    <row r="390" spans="5:5" x14ac:dyDescent="0.2">
      <c r="E390" s="3">
        <v>389</v>
      </c>
    </row>
    <row r="391" spans="5:5" x14ac:dyDescent="0.2">
      <c r="E391" s="3">
        <v>390</v>
      </c>
    </row>
    <row r="392" spans="5:5" x14ac:dyDescent="0.2">
      <c r="E392" s="3">
        <v>391</v>
      </c>
    </row>
    <row r="393" spans="5:5" x14ac:dyDescent="0.2">
      <c r="E393" s="3">
        <v>392</v>
      </c>
    </row>
    <row r="394" spans="5:5" x14ac:dyDescent="0.2">
      <c r="E394" s="3">
        <v>393</v>
      </c>
    </row>
    <row r="395" spans="5:5" x14ac:dyDescent="0.2">
      <c r="E395" s="3">
        <v>394</v>
      </c>
    </row>
    <row r="396" spans="5:5" x14ac:dyDescent="0.2">
      <c r="E396" s="3">
        <v>395</v>
      </c>
    </row>
    <row r="397" spans="5:5" x14ac:dyDescent="0.2">
      <c r="E397" s="3">
        <v>396</v>
      </c>
    </row>
    <row r="398" spans="5:5" x14ac:dyDescent="0.2">
      <c r="E398" s="3">
        <v>397</v>
      </c>
    </row>
    <row r="399" spans="5:5" x14ac:dyDescent="0.2">
      <c r="E399" s="3">
        <v>398</v>
      </c>
    </row>
    <row r="400" spans="5:5" x14ac:dyDescent="0.2">
      <c r="E400" s="3">
        <v>399</v>
      </c>
    </row>
    <row r="401" spans="5:5" x14ac:dyDescent="0.2">
      <c r="E401" s="3">
        <v>400</v>
      </c>
    </row>
    <row r="402" spans="5:5" x14ac:dyDescent="0.2">
      <c r="E402" s="3">
        <v>401</v>
      </c>
    </row>
    <row r="403" spans="5:5" x14ac:dyDescent="0.2">
      <c r="E403" s="3">
        <v>402</v>
      </c>
    </row>
    <row r="404" spans="5:5" x14ac:dyDescent="0.2">
      <c r="E404" s="3">
        <v>403</v>
      </c>
    </row>
    <row r="405" spans="5:5" x14ac:dyDescent="0.2">
      <c r="E405" s="3">
        <v>404</v>
      </c>
    </row>
    <row r="406" spans="5:5" x14ac:dyDescent="0.2">
      <c r="E406" s="3">
        <v>405</v>
      </c>
    </row>
    <row r="407" spans="5:5" x14ac:dyDescent="0.2">
      <c r="E407" s="3">
        <v>406</v>
      </c>
    </row>
    <row r="408" spans="5:5" x14ac:dyDescent="0.2">
      <c r="E408" s="3">
        <v>407</v>
      </c>
    </row>
    <row r="409" spans="5:5" x14ac:dyDescent="0.2">
      <c r="E409" s="3">
        <v>408</v>
      </c>
    </row>
    <row r="410" spans="5:5" x14ac:dyDescent="0.2">
      <c r="E410" s="3">
        <v>409</v>
      </c>
    </row>
    <row r="411" spans="5:5" x14ac:dyDescent="0.2">
      <c r="E411" s="3">
        <v>410</v>
      </c>
    </row>
    <row r="412" spans="5:5" x14ac:dyDescent="0.2">
      <c r="E412" s="3">
        <v>411</v>
      </c>
    </row>
    <row r="413" spans="5:5" x14ac:dyDescent="0.2">
      <c r="E413" s="3">
        <v>412</v>
      </c>
    </row>
    <row r="414" spans="5:5" x14ac:dyDescent="0.2">
      <c r="E414" s="3">
        <v>413</v>
      </c>
    </row>
    <row r="415" spans="5:5" x14ac:dyDescent="0.2">
      <c r="E415" s="3">
        <v>414</v>
      </c>
    </row>
    <row r="416" spans="5:5" x14ac:dyDescent="0.2">
      <c r="E416" s="3">
        <v>415</v>
      </c>
    </row>
    <row r="417" spans="5:5" x14ac:dyDescent="0.2">
      <c r="E417" s="3">
        <v>416</v>
      </c>
    </row>
    <row r="418" spans="5:5" x14ac:dyDescent="0.2">
      <c r="E418" s="3">
        <v>417</v>
      </c>
    </row>
    <row r="419" spans="5:5" x14ac:dyDescent="0.2">
      <c r="E419" s="3">
        <v>418</v>
      </c>
    </row>
    <row r="420" spans="5:5" x14ac:dyDescent="0.2">
      <c r="E420" s="3">
        <v>419</v>
      </c>
    </row>
    <row r="421" spans="5:5" x14ac:dyDescent="0.2">
      <c r="E421" s="3">
        <v>420</v>
      </c>
    </row>
    <row r="422" spans="5:5" x14ac:dyDescent="0.2">
      <c r="E422" s="3">
        <v>421</v>
      </c>
    </row>
    <row r="423" spans="5:5" x14ac:dyDescent="0.2">
      <c r="E423" s="3">
        <v>422</v>
      </c>
    </row>
    <row r="424" spans="5:5" x14ac:dyDescent="0.2">
      <c r="E424" s="3">
        <v>423</v>
      </c>
    </row>
    <row r="425" spans="5:5" x14ac:dyDescent="0.2">
      <c r="E425" s="3">
        <v>424</v>
      </c>
    </row>
    <row r="426" spans="5:5" x14ac:dyDescent="0.2">
      <c r="E426" s="3">
        <v>425</v>
      </c>
    </row>
    <row r="427" spans="5:5" x14ac:dyDescent="0.2">
      <c r="E427" s="3">
        <v>426</v>
      </c>
    </row>
    <row r="428" spans="5:5" x14ac:dyDescent="0.2">
      <c r="E428" s="3">
        <v>427</v>
      </c>
    </row>
    <row r="429" spans="5:5" x14ac:dyDescent="0.2">
      <c r="E429" s="3">
        <v>428</v>
      </c>
    </row>
    <row r="430" spans="5:5" x14ac:dyDescent="0.2">
      <c r="E430" s="3">
        <v>429</v>
      </c>
    </row>
    <row r="431" spans="5:5" x14ac:dyDescent="0.2">
      <c r="E431" s="3">
        <v>430</v>
      </c>
    </row>
    <row r="432" spans="5:5" x14ac:dyDescent="0.2">
      <c r="E432" s="3">
        <v>431</v>
      </c>
    </row>
    <row r="433" spans="5:5" x14ac:dyDescent="0.2">
      <c r="E433" s="3">
        <v>432</v>
      </c>
    </row>
    <row r="434" spans="5:5" x14ac:dyDescent="0.2">
      <c r="E434" s="3">
        <v>433</v>
      </c>
    </row>
    <row r="435" spans="5:5" x14ac:dyDescent="0.2">
      <c r="E435" s="3">
        <v>434</v>
      </c>
    </row>
    <row r="436" spans="5:5" x14ac:dyDescent="0.2">
      <c r="E436" s="3">
        <v>435</v>
      </c>
    </row>
    <row r="437" spans="5:5" x14ac:dyDescent="0.2">
      <c r="E437" s="3">
        <v>436</v>
      </c>
    </row>
    <row r="438" spans="5:5" x14ac:dyDescent="0.2">
      <c r="E438" s="3">
        <v>437</v>
      </c>
    </row>
    <row r="439" spans="5:5" x14ac:dyDescent="0.2">
      <c r="E439" s="3">
        <v>438</v>
      </c>
    </row>
    <row r="440" spans="5:5" x14ac:dyDescent="0.2">
      <c r="E440" s="3">
        <v>439</v>
      </c>
    </row>
    <row r="441" spans="5:5" x14ac:dyDescent="0.2">
      <c r="E441" s="3">
        <v>440</v>
      </c>
    </row>
    <row r="442" spans="5:5" x14ac:dyDescent="0.2">
      <c r="E442" s="3">
        <v>441</v>
      </c>
    </row>
    <row r="443" spans="5:5" x14ac:dyDescent="0.2">
      <c r="E443" s="3">
        <v>442</v>
      </c>
    </row>
    <row r="444" spans="5:5" x14ac:dyDescent="0.2">
      <c r="E444" s="3">
        <v>443</v>
      </c>
    </row>
    <row r="445" spans="5:5" x14ac:dyDescent="0.2">
      <c r="E445" s="3">
        <v>444</v>
      </c>
    </row>
    <row r="446" spans="5:5" x14ac:dyDescent="0.2">
      <c r="E446" s="3">
        <v>445</v>
      </c>
    </row>
    <row r="447" spans="5:5" x14ac:dyDescent="0.2">
      <c r="E447" s="3">
        <v>446</v>
      </c>
    </row>
    <row r="448" spans="5:5" x14ac:dyDescent="0.2">
      <c r="E448" s="3">
        <v>447</v>
      </c>
    </row>
    <row r="449" spans="5:5" x14ac:dyDescent="0.2">
      <c r="E449" s="3">
        <v>448</v>
      </c>
    </row>
    <row r="450" spans="5:5" x14ac:dyDescent="0.2">
      <c r="E450" s="3">
        <v>449</v>
      </c>
    </row>
    <row r="451" spans="5:5" x14ac:dyDescent="0.2">
      <c r="E451" s="3">
        <v>450</v>
      </c>
    </row>
    <row r="452" spans="5:5" x14ac:dyDescent="0.2">
      <c r="E452" s="3">
        <v>451</v>
      </c>
    </row>
    <row r="453" spans="5:5" x14ac:dyDescent="0.2">
      <c r="E453" s="3">
        <v>452</v>
      </c>
    </row>
    <row r="454" spans="5:5" x14ac:dyDescent="0.2">
      <c r="E454" s="3">
        <v>453</v>
      </c>
    </row>
    <row r="455" spans="5:5" x14ac:dyDescent="0.2">
      <c r="E455" s="3">
        <v>454</v>
      </c>
    </row>
    <row r="456" spans="5:5" x14ac:dyDescent="0.2">
      <c r="E456" s="3">
        <v>455</v>
      </c>
    </row>
    <row r="457" spans="5:5" x14ac:dyDescent="0.2">
      <c r="E457" s="3">
        <v>456</v>
      </c>
    </row>
    <row r="458" spans="5:5" x14ac:dyDescent="0.2">
      <c r="E458" s="3">
        <v>457</v>
      </c>
    </row>
    <row r="459" spans="5:5" x14ac:dyDescent="0.2">
      <c r="E459" s="3">
        <v>458</v>
      </c>
    </row>
    <row r="460" spans="5:5" x14ac:dyDescent="0.2">
      <c r="E460" s="3">
        <v>459</v>
      </c>
    </row>
    <row r="461" spans="5:5" x14ac:dyDescent="0.2">
      <c r="E461" s="3">
        <v>460</v>
      </c>
    </row>
    <row r="462" spans="5:5" x14ac:dyDescent="0.2">
      <c r="E462" s="3">
        <v>461</v>
      </c>
    </row>
    <row r="463" spans="5:5" x14ac:dyDescent="0.2">
      <c r="E463" s="3">
        <v>462</v>
      </c>
    </row>
    <row r="464" spans="5:5" x14ac:dyDescent="0.2">
      <c r="E464" s="3">
        <v>463</v>
      </c>
    </row>
    <row r="465" spans="5:5" x14ac:dyDescent="0.2">
      <c r="E465" s="3">
        <v>464</v>
      </c>
    </row>
    <row r="466" spans="5:5" x14ac:dyDescent="0.2">
      <c r="E466" s="3">
        <v>465</v>
      </c>
    </row>
    <row r="467" spans="5:5" x14ac:dyDescent="0.2">
      <c r="E467" s="3">
        <v>466</v>
      </c>
    </row>
    <row r="468" spans="5:5" x14ac:dyDescent="0.2">
      <c r="E468" s="3">
        <v>467</v>
      </c>
    </row>
    <row r="469" spans="5:5" x14ac:dyDescent="0.2">
      <c r="E469" s="3">
        <v>468</v>
      </c>
    </row>
    <row r="470" spans="5:5" x14ac:dyDescent="0.2">
      <c r="E470" s="3">
        <v>469</v>
      </c>
    </row>
    <row r="471" spans="5:5" x14ac:dyDescent="0.2">
      <c r="E471" s="3">
        <v>470</v>
      </c>
    </row>
    <row r="472" spans="5:5" x14ac:dyDescent="0.2">
      <c r="E472" s="3">
        <v>471</v>
      </c>
    </row>
    <row r="473" spans="5:5" x14ac:dyDescent="0.2">
      <c r="E473" s="3">
        <v>472</v>
      </c>
    </row>
    <row r="474" spans="5:5" x14ac:dyDescent="0.2">
      <c r="E474" s="3">
        <v>473</v>
      </c>
    </row>
    <row r="475" spans="5:5" x14ac:dyDescent="0.2">
      <c r="E475" s="3">
        <v>474</v>
      </c>
    </row>
    <row r="476" spans="5:5" x14ac:dyDescent="0.2">
      <c r="E476" s="3">
        <v>475</v>
      </c>
    </row>
    <row r="477" spans="5:5" x14ac:dyDescent="0.2">
      <c r="E477" s="3">
        <v>476</v>
      </c>
    </row>
    <row r="478" spans="5:5" x14ac:dyDescent="0.2">
      <c r="E478" s="3">
        <v>477</v>
      </c>
    </row>
    <row r="479" spans="5:5" x14ac:dyDescent="0.2">
      <c r="E479" s="3">
        <v>478</v>
      </c>
    </row>
    <row r="480" spans="5:5" x14ac:dyDescent="0.2">
      <c r="E480" s="3">
        <v>479</v>
      </c>
    </row>
    <row r="481" spans="5:5" x14ac:dyDescent="0.2">
      <c r="E481" s="3">
        <v>480</v>
      </c>
    </row>
    <row r="482" spans="5:5" x14ac:dyDescent="0.2">
      <c r="E482" s="3">
        <v>481</v>
      </c>
    </row>
    <row r="483" spans="5:5" x14ac:dyDescent="0.2">
      <c r="E483" s="3">
        <v>482</v>
      </c>
    </row>
    <row r="484" spans="5:5" x14ac:dyDescent="0.2">
      <c r="E484" s="3">
        <v>483</v>
      </c>
    </row>
    <row r="485" spans="5:5" x14ac:dyDescent="0.2">
      <c r="E485" s="3">
        <v>484</v>
      </c>
    </row>
    <row r="486" spans="5:5" x14ac:dyDescent="0.2">
      <c r="E486" s="3">
        <v>485</v>
      </c>
    </row>
    <row r="487" spans="5:5" x14ac:dyDescent="0.2">
      <c r="E487" s="3">
        <v>486</v>
      </c>
    </row>
    <row r="488" spans="5:5" x14ac:dyDescent="0.2">
      <c r="E488" s="3">
        <v>487</v>
      </c>
    </row>
    <row r="489" spans="5:5" x14ac:dyDescent="0.2">
      <c r="E489" s="3">
        <v>488</v>
      </c>
    </row>
    <row r="490" spans="5:5" x14ac:dyDescent="0.2">
      <c r="E490" s="3">
        <v>489</v>
      </c>
    </row>
    <row r="491" spans="5:5" x14ac:dyDescent="0.2">
      <c r="E491" s="3">
        <v>490</v>
      </c>
    </row>
    <row r="492" spans="5:5" x14ac:dyDescent="0.2">
      <c r="E492" s="3">
        <v>491</v>
      </c>
    </row>
    <row r="493" spans="5:5" x14ac:dyDescent="0.2">
      <c r="E493" s="3">
        <v>492</v>
      </c>
    </row>
    <row r="494" spans="5:5" x14ac:dyDescent="0.2">
      <c r="E494" s="3">
        <v>493</v>
      </c>
    </row>
    <row r="495" spans="5:5" x14ac:dyDescent="0.2">
      <c r="E495" s="3">
        <v>494</v>
      </c>
    </row>
    <row r="496" spans="5:5" x14ac:dyDescent="0.2">
      <c r="E496" s="3">
        <v>495</v>
      </c>
    </row>
    <row r="497" spans="5:5" x14ac:dyDescent="0.2">
      <c r="E497" s="3">
        <v>496</v>
      </c>
    </row>
    <row r="498" spans="5:5" x14ac:dyDescent="0.2">
      <c r="E498" s="3">
        <v>497</v>
      </c>
    </row>
    <row r="499" spans="5:5" x14ac:dyDescent="0.2">
      <c r="E499" s="3">
        <v>498</v>
      </c>
    </row>
    <row r="500" spans="5:5" x14ac:dyDescent="0.2">
      <c r="E500" s="3">
        <v>499</v>
      </c>
    </row>
    <row r="501" spans="5:5" x14ac:dyDescent="0.2">
      <c r="E501" s="3">
        <v>500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RESERVAS</vt:lpstr>
      <vt:lpstr>BBDD</vt:lpstr>
      <vt:lpstr>CHECK-IN</vt:lpstr>
      <vt:lpstr>COBRANZA</vt:lpstr>
      <vt:lpstr>EJEMPLO JIP</vt:lpstr>
      <vt:lpstr>Pricing</vt:lpstr>
      <vt:lpstr>precio</vt:lpstr>
      <vt:lpstr>Mantenedor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Icaza</dc:creator>
  <cp:lastModifiedBy>Javier Icaza</cp:lastModifiedBy>
  <dcterms:created xsi:type="dcterms:W3CDTF">2025-09-29T16:19:36Z</dcterms:created>
  <dcterms:modified xsi:type="dcterms:W3CDTF">2025-10-01T17:58:28Z</dcterms:modified>
</cp:coreProperties>
</file>