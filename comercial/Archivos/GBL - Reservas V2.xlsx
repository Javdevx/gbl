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bycosoi/Desktop/Astral/GBL/"/>
    </mc:Choice>
  </mc:AlternateContent>
  <xr:revisionPtr revIDLastSave="0" documentId="13_ncr:2001_{9BECA297-1FF1-564D-A03F-B9B5961AEFD0}" xr6:coauthVersionLast="47" xr6:coauthVersionMax="47" xr10:uidLastSave="{00000000-0000-0000-0000-000000000000}"/>
  <bookViews>
    <workbookView xWindow="0" yWindow="760" windowWidth="30240" windowHeight="18880" xr2:uid="{83230171-FEBA-8842-A93C-948179B72872}"/>
  </bookViews>
  <sheets>
    <sheet name="Pesca Nacional" sheetId="1" r:id="rId1"/>
    <sheet name="Mantenedor" sheetId="2" r:id="rId2"/>
    <sheet name="Políticas" sheetId="4" r:id="rId3"/>
    <sheet name="Pricing" sheetId="3" r:id="rId4"/>
  </sheets>
  <definedNames>
    <definedName name="_xlnm._FilterDatabase" localSheetId="0" hidden="1">'Pesca Nacional'!$A$3:$AW$1003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 a="1"/>
  <c r="N6" i="1" s="1"/>
  <c r="N5" i="1" a="1"/>
  <c r="N5" i="1" s="1"/>
  <c r="N4" i="1" a="1"/>
  <c r="N4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275" i="1" a="1"/>
  <c r="A275" i="1" s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 s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 s="1"/>
  <c r="A438" i="1" a="1"/>
  <c r="A438" i="1" s="1"/>
  <c r="A439" i="1" a="1"/>
  <c r="A439" i="1" s="1"/>
  <c r="A440" i="1" a="1"/>
  <c r="A440" i="1" s="1"/>
  <c r="A441" i="1" a="1"/>
  <c r="A441" i="1" s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 s="1"/>
  <c r="A469" i="1" a="1"/>
  <c r="A469" i="1" s="1"/>
  <c r="A470" i="1" a="1"/>
  <c r="A470" i="1" s="1"/>
  <c r="A471" i="1" a="1"/>
  <c r="A471" i="1" s="1"/>
  <c r="A472" i="1" a="1"/>
  <c r="A472" i="1" s="1"/>
  <c r="A473" i="1" a="1"/>
  <c r="A473" i="1" s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 s="1"/>
  <c r="A556" i="1" a="1"/>
  <c r="A556" i="1" s="1"/>
  <c r="A557" i="1" a="1"/>
  <c r="A557" i="1" s="1"/>
  <c r="A558" i="1" a="1"/>
  <c r="A558" i="1" s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 s="1"/>
  <c r="A565" i="1" a="1"/>
  <c r="A565" i="1" s="1"/>
  <c r="A566" i="1" a="1"/>
  <c r="A566" i="1" s="1"/>
  <c r="A567" i="1" a="1"/>
  <c r="A567" i="1" s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 s="1"/>
  <c r="A577" i="1" a="1"/>
  <c r="A577" i="1" s="1"/>
  <c r="A578" i="1" a="1"/>
  <c r="A578" i="1" s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 s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 s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 s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 s="1"/>
  <c r="A611" i="1" a="1"/>
  <c r="A611" i="1" s="1"/>
  <c r="A612" i="1" a="1"/>
  <c r="A612" i="1" s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 s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 s="1"/>
  <c r="A627" i="1" a="1"/>
  <c r="A627" i="1" s="1"/>
  <c r="A628" i="1" a="1"/>
  <c r="A628" i="1" s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 s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 s="1"/>
  <c r="A643" i="1" a="1"/>
  <c r="A643" i="1" s="1"/>
  <c r="A644" i="1" a="1"/>
  <c r="A644" i="1" s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 s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 s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 s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 s="1"/>
  <c r="A675" i="1" a="1"/>
  <c r="A675" i="1" s="1"/>
  <c r="A676" i="1" a="1"/>
  <c r="A676" i="1" s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 s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 s="1"/>
  <c r="A691" i="1" a="1"/>
  <c r="A691" i="1" s="1"/>
  <c r="A692" i="1" a="1"/>
  <c r="A692" i="1" s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 s="1"/>
  <c r="A699" i="1" a="1"/>
  <c r="A699" i="1" s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 s="1"/>
  <c r="A707" i="1" a="1"/>
  <c r="A707" i="1" s="1"/>
  <c r="A708" i="1" a="1"/>
  <c r="A708" i="1" s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 s="1"/>
  <c r="A716" i="1" a="1"/>
  <c r="A716" i="1" s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 s="1"/>
  <c r="A723" i="1" a="1"/>
  <c r="A723" i="1" s="1"/>
  <c r="A724" i="1" a="1"/>
  <c r="A724" i="1" s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 s="1"/>
  <c r="A731" i="1" a="1"/>
  <c r="A731" i="1" s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 s="1"/>
  <c r="A739" i="1" a="1"/>
  <c r="A739" i="1" s="1"/>
  <c r="A740" i="1" a="1"/>
  <c r="A740" i="1" s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 s="1"/>
  <c r="A748" i="1" a="1"/>
  <c r="A748" i="1" s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 s="1"/>
  <c r="A755" i="1" a="1"/>
  <c r="A755" i="1" s="1"/>
  <c r="A756" i="1" a="1"/>
  <c r="A756" i="1" s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 s="1"/>
  <c r="A763" i="1" a="1"/>
  <c r="A763" i="1" s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 s="1"/>
  <c r="A771" i="1" a="1"/>
  <c r="A771" i="1" s="1"/>
  <c r="A772" i="1" a="1"/>
  <c r="A772" i="1" s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 s="1"/>
  <c r="A780" i="1" a="1"/>
  <c r="A780" i="1" s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B1003" i="1"/>
  <c r="W1003" i="1"/>
  <c r="X1003" i="1" s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1002" i="1"/>
  <c r="BS1003" i="1"/>
  <c r="BS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4" i="1"/>
  <c r="V5" i="1"/>
  <c r="V6" i="1"/>
  <c r="V7" i="1"/>
  <c r="V8" i="1"/>
  <c r="V9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" i="1"/>
  <c r="V11" i="1"/>
  <c r="V4" i="1"/>
  <c r="P1002" i="1"/>
  <c r="I1002" i="1"/>
  <c r="BR1002" i="1"/>
  <c r="J1002" i="1" s="1"/>
  <c r="Q1002" i="1" s="1"/>
  <c r="R1002" i="1" s="1"/>
  <c r="P1001" i="1"/>
  <c r="I1001" i="1"/>
  <c r="BR1001" i="1"/>
  <c r="J1001" i="1" s="1"/>
  <c r="P1000" i="1"/>
  <c r="I1000" i="1"/>
  <c r="BR1000" i="1"/>
  <c r="J1000" i="1" s="1"/>
  <c r="Q1000" i="1" s="1"/>
  <c r="R1000" i="1" s="1"/>
  <c r="Z1000" i="1" s="1"/>
  <c r="AB1000" i="1" s="1"/>
  <c r="P999" i="1"/>
  <c r="I999" i="1"/>
  <c r="BR999" i="1"/>
  <c r="J999" i="1" s="1"/>
  <c r="N999" i="1" s="1" a="1"/>
  <c r="N999" i="1" s="1"/>
  <c r="P998" i="1"/>
  <c r="I998" i="1"/>
  <c r="BR998" i="1"/>
  <c r="J998" i="1" s="1"/>
  <c r="Q998" i="1" s="1"/>
  <c r="R998" i="1" s="1"/>
  <c r="P997" i="1"/>
  <c r="I997" i="1"/>
  <c r="BR997" i="1"/>
  <c r="J997" i="1" s="1"/>
  <c r="Q997" i="1" s="1"/>
  <c r="R997" i="1" s="1"/>
  <c r="Z997" i="1" s="1"/>
  <c r="AB997" i="1" s="1"/>
  <c r="P996" i="1"/>
  <c r="I996" i="1"/>
  <c r="BR996" i="1"/>
  <c r="J996" i="1" s="1"/>
  <c r="P995" i="1"/>
  <c r="I995" i="1"/>
  <c r="BR995" i="1"/>
  <c r="J995" i="1" s="1"/>
  <c r="Q995" i="1" s="1"/>
  <c r="R995" i="1" s="1"/>
  <c r="P994" i="1"/>
  <c r="I994" i="1"/>
  <c r="BR994" i="1"/>
  <c r="J994" i="1" s="1"/>
  <c r="P993" i="1"/>
  <c r="I993" i="1"/>
  <c r="BR993" i="1"/>
  <c r="J993" i="1" s="1"/>
  <c r="P992" i="1"/>
  <c r="I992" i="1"/>
  <c r="BR992" i="1"/>
  <c r="J992" i="1" s="1"/>
  <c r="P991" i="1"/>
  <c r="I991" i="1"/>
  <c r="BR991" i="1"/>
  <c r="J991" i="1" s="1"/>
  <c r="P990" i="1"/>
  <c r="I990" i="1"/>
  <c r="BR990" i="1"/>
  <c r="J990" i="1" s="1"/>
  <c r="P989" i="1"/>
  <c r="I989" i="1"/>
  <c r="BR989" i="1"/>
  <c r="J989" i="1" s="1"/>
  <c r="N989" i="1" s="1" a="1"/>
  <c r="N989" i="1" s="1"/>
  <c r="P988" i="1"/>
  <c r="I988" i="1"/>
  <c r="BR988" i="1"/>
  <c r="J988" i="1" s="1"/>
  <c r="P987" i="1"/>
  <c r="I987" i="1"/>
  <c r="BR987" i="1"/>
  <c r="J987" i="1" s="1"/>
  <c r="P986" i="1"/>
  <c r="I986" i="1"/>
  <c r="BR986" i="1"/>
  <c r="J986" i="1" s="1"/>
  <c r="N986" i="1" s="1" a="1"/>
  <c r="N986" i="1" s="1"/>
  <c r="P985" i="1"/>
  <c r="I985" i="1"/>
  <c r="BR985" i="1"/>
  <c r="J985" i="1" s="1"/>
  <c r="P984" i="1"/>
  <c r="I984" i="1"/>
  <c r="BR984" i="1"/>
  <c r="J984" i="1" s="1"/>
  <c r="Q984" i="1" s="1"/>
  <c r="R984" i="1" s="1"/>
  <c r="Z984" i="1" s="1"/>
  <c r="P983" i="1"/>
  <c r="I983" i="1"/>
  <c r="BR983" i="1"/>
  <c r="J983" i="1" s="1"/>
  <c r="P982" i="1"/>
  <c r="I982" i="1"/>
  <c r="BR982" i="1"/>
  <c r="J982" i="1" s="1"/>
  <c r="P981" i="1"/>
  <c r="I981" i="1"/>
  <c r="BR981" i="1"/>
  <c r="J981" i="1" s="1"/>
  <c r="P980" i="1"/>
  <c r="I980" i="1"/>
  <c r="BR980" i="1"/>
  <c r="J980" i="1" s="1"/>
  <c r="P979" i="1"/>
  <c r="I979" i="1"/>
  <c r="BR979" i="1"/>
  <c r="J979" i="1" s="1"/>
  <c r="Q979" i="1" s="1"/>
  <c r="R979" i="1" s="1"/>
  <c r="Z979" i="1" s="1"/>
  <c r="P978" i="1"/>
  <c r="I978" i="1"/>
  <c r="BR978" i="1"/>
  <c r="J978" i="1" s="1"/>
  <c r="P977" i="1"/>
  <c r="I977" i="1"/>
  <c r="BR977" i="1"/>
  <c r="J977" i="1" s="1"/>
  <c r="N977" i="1" s="1" a="1"/>
  <c r="N977" i="1" s="1"/>
  <c r="P976" i="1"/>
  <c r="I976" i="1"/>
  <c r="BR976" i="1"/>
  <c r="J976" i="1" s="1"/>
  <c r="P975" i="1"/>
  <c r="I975" i="1"/>
  <c r="BR975" i="1"/>
  <c r="J975" i="1" s="1"/>
  <c r="P974" i="1"/>
  <c r="I974" i="1"/>
  <c r="BR974" i="1"/>
  <c r="J974" i="1" s="1"/>
  <c r="P973" i="1"/>
  <c r="I973" i="1"/>
  <c r="BR973" i="1"/>
  <c r="J973" i="1" s="1"/>
  <c r="Q973" i="1" s="1"/>
  <c r="R973" i="1" s="1"/>
  <c r="P972" i="1"/>
  <c r="I972" i="1"/>
  <c r="BR972" i="1"/>
  <c r="J972" i="1" s="1"/>
  <c r="N972" i="1" s="1" a="1"/>
  <c r="N972" i="1" s="1"/>
  <c r="P971" i="1"/>
  <c r="I971" i="1"/>
  <c r="BR971" i="1"/>
  <c r="J971" i="1" s="1"/>
  <c r="P970" i="1"/>
  <c r="I970" i="1"/>
  <c r="BR970" i="1"/>
  <c r="J970" i="1" s="1"/>
  <c r="P969" i="1"/>
  <c r="I969" i="1"/>
  <c r="BR969" i="1"/>
  <c r="J969" i="1" s="1"/>
  <c r="P968" i="1"/>
  <c r="I968" i="1"/>
  <c r="BR968" i="1"/>
  <c r="J968" i="1" s="1"/>
  <c r="P967" i="1"/>
  <c r="I967" i="1"/>
  <c r="BR967" i="1"/>
  <c r="J967" i="1" s="1"/>
  <c r="P966" i="1"/>
  <c r="I966" i="1"/>
  <c r="BR966" i="1"/>
  <c r="J966" i="1" s="1"/>
  <c r="N966" i="1" s="1" a="1"/>
  <c r="N966" i="1" s="1"/>
  <c r="P965" i="1"/>
  <c r="I965" i="1"/>
  <c r="BR965" i="1"/>
  <c r="J965" i="1" s="1"/>
  <c r="Q965" i="1" s="1"/>
  <c r="R965" i="1" s="1"/>
  <c r="Z965" i="1" s="1"/>
  <c r="AB965" i="1" s="1"/>
  <c r="P964" i="1"/>
  <c r="I964" i="1"/>
  <c r="BR964" i="1"/>
  <c r="J964" i="1" s="1"/>
  <c r="P963" i="1"/>
  <c r="I963" i="1"/>
  <c r="BR963" i="1"/>
  <c r="J963" i="1" s="1"/>
  <c r="N963" i="1" s="1" a="1"/>
  <c r="N963" i="1" s="1"/>
  <c r="P962" i="1"/>
  <c r="I962" i="1"/>
  <c r="BR962" i="1"/>
  <c r="J962" i="1" s="1"/>
  <c r="P961" i="1"/>
  <c r="I961" i="1"/>
  <c r="BR961" i="1"/>
  <c r="J961" i="1" s="1"/>
  <c r="N961" i="1" s="1" a="1"/>
  <c r="N961" i="1" s="1"/>
  <c r="P960" i="1"/>
  <c r="I960" i="1"/>
  <c r="BR960" i="1"/>
  <c r="J960" i="1" s="1"/>
  <c r="N960" i="1" s="1" a="1"/>
  <c r="N960" i="1" s="1"/>
  <c r="P959" i="1"/>
  <c r="I959" i="1"/>
  <c r="BR959" i="1"/>
  <c r="J959" i="1" s="1"/>
  <c r="P958" i="1"/>
  <c r="I958" i="1"/>
  <c r="BR958" i="1"/>
  <c r="J958" i="1" s="1"/>
  <c r="P957" i="1"/>
  <c r="I957" i="1"/>
  <c r="BR957" i="1"/>
  <c r="J957" i="1" s="1"/>
  <c r="P956" i="1"/>
  <c r="I956" i="1"/>
  <c r="BR956" i="1"/>
  <c r="J956" i="1" s="1"/>
  <c r="N956" i="1" s="1" a="1"/>
  <c r="N956" i="1" s="1"/>
  <c r="P955" i="1"/>
  <c r="I955" i="1"/>
  <c r="BR955" i="1"/>
  <c r="J955" i="1" s="1"/>
  <c r="Q955" i="1" s="1"/>
  <c r="R955" i="1" s="1"/>
  <c r="Z955" i="1" s="1"/>
  <c r="AB955" i="1" s="1"/>
  <c r="P954" i="1"/>
  <c r="I954" i="1"/>
  <c r="BR954" i="1"/>
  <c r="J954" i="1" s="1"/>
  <c r="P953" i="1"/>
  <c r="I953" i="1"/>
  <c r="BR953" i="1"/>
  <c r="J953" i="1" s="1"/>
  <c r="P952" i="1"/>
  <c r="I952" i="1"/>
  <c r="BR952" i="1"/>
  <c r="J952" i="1" s="1"/>
  <c r="P951" i="1"/>
  <c r="I951" i="1"/>
  <c r="BR951" i="1"/>
  <c r="J951" i="1" s="1"/>
  <c r="P950" i="1"/>
  <c r="I950" i="1"/>
  <c r="BR950" i="1"/>
  <c r="J950" i="1" s="1"/>
  <c r="P949" i="1"/>
  <c r="I949" i="1"/>
  <c r="BR949" i="1"/>
  <c r="J949" i="1" s="1"/>
  <c r="N949" i="1" s="1" a="1"/>
  <c r="N949" i="1" s="1"/>
  <c r="P948" i="1"/>
  <c r="I948" i="1"/>
  <c r="BR948" i="1"/>
  <c r="J948" i="1" s="1"/>
  <c r="P947" i="1"/>
  <c r="I947" i="1"/>
  <c r="BR947" i="1"/>
  <c r="J947" i="1" s="1"/>
  <c r="P946" i="1"/>
  <c r="I946" i="1"/>
  <c r="BR946" i="1"/>
  <c r="J946" i="1" s="1"/>
  <c r="P945" i="1"/>
  <c r="I945" i="1"/>
  <c r="BR945" i="1"/>
  <c r="J945" i="1" s="1"/>
  <c r="N945" i="1" s="1" a="1"/>
  <c r="N945" i="1" s="1"/>
  <c r="P944" i="1"/>
  <c r="I944" i="1"/>
  <c r="BR944" i="1"/>
  <c r="J944" i="1" s="1"/>
  <c r="Q944" i="1" s="1"/>
  <c r="R944" i="1" s="1"/>
  <c r="P943" i="1"/>
  <c r="I943" i="1"/>
  <c r="BR943" i="1"/>
  <c r="J943" i="1" s="1"/>
  <c r="P942" i="1"/>
  <c r="I942" i="1"/>
  <c r="BR942" i="1"/>
  <c r="J942" i="1" s="1"/>
  <c r="O942" i="1" s="1"/>
  <c r="P941" i="1"/>
  <c r="I941" i="1"/>
  <c r="BR941" i="1"/>
  <c r="J941" i="1" s="1"/>
  <c r="P940" i="1"/>
  <c r="I940" i="1"/>
  <c r="BR940" i="1"/>
  <c r="J940" i="1" s="1"/>
  <c r="Q940" i="1" s="1"/>
  <c r="R940" i="1" s="1"/>
  <c r="P939" i="1"/>
  <c r="I939" i="1"/>
  <c r="BR939" i="1"/>
  <c r="J939" i="1" s="1"/>
  <c r="P938" i="1"/>
  <c r="I938" i="1"/>
  <c r="BR938" i="1"/>
  <c r="J938" i="1" s="1"/>
  <c r="Q938" i="1" s="1"/>
  <c r="R938" i="1" s="1"/>
  <c r="Z938" i="1" s="1"/>
  <c r="P937" i="1"/>
  <c r="I937" i="1"/>
  <c r="BR937" i="1"/>
  <c r="J937" i="1" s="1"/>
  <c r="P936" i="1"/>
  <c r="I936" i="1"/>
  <c r="BR936" i="1"/>
  <c r="J936" i="1" s="1"/>
  <c r="N936" i="1" s="1" a="1"/>
  <c r="N936" i="1" s="1"/>
  <c r="P935" i="1"/>
  <c r="I935" i="1"/>
  <c r="BR935" i="1"/>
  <c r="J935" i="1" s="1"/>
  <c r="P934" i="1"/>
  <c r="I934" i="1"/>
  <c r="BR934" i="1"/>
  <c r="J934" i="1" s="1"/>
  <c r="N934" i="1" s="1" a="1"/>
  <c r="N934" i="1" s="1"/>
  <c r="P933" i="1"/>
  <c r="I933" i="1"/>
  <c r="BR933" i="1"/>
  <c r="J933" i="1" s="1"/>
  <c r="P932" i="1"/>
  <c r="I932" i="1"/>
  <c r="BR932" i="1"/>
  <c r="J932" i="1" s="1"/>
  <c r="P931" i="1"/>
  <c r="I931" i="1"/>
  <c r="BR931" i="1"/>
  <c r="J931" i="1" s="1"/>
  <c r="P930" i="1"/>
  <c r="I930" i="1"/>
  <c r="BR930" i="1"/>
  <c r="J930" i="1" s="1"/>
  <c r="P929" i="1"/>
  <c r="I929" i="1"/>
  <c r="BR929" i="1"/>
  <c r="J929" i="1" s="1"/>
  <c r="P928" i="1"/>
  <c r="I928" i="1"/>
  <c r="BR928" i="1"/>
  <c r="J928" i="1" s="1"/>
  <c r="P927" i="1"/>
  <c r="I927" i="1"/>
  <c r="BR927" i="1"/>
  <c r="J927" i="1" s="1"/>
  <c r="P926" i="1"/>
  <c r="I926" i="1"/>
  <c r="BR926" i="1"/>
  <c r="J926" i="1" s="1"/>
  <c r="P925" i="1"/>
  <c r="I925" i="1"/>
  <c r="BR925" i="1"/>
  <c r="J925" i="1" s="1"/>
  <c r="P924" i="1"/>
  <c r="I924" i="1"/>
  <c r="BR924" i="1"/>
  <c r="J924" i="1" s="1"/>
  <c r="P923" i="1"/>
  <c r="I923" i="1"/>
  <c r="BR923" i="1"/>
  <c r="J923" i="1" s="1"/>
  <c r="P922" i="1"/>
  <c r="I922" i="1"/>
  <c r="BR922" i="1"/>
  <c r="J922" i="1" s="1"/>
  <c r="P921" i="1"/>
  <c r="I921" i="1"/>
  <c r="BR921" i="1"/>
  <c r="J921" i="1" s="1"/>
  <c r="P920" i="1"/>
  <c r="I920" i="1"/>
  <c r="BR920" i="1"/>
  <c r="J920" i="1" s="1"/>
  <c r="N920" i="1" s="1" a="1"/>
  <c r="N920" i="1" s="1"/>
  <c r="P919" i="1"/>
  <c r="I919" i="1"/>
  <c r="BR919" i="1"/>
  <c r="J919" i="1" s="1"/>
  <c r="P918" i="1"/>
  <c r="I918" i="1"/>
  <c r="BR918" i="1"/>
  <c r="J918" i="1" s="1"/>
  <c r="Q918" i="1" s="1"/>
  <c r="R918" i="1" s="1"/>
  <c r="P917" i="1"/>
  <c r="I917" i="1"/>
  <c r="BR917" i="1"/>
  <c r="J917" i="1" s="1"/>
  <c r="P916" i="1"/>
  <c r="I916" i="1"/>
  <c r="BR916" i="1"/>
  <c r="J916" i="1" s="1"/>
  <c r="P915" i="1"/>
  <c r="I915" i="1"/>
  <c r="BR915" i="1"/>
  <c r="J915" i="1" s="1"/>
  <c r="N915" i="1" s="1" a="1"/>
  <c r="N915" i="1" s="1"/>
  <c r="P914" i="1"/>
  <c r="I914" i="1"/>
  <c r="BR914" i="1"/>
  <c r="J914" i="1" s="1"/>
  <c r="P913" i="1"/>
  <c r="I913" i="1"/>
  <c r="BR913" i="1"/>
  <c r="J913" i="1" s="1"/>
  <c r="P912" i="1"/>
  <c r="I912" i="1"/>
  <c r="BR912" i="1"/>
  <c r="J912" i="1" s="1"/>
  <c r="P911" i="1"/>
  <c r="I911" i="1"/>
  <c r="BR911" i="1"/>
  <c r="J911" i="1" s="1"/>
  <c r="N911" i="1" s="1" a="1"/>
  <c r="N911" i="1" s="1"/>
  <c r="P910" i="1"/>
  <c r="I910" i="1"/>
  <c r="BR910" i="1"/>
  <c r="J910" i="1" s="1"/>
  <c r="P909" i="1"/>
  <c r="I909" i="1"/>
  <c r="BR909" i="1"/>
  <c r="J909" i="1" s="1"/>
  <c r="P908" i="1"/>
  <c r="I908" i="1"/>
  <c r="BR908" i="1"/>
  <c r="J908" i="1" s="1"/>
  <c r="N908" i="1" s="1" a="1"/>
  <c r="N908" i="1" s="1"/>
  <c r="P907" i="1"/>
  <c r="I907" i="1"/>
  <c r="BR907" i="1"/>
  <c r="J907" i="1" s="1"/>
  <c r="P906" i="1"/>
  <c r="I906" i="1"/>
  <c r="BR906" i="1"/>
  <c r="J906" i="1" s="1"/>
  <c r="N906" i="1" s="1" a="1"/>
  <c r="N906" i="1" s="1"/>
  <c r="P905" i="1"/>
  <c r="I905" i="1"/>
  <c r="BR905" i="1"/>
  <c r="J905" i="1" s="1"/>
  <c r="P904" i="1"/>
  <c r="I904" i="1"/>
  <c r="BR904" i="1"/>
  <c r="J904" i="1" s="1"/>
  <c r="N904" i="1" s="1" a="1"/>
  <c r="N904" i="1" s="1"/>
  <c r="P903" i="1"/>
  <c r="I903" i="1"/>
  <c r="BR903" i="1"/>
  <c r="J903" i="1" s="1"/>
  <c r="P902" i="1"/>
  <c r="I902" i="1"/>
  <c r="BR902" i="1"/>
  <c r="J902" i="1" s="1"/>
  <c r="P901" i="1"/>
  <c r="I901" i="1"/>
  <c r="BR901" i="1"/>
  <c r="J901" i="1" s="1"/>
  <c r="P900" i="1"/>
  <c r="I900" i="1"/>
  <c r="BR900" i="1"/>
  <c r="J900" i="1" s="1"/>
  <c r="P899" i="1"/>
  <c r="I899" i="1"/>
  <c r="BR899" i="1"/>
  <c r="J899" i="1" s="1"/>
  <c r="O899" i="1" s="1"/>
  <c r="P898" i="1"/>
  <c r="I898" i="1"/>
  <c r="BR898" i="1"/>
  <c r="J898" i="1" s="1"/>
  <c r="P897" i="1"/>
  <c r="I897" i="1"/>
  <c r="BR897" i="1"/>
  <c r="J897" i="1" s="1"/>
  <c r="P896" i="1"/>
  <c r="I896" i="1"/>
  <c r="BR896" i="1"/>
  <c r="J896" i="1" s="1"/>
  <c r="P895" i="1"/>
  <c r="I895" i="1"/>
  <c r="BR895" i="1"/>
  <c r="J895" i="1" s="1"/>
  <c r="P894" i="1"/>
  <c r="I894" i="1"/>
  <c r="BR894" i="1"/>
  <c r="J894" i="1" s="1"/>
  <c r="P893" i="1"/>
  <c r="I893" i="1"/>
  <c r="BR893" i="1"/>
  <c r="J893" i="1" s="1"/>
  <c r="P892" i="1"/>
  <c r="I892" i="1"/>
  <c r="BR892" i="1"/>
  <c r="J892" i="1" s="1"/>
  <c r="P891" i="1"/>
  <c r="I891" i="1"/>
  <c r="BR891" i="1"/>
  <c r="J891" i="1" s="1"/>
  <c r="P890" i="1"/>
  <c r="I890" i="1"/>
  <c r="BR890" i="1"/>
  <c r="J890" i="1" s="1"/>
  <c r="P889" i="1"/>
  <c r="I889" i="1"/>
  <c r="BR889" i="1"/>
  <c r="J889" i="1" s="1"/>
  <c r="Q889" i="1" s="1"/>
  <c r="R889" i="1" s="1"/>
  <c r="Z889" i="1" s="1"/>
  <c r="AB889" i="1" s="1"/>
  <c r="P888" i="1"/>
  <c r="I888" i="1"/>
  <c r="BR888" i="1"/>
  <c r="J888" i="1" s="1"/>
  <c r="P887" i="1"/>
  <c r="I887" i="1"/>
  <c r="BR887" i="1"/>
  <c r="J887" i="1" s="1"/>
  <c r="P886" i="1"/>
  <c r="I886" i="1"/>
  <c r="BR886" i="1"/>
  <c r="J886" i="1" s="1"/>
  <c r="O886" i="1" s="1"/>
  <c r="P885" i="1"/>
  <c r="I885" i="1"/>
  <c r="BR885" i="1"/>
  <c r="J885" i="1" s="1"/>
  <c r="O885" i="1" s="1"/>
  <c r="P884" i="1"/>
  <c r="I884" i="1"/>
  <c r="BR884" i="1"/>
  <c r="J884" i="1" s="1"/>
  <c r="O884" i="1" s="1"/>
  <c r="P883" i="1"/>
  <c r="I883" i="1"/>
  <c r="BR883" i="1"/>
  <c r="J883" i="1" s="1"/>
  <c r="P882" i="1"/>
  <c r="I882" i="1"/>
  <c r="BR882" i="1"/>
  <c r="J882" i="1" s="1"/>
  <c r="N882" i="1" s="1" a="1"/>
  <c r="N882" i="1" s="1"/>
  <c r="P881" i="1"/>
  <c r="I881" i="1"/>
  <c r="BR881" i="1"/>
  <c r="J881" i="1" s="1"/>
  <c r="Q881" i="1" s="1"/>
  <c r="R881" i="1" s="1"/>
  <c r="P880" i="1"/>
  <c r="I880" i="1"/>
  <c r="BR880" i="1"/>
  <c r="J880" i="1" s="1"/>
  <c r="P879" i="1"/>
  <c r="I879" i="1"/>
  <c r="BR879" i="1"/>
  <c r="J879" i="1" s="1"/>
  <c r="P878" i="1"/>
  <c r="I878" i="1"/>
  <c r="BR878" i="1"/>
  <c r="J878" i="1" s="1"/>
  <c r="P877" i="1"/>
  <c r="I877" i="1"/>
  <c r="BR877" i="1"/>
  <c r="J877" i="1" s="1"/>
  <c r="P876" i="1"/>
  <c r="I876" i="1"/>
  <c r="BR876" i="1"/>
  <c r="J876" i="1" s="1"/>
  <c r="P875" i="1"/>
  <c r="I875" i="1"/>
  <c r="BR875" i="1"/>
  <c r="J875" i="1" s="1"/>
  <c r="P874" i="1"/>
  <c r="I874" i="1"/>
  <c r="BR874" i="1"/>
  <c r="J874" i="1" s="1"/>
  <c r="Q874" i="1" s="1"/>
  <c r="R874" i="1" s="1"/>
  <c r="Z874" i="1" s="1"/>
  <c r="P873" i="1"/>
  <c r="I873" i="1"/>
  <c r="BR873" i="1"/>
  <c r="J873" i="1" s="1"/>
  <c r="P872" i="1"/>
  <c r="I872" i="1"/>
  <c r="BR872" i="1"/>
  <c r="J872" i="1" s="1"/>
  <c r="P871" i="1"/>
  <c r="I871" i="1"/>
  <c r="BR871" i="1"/>
  <c r="J871" i="1" s="1"/>
  <c r="P870" i="1"/>
  <c r="I870" i="1"/>
  <c r="BR870" i="1"/>
  <c r="J870" i="1" s="1"/>
  <c r="P869" i="1"/>
  <c r="I869" i="1"/>
  <c r="BR869" i="1"/>
  <c r="J869" i="1" s="1"/>
  <c r="P868" i="1"/>
  <c r="I868" i="1"/>
  <c r="BR868" i="1"/>
  <c r="J868" i="1" s="1"/>
  <c r="P867" i="1"/>
  <c r="I867" i="1"/>
  <c r="BR867" i="1"/>
  <c r="J867" i="1" s="1"/>
  <c r="Q867" i="1" s="1"/>
  <c r="R867" i="1" s="1"/>
  <c r="P866" i="1"/>
  <c r="I866" i="1"/>
  <c r="BR866" i="1"/>
  <c r="J866" i="1" s="1"/>
  <c r="P865" i="1"/>
  <c r="I865" i="1"/>
  <c r="BR865" i="1"/>
  <c r="J865" i="1" s="1"/>
  <c r="Q865" i="1" s="1"/>
  <c r="R865" i="1" s="1"/>
  <c r="Z865" i="1" s="1"/>
  <c r="AB865" i="1" s="1"/>
  <c r="P864" i="1"/>
  <c r="I864" i="1"/>
  <c r="BR864" i="1"/>
  <c r="J864" i="1" s="1"/>
  <c r="Q864" i="1" s="1"/>
  <c r="R864" i="1" s="1"/>
  <c r="P863" i="1"/>
  <c r="I863" i="1"/>
  <c r="BR863" i="1"/>
  <c r="J863" i="1" s="1"/>
  <c r="P862" i="1"/>
  <c r="I862" i="1"/>
  <c r="BR862" i="1"/>
  <c r="J862" i="1" s="1"/>
  <c r="P861" i="1"/>
  <c r="I861" i="1"/>
  <c r="BR861" i="1"/>
  <c r="J861" i="1" s="1"/>
  <c r="P860" i="1"/>
  <c r="I860" i="1"/>
  <c r="BR860" i="1"/>
  <c r="J860" i="1" s="1"/>
  <c r="P859" i="1"/>
  <c r="I859" i="1"/>
  <c r="BR859" i="1"/>
  <c r="J859" i="1" s="1"/>
  <c r="P858" i="1"/>
  <c r="I858" i="1"/>
  <c r="BR858" i="1"/>
  <c r="J858" i="1" s="1"/>
  <c r="P857" i="1"/>
  <c r="I857" i="1"/>
  <c r="BR857" i="1"/>
  <c r="J857" i="1" s="1"/>
  <c r="P856" i="1"/>
  <c r="I856" i="1"/>
  <c r="BR856" i="1"/>
  <c r="J856" i="1" s="1"/>
  <c r="N856" i="1" s="1" a="1"/>
  <c r="N856" i="1" s="1"/>
  <c r="P855" i="1"/>
  <c r="I855" i="1"/>
  <c r="BR855" i="1"/>
  <c r="J855" i="1" s="1"/>
  <c r="Q855" i="1" s="1"/>
  <c r="R855" i="1" s="1"/>
  <c r="P854" i="1"/>
  <c r="I854" i="1"/>
  <c r="BR854" i="1"/>
  <c r="J854" i="1" s="1"/>
  <c r="P853" i="1"/>
  <c r="I853" i="1"/>
  <c r="BR853" i="1"/>
  <c r="J853" i="1" s="1"/>
  <c r="P852" i="1"/>
  <c r="I852" i="1"/>
  <c r="BR852" i="1"/>
  <c r="J852" i="1" s="1"/>
  <c r="Q852" i="1" s="1"/>
  <c r="R852" i="1" s="1"/>
  <c r="Z852" i="1" s="1"/>
  <c r="AB852" i="1" s="1"/>
  <c r="P851" i="1"/>
  <c r="I851" i="1"/>
  <c r="BR851" i="1"/>
  <c r="J851" i="1" s="1"/>
  <c r="P850" i="1"/>
  <c r="I850" i="1"/>
  <c r="BR850" i="1"/>
  <c r="J850" i="1" s="1"/>
  <c r="P849" i="1"/>
  <c r="I849" i="1"/>
  <c r="BR849" i="1"/>
  <c r="J849" i="1" s="1"/>
  <c r="N849" i="1" s="1" a="1"/>
  <c r="N849" i="1" s="1"/>
  <c r="P848" i="1"/>
  <c r="I848" i="1"/>
  <c r="BR848" i="1"/>
  <c r="J848" i="1" s="1"/>
  <c r="Q848" i="1" s="1"/>
  <c r="R848" i="1" s="1"/>
  <c r="Z848" i="1" s="1"/>
  <c r="AB848" i="1" s="1"/>
  <c r="P847" i="1"/>
  <c r="I847" i="1"/>
  <c r="BR847" i="1"/>
  <c r="J847" i="1" s="1"/>
  <c r="P846" i="1"/>
  <c r="I846" i="1"/>
  <c r="BR846" i="1"/>
  <c r="J846" i="1" s="1"/>
  <c r="P845" i="1"/>
  <c r="I845" i="1"/>
  <c r="BR845" i="1"/>
  <c r="J845" i="1" s="1"/>
  <c r="P844" i="1"/>
  <c r="I844" i="1"/>
  <c r="BR844" i="1"/>
  <c r="J844" i="1" s="1"/>
  <c r="N844" i="1" s="1" a="1"/>
  <c r="N844" i="1" s="1"/>
  <c r="P843" i="1"/>
  <c r="I843" i="1"/>
  <c r="BR843" i="1"/>
  <c r="J843" i="1" s="1"/>
  <c r="P842" i="1"/>
  <c r="I842" i="1"/>
  <c r="BR842" i="1"/>
  <c r="J842" i="1" s="1"/>
  <c r="P841" i="1"/>
  <c r="I841" i="1"/>
  <c r="BR841" i="1"/>
  <c r="J841" i="1" s="1"/>
  <c r="P840" i="1"/>
  <c r="I840" i="1"/>
  <c r="BR840" i="1"/>
  <c r="J840" i="1" s="1"/>
  <c r="P839" i="1"/>
  <c r="I839" i="1"/>
  <c r="BR839" i="1"/>
  <c r="J839" i="1" s="1"/>
  <c r="P838" i="1"/>
  <c r="I838" i="1"/>
  <c r="BR838" i="1"/>
  <c r="J838" i="1" s="1"/>
  <c r="P837" i="1"/>
  <c r="I837" i="1"/>
  <c r="BR837" i="1"/>
  <c r="J837" i="1" s="1"/>
  <c r="P836" i="1"/>
  <c r="I836" i="1"/>
  <c r="BR836" i="1"/>
  <c r="J836" i="1" s="1"/>
  <c r="P835" i="1"/>
  <c r="I835" i="1"/>
  <c r="BR835" i="1"/>
  <c r="J835" i="1" s="1"/>
  <c r="N835" i="1" s="1" a="1"/>
  <c r="N835" i="1" s="1"/>
  <c r="P834" i="1"/>
  <c r="I834" i="1"/>
  <c r="BR834" i="1"/>
  <c r="J834" i="1" s="1"/>
  <c r="P833" i="1"/>
  <c r="I833" i="1"/>
  <c r="BR833" i="1"/>
  <c r="J833" i="1" s="1"/>
  <c r="P832" i="1"/>
  <c r="I832" i="1"/>
  <c r="BR832" i="1"/>
  <c r="J832" i="1" s="1"/>
  <c r="Q832" i="1" s="1"/>
  <c r="R832" i="1" s="1"/>
  <c r="P831" i="1"/>
  <c r="I831" i="1"/>
  <c r="BR831" i="1"/>
  <c r="J831" i="1" s="1"/>
  <c r="P830" i="1"/>
  <c r="I830" i="1"/>
  <c r="BR830" i="1"/>
  <c r="J830" i="1" s="1"/>
  <c r="N830" i="1" s="1" a="1"/>
  <c r="N830" i="1" s="1"/>
  <c r="P829" i="1"/>
  <c r="I829" i="1"/>
  <c r="BR829" i="1"/>
  <c r="J829" i="1" s="1"/>
  <c r="P828" i="1"/>
  <c r="I828" i="1"/>
  <c r="BR828" i="1"/>
  <c r="J828" i="1" s="1"/>
  <c r="P827" i="1"/>
  <c r="I827" i="1"/>
  <c r="BR827" i="1"/>
  <c r="J827" i="1" s="1"/>
  <c r="P826" i="1"/>
  <c r="I826" i="1"/>
  <c r="BR826" i="1"/>
  <c r="J826" i="1" s="1"/>
  <c r="P825" i="1"/>
  <c r="I825" i="1"/>
  <c r="BR825" i="1"/>
  <c r="J825" i="1" s="1"/>
  <c r="P824" i="1"/>
  <c r="I824" i="1"/>
  <c r="BR824" i="1"/>
  <c r="J824" i="1" s="1"/>
  <c r="P823" i="1"/>
  <c r="I823" i="1"/>
  <c r="BR823" i="1"/>
  <c r="J823" i="1" s="1"/>
  <c r="P822" i="1"/>
  <c r="I822" i="1"/>
  <c r="BR822" i="1"/>
  <c r="J822" i="1" s="1"/>
  <c r="P821" i="1"/>
  <c r="I821" i="1"/>
  <c r="BR821" i="1"/>
  <c r="J821" i="1" s="1"/>
  <c r="P820" i="1"/>
  <c r="I820" i="1"/>
  <c r="BR820" i="1"/>
  <c r="J820" i="1" s="1"/>
  <c r="P819" i="1"/>
  <c r="I819" i="1"/>
  <c r="BR819" i="1"/>
  <c r="J819" i="1" s="1"/>
  <c r="O819" i="1" s="1"/>
  <c r="P818" i="1"/>
  <c r="I818" i="1"/>
  <c r="BR818" i="1"/>
  <c r="J818" i="1" s="1"/>
  <c r="P817" i="1"/>
  <c r="I817" i="1"/>
  <c r="BR817" i="1"/>
  <c r="J817" i="1" s="1"/>
  <c r="N817" i="1" s="1" a="1"/>
  <c r="N817" i="1" s="1"/>
  <c r="P816" i="1"/>
  <c r="I816" i="1"/>
  <c r="BR816" i="1"/>
  <c r="J816" i="1" s="1"/>
  <c r="P815" i="1"/>
  <c r="I815" i="1"/>
  <c r="BR815" i="1"/>
  <c r="J815" i="1" s="1"/>
  <c r="N815" i="1" s="1" a="1"/>
  <c r="N815" i="1" s="1"/>
  <c r="P814" i="1"/>
  <c r="I814" i="1"/>
  <c r="BR814" i="1"/>
  <c r="J814" i="1" s="1"/>
  <c r="O814" i="1" s="1"/>
  <c r="P813" i="1"/>
  <c r="I813" i="1"/>
  <c r="BR813" i="1"/>
  <c r="J813" i="1" s="1"/>
  <c r="O813" i="1" s="1"/>
  <c r="P812" i="1"/>
  <c r="I812" i="1"/>
  <c r="BR812" i="1"/>
  <c r="J812" i="1" s="1"/>
  <c r="Q812" i="1" s="1"/>
  <c r="R812" i="1" s="1"/>
  <c r="Z812" i="1" s="1"/>
  <c r="AB812" i="1" s="1"/>
  <c r="P811" i="1"/>
  <c r="I811" i="1"/>
  <c r="BR811" i="1"/>
  <c r="J811" i="1" s="1"/>
  <c r="P810" i="1"/>
  <c r="I810" i="1"/>
  <c r="BR810" i="1"/>
  <c r="J810" i="1" s="1"/>
  <c r="P809" i="1"/>
  <c r="I809" i="1"/>
  <c r="BR809" i="1"/>
  <c r="J809" i="1" s="1"/>
  <c r="Q809" i="1" s="1"/>
  <c r="R809" i="1" s="1"/>
  <c r="Z809" i="1" s="1"/>
  <c r="P808" i="1"/>
  <c r="I808" i="1"/>
  <c r="BR808" i="1"/>
  <c r="J808" i="1" s="1"/>
  <c r="Q808" i="1" s="1"/>
  <c r="R808" i="1" s="1"/>
  <c r="Z808" i="1" s="1"/>
  <c r="AB808" i="1" s="1"/>
  <c r="P807" i="1"/>
  <c r="I807" i="1"/>
  <c r="BR807" i="1"/>
  <c r="J807" i="1" s="1"/>
  <c r="Q807" i="1" s="1"/>
  <c r="R807" i="1" s="1"/>
  <c r="Z807" i="1" s="1"/>
  <c r="AB807" i="1" s="1"/>
  <c r="P806" i="1"/>
  <c r="I806" i="1"/>
  <c r="BR806" i="1"/>
  <c r="J806" i="1" s="1"/>
  <c r="Q806" i="1" s="1"/>
  <c r="R806" i="1" s="1"/>
  <c r="P805" i="1"/>
  <c r="I805" i="1"/>
  <c r="BR805" i="1"/>
  <c r="J805" i="1" s="1"/>
  <c r="P804" i="1"/>
  <c r="I804" i="1"/>
  <c r="BR804" i="1"/>
  <c r="J804" i="1" s="1"/>
  <c r="P803" i="1"/>
  <c r="I803" i="1"/>
  <c r="BR803" i="1"/>
  <c r="J803" i="1" s="1"/>
  <c r="P802" i="1"/>
  <c r="I802" i="1"/>
  <c r="BR802" i="1"/>
  <c r="J802" i="1" s="1"/>
  <c r="P801" i="1"/>
  <c r="I801" i="1"/>
  <c r="BR801" i="1"/>
  <c r="J801" i="1" s="1"/>
  <c r="Q801" i="1" s="1"/>
  <c r="R801" i="1" s="1"/>
  <c r="P800" i="1"/>
  <c r="I800" i="1"/>
  <c r="BR800" i="1"/>
  <c r="J800" i="1" s="1"/>
  <c r="O800" i="1" s="1"/>
  <c r="P799" i="1"/>
  <c r="I799" i="1"/>
  <c r="BR799" i="1"/>
  <c r="J799" i="1" s="1"/>
  <c r="P798" i="1"/>
  <c r="I798" i="1"/>
  <c r="BR798" i="1"/>
  <c r="J798" i="1" s="1"/>
  <c r="P797" i="1"/>
  <c r="I797" i="1"/>
  <c r="BR797" i="1"/>
  <c r="J797" i="1" s="1"/>
  <c r="O797" i="1" s="1"/>
  <c r="P796" i="1"/>
  <c r="I796" i="1"/>
  <c r="BR796" i="1"/>
  <c r="J796" i="1" s="1"/>
  <c r="P795" i="1"/>
  <c r="I795" i="1"/>
  <c r="BR795" i="1"/>
  <c r="J795" i="1" s="1"/>
  <c r="Q795" i="1" s="1"/>
  <c r="R795" i="1" s="1"/>
  <c r="Z795" i="1" s="1"/>
  <c r="P794" i="1"/>
  <c r="I794" i="1"/>
  <c r="BR794" i="1"/>
  <c r="J794" i="1" s="1"/>
  <c r="N794" i="1" s="1" a="1"/>
  <c r="N794" i="1" s="1"/>
  <c r="P793" i="1"/>
  <c r="I793" i="1"/>
  <c r="BR793" i="1"/>
  <c r="J793" i="1" s="1"/>
  <c r="P792" i="1"/>
  <c r="I792" i="1"/>
  <c r="BR792" i="1"/>
  <c r="J792" i="1" s="1"/>
  <c r="P791" i="1"/>
  <c r="I791" i="1"/>
  <c r="BR791" i="1"/>
  <c r="J791" i="1" s="1"/>
  <c r="Q791" i="1" s="1"/>
  <c r="R791" i="1" s="1"/>
  <c r="Z791" i="1" s="1"/>
  <c r="AB791" i="1" s="1"/>
  <c r="P790" i="1"/>
  <c r="I790" i="1"/>
  <c r="BR790" i="1"/>
  <c r="J790" i="1" s="1"/>
  <c r="N790" i="1" s="1" a="1"/>
  <c r="N790" i="1" s="1"/>
  <c r="P789" i="1"/>
  <c r="I789" i="1"/>
  <c r="BR789" i="1"/>
  <c r="J789" i="1" s="1"/>
  <c r="P788" i="1"/>
  <c r="I788" i="1"/>
  <c r="BR788" i="1"/>
  <c r="J788" i="1" s="1"/>
  <c r="P787" i="1"/>
  <c r="I787" i="1"/>
  <c r="BR787" i="1"/>
  <c r="J787" i="1" s="1"/>
  <c r="P786" i="1"/>
  <c r="I786" i="1"/>
  <c r="BR786" i="1"/>
  <c r="J786" i="1" s="1"/>
  <c r="P785" i="1"/>
  <c r="I785" i="1"/>
  <c r="BR785" i="1"/>
  <c r="J785" i="1" s="1"/>
  <c r="Q785" i="1" s="1"/>
  <c r="R785" i="1" s="1"/>
  <c r="Z785" i="1" s="1"/>
  <c r="AB785" i="1" s="1"/>
  <c r="P784" i="1"/>
  <c r="I784" i="1"/>
  <c r="BR784" i="1"/>
  <c r="J784" i="1" s="1"/>
  <c r="P783" i="1"/>
  <c r="I783" i="1"/>
  <c r="BR783" i="1"/>
  <c r="J783" i="1" s="1"/>
  <c r="P782" i="1"/>
  <c r="I782" i="1"/>
  <c r="BR782" i="1"/>
  <c r="J782" i="1" s="1"/>
  <c r="P781" i="1"/>
  <c r="I781" i="1"/>
  <c r="BR781" i="1"/>
  <c r="J781" i="1" s="1"/>
  <c r="P780" i="1"/>
  <c r="I780" i="1"/>
  <c r="BR780" i="1"/>
  <c r="J780" i="1" s="1"/>
  <c r="P779" i="1"/>
  <c r="I779" i="1"/>
  <c r="BR779" i="1"/>
  <c r="J779" i="1" s="1"/>
  <c r="P778" i="1"/>
  <c r="I778" i="1"/>
  <c r="BR778" i="1"/>
  <c r="J778" i="1" s="1"/>
  <c r="Q778" i="1" s="1"/>
  <c r="R778" i="1" s="1"/>
  <c r="Z778" i="1" s="1"/>
  <c r="AB778" i="1" s="1"/>
  <c r="P777" i="1"/>
  <c r="I777" i="1"/>
  <c r="BR777" i="1"/>
  <c r="J777" i="1" s="1"/>
  <c r="P776" i="1"/>
  <c r="I776" i="1"/>
  <c r="BR776" i="1"/>
  <c r="J776" i="1" s="1"/>
  <c r="P775" i="1"/>
  <c r="I775" i="1"/>
  <c r="BR775" i="1"/>
  <c r="J775" i="1" s="1"/>
  <c r="N775" i="1" s="1" a="1"/>
  <c r="N775" i="1" s="1"/>
  <c r="P774" i="1"/>
  <c r="I774" i="1"/>
  <c r="BR774" i="1"/>
  <c r="J774" i="1" s="1"/>
  <c r="Q774" i="1" s="1"/>
  <c r="R774" i="1" s="1"/>
  <c r="P773" i="1"/>
  <c r="I773" i="1"/>
  <c r="BR773" i="1"/>
  <c r="J773" i="1" s="1"/>
  <c r="N773" i="1" s="1" a="1"/>
  <c r="N773" i="1" s="1"/>
  <c r="P772" i="1"/>
  <c r="I772" i="1"/>
  <c r="BR772" i="1"/>
  <c r="J772" i="1" s="1"/>
  <c r="Q772" i="1" s="1"/>
  <c r="R772" i="1" s="1"/>
  <c r="Z772" i="1" s="1"/>
  <c r="AB772" i="1" s="1"/>
  <c r="P771" i="1"/>
  <c r="I771" i="1"/>
  <c r="BR771" i="1"/>
  <c r="J771" i="1" s="1"/>
  <c r="P770" i="1"/>
  <c r="I770" i="1"/>
  <c r="BR770" i="1"/>
  <c r="J770" i="1" s="1"/>
  <c r="P769" i="1"/>
  <c r="I769" i="1"/>
  <c r="BR769" i="1"/>
  <c r="J769" i="1" s="1"/>
  <c r="N769" i="1" s="1" a="1"/>
  <c r="N769" i="1" s="1"/>
  <c r="P768" i="1"/>
  <c r="I768" i="1"/>
  <c r="BR768" i="1"/>
  <c r="J768" i="1" s="1"/>
  <c r="Q768" i="1" s="1"/>
  <c r="R768" i="1" s="1"/>
  <c r="Z768" i="1" s="1"/>
  <c r="AB768" i="1" s="1"/>
  <c r="P767" i="1"/>
  <c r="I767" i="1"/>
  <c r="BR767" i="1"/>
  <c r="J767" i="1" s="1"/>
  <c r="O767" i="1" s="1"/>
  <c r="P766" i="1"/>
  <c r="I766" i="1"/>
  <c r="BR766" i="1"/>
  <c r="J766" i="1" s="1"/>
  <c r="P765" i="1"/>
  <c r="I765" i="1"/>
  <c r="BR765" i="1"/>
  <c r="J765" i="1" s="1"/>
  <c r="P764" i="1"/>
  <c r="I764" i="1"/>
  <c r="BR764" i="1"/>
  <c r="J764" i="1" s="1"/>
  <c r="N764" i="1" s="1" a="1"/>
  <c r="N764" i="1" s="1"/>
  <c r="P763" i="1"/>
  <c r="I763" i="1"/>
  <c r="BR763" i="1"/>
  <c r="J763" i="1" s="1"/>
  <c r="P762" i="1"/>
  <c r="I762" i="1"/>
  <c r="BR762" i="1"/>
  <c r="J762" i="1" s="1"/>
  <c r="O762" i="1" s="1"/>
  <c r="P761" i="1"/>
  <c r="I761" i="1"/>
  <c r="BR761" i="1"/>
  <c r="J761" i="1" s="1"/>
  <c r="P760" i="1"/>
  <c r="I760" i="1"/>
  <c r="BR760" i="1"/>
  <c r="J760" i="1" s="1"/>
  <c r="P759" i="1"/>
  <c r="I759" i="1"/>
  <c r="BR759" i="1"/>
  <c r="J759" i="1" s="1"/>
  <c r="N759" i="1" s="1" a="1"/>
  <c r="N759" i="1" s="1"/>
  <c r="P758" i="1"/>
  <c r="I758" i="1"/>
  <c r="BR758" i="1"/>
  <c r="J758" i="1" s="1"/>
  <c r="P757" i="1"/>
  <c r="I757" i="1"/>
  <c r="BR757" i="1"/>
  <c r="J757" i="1" s="1"/>
  <c r="P756" i="1"/>
  <c r="I756" i="1"/>
  <c r="BR756" i="1"/>
  <c r="J756" i="1" s="1"/>
  <c r="P755" i="1"/>
  <c r="I755" i="1"/>
  <c r="BR755" i="1"/>
  <c r="J755" i="1" s="1"/>
  <c r="N755" i="1" s="1" a="1"/>
  <c r="N755" i="1" s="1"/>
  <c r="P754" i="1"/>
  <c r="I754" i="1"/>
  <c r="BR754" i="1"/>
  <c r="J754" i="1" s="1"/>
  <c r="P753" i="1"/>
  <c r="I753" i="1"/>
  <c r="BR753" i="1"/>
  <c r="J753" i="1" s="1"/>
  <c r="P752" i="1"/>
  <c r="I752" i="1"/>
  <c r="BR752" i="1"/>
  <c r="J752" i="1" s="1"/>
  <c r="P751" i="1"/>
  <c r="I751" i="1"/>
  <c r="BR751" i="1"/>
  <c r="J751" i="1" s="1"/>
  <c r="P750" i="1"/>
  <c r="I750" i="1"/>
  <c r="BR750" i="1"/>
  <c r="J750" i="1" s="1"/>
  <c r="P749" i="1"/>
  <c r="I749" i="1"/>
  <c r="BR749" i="1"/>
  <c r="J749" i="1" s="1"/>
  <c r="Q749" i="1" s="1"/>
  <c r="R749" i="1" s="1"/>
  <c r="P748" i="1"/>
  <c r="I748" i="1"/>
  <c r="BR748" i="1"/>
  <c r="J748" i="1" s="1"/>
  <c r="P747" i="1"/>
  <c r="I747" i="1"/>
  <c r="BR747" i="1"/>
  <c r="J747" i="1" s="1"/>
  <c r="Q747" i="1" s="1"/>
  <c r="R747" i="1" s="1"/>
  <c r="Z747" i="1" s="1"/>
  <c r="AB747" i="1" s="1"/>
  <c r="P746" i="1"/>
  <c r="I746" i="1"/>
  <c r="BR746" i="1"/>
  <c r="J746" i="1" s="1"/>
  <c r="P745" i="1"/>
  <c r="I745" i="1"/>
  <c r="BR745" i="1"/>
  <c r="J745" i="1" s="1"/>
  <c r="P744" i="1"/>
  <c r="I744" i="1"/>
  <c r="BR744" i="1"/>
  <c r="J744" i="1" s="1"/>
  <c r="Q744" i="1" s="1"/>
  <c r="R744" i="1" s="1"/>
  <c r="Z744" i="1" s="1"/>
  <c r="AB744" i="1" s="1"/>
  <c r="P743" i="1"/>
  <c r="I743" i="1"/>
  <c r="BR743" i="1"/>
  <c r="J743" i="1" s="1"/>
  <c r="P742" i="1"/>
  <c r="I742" i="1"/>
  <c r="BR742" i="1"/>
  <c r="J742" i="1" s="1"/>
  <c r="N742" i="1" s="1" a="1"/>
  <c r="N742" i="1" s="1"/>
  <c r="P741" i="1"/>
  <c r="I741" i="1"/>
  <c r="BR741" i="1"/>
  <c r="J741" i="1" s="1"/>
  <c r="P740" i="1"/>
  <c r="I740" i="1"/>
  <c r="BR740" i="1"/>
  <c r="J740" i="1" s="1"/>
  <c r="P739" i="1"/>
  <c r="I739" i="1"/>
  <c r="BR739" i="1"/>
  <c r="J739" i="1" s="1"/>
  <c r="P738" i="1"/>
  <c r="I738" i="1"/>
  <c r="BR738" i="1"/>
  <c r="J738" i="1" s="1"/>
  <c r="P737" i="1"/>
  <c r="I737" i="1"/>
  <c r="BR737" i="1"/>
  <c r="J737" i="1" s="1"/>
  <c r="P736" i="1"/>
  <c r="I736" i="1"/>
  <c r="BR736" i="1"/>
  <c r="J736" i="1" s="1"/>
  <c r="P735" i="1"/>
  <c r="I735" i="1"/>
  <c r="BR735" i="1"/>
  <c r="J735" i="1" s="1"/>
  <c r="P734" i="1"/>
  <c r="I734" i="1"/>
  <c r="BR734" i="1"/>
  <c r="J734" i="1" s="1"/>
  <c r="N734" i="1" s="1" a="1"/>
  <c r="N734" i="1" s="1"/>
  <c r="P733" i="1"/>
  <c r="I733" i="1"/>
  <c r="BR733" i="1"/>
  <c r="J733" i="1" s="1"/>
  <c r="P732" i="1"/>
  <c r="I732" i="1"/>
  <c r="BR732" i="1"/>
  <c r="J732" i="1" s="1"/>
  <c r="N732" i="1" s="1" a="1"/>
  <c r="N732" i="1" s="1"/>
  <c r="P731" i="1"/>
  <c r="I731" i="1"/>
  <c r="BR731" i="1"/>
  <c r="J731" i="1" s="1"/>
  <c r="N731" i="1" s="1" a="1"/>
  <c r="N731" i="1" s="1"/>
  <c r="P730" i="1"/>
  <c r="I730" i="1"/>
  <c r="BR730" i="1"/>
  <c r="J730" i="1" s="1"/>
  <c r="O730" i="1" s="1"/>
  <c r="P729" i="1"/>
  <c r="I729" i="1"/>
  <c r="BR729" i="1"/>
  <c r="J729" i="1" s="1"/>
  <c r="P728" i="1"/>
  <c r="I728" i="1"/>
  <c r="BR728" i="1"/>
  <c r="J728" i="1" s="1"/>
  <c r="P727" i="1"/>
  <c r="I727" i="1"/>
  <c r="BR727" i="1"/>
  <c r="J727" i="1" s="1"/>
  <c r="Q727" i="1" s="1"/>
  <c r="R727" i="1" s="1"/>
  <c r="P726" i="1"/>
  <c r="I726" i="1"/>
  <c r="BR726" i="1"/>
  <c r="J726" i="1" s="1"/>
  <c r="P725" i="1"/>
  <c r="I725" i="1"/>
  <c r="BR725" i="1"/>
  <c r="J725" i="1" s="1"/>
  <c r="O725" i="1" s="1"/>
  <c r="P724" i="1"/>
  <c r="I724" i="1"/>
  <c r="BR724" i="1"/>
  <c r="J724" i="1" s="1"/>
  <c r="P723" i="1"/>
  <c r="I723" i="1"/>
  <c r="BR723" i="1"/>
  <c r="J723" i="1" s="1"/>
  <c r="P722" i="1"/>
  <c r="I722" i="1"/>
  <c r="BR722" i="1"/>
  <c r="J722" i="1" s="1"/>
  <c r="O722" i="1" s="1"/>
  <c r="P721" i="1"/>
  <c r="I721" i="1"/>
  <c r="BR721" i="1"/>
  <c r="J721" i="1" s="1"/>
  <c r="N721" i="1" s="1" a="1"/>
  <c r="N721" i="1" s="1"/>
  <c r="P720" i="1"/>
  <c r="I720" i="1"/>
  <c r="BR720" i="1"/>
  <c r="J720" i="1" s="1"/>
  <c r="O720" i="1" s="1"/>
  <c r="P719" i="1"/>
  <c r="I719" i="1"/>
  <c r="BR719" i="1"/>
  <c r="J719" i="1" s="1"/>
  <c r="P718" i="1"/>
  <c r="I718" i="1"/>
  <c r="BR718" i="1"/>
  <c r="J718" i="1" s="1"/>
  <c r="P717" i="1"/>
  <c r="I717" i="1"/>
  <c r="BR717" i="1"/>
  <c r="J717" i="1" s="1"/>
  <c r="N717" i="1" s="1" a="1"/>
  <c r="N717" i="1" s="1"/>
  <c r="P716" i="1"/>
  <c r="I716" i="1"/>
  <c r="BR716" i="1"/>
  <c r="J716" i="1" s="1"/>
  <c r="P715" i="1"/>
  <c r="I715" i="1"/>
  <c r="BR715" i="1"/>
  <c r="J715" i="1" s="1"/>
  <c r="O715" i="1" s="1"/>
  <c r="P714" i="1"/>
  <c r="I714" i="1"/>
  <c r="BR714" i="1"/>
  <c r="J714" i="1" s="1"/>
  <c r="O714" i="1" s="1"/>
  <c r="P713" i="1"/>
  <c r="I713" i="1"/>
  <c r="BR713" i="1"/>
  <c r="J713" i="1" s="1"/>
  <c r="P712" i="1"/>
  <c r="I712" i="1"/>
  <c r="BR712" i="1"/>
  <c r="J712" i="1" s="1"/>
  <c r="Q712" i="1" s="1"/>
  <c r="R712" i="1" s="1"/>
  <c r="P711" i="1"/>
  <c r="I711" i="1"/>
  <c r="BR711" i="1"/>
  <c r="J711" i="1" s="1"/>
  <c r="O711" i="1" s="1"/>
  <c r="P710" i="1"/>
  <c r="I710" i="1"/>
  <c r="BR710" i="1"/>
  <c r="J710" i="1" s="1"/>
  <c r="Q710" i="1" s="1"/>
  <c r="R710" i="1" s="1"/>
  <c r="Z710" i="1" s="1"/>
  <c r="P709" i="1"/>
  <c r="I709" i="1"/>
  <c r="BR709" i="1"/>
  <c r="J709" i="1" s="1"/>
  <c r="P708" i="1"/>
  <c r="I708" i="1"/>
  <c r="BR708" i="1"/>
  <c r="J708" i="1" s="1"/>
  <c r="N708" i="1" s="1" a="1"/>
  <c r="N708" i="1" s="1"/>
  <c r="P707" i="1"/>
  <c r="I707" i="1"/>
  <c r="BR707" i="1"/>
  <c r="J707" i="1" s="1"/>
  <c r="P706" i="1"/>
  <c r="I706" i="1"/>
  <c r="BR706" i="1"/>
  <c r="J706" i="1" s="1"/>
  <c r="N706" i="1" s="1" a="1"/>
  <c r="N706" i="1" s="1"/>
  <c r="P705" i="1"/>
  <c r="I705" i="1"/>
  <c r="BR705" i="1"/>
  <c r="J705" i="1" s="1"/>
  <c r="P704" i="1"/>
  <c r="I704" i="1"/>
  <c r="BR704" i="1"/>
  <c r="J704" i="1" s="1"/>
  <c r="N704" i="1" s="1" a="1"/>
  <c r="N704" i="1" s="1"/>
  <c r="P703" i="1"/>
  <c r="I703" i="1"/>
  <c r="BR703" i="1"/>
  <c r="J703" i="1" s="1"/>
  <c r="P702" i="1"/>
  <c r="I702" i="1"/>
  <c r="BR702" i="1"/>
  <c r="J702" i="1" s="1"/>
  <c r="P701" i="1"/>
  <c r="I701" i="1"/>
  <c r="BR701" i="1"/>
  <c r="J701" i="1" s="1"/>
  <c r="P700" i="1"/>
  <c r="I700" i="1"/>
  <c r="BR700" i="1"/>
  <c r="J700" i="1" s="1"/>
  <c r="P699" i="1"/>
  <c r="I699" i="1"/>
  <c r="BR699" i="1"/>
  <c r="J699" i="1" s="1"/>
  <c r="P698" i="1"/>
  <c r="I698" i="1"/>
  <c r="BR698" i="1"/>
  <c r="J698" i="1" s="1"/>
  <c r="P697" i="1"/>
  <c r="I697" i="1"/>
  <c r="BR697" i="1"/>
  <c r="J697" i="1" s="1"/>
  <c r="P696" i="1"/>
  <c r="I696" i="1"/>
  <c r="BR696" i="1"/>
  <c r="J696" i="1" s="1"/>
  <c r="Q696" i="1" s="1"/>
  <c r="R696" i="1" s="1"/>
  <c r="Z696" i="1" s="1"/>
  <c r="P695" i="1"/>
  <c r="I695" i="1"/>
  <c r="BR695" i="1"/>
  <c r="J695" i="1" s="1"/>
  <c r="O695" i="1" s="1"/>
  <c r="P694" i="1"/>
  <c r="I694" i="1"/>
  <c r="BR694" i="1"/>
  <c r="J694" i="1" s="1"/>
  <c r="P693" i="1"/>
  <c r="I693" i="1"/>
  <c r="BR693" i="1"/>
  <c r="J693" i="1" s="1"/>
  <c r="P692" i="1"/>
  <c r="I692" i="1"/>
  <c r="BR692" i="1"/>
  <c r="J692" i="1" s="1"/>
  <c r="P691" i="1"/>
  <c r="I691" i="1"/>
  <c r="BR691" i="1"/>
  <c r="J691" i="1" s="1"/>
  <c r="P690" i="1"/>
  <c r="I690" i="1"/>
  <c r="BR690" i="1"/>
  <c r="J690" i="1" s="1"/>
  <c r="Q690" i="1" s="1"/>
  <c r="R690" i="1" s="1"/>
  <c r="Z690" i="1" s="1"/>
  <c r="AB690" i="1" s="1"/>
  <c r="P689" i="1"/>
  <c r="I689" i="1"/>
  <c r="BR689" i="1"/>
  <c r="J689" i="1" s="1"/>
  <c r="Q689" i="1" s="1"/>
  <c r="R689" i="1" s="1"/>
  <c r="Z689" i="1" s="1"/>
  <c r="AB689" i="1" s="1"/>
  <c r="P688" i="1"/>
  <c r="I688" i="1"/>
  <c r="BR688" i="1"/>
  <c r="J688" i="1" s="1"/>
  <c r="P687" i="1"/>
  <c r="I687" i="1"/>
  <c r="BR687" i="1"/>
  <c r="J687" i="1" s="1"/>
  <c r="P686" i="1"/>
  <c r="I686" i="1"/>
  <c r="BR686" i="1"/>
  <c r="J686" i="1" s="1"/>
  <c r="P685" i="1"/>
  <c r="I685" i="1"/>
  <c r="BR685" i="1"/>
  <c r="J685" i="1" s="1"/>
  <c r="P684" i="1"/>
  <c r="I684" i="1"/>
  <c r="BR684" i="1"/>
  <c r="J684" i="1" s="1"/>
  <c r="P683" i="1"/>
  <c r="I683" i="1"/>
  <c r="BR683" i="1"/>
  <c r="J683" i="1" s="1"/>
  <c r="N683" i="1" s="1" a="1"/>
  <c r="N683" i="1" s="1"/>
  <c r="P682" i="1"/>
  <c r="I682" i="1"/>
  <c r="BR682" i="1"/>
  <c r="J682" i="1" s="1"/>
  <c r="Q682" i="1" s="1"/>
  <c r="R682" i="1" s="1"/>
  <c r="Z682" i="1" s="1"/>
  <c r="AB682" i="1" s="1"/>
  <c r="P681" i="1"/>
  <c r="I681" i="1"/>
  <c r="BR681" i="1"/>
  <c r="J681" i="1" s="1"/>
  <c r="P680" i="1"/>
  <c r="I680" i="1"/>
  <c r="BR680" i="1"/>
  <c r="J680" i="1" s="1"/>
  <c r="P679" i="1"/>
  <c r="I679" i="1"/>
  <c r="BR679" i="1"/>
  <c r="J679" i="1" s="1"/>
  <c r="P678" i="1"/>
  <c r="I678" i="1"/>
  <c r="BR678" i="1"/>
  <c r="J678" i="1" s="1"/>
  <c r="N678" i="1" s="1" a="1"/>
  <c r="N678" i="1" s="1"/>
  <c r="P677" i="1"/>
  <c r="I677" i="1"/>
  <c r="BR677" i="1"/>
  <c r="J677" i="1" s="1"/>
  <c r="P676" i="1"/>
  <c r="I676" i="1"/>
  <c r="BR676" i="1"/>
  <c r="J676" i="1" s="1"/>
  <c r="N676" i="1" s="1" a="1"/>
  <c r="N676" i="1" s="1"/>
  <c r="P675" i="1"/>
  <c r="I675" i="1"/>
  <c r="BR675" i="1"/>
  <c r="J675" i="1" s="1"/>
  <c r="N675" i="1" s="1" a="1"/>
  <c r="N675" i="1" s="1"/>
  <c r="P674" i="1"/>
  <c r="I674" i="1"/>
  <c r="BR674" i="1"/>
  <c r="J674" i="1" s="1"/>
  <c r="P673" i="1"/>
  <c r="I673" i="1"/>
  <c r="BR673" i="1"/>
  <c r="J673" i="1" s="1"/>
  <c r="N673" i="1" s="1" a="1"/>
  <c r="N673" i="1" s="1"/>
  <c r="P672" i="1"/>
  <c r="I672" i="1"/>
  <c r="BR672" i="1"/>
  <c r="J672" i="1" s="1"/>
  <c r="Q672" i="1" s="1"/>
  <c r="R672" i="1" s="1"/>
  <c r="Z672" i="1" s="1"/>
  <c r="AB672" i="1" s="1"/>
  <c r="P671" i="1"/>
  <c r="I671" i="1"/>
  <c r="BR671" i="1"/>
  <c r="J671" i="1" s="1"/>
  <c r="N671" i="1" s="1" a="1"/>
  <c r="N671" i="1" s="1"/>
  <c r="P670" i="1"/>
  <c r="I670" i="1"/>
  <c r="BR670" i="1"/>
  <c r="J670" i="1" s="1"/>
  <c r="O670" i="1" s="1"/>
  <c r="P669" i="1"/>
  <c r="I669" i="1"/>
  <c r="BR669" i="1"/>
  <c r="J669" i="1" s="1"/>
  <c r="P668" i="1"/>
  <c r="I668" i="1"/>
  <c r="BR668" i="1"/>
  <c r="J668" i="1" s="1"/>
  <c r="P667" i="1"/>
  <c r="I667" i="1"/>
  <c r="BR667" i="1"/>
  <c r="J667" i="1" s="1"/>
  <c r="N667" i="1" s="1" a="1"/>
  <c r="N667" i="1" s="1"/>
  <c r="P666" i="1"/>
  <c r="I666" i="1"/>
  <c r="BR666" i="1"/>
  <c r="J666" i="1" s="1"/>
  <c r="P665" i="1"/>
  <c r="I665" i="1"/>
  <c r="BR665" i="1"/>
  <c r="J665" i="1" s="1"/>
  <c r="P664" i="1"/>
  <c r="I664" i="1"/>
  <c r="BR664" i="1"/>
  <c r="J664" i="1" s="1"/>
  <c r="N664" i="1" s="1" a="1"/>
  <c r="N664" i="1" s="1"/>
  <c r="P663" i="1"/>
  <c r="I663" i="1"/>
  <c r="BR663" i="1"/>
  <c r="J663" i="1" s="1"/>
  <c r="P662" i="1"/>
  <c r="I662" i="1"/>
  <c r="BR662" i="1"/>
  <c r="J662" i="1" s="1"/>
  <c r="N662" i="1" s="1" a="1"/>
  <c r="N662" i="1" s="1"/>
  <c r="P661" i="1"/>
  <c r="I661" i="1"/>
  <c r="BR661" i="1"/>
  <c r="J661" i="1" s="1"/>
  <c r="P660" i="1"/>
  <c r="I660" i="1"/>
  <c r="BR660" i="1"/>
  <c r="J660" i="1" s="1"/>
  <c r="Q660" i="1" s="1"/>
  <c r="R660" i="1" s="1"/>
  <c r="P659" i="1"/>
  <c r="I659" i="1"/>
  <c r="BR659" i="1"/>
  <c r="J659" i="1" s="1"/>
  <c r="Q659" i="1" s="1"/>
  <c r="R659" i="1" s="1"/>
  <c r="Z659" i="1" s="1"/>
  <c r="AB659" i="1" s="1"/>
  <c r="P658" i="1"/>
  <c r="I658" i="1"/>
  <c r="BR658" i="1"/>
  <c r="J658" i="1" s="1"/>
  <c r="N658" i="1" s="1" a="1"/>
  <c r="N658" i="1" s="1"/>
  <c r="P657" i="1"/>
  <c r="I657" i="1"/>
  <c r="BR657" i="1"/>
  <c r="J657" i="1" s="1"/>
  <c r="Q657" i="1" s="1"/>
  <c r="R657" i="1" s="1"/>
  <c r="P656" i="1"/>
  <c r="I656" i="1"/>
  <c r="BR656" i="1"/>
  <c r="J656" i="1" s="1"/>
  <c r="P655" i="1"/>
  <c r="I655" i="1"/>
  <c r="BR655" i="1"/>
  <c r="J655" i="1" s="1"/>
  <c r="P654" i="1"/>
  <c r="I654" i="1"/>
  <c r="BR654" i="1"/>
  <c r="J654" i="1" s="1"/>
  <c r="P653" i="1"/>
  <c r="I653" i="1"/>
  <c r="BR653" i="1"/>
  <c r="J653" i="1" s="1"/>
  <c r="P652" i="1"/>
  <c r="I652" i="1"/>
  <c r="BR652" i="1"/>
  <c r="J652" i="1" s="1"/>
  <c r="P651" i="1"/>
  <c r="I651" i="1"/>
  <c r="BR651" i="1"/>
  <c r="J651" i="1" s="1"/>
  <c r="O651" i="1" s="1"/>
  <c r="P650" i="1"/>
  <c r="I650" i="1"/>
  <c r="BR650" i="1"/>
  <c r="J650" i="1" s="1"/>
  <c r="N650" i="1" s="1" a="1"/>
  <c r="N650" i="1" s="1"/>
  <c r="P649" i="1"/>
  <c r="I649" i="1"/>
  <c r="BR649" i="1"/>
  <c r="J649" i="1" s="1"/>
  <c r="P648" i="1"/>
  <c r="I648" i="1"/>
  <c r="BR648" i="1"/>
  <c r="J648" i="1" s="1"/>
  <c r="Q648" i="1" s="1"/>
  <c r="R648" i="1" s="1"/>
  <c r="P647" i="1"/>
  <c r="I647" i="1"/>
  <c r="BR647" i="1"/>
  <c r="J647" i="1" s="1"/>
  <c r="P646" i="1"/>
  <c r="I646" i="1"/>
  <c r="BR646" i="1"/>
  <c r="J646" i="1" s="1"/>
  <c r="P645" i="1"/>
  <c r="I645" i="1"/>
  <c r="BR645" i="1"/>
  <c r="J645" i="1" s="1"/>
  <c r="P644" i="1"/>
  <c r="I644" i="1"/>
  <c r="BR644" i="1"/>
  <c r="J644" i="1" s="1"/>
  <c r="Q644" i="1" s="1"/>
  <c r="R644" i="1" s="1"/>
  <c r="Z644" i="1" s="1"/>
  <c r="P643" i="1"/>
  <c r="I643" i="1"/>
  <c r="BR643" i="1"/>
  <c r="J643" i="1" s="1"/>
  <c r="P642" i="1"/>
  <c r="I642" i="1"/>
  <c r="BR642" i="1"/>
  <c r="J642" i="1" s="1"/>
  <c r="O642" i="1" s="1"/>
  <c r="P641" i="1"/>
  <c r="I641" i="1"/>
  <c r="BR641" i="1"/>
  <c r="J641" i="1" s="1"/>
  <c r="P640" i="1"/>
  <c r="I640" i="1"/>
  <c r="BR640" i="1"/>
  <c r="J640" i="1" s="1"/>
  <c r="N640" i="1" s="1" a="1"/>
  <c r="N640" i="1" s="1"/>
  <c r="P639" i="1"/>
  <c r="I639" i="1"/>
  <c r="BR639" i="1"/>
  <c r="J639" i="1" s="1"/>
  <c r="Q639" i="1" s="1"/>
  <c r="R639" i="1" s="1"/>
  <c r="Z639" i="1" s="1"/>
  <c r="AB639" i="1" s="1"/>
  <c r="P638" i="1"/>
  <c r="I638" i="1"/>
  <c r="BR638" i="1"/>
  <c r="J638" i="1" s="1"/>
  <c r="P637" i="1"/>
  <c r="I637" i="1"/>
  <c r="BR637" i="1"/>
  <c r="J637" i="1" s="1"/>
  <c r="P636" i="1"/>
  <c r="I636" i="1"/>
  <c r="BR636" i="1"/>
  <c r="J636" i="1" s="1"/>
  <c r="P635" i="1"/>
  <c r="I635" i="1"/>
  <c r="BR635" i="1"/>
  <c r="J635" i="1" s="1"/>
  <c r="P634" i="1"/>
  <c r="I634" i="1"/>
  <c r="BR634" i="1"/>
  <c r="J634" i="1" s="1"/>
  <c r="N634" i="1" s="1" a="1"/>
  <c r="N634" i="1" s="1"/>
  <c r="P633" i="1"/>
  <c r="I633" i="1"/>
  <c r="BR633" i="1"/>
  <c r="J633" i="1" s="1"/>
  <c r="P632" i="1"/>
  <c r="I632" i="1"/>
  <c r="BR632" i="1"/>
  <c r="J632" i="1" s="1"/>
  <c r="N632" i="1" s="1" a="1"/>
  <c r="N632" i="1" s="1"/>
  <c r="P631" i="1"/>
  <c r="I631" i="1"/>
  <c r="BR631" i="1"/>
  <c r="J631" i="1" s="1"/>
  <c r="P630" i="1"/>
  <c r="I630" i="1"/>
  <c r="BR630" i="1"/>
  <c r="J630" i="1" s="1"/>
  <c r="Q630" i="1" s="1"/>
  <c r="R630" i="1" s="1"/>
  <c r="Z630" i="1" s="1"/>
  <c r="P629" i="1"/>
  <c r="I629" i="1"/>
  <c r="BR629" i="1"/>
  <c r="J629" i="1" s="1"/>
  <c r="O629" i="1" s="1"/>
  <c r="P628" i="1"/>
  <c r="I628" i="1"/>
  <c r="BR628" i="1"/>
  <c r="J628" i="1" s="1"/>
  <c r="Q628" i="1" s="1"/>
  <c r="R628" i="1" s="1"/>
  <c r="P627" i="1"/>
  <c r="I627" i="1"/>
  <c r="BR627" i="1"/>
  <c r="J627" i="1" s="1"/>
  <c r="N627" i="1" s="1" a="1"/>
  <c r="N627" i="1" s="1"/>
  <c r="P626" i="1"/>
  <c r="I626" i="1"/>
  <c r="BR626" i="1"/>
  <c r="J626" i="1" s="1"/>
  <c r="P625" i="1"/>
  <c r="I625" i="1"/>
  <c r="BR625" i="1"/>
  <c r="J625" i="1" s="1"/>
  <c r="N625" i="1" s="1" a="1"/>
  <c r="N625" i="1" s="1"/>
  <c r="P624" i="1"/>
  <c r="I624" i="1"/>
  <c r="BR624" i="1"/>
  <c r="J624" i="1" s="1"/>
  <c r="P623" i="1"/>
  <c r="I623" i="1"/>
  <c r="BR623" i="1"/>
  <c r="J623" i="1" s="1"/>
  <c r="N623" i="1" s="1" a="1"/>
  <c r="N623" i="1" s="1"/>
  <c r="P622" i="1"/>
  <c r="I622" i="1"/>
  <c r="BR622" i="1"/>
  <c r="J622" i="1" s="1"/>
  <c r="P621" i="1"/>
  <c r="I621" i="1"/>
  <c r="BR621" i="1"/>
  <c r="J621" i="1" s="1"/>
  <c r="N621" i="1" s="1" a="1"/>
  <c r="N621" i="1" s="1"/>
  <c r="P620" i="1"/>
  <c r="I620" i="1"/>
  <c r="BR620" i="1"/>
  <c r="J620" i="1" s="1"/>
  <c r="P619" i="1"/>
  <c r="I619" i="1"/>
  <c r="BR619" i="1"/>
  <c r="J619" i="1" s="1"/>
  <c r="P618" i="1"/>
  <c r="I618" i="1"/>
  <c r="BR618" i="1"/>
  <c r="J618" i="1" s="1"/>
  <c r="P617" i="1"/>
  <c r="I617" i="1"/>
  <c r="BR617" i="1"/>
  <c r="J617" i="1" s="1"/>
  <c r="P616" i="1"/>
  <c r="I616" i="1"/>
  <c r="BR616" i="1"/>
  <c r="J616" i="1" s="1"/>
  <c r="P615" i="1"/>
  <c r="I615" i="1"/>
  <c r="BR615" i="1"/>
  <c r="J615" i="1" s="1"/>
  <c r="P614" i="1"/>
  <c r="I614" i="1"/>
  <c r="BR614" i="1"/>
  <c r="J614" i="1" s="1"/>
  <c r="P613" i="1"/>
  <c r="I613" i="1"/>
  <c r="BR613" i="1"/>
  <c r="J613" i="1" s="1"/>
  <c r="P612" i="1"/>
  <c r="I612" i="1"/>
  <c r="BR612" i="1"/>
  <c r="J612" i="1" s="1"/>
  <c r="N612" i="1" s="1" a="1"/>
  <c r="N612" i="1" s="1"/>
  <c r="P611" i="1"/>
  <c r="I611" i="1"/>
  <c r="BR611" i="1"/>
  <c r="J611" i="1" s="1"/>
  <c r="N611" i="1" s="1" a="1"/>
  <c r="N611" i="1" s="1"/>
  <c r="P610" i="1"/>
  <c r="I610" i="1"/>
  <c r="BR610" i="1"/>
  <c r="J610" i="1" s="1"/>
  <c r="P609" i="1"/>
  <c r="I609" i="1"/>
  <c r="BR609" i="1"/>
  <c r="J609" i="1" s="1"/>
  <c r="P608" i="1"/>
  <c r="I608" i="1"/>
  <c r="BR608" i="1"/>
  <c r="J608" i="1" s="1"/>
  <c r="P607" i="1"/>
  <c r="I607" i="1"/>
  <c r="BR607" i="1"/>
  <c r="J607" i="1" s="1"/>
  <c r="P606" i="1"/>
  <c r="I606" i="1"/>
  <c r="BR606" i="1"/>
  <c r="J606" i="1" s="1"/>
  <c r="P605" i="1"/>
  <c r="I605" i="1"/>
  <c r="BR605" i="1"/>
  <c r="J605" i="1" s="1"/>
  <c r="P604" i="1"/>
  <c r="I604" i="1"/>
  <c r="BR604" i="1"/>
  <c r="J604" i="1" s="1"/>
  <c r="P603" i="1"/>
  <c r="I603" i="1"/>
  <c r="BR603" i="1"/>
  <c r="J603" i="1" s="1"/>
  <c r="P602" i="1"/>
  <c r="I602" i="1"/>
  <c r="BR602" i="1"/>
  <c r="J602" i="1" s="1"/>
  <c r="P601" i="1"/>
  <c r="I601" i="1"/>
  <c r="BR601" i="1"/>
  <c r="J601" i="1" s="1"/>
  <c r="P600" i="1"/>
  <c r="I600" i="1"/>
  <c r="BR600" i="1"/>
  <c r="J600" i="1" s="1"/>
  <c r="P599" i="1"/>
  <c r="I599" i="1"/>
  <c r="BR599" i="1"/>
  <c r="J599" i="1" s="1"/>
  <c r="N599" i="1" s="1" a="1"/>
  <c r="N599" i="1" s="1"/>
  <c r="P598" i="1"/>
  <c r="I598" i="1"/>
  <c r="BR598" i="1"/>
  <c r="J598" i="1" s="1"/>
  <c r="P597" i="1"/>
  <c r="I597" i="1"/>
  <c r="BR597" i="1"/>
  <c r="J597" i="1" s="1"/>
  <c r="P596" i="1"/>
  <c r="I596" i="1"/>
  <c r="BR596" i="1"/>
  <c r="J596" i="1" s="1"/>
  <c r="P595" i="1"/>
  <c r="I595" i="1"/>
  <c r="BR595" i="1"/>
  <c r="J595" i="1" s="1"/>
  <c r="P594" i="1"/>
  <c r="I594" i="1"/>
  <c r="BR594" i="1"/>
  <c r="J594" i="1" s="1"/>
  <c r="Q594" i="1" s="1"/>
  <c r="R594" i="1" s="1"/>
  <c r="Z594" i="1" s="1"/>
  <c r="AB594" i="1" s="1"/>
  <c r="P593" i="1"/>
  <c r="I593" i="1"/>
  <c r="BR593" i="1"/>
  <c r="J593" i="1" s="1"/>
  <c r="P592" i="1"/>
  <c r="I592" i="1"/>
  <c r="BR592" i="1"/>
  <c r="J592" i="1" s="1"/>
  <c r="P591" i="1"/>
  <c r="I591" i="1"/>
  <c r="BR591" i="1"/>
  <c r="J591" i="1" s="1"/>
  <c r="N591" i="1" s="1" a="1"/>
  <c r="N591" i="1" s="1"/>
  <c r="P590" i="1"/>
  <c r="I590" i="1"/>
  <c r="BR590" i="1"/>
  <c r="J590" i="1" s="1"/>
  <c r="P589" i="1"/>
  <c r="I589" i="1"/>
  <c r="BR589" i="1"/>
  <c r="J589" i="1" s="1"/>
  <c r="N589" i="1" s="1" a="1"/>
  <c r="N589" i="1" s="1"/>
  <c r="P588" i="1"/>
  <c r="I588" i="1"/>
  <c r="BR588" i="1"/>
  <c r="J588" i="1" s="1"/>
  <c r="Q588" i="1" s="1"/>
  <c r="R588" i="1" s="1"/>
  <c r="Z588" i="1" s="1"/>
  <c r="AB588" i="1" s="1"/>
  <c r="P587" i="1"/>
  <c r="I587" i="1"/>
  <c r="BR587" i="1"/>
  <c r="J587" i="1" s="1"/>
  <c r="P586" i="1"/>
  <c r="I586" i="1"/>
  <c r="BR586" i="1"/>
  <c r="J586" i="1" s="1"/>
  <c r="N586" i="1" s="1" a="1"/>
  <c r="N586" i="1" s="1"/>
  <c r="P585" i="1"/>
  <c r="I585" i="1"/>
  <c r="BR585" i="1"/>
  <c r="J585" i="1" s="1"/>
  <c r="P584" i="1"/>
  <c r="I584" i="1"/>
  <c r="BR584" i="1"/>
  <c r="J584" i="1" s="1"/>
  <c r="P583" i="1"/>
  <c r="I583" i="1"/>
  <c r="BR583" i="1"/>
  <c r="J583" i="1" s="1"/>
  <c r="P582" i="1"/>
  <c r="I582" i="1"/>
  <c r="BR582" i="1"/>
  <c r="J582" i="1" s="1"/>
  <c r="P581" i="1"/>
  <c r="I581" i="1"/>
  <c r="BR581" i="1"/>
  <c r="J581" i="1" s="1"/>
  <c r="P580" i="1"/>
  <c r="I580" i="1"/>
  <c r="BR580" i="1"/>
  <c r="J580" i="1" s="1"/>
  <c r="P579" i="1"/>
  <c r="I579" i="1"/>
  <c r="BR579" i="1"/>
  <c r="J579" i="1" s="1"/>
  <c r="P578" i="1"/>
  <c r="I578" i="1"/>
  <c r="BR578" i="1"/>
  <c r="J578" i="1" s="1"/>
  <c r="P577" i="1"/>
  <c r="I577" i="1"/>
  <c r="BR577" i="1"/>
  <c r="J577" i="1" s="1"/>
  <c r="N577" i="1" s="1" a="1"/>
  <c r="N577" i="1" s="1"/>
  <c r="P576" i="1"/>
  <c r="I576" i="1"/>
  <c r="BR576" i="1"/>
  <c r="J576" i="1" s="1"/>
  <c r="N576" i="1" s="1" a="1"/>
  <c r="N576" i="1" s="1"/>
  <c r="P575" i="1"/>
  <c r="I575" i="1"/>
  <c r="BR575" i="1"/>
  <c r="J575" i="1" s="1"/>
  <c r="Q575" i="1" s="1"/>
  <c r="R575" i="1" s="1"/>
  <c r="P574" i="1"/>
  <c r="I574" i="1"/>
  <c r="BR574" i="1"/>
  <c r="J574" i="1" s="1"/>
  <c r="Q574" i="1" s="1"/>
  <c r="R574" i="1" s="1"/>
  <c r="Z574" i="1" s="1"/>
  <c r="AB574" i="1" s="1"/>
  <c r="P573" i="1"/>
  <c r="I573" i="1"/>
  <c r="BR573" i="1"/>
  <c r="J573" i="1" s="1"/>
  <c r="P572" i="1"/>
  <c r="I572" i="1"/>
  <c r="BR572" i="1"/>
  <c r="J572" i="1" s="1"/>
  <c r="O572" i="1" s="1"/>
  <c r="P571" i="1"/>
  <c r="I571" i="1"/>
  <c r="BR571" i="1"/>
  <c r="J571" i="1" s="1"/>
  <c r="P570" i="1"/>
  <c r="I570" i="1"/>
  <c r="BR570" i="1"/>
  <c r="J570" i="1" s="1"/>
  <c r="P569" i="1"/>
  <c r="I569" i="1"/>
  <c r="BR569" i="1"/>
  <c r="J569" i="1" s="1"/>
  <c r="N569" i="1" s="1" a="1"/>
  <c r="N569" i="1" s="1"/>
  <c r="P568" i="1"/>
  <c r="I568" i="1"/>
  <c r="BR568" i="1"/>
  <c r="J568" i="1" s="1"/>
  <c r="Q568" i="1" s="1"/>
  <c r="R568" i="1" s="1"/>
  <c r="Z568" i="1" s="1"/>
  <c r="AB568" i="1" s="1"/>
  <c r="P567" i="1"/>
  <c r="I567" i="1"/>
  <c r="BR567" i="1"/>
  <c r="J567" i="1" s="1"/>
  <c r="Q567" i="1" s="1"/>
  <c r="R567" i="1" s="1"/>
  <c r="P566" i="1"/>
  <c r="I566" i="1"/>
  <c r="BR566" i="1"/>
  <c r="J566" i="1" s="1"/>
  <c r="P565" i="1"/>
  <c r="I565" i="1"/>
  <c r="BR565" i="1"/>
  <c r="J565" i="1" s="1"/>
  <c r="O565" i="1" s="1"/>
  <c r="P564" i="1"/>
  <c r="I564" i="1"/>
  <c r="BR564" i="1"/>
  <c r="J564" i="1" s="1"/>
  <c r="N564" i="1" s="1" a="1"/>
  <c r="N564" i="1" s="1"/>
  <c r="P563" i="1"/>
  <c r="I563" i="1"/>
  <c r="BR563" i="1"/>
  <c r="J563" i="1" s="1"/>
  <c r="P562" i="1"/>
  <c r="I562" i="1"/>
  <c r="BR562" i="1"/>
  <c r="J562" i="1" s="1"/>
  <c r="P561" i="1"/>
  <c r="I561" i="1"/>
  <c r="BR561" i="1"/>
  <c r="J561" i="1" s="1"/>
  <c r="P560" i="1"/>
  <c r="I560" i="1"/>
  <c r="BR560" i="1"/>
  <c r="J560" i="1" s="1"/>
  <c r="P559" i="1"/>
  <c r="I559" i="1"/>
  <c r="BR559" i="1"/>
  <c r="J559" i="1" s="1"/>
  <c r="P558" i="1"/>
  <c r="I558" i="1"/>
  <c r="BR558" i="1"/>
  <c r="J558" i="1" s="1"/>
  <c r="P557" i="1"/>
  <c r="I557" i="1"/>
  <c r="BR557" i="1"/>
  <c r="J557" i="1" s="1"/>
  <c r="N557" i="1" s="1" a="1"/>
  <c r="N557" i="1" s="1"/>
  <c r="P556" i="1"/>
  <c r="I556" i="1"/>
  <c r="BR556" i="1"/>
  <c r="J556" i="1" s="1"/>
  <c r="P555" i="1"/>
  <c r="I555" i="1"/>
  <c r="BR555" i="1"/>
  <c r="J555" i="1" s="1"/>
  <c r="Q555" i="1" s="1"/>
  <c r="R555" i="1" s="1"/>
  <c r="Z555" i="1" s="1"/>
  <c r="AB555" i="1" s="1"/>
  <c r="P554" i="1"/>
  <c r="I554" i="1"/>
  <c r="BR554" i="1"/>
  <c r="J554" i="1" s="1"/>
  <c r="P553" i="1"/>
  <c r="I553" i="1"/>
  <c r="BR553" i="1"/>
  <c r="J553" i="1" s="1"/>
  <c r="P552" i="1"/>
  <c r="I552" i="1"/>
  <c r="BR552" i="1"/>
  <c r="J552" i="1" s="1"/>
  <c r="P551" i="1"/>
  <c r="I551" i="1"/>
  <c r="BR551" i="1"/>
  <c r="J551" i="1" s="1"/>
  <c r="P550" i="1"/>
  <c r="I550" i="1"/>
  <c r="BR550" i="1"/>
  <c r="J550" i="1" s="1"/>
  <c r="Q550" i="1" s="1"/>
  <c r="R550" i="1" s="1"/>
  <c r="Z550" i="1" s="1"/>
  <c r="AB550" i="1" s="1"/>
  <c r="P549" i="1"/>
  <c r="I549" i="1"/>
  <c r="BR549" i="1"/>
  <c r="J549" i="1" s="1"/>
  <c r="Q549" i="1" s="1"/>
  <c r="R549" i="1" s="1"/>
  <c r="Z549" i="1" s="1"/>
  <c r="AB549" i="1" s="1"/>
  <c r="P548" i="1"/>
  <c r="I548" i="1"/>
  <c r="BR548" i="1"/>
  <c r="J548" i="1" s="1"/>
  <c r="P547" i="1"/>
  <c r="I547" i="1"/>
  <c r="BR547" i="1"/>
  <c r="J547" i="1" s="1"/>
  <c r="P546" i="1"/>
  <c r="I546" i="1"/>
  <c r="BR546" i="1"/>
  <c r="J546" i="1" s="1"/>
  <c r="P545" i="1"/>
  <c r="I545" i="1"/>
  <c r="BR545" i="1"/>
  <c r="J545" i="1" s="1"/>
  <c r="O545" i="1" s="1"/>
  <c r="P544" i="1"/>
  <c r="I544" i="1"/>
  <c r="BR544" i="1"/>
  <c r="J544" i="1" s="1"/>
  <c r="P543" i="1"/>
  <c r="I543" i="1"/>
  <c r="BR543" i="1"/>
  <c r="J543" i="1" s="1"/>
  <c r="P542" i="1"/>
  <c r="I542" i="1"/>
  <c r="BR542" i="1"/>
  <c r="J542" i="1" s="1"/>
  <c r="P541" i="1"/>
  <c r="I541" i="1"/>
  <c r="BR541" i="1"/>
  <c r="J541" i="1" s="1"/>
  <c r="P540" i="1"/>
  <c r="I540" i="1"/>
  <c r="BR540" i="1"/>
  <c r="J540" i="1" s="1"/>
  <c r="Q540" i="1" s="1"/>
  <c r="R540" i="1" s="1"/>
  <c r="P539" i="1"/>
  <c r="I539" i="1"/>
  <c r="BR539" i="1"/>
  <c r="J539" i="1" s="1"/>
  <c r="P538" i="1"/>
  <c r="I538" i="1"/>
  <c r="BR538" i="1"/>
  <c r="J538" i="1" s="1"/>
  <c r="P537" i="1"/>
  <c r="I537" i="1"/>
  <c r="BR537" i="1"/>
  <c r="J537" i="1" s="1"/>
  <c r="O537" i="1" s="1"/>
  <c r="P536" i="1"/>
  <c r="I536" i="1"/>
  <c r="BR536" i="1"/>
  <c r="J536" i="1" s="1"/>
  <c r="N536" i="1" s="1" a="1"/>
  <c r="N536" i="1" s="1"/>
  <c r="P535" i="1"/>
  <c r="I535" i="1"/>
  <c r="BR535" i="1"/>
  <c r="J535" i="1" s="1"/>
  <c r="O535" i="1" s="1"/>
  <c r="P534" i="1"/>
  <c r="I534" i="1"/>
  <c r="BR534" i="1"/>
  <c r="J534" i="1" s="1"/>
  <c r="P533" i="1"/>
  <c r="I533" i="1"/>
  <c r="BR533" i="1"/>
  <c r="J533" i="1" s="1"/>
  <c r="Q533" i="1" s="1"/>
  <c r="R533" i="1" s="1"/>
  <c r="P532" i="1"/>
  <c r="I532" i="1"/>
  <c r="BR532" i="1"/>
  <c r="J532" i="1" s="1"/>
  <c r="Q532" i="1" s="1"/>
  <c r="R532" i="1" s="1"/>
  <c r="P531" i="1"/>
  <c r="I531" i="1"/>
  <c r="BR531" i="1"/>
  <c r="J531" i="1" s="1"/>
  <c r="P530" i="1"/>
  <c r="I530" i="1"/>
  <c r="BR530" i="1"/>
  <c r="J530" i="1" s="1"/>
  <c r="P529" i="1"/>
  <c r="I529" i="1"/>
  <c r="BR529" i="1"/>
  <c r="J529" i="1" s="1"/>
  <c r="P528" i="1"/>
  <c r="I528" i="1"/>
  <c r="BR528" i="1"/>
  <c r="J528" i="1" s="1"/>
  <c r="Q528" i="1" s="1"/>
  <c r="R528" i="1" s="1"/>
  <c r="P527" i="1"/>
  <c r="I527" i="1"/>
  <c r="BR527" i="1"/>
  <c r="J527" i="1" s="1"/>
  <c r="Q527" i="1" s="1"/>
  <c r="R527" i="1" s="1"/>
  <c r="Z527" i="1" s="1"/>
  <c r="AB527" i="1" s="1"/>
  <c r="P526" i="1"/>
  <c r="I526" i="1"/>
  <c r="BR526" i="1"/>
  <c r="J526" i="1" s="1"/>
  <c r="N526" i="1" s="1" a="1"/>
  <c r="N526" i="1" s="1"/>
  <c r="P525" i="1"/>
  <c r="I525" i="1"/>
  <c r="BR525" i="1"/>
  <c r="J525" i="1" s="1"/>
  <c r="P524" i="1"/>
  <c r="I524" i="1"/>
  <c r="BR524" i="1"/>
  <c r="J524" i="1" s="1"/>
  <c r="P523" i="1"/>
  <c r="I523" i="1"/>
  <c r="BR523" i="1"/>
  <c r="J523" i="1" s="1"/>
  <c r="P522" i="1"/>
  <c r="I522" i="1"/>
  <c r="BR522" i="1"/>
  <c r="J522" i="1" s="1"/>
  <c r="N522" i="1" s="1" a="1"/>
  <c r="N522" i="1" s="1"/>
  <c r="P521" i="1"/>
  <c r="I521" i="1"/>
  <c r="BR521" i="1"/>
  <c r="J521" i="1" s="1"/>
  <c r="Q521" i="1" s="1"/>
  <c r="R521" i="1" s="1"/>
  <c r="Z521" i="1" s="1"/>
  <c r="AB521" i="1" s="1"/>
  <c r="P520" i="1"/>
  <c r="I520" i="1"/>
  <c r="BR520" i="1"/>
  <c r="J520" i="1" s="1"/>
  <c r="Q520" i="1" s="1"/>
  <c r="R520" i="1" s="1"/>
  <c r="P519" i="1"/>
  <c r="I519" i="1"/>
  <c r="BR519" i="1"/>
  <c r="J519" i="1" s="1"/>
  <c r="P518" i="1"/>
  <c r="I518" i="1"/>
  <c r="BR518" i="1"/>
  <c r="J518" i="1" s="1"/>
  <c r="N518" i="1" s="1" a="1"/>
  <c r="N518" i="1" s="1"/>
  <c r="P517" i="1"/>
  <c r="I517" i="1"/>
  <c r="BR517" i="1"/>
  <c r="J517" i="1" s="1"/>
  <c r="Q517" i="1" s="1"/>
  <c r="R517" i="1" s="1"/>
  <c r="P516" i="1"/>
  <c r="I516" i="1"/>
  <c r="BR516" i="1"/>
  <c r="J516" i="1" s="1"/>
  <c r="P515" i="1"/>
  <c r="I515" i="1"/>
  <c r="BR515" i="1"/>
  <c r="J515" i="1" s="1"/>
  <c r="P514" i="1"/>
  <c r="I514" i="1"/>
  <c r="BR514" i="1"/>
  <c r="J514" i="1" s="1"/>
  <c r="P513" i="1"/>
  <c r="I513" i="1"/>
  <c r="BR513" i="1"/>
  <c r="J513" i="1" s="1"/>
  <c r="P512" i="1"/>
  <c r="I512" i="1"/>
  <c r="BR512" i="1"/>
  <c r="J512" i="1" s="1"/>
  <c r="Q512" i="1" s="1"/>
  <c r="R512" i="1" s="1"/>
  <c r="P511" i="1"/>
  <c r="I511" i="1"/>
  <c r="BR511" i="1"/>
  <c r="J511" i="1" s="1"/>
  <c r="N511" i="1" s="1" a="1"/>
  <c r="N511" i="1" s="1"/>
  <c r="P510" i="1"/>
  <c r="I510" i="1"/>
  <c r="BR510" i="1"/>
  <c r="J510" i="1" s="1"/>
  <c r="P509" i="1"/>
  <c r="I509" i="1"/>
  <c r="BR509" i="1"/>
  <c r="J509" i="1" s="1"/>
  <c r="P508" i="1"/>
  <c r="I508" i="1"/>
  <c r="BR508" i="1"/>
  <c r="J508" i="1" s="1"/>
  <c r="P507" i="1"/>
  <c r="I507" i="1"/>
  <c r="BR507" i="1"/>
  <c r="J507" i="1" s="1"/>
  <c r="P506" i="1"/>
  <c r="I506" i="1"/>
  <c r="BR506" i="1"/>
  <c r="J506" i="1" s="1"/>
  <c r="P505" i="1"/>
  <c r="I505" i="1"/>
  <c r="BR505" i="1"/>
  <c r="J505" i="1" s="1"/>
  <c r="N505" i="1" s="1" a="1"/>
  <c r="N505" i="1" s="1"/>
  <c r="P504" i="1"/>
  <c r="I504" i="1"/>
  <c r="BR504" i="1"/>
  <c r="J504" i="1" s="1"/>
  <c r="P503" i="1"/>
  <c r="I503" i="1"/>
  <c r="BR503" i="1"/>
  <c r="J503" i="1" s="1"/>
  <c r="P502" i="1"/>
  <c r="I502" i="1"/>
  <c r="BR502" i="1"/>
  <c r="J502" i="1" s="1"/>
  <c r="P501" i="1"/>
  <c r="I501" i="1"/>
  <c r="BR501" i="1"/>
  <c r="J501" i="1" s="1"/>
  <c r="Q501" i="1" s="1"/>
  <c r="R501" i="1" s="1"/>
  <c r="P500" i="1"/>
  <c r="I500" i="1"/>
  <c r="BR500" i="1"/>
  <c r="J500" i="1" s="1"/>
  <c r="N500" i="1" s="1" a="1"/>
  <c r="N500" i="1" s="1"/>
  <c r="P499" i="1"/>
  <c r="I499" i="1"/>
  <c r="BR499" i="1"/>
  <c r="J499" i="1" s="1"/>
  <c r="O499" i="1" s="1"/>
  <c r="P498" i="1"/>
  <c r="I498" i="1"/>
  <c r="BR498" i="1"/>
  <c r="J498" i="1" s="1"/>
  <c r="O498" i="1" s="1"/>
  <c r="P497" i="1"/>
  <c r="I497" i="1"/>
  <c r="BR497" i="1"/>
  <c r="J497" i="1" s="1"/>
  <c r="O497" i="1" s="1"/>
  <c r="P496" i="1"/>
  <c r="I496" i="1"/>
  <c r="BR496" i="1"/>
  <c r="J496" i="1" s="1"/>
  <c r="P495" i="1"/>
  <c r="I495" i="1"/>
  <c r="BR495" i="1"/>
  <c r="J495" i="1" s="1"/>
  <c r="Q495" i="1" s="1"/>
  <c r="R495" i="1" s="1"/>
  <c r="P494" i="1"/>
  <c r="I494" i="1"/>
  <c r="BR494" i="1"/>
  <c r="J494" i="1" s="1"/>
  <c r="O494" i="1" s="1"/>
  <c r="P493" i="1"/>
  <c r="I493" i="1"/>
  <c r="BR493" i="1"/>
  <c r="J493" i="1" s="1"/>
  <c r="P492" i="1"/>
  <c r="I492" i="1"/>
  <c r="BR492" i="1"/>
  <c r="J492" i="1" s="1"/>
  <c r="P491" i="1"/>
  <c r="I491" i="1"/>
  <c r="BR491" i="1"/>
  <c r="J491" i="1" s="1"/>
  <c r="P490" i="1"/>
  <c r="I490" i="1"/>
  <c r="BR490" i="1"/>
  <c r="J490" i="1" s="1"/>
  <c r="Q490" i="1" s="1"/>
  <c r="R490" i="1" s="1"/>
  <c r="P489" i="1"/>
  <c r="I489" i="1"/>
  <c r="BR489" i="1"/>
  <c r="J489" i="1" s="1"/>
  <c r="O489" i="1" s="1"/>
  <c r="P488" i="1"/>
  <c r="I488" i="1"/>
  <c r="BR488" i="1"/>
  <c r="J488" i="1" s="1"/>
  <c r="Q488" i="1" s="1"/>
  <c r="R488" i="1" s="1"/>
  <c r="P487" i="1"/>
  <c r="I487" i="1"/>
  <c r="BR487" i="1"/>
  <c r="J487" i="1" s="1"/>
  <c r="Q487" i="1" s="1"/>
  <c r="R487" i="1" s="1"/>
  <c r="P486" i="1"/>
  <c r="I486" i="1"/>
  <c r="BR486" i="1"/>
  <c r="J486" i="1" s="1"/>
  <c r="P485" i="1"/>
  <c r="I485" i="1"/>
  <c r="BR485" i="1"/>
  <c r="J485" i="1" s="1"/>
  <c r="P484" i="1"/>
  <c r="I484" i="1"/>
  <c r="BR484" i="1"/>
  <c r="J484" i="1" s="1"/>
  <c r="Q484" i="1" s="1"/>
  <c r="R484" i="1" s="1"/>
  <c r="P483" i="1"/>
  <c r="I483" i="1"/>
  <c r="BR483" i="1"/>
  <c r="J483" i="1" s="1"/>
  <c r="P482" i="1"/>
  <c r="I482" i="1"/>
  <c r="BR482" i="1"/>
  <c r="J482" i="1" s="1"/>
  <c r="N482" i="1" s="1" a="1"/>
  <c r="N482" i="1" s="1"/>
  <c r="P481" i="1"/>
  <c r="I481" i="1"/>
  <c r="BR481" i="1"/>
  <c r="J481" i="1" s="1"/>
  <c r="P480" i="1"/>
  <c r="I480" i="1"/>
  <c r="BR480" i="1"/>
  <c r="J480" i="1" s="1"/>
  <c r="P479" i="1"/>
  <c r="I479" i="1"/>
  <c r="BR479" i="1"/>
  <c r="J479" i="1" s="1"/>
  <c r="O479" i="1" s="1"/>
  <c r="P478" i="1"/>
  <c r="I478" i="1"/>
  <c r="BR478" i="1"/>
  <c r="J478" i="1" s="1"/>
  <c r="Q478" i="1" s="1"/>
  <c r="R478" i="1" s="1"/>
  <c r="P477" i="1"/>
  <c r="I477" i="1"/>
  <c r="BR477" i="1"/>
  <c r="J477" i="1" s="1"/>
  <c r="O477" i="1" s="1"/>
  <c r="P476" i="1"/>
  <c r="I476" i="1"/>
  <c r="BR476" i="1"/>
  <c r="J476" i="1" s="1"/>
  <c r="P475" i="1"/>
  <c r="I475" i="1"/>
  <c r="BR475" i="1"/>
  <c r="J475" i="1" s="1"/>
  <c r="N475" i="1" s="1" a="1"/>
  <c r="N475" i="1" s="1"/>
  <c r="P474" i="1"/>
  <c r="I474" i="1"/>
  <c r="BR474" i="1"/>
  <c r="J474" i="1" s="1"/>
  <c r="P473" i="1"/>
  <c r="I473" i="1"/>
  <c r="BR473" i="1"/>
  <c r="J473" i="1" s="1"/>
  <c r="Q473" i="1" s="1"/>
  <c r="R473" i="1" s="1"/>
  <c r="P472" i="1"/>
  <c r="I472" i="1"/>
  <c r="BR472" i="1"/>
  <c r="J472" i="1" s="1"/>
  <c r="P471" i="1"/>
  <c r="I471" i="1"/>
  <c r="BR471" i="1"/>
  <c r="J471" i="1" s="1"/>
  <c r="P470" i="1"/>
  <c r="I470" i="1"/>
  <c r="BR470" i="1"/>
  <c r="J470" i="1" s="1"/>
  <c r="P469" i="1"/>
  <c r="I469" i="1"/>
  <c r="BR469" i="1"/>
  <c r="J469" i="1" s="1"/>
  <c r="N469" i="1" s="1" a="1"/>
  <c r="N469" i="1" s="1"/>
  <c r="P468" i="1"/>
  <c r="I468" i="1"/>
  <c r="BR468" i="1"/>
  <c r="J468" i="1" s="1"/>
  <c r="Q468" i="1" s="1"/>
  <c r="R468" i="1" s="1"/>
  <c r="P467" i="1"/>
  <c r="I467" i="1"/>
  <c r="BR467" i="1"/>
  <c r="J467" i="1" s="1"/>
  <c r="N467" i="1" s="1" a="1"/>
  <c r="N467" i="1" s="1"/>
  <c r="P466" i="1"/>
  <c r="I466" i="1"/>
  <c r="BR466" i="1"/>
  <c r="J466" i="1" s="1"/>
  <c r="P465" i="1"/>
  <c r="I465" i="1"/>
  <c r="BR465" i="1"/>
  <c r="J465" i="1" s="1"/>
  <c r="N465" i="1" s="1" a="1"/>
  <c r="N465" i="1" s="1"/>
  <c r="P464" i="1"/>
  <c r="I464" i="1"/>
  <c r="BR464" i="1"/>
  <c r="J464" i="1" s="1"/>
  <c r="P463" i="1"/>
  <c r="I463" i="1"/>
  <c r="BR463" i="1"/>
  <c r="J463" i="1" s="1"/>
  <c r="O463" i="1" s="1"/>
  <c r="P462" i="1"/>
  <c r="I462" i="1"/>
  <c r="BR462" i="1"/>
  <c r="J462" i="1" s="1"/>
  <c r="P461" i="1"/>
  <c r="I461" i="1"/>
  <c r="BR461" i="1"/>
  <c r="J461" i="1" s="1"/>
  <c r="P460" i="1"/>
  <c r="I460" i="1"/>
  <c r="BR460" i="1"/>
  <c r="J460" i="1" s="1"/>
  <c r="P459" i="1"/>
  <c r="I459" i="1"/>
  <c r="BR459" i="1"/>
  <c r="J459" i="1" s="1"/>
  <c r="P458" i="1"/>
  <c r="I458" i="1"/>
  <c r="BR458" i="1"/>
  <c r="J458" i="1" s="1"/>
  <c r="N458" i="1" s="1" a="1"/>
  <c r="N458" i="1" s="1"/>
  <c r="P457" i="1"/>
  <c r="I457" i="1"/>
  <c r="BR457" i="1"/>
  <c r="J457" i="1" s="1"/>
  <c r="P456" i="1"/>
  <c r="I456" i="1"/>
  <c r="BR456" i="1"/>
  <c r="J456" i="1" s="1"/>
  <c r="N456" i="1" s="1" a="1"/>
  <c r="N456" i="1" s="1"/>
  <c r="P455" i="1"/>
  <c r="I455" i="1"/>
  <c r="BR455" i="1"/>
  <c r="J455" i="1" s="1"/>
  <c r="P454" i="1"/>
  <c r="I454" i="1"/>
  <c r="BR454" i="1"/>
  <c r="J454" i="1" s="1"/>
  <c r="P453" i="1"/>
  <c r="I453" i="1"/>
  <c r="BR453" i="1"/>
  <c r="J453" i="1" s="1"/>
  <c r="P452" i="1"/>
  <c r="I452" i="1"/>
  <c r="BR452" i="1"/>
  <c r="J452" i="1" s="1"/>
  <c r="P451" i="1"/>
  <c r="I451" i="1"/>
  <c r="BR451" i="1"/>
  <c r="J451" i="1" s="1"/>
  <c r="P450" i="1"/>
  <c r="I450" i="1"/>
  <c r="BR450" i="1"/>
  <c r="J450" i="1" s="1"/>
  <c r="O450" i="1" s="1"/>
  <c r="P449" i="1"/>
  <c r="I449" i="1"/>
  <c r="BR449" i="1"/>
  <c r="J449" i="1" s="1"/>
  <c r="P448" i="1"/>
  <c r="I448" i="1"/>
  <c r="BR448" i="1"/>
  <c r="J448" i="1" s="1"/>
  <c r="Q448" i="1" s="1"/>
  <c r="R448" i="1" s="1"/>
  <c r="P447" i="1"/>
  <c r="I447" i="1"/>
  <c r="BR447" i="1"/>
  <c r="J447" i="1" s="1"/>
  <c r="O447" i="1" s="1"/>
  <c r="P446" i="1"/>
  <c r="I446" i="1"/>
  <c r="BR446" i="1"/>
  <c r="J446" i="1" s="1"/>
  <c r="P445" i="1"/>
  <c r="I445" i="1"/>
  <c r="BR445" i="1"/>
  <c r="J445" i="1" s="1"/>
  <c r="P444" i="1"/>
  <c r="I444" i="1"/>
  <c r="BR444" i="1"/>
  <c r="J444" i="1" s="1"/>
  <c r="P443" i="1"/>
  <c r="I443" i="1"/>
  <c r="BR443" i="1"/>
  <c r="J443" i="1" s="1"/>
  <c r="Q443" i="1" s="1"/>
  <c r="R443" i="1" s="1"/>
  <c r="P442" i="1"/>
  <c r="I442" i="1"/>
  <c r="BR442" i="1"/>
  <c r="J442" i="1" s="1"/>
  <c r="N442" i="1" s="1" a="1"/>
  <c r="N442" i="1" s="1"/>
  <c r="P441" i="1"/>
  <c r="I441" i="1"/>
  <c r="BR441" i="1"/>
  <c r="J441" i="1" s="1"/>
  <c r="Q441" i="1" s="1"/>
  <c r="R441" i="1" s="1"/>
  <c r="P440" i="1"/>
  <c r="I440" i="1"/>
  <c r="BR440" i="1"/>
  <c r="J440" i="1" s="1"/>
  <c r="P439" i="1"/>
  <c r="I439" i="1"/>
  <c r="BR439" i="1"/>
  <c r="J439" i="1" s="1"/>
  <c r="P438" i="1"/>
  <c r="I438" i="1"/>
  <c r="BR438" i="1"/>
  <c r="J438" i="1" s="1"/>
  <c r="P437" i="1"/>
  <c r="I437" i="1"/>
  <c r="BR437" i="1"/>
  <c r="J437" i="1" s="1"/>
  <c r="P436" i="1"/>
  <c r="I436" i="1"/>
  <c r="BR436" i="1"/>
  <c r="J436" i="1" s="1"/>
  <c r="P435" i="1"/>
  <c r="I435" i="1"/>
  <c r="BR435" i="1"/>
  <c r="J435" i="1" s="1"/>
  <c r="P434" i="1"/>
  <c r="I434" i="1"/>
  <c r="BR434" i="1"/>
  <c r="J434" i="1" s="1"/>
  <c r="P433" i="1"/>
  <c r="I433" i="1"/>
  <c r="BR433" i="1"/>
  <c r="J433" i="1" s="1"/>
  <c r="N433" i="1" s="1" a="1"/>
  <c r="N433" i="1" s="1"/>
  <c r="P432" i="1"/>
  <c r="I432" i="1"/>
  <c r="BR432" i="1"/>
  <c r="J432" i="1" s="1"/>
  <c r="P431" i="1"/>
  <c r="I431" i="1"/>
  <c r="BR431" i="1"/>
  <c r="J431" i="1" s="1"/>
  <c r="P430" i="1"/>
  <c r="I430" i="1"/>
  <c r="BR430" i="1"/>
  <c r="J430" i="1" s="1"/>
  <c r="Q430" i="1" s="1"/>
  <c r="R430" i="1" s="1"/>
  <c r="P429" i="1"/>
  <c r="I429" i="1"/>
  <c r="BR429" i="1"/>
  <c r="J429" i="1" s="1"/>
  <c r="P428" i="1"/>
  <c r="I428" i="1"/>
  <c r="BR428" i="1"/>
  <c r="J428" i="1" s="1"/>
  <c r="P427" i="1"/>
  <c r="I427" i="1"/>
  <c r="BR427" i="1"/>
  <c r="J427" i="1" s="1"/>
  <c r="P426" i="1"/>
  <c r="I426" i="1"/>
  <c r="BR426" i="1"/>
  <c r="J426" i="1" s="1"/>
  <c r="P425" i="1"/>
  <c r="I425" i="1"/>
  <c r="BR425" i="1"/>
  <c r="J425" i="1" s="1"/>
  <c r="P424" i="1"/>
  <c r="I424" i="1"/>
  <c r="BR424" i="1"/>
  <c r="J424" i="1" s="1"/>
  <c r="Q424" i="1" s="1"/>
  <c r="R424" i="1" s="1"/>
  <c r="P423" i="1"/>
  <c r="I423" i="1"/>
  <c r="BR423" i="1"/>
  <c r="J423" i="1" s="1"/>
  <c r="N423" i="1" s="1" a="1"/>
  <c r="N423" i="1" s="1"/>
  <c r="P422" i="1"/>
  <c r="I422" i="1"/>
  <c r="BR422" i="1"/>
  <c r="J422" i="1" s="1"/>
  <c r="Q422" i="1" s="1"/>
  <c r="R422" i="1" s="1"/>
  <c r="P421" i="1"/>
  <c r="I421" i="1"/>
  <c r="BR421" i="1"/>
  <c r="J421" i="1" s="1"/>
  <c r="N421" i="1" s="1" a="1"/>
  <c r="N421" i="1" s="1"/>
  <c r="P420" i="1"/>
  <c r="I420" i="1"/>
  <c r="BR420" i="1"/>
  <c r="J420" i="1" s="1"/>
  <c r="P419" i="1"/>
  <c r="I419" i="1"/>
  <c r="BR419" i="1"/>
  <c r="J419" i="1" s="1"/>
  <c r="P418" i="1"/>
  <c r="I418" i="1"/>
  <c r="BR418" i="1"/>
  <c r="J418" i="1" s="1"/>
  <c r="P417" i="1"/>
  <c r="I417" i="1"/>
  <c r="BR417" i="1"/>
  <c r="J417" i="1" s="1"/>
  <c r="P416" i="1"/>
  <c r="I416" i="1"/>
  <c r="BR416" i="1"/>
  <c r="J416" i="1" s="1"/>
  <c r="P415" i="1"/>
  <c r="I415" i="1"/>
  <c r="BR415" i="1"/>
  <c r="J415" i="1" s="1"/>
  <c r="O415" i="1" s="1"/>
  <c r="P414" i="1"/>
  <c r="I414" i="1"/>
  <c r="BR414" i="1"/>
  <c r="J414" i="1" s="1"/>
  <c r="P413" i="1"/>
  <c r="I413" i="1"/>
  <c r="BR413" i="1"/>
  <c r="J413" i="1" s="1"/>
  <c r="P412" i="1"/>
  <c r="I412" i="1"/>
  <c r="BR412" i="1"/>
  <c r="J412" i="1" s="1"/>
  <c r="P411" i="1"/>
  <c r="I411" i="1"/>
  <c r="BR411" i="1"/>
  <c r="J411" i="1" s="1"/>
  <c r="O411" i="1" s="1"/>
  <c r="P410" i="1"/>
  <c r="I410" i="1"/>
  <c r="BR410" i="1"/>
  <c r="J410" i="1" s="1"/>
  <c r="P409" i="1"/>
  <c r="I409" i="1"/>
  <c r="BR409" i="1"/>
  <c r="J409" i="1" s="1"/>
  <c r="P408" i="1"/>
  <c r="I408" i="1"/>
  <c r="BR408" i="1"/>
  <c r="J408" i="1" s="1"/>
  <c r="N408" i="1" s="1" a="1"/>
  <c r="N408" i="1" s="1"/>
  <c r="P407" i="1"/>
  <c r="I407" i="1"/>
  <c r="BR407" i="1"/>
  <c r="J407" i="1" s="1"/>
  <c r="P406" i="1"/>
  <c r="I406" i="1"/>
  <c r="BR406" i="1"/>
  <c r="J406" i="1" s="1"/>
  <c r="P405" i="1"/>
  <c r="I405" i="1"/>
  <c r="BR405" i="1"/>
  <c r="J405" i="1" s="1"/>
  <c r="N405" i="1" s="1" a="1"/>
  <c r="N405" i="1" s="1"/>
  <c r="P404" i="1"/>
  <c r="I404" i="1"/>
  <c r="BR404" i="1"/>
  <c r="J404" i="1" s="1"/>
  <c r="P403" i="1"/>
  <c r="I403" i="1"/>
  <c r="BR403" i="1"/>
  <c r="J403" i="1" s="1"/>
  <c r="P402" i="1"/>
  <c r="I402" i="1"/>
  <c r="BR402" i="1"/>
  <c r="J402" i="1" s="1"/>
  <c r="P401" i="1"/>
  <c r="I401" i="1"/>
  <c r="BR401" i="1"/>
  <c r="J401" i="1" s="1"/>
  <c r="P400" i="1"/>
  <c r="I400" i="1"/>
  <c r="BR400" i="1"/>
  <c r="J400" i="1" s="1"/>
  <c r="Q400" i="1" s="1"/>
  <c r="R400" i="1" s="1"/>
  <c r="P399" i="1"/>
  <c r="I399" i="1"/>
  <c r="BR399" i="1"/>
  <c r="J399" i="1" s="1"/>
  <c r="P398" i="1"/>
  <c r="I398" i="1"/>
  <c r="BR398" i="1"/>
  <c r="J398" i="1" s="1"/>
  <c r="P397" i="1"/>
  <c r="I397" i="1"/>
  <c r="BR397" i="1"/>
  <c r="J397" i="1" s="1"/>
  <c r="N397" i="1" s="1" a="1"/>
  <c r="N397" i="1" s="1"/>
  <c r="P396" i="1"/>
  <c r="I396" i="1"/>
  <c r="BR396" i="1"/>
  <c r="J396" i="1" s="1"/>
  <c r="P395" i="1"/>
  <c r="I395" i="1"/>
  <c r="BR395" i="1"/>
  <c r="J395" i="1" s="1"/>
  <c r="N395" i="1" s="1" a="1"/>
  <c r="N395" i="1" s="1"/>
  <c r="P394" i="1"/>
  <c r="I394" i="1"/>
  <c r="BR394" i="1"/>
  <c r="J394" i="1" s="1"/>
  <c r="P393" i="1"/>
  <c r="I393" i="1"/>
  <c r="BR393" i="1"/>
  <c r="J393" i="1" s="1"/>
  <c r="Q393" i="1" s="1"/>
  <c r="R393" i="1" s="1"/>
  <c r="P392" i="1"/>
  <c r="I392" i="1"/>
  <c r="BR392" i="1"/>
  <c r="J392" i="1" s="1"/>
  <c r="Q392" i="1" s="1"/>
  <c r="R392" i="1" s="1"/>
  <c r="P391" i="1"/>
  <c r="I391" i="1"/>
  <c r="BR391" i="1"/>
  <c r="J391" i="1" s="1"/>
  <c r="O391" i="1" s="1"/>
  <c r="P390" i="1"/>
  <c r="I390" i="1"/>
  <c r="BR390" i="1"/>
  <c r="J390" i="1" s="1"/>
  <c r="P389" i="1"/>
  <c r="I389" i="1"/>
  <c r="BR389" i="1"/>
  <c r="J389" i="1" s="1"/>
  <c r="O389" i="1" s="1"/>
  <c r="P388" i="1"/>
  <c r="I388" i="1"/>
  <c r="BR388" i="1"/>
  <c r="J388" i="1" s="1"/>
  <c r="N388" i="1" s="1" a="1"/>
  <c r="N388" i="1" s="1"/>
  <c r="P387" i="1"/>
  <c r="I387" i="1"/>
  <c r="BR387" i="1"/>
  <c r="J387" i="1" s="1"/>
  <c r="P386" i="1"/>
  <c r="I386" i="1"/>
  <c r="BR386" i="1"/>
  <c r="J386" i="1" s="1"/>
  <c r="N386" i="1" s="1" a="1"/>
  <c r="N386" i="1" s="1"/>
  <c r="P385" i="1"/>
  <c r="I385" i="1"/>
  <c r="BR385" i="1"/>
  <c r="J385" i="1" s="1"/>
  <c r="P384" i="1"/>
  <c r="I384" i="1"/>
  <c r="BR384" i="1"/>
  <c r="J384" i="1" s="1"/>
  <c r="P383" i="1"/>
  <c r="I383" i="1"/>
  <c r="BR383" i="1"/>
  <c r="J383" i="1" s="1"/>
  <c r="O383" i="1" s="1"/>
  <c r="P382" i="1"/>
  <c r="I382" i="1"/>
  <c r="BR382" i="1"/>
  <c r="J382" i="1" s="1"/>
  <c r="N382" i="1" s="1" a="1"/>
  <c r="N382" i="1" s="1"/>
  <c r="P381" i="1"/>
  <c r="I381" i="1"/>
  <c r="BR381" i="1"/>
  <c r="J381" i="1" s="1"/>
  <c r="P380" i="1"/>
  <c r="I380" i="1"/>
  <c r="BR380" i="1"/>
  <c r="J380" i="1" s="1"/>
  <c r="Q380" i="1" s="1"/>
  <c r="R380" i="1" s="1"/>
  <c r="P379" i="1"/>
  <c r="I379" i="1"/>
  <c r="BR379" i="1"/>
  <c r="J379" i="1" s="1"/>
  <c r="P378" i="1"/>
  <c r="I378" i="1"/>
  <c r="BR378" i="1"/>
  <c r="J378" i="1" s="1"/>
  <c r="P377" i="1"/>
  <c r="I377" i="1"/>
  <c r="BR377" i="1"/>
  <c r="J377" i="1" s="1"/>
  <c r="N377" i="1" s="1" a="1"/>
  <c r="N377" i="1" s="1"/>
  <c r="P376" i="1"/>
  <c r="I376" i="1"/>
  <c r="BR376" i="1"/>
  <c r="J376" i="1" s="1"/>
  <c r="P375" i="1"/>
  <c r="I375" i="1"/>
  <c r="BR375" i="1"/>
  <c r="J375" i="1" s="1"/>
  <c r="O375" i="1" s="1"/>
  <c r="P374" i="1"/>
  <c r="I374" i="1"/>
  <c r="BR374" i="1"/>
  <c r="J374" i="1" s="1"/>
  <c r="N374" i="1" s="1" a="1"/>
  <c r="N374" i="1" s="1"/>
  <c r="P373" i="1"/>
  <c r="I373" i="1"/>
  <c r="BR373" i="1"/>
  <c r="J373" i="1" s="1"/>
  <c r="N373" i="1" s="1" a="1"/>
  <c r="N373" i="1" s="1"/>
  <c r="P372" i="1"/>
  <c r="I372" i="1"/>
  <c r="BR372" i="1"/>
  <c r="J372" i="1" s="1"/>
  <c r="P371" i="1"/>
  <c r="I371" i="1"/>
  <c r="BR371" i="1"/>
  <c r="J371" i="1" s="1"/>
  <c r="O371" i="1" s="1"/>
  <c r="P370" i="1"/>
  <c r="I370" i="1"/>
  <c r="BR370" i="1"/>
  <c r="J370" i="1" s="1"/>
  <c r="P369" i="1"/>
  <c r="I369" i="1"/>
  <c r="BR369" i="1"/>
  <c r="J369" i="1" s="1"/>
  <c r="N369" i="1" s="1" a="1"/>
  <c r="N369" i="1" s="1"/>
  <c r="P368" i="1"/>
  <c r="I368" i="1"/>
  <c r="BR368" i="1"/>
  <c r="J368" i="1" s="1"/>
  <c r="P367" i="1"/>
  <c r="I367" i="1"/>
  <c r="BR367" i="1"/>
  <c r="J367" i="1" s="1"/>
  <c r="Q367" i="1" s="1"/>
  <c r="R367" i="1" s="1"/>
  <c r="P366" i="1"/>
  <c r="I366" i="1"/>
  <c r="BR366" i="1"/>
  <c r="J366" i="1" s="1"/>
  <c r="P365" i="1"/>
  <c r="I365" i="1"/>
  <c r="BR365" i="1"/>
  <c r="J365" i="1" s="1"/>
  <c r="Q365" i="1" s="1"/>
  <c r="R365" i="1" s="1"/>
  <c r="P364" i="1"/>
  <c r="I364" i="1"/>
  <c r="BR364" i="1"/>
  <c r="J364" i="1" s="1"/>
  <c r="N364" i="1" s="1" a="1"/>
  <c r="N364" i="1" s="1"/>
  <c r="P363" i="1"/>
  <c r="I363" i="1"/>
  <c r="BR363" i="1"/>
  <c r="J363" i="1" s="1"/>
  <c r="N363" i="1" s="1" a="1"/>
  <c r="N363" i="1" s="1"/>
  <c r="P362" i="1"/>
  <c r="I362" i="1"/>
  <c r="BR362" i="1"/>
  <c r="J362" i="1" s="1"/>
  <c r="P361" i="1"/>
  <c r="I361" i="1"/>
  <c r="BR361" i="1"/>
  <c r="J361" i="1" s="1"/>
  <c r="P360" i="1"/>
  <c r="I360" i="1"/>
  <c r="BR360" i="1"/>
  <c r="J360" i="1" s="1"/>
  <c r="N360" i="1" s="1" a="1"/>
  <c r="N360" i="1" s="1"/>
  <c r="P359" i="1"/>
  <c r="I359" i="1"/>
  <c r="BR359" i="1"/>
  <c r="J359" i="1" s="1"/>
  <c r="P358" i="1"/>
  <c r="I358" i="1"/>
  <c r="BR358" i="1"/>
  <c r="J358" i="1" s="1"/>
  <c r="Q358" i="1" s="1"/>
  <c r="R358" i="1" s="1"/>
  <c r="P357" i="1"/>
  <c r="I357" i="1"/>
  <c r="BR357" i="1"/>
  <c r="J357" i="1" s="1"/>
  <c r="P356" i="1"/>
  <c r="I356" i="1"/>
  <c r="BR356" i="1"/>
  <c r="J356" i="1" s="1"/>
  <c r="P355" i="1"/>
  <c r="I355" i="1"/>
  <c r="BR355" i="1"/>
  <c r="J355" i="1" s="1"/>
  <c r="P354" i="1"/>
  <c r="I354" i="1"/>
  <c r="BR354" i="1"/>
  <c r="J354" i="1" s="1"/>
  <c r="P353" i="1"/>
  <c r="I353" i="1"/>
  <c r="BR353" i="1"/>
  <c r="J353" i="1" s="1"/>
  <c r="N353" i="1" s="1" a="1"/>
  <c r="N353" i="1" s="1"/>
  <c r="P352" i="1"/>
  <c r="I352" i="1"/>
  <c r="BR352" i="1"/>
  <c r="J352" i="1" s="1"/>
  <c r="Q352" i="1" s="1"/>
  <c r="R352" i="1" s="1"/>
  <c r="P351" i="1"/>
  <c r="I351" i="1"/>
  <c r="BR351" i="1"/>
  <c r="J351" i="1" s="1"/>
  <c r="P350" i="1"/>
  <c r="I350" i="1"/>
  <c r="BR350" i="1"/>
  <c r="J350" i="1" s="1"/>
  <c r="O350" i="1" s="1"/>
  <c r="P349" i="1"/>
  <c r="I349" i="1"/>
  <c r="BR349" i="1"/>
  <c r="J349" i="1" s="1"/>
  <c r="Q349" i="1" s="1"/>
  <c r="R349" i="1" s="1"/>
  <c r="P348" i="1"/>
  <c r="I348" i="1"/>
  <c r="BR348" i="1"/>
  <c r="J348" i="1" s="1"/>
  <c r="O348" i="1" s="1"/>
  <c r="P347" i="1"/>
  <c r="I347" i="1"/>
  <c r="BR347" i="1"/>
  <c r="J347" i="1" s="1"/>
  <c r="P346" i="1"/>
  <c r="I346" i="1"/>
  <c r="BR346" i="1"/>
  <c r="J346" i="1" s="1"/>
  <c r="P345" i="1"/>
  <c r="I345" i="1"/>
  <c r="BR345" i="1"/>
  <c r="J345" i="1" s="1"/>
  <c r="P344" i="1"/>
  <c r="I344" i="1"/>
  <c r="BR344" i="1"/>
  <c r="J344" i="1" s="1"/>
  <c r="P343" i="1"/>
  <c r="I343" i="1"/>
  <c r="BR343" i="1"/>
  <c r="J343" i="1" s="1"/>
  <c r="Q343" i="1" s="1"/>
  <c r="R343" i="1" s="1"/>
  <c r="P342" i="1"/>
  <c r="I342" i="1"/>
  <c r="BR342" i="1"/>
  <c r="J342" i="1" s="1"/>
  <c r="Q342" i="1" s="1"/>
  <c r="R342" i="1" s="1"/>
  <c r="P341" i="1"/>
  <c r="I341" i="1"/>
  <c r="BR341" i="1"/>
  <c r="J341" i="1" s="1"/>
  <c r="N341" i="1" s="1" a="1"/>
  <c r="N341" i="1" s="1"/>
  <c r="P340" i="1"/>
  <c r="I340" i="1"/>
  <c r="BR340" i="1"/>
  <c r="J340" i="1" s="1"/>
  <c r="P339" i="1"/>
  <c r="I339" i="1"/>
  <c r="BR339" i="1"/>
  <c r="J339" i="1" s="1"/>
  <c r="Q339" i="1" s="1"/>
  <c r="R339" i="1" s="1"/>
  <c r="P338" i="1"/>
  <c r="I338" i="1"/>
  <c r="BR338" i="1"/>
  <c r="J338" i="1" s="1"/>
  <c r="P337" i="1"/>
  <c r="I337" i="1"/>
  <c r="BR337" i="1"/>
  <c r="J337" i="1" s="1"/>
  <c r="O337" i="1" s="1"/>
  <c r="P336" i="1"/>
  <c r="I336" i="1"/>
  <c r="BR336" i="1"/>
  <c r="J336" i="1" s="1"/>
  <c r="P335" i="1"/>
  <c r="I335" i="1"/>
  <c r="BR335" i="1"/>
  <c r="J335" i="1" s="1"/>
  <c r="P334" i="1"/>
  <c r="I334" i="1"/>
  <c r="BR334" i="1"/>
  <c r="J334" i="1" s="1"/>
  <c r="N334" i="1" s="1" a="1"/>
  <c r="N334" i="1" s="1"/>
  <c r="P333" i="1"/>
  <c r="I333" i="1"/>
  <c r="BR333" i="1"/>
  <c r="J333" i="1" s="1"/>
  <c r="P332" i="1"/>
  <c r="I332" i="1"/>
  <c r="BR332" i="1"/>
  <c r="J332" i="1" s="1"/>
  <c r="P331" i="1"/>
  <c r="I331" i="1"/>
  <c r="BR331" i="1"/>
  <c r="J331" i="1" s="1"/>
  <c r="P330" i="1"/>
  <c r="I330" i="1"/>
  <c r="BR330" i="1"/>
  <c r="J330" i="1" s="1"/>
  <c r="P329" i="1"/>
  <c r="I329" i="1"/>
  <c r="BR329" i="1"/>
  <c r="J329" i="1" s="1"/>
  <c r="P328" i="1"/>
  <c r="I328" i="1"/>
  <c r="BR328" i="1"/>
  <c r="J328" i="1" s="1"/>
  <c r="P327" i="1"/>
  <c r="I327" i="1"/>
  <c r="BR327" i="1"/>
  <c r="J327" i="1" s="1"/>
  <c r="O327" i="1" s="1"/>
  <c r="P326" i="1"/>
  <c r="I326" i="1"/>
  <c r="BR326" i="1"/>
  <c r="J326" i="1" s="1"/>
  <c r="P325" i="1"/>
  <c r="I325" i="1"/>
  <c r="BR325" i="1"/>
  <c r="J325" i="1" s="1"/>
  <c r="Q325" i="1" s="1"/>
  <c r="R325" i="1" s="1"/>
  <c r="P324" i="1"/>
  <c r="I324" i="1"/>
  <c r="BR324" i="1"/>
  <c r="J324" i="1" s="1"/>
  <c r="P323" i="1"/>
  <c r="I323" i="1"/>
  <c r="BR323" i="1"/>
  <c r="J323" i="1" s="1"/>
  <c r="P322" i="1"/>
  <c r="I322" i="1"/>
  <c r="BR322" i="1"/>
  <c r="J322" i="1" s="1"/>
  <c r="P321" i="1"/>
  <c r="I321" i="1"/>
  <c r="BR321" i="1"/>
  <c r="J321" i="1" s="1"/>
  <c r="N321" i="1" s="1" a="1"/>
  <c r="N321" i="1" s="1"/>
  <c r="P320" i="1"/>
  <c r="I320" i="1"/>
  <c r="BR320" i="1"/>
  <c r="J320" i="1" s="1"/>
  <c r="P319" i="1"/>
  <c r="I319" i="1"/>
  <c r="BR319" i="1"/>
  <c r="J319" i="1" s="1"/>
  <c r="P318" i="1"/>
  <c r="I318" i="1"/>
  <c r="BR318" i="1"/>
  <c r="J318" i="1" s="1"/>
  <c r="Q318" i="1" s="1"/>
  <c r="R318" i="1" s="1"/>
  <c r="P317" i="1"/>
  <c r="I317" i="1"/>
  <c r="BR317" i="1"/>
  <c r="J317" i="1" s="1"/>
  <c r="P316" i="1"/>
  <c r="I316" i="1"/>
  <c r="BR316" i="1"/>
  <c r="J316" i="1" s="1"/>
  <c r="Q316" i="1" s="1"/>
  <c r="R316" i="1" s="1"/>
  <c r="P315" i="1"/>
  <c r="I315" i="1"/>
  <c r="BR315" i="1"/>
  <c r="J315" i="1" s="1"/>
  <c r="N315" i="1" s="1" a="1"/>
  <c r="N315" i="1" s="1"/>
  <c r="P314" i="1"/>
  <c r="I314" i="1"/>
  <c r="BR314" i="1"/>
  <c r="J314" i="1" s="1"/>
  <c r="Q314" i="1" s="1"/>
  <c r="R314" i="1" s="1"/>
  <c r="P313" i="1"/>
  <c r="I313" i="1"/>
  <c r="BR313" i="1"/>
  <c r="J313" i="1" s="1"/>
  <c r="Q313" i="1" s="1"/>
  <c r="R313" i="1" s="1"/>
  <c r="P312" i="1"/>
  <c r="I312" i="1"/>
  <c r="BR312" i="1"/>
  <c r="J312" i="1" s="1"/>
  <c r="P311" i="1"/>
  <c r="I311" i="1"/>
  <c r="BR311" i="1"/>
  <c r="J311" i="1" s="1"/>
  <c r="N311" i="1" s="1" a="1"/>
  <c r="N311" i="1" s="1"/>
  <c r="P310" i="1"/>
  <c r="I310" i="1"/>
  <c r="BR310" i="1"/>
  <c r="J310" i="1" s="1"/>
  <c r="Q310" i="1" s="1"/>
  <c r="R310" i="1" s="1"/>
  <c r="P309" i="1"/>
  <c r="I309" i="1"/>
  <c r="BR309" i="1"/>
  <c r="J309" i="1" s="1"/>
  <c r="P308" i="1"/>
  <c r="I308" i="1"/>
  <c r="BR308" i="1"/>
  <c r="J308" i="1" s="1"/>
  <c r="N308" i="1" s="1" a="1"/>
  <c r="N308" i="1" s="1"/>
  <c r="P307" i="1"/>
  <c r="I307" i="1"/>
  <c r="BR307" i="1"/>
  <c r="J307" i="1" s="1"/>
  <c r="P306" i="1"/>
  <c r="I306" i="1"/>
  <c r="BR306" i="1"/>
  <c r="J306" i="1" s="1"/>
  <c r="Q306" i="1" s="1"/>
  <c r="R306" i="1" s="1"/>
  <c r="P305" i="1"/>
  <c r="I305" i="1"/>
  <c r="BR305" i="1"/>
  <c r="J305" i="1" s="1"/>
  <c r="P304" i="1"/>
  <c r="I304" i="1"/>
  <c r="BR304" i="1"/>
  <c r="J304" i="1" s="1"/>
  <c r="P303" i="1"/>
  <c r="I303" i="1"/>
  <c r="BR303" i="1"/>
  <c r="J303" i="1" s="1"/>
  <c r="Q303" i="1" s="1"/>
  <c r="R303" i="1" s="1"/>
  <c r="P302" i="1"/>
  <c r="I302" i="1"/>
  <c r="BR302" i="1"/>
  <c r="J302" i="1" s="1"/>
  <c r="N302" i="1" s="1" a="1"/>
  <c r="N302" i="1" s="1"/>
  <c r="P301" i="1"/>
  <c r="I301" i="1"/>
  <c r="BR301" i="1"/>
  <c r="J301" i="1" s="1"/>
  <c r="P300" i="1"/>
  <c r="I300" i="1"/>
  <c r="BR300" i="1"/>
  <c r="J300" i="1" s="1"/>
  <c r="P299" i="1"/>
  <c r="I299" i="1"/>
  <c r="BR299" i="1"/>
  <c r="J299" i="1" s="1"/>
  <c r="P298" i="1"/>
  <c r="I298" i="1"/>
  <c r="BR298" i="1"/>
  <c r="J298" i="1" s="1"/>
  <c r="N298" i="1" s="1" a="1"/>
  <c r="N298" i="1" s="1"/>
  <c r="P297" i="1"/>
  <c r="I297" i="1"/>
  <c r="BR297" i="1"/>
  <c r="J297" i="1" s="1"/>
  <c r="P296" i="1"/>
  <c r="I296" i="1"/>
  <c r="BR296" i="1"/>
  <c r="J296" i="1" s="1"/>
  <c r="O296" i="1" s="1"/>
  <c r="P295" i="1"/>
  <c r="I295" i="1"/>
  <c r="BR295" i="1"/>
  <c r="J295" i="1" s="1"/>
  <c r="P294" i="1"/>
  <c r="I294" i="1"/>
  <c r="BR294" i="1"/>
  <c r="J294" i="1" s="1"/>
  <c r="Q294" i="1" s="1"/>
  <c r="R294" i="1" s="1"/>
  <c r="P293" i="1"/>
  <c r="I293" i="1"/>
  <c r="BR293" i="1"/>
  <c r="J293" i="1" s="1"/>
  <c r="O293" i="1" s="1"/>
  <c r="P292" i="1"/>
  <c r="I292" i="1"/>
  <c r="BR292" i="1"/>
  <c r="J292" i="1" s="1"/>
  <c r="O292" i="1" s="1"/>
  <c r="P291" i="1"/>
  <c r="I291" i="1"/>
  <c r="BR291" i="1"/>
  <c r="J291" i="1" s="1"/>
  <c r="P290" i="1"/>
  <c r="I290" i="1"/>
  <c r="BR290" i="1"/>
  <c r="J290" i="1" s="1"/>
  <c r="Q290" i="1" s="1"/>
  <c r="R290" i="1" s="1"/>
  <c r="P289" i="1"/>
  <c r="I289" i="1"/>
  <c r="BR289" i="1"/>
  <c r="J289" i="1" s="1"/>
  <c r="N289" i="1" s="1" a="1"/>
  <c r="N289" i="1" s="1"/>
  <c r="P288" i="1"/>
  <c r="I288" i="1"/>
  <c r="BR288" i="1"/>
  <c r="J288" i="1" s="1"/>
  <c r="P287" i="1"/>
  <c r="I287" i="1"/>
  <c r="BR287" i="1"/>
  <c r="J287" i="1" s="1"/>
  <c r="N287" i="1" s="1" a="1"/>
  <c r="N287" i="1" s="1"/>
  <c r="P286" i="1"/>
  <c r="I286" i="1"/>
  <c r="BR286" i="1"/>
  <c r="J286" i="1" s="1"/>
  <c r="P285" i="1"/>
  <c r="I285" i="1"/>
  <c r="BR285" i="1"/>
  <c r="J285" i="1" s="1"/>
  <c r="P284" i="1"/>
  <c r="I284" i="1"/>
  <c r="BR284" i="1"/>
  <c r="J284" i="1" s="1"/>
  <c r="P283" i="1"/>
  <c r="I283" i="1"/>
  <c r="BR283" i="1"/>
  <c r="J283" i="1" s="1"/>
  <c r="P282" i="1"/>
  <c r="I282" i="1"/>
  <c r="BR282" i="1"/>
  <c r="J282" i="1" s="1"/>
  <c r="P281" i="1"/>
  <c r="I281" i="1"/>
  <c r="BR281" i="1"/>
  <c r="J281" i="1" s="1"/>
  <c r="P280" i="1"/>
  <c r="I280" i="1"/>
  <c r="BR280" i="1"/>
  <c r="J280" i="1" s="1"/>
  <c r="P279" i="1"/>
  <c r="I279" i="1"/>
  <c r="BR279" i="1"/>
  <c r="J279" i="1" s="1"/>
  <c r="Q279" i="1" s="1"/>
  <c r="R279" i="1" s="1"/>
  <c r="P278" i="1"/>
  <c r="I278" i="1"/>
  <c r="BR278" i="1"/>
  <c r="J278" i="1" s="1"/>
  <c r="P277" i="1"/>
  <c r="I277" i="1"/>
  <c r="BR277" i="1"/>
  <c r="J277" i="1" s="1"/>
  <c r="Q277" i="1" s="1"/>
  <c r="R277" i="1" s="1"/>
  <c r="P276" i="1"/>
  <c r="I276" i="1"/>
  <c r="BR276" i="1"/>
  <c r="J276" i="1" s="1"/>
  <c r="P275" i="1"/>
  <c r="I275" i="1"/>
  <c r="BR275" i="1"/>
  <c r="J275" i="1" s="1"/>
  <c r="P274" i="1"/>
  <c r="I274" i="1"/>
  <c r="BR274" i="1"/>
  <c r="J274" i="1" s="1"/>
  <c r="Q274" i="1" s="1"/>
  <c r="R274" i="1" s="1"/>
  <c r="P273" i="1"/>
  <c r="I273" i="1"/>
  <c r="BR273" i="1"/>
  <c r="J273" i="1" s="1"/>
  <c r="P272" i="1"/>
  <c r="I272" i="1"/>
  <c r="BR272" i="1"/>
  <c r="J272" i="1" s="1"/>
  <c r="Q272" i="1" s="1"/>
  <c r="R272" i="1" s="1"/>
  <c r="P271" i="1"/>
  <c r="I271" i="1"/>
  <c r="BR271" i="1"/>
  <c r="J271" i="1" s="1"/>
  <c r="P270" i="1"/>
  <c r="I270" i="1"/>
  <c r="BR270" i="1"/>
  <c r="J270" i="1" s="1"/>
  <c r="P269" i="1"/>
  <c r="I269" i="1"/>
  <c r="BR269" i="1"/>
  <c r="J269" i="1" s="1"/>
  <c r="P268" i="1"/>
  <c r="I268" i="1"/>
  <c r="BR268" i="1"/>
  <c r="J268" i="1" s="1"/>
  <c r="P267" i="1"/>
  <c r="I267" i="1"/>
  <c r="BR267" i="1"/>
  <c r="J267" i="1" s="1"/>
  <c r="P266" i="1"/>
  <c r="I266" i="1"/>
  <c r="BR266" i="1"/>
  <c r="J266" i="1" s="1"/>
  <c r="Q266" i="1" s="1"/>
  <c r="R266" i="1" s="1"/>
  <c r="P265" i="1"/>
  <c r="I265" i="1"/>
  <c r="BR265" i="1"/>
  <c r="J265" i="1" s="1"/>
  <c r="Q265" i="1" s="1"/>
  <c r="R265" i="1" s="1"/>
  <c r="P264" i="1"/>
  <c r="I264" i="1"/>
  <c r="BR264" i="1"/>
  <c r="J264" i="1" s="1"/>
  <c r="P263" i="1"/>
  <c r="I263" i="1"/>
  <c r="BR263" i="1"/>
  <c r="J263" i="1" s="1"/>
  <c r="Q263" i="1" s="1"/>
  <c r="R263" i="1" s="1"/>
  <c r="P262" i="1"/>
  <c r="I262" i="1"/>
  <c r="BR262" i="1"/>
  <c r="J262" i="1" s="1"/>
  <c r="P261" i="1"/>
  <c r="I261" i="1"/>
  <c r="BR261" i="1"/>
  <c r="J261" i="1" s="1"/>
  <c r="Q261" i="1" s="1"/>
  <c r="R261" i="1" s="1"/>
  <c r="P260" i="1"/>
  <c r="I260" i="1"/>
  <c r="BR260" i="1"/>
  <c r="J260" i="1" s="1"/>
  <c r="P259" i="1"/>
  <c r="I259" i="1"/>
  <c r="BR259" i="1"/>
  <c r="J259" i="1" s="1"/>
  <c r="N259" i="1" s="1" a="1"/>
  <c r="N259" i="1" s="1"/>
  <c r="P258" i="1"/>
  <c r="I258" i="1"/>
  <c r="BR258" i="1"/>
  <c r="J258" i="1" s="1"/>
  <c r="Q258" i="1" s="1"/>
  <c r="R258" i="1" s="1"/>
  <c r="P257" i="1"/>
  <c r="I257" i="1"/>
  <c r="BR257" i="1"/>
  <c r="J257" i="1" s="1"/>
  <c r="P256" i="1"/>
  <c r="I256" i="1"/>
  <c r="BR256" i="1"/>
  <c r="J256" i="1" s="1"/>
  <c r="P255" i="1"/>
  <c r="I255" i="1"/>
  <c r="BR255" i="1"/>
  <c r="J255" i="1" s="1"/>
  <c r="P254" i="1"/>
  <c r="I254" i="1"/>
  <c r="BR254" i="1"/>
  <c r="J254" i="1" s="1"/>
  <c r="P253" i="1"/>
  <c r="I253" i="1"/>
  <c r="BR253" i="1"/>
  <c r="J253" i="1" s="1"/>
  <c r="O253" i="1" s="1"/>
  <c r="P252" i="1"/>
  <c r="I252" i="1"/>
  <c r="BR252" i="1"/>
  <c r="J252" i="1" s="1"/>
  <c r="P251" i="1"/>
  <c r="I251" i="1"/>
  <c r="BR251" i="1"/>
  <c r="J251" i="1" s="1"/>
  <c r="N251" i="1" s="1" a="1"/>
  <c r="N251" i="1" s="1"/>
  <c r="P250" i="1"/>
  <c r="I250" i="1"/>
  <c r="BR250" i="1"/>
  <c r="J250" i="1" s="1"/>
  <c r="P249" i="1"/>
  <c r="I249" i="1"/>
  <c r="BR249" i="1"/>
  <c r="J249" i="1" s="1"/>
  <c r="P248" i="1"/>
  <c r="I248" i="1"/>
  <c r="BR248" i="1"/>
  <c r="J248" i="1" s="1"/>
  <c r="N248" i="1" s="1" a="1"/>
  <c r="N248" i="1" s="1"/>
  <c r="P247" i="1"/>
  <c r="I247" i="1"/>
  <c r="BR247" i="1"/>
  <c r="J247" i="1" s="1"/>
  <c r="P246" i="1"/>
  <c r="I246" i="1"/>
  <c r="BR246" i="1"/>
  <c r="J246" i="1" s="1"/>
  <c r="O246" i="1" s="1"/>
  <c r="P245" i="1"/>
  <c r="I245" i="1"/>
  <c r="BR245" i="1"/>
  <c r="J245" i="1" s="1"/>
  <c r="P244" i="1"/>
  <c r="I244" i="1"/>
  <c r="BR244" i="1"/>
  <c r="J244" i="1" s="1"/>
  <c r="P243" i="1"/>
  <c r="I243" i="1"/>
  <c r="BR243" i="1"/>
  <c r="J243" i="1" s="1"/>
  <c r="N243" i="1" s="1" a="1"/>
  <c r="N243" i="1" s="1"/>
  <c r="P242" i="1"/>
  <c r="I242" i="1"/>
  <c r="BR242" i="1"/>
  <c r="J242" i="1" s="1"/>
  <c r="N242" i="1" s="1" a="1"/>
  <c r="N242" i="1" s="1"/>
  <c r="P241" i="1"/>
  <c r="I241" i="1"/>
  <c r="BR241" i="1"/>
  <c r="J241" i="1" s="1"/>
  <c r="P240" i="1"/>
  <c r="I240" i="1"/>
  <c r="BR240" i="1"/>
  <c r="J240" i="1" s="1"/>
  <c r="P239" i="1"/>
  <c r="I239" i="1"/>
  <c r="BR239" i="1"/>
  <c r="J239" i="1" s="1"/>
  <c r="P238" i="1"/>
  <c r="I238" i="1"/>
  <c r="BR238" i="1"/>
  <c r="J238" i="1" s="1"/>
  <c r="O238" i="1" s="1"/>
  <c r="P237" i="1"/>
  <c r="I237" i="1"/>
  <c r="BR237" i="1"/>
  <c r="J237" i="1" s="1"/>
  <c r="Q237" i="1" s="1"/>
  <c r="R237" i="1" s="1"/>
  <c r="P236" i="1"/>
  <c r="I236" i="1"/>
  <c r="BR236" i="1"/>
  <c r="J236" i="1" s="1"/>
  <c r="Q236" i="1" s="1"/>
  <c r="R236" i="1" s="1"/>
  <c r="P235" i="1"/>
  <c r="I235" i="1"/>
  <c r="BR235" i="1"/>
  <c r="J235" i="1" s="1"/>
  <c r="P234" i="1"/>
  <c r="I234" i="1"/>
  <c r="BR234" i="1"/>
  <c r="J234" i="1" s="1"/>
  <c r="P233" i="1"/>
  <c r="I233" i="1"/>
  <c r="BR233" i="1"/>
  <c r="J233" i="1" s="1"/>
  <c r="Q233" i="1" s="1"/>
  <c r="R233" i="1" s="1"/>
  <c r="P232" i="1"/>
  <c r="I232" i="1"/>
  <c r="BR232" i="1"/>
  <c r="J232" i="1" s="1"/>
  <c r="N232" i="1" s="1" a="1"/>
  <c r="N232" i="1" s="1"/>
  <c r="P231" i="1"/>
  <c r="I231" i="1"/>
  <c r="BR231" i="1"/>
  <c r="J231" i="1" s="1"/>
  <c r="N231" i="1" s="1" a="1"/>
  <c r="N231" i="1" s="1"/>
  <c r="P230" i="1"/>
  <c r="I230" i="1"/>
  <c r="BR230" i="1"/>
  <c r="J230" i="1" s="1"/>
  <c r="P229" i="1"/>
  <c r="I229" i="1"/>
  <c r="BR229" i="1"/>
  <c r="J229" i="1" s="1"/>
  <c r="N229" i="1" s="1" a="1"/>
  <c r="N229" i="1" s="1"/>
  <c r="P228" i="1"/>
  <c r="I228" i="1"/>
  <c r="BR228" i="1"/>
  <c r="J228" i="1" s="1"/>
  <c r="P227" i="1"/>
  <c r="I227" i="1"/>
  <c r="BR227" i="1"/>
  <c r="J227" i="1" s="1"/>
  <c r="P226" i="1"/>
  <c r="I226" i="1"/>
  <c r="BR226" i="1"/>
  <c r="J226" i="1" s="1"/>
  <c r="N226" i="1" s="1" a="1"/>
  <c r="N226" i="1" s="1"/>
  <c r="P225" i="1"/>
  <c r="I225" i="1"/>
  <c r="BR225" i="1"/>
  <c r="J225" i="1" s="1"/>
  <c r="N225" i="1" s="1" a="1"/>
  <c r="N225" i="1" s="1"/>
  <c r="P224" i="1"/>
  <c r="I224" i="1"/>
  <c r="BR224" i="1"/>
  <c r="J224" i="1" s="1"/>
  <c r="Q224" i="1" s="1"/>
  <c r="R224" i="1" s="1"/>
  <c r="P223" i="1"/>
  <c r="I223" i="1"/>
  <c r="BR223" i="1"/>
  <c r="J223" i="1" s="1"/>
  <c r="P222" i="1"/>
  <c r="I222" i="1"/>
  <c r="BR222" i="1"/>
  <c r="J222" i="1" s="1"/>
  <c r="Q222" i="1" s="1"/>
  <c r="R222" i="1" s="1"/>
  <c r="P221" i="1"/>
  <c r="I221" i="1"/>
  <c r="BR221" i="1"/>
  <c r="J221" i="1" s="1"/>
  <c r="P220" i="1"/>
  <c r="I220" i="1"/>
  <c r="BR220" i="1"/>
  <c r="J220" i="1" s="1"/>
  <c r="P219" i="1"/>
  <c r="I219" i="1"/>
  <c r="BR219" i="1"/>
  <c r="J219" i="1" s="1"/>
  <c r="P218" i="1"/>
  <c r="I218" i="1"/>
  <c r="BR218" i="1"/>
  <c r="J218" i="1" s="1"/>
  <c r="P217" i="1"/>
  <c r="I217" i="1"/>
  <c r="BR217" i="1"/>
  <c r="J217" i="1" s="1"/>
  <c r="Q217" i="1" s="1"/>
  <c r="R217" i="1" s="1"/>
  <c r="P216" i="1"/>
  <c r="I216" i="1"/>
  <c r="BR216" i="1"/>
  <c r="J216" i="1" s="1"/>
  <c r="P215" i="1"/>
  <c r="I215" i="1"/>
  <c r="BR215" i="1"/>
  <c r="J215" i="1" s="1"/>
  <c r="P214" i="1"/>
  <c r="I214" i="1"/>
  <c r="BR214" i="1"/>
  <c r="J214" i="1" s="1"/>
  <c r="N214" i="1" s="1" a="1"/>
  <c r="N214" i="1" s="1"/>
  <c r="P213" i="1"/>
  <c r="I213" i="1"/>
  <c r="BR213" i="1"/>
  <c r="J213" i="1" s="1"/>
  <c r="P212" i="1"/>
  <c r="I212" i="1"/>
  <c r="BR212" i="1"/>
  <c r="J212" i="1" s="1"/>
  <c r="P211" i="1"/>
  <c r="I211" i="1"/>
  <c r="BR211" i="1"/>
  <c r="J211" i="1" s="1"/>
  <c r="Q211" i="1" s="1"/>
  <c r="R211" i="1" s="1"/>
  <c r="P210" i="1"/>
  <c r="I210" i="1"/>
  <c r="BR210" i="1"/>
  <c r="J210" i="1" s="1"/>
  <c r="P209" i="1"/>
  <c r="I209" i="1"/>
  <c r="BR209" i="1"/>
  <c r="J209" i="1" s="1"/>
  <c r="N209" i="1" s="1" a="1"/>
  <c r="N209" i="1" s="1"/>
  <c r="P208" i="1"/>
  <c r="I208" i="1"/>
  <c r="BR208" i="1"/>
  <c r="J208" i="1" s="1"/>
  <c r="O208" i="1" s="1"/>
  <c r="P207" i="1"/>
  <c r="I207" i="1"/>
  <c r="BR207" i="1"/>
  <c r="J207" i="1" s="1"/>
  <c r="P206" i="1"/>
  <c r="I206" i="1"/>
  <c r="BR206" i="1"/>
  <c r="J206" i="1" s="1"/>
  <c r="Q206" i="1" s="1"/>
  <c r="R206" i="1" s="1"/>
  <c r="P205" i="1"/>
  <c r="I205" i="1"/>
  <c r="BR205" i="1"/>
  <c r="J205" i="1" s="1"/>
  <c r="O205" i="1" s="1"/>
  <c r="P204" i="1"/>
  <c r="I204" i="1"/>
  <c r="BR204" i="1"/>
  <c r="J204" i="1" s="1"/>
  <c r="N204" i="1" s="1" a="1"/>
  <c r="N204" i="1" s="1"/>
  <c r="P203" i="1"/>
  <c r="I203" i="1"/>
  <c r="BR203" i="1"/>
  <c r="J203" i="1" s="1"/>
  <c r="P202" i="1"/>
  <c r="I202" i="1"/>
  <c r="BR202" i="1"/>
  <c r="J202" i="1" s="1"/>
  <c r="P201" i="1"/>
  <c r="I201" i="1"/>
  <c r="BR201" i="1"/>
  <c r="J201" i="1" s="1"/>
  <c r="N201" i="1" s="1" a="1"/>
  <c r="N201" i="1" s="1"/>
  <c r="P200" i="1"/>
  <c r="I200" i="1"/>
  <c r="BR200" i="1"/>
  <c r="J200" i="1" s="1"/>
  <c r="Q200" i="1" s="1"/>
  <c r="R200" i="1" s="1"/>
  <c r="P199" i="1"/>
  <c r="I199" i="1"/>
  <c r="BR199" i="1"/>
  <c r="J199" i="1" s="1"/>
  <c r="P198" i="1"/>
  <c r="I198" i="1"/>
  <c r="BR198" i="1"/>
  <c r="J198" i="1" s="1"/>
  <c r="N198" i="1" s="1" a="1"/>
  <c r="N198" i="1" s="1"/>
  <c r="P197" i="1"/>
  <c r="I197" i="1"/>
  <c r="BR197" i="1"/>
  <c r="J197" i="1" s="1"/>
  <c r="P196" i="1"/>
  <c r="I196" i="1"/>
  <c r="BR196" i="1"/>
  <c r="J196" i="1" s="1"/>
  <c r="P195" i="1"/>
  <c r="I195" i="1"/>
  <c r="BR195" i="1"/>
  <c r="J195" i="1" s="1"/>
  <c r="Q195" i="1" s="1"/>
  <c r="R195" i="1" s="1"/>
  <c r="P194" i="1"/>
  <c r="I194" i="1"/>
  <c r="BR194" i="1"/>
  <c r="J194" i="1" s="1"/>
  <c r="Q194" i="1" s="1"/>
  <c r="R194" i="1" s="1"/>
  <c r="P193" i="1"/>
  <c r="I193" i="1"/>
  <c r="BR193" i="1"/>
  <c r="J193" i="1" s="1"/>
  <c r="Q193" i="1" s="1"/>
  <c r="R193" i="1" s="1"/>
  <c r="P192" i="1"/>
  <c r="I192" i="1"/>
  <c r="BR192" i="1"/>
  <c r="J192" i="1" s="1"/>
  <c r="Q192" i="1" s="1"/>
  <c r="R192" i="1" s="1"/>
  <c r="P191" i="1"/>
  <c r="I191" i="1"/>
  <c r="BR191" i="1"/>
  <c r="J191" i="1" s="1"/>
  <c r="P190" i="1"/>
  <c r="I190" i="1"/>
  <c r="BR190" i="1"/>
  <c r="J190" i="1" s="1"/>
  <c r="N190" i="1" s="1" a="1"/>
  <c r="N190" i="1" s="1"/>
  <c r="P189" i="1"/>
  <c r="I189" i="1"/>
  <c r="BR189" i="1"/>
  <c r="J189" i="1" s="1"/>
  <c r="P188" i="1"/>
  <c r="I188" i="1"/>
  <c r="BR188" i="1"/>
  <c r="J188" i="1" s="1"/>
  <c r="Q188" i="1" s="1"/>
  <c r="R188" i="1" s="1"/>
  <c r="P187" i="1"/>
  <c r="I187" i="1"/>
  <c r="BR187" i="1"/>
  <c r="J187" i="1" s="1"/>
  <c r="P186" i="1"/>
  <c r="I186" i="1"/>
  <c r="BR186" i="1"/>
  <c r="J186" i="1" s="1"/>
  <c r="P185" i="1"/>
  <c r="I185" i="1"/>
  <c r="BR185" i="1"/>
  <c r="J185" i="1" s="1"/>
  <c r="P184" i="1"/>
  <c r="I184" i="1"/>
  <c r="BR184" i="1"/>
  <c r="J184" i="1" s="1"/>
  <c r="P183" i="1"/>
  <c r="I183" i="1"/>
  <c r="BR183" i="1"/>
  <c r="J183" i="1" s="1"/>
  <c r="N183" i="1" s="1" a="1"/>
  <c r="N183" i="1" s="1"/>
  <c r="P182" i="1"/>
  <c r="I182" i="1"/>
  <c r="BR182" i="1"/>
  <c r="J182" i="1" s="1"/>
  <c r="P181" i="1"/>
  <c r="I181" i="1"/>
  <c r="BR181" i="1"/>
  <c r="J181" i="1" s="1"/>
  <c r="P180" i="1"/>
  <c r="I180" i="1"/>
  <c r="BR180" i="1"/>
  <c r="J180" i="1" s="1"/>
  <c r="P179" i="1"/>
  <c r="I179" i="1"/>
  <c r="BR179" i="1"/>
  <c r="J179" i="1" s="1"/>
  <c r="P178" i="1"/>
  <c r="I178" i="1"/>
  <c r="BR178" i="1"/>
  <c r="J178" i="1" s="1"/>
  <c r="Q178" i="1" s="1"/>
  <c r="R178" i="1" s="1"/>
  <c r="P177" i="1"/>
  <c r="I177" i="1"/>
  <c r="BR177" i="1"/>
  <c r="J177" i="1" s="1"/>
  <c r="P176" i="1"/>
  <c r="I176" i="1"/>
  <c r="BR176" i="1"/>
  <c r="J176" i="1" s="1"/>
  <c r="P175" i="1"/>
  <c r="I175" i="1"/>
  <c r="BR175" i="1"/>
  <c r="J175" i="1" s="1"/>
  <c r="Q175" i="1" s="1"/>
  <c r="R175" i="1" s="1"/>
  <c r="P174" i="1"/>
  <c r="I174" i="1"/>
  <c r="BR174" i="1"/>
  <c r="J174" i="1" s="1"/>
  <c r="N174" i="1" s="1" a="1"/>
  <c r="N174" i="1" s="1"/>
  <c r="P173" i="1"/>
  <c r="I173" i="1"/>
  <c r="BR173" i="1"/>
  <c r="J173" i="1" s="1"/>
  <c r="O173" i="1" s="1"/>
  <c r="P172" i="1"/>
  <c r="I172" i="1"/>
  <c r="BR172" i="1"/>
  <c r="J172" i="1" s="1"/>
  <c r="N172" i="1" s="1" a="1"/>
  <c r="N172" i="1" s="1"/>
  <c r="P171" i="1"/>
  <c r="I171" i="1"/>
  <c r="BR171" i="1"/>
  <c r="J171" i="1" s="1"/>
  <c r="Q171" i="1" s="1"/>
  <c r="R171" i="1" s="1"/>
  <c r="P170" i="1"/>
  <c r="I170" i="1"/>
  <c r="BR170" i="1"/>
  <c r="J170" i="1" s="1"/>
  <c r="P169" i="1"/>
  <c r="I169" i="1"/>
  <c r="BR169" i="1"/>
  <c r="J169" i="1" s="1"/>
  <c r="P168" i="1"/>
  <c r="I168" i="1"/>
  <c r="BR168" i="1"/>
  <c r="J168" i="1" s="1"/>
  <c r="N168" i="1" s="1" a="1"/>
  <c r="N168" i="1" s="1"/>
  <c r="P167" i="1"/>
  <c r="I167" i="1"/>
  <c r="BR167" i="1"/>
  <c r="J167" i="1" s="1"/>
  <c r="N167" i="1" s="1" a="1"/>
  <c r="N167" i="1" s="1"/>
  <c r="P166" i="1"/>
  <c r="I166" i="1"/>
  <c r="BR166" i="1"/>
  <c r="J166" i="1" s="1"/>
  <c r="P165" i="1"/>
  <c r="I165" i="1"/>
  <c r="BR165" i="1"/>
  <c r="J165" i="1" s="1"/>
  <c r="P164" i="1"/>
  <c r="I164" i="1"/>
  <c r="BR164" i="1"/>
  <c r="J164" i="1" s="1"/>
  <c r="P163" i="1"/>
  <c r="I163" i="1"/>
  <c r="BR163" i="1"/>
  <c r="J163" i="1" s="1"/>
  <c r="P162" i="1"/>
  <c r="I162" i="1"/>
  <c r="BR162" i="1"/>
  <c r="J162" i="1" s="1"/>
  <c r="P161" i="1"/>
  <c r="I161" i="1"/>
  <c r="BR161" i="1"/>
  <c r="J161" i="1" s="1"/>
  <c r="P160" i="1"/>
  <c r="I160" i="1"/>
  <c r="BR160" i="1"/>
  <c r="J160" i="1" s="1"/>
  <c r="N160" i="1" s="1" a="1"/>
  <c r="N160" i="1" s="1"/>
  <c r="P159" i="1"/>
  <c r="I159" i="1"/>
  <c r="BR159" i="1"/>
  <c r="J159" i="1" s="1"/>
  <c r="N159" i="1" s="1" a="1"/>
  <c r="N159" i="1" s="1"/>
  <c r="P158" i="1"/>
  <c r="I158" i="1"/>
  <c r="BR158" i="1"/>
  <c r="J158" i="1" s="1"/>
  <c r="P157" i="1"/>
  <c r="I157" i="1"/>
  <c r="BR157" i="1"/>
  <c r="J157" i="1" s="1"/>
  <c r="P156" i="1"/>
  <c r="I156" i="1"/>
  <c r="BR156" i="1"/>
  <c r="J156" i="1" s="1"/>
  <c r="P155" i="1"/>
  <c r="I155" i="1"/>
  <c r="BR155" i="1"/>
  <c r="J155" i="1" s="1"/>
  <c r="Q155" i="1" s="1"/>
  <c r="R155" i="1" s="1"/>
  <c r="P154" i="1"/>
  <c r="I154" i="1"/>
  <c r="BR154" i="1"/>
  <c r="J154" i="1" s="1"/>
  <c r="P153" i="1"/>
  <c r="I153" i="1"/>
  <c r="BR153" i="1"/>
  <c r="J153" i="1" s="1"/>
  <c r="P152" i="1"/>
  <c r="I152" i="1"/>
  <c r="BR152" i="1"/>
  <c r="J152" i="1" s="1"/>
  <c r="Q152" i="1" s="1"/>
  <c r="R152" i="1" s="1"/>
  <c r="P151" i="1"/>
  <c r="I151" i="1"/>
  <c r="BR151" i="1"/>
  <c r="J151" i="1" s="1"/>
  <c r="P150" i="1"/>
  <c r="I150" i="1"/>
  <c r="BR150" i="1"/>
  <c r="J150" i="1" s="1"/>
  <c r="P149" i="1"/>
  <c r="I149" i="1"/>
  <c r="BR149" i="1"/>
  <c r="J149" i="1" s="1"/>
  <c r="P148" i="1"/>
  <c r="I148" i="1"/>
  <c r="BR148" i="1"/>
  <c r="J148" i="1" s="1"/>
  <c r="O148" i="1" s="1"/>
  <c r="P147" i="1"/>
  <c r="I147" i="1"/>
  <c r="BR147" i="1"/>
  <c r="J147" i="1" s="1"/>
  <c r="N147" i="1" s="1" a="1"/>
  <c r="N147" i="1" s="1"/>
  <c r="P146" i="1"/>
  <c r="I146" i="1"/>
  <c r="BR146" i="1"/>
  <c r="J146" i="1" s="1"/>
  <c r="P145" i="1"/>
  <c r="I145" i="1"/>
  <c r="BR145" i="1"/>
  <c r="J145" i="1" s="1"/>
  <c r="Q145" i="1" s="1"/>
  <c r="R145" i="1" s="1"/>
  <c r="P144" i="1"/>
  <c r="I144" i="1"/>
  <c r="BR144" i="1"/>
  <c r="J144" i="1" s="1"/>
  <c r="P143" i="1"/>
  <c r="I143" i="1"/>
  <c r="BR143" i="1"/>
  <c r="J143" i="1" s="1"/>
  <c r="P142" i="1"/>
  <c r="I142" i="1"/>
  <c r="BR142" i="1"/>
  <c r="J142" i="1" s="1"/>
  <c r="N142" i="1" s="1" a="1"/>
  <c r="N142" i="1" s="1"/>
  <c r="P141" i="1"/>
  <c r="I141" i="1"/>
  <c r="BR141" i="1"/>
  <c r="J141" i="1" s="1"/>
  <c r="P140" i="1"/>
  <c r="I140" i="1"/>
  <c r="BR140" i="1"/>
  <c r="J140" i="1" s="1"/>
  <c r="P139" i="1"/>
  <c r="I139" i="1"/>
  <c r="BR139" i="1"/>
  <c r="J139" i="1" s="1"/>
  <c r="P138" i="1"/>
  <c r="I138" i="1"/>
  <c r="BR138" i="1"/>
  <c r="J138" i="1" s="1"/>
  <c r="O138" i="1" s="1"/>
  <c r="P137" i="1"/>
  <c r="I137" i="1"/>
  <c r="BR137" i="1"/>
  <c r="J137" i="1" s="1"/>
  <c r="P136" i="1"/>
  <c r="I136" i="1"/>
  <c r="BR136" i="1"/>
  <c r="J136" i="1" s="1"/>
  <c r="P135" i="1"/>
  <c r="I135" i="1"/>
  <c r="BR135" i="1"/>
  <c r="J135" i="1" s="1"/>
  <c r="N135" i="1" s="1" a="1"/>
  <c r="N135" i="1" s="1"/>
  <c r="P134" i="1"/>
  <c r="I134" i="1"/>
  <c r="BR134" i="1"/>
  <c r="J134" i="1" s="1"/>
  <c r="P133" i="1"/>
  <c r="I133" i="1"/>
  <c r="BR133" i="1"/>
  <c r="J133" i="1" s="1"/>
  <c r="N133" i="1" s="1" a="1"/>
  <c r="N133" i="1" s="1"/>
  <c r="P132" i="1"/>
  <c r="I132" i="1"/>
  <c r="BR132" i="1"/>
  <c r="J132" i="1" s="1"/>
  <c r="P131" i="1"/>
  <c r="I131" i="1"/>
  <c r="BR131" i="1"/>
  <c r="J131" i="1" s="1"/>
  <c r="P130" i="1"/>
  <c r="I130" i="1"/>
  <c r="BR130" i="1"/>
  <c r="J130" i="1" s="1"/>
  <c r="Q130" i="1" s="1"/>
  <c r="R130" i="1" s="1"/>
  <c r="P129" i="1"/>
  <c r="I129" i="1"/>
  <c r="BR129" i="1"/>
  <c r="J129" i="1" s="1"/>
  <c r="N129" i="1" s="1" a="1"/>
  <c r="N129" i="1" s="1"/>
  <c r="P128" i="1"/>
  <c r="I128" i="1"/>
  <c r="BR128" i="1"/>
  <c r="J128" i="1" s="1"/>
  <c r="P127" i="1"/>
  <c r="I127" i="1"/>
  <c r="BR127" i="1"/>
  <c r="J127" i="1" s="1"/>
  <c r="Q127" i="1" s="1"/>
  <c r="R127" i="1" s="1"/>
  <c r="P126" i="1"/>
  <c r="I126" i="1"/>
  <c r="BR126" i="1"/>
  <c r="J126" i="1" s="1"/>
  <c r="O126" i="1" s="1"/>
  <c r="P125" i="1"/>
  <c r="I125" i="1"/>
  <c r="BR125" i="1"/>
  <c r="J125" i="1" s="1"/>
  <c r="P124" i="1"/>
  <c r="I124" i="1"/>
  <c r="BR124" i="1"/>
  <c r="J124" i="1" s="1"/>
  <c r="P123" i="1"/>
  <c r="I123" i="1"/>
  <c r="BR123" i="1"/>
  <c r="J123" i="1" s="1"/>
  <c r="O123" i="1" s="1"/>
  <c r="P122" i="1"/>
  <c r="I122" i="1"/>
  <c r="BR122" i="1"/>
  <c r="J122" i="1" s="1"/>
  <c r="N122" i="1" s="1" a="1"/>
  <c r="N122" i="1" s="1"/>
  <c r="P121" i="1"/>
  <c r="I121" i="1"/>
  <c r="BR121" i="1"/>
  <c r="J121" i="1" s="1"/>
  <c r="P120" i="1"/>
  <c r="I120" i="1"/>
  <c r="BR120" i="1"/>
  <c r="J120" i="1" s="1"/>
  <c r="P119" i="1"/>
  <c r="I119" i="1"/>
  <c r="BR119" i="1"/>
  <c r="J119" i="1" s="1"/>
  <c r="P118" i="1"/>
  <c r="I118" i="1"/>
  <c r="BR118" i="1"/>
  <c r="J118" i="1" s="1"/>
  <c r="Q118" i="1" s="1"/>
  <c r="R118" i="1" s="1"/>
  <c r="P117" i="1"/>
  <c r="I117" i="1"/>
  <c r="BR117" i="1"/>
  <c r="J117" i="1" s="1"/>
  <c r="P116" i="1"/>
  <c r="I116" i="1"/>
  <c r="BR116" i="1"/>
  <c r="J116" i="1" s="1"/>
  <c r="Q116" i="1" s="1"/>
  <c r="R116" i="1" s="1"/>
  <c r="P115" i="1"/>
  <c r="I115" i="1"/>
  <c r="BR115" i="1"/>
  <c r="J115" i="1" s="1"/>
  <c r="P114" i="1"/>
  <c r="I114" i="1"/>
  <c r="BR114" i="1"/>
  <c r="J114" i="1" s="1"/>
  <c r="P113" i="1"/>
  <c r="I113" i="1"/>
  <c r="BR113" i="1"/>
  <c r="J113" i="1" s="1"/>
  <c r="P112" i="1"/>
  <c r="I112" i="1"/>
  <c r="BR112" i="1"/>
  <c r="J112" i="1" s="1"/>
  <c r="P111" i="1"/>
  <c r="I111" i="1"/>
  <c r="BR111" i="1"/>
  <c r="J111" i="1" s="1"/>
  <c r="O111" i="1" s="1"/>
  <c r="P110" i="1"/>
  <c r="I110" i="1"/>
  <c r="BR110" i="1"/>
  <c r="J110" i="1" s="1"/>
  <c r="P109" i="1"/>
  <c r="I109" i="1"/>
  <c r="BR109" i="1"/>
  <c r="J109" i="1" s="1"/>
  <c r="Q109" i="1" s="1"/>
  <c r="R109" i="1" s="1"/>
  <c r="P108" i="1"/>
  <c r="I108" i="1"/>
  <c r="BR108" i="1"/>
  <c r="J108" i="1" s="1"/>
  <c r="N108" i="1" s="1" a="1"/>
  <c r="N108" i="1" s="1"/>
  <c r="P107" i="1"/>
  <c r="I107" i="1"/>
  <c r="BR107" i="1"/>
  <c r="J107" i="1" s="1"/>
  <c r="Q107" i="1" s="1"/>
  <c r="R107" i="1" s="1"/>
  <c r="P106" i="1"/>
  <c r="I106" i="1"/>
  <c r="BR106" i="1"/>
  <c r="J106" i="1" s="1"/>
  <c r="P105" i="1"/>
  <c r="I105" i="1"/>
  <c r="BR105" i="1"/>
  <c r="J105" i="1" s="1"/>
  <c r="Q105" i="1" s="1"/>
  <c r="R105" i="1" s="1"/>
  <c r="P104" i="1"/>
  <c r="I104" i="1"/>
  <c r="BR104" i="1"/>
  <c r="J104" i="1" s="1"/>
  <c r="P103" i="1"/>
  <c r="I103" i="1"/>
  <c r="BR103" i="1"/>
  <c r="J103" i="1" s="1"/>
  <c r="P102" i="1"/>
  <c r="I102" i="1"/>
  <c r="BR102" i="1"/>
  <c r="J102" i="1" s="1"/>
  <c r="P101" i="1"/>
  <c r="I101" i="1"/>
  <c r="BR101" i="1"/>
  <c r="J101" i="1" s="1"/>
  <c r="Q101" i="1" s="1"/>
  <c r="R101" i="1" s="1"/>
  <c r="P100" i="1"/>
  <c r="I100" i="1"/>
  <c r="BR100" i="1"/>
  <c r="J100" i="1" s="1"/>
  <c r="P99" i="1"/>
  <c r="I99" i="1"/>
  <c r="BR99" i="1"/>
  <c r="J99" i="1" s="1"/>
  <c r="P98" i="1"/>
  <c r="I98" i="1"/>
  <c r="BR98" i="1"/>
  <c r="J98" i="1" s="1"/>
  <c r="P97" i="1"/>
  <c r="I97" i="1"/>
  <c r="BR97" i="1"/>
  <c r="J97" i="1" s="1"/>
  <c r="P96" i="1"/>
  <c r="I96" i="1"/>
  <c r="BR96" i="1"/>
  <c r="J96" i="1" s="1"/>
  <c r="P95" i="1"/>
  <c r="I95" i="1"/>
  <c r="BR95" i="1"/>
  <c r="J95" i="1" s="1"/>
  <c r="O95" i="1" s="1"/>
  <c r="P94" i="1"/>
  <c r="I94" i="1"/>
  <c r="BR94" i="1"/>
  <c r="J94" i="1" s="1"/>
  <c r="P93" i="1"/>
  <c r="I93" i="1"/>
  <c r="BR93" i="1"/>
  <c r="J93" i="1" s="1"/>
  <c r="P92" i="1"/>
  <c r="I92" i="1"/>
  <c r="BR92" i="1"/>
  <c r="J92" i="1" s="1"/>
  <c r="P91" i="1"/>
  <c r="I91" i="1"/>
  <c r="BR91" i="1"/>
  <c r="J91" i="1" s="1"/>
  <c r="N91" i="1" s="1" a="1"/>
  <c r="N91" i="1" s="1"/>
  <c r="P90" i="1"/>
  <c r="I90" i="1"/>
  <c r="BR90" i="1"/>
  <c r="J90" i="1" s="1"/>
  <c r="P89" i="1"/>
  <c r="I89" i="1"/>
  <c r="BR89" i="1"/>
  <c r="J89" i="1" s="1"/>
  <c r="P88" i="1"/>
  <c r="I88" i="1"/>
  <c r="BR88" i="1"/>
  <c r="J88" i="1" s="1"/>
  <c r="Q88" i="1" s="1"/>
  <c r="R88" i="1" s="1"/>
  <c r="P87" i="1"/>
  <c r="I87" i="1"/>
  <c r="BR87" i="1"/>
  <c r="J87" i="1" s="1"/>
  <c r="N87" i="1" s="1" a="1"/>
  <c r="N87" i="1" s="1"/>
  <c r="P86" i="1"/>
  <c r="I86" i="1"/>
  <c r="BR86" i="1"/>
  <c r="J86" i="1" s="1"/>
  <c r="P85" i="1"/>
  <c r="I85" i="1"/>
  <c r="BR85" i="1"/>
  <c r="J85" i="1" s="1"/>
  <c r="N85" i="1" s="1" a="1"/>
  <c r="N85" i="1" s="1"/>
  <c r="P84" i="1"/>
  <c r="I84" i="1"/>
  <c r="BR84" i="1"/>
  <c r="J84" i="1" s="1"/>
  <c r="P83" i="1"/>
  <c r="I83" i="1"/>
  <c r="BR83" i="1"/>
  <c r="J83" i="1" s="1"/>
  <c r="P82" i="1"/>
  <c r="I82" i="1"/>
  <c r="BR82" i="1"/>
  <c r="J82" i="1" s="1"/>
  <c r="P81" i="1"/>
  <c r="I81" i="1"/>
  <c r="BR81" i="1"/>
  <c r="J81" i="1" s="1"/>
  <c r="P80" i="1"/>
  <c r="I80" i="1"/>
  <c r="BR80" i="1"/>
  <c r="J80" i="1" s="1"/>
  <c r="P79" i="1"/>
  <c r="I79" i="1"/>
  <c r="BR79" i="1"/>
  <c r="J79" i="1" s="1"/>
  <c r="Q79" i="1" s="1"/>
  <c r="R79" i="1" s="1"/>
  <c r="P78" i="1"/>
  <c r="I78" i="1"/>
  <c r="BR78" i="1"/>
  <c r="J78" i="1" s="1"/>
  <c r="O78" i="1" s="1"/>
  <c r="P77" i="1"/>
  <c r="I77" i="1"/>
  <c r="BR77" i="1"/>
  <c r="J77" i="1" s="1"/>
  <c r="P76" i="1"/>
  <c r="I76" i="1"/>
  <c r="BR76" i="1"/>
  <c r="J76" i="1" s="1"/>
  <c r="P75" i="1"/>
  <c r="I75" i="1"/>
  <c r="BR75" i="1"/>
  <c r="J75" i="1" s="1"/>
  <c r="P74" i="1"/>
  <c r="I74" i="1"/>
  <c r="BR74" i="1"/>
  <c r="J74" i="1" s="1"/>
  <c r="N74" i="1" s="1" a="1"/>
  <c r="N74" i="1" s="1"/>
  <c r="P73" i="1"/>
  <c r="I73" i="1"/>
  <c r="BR73" i="1"/>
  <c r="J73" i="1" s="1"/>
  <c r="P72" i="1"/>
  <c r="I72" i="1"/>
  <c r="BR72" i="1"/>
  <c r="J72" i="1" s="1"/>
  <c r="P71" i="1"/>
  <c r="I71" i="1"/>
  <c r="BR71" i="1"/>
  <c r="J71" i="1" s="1"/>
  <c r="P70" i="1"/>
  <c r="I70" i="1"/>
  <c r="BR70" i="1"/>
  <c r="J70" i="1" s="1"/>
  <c r="P69" i="1"/>
  <c r="I69" i="1"/>
  <c r="BR69" i="1"/>
  <c r="J69" i="1" s="1"/>
  <c r="N69" i="1" s="1" a="1"/>
  <c r="N69" i="1" s="1"/>
  <c r="P68" i="1"/>
  <c r="I68" i="1"/>
  <c r="BR68" i="1"/>
  <c r="J68" i="1" s="1"/>
  <c r="P67" i="1"/>
  <c r="I67" i="1"/>
  <c r="BR67" i="1"/>
  <c r="J67" i="1" s="1"/>
  <c r="P66" i="1"/>
  <c r="I66" i="1"/>
  <c r="BR66" i="1"/>
  <c r="J66" i="1" s="1"/>
  <c r="O66" i="1" s="1"/>
  <c r="P65" i="1"/>
  <c r="I65" i="1"/>
  <c r="BR65" i="1"/>
  <c r="J65" i="1" s="1"/>
  <c r="P64" i="1"/>
  <c r="I64" i="1"/>
  <c r="BR64" i="1"/>
  <c r="J64" i="1" s="1"/>
  <c r="P63" i="1"/>
  <c r="I63" i="1"/>
  <c r="BR63" i="1"/>
  <c r="J63" i="1" s="1"/>
  <c r="P62" i="1"/>
  <c r="I62" i="1"/>
  <c r="BR62" i="1"/>
  <c r="J62" i="1" s="1"/>
  <c r="P61" i="1"/>
  <c r="I61" i="1"/>
  <c r="BR61" i="1"/>
  <c r="J61" i="1" s="1"/>
  <c r="N61" i="1" s="1" a="1"/>
  <c r="N61" i="1" s="1"/>
  <c r="P60" i="1"/>
  <c r="I60" i="1"/>
  <c r="BR60" i="1"/>
  <c r="J60" i="1" s="1"/>
  <c r="Q60" i="1" s="1"/>
  <c r="R60" i="1" s="1"/>
  <c r="P59" i="1"/>
  <c r="I59" i="1"/>
  <c r="BR59" i="1"/>
  <c r="J59" i="1" s="1"/>
  <c r="O59" i="1" s="1"/>
  <c r="P58" i="1"/>
  <c r="I58" i="1"/>
  <c r="BR58" i="1"/>
  <c r="J58" i="1" s="1"/>
  <c r="P57" i="1"/>
  <c r="I57" i="1"/>
  <c r="BR57" i="1"/>
  <c r="J57" i="1" s="1"/>
  <c r="N57" i="1" s="1" a="1"/>
  <c r="N57" i="1" s="1"/>
  <c r="P56" i="1"/>
  <c r="I56" i="1"/>
  <c r="BR56" i="1"/>
  <c r="J56" i="1" s="1"/>
  <c r="P55" i="1"/>
  <c r="I55" i="1"/>
  <c r="BR55" i="1"/>
  <c r="J55" i="1" s="1"/>
  <c r="P54" i="1"/>
  <c r="I54" i="1"/>
  <c r="BR54" i="1"/>
  <c r="J54" i="1" s="1"/>
  <c r="P53" i="1"/>
  <c r="I53" i="1"/>
  <c r="BR53" i="1"/>
  <c r="J53" i="1" s="1"/>
  <c r="P52" i="1"/>
  <c r="I52" i="1"/>
  <c r="BR52" i="1"/>
  <c r="J52" i="1" s="1"/>
  <c r="P51" i="1"/>
  <c r="I51" i="1"/>
  <c r="BR51" i="1"/>
  <c r="J51" i="1" s="1"/>
  <c r="Q51" i="1" s="1"/>
  <c r="R51" i="1" s="1"/>
  <c r="P50" i="1"/>
  <c r="I50" i="1"/>
  <c r="BR50" i="1"/>
  <c r="J50" i="1" s="1"/>
  <c r="P49" i="1"/>
  <c r="I49" i="1"/>
  <c r="BR49" i="1"/>
  <c r="J49" i="1" s="1"/>
  <c r="N49" i="1" s="1" a="1"/>
  <c r="N49" i="1" s="1"/>
  <c r="P48" i="1"/>
  <c r="I48" i="1"/>
  <c r="BR48" i="1"/>
  <c r="J48" i="1" s="1"/>
  <c r="N48" i="1" s="1" a="1"/>
  <c r="N48" i="1" s="1"/>
  <c r="P47" i="1"/>
  <c r="I47" i="1"/>
  <c r="BR47" i="1"/>
  <c r="J47" i="1" s="1"/>
  <c r="P46" i="1"/>
  <c r="I46" i="1"/>
  <c r="BR46" i="1"/>
  <c r="J46" i="1" s="1"/>
  <c r="P45" i="1"/>
  <c r="I45" i="1"/>
  <c r="BR45" i="1"/>
  <c r="J45" i="1" s="1"/>
  <c r="Q45" i="1" s="1"/>
  <c r="R45" i="1" s="1"/>
  <c r="P44" i="1"/>
  <c r="I44" i="1"/>
  <c r="BR44" i="1"/>
  <c r="J44" i="1" s="1"/>
  <c r="O44" i="1" s="1"/>
  <c r="P43" i="1"/>
  <c r="I43" i="1"/>
  <c r="BR43" i="1"/>
  <c r="J43" i="1" s="1"/>
  <c r="O43" i="1" s="1"/>
  <c r="P42" i="1"/>
  <c r="I42" i="1"/>
  <c r="BR42" i="1"/>
  <c r="J42" i="1" s="1"/>
  <c r="P41" i="1"/>
  <c r="I41" i="1"/>
  <c r="BR41" i="1"/>
  <c r="J41" i="1" s="1"/>
  <c r="P40" i="1"/>
  <c r="I40" i="1"/>
  <c r="BR40" i="1"/>
  <c r="J40" i="1" s="1"/>
  <c r="N40" i="1" s="1" a="1"/>
  <c r="N40" i="1" s="1"/>
  <c r="P39" i="1"/>
  <c r="I39" i="1"/>
  <c r="BR39" i="1"/>
  <c r="J39" i="1" s="1"/>
  <c r="Q39" i="1" s="1"/>
  <c r="R39" i="1" s="1"/>
  <c r="P38" i="1"/>
  <c r="I38" i="1"/>
  <c r="BR38" i="1"/>
  <c r="J38" i="1" s="1"/>
  <c r="P37" i="1"/>
  <c r="I37" i="1"/>
  <c r="BR37" i="1"/>
  <c r="J37" i="1" s="1"/>
  <c r="P36" i="1"/>
  <c r="I36" i="1"/>
  <c r="BR36" i="1"/>
  <c r="J36" i="1" s="1"/>
  <c r="P35" i="1"/>
  <c r="I35" i="1"/>
  <c r="BR35" i="1"/>
  <c r="J35" i="1" s="1"/>
  <c r="P34" i="1"/>
  <c r="I34" i="1"/>
  <c r="BR34" i="1"/>
  <c r="J34" i="1" s="1"/>
  <c r="P33" i="1"/>
  <c r="I33" i="1"/>
  <c r="BR33" i="1"/>
  <c r="J33" i="1" s="1"/>
  <c r="P32" i="1"/>
  <c r="I32" i="1"/>
  <c r="BR32" i="1"/>
  <c r="J32" i="1" s="1"/>
  <c r="Q32" i="1" s="1"/>
  <c r="R32" i="1" s="1"/>
  <c r="P31" i="1"/>
  <c r="I31" i="1"/>
  <c r="BR31" i="1"/>
  <c r="J31" i="1" s="1"/>
  <c r="P30" i="1"/>
  <c r="I30" i="1"/>
  <c r="BR30" i="1"/>
  <c r="J30" i="1" s="1"/>
  <c r="P29" i="1"/>
  <c r="I29" i="1"/>
  <c r="BR29" i="1"/>
  <c r="J29" i="1" s="1"/>
  <c r="P28" i="1"/>
  <c r="I28" i="1"/>
  <c r="BR28" i="1"/>
  <c r="J28" i="1" s="1"/>
  <c r="Q28" i="1" s="1"/>
  <c r="R28" i="1" s="1"/>
  <c r="P27" i="1"/>
  <c r="I27" i="1"/>
  <c r="BR27" i="1"/>
  <c r="J27" i="1" s="1"/>
  <c r="P26" i="1"/>
  <c r="I26" i="1"/>
  <c r="BR26" i="1"/>
  <c r="J26" i="1" s="1"/>
  <c r="O26" i="1" s="1"/>
  <c r="P25" i="1"/>
  <c r="I25" i="1"/>
  <c r="BR25" i="1"/>
  <c r="J25" i="1" s="1"/>
  <c r="P24" i="1"/>
  <c r="I24" i="1"/>
  <c r="BR24" i="1"/>
  <c r="J24" i="1" s="1"/>
  <c r="P23" i="1"/>
  <c r="I23" i="1"/>
  <c r="BR23" i="1"/>
  <c r="J23" i="1" s="1"/>
  <c r="P22" i="1"/>
  <c r="I22" i="1"/>
  <c r="BR22" i="1"/>
  <c r="J22" i="1" s="1"/>
  <c r="N22" i="1" s="1" a="1"/>
  <c r="N22" i="1" s="1"/>
  <c r="P21" i="1"/>
  <c r="I21" i="1"/>
  <c r="BR21" i="1"/>
  <c r="J21" i="1" s="1"/>
  <c r="P20" i="1"/>
  <c r="I20" i="1"/>
  <c r="BR20" i="1"/>
  <c r="J20" i="1" s="1"/>
  <c r="P19" i="1"/>
  <c r="I19" i="1"/>
  <c r="BR19" i="1"/>
  <c r="J19" i="1" s="1"/>
  <c r="Q19" i="1" s="1"/>
  <c r="R19" i="1" s="1"/>
  <c r="P18" i="1"/>
  <c r="I18" i="1"/>
  <c r="BR18" i="1"/>
  <c r="J18" i="1" s="1"/>
  <c r="P17" i="1"/>
  <c r="I17" i="1"/>
  <c r="BR17" i="1"/>
  <c r="J17" i="1" s="1"/>
  <c r="P16" i="1"/>
  <c r="I16" i="1"/>
  <c r="BR16" i="1"/>
  <c r="J16" i="1" s="1"/>
  <c r="N16" i="1" s="1" a="1"/>
  <c r="N16" i="1" s="1"/>
  <c r="P15" i="1"/>
  <c r="I15" i="1"/>
  <c r="BR15" i="1"/>
  <c r="J15" i="1" s="1"/>
  <c r="P14" i="1"/>
  <c r="I14" i="1"/>
  <c r="BR14" i="1"/>
  <c r="J14" i="1" s="1"/>
  <c r="O14" i="1" s="1"/>
  <c r="P13" i="1"/>
  <c r="I13" i="1"/>
  <c r="BR13" i="1"/>
  <c r="J13" i="1" s="1"/>
  <c r="Q13" i="1" s="1"/>
  <c r="R13" i="1" s="1"/>
  <c r="P12" i="1"/>
  <c r="I12" i="1"/>
  <c r="BR12" i="1"/>
  <c r="J12" i="1" s="1"/>
  <c r="N12" i="1" s="1" a="1"/>
  <c r="N12" i="1" s="1"/>
  <c r="I11" i="1"/>
  <c r="BR11" i="1"/>
  <c r="J11" i="1" s="1"/>
  <c r="P10" i="1"/>
  <c r="I10" i="1"/>
  <c r="BR10" i="1"/>
  <c r="J10" i="1" s="1"/>
  <c r="Q10" i="1" s="1"/>
  <c r="R10" i="1" s="1"/>
  <c r="Z10" i="1" s="1"/>
  <c r="AB10" i="1" s="1"/>
  <c r="P9" i="1"/>
  <c r="I9" i="1"/>
  <c r="BR9" i="1"/>
  <c r="J9" i="1" s="1"/>
  <c r="N9" i="1" s="1" a="1"/>
  <c r="N9" i="1" s="1"/>
  <c r="P8" i="1"/>
  <c r="I8" i="1"/>
  <c r="BR8" i="1"/>
  <c r="J8" i="1" s="1"/>
  <c r="P7" i="1"/>
  <c r="I7" i="1"/>
  <c r="BR7" i="1"/>
  <c r="J7" i="1" s="1"/>
  <c r="Q7" i="1" s="1"/>
  <c r="R7" i="1" s="1"/>
  <c r="Z7" i="1" s="1"/>
  <c r="AB7" i="1" s="1"/>
  <c r="P6" i="1"/>
  <c r="I6" i="1"/>
  <c r="BR6" i="1"/>
  <c r="J6" i="1" s="1"/>
  <c r="P5" i="1"/>
  <c r="I5" i="1"/>
  <c r="BR5" i="1"/>
  <c r="J5" i="1" s="1"/>
  <c r="AB644" i="1" l="1"/>
  <c r="AB710" i="1"/>
  <c r="AB809" i="1"/>
  <c r="AB630" i="1"/>
  <c r="AB696" i="1"/>
  <c r="AC696" i="1" s="1"/>
  <c r="AB979" i="1"/>
  <c r="Y1003" i="1"/>
  <c r="AB874" i="1"/>
  <c r="AB984" i="1"/>
  <c r="AC630" i="1"/>
  <c r="AB795" i="1"/>
  <c r="Y795" i="1" s="1"/>
  <c r="AB938" i="1"/>
  <c r="AC574" i="1"/>
  <c r="Y574" i="1"/>
  <c r="AC10" i="1"/>
  <c r="Y10" i="1"/>
  <c r="AC527" i="1"/>
  <c r="Y527" i="1"/>
  <c r="AC549" i="1"/>
  <c r="Y549" i="1"/>
  <c r="AC747" i="1"/>
  <c r="Y747" i="1"/>
  <c r="AC791" i="1"/>
  <c r="Y791" i="1"/>
  <c r="Y630" i="1"/>
  <c r="U809" i="1"/>
  <c r="W809" i="1" s="1"/>
  <c r="U938" i="1"/>
  <c r="W938" i="1" s="1"/>
  <c r="U1000" i="1"/>
  <c r="W1000" i="1" s="1"/>
  <c r="U979" i="1"/>
  <c r="W979" i="1" s="1"/>
  <c r="U795" i="1"/>
  <c r="W795" i="1" s="1"/>
  <c r="U997" i="1"/>
  <c r="W997" i="1" s="1"/>
  <c r="O662" i="1"/>
  <c r="Z290" i="1"/>
  <c r="AB290" i="1" s="1"/>
  <c r="U290" i="1"/>
  <c r="W290" i="1" s="1"/>
  <c r="Z127" i="1"/>
  <c r="AB127" i="1" s="1"/>
  <c r="U127" i="1"/>
  <c r="W127" i="1" s="1"/>
  <c r="Z109" i="1"/>
  <c r="AB109" i="1" s="1"/>
  <c r="U109" i="1"/>
  <c r="W109" i="1" s="1"/>
  <c r="Z443" i="1"/>
  <c r="AB443" i="1" s="1"/>
  <c r="U443" i="1"/>
  <c r="W443" i="1" s="1"/>
  <c r="Z28" i="1"/>
  <c r="AB28" i="1" s="1"/>
  <c r="U28" i="1"/>
  <c r="W28" i="1" s="1"/>
  <c r="Z39" i="1"/>
  <c r="AB39" i="1" s="1"/>
  <c r="U39" i="1"/>
  <c r="W39" i="1" s="1"/>
  <c r="Z79" i="1"/>
  <c r="AB79" i="1" s="1"/>
  <c r="U79" i="1"/>
  <c r="W79" i="1" s="1"/>
  <c r="Z101" i="1"/>
  <c r="AB101" i="1" s="1"/>
  <c r="U101" i="1"/>
  <c r="W101" i="1" s="1"/>
  <c r="Z145" i="1"/>
  <c r="AB145" i="1" s="1"/>
  <c r="U145" i="1"/>
  <c r="W145" i="1" s="1"/>
  <c r="Z178" i="1"/>
  <c r="AB178" i="1" s="1"/>
  <c r="U178" i="1"/>
  <c r="W178" i="1" s="1"/>
  <c r="Z200" i="1"/>
  <c r="AB200" i="1" s="1"/>
  <c r="U200" i="1"/>
  <c r="W200" i="1" s="1"/>
  <c r="Z211" i="1"/>
  <c r="AB211" i="1" s="1"/>
  <c r="U211" i="1"/>
  <c r="W211" i="1" s="1"/>
  <c r="Z222" i="1"/>
  <c r="AB222" i="1" s="1"/>
  <c r="U222" i="1"/>
  <c r="W222" i="1" s="1"/>
  <c r="Z233" i="1"/>
  <c r="AB233" i="1" s="1"/>
  <c r="U233" i="1"/>
  <c r="W233" i="1" s="1"/>
  <c r="Z266" i="1"/>
  <c r="AB266" i="1" s="1"/>
  <c r="U266" i="1"/>
  <c r="W266" i="1" s="1"/>
  <c r="Z277" i="1"/>
  <c r="AB277" i="1" s="1"/>
  <c r="U277" i="1"/>
  <c r="W277" i="1" s="1"/>
  <c r="Z306" i="1"/>
  <c r="AB306" i="1" s="1"/>
  <c r="U306" i="1"/>
  <c r="W306" i="1" s="1"/>
  <c r="Z339" i="1"/>
  <c r="AB339" i="1" s="1"/>
  <c r="U339" i="1"/>
  <c r="W339" i="1" s="1"/>
  <c r="Z478" i="1"/>
  <c r="AB478" i="1" s="1"/>
  <c r="U478" i="1"/>
  <c r="W478" i="1" s="1"/>
  <c r="Z657" i="1"/>
  <c r="AB657" i="1" s="1"/>
  <c r="U657" i="1"/>
  <c r="W657" i="1" s="1"/>
  <c r="U594" i="1"/>
  <c r="W594" i="1" s="1"/>
  <c r="U555" i="1"/>
  <c r="W555" i="1" s="1"/>
  <c r="U549" i="1"/>
  <c r="W549" i="1" s="1"/>
  <c r="Z310" i="1"/>
  <c r="AB310" i="1" s="1"/>
  <c r="U310" i="1"/>
  <c r="W310" i="1" s="1"/>
  <c r="Z365" i="1"/>
  <c r="AB365" i="1" s="1"/>
  <c r="U365" i="1"/>
  <c r="W365" i="1" s="1"/>
  <c r="Z540" i="1"/>
  <c r="AB540" i="1" s="1"/>
  <c r="U540" i="1"/>
  <c r="W540" i="1" s="1"/>
  <c r="Z628" i="1"/>
  <c r="AB628" i="1" s="1"/>
  <c r="U628" i="1"/>
  <c r="W628" i="1" s="1"/>
  <c r="Z774" i="1"/>
  <c r="AB774" i="1" s="1"/>
  <c r="U774" i="1"/>
  <c r="W774" i="1" s="1"/>
  <c r="U644" i="1"/>
  <c r="W644" i="1" s="1"/>
  <c r="U574" i="1"/>
  <c r="W574" i="1" s="1"/>
  <c r="U568" i="1"/>
  <c r="W568" i="1" s="1"/>
  <c r="Z237" i="1"/>
  <c r="AB237" i="1" s="1"/>
  <c r="U237" i="1"/>
  <c r="W237" i="1" s="1"/>
  <c r="Z314" i="1"/>
  <c r="AB314" i="1" s="1"/>
  <c r="U314" i="1"/>
  <c r="W314" i="1" s="1"/>
  <c r="Z325" i="1"/>
  <c r="AB325" i="1" s="1"/>
  <c r="U325" i="1"/>
  <c r="W325" i="1" s="1"/>
  <c r="Z358" i="1"/>
  <c r="AB358" i="1" s="1"/>
  <c r="U358" i="1"/>
  <c r="W358" i="1" s="1"/>
  <c r="Z380" i="1"/>
  <c r="AB380" i="1" s="1"/>
  <c r="U380" i="1"/>
  <c r="W380" i="1" s="1"/>
  <c r="Z424" i="1"/>
  <c r="AB424" i="1" s="1"/>
  <c r="U424" i="1"/>
  <c r="W424" i="1" s="1"/>
  <c r="Z533" i="1"/>
  <c r="AB533" i="1" s="1"/>
  <c r="U533" i="1"/>
  <c r="W533" i="1" s="1"/>
  <c r="Z712" i="1"/>
  <c r="AB712" i="1" s="1"/>
  <c r="U712" i="1"/>
  <c r="W712" i="1" s="1"/>
  <c r="Z855" i="1"/>
  <c r="AB855" i="1" s="1"/>
  <c r="U855" i="1"/>
  <c r="W855" i="1" s="1"/>
  <c r="Z998" i="1"/>
  <c r="AB998" i="1" s="1"/>
  <c r="U998" i="1"/>
  <c r="W998" i="1" s="1"/>
  <c r="U955" i="1"/>
  <c r="W955" i="1" s="1"/>
  <c r="U874" i="1"/>
  <c r="W874" i="1" s="1"/>
  <c r="U791" i="1"/>
  <c r="W791" i="1" s="1"/>
  <c r="U785" i="1"/>
  <c r="W785" i="1" s="1"/>
  <c r="U768" i="1"/>
  <c r="W768" i="1" s="1"/>
  <c r="U744" i="1"/>
  <c r="W744" i="1" s="1"/>
  <c r="Z32" i="1"/>
  <c r="AB32" i="1" s="1"/>
  <c r="U32" i="1"/>
  <c r="W32" i="1" s="1"/>
  <c r="Z468" i="1"/>
  <c r="AB468" i="1" s="1"/>
  <c r="U468" i="1"/>
  <c r="W468" i="1" s="1"/>
  <c r="Z727" i="1"/>
  <c r="AB727" i="1" s="1"/>
  <c r="U727" i="1"/>
  <c r="W727" i="1" s="1"/>
  <c r="Z749" i="1"/>
  <c r="AB749" i="1" s="1"/>
  <c r="U749" i="1"/>
  <c r="W749" i="1" s="1"/>
  <c r="Z881" i="1"/>
  <c r="AB881" i="1" s="1"/>
  <c r="U881" i="1"/>
  <c r="W881" i="1" s="1"/>
  <c r="Z1002" i="1"/>
  <c r="AB1002" i="1" s="1"/>
  <c r="U1002" i="1"/>
  <c r="W1002" i="1" s="1"/>
  <c r="U7" i="1"/>
  <c r="W7" i="1" s="1"/>
  <c r="Z490" i="1"/>
  <c r="AB490" i="1" s="1"/>
  <c r="U490" i="1"/>
  <c r="W490" i="1" s="1"/>
  <c r="Z501" i="1"/>
  <c r="AB501" i="1" s="1"/>
  <c r="U501" i="1"/>
  <c r="W501" i="1" s="1"/>
  <c r="Z512" i="1"/>
  <c r="AB512" i="1" s="1"/>
  <c r="U512" i="1"/>
  <c r="W512" i="1" s="1"/>
  <c r="Z918" i="1"/>
  <c r="AB918" i="1" s="1"/>
  <c r="U918" i="1"/>
  <c r="W918" i="1" s="1"/>
  <c r="Z940" i="1"/>
  <c r="AB940" i="1" s="1"/>
  <c r="U940" i="1"/>
  <c r="W940" i="1" s="1"/>
  <c r="Z973" i="1"/>
  <c r="AB973" i="1" s="1"/>
  <c r="U973" i="1"/>
  <c r="W973" i="1" s="1"/>
  <c r="Z995" i="1"/>
  <c r="AB995" i="1" s="1"/>
  <c r="U995" i="1"/>
  <c r="W995" i="1" s="1"/>
  <c r="U778" i="1"/>
  <c r="W778" i="1" s="1"/>
  <c r="U630" i="1"/>
  <c r="W630" i="1" s="1"/>
  <c r="U521" i="1"/>
  <c r="W521" i="1" s="1"/>
  <c r="Z171" i="1"/>
  <c r="AB171" i="1" s="1"/>
  <c r="U171" i="1"/>
  <c r="W171" i="1" s="1"/>
  <c r="Z487" i="1"/>
  <c r="AB487" i="1" s="1"/>
  <c r="U487" i="1"/>
  <c r="W487" i="1" s="1"/>
  <c r="Z567" i="1"/>
  <c r="AB567" i="1" s="1"/>
  <c r="U567" i="1"/>
  <c r="W567" i="1" s="1"/>
  <c r="Z801" i="1"/>
  <c r="AB801" i="1" s="1"/>
  <c r="U801" i="1"/>
  <c r="W801" i="1" s="1"/>
  <c r="Z867" i="1"/>
  <c r="AB867" i="1" s="1"/>
  <c r="U867" i="1"/>
  <c r="W867" i="1" s="1"/>
  <c r="Z944" i="1"/>
  <c r="AB944" i="1" s="1"/>
  <c r="U944" i="1"/>
  <c r="W944" i="1" s="1"/>
  <c r="U808" i="1"/>
  <c r="W808" i="1" s="1"/>
  <c r="U672" i="1"/>
  <c r="W672" i="1" s="1"/>
  <c r="Z303" i="1"/>
  <c r="AB303" i="1" s="1"/>
  <c r="U303" i="1"/>
  <c r="W303" i="1" s="1"/>
  <c r="U984" i="1"/>
  <c r="W984" i="1" s="1"/>
  <c r="U965" i="1"/>
  <c r="W965" i="1" s="1"/>
  <c r="U848" i="1"/>
  <c r="W848" i="1" s="1"/>
  <c r="U772" i="1"/>
  <c r="W772" i="1" s="1"/>
  <c r="U710" i="1"/>
  <c r="W710" i="1" s="1"/>
  <c r="U690" i="1"/>
  <c r="W690" i="1" s="1"/>
  <c r="U659" i="1"/>
  <c r="W659" i="1" s="1"/>
  <c r="Z116" i="1"/>
  <c r="AB116" i="1" s="1"/>
  <c r="U116" i="1"/>
  <c r="W116" i="1" s="1"/>
  <c r="Z343" i="1"/>
  <c r="AB343" i="1" s="1"/>
  <c r="U343" i="1"/>
  <c r="W343" i="1" s="1"/>
  <c r="Z318" i="1"/>
  <c r="AB318" i="1" s="1"/>
  <c r="U318" i="1"/>
  <c r="W318" i="1" s="1"/>
  <c r="Z392" i="1"/>
  <c r="AB392" i="1" s="1"/>
  <c r="U392" i="1"/>
  <c r="W392" i="1" s="1"/>
  <c r="Z45" i="1"/>
  <c r="AB45" i="1" s="1"/>
  <c r="U45" i="1"/>
  <c r="W45" i="1" s="1"/>
  <c r="Z107" i="1"/>
  <c r="AB107" i="1" s="1"/>
  <c r="U107" i="1"/>
  <c r="W107" i="1" s="1"/>
  <c r="Z118" i="1"/>
  <c r="AB118" i="1" s="1"/>
  <c r="U118" i="1"/>
  <c r="W118" i="1" s="1"/>
  <c r="Z195" i="1"/>
  <c r="AB195" i="1" s="1"/>
  <c r="U195" i="1"/>
  <c r="W195" i="1" s="1"/>
  <c r="Z206" i="1"/>
  <c r="AB206" i="1" s="1"/>
  <c r="U206" i="1"/>
  <c r="W206" i="1" s="1"/>
  <c r="Z217" i="1"/>
  <c r="AB217" i="1" s="1"/>
  <c r="U217" i="1"/>
  <c r="W217" i="1" s="1"/>
  <c r="Z261" i="1"/>
  <c r="AB261" i="1" s="1"/>
  <c r="U261" i="1"/>
  <c r="W261" i="1" s="1"/>
  <c r="Z272" i="1"/>
  <c r="AB272" i="1" s="1"/>
  <c r="U272" i="1"/>
  <c r="W272" i="1" s="1"/>
  <c r="Z367" i="1"/>
  <c r="AB367" i="1" s="1"/>
  <c r="U367" i="1"/>
  <c r="W367" i="1" s="1"/>
  <c r="Z400" i="1"/>
  <c r="AB400" i="1" s="1"/>
  <c r="U400" i="1"/>
  <c r="W400" i="1" s="1"/>
  <c r="Z422" i="1"/>
  <c r="AB422" i="1" s="1"/>
  <c r="U422" i="1"/>
  <c r="W422" i="1" s="1"/>
  <c r="Z473" i="1"/>
  <c r="AB473" i="1" s="1"/>
  <c r="U473" i="1"/>
  <c r="W473" i="1" s="1"/>
  <c r="Z484" i="1"/>
  <c r="AB484" i="1" s="1"/>
  <c r="U484" i="1"/>
  <c r="W484" i="1" s="1"/>
  <c r="Z520" i="1"/>
  <c r="AB520" i="1" s="1"/>
  <c r="U520" i="1"/>
  <c r="W520" i="1" s="1"/>
  <c r="Z575" i="1"/>
  <c r="AB575" i="1" s="1"/>
  <c r="U575" i="1"/>
  <c r="W575" i="1" s="1"/>
  <c r="Z864" i="1"/>
  <c r="AB864" i="1" s="1"/>
  <c r="U864" i="1"/>
  <c r="W864" i="1" s="1"/>
  <c r="U696" i="1"/>
  <c r="W696" i="1" s="1"/>
  <c r="U527" i="1"/>
  <c r="W527" i="1" s="1"/>
  <c r="Z105" i="1"/>
  <c r="AB105" i="1" s="1"/>
  <c r="U105" i="1"/>
  <c r="W105" i="1" s="1"/>
  <c r="Z193" i="1"/>
  <c r="AB193" i="1" s="1"/>
  <c r="U193" i="1"/>
  <c r="W193" i="1" s="1"/>
  <c r="Z175" i="1"/>
  <c r="AB175" i="1" s="1"/>
  <c r="U175" i="1"/>
  <c r="W175" i="1" s="1"/>
  <c r="Z274" i="1"/>
  <c r="AB274" i="1" s="1"/>
  <c r="U274" i="1"/>
  <c r="W274" i="1" s="1"/>
  <c r="Z194" i="1"/>
  <c r="AB194" i="1" s="1"/>
  <c r="U194" i="1"/>
  <c r="W194" i="1" s="1"/>
  <c r="Z88" i="1"/>
  <c r="AB88" i="1" s="1"/>
  <c r="U88" i="1"/>
  <c r="W88" i="1" s="1"/>
  <c r="Z352" i="1"/>
  <c r="AB352" i="1" s="1"/>
  <c r="U352" i="1"/>
  <c r="W352" i="1" s="1"/>
  <c r="Z188" i="1"/>
  <c r="AB188" i="1" s="1"/>
  <c r="U188" i="1"/>
  <c r="W188" i="1" s="1"/>
  <c r="Z265" i="1"/>
  <c r="AB265" i="1" s="1"/>
  <c r="U265" i="1"/>
  <c r="W265" i="1" s="1"/>
  <c r="Z294" i="1"/>
  <c r="AB294" i="1" s="1"/>
  <c r="U294" i="1"/>
  <c r="W294" i="1" s="1"/>
  <c r="Z316" i="1"/>
  <c r="AB316" i="1" s="1"/>
  <c r="U316" i="1"/>
  <c r="W316" i="1" s="1"/>
  <c r="Z349" i="1"/>
  <c r="AB349" i="1" s="1"/>
  <c r="U349" i="1"/>
  <c r="W349" i="1" s="1"/>
  <c r="Z393" i="1"/>
  <c r="AB393" i="1" s="1"/>
  <c r="U393" i="1"/>
  <c r="W393" i="1" s="1"/>
  <c r="Z488" i="1"/>
  <c r="AB488" i="1" s="1"/>
  <c r="U488" i="1"/>
  <c r="W488" i="1" s="1"/>
  <c r="Z495" i="1"/>
  <c r="AB495" i="1" s="1"/>
  <c r="U495" i="1"/>
  <c r="W495" i="1" s="1"/>
  <c r="Z517" i="1"/>
  <c r="AB517" i="1" s="1"/>
  <c r="U517" i="1"/>
  <c r="W517" i="1" s="1"/>
  <c r="Q662" i="1"/>
  <c r="R662" i="1" s="1"/>
  <c r="U889" i="1"/>
  <c r="W889" i="1" s="1"/>
  <c r="U865" i="1"/>
  <c r="W865" i="1" s="1"/>
  <c r="U807" i="1"/>
  <c r="W807" i="1" s="1"/>
  <c r="U747" i="1"/>
  <c r="W747" i="1" s="1"/>
  <c r="Z51" i="1"/>
  <c r="AB51" i="1" s="1"/>
  <c r="U51" i="1"/>
  <c r="W51" i="1" s="1"/>
  <c r="Z19" i="1"/>
  <c r="AB19" i="1" s="1"/>
  <c r="U19" i="1"/>
  <c r="W19" i="1" s="1"/>
  <c r="Z279" i="1"/>
  <c r="AB279" i="1" s="1"/>
  <c r="U279" i="1"/>
  <c r="W279" i="1" s="1"/>
  <c r="Z192" i="1"/>
  <c r="AB192" i="1" s="1"/>
  <c r="U192" i="1"/>
  <c r="W192" i="1" s="1"/>
  <c r="Z236" i="1"/>
  <c r="AB236" i="1" s="1"/>
  <c r="U236" i="1"/>
  <c r="W236" i="1" s="1"/>
  <c r="Z258" i="1"/>
  <c r="AB258" i="1" s="1"/>
  <c r="U258" i="1"/>
  <c r="W258" i="1" s="1"/>
  <c r="Z342" i="1"/>
  <c r="AB342" i="1" s="1"/>
  <c r="U342" i="1"/>
  <c r="W342" i="1" s="1"/>
  <c r="Z448" i="1"/>
  <c r="AB448" i="1" s="1"/>
  <c r="U448" i="1"/>
  <c r="W448" i="1" s="1"/>
  <c r="Z528" i="1"/>
  <c r="AB528" i="1" s="1"/>
  <c r="U528" i="1"/>
  <c r="W528" i="1" s="1"/>
  <c r="Z660" i="1"/>
  <c r="AB660" i="1" s="1"/>
  <c r="U660" i="1"/>
  <c r="W660" i="1" s="1"/>
  <c r="Z806" i="1"/>
  <c r="AB806" i="1" s="1"/>
  <c r="U806" i="1"/>
  <c r="W806" i="1" s="1"/>
  <c r="U689" i="1"/>
  <c r="W689" i="1" s="1"/>
  <c r="U682" i="1"/>
  <c r="W682" i="1" s="1"/>
  <c r="U639" i="1"/>
  <c r="W639" i="1" s="1"/>
  <c r="U588" i="1"/>
  <c r="W588" i="1" s="1"/>
  <c r="U550" i="1"/>
  <c r="W550" i="1" s="1"/>
  <c r="Z263" i="1"/>
  <c r="AB263" i="1" s="1"/>
  <c r="U263" i="1"/>
  <c r="W263" i="1" s="1"/>
  <c r="Z224" i="1"/>
  <c r="AB224" i="1" s="1"/>
  <c r="U224" i="1"/>
  <c r="W224" i="1" s="1"/>
  <c r="Z648" i="1"/>
  <c r="AB648" i="1" s="1"/>
  <c r="U648" i="1"/>
  <c r="W648" i="1" s="1"/>
  <c r="Z60" i="1"/>
  <c r="AB60" i="1" s="1"/>
  <c r="U60" i="1"/>
  <c r="W60" i="1" s="1"/>
  <c r="Z155" i="1"/>
  <c r="AB155" i="1" s="1"/>
  <c r="U155" i="1"/>
  <c r="W155" i="1" s="1"/>
  <c r="Z13" i="1"/>
  <c r="AB13" i="1" s="1"/>
  <c r="U13" i="1"/>
  <c r="W13" i="1" s="1"/>
  <c r="Z130" i="1"/>
  <c r="AB130" i="1" s="1"/>
  <c r="U130" i="1"/>
  <c r="W130" i="1" s="1"/>
  <c r="Z152" i="1"/>
  <c r="AB152" i="1" s="1"/>
  <c r="U152" i="1"/>
  <c r="W152" i="1" s="1"/>
  <c r="Z313" i="1"/>
  <c r="AB313" i="1" s="1"/>
  <c r="U313" i="1"/>
  <c r="W313" i="1" s="1"/>
  <c r="Z430" i="1"/>
  <c r="AB430" i="1" s="1"/>
  <c r="U430" i="1"/>
  <c r="W430" i="1" s="1"/>
  <c r="Z441" i="1"/>
  <c r="AB441" i="1" s="1"/>
  <c r="U441" i="1"/>
  <c r="W441" i="1" s="1"/>
  <c r="O488" i="1"/>
  <c r="Z532" i="1"/>
  <c r="AB532" i="1" s="1"/>
  <c r="U532" i="1"/>
  <c r="W532" i="1" s="1"/>
  <c r="Z832" i="1"/>
  <c r="AB832" i="1" s="1"/>
  <c r="U832" i="1"/>
  <c r="W832" i="1" s="1"/>
  <c r="U10" i="1"/>
  <c r="W10" i="1" s="1"/>
  <c r="U852" i="1"/>
  <c r="W852" i="1" s="1"/>
  <c r="U812" i="1"/>
  <c r="W812" i="1" s="1"/>
  <c r="O456" i="1"/>
  <c r="Q612" i="1"/>
  <c r="R612" i="1" s="1"/>
  <c r="O945" i="1"/>
  <c r="N488" i="1" a="1"/>
  <c r="N488" i="1" s="1"/>
  <c r="Q764" i="1"/>
  <c r="R764" i="1" s="1"/>
  <c r="N371" i="1" a="1"/>
  <c r="N371" i="1" s="1"/>
  <c r="O589" i="1"/>
  <c r="O856" i="1"/>
  <c r="O500" i="1"/>
  <c r="Q589" i="1"/>
  <c r="R589" i="1" s="1"/>
  <c r="O759" i="1"/>
  <c r="N358" i="1" a="1"/>
  <c r="N358" i="1" s="1"/>
  <c r="Q500" i="1"/>
  <c r="R500" i="1" s="1"/>
  <c r="Q78" i="1"/>
  <c r="R78" i="1" s="1"/>
  <c r="O358" i="1"/>
  <c r="Q477" i="1"/>
  <c r="R477" i="1" s="1"/>
  <c r="Q634" i="1"/>
  <c r="R634" i="1" s="1"/>
  <c r="O764" i="1"/>
  <c r="O142" i="1"/>
  <c r="O961" i="1"/>
  <c r="N51" i="1" a="1"/>
  <c r="N51" i="1" s="1"/>
  <c r="Q142" i="1"/>
  <c r="R142" i="1" s="1"/>
  <c r="O441" i="1"/>
  <c r="N639" i="1" a="1"/>
  <c r="N639" i="1" s="1"/>
  <c r="O790" i="1"/>
  <c r="O830" i="1"/>
  <c r="N111" i="1" a="1"/>
  <c r="N111" i="1" s="1"/>
  <c r="O639" i="1"/>
  <c r="Q759" i="1"/>
  <c r="R759" i="1" s="1"/>
  <c r="Q111" i="1"/>
  <c r="R111" i="1" s="1"/>
  <c r="Q489" i="1"/>
  <c r="R489" i="1" s="1"/>
  <c r="Q545" i="1"/>
  <c r="R545" i="1" s="1"/>
  <c r="Q717" i="1"/>
  <c r="R717" i="1" s="1"/>
  <c r="Q181" i="1"/>
  <c r="R181" i="1" s="1"/>
  <c r="N181" i="1" a="1"/>
  <c r="N181" i="1" s="1"/>
  <c r="O626" i="1"/>
  <c r="N626" i="1" a="1"/>
  <c r="N626" i="1" s="1"/>
  <c r="O616" i="1"/>
  <c r="Q616" i="1"/>
  <c r="R616" i="1" s="1"/>
  <c r="O397" i="1"/>
  <c r="O623" i="1"/>
  <c r="O204" i="1"/>
  <c r="O678" i="1"/>
  <c r="Q397" i="1"/>
  <c r="R397" i="1" s="1"/>
  <c r="Q498" i="1"/>
  <c r="R498" i="1" s="1"/>
  <c r="Q576" i="1"/>
  <c r="R576" i="1" s="1"/>
  <c r="Q623" i="1"/>
  <c r="R623" i="1" s="1"/>
  <c r="O672" i="1"/>
  <c r="Q769" i="1"/>
  <c r="R769" i="1" s="1"/>
  <c r="Q911" i="1"/>
  <c r="R911" i="1" s="1"/>
  <c r="Q204" i="1"/>
  <c r="R204" i="1" s="1"/>
  <c r="Q706" i="1"/>
  <c r="R706" i="1" s="1"/>
  <c r="O232" i="1"/>
  <c r="N375" i="1" a="1"/>
  <c r="N375" i="1" s="1"/>
  <c r="N430" i="1" a="1"/>
  <c r="N430" i="1" s="1"/>
  <c r="N443" i="1" a="1"/>
  <c r="N443" i="1" s="1"/>
  <c r="O405" i="1"/>
  <c r="O443" i="1"/>
  <c r="N588" i="1" a="1"/>
  <c r="N588" i="1" s="1"/>
  <c r="N801" i="1" a="1"/>
  <c r="N801" i="1" s="1"/>
  <c r="Q961" i="1"/>
  <c r="R961" i="1" s="1"/>
  <c r="N253" i="1" a="1"/>
  <c r="N253" i="1" s="1"/>
  <c r="O430" i="1"/>
  <c r="Q232" i="1"/>
  <c r="R232" i="1" s="1"/>
  <c r="N477" i="1" a="1"/>
  <c r="N477" i="1" s="1"/>
  <c r="O801" i="1"/>
  <c r="Q253" i="1"/>
  <c r="R253" i="1" s="1"/>
  <c r="Q673" i="1"/>
  <c r="R673" i="1" s="1"/>
  <c r="Q683" i="1"/>
  <c r="R683" i="1" s="1"/>
  <c r="N193" i="1" a="1"/>
  <c r="N193" i="1" s="1"/>
  <c r="O274" i="1"/>
  <c r="Q405" i="1"/>
  <c r="R405" i="1" s="1"/>
  <c r="O51" i="1"/>
  <c r="O193" i="1"/>
  <c r="O315" i="1"/>
  <c r="O318" i="1"/>
  <c r="Q906" i="1"/>
  <c r="R906" i="1" s="1"/>
  <c r="N566" i="1" a="1"/>
  <c r="N566" i="1" s="1"/>
  <c r="Q566" i="1"/>
  <c r="R566" i="1" s="1"/>
  <c r="O566" i="1"/>
  <c r="N872" i="1" a="1"/>
  <c r="N872" i="1" s="1"/>
  <c r="Q872" i="1"/>
  <c r="R872" i="1" s="1"/>
  <c r="Q56" i="1"/>
  <c r="R56" i="1" s="1"/>
  <c r="O56" i="1"/>
  <c r="Q357" i="1"/>
  <c r="R357" i="1" s="1"/>
  <c r="N357" i="1" a="1"/>
  <c r="N357" i="1" s="1"/>
  <c r="N982" i="1" a="1"/>
  <c r="N982" i="1" s="1"/>
  <c r="Q982" i="1"/>
  <c r="R982" i="1" s="1"/>
  <c r="O741" i="1"/>
  <c r="Q741" i="1"/>
  <c r="R741" i="1" s="1"/>
  <c r="N649" i="1" a="1"/>
  <c r="N649" i="1" s="1"/>
  <c r="Q649" i="1"/>
  <c r="R649" i="1" s="1"/>
  <c r="O92" i="1"/>
  <c r="Q92" i="1"/>
  <c r="R92" i="1" s="1"/>
  <c r="O619" i="1"/>
  <c r="Q619" i="1"/>
  <c r="R619" i="1" s="1"/>
  <c r="N927" i="1" a="1"/>
  <c r="N927" i="1" s="1"/>
  <c r="Q927" i="1"/>
  <c r="R927" i="1" s="1"/>
  <c r="Q284" i="1"/>
  <c r="R284" i="1" s="1"/>
  <c r="N284" i="1" a="1"/>
  <c r="N284" i="1" s="1"/>
  <c r="O284" i="1"/>
  <c r="Q203" i="1"/>
  <c r="R203" i="1" s="1"/>
  <c r="N203" i="1" a="1"/>
  <c r="N203" i="1" s="1"/>
  <c r="Q582" i="1"/>
  <c r="R582" i="1" s="1"/>
  <c r="O582" i="1"/>
  <c r="Q850" i="1"/>
  <c r="R850" i="1" s="1"/>
  <c r="N850" i="1" a="1"/>
  <c r="N850" i="1" s="1"/>
  <c r="O850" i="1"/>
  <c r="Q415" i="1"/>
  <c r="R415" i="1" s="1"/>
  <c r="O214" i="1"/>
  <c r="O248" i="1"/>
  <c r="Q69" i="1"/>
  <c r="R69" i="1" s="1"/>
  <c r="Q214" i="1"/>
  <c r="R214" i="1" s="1"/>
  <c r="N313" i="1" a="1"/>
  <c r="N313" i="1" s="1"/>
  <c r="Q315" i="1"/>
  <c r="R315" i="1" s="1"/>
  <c r="N489" i="1" a="1"/>
  <c r="N489" i="1" s="1"/>
  <c r="N498" i="1" a="1"/>
  <c r="N498" i="1" s="1"/>
  <c r="O540" i="1"/>
  <c r="N616" i="1" a="1"/>
  <c r="N616" i="1" s="1"/>
  <c r="Q626" i="1"/>
  <c r="R626" i="1" s="1"/>
  <c r="O634" i="1"/>
  <c r="O773" i="1"/>
  <c r="N785" i="1" a="1"/>
  <c r="N785" i="1" s="1"/>
  <c r="Q819" i="1"/>
  <c r="R819" i="1" s="1"/>
  <c r="Q977" i="1"/>
  <c r="R977" i="1" s="1"/>
  <c r="O61" i="1"/>
  <c r="Q248" i="1"/>
  <c r="R248" i="1" s="1"/>
  <c r="O289" i="1"/>
  <c r="O298" i="1"/>
  <c r="O313" i="1"/>
  <c r="O341" i="1"/>
  <c r="O353" i="1"/>
  <c r="O365" i="1"/>
  <c r="Q371" i="1"/>
  <c r="R371" i="1" s="1"/>
  <c r="Q447" i="1"/>
  <c r="R447" i="1" s="1"/>
  <c r="Q456" i="1"/>
  <c r="R456" i="1" s="1"/>
  <c r="O469" i="1"/>
  <c r="Q522" i="1"/>
  <c r="R522" i="1" s="1"/>
  <c r="N672" i="1" a="1"/>
  <c r="N672" i="1" s="1"/>
  <c r="O683" i="1"/>
  <c r="O706" i="1"/>
  <c r="O731" i="1"/>
  <c r="O785" i="1"/>
  <c r="Q835" i="1"/>
  <c r="R835" i="1" s="1"/>
  <c r="Q856" i="1"/>
  <c r="R856" i="1" s="1"/>
  <c r="Q885" i="1"/>
  <c r="R885" i="1" s="1"/>
  <c r="O906" i="1"/>
  <c r="Q945" i="1"/>
  <c r="R945" i="1" s="1"/>
  <c r="O69" i="1"/>
  <c r="O39" i="1"/>
  <c r="O243" i="1"/>
  <c r="Q289" i="1"/>
  <c r="R289" i="1" s="1"/>
  <c r="Q298" i="1"/>
  <c r="R298" i="1" s="1"/>
  <c r="Q341" i="1"/>
  <c r="R341" i="1" s="1"/>
  <c r="Q469" i="1"/>
  <c r="R469" i="1" s="1"/>
  <c r="O87" i="1"/>
  <c r="O147" i="1"/>
  <c r="O183" i="1"/>
  <c r="N237" i="1" a="1"/>
  <c r="N237" i="1" s="1"/>
  <c r="N339" i="1" a="1"/>
  <c r="N339" i="1" s="1"/>
  <c r="O505" i="1"/>
  <c r="N532" i="1" a="1"/>
  <c r="N532" i="1" s="1"/>
  <c r="O588" i="1"/>
  <c r="O704" i="1"/>
  <c r="N855" i="1" a="1"/>
  <c r="N855" i="1" s="1"/>
  <c r="Q956" i="1"/>
  <c r="R956" i="1" s="1"/>
  <c r="Q122" i="1"/>
  <c r="R122" i="1" s="1"/>
  <c r="Q61" i="1"/>
  <c r="R61" i="1" s="1"/>
  <c r="Q225" i="1"/>
  <c r="R225" i="1" s="1"/>
  <c r="O237" i="1"/>
  <c r="Q243" i="1"/>
  <c r="R243" i="1" s="1"/>
  <c r="N327" i="1" a="1"/>
  <c r="N327" i="1" s="1"/>
  <c r="O339" i="1"/>
  <c r="Q375" i="1"/>
  <c r="R375" i="1" s="1"/>
  <c r="N415" i="1" a="1"/>
  <c r="N415" i="1" s="1"/>
  <c r="O627" i="1"/>
  <c r="O667" i="1"/>
  <c r="Q678" i="1"/>
  <c r="R678" i="1" s="1"/>
  <c r="N808" i="1" a="1"/>
  <c r="N808" i="1" s="1"/>
  <c r="Q830" i="1"/>
  <c r="R830" i="1" s="1"/>
  <c r="O855" i="1"/>
  <c r="O867" i="1"/>
  <c r="O966" i="1"/>
  <c r="Q972" i="1"/>
  <c r="R972" i="1" s="1"/>
  <c r="O225" i="1"/>
  <c r="O520" i="1"/>
  <c r="Q87" i="1"/>
  <c r="R87" i="1" s="1"/>
  <c r="Q147" i="1"/>
  <c r="R147" i="1" s="1"/>
  <c r="Q183" i="1"/>
  <c r="R183" i="1" s="1"/>
  <c r="Q302" i="1"/>
  <c r="R302" i="1" s="1"/>
  <c r="Q467" i="1"/>
  <c r="R467" i="1" s="1"/>
  <c r="Q505" i="1"/>
  <c r="R505" i="1" s="1"/>
  <c r="O532" i="1"/>
  <c r="N659" i="1" a="1"/>
  <c r="N659" i="1" s="1"/>
  <c r="Q704" i="1"/>
  <c r="R704" i="1" s="1"/>
  <c r="O717" i="1"/>
  <c r="O769" i="1"/>
  <c r="Q934" i="1"/>
  <c r="R934" i="1" s="1"/>
  <c r="Q989" i="1"/>
  <c r="R989" i="1" s="1"/>
  <c r="Q353" i="1"/>
  <c r="R353" i="1" s="1"/>
  <c r="O557" i="1"/>
  <c r="Q327" i="1"/>
  <c r="R327" i="1" s="1"/>
  <c r="O521" i="1"/>
  <c r="Q627" i="1"/>
  <c r="R627" i="1" s="1"/>
  <c r="Q667" i="1"/>
  <c r="R667" i="1" s="1"/>
  <c r="O911" i="1"/>
  <c r="Q966" i="1"/>
  <c r="R966" i="1" s="1"/>
  <c r="O86" i="1"/>
  <c r="Q86" i="1"/>
  <c r="R86" i="1" s="1"/>
  <c r="N86" i="1" a="1"/>
  <c r="N86" i="1" s="1"/>
  <c r="Q62" i="1"/>
  <c r="R62" i="1" s="1"/>
  <c r="O62" i="1"/>
  <c r="N62" i="1" a="1"/>
  <c r="N62" i="1" s="1"/>
  <c r="O470" i="1"/>
  <c r="N470" i="1" a="1"/>
  <c r="N470" i="1" s="1"/>
  <c r="Q470" i="1"/>
  <c r="R470" i="1" s="1"/>
  <c r="N269" i="1" a="1"/>
  <c r="N269" i="1" s="1"/>
  <c r="O269" i="1"/>
  <c r="N136" i="1" a="1"/>
  <c r="N136" i="1" s="1"/>
  <c r="Q136" i="1"/>
  <c r="R136" i="1" s="1"/>
  <c r="O136" i="1"/>
  <c r="N220" i="1" a="1"/>
  <c r="N220" i="1" s="1"/>
  <c r="Q220" i="1"/>
  <c r="R220" i="1" s="1"/>
  <c r="O220" i="1"/>
  <c r="Q235" i="1"/>
  <c r="R235" i="1" s="1"/>
  <c r="O235" i="1"/>
  <c r="N235" i="1" a="1"/>
  <c r="N235" i="1" s="1"/>
  <c r="N297" i="1" a="1"/>
  <c r="N297" i="1" s="1"/>
  <c r="Q297" i="1"/>
  <c r="R297" i="1" s="1"/>
  <c r="O297" i="1"/>
  <c r="N437" i="1" a="1"/>
  <c r="N437" i="1" s="1"/>
  <c r="Q437" i="1"/>
  <c r="R437" i="1" s="1"/>
  <c r="O437" i="1"/>
  <c r="N176" i="1" a="1"/>
  <c r="N176" i="1" s="1"/>
  <c r="O176" i="1"/>
  <c r="N83" i="1" a="1"/>
  <c r="N83" i="1" s="1"/>
  <c r="Q83" i="1"/>
  <c r="R83" i="1" s="1"/>
  <c r="O83" i="1"/>
  <c r="O112" i="1"/>
  <c r="N112" i="1" a="1"/>
  <c r="N112" i="1" s="1"/>
  <c r="Q112" i="1"/>
  <c r="R112" i="1" s="1"/>
  <c r="Q301" i="1"/>
  <c r="R301" i="1" s="1"/>
  <c r="O301" i="1"/>
  <c r="N301" i="1" a="1"/>
  <c r="N301" i="1" s="1"/>
  <c r="Q264" i="1"/>
  <c r="R264" i="1" s="1"/>
  <c r="O264" i="1"/>
  <c r="N264" i="1" a="1"/>
  <c r="N264" i="1" s="1"/>
  <c r="Q396" i="1"/>
  <c r="R396" i="1" s="1"/>
  <c r="O396" i="1"/>
  <c r="N396" i="1" a="1"/>
  <c r="N396" i="1" s="1"/>
  <c r="Q99" i="1"/>
  <c r="R99" i="1" s="1"/>
  <c r="O99" i="1"/>
  <c r="N392" i="1" a="1"/>
  <c r="N392" i="1" s="1"/>
  <c r="O392" i="1"/>
  <c r="O451" i="1"/>
  <c r="Q451" i="1"/>
  <c r="R451" i="1" s="1"/>
  <c r="N451" i="1" a="1"/>
  <c r="N451" i="1" s="1"/>
  <c r="N150" i="1" a="1"/>
  <c r="N150" i="1" s="1"/>
  <c r="Q150" i="1"/>
  <c r="R150" i="1" s="1"/>
  <c r="N20" i="1" a="1"/>
  <c r="N20" i="1" s="1"/>
  <c r="Q20" i="1"/>
  <c r="R20" i="1" s="1"/>
  <c r="O20" i="1"/>
  <c r="Q344" i="1"/>
  <c r="R344" i="1" s="1"/>
  <c r="O344" i="1"/>
  <c r="N56" i="1" a="1"/>
  <c r="N56" i="1" s="1"/>
  <c r="N79" i="1" a="1"/>
  <c r="N79" i="1" s="1"/>
  <c r="O79" i="1"/>
  <c r="N96" i="1" a="1"/>
  <c r="N96" i="1" s="1"/>
  <c r="Q96" i="1"/>
  <c r="R96" i="1" s="1"/>
  <c r="O96" i="1"/>
  <c r="N138" i="1" a="1"/>
  <c r="N138" i="1" s="1"/>
  <c r="Q138" i="1"/>
  <c r="R138" i="1" s="1"/>
  <c r="Q287" i="1"/>
  <c r="R287" i="1" s="1"/>
  <c r="O287" i="1"/>
  <c r="N318" i="1" a="1"/>
  <c r="N318" i="1" s="1"/>
  <c r="N344" i="1" a="1"/>
  <c r="N344" i="1" s="1"/>
  <c r="N454" i="1" a="1"/>
  <c r="N454" i="1" s="1"/>
  <c r="Q454" i="1"/>
  <c r="R454" i="1" s="1"/>
  <c r="O454" i="1"/>
  <c r="Q530" i="1"/>
  <c r="R530" i="1" s="1"/>
  <c r="O530" i="1"/>
  <c r="N530" i="1" a="1"/>
  <c r="N530" i="1" s="1"/>
  <c r="Q818" i="1"/>
  <c r="R818" i="1" s="1"/>
  <c r="O818" i="1"/>
  <c r="Q141" i="1"/>
  <c r="R141" i="1" s="1"/>
  <c r="N141" i="1" a="1"/>
  <c r="N141" i="1" s="1"/>
  <c r="O163" i="1"/>
  <c r="N163" i="1" a="1"/>
  <c r="N163" i="1" s="1"/>
  <c r="N254" i="1" a="1"/>
  <c r="N254" i="1" s="1"/>
  <c r="Q254" i="1"/>
  <c r="R254" i="1" s="1"/>
  <c r="O254" i="1"/>
  <c r="N275" i="1" a="1"/>
  <c r="N275" i="1" s="1"/>
  <c r="O275" i="1"/>
  <c r="Q362" i="1"/>
  <c r="R362" i="1" s="1"/>
  <c r="O362" i="1"/>
  <c r="Q378" i="1"/>
  <c r="R378" i="1" s="1"/>
  <c r="O378" i="1"/>
  <c r="O401" i="1"/>
  <c r="Q401" i="1"/>
  <c r="R401" i="1" s="1"/>
  <c r="O440" i="1"/>
  <c r="Q440" i="1"/>
  <c r="R440" i="1" s="1"/>
  <c r="N440" i="1" a="1"/>
  <c r="N440" i="1" s="1"/>
  <c r="Q514" i="1"/>
  <c r="R514" i="1" s="1"/>
  <c r="O514" i="1"/>
  <c r="Q562" i="1"/>
  <c r="R562" i="1" s="1"/>
  <c r="O562" i="1"/>
  <c r="N562" i="1" a="1"/>
  <c r="N562" i="1" s="1"/>
  <c r="Q595" i="1"/>
  <c r="R595" i="1" s="1"/>
  <c r="O595" i="1"/>
  <c r="Q94" i="1"/>
  <c r="R94" i="1" s="1"/>
  <c r="O94" i="1"/>
  <c r="O311" i="1"/>
  <c r="O319" i="1"/>
  <c r="N319" i="1" a="1"/>
  <c r="N319" i="1" s="1"/>
  <c r="Q319" i="1"/>
  <c r="R319" i="1" s="1"/>
  <c r="N362" i="1" a="1"/>
  <c r="N362" i="1" s="1"/>
  <c r="N401" i="1" a="1"/>
  <c r="N401" i="1" s="1"/>
  <c r="N514" i="1" a="1"/>
  <c r="N514" i="1" s="1"/>
  <c r="N553" i="1" a="1"/>
  <c r="N553" i="1" s="1"/>
  <c r="Q553" i="1"/>
  <c r="R553" i="1" s="1"/>
  <c r="O553" i="1"/>
  <c r="N758" i="1" a="1"/>
  <c r="N758" i="1" s="1"/>
  <c r="Q758" i="1"/>
  <c r="R758" i="1" s="1"/>
  <c r="O758" i="1"/>
  <c r="O829" i="1"/>
  <c r="Q829" i="1"/>
  <c r="R829" i="1" s="1"/>
  <c r="N829" i="1" a="1"/>
  <c r="N829" i="1" s="1"/>
  <c r="N584" i="1" a="1"/>
  <c r="N584" i="1" s="1"/>
  <c r="Q584" i="1"/>
  <c r="R584" i="1" s="1"/>
  <c r="O584" i="1"/>
  <c r="N851" i="1" a="1"/>
  <c r="N851" i="1" s="1"/>
  <c r="Q851" i="1"/>
  <c r="R851" i="1" s="1"/>
  <c r="N699" i="1" a="1"/>
  <c r="N699" i="1" s="1"/>
  <c r="Q699" i="1"/>
  <c r="R699" i="1" s="1"/>
  <c r="O699" i="1"/>
  <c r="O203" i="1"/>
  <c r="Q163" i="1"/>
  <c r="R163" i="1" s="1"/>
  <c r="O181" i="1"/>
  <c r="O209" i="1"/>
  <c r="Q275" i="1"/>
  <c r="R275" i="1" s="1"/>
  <c r="O16" i="1"/>
  <c r="Q40" i="1"/>
  <c r="R40" i="1" s="1"/>
  <c r="N306" i="1" a="1"/>
  <c r="N306" i="1" s="1"/>
  <c r="N323" i="1" a="1"/>
  <c r="N323" i="1" s="1"/>
  <c r="Q323" i="1"/>
  <c r="R323" i="1" s="1"/>
  <c r="O385" i="1"/>
  <c r="Q385" i="1"/>
  <c r="R385" i="1" s="1"/>
  <c r="O13" i="1"/>
  <c r="O19" i="1"/>
  <c r="Q43" i="1"/>
  <c r="R43" i="1" s="1"/>
  <c r="O107" i="1"/>
  <c r="N155" i="1" a="1"/>
  <c r="N155" i="1" s="1"/>
  <c r="O155" i="1"/>
  <c r="N199" i="1" a="1"/>
  <c r="N199" i="1" s="1"/>
  <c r="Q199" i="1"/>
  <c r="R199" i="1" s="1"/>
  <c r="O199" i="1"/>
  <c r="Q209" i="1"/>
  <c r="R209" i="1" s="1"/>
  <c r="O306" i="1"/>
  <c r="O133" i="1"/>
  <c r="N249" i="1" a="1"/>
  <c r="N249" i="1" s="1"/>
  <c r="Q249" i="1"/>
  <c r="R249" i="1" s="1"/>
  <c r="Q25" i="1"/>
  <c r="R25" i="1" s="1"/>
  <c r="O25" i="1"/>
  <c r="Q52" i="1"/>
  <c r="R52" i="1" s="1"/>
  <c r="O52" i="1"/>
  <c r="Q133" i="1"/>
  <c r="R133" i="1" s="1"/>
  <c r="Q311" i="1"/>
  <c r="R311" i="1" s="1"/>
  <c r="O332" i="1"/>
  <c r="Q332" i="1"/>
  <c r="R332" i="1" s="1"/>
  <c r="O357" i="1"/>
  <c r="Q16" i="1"/>
  <c r="R16" i="1" s="1"/>
  <c r="N25" i="1" a="1"/>
  <c r="N25" i="1" s="1"/>
  <c r="N44" i="1" a="1"/>
  <c r="N44" i="1" s="1"/>
  <c r="Q44" i="1"/>
  <c r="R44" i="1" s="1"/>
  <c r="N52" i="1" a="1"/>
  <c r="N52" i="1" s="1"/>
  <c r="N78" i="1" a="1"/>
  <c r="N78" i="1" s="1"/>
  <c r="Q129" i="1"/>
  <c r="R129" i="1" s="1"/>
  <c r="O129" i="1"/>
  <c r="Q132" i="1"/>
  <c r="R132" i="1" s="1"/>
  <c r="O132" i="1"/>
  <c r="N180" i="1" a="1"/>
  <c r="N180" i="1" s="1"/>
  <c r="Q180" i="1"/>
  <c r="R180" i="1" s="1"/>
  <c r="O180" i="1"/>
  <c r="N280" i="1" a="1"/>
  <c r="N280" i="1" s="1"/>
  <c r="Q280" i="1"/>
  <c r="R280" i="1" s="1"/>
  <c r="O280" i="1"/>
  <c r="O323" i="1"/>
  <c r="O363" i="1"/>
  <c r="O423" i="1"/>
  <c r="N444" i="1" a="1"/>
  <c r="N444" i="1" s="1"/>
  <c r="Q444" i="1"/>
  <c r="R444" i="1" s="1"/>
  <c r="O444" i="1"/>
  <c r="Q465" i="1"/>
  <c r="R465" i="1" s="1"/>
  <c r="O465" i="1"/>
  <c r="Q503" i="1"/>
  <c r="R503" i="1" s="1"/>
  <c r="O503" i="1"/>
  <c r="N509" i="1" a="1"/>
  <c r="N509" i="1" s="1"/>
  <c r="Q509" i="1"/>
  <c r="R509" i="1" s="1"/>
  <c r="O509" i="1"/>
  <c r="Q59" i="1"/>
  <c r="R59" i="1" s="1"/>
  <c r="O28" i="1"/>
  <c r="N28" i="1" a="1"/>
  <c r="N28" i="1" s="1"/>
  <c r="N107" i="1" a="1"/>
  <c r="N107" i="1" s="1"/>
  <c r="Q198" i="1"/>
  <c r="R198" i="1" s="1"/>
  <c r="N238" i="1" a="1"/>
  <c r="N238" i="1" s="1"/>
  <c r="Q238" i="1"/>
  <c r="R238" i="1" s="1"/>
  <c r="N426" i="1" a="1"/>
  <c r="N426" i="1" s="1"/>
  <c r="Q426" i="1"/>
  <c r="R426" i="1" s="1"/>
  <c r="O426" i="1"/>
  <c r="Q486" i="1"/>
  <c r="R486" i="1" s="1"/>
  <c r="N486" i="1" a="1"/>
  <c r="N486" i="1" s="1"/>
  <c r="O846" i="1"/>
  <c r="Q846" i="1"/>
  <c r="R846" i="1" s="1"/>
  <c r="N337" i="1" a="1"/>
  <c r="N337" i="1" s="1"/>
  <c r="Q337" i="1"/>
  <c r="R337" i="1" s="1"/>
  <c r="O476" i="1"/>
  <c r="Q476" i="1"/>
  <c r="R476" i="1" s="1"/>
  <c r="N476" i="1" a="1"/>
  <c r="N476" i="1" s="1"/>
  <c r="Q583" i="1"/>
  <c r="R583" i="1" s="1"/>
  <c r="O583" i="1"/>
  <c r="N583" i="1" a="1"/>
  <c r="N583" i="1" s="1"/>
  <c r="O198" i="1"/>
  <c r="N285" i="1" a="1"/>
  <c r="N285" i="1" s="1"/>
  <c r="Q285" i="1"/>
  <c r="R285" i="1" s="1"/>
  <c r="N39" i="1" a="1"/>
  <c r="N39" i="1" s="1"/>
  <c r="O84" i="1"/>
  <c r="Q84" i="1"/>
  <c r="R84" i="1" s="1"/>
  <c r="N95" i="1" a="1"/>
  <c r="N95" i="1" s="1"/>
  <c r="N123" i="1" a="1"/>
  <c r="N123" i="1" s="1"/>
  <c r="Q123" i="1"/>
  <c r="R123" i="1" s="1"/>
  <c r="N216" i="1" a="1"/>
  <c r="N216" i="1" s="1"/>
  <c r="Q216" i="1"/>
  <c r="R216" i="1" s="1"/>
  <c r="O216" i="1"/>
  <c r="Q259" i="1"/>
  <c r="R259" i="1" s="1"/>
  <c r="O259" i="1"/>
  <c r="Q363" i="1"/>
  <c r="R363" i="1" s="1"/>
  <c r="Q383" i="1"/>
  <c r="R383" i="1" s="1"/>
  <c r="N383" i="1" a="1"/>
  <c r="N383" i="1" s="1"/>
  <c r="N389" i="1" a="1"/>
  <c r="N389" i="1" s="1"/>
  <c r="Q389" i="1"/>
  <c r="R389" i="1" s="1"/>
  <c r="Q423" i="1"/>
  <c r="R423" i="1" s="1"/>
  <c r="N503" i="1" a="1"/>
  <c r="N503" i="1" s="1"/>
  <c r="N516" i="1" a="1"/>
  <c r="N516" i="1" s="1"/>
  <c r="O516" i="1"/>
  <c r="Q516" i="1"/>
  <c r="R516" i="1" s="1"/>
  <c r="O789" i="1"/>
  <c r="Q789" i="1"/>
  <c r="R789" i="1" s="1"/>
  <c r="N860" i="1" a="1"/>
  <c r="N860" i="1" s="1"/>
  <c r="Q860" i="1"/>
  <c r="R860" i="1" s="1"/>
  <c r="N869" i="1" a="1"/>
  <c r="N869" i="1" s="1"/>
  <c r="Q869" i="1"/>
  <c r="R869" i="1" s="1"/>
  <c r="O869" i="1"/>
  <c r="Q976" i="1"/>
  <c r="R976" i="1" s="1"/>
  <c r="O976" i="1"/>
  <c r="N976" i="1" a="1"/>
  <c r="N976" i="1" s="1"/>
  <c r="N579" i="1" a="1"/>
  <c r="N579" i="1" s="1"/>
  <c r="Q579" i="1"/>
  <c r="R579" i="1" s="1"/>
  <c r="O579" i="1"/>
  <c r="O755" i="1"/>
  <c r="Q755" i="1"/>
  <c r="R755" i="1" s="1"/>
  <c r="N786" i="1" a="1"/>
  <c r="N786" i="1" s="1"/>
  <c r="Q786" i="1"/>
  <c r="R786" i="1" s="1"/>
  <c r="O786" i="1"/>
  <c r="N899" i="1" a="1"/>
  <c r="N899" i="1" s="1"/>
  <c r="Q899" i="1"/>
  <c r="R899" i="1" s="1"/>
  <c r="N902" i="1" a="1"/>
  <c r="N902" i="1" s="1"/>
  <c r="Q902" i="1"/>
  <c r="R902" i="1" s="1"/>
  <c r="O902" i="1"/>
  <c r="Q993" i="1"/>
  <c r="R993" i="1" s="1"/>
  <c r="O993" i="1"/>
  <c r="N993" i="1" a="1"/>
  <c r="N993" i="1" s="1"/>
  <c r="O608" i="1"/>
  <c r="Q608" i="1"/>
  <c r="R608" i="1" s="1"/>
  <c r="N747" i="1" a="1"/>
  <c r="N747" i="1" s="1"/>
  <c r="O747" i="1"/>
  <c r="Q813" i="1"/>
  <c r="R813" i="1" s="1"/>
  <c r="O802" i="1"/>
  <c r="N802" i="1" a="1"/>
  <c r="N802" i="1" s="1"/>
  <c r="O826" i="1"/>
  <c r="Q826" i="1"/>
  <c r="R826" i="1" s="1"/>
  <c r="O860" i="1"/>
  <c r="N932" i="1" a="1"/>
  <c r="N932" i="1" s="1"/>
  <c r="Q932" i="1"/>
  <c r="R932" i="1" s="1"/>
  <c r="O932" i="1"/>
  <c r="Q987" i="1"/>
  <c r="R987" i="1" s="1"/>
  <c r="O987" i="1"/>
  <c r="N987" i="1" a="1"/>
  <c r="N987" i="1" s="1"/>
  <c r="N520" i="1" a="1"/>
  <c r="N520" i="1" s="1"/>
  <c r="Q539" i="1"/>
  <c r="R539" i="1" s="1"/>
  <c r="O539" i="1"/>
  <c r="N539" i="1" a="1"/>
  <c r="N539" i="1" s="1"/>
  <c r="N593" i="1" a="1"/>
  <c r="N593" i="1" s="1"/>
  <c r="Q593" i="1"/>
  <c r="R593" i="1" s="1"/>
  <c r="N608" i="1" a="1"/>
  <c r="N608" i="1" s="1"/>
  <c r="N619" i="1" a="1"/>
  <c r="N619" i="1" s="1"/>
  <c r="N753" i="1" a="1"/>
  <c r="N753" i="1" s="1"/>
  <c r="Q753" i="1"/>
  <c r="R753" i="1" s="1"/>
  <c r="O753" i="1"/>
  <c r="N781" i="1" a="1"/>
  <c r="N781" i="1" s="1"/>
  <c r="Q781" i="1"/>
  <c r="R781" i="1" s="1"/>
  <c r="O781" i="1"/>
  <c r="N826" i="1" a="1"/>
  <c r="N826" i="1" s="1"/>
  <c r="N842" i="1" a="1"/>
  <c r="N842" i="1" s="1"/>
  <c r="Q842" i="1"/>
  <c r="R842" i="1" s="1"/>
  <c r="O842" i="1"/>
  <c r="Q845" i="1"/>
  <c r="R845" i="1" s="1"/>
  <c r="O845" i="1"/>
  <c r="N845" i="1" a="1"/>
  <c r="N845" i="1" s="1"/>
  <c r="Q893" i="1"/>
  <c r="R893" i="1" s="1"/>
  <c r="N893" i="1" a="1"/>
  <c r="N893" i="1" s="1"/>
  <c r="N916" i="1" a="1"/>
  <c r="N916" i="1" s="1"/>
  <c r="Q916" i="1"/>
  <c r="R916" i="1" s="1"/>
  <c r="N656" i="1" a="1"/>
  <c r="N656" i="1" s="1"/>
  <c r="Q656" i="1"/>
  <c r="R656" i="1" s="1"/>
  <c r="O808" i="1"/>
  <c r="Q926" i="1"/>
  <c r="R926" i="1" s="1"/>
  <c r="O926" i="1"/>
  <c r="N926" i="1" a="1"/>
  <c r="N926" i="1" s="1"/>
  <c r="N971" i="1" a="1"/>
  <c r="N971" i="1" s="1"/>
  <c r="Q971" i="1"/>
  <c r="R971" i="1" s="1"/>
  <c r="Q677" i="1"/>
  <c r="R677" i="1" s="1"/>
  <c r="O677" i="1"/>
  <c r="O688" i="1"/>
  <c r="N688" i="1" a="1"/>
  <c r="N688" i="1" s="1"/>
  <c r="Q802" i="1"/>
  <c r="R802" i="1" s="1"/>
  <c r="O877" i="1"/>
  <c r="N877" i="1" a="1"/>
  <c r="N877" i="1" s="1"/>
  <c r="O893" i="1"/>
  <c r="Q910" i="1"/>
  <c r="R910" i="1" s="1"/>
  <c r="O910" i="1"/>
  <c r="N910" i="1" a="1"/>
  <c r="N910" i="1" s="1"/>
  <c r="O916" i="1"/>
  <c r="N550" i="1" a="1"/>
  <c r="N550" i="1" s="1"/>
  <c r="Q570" i="1"/>
  <c r="R570" i="1" s="1"/>
  <c r="N570" i="1" a="1"/>
  <c r="N570" i="1" s="1"/>
  <c r="N606" i="1" a="1"/>
  <c r="N606" i="1" s="1"/>
  <c r="O606" i="1"/>
  <c r="Q661" i="1"/>
  <c r="R661" i="1" s="1"/>
  <c r="O661" i="1"/>
  <c r="N661" i="1" a="1"/>
  <c r="N661" i="1" s="1"/>
  <c r="N545" i="1" a="1"/>
  <c r="N545" i="1" s="1"/>
  <c r="O550" i="1"/>
  <c r="Q557" i="1"/>
  <c r="R557" i="1" s="1"/>
  <c r="Q561" i="1"/>
  <c r="R561" i="1" s="1"/>
  <c r="O561" i="1"/>
  <c r="N561" i="1" a="1"/>
  <c r="N561" i="1" s="1"/>
  <c r="Q572" i="1"/>
  <c r="R572" i="1" s="1"/>
  <c r="N648" i="1" a="1"/>
  <c r="N648" i="1" s="1"/>
  <c r="N677" i="1" a="1"/>
  <c r="N677" i="1" s="1"/>
  <c r="O449" i="1"/>
  <c r="Q449" i="1"/>
  <c r="R449" i="1" s="1"/>
  <c r="N596" i="1" a="1"/>
  <c r="N596" i="1" s="1"/>
  <c r="O596" i="1"/>
  <c r="N499" i="1" a="1"/>
  <c r="N499" i="1" s="1"/>
  <c r="O570" i="1"/>
  <c r="Q596" i="1"/>
  <c r="R596" i="1" s="1"/>
  <c r="O640" i="1"/>
  <c r="O648" i="1"/>
  <c r="O656" i="1"/>
  <c r="Q698" i="1"/>
  <c r="R698" i="1" s="1"/>
  <c r="O698" i="1"/>
  <c r="N698" i="1" a="1"/>
  <c r="N698" i="1" s="1"/>
  <c r="O768" i="1"/>
  <c r="Q871" i="1"/>
  <c r="R871" i="1" s="1"/>
  <c r="O871" i="1"/>
  <c r="N894" i="1" a="1"/>
  <c r="N894" i="1" s="1"/>
  <c r="Q894" i="1"/>
  <c r="R894" i="1" s="1"/>
  <c r="O894" i="1"/>
  <c r="O943" i="1"/>
  <c r="Q943" i="1"/>
  <c r="R943" i="1" s="1"/>
  <c r="Q604" i="1"/>
  <c r="R604" i="1" s="1"/>
  <c r="O604" i="1"/>
  <c r="N604" i="1" a="1"/>
  <c r="N604" i="1" s="1"/>
  <c r="Q606" i="1"/>
  <c r="R606" i="1" s="1"/>
  <c r="Q688" i="1"/>
  <c r="R688" i="1" s="1"/>
  <c r="Q734" i="1"/>
  <c r="R734" i="1" s="1"/>
  <c r="O734" i="1"/>
  <c r="N743" i="1" a="1"/>
  <c r="N743" i="1" s="1"/>
  <c r="Q743" i="1"/>
  <c r="R743" i="1" s="1"/>
  <c r="O840" i="1"/>
  <c r="N840" i="1" a="1"/>
  <c r="N840" i="1" s="1"/>
  <c r="Q840" i="1"/>
  <c r="R840" i="1" s="1"/>
  <c r="Q877" i="1"/>
  <c r="R877" i="1" s="1"/>
  <c r="O7" i="1"/>
  <c r="O224" i="1"/>
  <c r="O302" i="1"/>
  <c r="N411" i="1" a="1"/>
  <c r="N411" i="1" s="1"/>
  <c r="Q411" i="1"/>
  <c r="R411" i="1" s="1"/>
  <c r="N447" i="1" a="1"/>
  <c r="N447" i="1" s="1"/>
  <c r="Q499" i="1"/>
  <c r="R499" i="1" s="1"/>
  <c r="N527" i="1" a="1"/>
  <c r="N527" i="1" s="1"/>
  <c r="O527" i="1"/>
  <c r="N540" i="1" a="1"/>
  <c r="N540" i="1" s="1"/>
  <c r="N549" i="1" a="1"/>
  <c r="N549" i="1" s="1"/>
  <c r="O549" i="1"/>
  <c r="O576" i="1"/>
  <c r="Q640" i="1"/>
  <c r="R640" i="1" s="1"/>
  <c r="O804" i="1"/>
  <c r="Q804" i="1"/>
  <c r="R804" i="1" s="1"/>
  <c r="N804" i="1" a="1"/>
  <c r="N804" i="1" s="1"/>
  <c r="Q797" i="1"/>
  <c r="R797" i="1" s="1"/>
  <c r="O982" i="1"/>
  <c r="O927" i="1"/>
  <c r="O977" i="1"/>
  <c r="N889" i="1" a="1"/>
  <c r="N889" i="1" s="1"/>
  <c r="N955" i="1" a="1"/>
  <c r="N955" i="1" s="1"/>
  <c r="Q731" i="1"/>
  <c r="R731" i="1" s="1"/>
  <c r="Q773" i="1"/>
  <c r="R773" i="1" s="1"/>
  <c r="O889" i="1"/>
  <c r="O955" i="1"/>
  <c r="N797" i="1" a="1"/>
  <c r="N797" i="1" s="1"/>
  <c r="N819" i="1" a="1"/>
  <c r="N819" i="1" s="1"/>
  <c r="O882" i="1"/>
  <c r="O999" i="1"/>
  <c r="O934" i="1"/>
  <c r="O649" i="1"/>
  <c r="O659" i="1"/>
  <c r="O807" i="1"/>
  <c r="O835" i="1"/>
  <c r="O872" i="1"/>
  <c r="Q882" i="1"/>
  <c r="R882" i="1" s="1"/>
  <c r="Q999" i="1"/>
  <c r="R999" i="1" s="1"/>
  <c r="Q46" i="1"/>
  <c r="R46" i="1" s="1"/>
  <c r="O46" i="1"/>
  <c r="N46" i="1" a="1"/>
  <c r="N46" i="1" s="1"/>
  <c r="Q30" i="1"/>
  <c r="R30" i="1" s="1"/>
  <c r="O30" i="1"/>
  <c r="N30" i="1" a="1"/>
  <c r="N30" i="1" s="1"/>
  <c r="O6" i="1"/>
  <c r="Q6" i="1" s="1"/>
  <c r="R6" i="1" s="1"/>
  <c r="Q38" i="1"/>
  <c r="R38" i="1" s="1"/>
  <c r="N38" i="1" a="1"/>
  <c r="N38" i="1" s="1"/>
  <c r="O38" i="1"/>
  <c r="N102" i="1" a="1"/>
  <c r="N102" i="1" s="1"/>
  <c r="Q102" i="1"/>
  <c r="R102" i="1" s="1"/>
  <c r="O102" i="1"/>
  <c r="Q121" i="1"/>
  <c r="R121" i="1" s="1"/>
  <c r="O121" i="1"/>
  <c r="N121" i="1" a="1"/>
  <c r="N121" i="1" s="1"/>
  <c r="Q202" i="1"/>
  <c r="R202" i="1" s="1"/>
  <c r="O202" i="1"/>
  <c r="N202" i="1" a="1"/>
  <c r="N202" i="1" s="1"/>
  <c r="N227" i="1" a="1"/>
  <c r="N227" i="1" s="1"/>
  <c r="Q227" i="1"/>
  <c r="R227" i="1" s="1"/>
  <c r="O227" i="1"/>
  <c r="O305" i="1"/>
  <c r="Q305" i="1"/>
  <c r="R305" i="1" s="1"/>
  <c r="N305" i="1" a="1"/>
  <c r="N305" i="1" s="1"/>
  <c r="O431" i="1"/>
  <c r="N431" i="1" a="1"/>
  <c r="N431" i="1" s="1"/>
  <c r="Q431" i="1"/>
  <c r="R431" i="1" s="1"/>
  <c r="N11" i="1" a="1"/>
  <c r="N11" i="1" s="1"/>
  <c r="P11" i="1" s="1"/>
  <c r="O48" i="1"/>
  <c r="Q48" i="1"/>
  <c r="R48" i="1" s="1"/>
  <c r="O55" i="1"/>
  <c r="Q55" i="1"/>
  <c r="R55" i="1" s="1"/>
  <c r="N55" i="1" a="1"/>
  <c r="N55" i="1" s="1"/>
  <c r="Q64" i="1"/>
  <c r="R64" i="1" s="1"/>
  <c r="O64" i="1"/>
  <c r="N64" i="1" a="1"/>
  <c r="N64" i="1" s="1"/>
  <c r="N67" i="1" a="1"/>
  <c r="N67" i="1" s="1"/>
  <c r="Q67" i="1"/>
  <c r="R67" i="1" s="1"/>
  <c r="O67" i="1"/>
  <c r="O72" i="1"/>
  <c r="Q72" i="1"/>
  <c r="R72" i="1" s="1"/>
  <c r="N72" i="1" a="1"/>
  <c r="N72" i="1" s="1"/>
  <c r="Q154" i="1"/>
  <c r="R154" i="1" s="1"/>
  <c r="O154" i="1"/>
  <c r="N154" i="1" a="1"/>
  <c r="N154" i="1" s="1"/>
  <c r="Q162" i="1"/>
  <c r="R162" i="1" s="1"/>
  <c r="O162" i="1"/>
  <c r="N162" i="1" a="1"/>
  <c r="N162" i="1" s="1"/>
  <c r="Q23" i="1"/>
  <c r="R23" i="1" s="1"/>
  <c r="O23" i="1"/>
  <c r="N23" i="1" a="1"/>
  <c r="N23" i="1" s="1"/>
  <c r="O75" i="1"/>
  <c r="N75" i="1" a="1"/>
  <c r="N75" i="1" s="1"/>
  <c r="Q75" i="1"/>
  <c r="R75" i="1" s="1"/>
  <c r="N80" i="1" a="1"/>
  <c r="N80" i="1" s="1"/>
  <c r="O80" i="1"/>
  <c r="Q80" i="1"/>
  <c r="R80" i="1" s="1"/>
  <c r="Q89" i="1"/>
  <c r="R89" i="1" s="1"/>
  <c r="O89" i="1"/>
  <c r="N89" i="1" a="1"/>
  <c r="N89" i="1" s="1"/>
  <c r="Q115" i="1"/>
  <c r="R115" i="1" s="1"/>
  <c r="N115" i="1" a="1"/>
  <c r="N115" i="1" s="1"/>
  <c r="O115" i="1"/>
  <c r="Q159" i="1"/>
  <c r="R159" i="1" s="1"/>
  <c r="O159" i="1"/>
  <c r="Q322" i="1"/>
  <c r="R322" i="1" s="1"/>
  <c r="O322" i="1"/>
  <c r="N322" i="1" a="1"/>
  <c r="N322" i="1" s="1"/>
  <c r="Q186" i="1"/>
  <c r="R186" i="1" s="1"/>
  <c r="O186" i="1"/>
  <c r="N186" i="1" a="1"/>
  <c r="N186" i="1" s="1"/>
  <c r="Q76" i="1"/>
  <c r="R76" i="1" s="1"/>
  <c r="O76" i="1"/>
  <c r="N76" i="1" a="1"/>
  <c r="N76" i="1" s="1"/>
  <c r="O35" i="1"/>
  <c r="N35" i="1" a="1"/>
  <c r="N35" i="1" s="1"/>
  <c r="Q35" i="1"/>
  <c r="R35" i="1" s="1"/>
  <c r="Q77" i="1"/>
  <c r="R77" i="1" s="1"/>
  <c r="N77" i="1" a="1"/>
  <c r="N77" i="1" s="1"/>
  <c r="O77" i="1"/>
  <c r="O239" i="1"/>
  <c r="N239" i="1" a="1"/>
  <c r="N239" i="1" s="1"/>
  <c r="Q239" i="1"/>
  <c r="R239" i="1" s="1"/>
  <c r="O103" i="1"/>
  <c r="Q103" i="1"/>
  <c r="R103" i="1" s="1"/>
  <c r="N103" i="1" a="1"/>
  <c r="N103" i="1" s="1"/>
  <c r="N58" i="1" a="1"/>
  <c r="N58" i="1" s="1"/>
  <c r="O58" i="1"/>
  <c r="Q58" i="1"/>
  <c r="R58" i="1" s="1"/>
  <c r="O165" i="1"/>
  <c r="N165" i="1" a="1"/>
  <c r="N165" i="1" s="1"/>
  <c r="Q165" i="1"/>
  <c r="R165" i="1" s="1"/>
  <c r="Q34" i="1"/>
  <c r="R34" i="1" s="1"/>
  <c r="N34" i="1" a="1"/>
  <c r="N34" i="1" s="1"/>
  <c r="N53" i="1" a="1"/>
  <c r="N53" i="1" s="1"/>
  <c r="O53" i="1"/>
  <c r="Q53" i="1"/>
  <c r="R53" i="1" s="1"/>
  <c r="O68" i="1"/>
  <c r="Q68" i="1"/>
  <c r="R68" i="1" s="1"/>
  <c r="Q73" i="1"/>
  <c r="R73" i="1" s="1"/>
  <c r="O73" i="1"/>
  <c r="Q104" i="1"/>
  <c r="R104" i="1" s="1"/>
  <c r="O104" i="1"/>
  <c r="N104" i="1" a="1"/>
  <c r="N104" i="1" s="1"/>
  <c r="O125" i="1"/>
  <c r="Q125" i="1"/>
  <c r="R125" i="1" s="1"/>
  <c r="N125" i="1" a="1"/>
  <c r="N125" i="1" s="1"/>
  <c r="Q157" i="1"/>
  <c r="R157" i="1" s="1"/>
  <c r="O157" i="1"/>
  <c r="N157" i="1" a="1"/>
  <c r="N157" i="1" s="1"/>
  <c r="Q197" i="1"/>
  <c r="R197" i="1" s="1"/>
  <c r="O197" i="1"/>
  <c r="N197" i="1" a="1"/>
  <c r="N197" i="1" s="1"/>
  <c r="Q331" i="1"/>
  <c r="R331" i="1" s="1"/>
  <c r="O331" i="1"/>
  <c r="N331" i="1" a="1"/>
  <c r="N331" i="1" s="1"/>
  <c r="Q713" i="1"/>
  <c r="R713" i="1" s="1"/>
  <c r="O713" i="1"/>
  <c r="N713" i="1" a="1"/>
  <c r="N713" i="1" s="1"/>
  <c r="Q82" i="1"/>
  <c r="R82" i="1" s="1"/>
  <c r="O82" i="1"/>
  <c r="N82" i="1" a="1"/>
  <c r="N82" i="1" s="1"/>
  <c r="Q140" i="1"/>
  <c r="R140" i="1" s="1"/>
  <c r="O140" i="1"/>
  <c r="N140" i="1" a="1"/>
  <c r="N140" i="1" s="1"/>
  <c r="Q33" i="1"/>
  <c r="R33" i="1" s="1"/>
  <c r="O33" i="1"/>
  <c r="N33" i="1" a="1"/>
  <c r="N33" i="1" s="1"/>
  <c r="O134" i="1"/>
  <c r="N134" i="1" a="1"/>
  <c r="N134" i="1" s="1"/>
  <c r="Q134" i="1"/>
  <c r="R134" i="1" s="1"/>
  <c r="N36" i="1" a="1"/>
  <c r="N36" i="1" s="1"/>
  <c r="O36" i="1"/>
  <c r="Q36" i="1"/>
  <c r="R36" i="1" s="1"/>
  <c r="N119" i="1" a="1"/>
  <c r="N119" i="1" s="1"/>
  <c r="O119" i="1"/>
  <c r="Q119" i="1"/>
  <c r="R119" i="1" s="1"/>
  <c r="O17" i="1"/>
  <c r="N17" i="1" a="1"/>
  <c r="N17" i="1" s="1"/>
  <c r="Q17" i="1"/>
  <c r="R17" i="1" s="1"/>
  <c r="Q24" i="1"/>
  <c r="R24" i="1" s="1"/>
  <c r="O24" i="1"/>
  <c r="N24" i="1" a="1"/>
  <c r="N24" i="1" s="1"/>
  <c r="N68" i="1" a="1"/>
  <c r="N68" i="1" s="1"/>
  <c r="N73" i="1" a="1"/>
  <c r="N73" i="1" s="1"/>
  <c r="Q98" i="1"/>
  <c r="R98" i="1" s="1"/>
  <c r="O98" i="1"/>
  <c r="N98" i="1" a="1"/>
  <c r="N98" i="1" s="1"/>
  <c r="O368" i="1"/>
  <c r="N368" i="1" a="1"/>
  <c r="N368" i="1" s="1"/>
  <c r="Q368" i="1"/>
  <c r="R368" i="1" s="1"/>
  <c r="O8" i="1"/>
  <c r="N8" i="1" a="1"/>
  <c r="N8" i="1" s="1"/>
  <c r="Q8" i="1"/>
  <c r="R8" i="1" s="1"/>
  <c r="Q18" i="1"/>
  <c r="R18" i="1" s="1"/>
  <c r="O18" i="1"/>
  <c r="N18" i="1" a="1"/>
  <c r="N18" i="1" s="1"/>
  <c r="N100" i="1" a="1"/>
  <c r="N100" i="1" s="1"/>
  <c r="O100" i="1"/>
  <c r="Q100" i="1"/>
  <c r="R100" i="1" s="1"/>
  <c r="O21" i="1"/>
  <c r="N21" i="1" a="1"/>
  <c r="N21" i="1" s="1"/>
  <c r="Q21" i="1"/>
  <c r="R21" i="1" s="1"/>
  <c r="N65" i="1" a="1"/>
  <c r="N65" i="1" s="1"/>
  <c r="Q65" i="1"/>
  <c r="R65" i="1" s="1"/>
  <c r="O65" i="1"/>
  <c r="N41" i="1" a="1"/>
  <c r="N41" i="1" s="1"/>
  <c r="Q41" i="1"/>
  <c r="R41" i="1" s="1"/>
  <c r="O41" i="1"/>
  <c r="O81" i="1"/>
  <c r="Q81" i="1"/>
  <c r="R81" i="1" s="1"/>
  <c r="N81" i="1" a="1"/>
  <c r="N81" i="1" s="1"/>
  <c r="O174" i="1"/>
  <c r="Q174" i="1"/>
  <c r="R174" i="1" s="1"/>
  <c r="Q29" i="1"/>
  <c r="R29" i="1" s="1"/>
  <c r="N29" i="1" a="1"/>
  <c r="N29" i="1" s="1"/>
  <c r="O29" i="1"/>
  <c r="O34" i="1"/>
  <c r="Q42" i="1"/>
  <c r="R42" i="1" s="1"/>
  <c r="O42" i="1"/>
  <c r="N42" i="1" a="1"/>
  <c r="N42" i="1" s="1"/>
  <c r="N54" i="1" a="1"/>
  <c r="N54" i="1" s="1"/>
  <c r="Q54" i="1"/>
  <c r="R54" i="1" s="1"/>
  <c r="O54" i="1"/>
  <c r="O184" i="1"/>
  <c r="Q184" i="1"/>
  <c r="R184" i="1" s="1"/>
  <c r="N184" i="1" a="1"/>
  <c r="N184" i="1" s="1"/>
  <c r="N187" i="1" a="1"/>
  <c r="N187" i="1" s="1"/>
  <c r="Q187" i="1"/>
  <c r="R187" i="1" s="1"/>
  <c r="O187" i="1"/>
  <c r="O250" i="1"/>
  <c r="N250" i="1" a="1"/>
  <c r="N250" i="1" s="1"/>
  <c r="Q250" i="1"/>
  <c r="R250" i="1" s="1"/>
  <c r="Q300" i="1"/>
  <c r="R300" i="1" s="1"/>
  <c r="O300" i="1"/>
  <c r="N300" i="1" a="1"/>
  <c r="N300" i="1" s="1"/>
  <c r="O312" i="1"/>
  <c r="N312" i="1" a="1"/>
  <c r="N312" i="1" s="1"/>
  <c r="Q312" i="1"/>
  <c r="R312" i="1" s="1"/>
  <c r="Q50" i="1"/>
  <c r="R50" i="1" s="1"/>
  <c r="O50" i="1"/>
  <c r="N50" i="1" a="1"/>
  <c r="N50" i="1" s="1"/>
  <c r="Q149" i="1"/>
  <c r="R149" i="1" s="1"/>
  <c r="O149" i="1"/>
  <c r="N149" i="1" a="1"/>
  <c r="N149" i="1" s="1"/>
  <c r="Q90" i="1"/>
  <c r="R90" i="1" s="1"/>
  <c r="N90" i="1" a="1"/>
  <c r="N90" i="1" s="1"/>
  <c r="O90" i="1"/>
  <c r="O70" i="1"/>
  <c r="N70" i="1" a="1"/>
  <c r="N70" i="1" s="1"/>
  <c r="Q70" i="1"/>
  <c r="R70" i="1" s="1"/>
  <c r="Q93" i="1"/>
  <c r="R93" i="1" s="1"/>
  <c r="O93" i="1"/>
  <c r="N93" i="1" a="1"/>
  <c r="N93" i="1" s="1"/>
  <c r="O189" i="1"/>
  <c r="N189" i="1" a="1"/>
  <c r="N189" i="1" s="1"/>
  <c r="Q189" i="1"/>
  <c r="R189" i="1" s="1"/>
  <c r="Q252" i="1"/>
  <c r="R252" i="1" s="1"/>
  <c r="O252" i="1"/>
  <c r="N252" i="1" a="1"/>
  <c r="N252" i="1" s="1"/>
  <c r="Q12" i="1"/>
  <c r="R12" i="1" s="1"/>
  <c r="O12" i="1"/>
  <c r="N31" i="1" a="1"/>
  <c r="N31" i="1" s="1"/>
  <c r="Q31" i="1"/>
  <c r="R31" i="1" s="1"/>
  <c r="O5" i="1"/>
  <c r="Q5" i="1" s="1"/>
  <c r="R5" i="1" s="1"/>
  <c r="Q15" i="1"/>
  <c r="R15" i="1" s="1"/>
  <c r="O15" i="1"/>
  <c r="N15" i="1" a="1"/>
  <c r="N15" i="1" s="1"/>
  <c r="O31" i="1"/>
  <c r="N27" i="1" a="1"/>
  <c r="N27" i="1" s="1"/>
  <c r="Q27" i="1"/>
  <c r="R27" i="1" s="1"/>
  <c r="O27" i="1"/>
  <c r="N47" i="1" a="1"/>
  <c r="N47" i="1" s="1"/>
  <c r="Q47" i="1"/>
  <c r="R47" i="1" s="1"/>
  <c r="O47" i="1"/>
  <c r="Q63" i="1"/>
  <c r="R63" i="1" s="1"/>
  <c r="O63" i="1"/>
  <c r="N63" i="1" a="1"/>
  <c r="N63" i="1" s="1"/>
  <c r="N66" i="1" a="1"/>
  <c r="N66" i="1" s="1"/>
  <c r="Q66" i="1"/>
  <c r="R66" i="1" s="1"/>
  <c r="Q110" i="1"/>
  <c r="R110" i="1" s="1"/>
  <c r="O110" i="1"/>
  <c r="N110" i="1" a="1"/>
  <c r="N110" i="1" s="1"/>
  <c r="Q131" i="1"/>
  <c r="R131" i="1" s="1"/>
  <c r="O131" i="1"/>
  <c r="N131" i="1" a="1"/>
  <c r="N131" i="1" s="1"/>
  <c r="Q153" i="1"/>
  <c r="R153" i="1" s="1"/>
  <c r="O153" i="1"/>
  <c r="N153" i="1" a="1"/>
  <c r="N153" i="1" s="1"/>
  <c r="O182" i="1"/>
  <c r="N182" i="1" a="1"/>
  <c r="N182" i="1" s="1"/>
  <c r="Q182" i="1"/>
  <c r="R182" i="1" s="1"/>
  <c r="Q317" i="1"/>
  <c r="R317" i="1" s="1"/>
  <c r="O317" i="1"/>
  <c r="N317" i="1" a="1"/>
  <c r="N317" i="1" s="1"/>
  <c r="N326" i="1" a="1"/>
  <c r="N326" i="1" s="1"/>
  <c r="Q326" i="1"/>
  <c r="R326" i="1" s="1"/>
  <c r="O326" i="1"/>
  <c r="O10" i="1"/>
  <c r="N10" i="1" a="1"/>
  <c r="N10" i="1" s="1"/>
  <c r="O37" i="1"/>
  <c r="Q37" i="1"/>
  <c r="R37" i="1" s="1"/>
  <c r="N37" i="1" a="1"/>
  <c r="N37" i="1" s="1"/>
  <c r="Q85" i="1"/>
  <c r="R85" i="1" s="1"/>
  <c r="O85" i="1"/>
  <c r="O109" i="1"/>
  <c r="N109" i="1" a="1"/>
  <c r="N109" i="1" s="1"/>
  <c r="O114" i="1"/>
  <c r="Q114" i="1"/>
  <c r="R114" i="1" s="1"/>
  <c r="Q128" i="1"/>
  <c r="R128" i="1" s="1"/>
  <c r="O128" i="1"/>
  <c r="N130" i="1" a="1"/>
  <c r="N130" i="1" s="1"/>
  <c r="O130" i="1"/>
  <c r="Q146" i="1"/>
  <c r="R146" i="1" s="1"/>
  <c r="O146" i="1"/>
  <c r="O178" i="1"/>
  <c r="N178" i="1" a="1"/>
  <c r="N178" i="1" s="1"/>
  <c r="Q219" i="1"/>
  <c r="R219" i="1" s="1"/>
  <c r="N219" i="1" a="1"/>
  <c r="N219" i="1" s="1"/>
  <c r="O219" i="1"/>
  <c r="Q246" i="1"/>
  <c r="R246" i="1" s="1"/>
  <c r="N246" i="1" a="1"/>
  <c r="N246" i="1" s="1"/>
  <c r="Q268" i="1"/>
  <c r="R268" i="1" s="1"/>
  <c r="O268" i="1"/>
  <c r="Q330" i="1"/>
  <c r="R330" i="1" s="1"/>
  <c r="O330" i="1"/>
  <c r="N330" i="1" a="1"/>
  <c r="N330" i="1" s="1"/>
  <c r="Q335" i="1"/>
  <c r="R335" i="1" s="1"/>
  <c r="O335" i="1"/>
  <c r="N335" i="1" a="1"/>
  <c r="N335" i="1" s="1"/>
  <c r="Q347" i="1"/>
  <c r="R347" i="1" s="1"/>
  <c r="O347" i="1"/>
  <c r="N347" i="1" a="1"/>
  <c r="N347" i="1" s="1"/>
  <c r="Q356" i="1"/>
  <c r="R356" i="1" s="1"/>
  <c r="O356" i="1"/>
  <c r="N356" i="1" a="1"/>
  <c r="N356" i="1" s="1"/>
  <c r="Q388" i="1"/>
  <c r="R388" i="1" s="1"/>
  <c r="O388" i="1"/>
  <c r="Q390" i="1"/>
  <c r="R390" i="1" s="1"/>
  <c r="O390" i="1"/>
  <c r="O425" i="1"/>
  <c r="Q425" i="1"/>
  <c r="R425" i="1" s="1"/>
  <c r="N425" i="1" a="1"/>
  <c r="N425" i="1" s="1"/>
  <c r="Q446" i="1"/>
  <c r="R446" i="1" s="1"/>
  <c r="O446" i="1"/>
  <c r="N446" i="1" a="1"/>
  <c r="N446" i="1" s="1"/>
  <c r="Q482" i="1"/>
  <c r="R482" i="1" s="1"/>
  <c r="O482" i="1"/>
  <c r="Q609" i="1"/>
  <c r="R609" i="1" s="1"/>
  <c r="O609" i="1"/>
  <c r="N609" i="1" a="1"/>
  <c r="N609" i="1" s="1"/>
  <c r="Q615" i="1"/>
  <c r="R615" i="1" s="1"/>
  <c r="O615" i="1"/>
  <c r="N615" i="1" a="1"/>
  <c r="N615" i="1" s="1"/>
  <c r="O624" i="1"/>
  <c r="N624" i="1" a="1"/>
  <c r="N624" i="1" s="1"/>
  <c r="Q624" i="1"/>
  <c r="R624" i="1" s="1"/>
  <c r="N7" i="1" a="1"/>
  <c r="N7" i="1" s="1"/>
  <c r="N13" i="1" a="1"/>
  <c r="N13" i="1" s="1"/>
  <c r="Q14" i="1"/>
  <c r="R14" i="1" s="1"/>
  <c r="N19" i="1" a="1"/>
  <c r="N19" i="1" s="1"/>
  <c r="Q22" i="1"/>
  <c r="R22" i="1" s="1"/>
  <c r="O22" i="1"/>
  <c r="Q26" i="1"/>
  <c r="R26" i="1" s="1"/>
  <c r="Q57" i="1"/>
  <c r="R57" i="1" s="1"/>
  <c r="N59" i="1" a="1"/>
  <c r="N59" i="1" s="1"/>
  <c r="Q74" i="1"/>
  <c r="R74" i="1" s="1"/>
  <c r="N94" i="1" a="1"/>
  <c r="N94" i="1" s="1"/>
  <c r="Q95" i="1"/>
  <c r="R95" i="1" s="1"/>
  <c r="N114" i="1" a="1"/>
  <c r="N114" i="1" s="1"/>
  <c r="O118" i="1"/>
  <c r="O122" i="1"/>
  <c r="N124" i="1" a="1"/>
  <c r="N124" i="1" s="1"/>
  <c r="Q124" i="1"/>
  <c r="R124" i="1" s="1"/>
  <c r="O124" i="1"/>
  <c r="N128" i="1" a="1"/>
  <c r="N128" i="1" s="1"/>
  <c r="N132" i="1" a="1"/>
  <c r="N132" i="1" s="1"/>
  <c r="N144" i="1" a="1"/>
  <c r="N144" i="1" s="1"/>
  <c r="Q144" i="1"/>
  <c r="R144" i="1" s="1"/>
  <c r="O144" i="1"/>
  <c r="N146" i="1" a="1"/>
  <c r="N146" i="1" s="1"/>
  <c r="N210" i="1" a="1"/>
  <c r="N210" i="1" s="1"/>
  <c r="Q210" i="1"/>
  <c r="R210" i="1" s="1"/>
  <c r="O210" i="1"/>
  <c r="O266" i="1"/>
  <c r="N266" i="1" a="1"/>
  <c r="N266" i="1" s="1"/>
  <c r="N268" i="1" a="1"/>
  <c r="N268" i="1" s="1"/>
  <c r="O333" i="1"/>
  <c r="N333" i="1" a="1"/>
  <c r="N333" i="1" s="1"/>
  <c r="Q333" i="1"/>
  <c r="R333" i="1" s="1"/>
  <c r="O338" i="1"/>
  <c r="Q338" i="1"/>
  <c r="R338" i="1" s="1"/>
  <c r="N338" i="1" a="1"/>
  <c r="N338" i="1" s="1"/>
  <c r="N390" i="1" a="1"/>
  <c r="N390" i="1" s="1"/>
  <c r="O442" i="1"/>
  <c r="Q442" i="1"/>
  <c r="R442" i="1" s="1"/>
  <c r="Q191" i="1"/>
  <c r="R191" i="1" s="1"/>
  <c r="O191" i="1"/>
  <c r="N191" i="1" a="1"/>
  <c r="N191" i="1" s="1"/>
  <c r="Q229" i="1"/>
  <c r="R229" i="1" s="1"/>
  <c r="O229" i="1"/>
  <c r="N271" i="1" a="1"/>
  <c r="N271" i="1" s="1"/>
  <c r="Q271" i="1"/>
  <c r="R271" i="1" s="1"/>
  <c r="O271" i="1"/>
  <c r="Q273" i="1"/>
  <c r="R273" i="1" s="1"/>
  <c r="O273" i="1"/>
  <c r="N273" i="1" a="1"/>
  <c r="N273" i="1" s="1"/>
  <c r="Q292" i="1"/>
  <c r="R292" i="1" s="1"/>
  <c r="N292" i="1" a="1"/>
  <c r="N292" i="1" s="1"/>
  <c r="Q361" i="1"/>
  <c r="R361" i="1" s="1"/>
  <c r="O361" i="1"/>
  <c r="N361" i="1" a="1"/>
  <c r="N361" i="1" s="1"/>
  <c r="N381" i="1" a="1"/>
  <c r="N381" i="1" s="1"/>
  <c r="O381" i="1"/>
  <c r="Q381" i="1"/>
  <c r="R381" i="1" s="1"/>
  <c r="N737" i="1" a="1"/>
  <c r="N737" i="1" s="1"/>
  <c r="Q737" i="1"/>
  <c r="R737" i="1" s="1"/>
  <c r="O737" i="1"/>
  <c r="O418" i="1"/>
  <c r="Q418" i="1"/>
  <c r="R418" i="1" s="1"/>
  <c r="N418" i="1" a="1"/>
  <c r="N418" i="1" s="1"/>
  <c r="Q436" i="1"/>
  <c r="R436" i="1" s="1"/>
  <c r="O436" i="1"/>
  <c r="O438" i="1"/>
  <c r="N438" i="1" a="1"/>
  <c r="N438" i="1" s="1"/>
  <c r="Q438" i="1"/>
  <c r="R438" i="1" s="1"/>
  <c r="O718" i="1"/>
  <c r="N718" i="1" a="1"/>
  <c r="N718" i="1" s="1"/>
  <c r="Q718" i="1"/>
  <c r="R718" i="1" s="1"/>
  <c r="Q740" i="1"/>
  <c r="R740" i="1" s="1"/>
  <c r="O740" i="1"/>
  <c r="Q745" i="1"/>
  <c r="R745" i="1" s="1"/>
  <c r="O745" i="1"/>
  <c r="N745" i="1" a="1"/>
  <c r="N745" i="1" s="1"/>
  <c r="O244" i="1"/>
  <c r="N244" i="1" a="1"/>
  <c r="N244" i="1" s="1"/>
  <c r="Q244" i="1"/>
  <c r="R244" i="1" s="1"/>
  <c r="O283" i="1"/>
  <c r="Q283" i="1"/>
  <c r="R283" i="1" s="1"/>
  <c r="N283" i="1" a="1"/>
  <c r="N283" i="1" s="1"/>
  <c r="Q295" i="1"/>
  <c r="R295" i="1" s="1"/>
  <c r="O295" i="1"/>
  <c r="N295" i="1" a="1"/>
  <c r="N295" i="1" s="1"/>
  <c r="N324" i="1" a="1"/>
  <c r="N324" i="1" s="1"/>
  <c r="Q324" i="1"/>
  <c r="R324" i="1" s="1"/>
  <c r="O324" i="1"/>
  <c r="N336" i="1" a="1"/>
  <c r="N336" i="1" s="1"/>
  <c r="Q336" i="1"/>
  <c r="R336" i="1" s="1"/>
  <c r="O336" i="1"/>
  <c r="N352" i="1" a="1"/>
  <c r="N352" i="1" s="1"/>
  <c r="N379" i="1" a="1"/>
  <c r="N379" i="1" s="1"/>
  <c r="Q379" i="1"/>
  <c r="R379" i="1" s="1"/>
  <c r="N436" i="1" a="1"/>
  <c r="N436" i="1" s="1"/>
  <c r="N461" i="1" a="1"/>
  <c r="N461" i="1" s="1"/>
  <c r="Q461" i="1"/>
  <c r="R461" i="1" s="1"/>
  <c r="O461" i="1"/>
  <c r="N740" i="1" a="1"/>
  <c r="N740" i="1" s="1"/>
  <c r="N370" i="1" a="1"/>
  <c r="N370" i="1" s="1"/>
  <c r="Q370" i="1"/>
  <c r="R370" i="1" s="1"/>
  <c r="O370" i="1"/>
  <c r="Q404" i="1"/>
  <c r="R404" i="1" s="1"/>
  <c r="N404" i="1" a="1"/>
  <c r="N404" i="1" s="1"/>
  <c r="Q419" i="1"/>
  <c r="R419" i="1" s="1"/>
  <c r="O419" i="1"/>
  <c r="N419" i="1" a="1"/>
  <c r="N419" i="1" s="1"/>
  <c r="Q434" i="1"/>
  <c r="R434" i="1" s="1"/>
  <c r="N434" i="1" a="1"/>
  <c r="N434" i="1" s="1"/>
  <c r="O466" i="1"/>
  <c r="N466" i="1" a="1"/>
  <c r="N466" i="1" s="1"/>
  <c r="Q466" i="1"/>
  <c r="R466" i="1" s="1"/>
  <c r="Q691" i="1"/>
  <c r="R691" i="1" s="1"/>
  <c r="O691" i="1"/>
  <c r="N691" i="1" a="1"/>
  <c r="N691" i="1" s="1"/>
  <c r="N151" i="1" a="1"/>
  <c r="N151" i="1" s="1"/>
  <c r="Q151" i="1"/>
  <c r="R151" i="1" s="1"/>
  <c r="O151" i="1"/>
  <c r="Q117" i="1"/>
  <c r="R117" i="1" s="1"/>
  <c r="O117" i="1"/>
  <c r="O320" i="1"/>
  <c r="N320" i="1" a="1"/>
  <c r="N320" i="1" s="1"/>
  <c r="N354" i="1" a="1"/>
  <c r="N354" i="1" s="1"/>
  <c r="Q354" i="1"/>
  <c r="R354" i="1" s="1"/>
  <c r="O354" i="1"/>
  <c r="N166" i="1" a="1"/>
  <c r="N166" i="1" s="1"/>
  <c r="Q166" i="1"/>
  <c r="R166" i="1" s="1"/>
  <c r="Q218" i="1"/>
  <c r="R218" i="1" s="1"/>
  <c r="O218" i="1"/>
  <c r="N281" i="1" a="1"/>
  <c r="N281" i="1" s="1"/>
  <c r="Q281" i="1"/>
  <c r="R281" i="1" s="1"/>
  <c r="N310" i="1" a="1"/>
  <c r="N310" i="1" s="1"/>
  <c r="O352" i="1"/>
  <c r="O464" i="1"/>
  <c r="N464" i="1" a="1"/>
  <c r="N464" i="1" s="1"/>
  <c r="Q464" i="1"/>
  <c r="R464" i="1" s="1"/>
  <c r="N571" i="1" a="1"/>
  <c r="N571" i="1" s="1"/>
  <c r="O571" i="1"/>
  <c r="Q571" i="1"/>
  <c r="R571" i="1" s="1"/>
  <c r="O694" i="1"/>
  <c r="N694" i="1" a="1"/>
  <c r="N694" i="1" s="1"/>
  <c r="Q694" i="1"/>
  <c r="R694" i="1" s="1"/>
  <c r="O9" i="1"/>
  <c r="N43" i="1" a="1"/>
  <c r="N43" i="1" s="1"/>
  <c r="O45" i="1"/>
  <c r="N45" i="1" a="1"/>
  <c r="N45" i="1" s="1"/>
  <c r="N60" i="1" a="1"/>
  <c r="N60" i="1" s="1"/>
  <c r="O108" i="1"/>
  <c r="Q135" i="1"/>
  <c r="R135" i="1" s="1"/>
  <c r="O135" i="1"/>
  <c r="O139" i="1"/>
  <c r="N139" i="1" a="1"/>
  <c r="N139" i="1" s="1"/>
  <c r="N143" i="1" a="1"/>
  <c r="N143" i="1" s="1"/>
  <c r="Q143" i="1"/>
  <c r="R143" i="1" s="1"/>
  <c r="O143" i="1"/>
  <c r="N158" i="1" a="1"/>
  <c r="N158" i="1" s="1"/>
  <c r="O158" i="1"/>
  <c r="O160" i="1"/>
  <c r="N175" i="1" a="1"/>
  <c r="N175" i="1" s="1"/>
  <c r="Q179" i="1"/>
  <c r="R179" i="1" s="1"/>
  <c r="O179" i="1"/>
  <c r="N179" i="1" a="1"/>
  <c r="N179" i="1" s="1"/>
  <c r="N218" i="1" a="1"/>
  <c r="N218" i="1" s="1"/>
  <c r="Q245" i="1"/>
  <c r="R245" i="1" s="1"/>
  <c r="O245" i="1"/>
  <c r="N245" i="1" a="1"/>
  <c r="N245" i="1" s="1"/>
  <c r="N258" i="1" a="1"/>
  <c r="N258" i="1" s="1"/>
  <c r="N279" i="1" a="1"/>
  <c r="N279" i="1" s="1"/>
  <c r="Q288" i="1"/>
  <c r="R288" i="1" s="1"/>
  <c r="O288" i="1"/>
  <c r="N288" i="1" a="1"/>
  <c r="N288" i="1" s="1"/>
  <c r="O310" i="1"/>
  <c r="O343" i="1"/>
  <c r="O402" i="1"/>
  <c r="N402" i="1" a="1"/>
  <c r="N402" i="1" s="1"/>
  <c r="O404" i="1"/>
  <c r="O434" i="1"/>
  <c r="Q524" i="1"/>
  <c r="R524" i="1" s="1"/>
  <c r="O524" i="1"/>
  <c r="N524" i="1" a="1"/>
  <c r="N524" i="1" s="1"/>
  <c r="O558" i="1"/>
  <c r="Q558" i="1"/>
  <c r="R558" i="1" s="1"/>
  <c r="N558" i="1" a="1"/>
  <c r="N558" i="1" s="1"/>
  <c r="Q170" i="1"/>
  <c r="R170" i="1" s="1"/>
  <c r="O170" i="1"/>
  <c r="N113" i="1" a="1"/>
  <c r="N113" i="1" s="1"/>
  <c r="O113" i="1"/>
  <c r="Q113" i="1"/>
  <c r="R113" i="1" s="1"/>
  <c r="Q414" i="1"/>
  <c r="R414" i="1" s="1"/>
  <c r="O414" i="1"/>
  <c r="O106" i="1"/>
  <c r="N106" i="1" a="1"/>
  <c r="N106" i="1" s="1"/>
  <c r="Q106" i="1"/>
  <c r="R106" i="1" s="1"/>
  <c r="N177" i="1" a="1"/>
  <c r="N177" i="1" s="1"/>
  <c r="Q177" i="1"/>
  <c r="R177" i="1" s="1"/>
  <c r="Q207" i="1"/>
  <c r="R207" i="1" s="1"/>
  <c r="O207" i="1"/>
  <c r="N207" i="1" a="1"/>
  <c r="N207" i="1" s="1"/>
  <c r="N88" i="1" a="1"/>
  <c r="N88" i="1" s="1"/>
  <c r="O88" i="1"/>
  <c r="Q91" i="1"/>
  <c r="R91" i="1" s="1"/>
  <c r="O97" i="1"/>
  <c r="N97" i="1" a="1"/>
  <c r="N97" i="1" s="1"/>
  <c r="Q97" i="1"/>
  <c r="R97" i="1" s="1"/>
  <c r="N164" i="1" a="1"/>
  <c r="N164" i="1" s="1"/>
  <c r="O164" i="1"/>
  <c r="Q164" i="1"/>
  <c r="R164" i="1" s="1"/>
  <c r="O166" i="1"/>
  <c r="Q256" i="1"/>
  <c r="R256" i="1" s="1"/>
  <c r="O256" i="1"/>
  <c r="N256" i="1" a="1"/>
  <c r="N256" i="1" s="1"/>
  <c r="N260" i="1" a="1"/>
  <c r="N260" i="1" s="1"/>
  <c r="Q260" i="1"/>
  <c r="R260" i="1" s="1"/>
  <c r="O260" i="1"/>
  <c r="O277" i="1"/>
  <c r="N277" i="1" a="1"/>
  <c r="N277" i="1" s="1"/>
  <c r="O281" i="1"/>
  <c r="O286" i="1"/>
  <c r="N286" i="1" a="1"/>
  <c r="N286" i="1" s="1"/>
  <c r="Q286" i="1"/>
  <c r="R286" i="1" s="1"/>
  <c r="Q291" i="1"/>
  <c r="R291" i="1" s="1"/>
  <c r="O291" i="1"/>
  <c r="Q320" i="1"/>
  <c r="R320" i="1" s="1"/>
  <c r="O346" i="1"/>
  <c r="N346" i="1" a="1"/>
  <c r="N346" i="1" s="1"/>
  <c r="Q346" i="1"/>
  <c r="R346" i="1" s="1"/>
  <c r="O355" i="1"/>
  <c r="N355" i="1" a="1"/>
  <c r="N355" i="1" s="1"/>
  <c r="Q355" i="1"/>
  <c r="R355" i="1" s="1"/>
  <c r="N366" i="1" a="1"/>
  <c r="N366" i="1" s="1"/>
  <c r="Q366" i="1"/>
  <c r="R366" i="1" s="1"/>
  <c r="O387" i="1"/>
  <c r="N387" i="1" a="1"/>
  <c r="N387" i="1" s="1"/>
  <c r="Q387" i="1"/>
  <c r="R387" i="1" s="1"/>
  <c r="N400" i="1" a="1"/>
  <c r="N400" i="1" s="1"/>
  <c r="O420" i="1"/>
  <c r="N420" i="1" a="1"/>
  <c r="N420" i="1" s="1"/>
  <c r="Q420" i="1"/>
  <c r="R420" i="1" s="1"/>
  <c r="O429" i="1"/>
  <c r="Q429" i="1"/>
  <c r="R429" i="1" s="1"/>
  <c r="N429" i="1" a="1"/>
  <c r="N429" i="1" s="1"/>
  <c r="N459" i="1" a="1"/>
  <c r="N459" i="1" s="1"/>
  <c r="O459" i="1"/>
  <c r="Q459" i="1"/>
  <c r="R459" i="1" s="1"/>
  <c r="Q213" i="1"/>
  <c r="R213" i="1" s="1"/>
  <c r="O213" i="1"/>
  <c r="N213" i="1" a="1"/>
  <c r="N213" i="1" s="1"/>
  <c r="O127" i="1"/>
  <c r="N127" i="1" a="1"/>
  <c r="N127" i="1" s="1"/>
  <c r="N170" i="1" a="1"/>
  <c r="N170" i="1" s="1"/>
  <c r="Q345" i="1"/>
  <c r="R345" i="1" s="1"/>
  <c r="O345" i="1"/>
  <c r="N345" i="1" a="1"/>
  <c r="N345" i="1" s="1"/>
  <c r="N117" i="1" a="1"/>
  <c r="N117" i="1" s="1"/>
  <c r="Q185" i="1"/>
  <c r="R185" i="1" s="1"/>
  <c r="O185" i="1"/>
  <c r="N185" i="1" a="1"/>
  <c r="N185" i="1" s="1"/>
  <c r="O314" i="1"/>
  <c r="N314" i="1" a="1"/>
  <c r="N314" i="1" s="1"/>
  <c r="N343" i="1" a="1"/>
  <c r="N343" i="1" s="1"/>
  <c r="O379" i="1"/>
  <c r="O471" i="1"/>
  <c r="N471" i="1" a="1"/>
  <c r="N471" i="1" s="1"/>
  <c r="Q471" i="1"/>
  <c r="R471" i="1" s="1"/>
  <c r="N14" i="1" a="1"/>
  <c r="N14" i="1" s="1"/>
  <c r="N26" i="1" a="1"/>
  <c r="N26" i="1" s="1"/>
  <c r="O60" i="1"/>
  <c r="Q108" i="1"/>
  <c r="R108" i="1" s="1"/>
  <c r="O120" i="1"/>
  <c r="N120" i="1" a="1"/>
  <c r="N120" i="1" s="1"/>
  <c r="Q120" i="1"/>
  <c r="R120" i="1" s="1"/>
  <c r="O137" i="1"/>
  <c r="N137" i="1" a="1"/>
  <c r="N137" i="1" s="1"/>
  <c r="Q137" i="1"/>
  <c r="R137" i="1" s="1"/>
  <c r="O156" i="1"/>
  <c r="N156" i="1" a="1"/>
  <c r="N156" i="1" s="1"/>
  <c r="Q156" i="1"/>
  <c r="R156" i="1" s="1"/>
  <c r="Q160" i="1"/>
  <c r="R160" i="1" s="1"/>
  <c r="O171" i="1"/>
  <c r="N171" i="1" a="1"/>
  <c r="N171" i="1" s="1"/>
  <c r="O175" i="1"/>
  <c r="O177" i="1"/>
  <c r="Q208" i="1"/>
  <c r="R208" i="1" s="1"/>
  <c r="N208" i="1" a="1"/>
  <c r="N208" i="1" s="1"/>
  <c r="N221" i="1" a="1"/>
  <c r="N221" i="1" s="1"/>
  <c r="Q221" i="1"/>
  <c r="R221" i="1" s="1"/>
  <c r="O221" i="1"/>
  <c r="Q240" i="1"/>
  <c r="R240" i="1" s="1"/>
  <c r="O240" i="1"/>
  <c r="N240" i="1" a="1"/>
  <c r="N240" i="1" s="1"/>
  <c r="O258" i="1"/>
  <c r="O270" i="1"/>
  <c r="N270" i="1" a="1"/>
  <c r="N270" i="1" s="1"/>
  <c r="Q270" i="1"/>
  <c r="R270" i="1" s="1"/>
  <c r="O279" i="1"/>
  <c r="Q296" i="1"/>
  <c r="R296" i="1" s="1"/>
  <c r="N296" i="1" a="1"/>
  <c r="N296" i="1" s="1"/>
  <c r="N427" i="1" a="1"/>
  <c r="N427" i="1" s="1"/>
  <c r="Q427" i="1"/>
  <c r="R427" i="1" s="1"/>
  <c r="O427" i="1"/>
  <c r="Q457" i="1"/>
  <c r="R457" i="1" s="1"/>
  <c r="O457" i="1"/>
  <c r="N457" i="1" a="1"/>
  <c r="N457" i="1" s="1"/>
  <c r="O493" i="1"/>
  <c r="N493" i="1" a="1"/>
  <c r="N493" i="1" s="1"/>
  <c r="Q493" i="1"/>
  <c r="R493" i="1" s="1"/>
  <c r="N541" i="1" a="1"/>
  <c r="N541" i="1" s="1"/>
  <c r="Q541" i="1"/>
  <c r="R541" i="1" s="1"/>
  <c r="O541" i="1"/>
  <c r="O172" i="1"/>
  <c r="Q172" i="1"/>
  <c r="R172" i="1" s="1"/>
  <c r="O145" i="1"/>
  <c r="N145" i="1" a="1"/>
  <c r="N145" i="1" s="1"/>
  <c r="Q262" i="1"/>
  <c r="R262" i="1" s="1"/>
  <c r="O262" i="1"/>
  <c r="N262" i="1" a="1"/>
  <c r="N262" i="1" s="1"/>
  <c r="O91" i="1"/>
  <c r="Q223" i="1"/>
  <c r="R223" i="1" s="1"/>
  <c r="O223" i="1"/>
  <c r="N223" i="1" a="1"/>
  <c r="N223" i="1" s="1"/>
  <c r="Q242" i="1"/>
  <c r="R242" i="1" s="1"/>
  <c r="O242" i="1"/>
  <c r="O329" i="1"/>
  <c r="N329" i="1" a="1"/>
  <c r="N329" i="1" s="1"/>
  <c r="Q329" i="1"/>
  <c r="R329" i="1" s="1"/>
  <c r="N384" i="1" a="1"/>
  <c r="N384" i="1" s="1"/>
  <c r="O384" i="1"/>
  <c r="Q384" i="1"/>
  <c r="R384" i="1" s="1"/>
  <c r="N406" i="1" a="1"/>
  <c r="N406" i="1" s="1"/>
  <c r="Q406" i="1"/>
  <c r="R406" i="1" s="1"/>
  <c r="O406" i="1"/>
  <c r="N414" i="1" a="1"/>
  <c r="N414" i="1" s="1"/>
  <c r="O32" i="1"/>
  <c r="N32" i="1" a="1"/>
  <c r="N32" i="1" s="1"/>
  <c r="Q9" i="1"/>
  <c r="R9" i="1" s="1"/>
  <c r="Q49" i="1"/>
  <c r="R49" i="1" s="1"/>
  <c r="O49" i="1"/>
  <c r="O40" i="1"/>
  <c r="O57" i="1"/>
  <c r="Q71" i="1"/>
  <c r="R71" i="1" s="1"/>
  <c r="O71" i="1"/>
  <c r="N71" i="1" a="1"/>
  <c r="N71" i="1" s="1"/>
  <c r="O74" i="1"/>
  <c r="N99" i="1" a="1"/>
  <c r="N99" i="1" s="1"/>
  <c r="N101" i="1" a="1"/>
  <c r="N101" i="1" s="1"/>
  <c r="O101" i="1"/>
  <c r="N105" i="1" a="1"/>
  <c r="N105" i="1" s="1"/>
  <c r="O105" i="1"/>
  <c r="N116" i="1" a="1"/>
  <c r="N116" i="1" s="1"/>
  <c r="O116" i="1"/>
  <c r="N118" i="1" a="1"/>
  <c r="N118" i="1" s="1"/>
  <c r="Q126" i="1"/>
  <c r="R126" i="1" s="1"/>
  <c r="N126" i="1" a="1"/>
  <c r="N126" i="1" s="1"/>
  <c r="Q139" i="1"/>
  <c r="R139" i="1" s="1"/>
  <c r="O141" i="1"/>
  <c r="O152" i="1"/>
  <c r="N152" i="1" a="1"/>
  <c r="N152" i="1" s="1"/>
  <c r="Q158" i="1"/>
  <c r="R158" i="1" s="1"/>
  <c r="O167" i="1"/>
  <c r="Q167" i="1"/>
  <c r="R167" i="1" s="1"/>
  <c r="O169" i="1"/>
  <c r="N169" i="1" a="1"/>
  <c r="N169" i="1" s="1"/>
  <c r="Q169" i="1"/>
  <c r="R169" i="1" s="1"/>
  <c r="O195" i="1"/>
  <c r="N195" i="1" a="1"/>
  <c r="N195" i="1" s="1"/>
  <c r="Q231" i="1"/>
  <c r="R231" i="1" s="1"/>
  <c r="O231" i="1"/>
  <c r="N282" i="1" a="1"/>
  <c r="N282" i="1" s="1"/>
  <c r="Q282" i="1"/>
  <c r="R282" i="1" s="1"/>
  <c r="O282" i="1"/>
  <c r="N291" i="1" a="1"/>
  <c r="N291" i="1" s="1"/>
  <c r="O366" i="1"/>
  <c r="O398" i="1"/>
  <c r="N398" i="1" a="1"/>
  <c r="N398" i="1" s="1"/>
  <c r="Q398" i="1"/>
  <c r="R398" i="1" s="1"/>
  <c r="O400" i="1"/>
  <c r="Q402" i="1"/>
  <c r="R402" i="1" s="1"/>
  <c r="Q496" i="1"/>
  <c r="R496" i="1" s="1"/>
  <c r="O496" i="1"/>
  <c r="N496" i="1" a="1"/>
  <c r="N496" i="1" s="1"/>
  <c r="O150" i="1"/>
  <c r="Q176" i="1"/>
  <c r="R176" i="1" s="1"/>
  <c r="O200" i="1"/>
  <c r="N200" i="1" a="1"/>
  <c r="N200" i="1" s="1"/>
  <c r="O206" i="1"/>
  <c r="N206" i="1" a="1"/>
  <c r="N206" i="1" s="1"/>
  <c r="Q212" i="1"/>
  <c r="R212" i="1" s="1"/>
  <c r="O212" i="1"/>
  <c r="N212" i="1" a="1"/>
  <c r="N212" i="1" s="1"/>
  <c r="N224" i="1" a="1"/>
  <c r="N224" i="1" s="1"/>
  <c r="Q241" i="1"/>
  <c r="R241" i="1" s="1"/>
  <c r="O241" i="1"/>
  <c r="N241" i="1" a="1"/>
  <c r="N241" i="1" s="1"/>
  <c r="Q269" i="1"/>
  <c r="R269" i="1" s="1"/>
  <c r="O272" i="1"/>
  <c r="N272" i="1" a="1"/>
  <c r="N272" i="1" s="1"/>
  <c r="Q372" i="1"/>
  <c r="R372" i="1" s="1"/>
  <c r="O372" i="1"/>
  <c r="N372" i="1" a="1"/>
  <c r="N372" i="1" s="1"/>
  <c r="N417" i="1" a="1"/>
  <c r="N417" i="1" s="1"/>
  <c r="Q417" i="1"/>
  <c r="R417" i="1" s="1"/>
  <c r="O417" i="1"/>
  <c r="Q560" i="1"/>
  <c r="R560" i="1" s="1"/>
  <c r="O560" i="1"/>
  <c r="N560" i="1" a="1"/>
  <c r="N560" i="1" s="1"/>
  <c r="Q578" i="1"/>
  <c r="R578" i="1" s="1"/>
  <c r="O578" i="1"/>
  <c r="N578" i="1" a="1"/>
  <c r="N578" i="1" s="1"/>
  <c r="N645" i="1" a="1"/>
  <c r="N645" i="1" s="1"/>
  <c r="Q645" i="1"/>
  <c r="R645" i="1" s="1"/>
  <c r="O645" i="1"/>
  <c r="Q703" i="1"/>
  <c r="R703" i="1" s="1"/>
  <c r="O703" i="1"/>
  <c r="N703" i="1" a="1"/>
  <c r="N703" i="1" s="1"/>
  <c r="Q508" i="1"/>
  <c r="R508" i="1" s="1"/>
  <c r="O508" i="1"/>
  <c r="N508" i="1" a="1"/>
  <c r="N508" i="1" s="1"/>
  <c r="Q544" i="1"/>
  <c r="R544" i="1" s="1"/>
  <c r="O544" i="1"/>
  <c r="N544" i="1" a="1"/>
  <c r="N544" i="1" s="1"/>
  <c r="Q716" i="1"/>
  <c r="R716" i="1" s="1"/>
  <c r="O716" i="1"/>
  <c r="N716" i="1" a="1"/>
  <c r="N716" i="1" s="1"/>
  <c r="O455" i="1"/>
  <c r="N455" i="1" a="1"/>
  <c r="N455" i="1" s="1"/>
  <c r="O547" i="1"/>
  <c r="Q547" i="1"/>
  <c r="R547" i="1" s="1"/>
  <c r="Q556" i="1"/>
  <c r="R556" i="1" s="1"/>
  <c r="O556" i="1"/>
  <c r="N556" i="1" a="1"/>
  <c r="N556" i="1" s="1"/>
  <c r="N597" i="1" a="1"/>
  <c r="N597" i="1" s="1"/>
  <c r="O597" i="1"/>
  <c r="Q597" i="1"/>
  <c r="R597" i="1" s="1"/>
  <c r="O610" i="1"/>
  <c r="N610" i="1" a="1"/>
  <c r="N610" i="1" s="1"/>
  <c r="Q610" i="1"/>
  <c r="R610" i="1" s="1"/>
  <c r="N618" i="1" a="1"/>
  <c r="N618" i="1" s="1"/>
  <c r="Q618" i="1"/>
  <c r="R618" i="1" s="1"/>
  <c r="O618" i="1"/>
  <c r="O646" i="1"/>
  <c r="N646" i="1" a="1"/>
  <c r="N646" i="1" s="1"/>
  <c r="Q646" i="1"/>
  <c r="R646" i="1" s="1"/>
  <c r="O674" i="1"/>
  <c r="N674" i="1" a="1"/>
  <c r="N674" i="1" s="1"/>
  <c r="Q674" i="1"/>
  <c r="R674" i="1" s="1"/>
  <c r="Q709" i="1"/>
  <c r="R709" i="1" s="1"/>
  <c r="O709" i="1"/>
  <c r="N709" i="1" a="1"/>
  <c r="N709" i="1" s="1"/>
  <c r="N416" i="1" a="1"/>
  <c r="N416" i="1" s="1"/>
  <c r="Q416" i="1"/>
  <c r="R416" i="1" s="1"/>
  <c r="O416" i="1"/>
  <c r="O453" i="1"/>
  <c r="N453" i="1" a="1"/>
  <c r="N453" i="1" s="1"/>
  <c r="Q453" i="1"/>
  <c r="R453" i="1" s="1"/>
  <c r="Q474" i="1"/>
  <c r="R474" i="1" s="1"/>
  <c r="O474" i="1"/>
  <c r="N474" i="1" a="1"/>
  <c r="N474" i="1" s="1"/>
  <c r="O480" i="1"/>
  <c r="N480" i="1" a="1"/>
  <c r="N480" i="1" s="1"/>
  <c r="Q480" i="1"/>
  <c r="R480" i="1" s="1"/>
  <c r="Q513" i="1"/>
  <c r="R513" i="1" s="1"/>
  <c r="O513" i="1"/>
  <c r="N554" i="1" a="1"/>
  <c r="N554" i="1" s="1"/>
  <c r="O554" i="1"/>
  <c r="Q554" i="1"/>
  <c r="R554" i="1" s="1"/>
  <c r="Q603" i="1"/>
  <c r="R603" i="1" s="1"/>
  <c r="O603" i="1"/>
  <c r="N603" i="1" a="1"/>
  <c r="N603" i="1" s="1"/>
  <c r="Q854" i="1"/>
  <c r="R854" i="1" s="1"/>
  <c r="N854" i="1" a="1"/>
  <c r="N854" i="1" s="1"/>
  <c r="O854" i="1"/>
  <c r="N205" i="1" a="1"/>
  <c r="N205" i="1" s="1"/>
  <c r="Q205" i="1"/>
  <c r="R205" i="1" s="1"/>
  <c r="O215" i="1"/>
  <c r="N215" i="1" a="1"/>
  <c r="N215" i="1" s="1"/>
  <c r="Q267" i="1"/>
  <c r="R267" i="1" s="1"/>
  <c r="O267" i="1"/>
  <c r="N267" i="1" a="1"/>
  <c r="N267" i="1" s="1"/>
  <c r="Q309" i="1"/>
  <c r="R309" i="1" s="1"/>
  <c r="O309" i="1"/>
  <c r="N309" i="1" a="1"/>
  <c r="N309" i="1" s="1"/>
  <c r="N340" i="1" a="1"/>
  <c r="N340" i="1" s="1"/>
  <c r="Q340" i="1"/>
  <c r="R340" i="1" s="1"/>
  <c r="O340" i="1"/>
  <c r="Q351" i="1"/>
  <c r="R351" i="1" s="1"/>
  <c r="O351" i="1"/>
  <c r="N351" i="1" a="1"/>
  <c r="N351" i="1" s="1"/>
  <c r="Q403" i="1"/>
  <c r="R403" i="1" s="1"/>
  <c r="N403" i="1" a="1"/>
  <c r="N403" i="1" s="1"/>
  <c r="O407" i="1"/>
  <c r="N407" i="1" a="1"/>
  <c r="N407" i="1" s="1"/>
  <c r="O412" i="1"/>
  <c r="Q412" i="1"/>
  <c r="R412" i="1" s="1"/>
  <c r="Q432" i="1"/>
  <c r="R432" i="1" s="1"/>
  <c r="O432" i="1"/>
  <c r="N432" i="1" a="1"/>
  <c r="N432" i="1" s="1"/>
  <c r="N439" i="1" a="1"/>
  <c r="N439" i="1" s="1"/>
  <c r="Q439" i="1"/>
  <c r="R439" i="1" s="1"/>
  <c r="O439" i="1"/>
  <c r="O445" i="1"/>
  <c r="N445" i="1" a="1"/>
  <c r="N445" i="1" s="1"/>
  <c r="N460" i="1" a="1"/>
  <c r="N460" i="1" s="1"/>
  <c r="Q460" i="1"/>
  <c r="R460" i="1" s="1"/>
  <c r="O460" i="1"/>
  <c r="N513" i="1" a="1"/>
  <c r="N513" i="1" s="1"/>
  <c r="N547" i="1" a="1"/>
  <c r="N547" i="1" s="1"/>
  <c r="Q552" i="1"/>
  <c r="R552" i="1" s="1"/>
  <c r="O552" i="1"/>
  <c r="N552" i="1" a="1"/>
  <c r="N552" i="1" s="1"/>
  <c r="Q746" i="1"/>
  <c r="R746" i="1" s="1"/>
  <c r="O746" i="1"/>
  <c r="N746" i="1" a="1"/>
  <c r="N746" i="1" s="1"/>
  <c r="Q784" i="1"/>
  <c r="R784" i="1" s="1"/>
  <c r="O784" i="1"/>
  <c r="N784" i="1" a="1"/>
  <c r="N784" i="1" s="1"/>
  <c r="N84" i="1" a="1"/>
  <c r="N84" i="1" s="1"/>
  <c r="N148" i="1" a="1"/>
  <c r="N148" i="1" s="1"/>
  <c r="N188" i="1" a="1"/>
  <c r="N188" i="1" s="1"/>
  <c r="O188" i="1"/>
  <c r="Q190" i="1"/>
  <c r="R190" i="1" s="1"/>
  <c r="O190" i="1"/>
  <c r="N192" i="1" a="1"/>
  <c r="N192" i="1" s="1"/>
  <c r="N194" i="1" a="1"/>
  <c r="N194" i="1" s="1"/>
  <c r="O194" i="1"/>
  <c r="Q196" i="1"/>
  <c r="R196" i="1" s="1"/>
  <c r="O196" i="1"/>
  <c r="N263" i="1" a="1"/>
  <c r="N263" i="1" s="1"/>
  <c r="Q278" i="1"/>
  <c r="R278" i="1" s="1"/>
  <c r="O278" i="1"/>
  <c r="N278" i="1" a="1"/>
  <c r="N278" i="1" s="1"/>
  <c r="N359" i="1" a="1"/>
  <c r="N359" i="1" s="1"/>
  <c r="O359" i="1"/>
  <c r="Q359" i="1"/>
  <c r="R359" i="1" s="1"/>
  <c r="Q435" i="1"/>
  <c r="R435" i="1" s="1"/>
  <c r="O435" i="1"/>
  <c r="N435" i="1" a="1"/>
  <c r="N435" i="1" s="1"/>
  <c r="Q455" i="1"/>
  <c r="R455" i="1" s="1"/>
  <c r="Q458" i="1"/>
  <c r="R458" i="1" s="1"/>
  <c r="O458" i="1"/>
  <c r="O511" i="1"/>
  <c r="Q515" i="1"/>
  <c r="R515" i="1" s="1"/>
  <c r="O515" i="1"/>
  <c r="N515" i="1" a="1"/>
  <c r="N515" i="1" s="1"/>
  <c r="O668" i="1"/>
  <c r="N668" i="1" a="1"/>
  <c r="N668" i="1" s="1"/>
  <c r="Q668" i="1"/>
  <c r="R668" i="1" s="1"/>
  <c r="Q161" i="1"/>
  <c r="R161" i="1" s="1"/>
  <c r="O161" i="1"/>
  <c r="N173" i="1" a="1"/>
  <c r="N173" i="1" s="1"/>
  <c r="Q173" i="1"/>
  <c r="R173" i="1" s="1"/>
  <c r="Q230" i="1"/>
  <c r="R230" i="1" s="1"/>
  <c r="N230" i="1" a="1"/>
  <c r="N230" i="1" s="1"/>
  <c r="O230" i="1"/>
  <c r="Q234" i="1"/>
  <c r="R234" i="1" s="1"/>
  <c r="O234" i="1"/>
  <c r="O236" i="1"/>
  <c r="N236" i="1" a="1"/>
  <c r="N236" i="1" s="1"/>
  <c r="Q247" i="1"/>
  <c r="R247" i="1" s="1"/>
  <c r="O247" i="1"/>
  <c r="Q257" i="1"/>
  <c r="R257" i="1" s="1"/>
  <c r="O257" i="1"/>
  <c r="N257" i="1" a="1"/>
  <c r="N257" i="1" s="1"/>
  <c r="O261" i="1"/>
  <c r="N261" i="1" a="1"/>
  <c r="N261" i="1" s="1"/>
  <c r="N265" i="1" a="1"/>
  <c r="N265" i="1" s="1"/>
  <c r="O265" i="1"/>
  <c r="O307" i="1"/>
  <c r="N307" i="1" a="1"/>
  <c r="N307" i="1" s="1"/>
  <c r="Q307" i="1"/>
  <c r="R307" i="1" s="1"/>
  <c r="O325" i="1"/>
  <c r="N325" i="1" a="1"/>
  <c r="N325" i="1" s="1"/>
  <c r="O376" i="1"/>
  <c r="N376" i="1" a="1"/>
  <c r="N376" i="1" s="1"/>
  <c r="Q376" i="1"/>
  <c r="R376" i="1" s="1"/>
  <c r="Q399" i="1"/>
  <c r="R399" i="1" s="1"/>
  <c r="O399" i="1"/>
  <c r="N399" i="1" a="1"/>
  <c r="N399" i="1" s="1"/>
  <c r="O403" i="1"/>
  <c r="Q407" i="1"/>
  <c r="R407" i="1" s="1"/>
  <c r="Q410" i="1"/>
  <c r="R410" i="1" s="1"/>
  <c r="O410" i="1"/>
  <c r="N412" i="1" a="1"/>
  <c r="N412" i="1" s="1"/>
  <c r="Q492" i="1"/>
  <c r="R492" i="1" s="1"/>
  <c r="N492" i="1" a="1"/>
  <c r="N492" i="1" s="1"/>
  <c r="Q529" i="1"/>
  <c r="R529" i="1" s="1"/>
  <c r="O529" i="1"/>
  <c r="N529" i="1" a="1"/>
  <c r="N529" i="1" s="1"/>
  <c r="Q548" i="1"/>
  <c r="R548" i="1" s="1"/>
  <c r="O548" i="1"/>
  <c r="N548" i="1" a="1"/>
  <c r="N548" i="1" s="1"/>
  <c r="O663" i="1"/>
  <c r="N663" i="1" a="1"/>
  <c r="N663" i="1" s="1"/>
  <c r="Q663" i="1"/>
  <c r="R663" i="1" s="1"/>
  <c r="N92" i="1" a="1"/>
  <c r="N92" i="1" s="1"/>
  <c r="Q148" i="1"/>
  <c r="R148" i="1" s="1"/>
  <c r="N161" i="1" a="1"/>
  <c r="N161" i="1" s="1"/>
  <c r="Q168" i="1"/>
  <c r="R168" i="1" s="1"/>
  <c r="O168" i="1"/>
  <c r="O192" i="1"/>
  <c r="N196" i="1" a="1"/>
  <c r="N196" i="1" s="1"/>
  <c r="Q215" i="1"/>
  <c r="R215" i="1" s="1"/>
  <c r="Q226" i="1"/>
  <c r="R226" i="1" s="1"/>
  <c r="O226" i="1"/>
  <c r="O228" i="1"/>
  <c r="N228" i="1" a="1"/>
  <c r="N228" i="1" s="1"/>
  <c r="Q228" i="1"/>
  <c r="R228" i="1" s="1"/>
  <c r="N234" i="1" a="1"/>
  <c r="N234" i="1" s="1"/>
  <c r="N247" i="1" a="1"/>
  <c r="N247" i="1" s="1"/>
  <c r="O255" i="1"/>
  <c r="N255" i="1" a="1"/>
  <c r="N255" i="1" s="1"/>
  <c r="Q255" i="1"/>
  <c r="R255" i="1" s="1"/>
  <c r="O263" i="1"/>
  <c r="N274" i="1" a="1"/>
  <c r="N274" i="1" s="1"/>
  <c r="N276" i="1" a="1"/>
  <c r="N276" i="1" s="1"/>
  <c r="Q276" i="1"/>
  <c r="R276" i="1" s="1"/>
  <c r="O276" i="1"/>
  <c r="N293" i="1" a="1"/>
  <c r="N293" i="1" s="1"/>
  <c r="Q293" i="1"/>
  <c r="R293" i="1" s="1"/>
  <c r="Q299" i="1"/>
  <c r="R299" i="1" s="1"/>
  <c r="O299" i="1"/>
  <c r="N299" i="1" a="1"/>
  <c r="N299" i="1" s="1"/>
  <c r="O303" i="1"/>
  <c r="N303" i="1" a="1"/>
  <c r="N303" i="1" s="1"/>
  <c r="N332" i="1" a="1"/>
  <c r="N332" i="1" s="1"/>
  <c r="Q374" i="1"/>
  <c r="R374" i="1" s="1"/>
  <c r="O374" i="1"/>
  <c r="Q391" i="1"/>
  <c r="R391" i="1" s="1"/>
  <c r="N391" i="1" a="1"/>
  <c r="N391" i="1" s="1"/>
  <c r="O393" i="1"/>
  <c r="N393" i="1" a="1"/>
  <c r="N393" i="1" s="1"/>
  <c r="Q395" i="1"/>
  <c r="R395" i="1" s="1"/>
  <c r="O395" i="1"/>
  <c r="Q408" i="1"/>
  <c r="R408" i="1" s="1"/>
  <c r="O408" i="1"/>
  <c r="N410" i="1" a="1"/>
  <c r="N410" i="1" s="1"/>
  <c r="O422" i="1"/>
  <c r="N422" i="1" a="1"/>
  <c r="N422" i="1" s="1"/>
  <c r="Q433" i="1"/>
  <c r="R433" i="1" s="1"/>
  <c r="O433" i="1"/>
  <c r="Q445" i="1"/>
  <c r="R445" i="1" s="1"/>
  <c r="Q463" i="1"/>
  <c r="R463" i="1" s="1"/>
  <c r="N463" i="1" a="1"/>
  <c r="N463" i="1" s="1"/>
  <c r="Q481" i="1"/>
  <c r="R481" i="1" s="1"/>
  <c r="O481" i="1"/>
  <c r="N481" i="1" a="1"/>
  <c r="N481" i="1" s="1"/>
  <c r="O484" i="1"/>
  <c r="N484" i="1" a="1"/>
  <c r="N484" i="1" s="1"/>
  <c r="O492" i="1"/>
  <c r="Q502" i="1"/>
  <c r="R502" i="1" s="1"/>
  <c r="O502" i="1"/>
  <c r="N502" i="1" a="1"/>
  <c r="N502" i="1" s="1"/>
  <c r="Q511" i="1"/>
  <c r="R511" i="1" s="1"/>
  <c r="Q666" i="1"/>
  <c r="R666" i="1" s="1"/>
  <c r="O666" i="1"/>
  <c r="N666" i="1" a="1"/>
  <c r="N666" i="1" s="1"/>
  <c r="Q742" i="1"/>
  <c r="R742" i="1" s="1"/>
  <c r="O742" i="1"/>
  <c r="N777" i="1" a="1"/>
  <c r="N777" i="1" s="1"/>
  <c r="O777" i="1"/>
  <c r="Q777" i="1"/>
  <c r="R777" i="1" s="1"/>
  <c r="O211" i="1"/>
  <c r="N211" i="1" a="1"/>
  <c r="N211" i="1" s="1"/>
  <c r="Q308" i="1"/>
  <c r="R308" i="1" s="1"/>
  <c r="O308" i="1"/>
  <c r="Q334" i="1"/>
  <c r="R334" i="1" s="1"/>
  <c r="O334" i="1"/>
  <c r="N348" i="1" a="1"/>
  <c r="N348" i="1" s="1"/>
  <c r="Q348" i="1"/>
  <c r="R348" i="1" s="1"/>
  <c r="Q350" i="1"/>
  <c r="R350" i="1" s="1"/>
  <c r="N350" i="1" a="1"/>
  <c r="N350" i="1" s="1"/>
  <c r="Q364" i="1"/>
  <c r="R364" i="1" s="1"/>
  <c r="O364" i="1"/>
  <c r="Q377" i="1"/>
  <c r="R377" i="1" s="1"/>
  <c r="O377" i="1"/>
  <c r="Q386" i="1"/>
  <c r="R386" i="1" s="1"/>
  <c r="O386" i="1"/>
  <c r="Q421" i="1"/>
  <c r="R421" i="1" s="1"/>
  <c r="O421" i="1"/>
  <c r="N428" i="1" a="1"/>
  <c r="N428" i="1" s="1"/>
  <c r="Q428" i="1"/>
  <c r="R428" i="1" s="1"/>
  <c r="O428" i="1"/>
  <c r="N479" i="1" a="1"/>
  <c r="N479" i="1" s="1"/>
  <c r="Q479" i="1"/>
  <c r="R479" i="1" s="1"/>
  <c r="Q564" i="1"/>
  <c r="R564" i="1" s="1"/>
  <c r="O564" i="1"/>
  <c r="N601" i="1" a="1"/>
  <c r="N601" i="1" s="1"/>
  <c r="Q601" i="1"/>
  <c r="R601" i="1" s="1"/>
  <c r="O601" i="1"/>
  <c r="Q665" i="1"/>
  <c r="R665" i="1" s="1"/>
  <c r="O665" i="1"/>
  <c r="N665" i="1" a="1"/>
  <c r="N665" i="1" s="1"/>
  <c r="N693" i="1" a="1"/>
  <c r="N693" i="1" s="1"/>
  <c r="Q693" i="1"/>
  <c r="R693" i="1" s="1"/>
  <c r="O693" i="1"/>
  <c r="Q728" i="1"/>
  <c r="R728" i="1" s="1"/>
  <c r="O728" i="1"/>
  <c r="N728" i="1" a="1"/>
  <c r="N728" i="1" s="1"/>
  <c r="Q751" i="1"/>
  <c r="R751" i="1" s="1"/>
  <c r="O751" i="1"/>
  <c r="N751" i="1" a="1"/>
  <c r="N751" i="1" s="1"/>
  <c r="O988" i="1"/>
  <c r="N988" i="1" a="1"/>
  <c r="N988" i="1" s="1"/>
  <c r="Q988" i="1"/>
  <c r="R988" i="1" s="1"/>
  <c r="N978" i="1" a="1"/>
  <c r="N978" i="1" s="1"/>
  <c r="Q978" i="1"/>
  <c r="R978" i="1" s="1"/>
  <c r="O978" i="1"/>
  <c r="O290" i="1"/>
  <c r="N290" i="1" a="1"/>
  <c r="N290" i="1" s="1"/>
  <c r="O349" i="1"/>
  <c r="N349" i="1" a="1"/>
  <c r="N349" i="1" s="1"/>
  <c r="N448" i="1" a="1"/>
  <c r="N448" i="1" s="1"/>
  <c r="O448" i="1"/>
  <c r="O462" i="1"/>
  <c r="Q462" i="1"/>
  <c r="R462" i="1" s="1"/>
  <c r="N472" i="1" a="1"/>
  <c r="N472" i="1" s="1"/>
  <c r="Q472" i="1"/>
  <c r="R472" i="1" s="1"/>
  <c r="O472" i="1"/>
  <c r="O580" i="1"/>
  <c r="N580" i="1" a="1"/>
  <c r="N580" i="1" s="1"/>
  <c r="Q580" i="1"/>
  <c r="R580" i="1" s="1"/>
  <c r="Q600" i="1"/>
  <c r="R600" i="1" s="1"/>
  <c r="N600" i="1" a="1"/>
  <c r="N600" i="1" s="1"/>
  <c r="O600" i="1"/>
  <c r="Q620" i="1"/>
  <c r="R620" i="1" s="1"/>
  <c r="N620" i="1" a="1"/>
  <c r="N620" i="1" s="1"/>
  <c r="O620" i="1"/>
  <c r="Q622" i="1"/>
  <c r="R622" i="1" s="1"/>
  <c r="O622" i="1"/>
  <c r="N622" i="1" a="1"/>
  <c r="N622" i="1" s="1"/>
  <c r="Q638" i="1"/>
  <c r="R638" i="1" s="1"/>
  <c r="O638" i="1"/>
  <c r="N638" i="1" a="1"/>
  <c r="N638" i="1" s="1"/>
  <c r="Q697" i="1"/>
  <c r="R697" i="1" s="1"/>
  <c r="O697" i="1"/>
  <c r="N697" i="1" a="1"/>
  <c r="N697" i="1" s="1"/>
  <c r="O793" i="1"/>
  <c r="Q793" i="1"/>
  <c r="R793" i="1" s="1"/>
  <c r="Q905" i="1"/>
  <c r="R905" i="1" s="1"/>
  <c r="O905" i="1"/>
  <c r="N905" i="1" a="1"/>
  <c r="N905" i="1" s="1"/>
  <c r="O233" i="1"/>
  <c r="N233" i="1" a="1"/>
  <c r="N233" i="1" s="1"/>
  <c r="O316" i="1"/>
  <c r="N316" i="1" a="1"/>
  <c r="N316" i="1" s="1"/>
  <c r="N378" i="1" a="1"/>
  <c r="N378" i="1" s="1"/>
  <c r="N450" i="1" a="1"/>
  <c r="N450" i="1" s="1"/>
  <c r="Q450" i="1"/>
  <c r="R450" i="1" s="1"/>
  <c r="N462" i="1" a="1"/>
  <c r="N462" i="1" s="1"/>
  <c r="Q587" i="1"/>
  <c r="R587" i="1" s="1"/>
  <c r="O587" i="1"/>
  <c r="N587" i="1" a="1"/>
  <c r="N587" i="1" s="1"/>
  <c r="Q631" i="1"/>
  <c r="R631" i="1" s="1"/>
  <c r="N631" i="1" a="1"/>
  <c r="N631" i="1" s="1"/>
  <c r="Q633" i="1"/>
  <c r="R633" i="1" s="1"/>
  <c r="O633" i="1"/>
  <c r="N633" i="1" a="1"/>
  <c r="N633" i="1" s="1"/>
  <c r="N643" i="1" a="1"/>
  <c r="N643" i="1" s="1"/>
  <c r="O643" i="1"/>
  <c r="Q643" i="1"/>
  <c r="R643" i="1" s="1"/>
  <c r="Q655" i="1"/>
  <c r="R655" i="1" s="1"/>
  <c r="O655" i="1"/>
  <c r="N655" i="1" a="1"/>
  <c r="N655" i="1" s="1"/>
  <c r="O685" i="1"/>
  <c r="N685" i="1" a="1"/>
  <c r="N685" i="1" s="1"/>
  <c r="Q685" i="1"/>
  <c r="R685" i="1" s="1"/>
  <c r="O707" i="1"/>
  <c r="N707" i="1" a="1"/>
  <c r="N707" i="1" s="1"/>
  <c r="Q707" i="1"/>
  <c r="R707" i="1" s="1"/>
  <c r="Q788" i="1"/>
  <c r="R788" i="1" s="1"/>
  <c r="N788" i="1" a="1"/>
  <c r="N788" i="1" s="1"/>
  <c r="O810" i="1"/>
  <c r="Q810" i="1"/>
  <c r="R810" i="1" s="1"/>
  <c r="N810" i="1" a="1"/>
  <c r="N810" i="1" s="1"/>
  <c r="Q880" i="1"/>
  <c r="R880" i="1" s="1"/>
  <c r="O880" i="1"/>
  <c r="N880" i="1" a="1"/>
  <c r="N880" i="1" s="1"/>
  <c r="N895" i="1" a="1"/>
  <c r="N895" i="1" s="1"/>
  <c r="Q895" i="1"/>
  <c r="R895" i="1" s="1"/>
  <c r="O895" i="1"/>
  <c r="N950" i="1" a="1"/>
  <c r="N950" i="1" s="1"/>
  <c r="Q950" i="1"/>
  <c r="R950" i="1" s="1"/>
  <c r="O950" i="1"/>
  <c r="O249" i="1"/>
  <c r="O285" i="1"/>
  <c r="O342" i="1"/>
  <c r="N342" i="1" a="1"/>
  <c r="N342" i="1" s="1"/>
  <c r="N365" i="1" a="1"/>
  <c r="N365" i="1" s="1"/>
  <c r="N367" i="1" a="1"/>
  <c r="N367" i="1" s="1"/>
  <c r="O367" i="1"/>
  <c r="N380" i="1" a="1"/>
  <c r="N380" i="1" s="1"/>
  <c r="O380" i="1"/>
  <c r="N424" i="1" a="1"/>
  <c r="N424" i="1" s="1"/>
  <c r="O424" i="1"/>
  <c r="N468" i="1" a="1"/>
  <c r="N468" i="1" s="1"/>
  <c r="N483" i="1" a="1"/>
  <c r="N483" i="1" s="1"/>
  <c r="Q483" i="1"/>
  <c r="R483" i="1" s="1"/>
  <c r="O483" i="1"/>
  <c r="N494" i="1" a="1"/>
  <c r="N494" i="1" s="1"/>
  <c r="Q494" i="1"/>
  <c r="R494" i="1" s="1"/>
  <c r="Q507" i="1"/>
  <c r="R507" i="1" s="1"/>
  <c r="O507" i="1"/>
  <c r="N507" i="1" a="1"/>
  <c r="N507" i="1" s="1"/>
  <c r="Q525" i="1"/>
  <c r="R525" i="1" s="1"/>
  <c r="N525" i="1" a="1"/>
  <c r="N525" i="1" s="1"/>
  <c r="O525" i="1"/>
  <c r="Q534" i="1"/>
  <c r="R534" i="1" s="1"/>
  <c r="O534" i="1"/>
  <c r="N534" i="1" a="1"/>
  <c r="N534" i="1" s="1"/>
  <c r="N574" i="1" a="1"/>
  <c r="N574" i="1" s="1"/>
  <c r="Q676" i="1"/>
  <c r="R676" i="1" s="1"/>
  <c r="O676" i="1"/>
  <c r="O788" i="1"/>
  <c r="N793" i="1" a="1"/>
  <c r="N793" i="1" s="1"/>
  <c r="Q890" i="1"/>
  <c r="R890" i="1" s="1"/>
  <c r="O890" i="1"/>
  <c r="N890" i="1" a="1"/>
  <c r="N890" i="1" s="1"/>
  <c r="O924" i="1"/>
  <c r="N924" i="1" a="1"/>
  <c r="N924" i="1" s="1"/>
  <c r="Q924" i="1"/>
  <c r="R924" i="1" s="1"/>
  <c r="Q201" i="1"/>
  <c r="R201" i="1" s="1"/>
  <c r="O201" i="1"/>
  <c r="O217" i="1"/>
  <c r="N217" i="1" a="1"/>
  <c r="N217" i="1" s="1"/>
  <c r="O222" i="1"/>
  <c r="N222" i="1" a="1"/>
  <c r="N222" i="1" s="1"/>
  <c r="Q251" i="1"/>
  <c r="R251" i="1" s="1"/>
  <c r="O251" i="1"/>
  <c r="O294" i="1"/>
  <c r="N294" i="1" a="1"/>
  <c r="N294" i="1" s="1"/>
  <c r="N304" i="1" a="1"/>
  <c r="N304" i="1" s="1"/>
  <c r="Q304" i="1"/>
  <c r="R304" i="1" s="1"/>
  <c r="O304" i="1"/>
  <c r="Q321" i="1"/>
  <c r="R321" i="1" s="1"/>
  <c r="O321" i="1"/>
  <c r="Q328" i="1"/>
  <c r="R328" i="1" s="1"/>
  <c r="N328" i="1" a="1"/>
  <c r="N328" i="1" s="1"/>
  <c r="O328" i="1"/>
  <c r="O360" i="1"/>
  <c r="Q360" i="1"/>
  <c r="R360" i="1" s="1"/>
  <c r="Q369" i="1"/>
  <c r="R369" i="1" s="1"/>
  <c r="O369" i="1"/>
  <c r="Q373" i="1"/>
  <c r="R373" i="1" s="1"/>
  <c r="O373" i="1"/>
  <c r="O382" i="1"/>
  <c r="Q382" i="1"/>
  <c r="R382" i="1" s="1"/>
  <c r="Q394" i="1"/>
  <c r="R394" i="1" s="1"/>
  <c r="O394" i="1"/>
  <c r="N394" i="1" a="1"/>
  <c r="N394" i="1" s="1"/>
  <c r="O409" i="1"/>
  <c r="N409" i="1" a="1"/>
  <c r="N409" i="1" s="1"/>
  <c r="Q409" i="1"/>
  <c r="R409" i="1" s="1"/>
  <c r="O413" i="1"/>
  <c r="N413" i="1" a="1"/>
  <c r="N413" i="1" s="1"/>
  <c r="Q413" i="1"/>
  <c r="R413" i="1" s="1"/>
  <c r="Q452" i="1"/>
  <c r="R452" i="1" s="1"/>
  <c r="N452" i="1" a="1"/>
  <c r="N452" i="1" s="1"/>
  <c r="O452" i="1"/>
  <c r="O468" i="1"/>
  <c r="O473" i="1"/>
  <c r="N473" i="1" a="1"/>
  <c r="N473" i="1" s="1"/>
  <c r="N490" i="1" a="1"/>
  <c r="N490" i="1" s="1"/>
  <c r="O490" i="1"/>
  <c r="Q497" i="1"/>
  <c r="R497" i="1" s="1"/>
  <c r="N497" i="1" a="1"/>
  <c r="N497" i="1" s="1"/>
  <c r="Q518" i="1"/>
  <c r="R518" i="1" s="1"/>
  <c r="O518" i="1"/>
  <c r="Q537" i="1"/>
  <c r="R537" i="1" s="1"/>
  <c r="N537" i="1" a="1"/>
  <c r="N537" i="1" s="1"/>
  <c r="O574" i="1"/>
  <c r="Q614" i="1"/>
  <c r="R614" i="1" s="1"/>
  <c r="O614" i="1"/>
  <c r="N614" i="1" a="1"/>
  <c r="N614" i="1" s="1"/>
  <c r="O631" i="1"/>
  <c r="Q636" i="1"/>
  <c r="R636" i="1" s="1"/>
  <c r="O636" i="1"/>
  <c r="N636" i="1" a="1"/>
  <c r="N636" i="1" s="1"/>
  <c r="O641" i="1"/>
  <c r="Q641" i="1"/>
  <c r="R641" i="1" s="1"/>
  <c r="N641" i="1" a="1"/>
  <c r="N641" i="1" s="1"/>
  <c r="Q705" i="1"/>
  <c r="R705" i="1" s="1"/>
  <c r="O705" i="1"/>
  <c r="N705" i="1" a="1"/>
  <c r="N705" i="1" s="1"/>
  <c r="Q720" i="1"/>
  <c r="R720" i="1" s="1"/>
  <c r="N720" i="1" a="1"/>
  <c r="N720" i="1" s="1"/>
  <c r="Q733" i="1"/>
  <c r="R733" i="1" s="1"/>
  <c r="O733" i="1"/>
  <c r="N733" i="1" a="1"/>
  <c r="N733" i="1" s="1"/>
  <c r="N862" i="1" a="1"/>
  <c r="N862" i="1" s="1"/>
  <c r="Q862" i="1"/>
  <c r="R862" i="1" s="1"/>
  <c r="O862" i="1"/>
  <c r="Q475" i="1"/>
  <c r="R475" i="1" s="1"/>
  <c r="O475" i="1"/>
  <c r="Q526" i="1"/>
  <c r="R526" i="1" s="1"/>
  <c r="O526" i="1"/>
  <c r="Q543" i="1"/>
  <c r="R543" i="1" s="1"/>
  <c r="O543" i="1"/>
  <c r="N543" i="1" a="1"/>
  <c r="N543" i="1" s="1"/>
  <c r="Q551" i="1"/>
  <c r="R551" i="1" s="1"/>
  <c r="O551" i="1"/>
  <c r="N551" i="1" a="1"/>
  <c r="N551" i="1" s="1"/>
  <c r="Q586" i="1"/>
  <c r="R586" i="1" s="1"/>
  <c r="O586" i="1"/>
  <c r="N590" i="1" a="1"/>
  <c r="N590" i="1" s="1"/>
  <c r="Q590" i="1"/>
  <c r="R590" i="1" s="1"/>
  <c r="O590" i="1"/>
  <c r="Q599" i="1"/>
  <c r="R599" i="1" s="1"/>
  <c r="O599" i="1"/>
  <c r="N629" i="1" a="1"/>
  <c r="N629" i="1" s="1"/>
  <c r="Q629" i="1"/>
  <c r="R629" i="1" s="1"/>
  <c r="Q647" i="1"/>
  <c r="R647" i="1" s="1"/>
  <c r="O647" i="1"/>
  <c r="N647" i="1" a="1"/>
  <c r="N647" i="1" s="1"/>
  <c r="Q670" i="1"/>
  <c r="R670" i="1" s="1"/>
  <c r="N670" i="1" a="1"/>
  <c r="N670" i="1" s="1"/>
  <c r="Q729" i="1"/>
  <c r="R729" i="1" s="1"/>
  <c r="N729" i="1" a="1"/>
  <c r="N729" i="1" s="1"/>
  <c r="O729" i="1"/>
  <c r="O744" i="1"/>
  <c r="N744" i="1" a="1"/>
  <c r="N744" i="1" s="1"/>
  <c r="Q763" i="1"/>
  <c r="R763" i="1" s="1"/>
  <c r="O763" i="1"/>
  <c r="N763" i="1" a="1"/>
  <c r="N763" i="1" s="1"/>
  <c r="N798" i="1" a="1"/>
  <c r="N798" i="1" s="1"/>
  <c r="Q798" i="1"/>
  <c r="R798" i="1" s="1"/>
  <c r="O798" i="1"/>
  <c r="Q817" i="1"/>
  <c r="R817" i="1" s="1"/>
  <c r="O817" i="1"/>
  <c r="Q991" i="1"/>
  <c r="R991" i="1" s="1"/>
  <c r="O991" i="1"/>
  <c r="N991" i="1" a="1"/>
  <c r="N991" i="1" s="1"/>
  <c r="O1001" i="1"/>
  <c r="N1001" i="1" a="1"/>
  <c r="N1001" i="1" s="1"/>
  <c r="Q1001" i="1"/>
  <c r="R1001" i="1" s="1"/>
  <c r="Q937" i="1"/>
  <c r="R937" i="1" s="1"/>
  <c r="O937" i="1"/>
  <c r="N937" i="1" a="1"/>
  <c r="N937" i="1" s="1"/>
  <c r="Q996" i="1"/>
  <c r="R996" i="1" s="1"/>
  <c r="O996" i="1"/>
  <c r="N996" i="1" a="1"/>
  <c r="N996" i="1" s="1"/>
  <c r="Q485" i="1"/>
  <c r="R485" i="1" s="1"/>
  <c r="O485" i="1"/>
  <c r="O506" i="1"/>
  <c r="N506" i="1" a="1"/>
  <c r="N506" i="1" s="1"/>
  <c r="Q510" i="1"/>
  <c r="R510" i="1" s="1"/>
  <c r="O510" i="1"/>
  <c r="O531" i="1"/>
  <c r="N531" i="1" a="1"/>
  <c r="N531" i="1" s="1"/>
  <c r="Q538" i="1"/>
  <c r="R538" i="1" s="1"/>
  <c r="O538" i="1"/>
  <c r="N538" i="1" a="1"/>
  <c r="N538" i="1" s="1"/>
  <c r="O542" i="1"/>
  <c r="N542" i="1" a="1"/>
  <c r="N542" i="1" s="1"/>
  <c r="N607" i="1" a="1"/>
  <c r="N607" i="1" s="1"/>
  <c r="Q607" i="1"/>
  <c r="R607" i="1" s="1"/>
  <c r="O607" i="1"/>
  <c r="O701" i="1"/>
  <c r="N701" i="1" a="1"/>
  <c r="N701" i="1" s="1"/>
  <c r="Q719" i="1"/>
  <c r="R719" i="1" s="1"/>
  <c r="O719" i="1"/>
  <c r="O735" i="1"/>
  <c r="N735" i="1" a="1"/>
  <c r="N735" i="1" s="1"/>
  <c r="Q735" i="1"/>
  <c r="R735" i="1" s="1"/>
  <c r="O738" i="1"/>
  <c r="N738" i="1" a="1"/>
  <c r="N738" i="1" s="1"/>
  <c r="Q738" i="1"/>
  <c r="R738" i="1" s="1"/>
  <c r="Q780" i="1"/>
  <c r="R780" i="1" s="1"/>
  <c r="O780" i="1"/>
  <c r="N780" i="1" a="1"/>
  <c r="N780" i="1" s="1"/>
  <c r="N385" i="1" a="1"/>
  <c r="N385" i="1" s="1"/>
  <c r="N449" i="1" a="1"/>
  <c r="N449" i="1" s="1"/>
  <c r="N485" i="1" a="1"/>
  <c r="N485" i="1" s="1"/>
  <c r="O495" i="1"/>
  <c r="N495" i="1" a="1"/>
  <c r="N495" i="1" s="1"/>
  <c r="O504" i="1"/>
  <c r="N504" i="1" a="1"/>
  <c r="N504" i="1" s="1"/>
  <c r="O512" i="1"/>
  <c r="N512" i="1" a="1"/>
  <c r="N512" i="1" s="1"/>
  <c r="Q519" i="1"/>
  <c r="R519" i="1" s="1"/>
  <c r="N519" i="1" a="1"/>
  <c r="N519" i="1" s="1"/>
  <c r="O523" i="1"/>
  <c r="N523" i="1" a="1"/>
  <c r="N523" i="1" s="1"/>
  <c r="Q523" i="1"/>
  <c r="R523" i="1" s="1"/>
  <c r="N546" i="1" a="1"/>
  <c r="N546" i="1" s="1"/>
  <c r="O546" i="1"/>
  <c r="Q546" i="1"/>
  <c r="R546" i="1" s="1"/>
  <c r="O575" i="1"/>
  <c r="N575" i="1" a="1"/>
  <c r="N575" i="1" s="1"/>
  <c r="Q637" i="1"/>
  <c r="R637" i="1" s="1"/>
  <c r="N637" i="1" a="1"/>
  <c r="N637" i="1" s="1"/>
  <c r="O637" i="1"/>
  <c r="Q653" i="1"/>
  <c r="R653" i="1" s="1"/>
  <c r="O653" i="1"/>
  <c r="N682" i="1" a="1"/>
  <c r="N682" i="1" s="1"/>
  <c r="N684" i="1" a="1"/>
  <c r="N684" i="1" s="1"/>
  <c r="Q684" i="1"/>
  <c r="R684" i="1" s="1"/>
  <c r="O684" i="1"/>
  <c r="N726" i="1" a="1"/>
  <c r="N726" i="1" s="1"/>
  <c r="Q726" i="1"/>
  <c r="R726" i="1" s="1"/>
  <c r="Q853" i="1"/>
  <c r="R853" i="1" s="1"/>
  <c r="O853" i="1"/>
  <c r="N853" i="1" a="1"/>
  <c r="N853" i="1" s="1"/>
  <c r="Q909" i="1"/>
  <c r="R909" i="1" s="1"/>
  <c r="O909" i="1"/>
  <c r="N909" i="1" a="1"/>
  <c r="N909" i="1" s="1"/>
  <c r="N441" i="1" a="1"/>
  <c r="N441" i="1" s="1"/>
  <c r="O467" i="1"/>
  <c r="O478" i="1"/>
  <c r="N478" i="1" a="1"/>
  <c r="N478" i="1" s="1"/>
  <c r="O487" i="1"/>
  <c r="N487" i="1" a="1"/>
  <c r="N487" i="1" s="1"/>
  <c r="O491" i="1"/>
  <c r="Q491" i="1"/>
  <c r="R491" i="1" s="1"/>
  <c r="N510" i="1" a="1"/>
  <c r="N510" i="1" s="1"/>
  <c r="Q531" i="1"/>
  <c r="R531" i="1" s="1"/>
  <c r="Q581" i="1"/>
  <c r="R581" i="1" s="1"/>
  <c r="O581" i="1"/>
  <c r="N581" i="1" a="1"/>
  <c r="N581" i="1" s="1"/>
  <c r="O585" i="1"/>
  <c r="N585" i="1" a="1"/>
  <c r="N585" i="1" s="1"/>
  <c r="Q585" i="1"/>
  <c r="R585" i="1" s="1"/>
  <c r="N605" i="1" a="1"/>
  <c r="N605" i="1" s="1"/>
  <c r="Q605" i="1"/>
  <c r="R605" i="1" s="1"/>
  <c r="O605" i="1"/>
  <c r="N651" i="1" a="1"/>
  <c r="N651" i="1" s="1"/>
  <c r="Q651" i="1"/>
  <c r="R651" i="1" s="1"/>
  <c r="N653" i="1" a="1"/>
  <c r="N653" i="1" s="1"/>
  <c r="Q669" i="1"/>
  <c r="R669" i="1" s="1"/>
  <c r="O669" i="1"/>
  <c r="N669" i="1" a="1"/>
  <c r="N669" i="1" s="1"/>
  <c r="Q680" i="1"/>
  <c r="R680" i="1" s="1"/>
  <c r="O680" i="1"/>
  <c r="N680" i="1" a="1"/>
  <c r="N680" i="1" s="1"/>
  <c r="Q687" i="1"/>
  <c r="R687" i="1" s="1"/>
  <c r="O687" i="1"/>
  <c r="N687" i="1" a="1"/>
  <c r="N687" i="1" s="1"/>
  <c r="N719" i="1" a="1"/>
  <c r="N719" i="1" s="1"/>
  <c r="Q724" i="1"/>
  <c r="R724" i="1" s="1"/>
  <c r="O724" i="1"/>
  <c r="N812" i="1" a="1"/>
  <c r="N812" i="1" s="1"/>
  <c r="O812" i="1"/>
  <c r="N491" i="1" a="1"/>
  <c r="N491" i="1" s="1"/>
  <c r="Q504" i="1"/>
  <c r="R504" i="1" s="1"/>
  <c r="Q506" i="1"/>
  <c r="R506" i="1" s="1"/>
  <c r="O519" i="1"/>
  <c r="N521" i="1" a="1"/>
  <c r="N521" i="1" s="1"/>
  <c r="O536" i="1"/>
  <c r="Q536" i="1"/>
  <c r="R536" i="1" s="1"/>
  <c r="Q542" i="1"/>
  <c r="R542" i="1" s="1"/>
  <c r="Q565" i="1"/>
  <c r="R565" i="1" s="1"/>
  <c r="N565" i="1" a="1"/>
  <c r="N565" i="1" s="1"/>
  <c r="N567" i="1" a="1"/>
  <c r="N567" i="1" s="1"/>
  <c r="O567" i="1"/>
  <c r="O569" i="1"/>
  <c r="Q569" i="1"/>
  <c r="R569" i="1" s="1"/>
  <c r="Q573" i="1"/>
  <c r="R573" i="1" s="1"/>
  <c r="O573" i="1"/>
  <c r="N573" i="1" a="1"/>
  <c r="N573" i="1" s="1"/>
  <c r="Q592" i="1"/>
  <c r="R592" i="1" s="1"/>
  <c r="N592" i="1" a="1"/>
  <c r="N592" i="1" s="1"/>
  <c r="O592" i="1"/>
  <c r="O612" i="1"/>
  <c r="O635" i="1"/>
  <c r="N635" i="1" a="1"/>
  <c r="N635" i="1" s="1"/>
  <c r="Q635" i="1"/>
  <c r="R635" i="1" s="1"/>
  <c r="Q642" i="1"/>
  <c r="R642" i="1" s="1"/>
  <c r="N642" i="1" a="1"/>
  <c r="N642" i="1" s="1"/>
  <c r="O682" i="1"/>
  <c r="Q692" i="1"/>
  <c r="R692" i="1" s="1"/>
  <c r="O692" i="1"/>
  <c r="N692" i="1" a="1"/>
  <c r="N692" i="1" s="1"/>
  <c r="N695" i="1" a="1"/>
  <c r="N695" i="1" s="1"/>
  <c r="Q695" i="1"/>
  <c r="R695" i="1" s="1"/>
  <c r="Q701" i="1"/>
  <c r="R701" i="1" s="1"/>
  <c r="N722" i="1" a="1"/>
  <c r="N722" i="1" s="1"/>
  <c r="Q722" i="1"/>
  <c r="R722" i="1" s="1"/>
  <c r="N724" i="1" a="1"/>
  <c r="N724" i="1" s="1"/>
  <c r="O726" i="1"/>
  <c r="N748" i="1" a="1"/>
  <c r="N748" i="1" s="1"/>
  <c r="Q748" i="1"/>
  <c r="R748" i="1" s="1"/>
  <c r="O748" i="1"/>
  <c r="O765" i="1"/>
  <c r="N765" i="1" a="1"/>
  <c r="N765" i="1" s="1"/>
  <c r="Q765" i="1"/>
  <c r="R765" i="1" s="1"/>
  <c r="O821" i="1"/>
  <c r="Q821" i="1"/>
  <c r="R821" i="1" s="1"/>
  <c r="N821" i="1" a="1"/>
  <c r="N821" i="1" s="1"/>
  <c r="Q915" i="1"/>
  <c r="R915" i="1" s="1"/>
  <c r="O915" i="1"/>
  <c r="O486" i="1"/>
  <c r="O522" i="1"/>
  <c r="O593" i="1"/>
  <c r="N595" i="1" a="1"/>
  <c r="N595" i="1" s="1"/>
  <c r="Q625" i="1"/>
  <c r="R625" i="1" s="1"/>
  <c r="O625" i="1"/>
  <c r="O644" i="1"/>
  <c r="N644" i="1" a="1"/>
  <c r="N644" i="1" s="1"/>
  <c r="Q686" i="1"/>
  <c r="R686" i="1" s="1"/>
  <c r="O686" i="1"/>
  <c r="N686" i="1" a="1"/>
  <c r="N686" i="1" s="1"/>
  <c r="O690" i="1"/>
  <c r="N690" i="1" a="1"/>
  <c r="N690" i="1" s="1"/>
  <c r="N711" i="1" a="1"/>
  <c r="N711" i="1" s="1"/>
  <c r="Q711" i="1"/>
  <c r="R711" i="1" s="1"/>
  <c r="Q767" i="1"/>
  <c r="R767" i="1" s="1"/>
  <c r="N767" i="1" a="1"/>
  <c r="N767" i="1" s="1"/>
  <c r="O776" i="1"/>
  <c r="Q776" i="1"/>
  <c r="R776" i="1" s="1"/>
  <c r="N776" i="1" a="1"/>
  <c r="N776" i="1" s="1"/>
  <c r="N792" i="1" a="1"/>
  <c r="N792" i="1" s="1"/>
  <c r="Q792" i="1"/>
  <c r="R792" i="1" s="1"/>
  <c r="O792" i="1"/>
  <c r="O795" i="1"/>
  <c r="N795" i="1" a="1"/>
  <c r="N795" i="1" s="1"/>
  <c r="Q800" i="1"/>
  <c r="R800" i="1" s="1"/>
  <c r="N800" i="1" a="1"/>
  <c r="N800" i="1" s="1"/>
  <c r="O887" i="1"/>
  <c r="N887" i="1" a="1"/>
  <c r="N887" i="1" s="1"/>
  <c r="Q887" i="1"/>
  <c r="R887" i="1" s="1"/>
  <c r="O594" i="1"/>
  <c r="N594" i="1" a="1"/>
  <c r="N594" i="1" s="1"/>
  <c r="Q611" i="1"/>
  <c r="R611" i="1" s="1"/>
  <c r="O611" i="1"/>
  <c r="O613" i="1"/>
  <c r="N613" i="1" a="1"/>
  <c r="N613" i="1" s="1"/>
  <c r="Q613" i="1"/>
  <c r="R613" i="1" s="1"/>
  <c r="Q714" i="1"/>
  <c r="R714" i="1" s="1"/>
  <c r="N714" i="1" a="1"/>
  <c r="N714" i="1" s="1"/>
  <c r="Q725" i="1"/>
  <c r="R725" i="1" s="1"/>
  <c r="N725" i="1" a="1"/>
  <c r="N725" i="1" s="1"/>
  <c r="O815" i="1"/>
  <c r="Q815" i="1"/>
  <c r="R815" i="1" s="1"/>
  <c r="N847" i="1" a="1"/>
  <c r="N847" i="1" s="1"/>
  <c r="Q847" i="1"/>
  <c r="R847" i="1" s="1"/>
  <c r="O847" i="1"/>
  <c r="O863" i="1"/>
  <c r="N863" i="1" a="1"/>
  <c r="N863" i="1" s="1"/>
  <c r="Q863" i="1"/>
  <c r="R863" i="1" s="1"/>
  <c r="O528" i="1"/>
  <c r="N528" i="1" a="1"/>
  <c r="N528" i="1" s="1"/>
  <c r="O533" i="1"/>
  <c r="N533" i="1" a="1"/>
  <c r="N533" i="1" s="1"/>
  <c r="N568" i="1" a="1"/>
  <c r="N568" i="1" s="1"/>
  <c r="O568" i="1"/>
  <c r="O598" i="1"/>
  <c r="N598" i="1" a="1"/>
  <c r="N598" i="1" s="1"/>
  <c r="Q598" i="1"/>
  <c r="R598" i="1" s="1"/>
  <c r="O660" i="1"/>
  <c r="N660" i="1" a="1"/>
  <c r="N660" i="1" s="1"/>
  <c r="N689" i="1" a="1"/>
  <c r="N689" i="1" s="1"/>
  <c r="O689" i="1"/>
  <c r="Q702" i="1"/>
  <c r="R702" i="1" s="1"/>
  <c r="O702" i="1"/>
  <c r="N702" i="1" a="1"/>
  <c r="N702" i="1" s="1"/>
  <c r="Q736" i="1"/>
  <c r="R736" i="1" s="1"/>
  <c r="O736" i="1"/>
  <c r="N736" i="1" a="1"/>
  <c r="N736" i="1" s="1"/>
  <c r="O752" i="1"/>
  <c r="N752" i="1" a="1"/>
  <c r="N752" i="1" s="1"/>
  <c r="Q757" i="1"/>
  <c r="R757" i="1" s="1"/>
  <c r="O757" i="1"/>
  <c r="Q761" i="1"/>
  <c r="R761" i="1" s="1"/>
  <c r="O761" i="1"/>
  <c r="Q766" i="1"/>
  <c r="R766" i="1" s="1"/>
  <c r="O766" i="1"/>
  <c r="O771" i="1"/>
  <c r="Q771" i="1"/>
  <c r="R771" i="1" s="1"/>
  <c r="O782" i="1"/>
  <c r="N782" i="1" a="1"/>
  <c r="N782" i="1" s="1"/>
  <c r="Q782" i="1"/>
  <c r="R782" i="1" s="1"/>
  <c r="Q858" i="1"/>
  <c r="R858" i="1" s="1"/>
  <c r="N858" i="1" a="1"/>
  <c r="N858" i="1" s="1"/>
  <c r="O858" i="1"/>
  <c r="Q919" i="1"/>
  <c r="R919" i="1" s="1"/>
  <c r="O919" i="1"/>
  <c r="N919" i="1" a="1"/>
  <c r="N919" i="1" s="1"/>
  <c r="Q974" i="1"/>
  <c r="R974" i="1" s="1"/>
  <c r="O974" i="1"/>
  <c r="N974" i="1" a="1"/>
  <c r="N974" i="1" s="1"/>
  <c r="O501" i="1"/>
  <c r="N501" i="1" a="1"/>
  <c r="N501" i="1" s="1"/>
  <c r="O517" i="1"/>
  <c r="N517" i="1" a="1"/>
  <c r="N517" i="1" s="1"/>
  <c r="O555" i="1"/>
  <c r="N555" i="1" a="1"/>
  <c r="N555" i="1" s="1"/>
  <c r="Q559" i="1"/>
  <c r="R559" i="1" s="1"/>
  <c r="O559" i="1"/>
  <c r="N559" i="1" a="1"/>
  <c r="N559" i="1" s="1"/>
  <c r="Q577" i="1"/>
  <c r="R577" i="1" s="1"/>
  <c r="O577" i="1"/>
  <c r="N582" i="1" a="1"/>
  <c r="N582" i="1" s="1"/>
  <c r="O602" i="1"/>
  <c r="N602" i="1" a="1"/>
  <c r="N602" i="1" s="1"/>
  <c r="Q602" i="1"/>
  <c r="R602" i="1" s="1"/>
  <c r="O617" i="1"/>
  <c r="N617" i="1" a="1"/>
  <c r="N617" i="1" s="1"/>
  <c r="Q617" i="1"/>
  <c r="R617" i="1" s="1"/>
  <c r="Q654" i="1"/>
  <c r="R654" i="1" s="1"/>
  <c r="N654" i="1" a="1"/>
  <c r="N654" i="1" s="1"/>
  <c r="O654" i="1"/>
  <c r="Q658" i="1"/>
  <c r="R658" i="1" s="1"/>
  <c r="O658" i="1"/>
  <c r="Q675" i="1"/>
  <c r="R675" i="1" s="1"/>
  <c r="O675" i="1"/>
  <c r="Q681" i="1"/>
  <c r="R681" i="1" s="1"/>
  <c r="O681" i="1"/>
  <c r="N681" i="1" a="1"/>
  <c r="N681" i="1" s="1"/>
  <c r="Q708" i="1"/>
  <c r="R708" i="1" s="1"/>
  <c r="O708" i="1"/>
  <c r="O710" i="1"/>
  <c r="N710" i="1" a="1"/>
  <c r="N710" i="1" s="1"/>
  <c r="Q721" i="1"/>
  <c r="R721" i="1" s="1"/>
  <c r="O721" i="1"/>
  <c r="Q739" i="1"/>
  <c r="R739" i="1" s="1"/>
  <c r="O739" i="1"/>
  <c r="N739" i="1" a="1"/>
  <c r="N739" i="1" s="1"/>
  <c r="Q750" i="1"/>
  <c r="R750" i="1" s="1"/>
  <c r="O750" i="1"/>
  <c r="N750" i="1" a="1"/>
  <c r="N750" i="1" s="1"/>
  <c r="N757" i="1" a="1"/>
  <c r="N757" i="1" s="1"/>
  <c r="N761" i="1" a="1"/>
  <c r="N761" i="1" s="1"/>
  <c r="N771" i="1" a="1"/>
  <c r="N771" i="1" s="1"/>
  <c r="Q787" i="1"/>
  <c r="R787" i="1" s="1"/>
  <c r="O787" i="1"/>
  <c r="N787" i="1" a="1"/>
  <c r="N787" i="1" s="1"/>
  <c r="O799" i="1"/>
  <c r="Q799" i="1"/>
  <c r="R799" i="1" s="1"/>
  <c r="N799" i="1" a="1"/>
  <c r="N799" i="1" s="1"/>
  <c r="O806" i="1"/>
  <c r="N806" i="1" a="1"/>
  <c r="N806" i="1" s="1"/>
  <c r="O843" i="1"/>
  <c r="N843" i="1" a="1"/>
  <c r="N843" i="1" s="1"/>
  <c r="Q843" i="1"/>
  <c r="R843" i="1" s="1"/>
  <c r="O922" i="1"/>
  <c r="N922" i="1" a="1"/>
  <c r="N922" i="1" s="1"/>
  <c r="Q922" i="1"/>
  <c r="R922" i="1" s="1"/>
  <c r="N535" i="1" a="1"/>
  <c r="N535" i="1" s="1"/>
  <c r="Q535" i="1"/>
  <c r="R535" i="1" s="1"/>
  <c r="O563" i="1"/>
  <c r="N563" i="1" a="1"/>
  <c r="N563" i="1" s="1"/>
  <c r="Q563" i="1"/>
  <c r="R563" i="1" s="1"/>
  <c r="O591" i="1"/>
  <c r="Q591" i="1"/>
  <c r="R591" i="1" s="1"/>
  <c r="Q621" i="1"/>
  <c r="R621" i="1" s="1"/>
  <c r="O621" i="1"/>
  <c r="O628" i="1"/>
  <c r="N628" i="1" a="1"/>
  <c r="N628" i="1" s="1"/>
  <c r="O630" i="1"/>
  <c r="N630" i="1" a="1"/>
  <c r="N630" i="1" s="1"/>
  <c r="Q632" i="1"/>
  <c r="R632" i="1" s="1"/>
  <c r="O632" i="1"/>
  <c r="Q650" i="1"/>
  <c r="R650" i="1" s="1"/>
  <c r="O650" i="1"/>
  <c r="O652" i="1"/>
  <c r="N652" i="1" a="1"/>
  <c r="N652" i="1" s="1"/>
  <c r="Q652" i="1"/>
  <c r="R652" i="1" s="1"/>
  <c r="Q671" i="1"/>
  <c r="R671" i="1" s="1"/>
  <c r="O671" i="1"/>
  <c r="O679" i="1"/>
  <c r="N679" i="1" a="1"/>
  <c r="N679" i="1" s="1"/>
  <c r="Q679" i="1"/>
  <c r="R679" i="1" s="1"/>
  <c r="O696" i="1"/>
  <c r="N696" i="1" a="1"/>
  <c r="N696" i="1" s="1"/>
  <c r="N700" i="1" a="1"/>
  <c r="N700" i="1" s="1"/>
  <c r="Q700" i="1"/>
  <c r="R700" i="1" s="1"/>
  <c r="O700" i="1"/>
  <c r="Q752" i="1"/>
  <c r="R752" i="1" s="1"/>
  <c r="N766" i="1" a="1"/>
  <c r="N766" i="1" s="1"/>
  <c r="N823" i="1" a="1"/>
  <c r="N823" i="1" s="1"/>
  <c r="O823" i="1"/>
  <c r="Q823" i="1"/>
  <c r="R823" i="1" s="1"/>
  <c r="Q897" i="1"/>
  <c r="R897" i="1" s="1"/>
  <c r="O897" i="1"/>
  <c r="N897" i="1" a="1"/>
  <c r="N897" i="1" s="1"/>
  <c r="Q664" i="1"/>
  <c r="R664" i="1" s="1"/>
  <c r="O664" i="1"/>
  <c r="Q715" i="1"/>
  <c r="R715" i="1" s="1"/>
  <c r="Q730" i="1"/>
  <c r="R730" i="1" s="1"/>
  <c r="O749" i="1"/>
  <c r="N749" i="1" a="1"/>
  <c r="N749" i="1" s="1"/>
  <c r="O760" i="1"/>
  <c r="N760" i="1" a="1"/>
  <c r="N760" i="1" s="1"/>
  <c r="Q760" i="1"/>
  <c r="R760" i="1" s="1"/>
  <c r="Q828" i="1"/>
  <c r="R828" i="1" s="1"/>
  <c r="O828" i="1"/>
  <c r="N828" i="1" a="1"/>
  <c r="N828" i="1" s="1"/>
  <c r="Q849" i="1"/>
  <c r="R849" i="1" s="1"/>
  <c r="O849" i="1"/>
  <c r="Q857" i="1"/>
  <c r="R857" i="1" s="1"/>
  <c r="O857" i="1"/>
  <c r="N857" i="1" a="1"/>
  <c r="N857" i="1" s="1"/>
  <c r="O870" i="1"/>
  <c r="N870" i="1" a="1"/>
  <c r="N870" i="1" s="1"/>
  <c r="Q870" i="1"/>
  <c r="R870" i="1" s="1"/>
  <c r="N884" i="1" a="1"/>
  <c r="N884" i="1" s="1"/>
  <c r="Q884" i="1"/>
  <c r="R884" i="1" s="1"/>
  <c r="O921" i="1"/>
  <c r="N921" i="1" a="1"/>
  <c r="N921" i="1" s="1"/>
  <c r="Q921" i="1"/>
  <c r="R921" i="1" s="1"/>
  <c r="Q947" i="1"/>
  <c r="R947" i="1" s="1"/>
  <c r="O947" i="1"/>
  <c r="N947" i="1" a="1"/>
  <c r="N947" i="1" s="1"/>
  <c r="O957" i="1"/>
  <c r="N957" i="1" a="1"/>
  <c r="N957" i="1" s="1"/>
  <c r="Q957" i="1"/>
  <c r="R957" i="1" s="1"/>
  <c r="Q960" i="1"/>
  <c r="R960" i="1" s="1"/>
  <c r="O960" i="1"/>
  <c r="Q970" i="1"/>
  <c r="R970" i="1" s="1"/>
  <c r="O970" i="1"/>
  <c r="N970" i="1" a="1"/>
  <c r="N970" i="1" s="1"/>
  <c r="O723" i="1"/>
  <c r="N723" i="1" a="1"/>
  <c r="N723" i="1" s="1"/>
  <c r="Q811" i="1"/>
  <c r="R811" i="1" s="1"/>
  <c r="N811" i="1" a="1"/>
  <c r="N811" i="1" s="1"/>
  <c r="Q822" i="1"/>
  <c r="R822" i="1" s="1"/>
  <c r="N822" i="1" a="1"/>
  <c r="N822" i="1" s="1"/>
  <c r="Q827" i="1"/>
  <c r="R827" i="1" s="1"/>
  <c r="O827" i="1"/>
  <c r="N827" i="1" a="1"/>
  <c r="N827" i="1" s="1"/>
  <c r="Q834" i="1"/>
  <c r="R834" i="1" s="1"/>
  <c r="N834" i="1" a="1"/>
  <c r="N834" i="1" s="1"/>
  <c r="Q839" i="1"/>
  <c r="R839" i="1" s="1"/>
  <c r="O839" i="1"/>
  <c r="Q876" i="1"/>
  <c r="R876" i="1" s="1"/>
  <c r="N876" i="1" a="1"/>
  <c r="N876" i="1" s="1"/>
  <c r="O883" i="1"/>
  <c r="N883" i="1" a="1"/>
  <c r="N883" i="1" s="1"/>
  <c r="Q883" i="1"/>
  <c r="R883" i="1" s="1"/>
  <c r="Q898" i="1"/>
  <c r="R898" i="1" s="1"/>
  <c r="O898" i="1"/>
  <c r="N898" i="1" a="1"/>
  <c r="N898" i="1" s="1"/>
  <c r="Q903" i="1"/>
  <c r="R903" i="1" s="1"/>
  <c r="O903" i="1"/>
  <c r="N903" i="1" a="1"/>
  <c r="N903" i="1" s="1"/>
  <c r="O913" i="1"/>
  <c r="N913" i="1" a="1"/>
  <c r="N913" i="1" s="1"/>
  <c r="Q913" i="1"/>
  <c r="R913" i="1" s="1"/>
  <c r="N572" i="1" a="1"/>
  <c r="N572" i="1" s="1"/>
  <c r="O657" i="1"/>
  <c r="N657" i="1" a="1"/>
  <c r="N657" i="1" s="1"/>
  <c r="N715" i="1" a="1"/>
  <c r="N715" i="1" s="1"/>
  <c r="N730" i="1" a="1"/>
  <c r="N730" i="1" s="1"/>
  <c r="N754" i="1" a="1"/>
  <c r="N754" i="1" s="1"/>
  <c r="Q754" i="1"/>
  <c r="R754" i="1" s="1"/>
  <c r="Q756" i="1"/>
  <c r="R756" i="1" s="1"/>
  <c r="N756" i="1" a="1"/>
  <c r="N756" i="1" s="1"/>
  <c r="N770" i="1" a="1"/>
  <c r="N770" i="1" s="1"/>
  <c r="Q770" i="1"/>
  <c r="R770" i="1" s="1"/>
  <c r="O770" i="1"/>
  <c r="Q796" i="1"/>
  <c r="R796" i="1" s="1"/>
  <c r="O796" i="1"/>
  <c r="N796" i="1" a="1"/>
  <c r="N796" i="1" s="1"/>
  <c r="N809" i="1" a="1"/>
  <c r="N809" i="1" s="1"/>
  <c r="O809" i="1"/>
  <c r="N820" i="1" a="1"/>
  <c r="N820" i="1" s="1"/>
  <c r="O820" i="1"/>
  <c r="Q820" i="1"/>
  <c r="R820" i="1" s="1"/>
  <c r="N825" i="1" a="1"/>
  <c r="N825" i="1" s="1"/>
  <c r="Q825" i="1"/>
  <c r="R825" i="1" s="1"/>
  <c r="O825" i="1"/>
  <c r="N839" i="1" a="1"/>
  <c r="N839" i="1" s="1"/>
  <c r="O841" i="1"/>
  <c r="N841" i="1" a="1"/>
  <c r="N841" i="1" s="1"/>
  <c r="Q841" i="1"/>
  <c r="R841" i="1" s="1"/>
  <c r="Q888" i="1"/>
  <c r="R888" i="1" s="1"/>
  <c r="O888" i="1"/>
  <c r="N888" i="1" a="1"/>
  <c r="N888" i="1" s="1"/>
  <c r="N928" i="1" a="1"/>
  <c r="N928" i="1" s="1"/>
  <c r="Q928" i="1"/>
  <c r="R928" i="1" s="1"/>
  <c r="O928" i="1"/>
  <c r="Q933" i="1"/>
  <c r="R933" i="1" s="1"/>
  <c r="O933" i="1"/>
  <c r="N933" i="1" a="1"/>
  <c r="N933" i="1" s="1"/>
  <c r="Q941" i="1"/>
  <c r="R941" i="1" s="1"/>
  <c r="O941" i="1"/>
  <c r="N941" i="1" a="1"/>
  <c r="N941" i="1" s="1"/>
  <c r="Q992" i="1"/>
  <c r="R992" i="1" s="1"/>
  <c r="N992" i="1" a="1"/>
  <c r="N992" i="1" s="1"/>
  <c r="O992" i="1"/>
  <c r="O673" i="1"/>
  <c r="O712" i="1"/>
  <c r="N712" i="1" a="1"/>
  <c r="N712" i="1" s="1"/>
  <c r="Q732" i="1"/>
  <c r="R732" i="1" s="1"/>
  <c r="O732" i="1"/>
  <c r="O743" i="1"/>
  <c r="N768" i="1" a="1"/>
  <c r="N768" i="1" s="1"/>
  <c r="Q779" i="1"/>
  <c r="R779" i="1" s="1"/>
  <c r="O779" i="1"/>
  <c r="N779" i="1" a="1"/>
  <c r="N779" i="1" s="1"/>
  <c r="Q794" i="1"/>
  <c r="R794" i="1" s="1"/>
  <c r="O794" i="1"/>
  <c r="O811" i="1"/>
  <c r="O822" i="1"/>
  <c r="O832" i="1"/>
  <c r="N832" i="1" a="1"/>
  <c r="N832" i="1" s="1"/>
  <c r="O834" i="1"/>
  <c r="O876" i="1"/>
  <c r="O878" i="1"/>
  <c r="N878" i="1" a="1"/>
  <c r="N878" i="1" s="1"/>
  <c r="Q878" i="1"/>
  <c r="R878" i="1" s="1"/>
  <c r="O891" i="1"/>
  <c r="N891" i="1" a="1"/>
  <c r="N891" i="1" s="1"/>
  <c r="Q891" i="1"/>
  <c r="R891" i="1" s="1"/>
  <c r="Q901" i="1"/>
  <c r="R901" i="1" s="1"/>
  <c r="N901" i="1" a="1"/>
  <c r="N901" i="1" s="1"/>
  <c r="Q931" i="1"/>
  <c r="R931" i="1" s="1"/>
  <c r="O931" i="1"/>
  <c r="Q964" i="1"/>
  <c r="R964" i="1" s="1"/>
  <c r="O964" i="1"/>
  <c r="N964" i="1" a="1"/>
  <c r="N964" i="1" s="1"/>
  <c r="Q723" i="1"/>
  <c r="R723" i="1" s="1"/>
  <c r="O727" i="1"/>
  <c r="N727" i="1" a="1"/>
  <c r="N727" i="1" s="1"/>
  <c r="O754" i="1"/>
  <c r="O756" i="1"/>
  <c r="Q762" i="1"/>
  <c r="R762" i="1" s="1"/>
  <c r="N762" i="1" a="1"/>
  <c r="N762" i="1" s="1"/>
  <c r="Q775" i="1"/>
  <c r="R775" i="1" s="1"/>
  <c r="O775" i="1"/>
  <c r="Q783" i="1"/>
  <c r="R783" i="1" s="1"/>
  <c r="O783" i="1"/>
  <c r="N783" i="1" a="1"/>
  <c r="N783" i="1" s="1"/>
  <c r="O837" i="1"/>
  <c r="N837" i="1" a="1"/>
  <c r="N837" i="1" s="1"/>
  <c r="Q837" i="1"/>
  <c r="R837" i="1" s="1"/>
  <c r="Q844" i="1"/>
  <c r="R844" i="1" s="1"/>
  <c r="O844" i="1"/>
  <c r="Q886" i="1"/>
  <c r="R886" i="1" s="1"/>
  <c r="N886" i="1" a="1"/>
  <c r="N886" i="1" s="1"/>
  <c r="O901" i="1"/>
  <c r="N931" i="1" a="1"/>
  <c r="N931" i="1" s="1"/>
  <c r="O778" i="1"/>
  <c r="N778" i="1" a="1"/>
  <c r="N778" i="1" s="1"/>
  <c r="O824" i="1"/>
  <c r="N824" i="1" a="1"/>
  <c r="N824" i="1" s="1"/>
  <c r="Q824" i="1"/>
  <c r="R824" i="1" s="1"/>
  <c r="N836" i="1" a="1"/>
  <c r="N836" i="1" s="1"/>
  <c r="Q836" i="1"/>
  <c r="R836" i="1" s="1"/>
  <c r="O836" i="1"/>
  <c r="O935" i="1"/>
  <c r="N935" i="1" a="1"/>
  <c r="N935" i="1" s="1"/>
  <c r="Q935" i="1"/>
  <c r="R935" i="1" s="1"/>
  <c r="Q981" i="1"/>
  <c r="R981" i="1" s="1"/>
  <c r="O981" i="1"/>
  <c r="N981" i="1" a="1"/>
  <c r="N981" i="1" s="1"/>
  <c r="Q986" i="1"/>
  <c r="R986" i="1" s="1"/>
  <c r="O986" i="1"/>
  <c r="O998" i="1"/>
  <c r="N998" i="1" a="1"/>
  <c r="N998" i="1" s="1"/>
  <c r="Q859" i="1"/>
  <c r="R859" i="1" s="1"/>
  <c r="O859" i="1"/>
  <c r="O861" i="1"/>
  <c r="N861" i="1" a="1"/>
  <c r="N861" i="1" s="1"/>
  <c r="Q861" i="1"/>
  <c r="R861" i="1" s="1"/>
  <c r="Q868" i="1"/>
  <c r="R868" i="1" s="1"/>
  <c r="O868" i="1"/>
  <c r="N917" i="1" a="1"/>
  <c r="N917" i="1" s="1"/>
  <c r="O917" i="1"/>
  <c r="Q917" i="1"/>
  <c r="R917" i="1" s="1"/>
  <c r="Q975" i="1"/>
  <c r="R975" i="1" s="1"/>
  <c r="O975" i="1"/>
  <c r="N975" i="1" a="1"/>
  <c r="N975" i="1" s="1"/>
  <c r="N994" i="1" a="1"/>
  <c r="N994" i="1" s="1"/>
  <c r="Q994" i="1"/>
  <c r="R994" i="1" s="1"/>
  <c r="O994" i="1"/>
  <c r="Q790" i="1"/>
  <c r="R790" i="1" s="1"/>
  <c r="N803" i="1" a="1"/>
  <c r="N803" i="1" s="1"/>
  <c r="Q803" i="1"/>
  <c r="R803" i="1" s="1"/>
  <c r="O803" i="1"/>
  <c r="Q805" i="1"/>
  <c r="R805" i="1" s="1"/>
  <c r="N805" i="1" a="1"/>
  <c r="N805" i="1" s="1"/>
  <c r="Q833" i="1"/>
  <c r="R833" i="1" s="1"/>
  <c r="O833" i="1"/>
  <c r="N833" i="1" a="1"/>
  <c r="N833" i="1" s="1"/>
  <c r="N859" i="1" a="1"/>
  <c r="N859" i="1" s="1"/>
  <c r="N868" i="1" a="1"/>
  <c r="N868" i="1" s="1"/>
  <c r="Q875" i="1"/>
  <c r="R875" i="1" s="1"/>
  <c r="O875" i="1"/>
  <c r="N875" i="1" a="1"/>
  <c r="N875" i="1" s="1"/>
  <c r="N881" i="1" a="1"/>
  <c r="N881" i="1" s="1"/>
  <c r="O929" i="1"/>
  <c r="N929" i="1" a="1"/>
  <c r="N929" i="1" s="1"/>
  <c r="Q929" i="1"/>
  <c r="R929" i="1" s="1"/>
  <c r="Q958" i="1"/>
  <c r="R958" i="1" s="1"/>
  <c r="O958" i="1"/>
  <c r="N958" i="1" a="1"/>
  <c r="N958" i="1" s="1"/>
  <c r="N741" i="1" a="1"/>
  <c r="N741" i="1" s="1"/>
  <c r="N772" i="1" a="1"/>
  <c r="N772" i="1" s="1"/>
  <c r="N789" i="1" a="1"/>
  <c r="N789" i="1" s="1"/>
  <c r="N814" i="1" a="1"/>
  <c r="N814" i="1" s="1"/>
  <c r="Q814" i="1"/>
  <c r="R814" i="1" s="1"/>
  <c r="N831" i="1" a="1"/>
  <c r="N831" i="1" s="1"/>
  <c r="Q831" i="1"/>
  <c r="R831" i="1" s="1"/>
  <c r="N864" i="1" a="1"/>
  <c r="N864" i="1" s="1"/>
  <c r="Q866" i="1"/>
  <c r="R866" i="1" s="1"/>
  <c r="O866" i="1"/>
  <c r="Q892" i="1"/>
  <c r="R892" i="1" s="1"/>
  <c r="O892" i="1"/>
  <c r="N892" i="1" a="1"/>
  <c r="N892" i="1" s="1"/>
  <c r="O896" i="1"/>
  <c r="Q896" i="1"/>
  <c r="R896" i="1" s="1"/>
  <c r="N896" i="1" a="1"/>
  <c r="N896" i="1" s="1"/>
  <c r="Q925" i="1"/>
  <c r="R925" i="1" s="1"/>
  <c r="O925" i="1"/>
  <c r="N925" i="1" a="1"/>
  <c r="N925" i="1" s="1"/>
  <c r="N939" i="1" a="1"/>
  <c r="N939" i="1" s="1"/>
  <c r="Q939" i="1"/>
  <c r="R939" i="1" s="1"/>
  <c r="O939" i="1"/>
  <c r="O968" i="1"/>
  <c r="N968" i="1" a="1"/>
  <c r="N968" i="1" s="1"/>
  <c r="O990" i="1"/>
  <c r="N990" i="1" a="1"/>
  <c r="N990" i="1" s="1"/>
  <c r="Q990" i="1"/>
  <c r="R990" i="1" s="1"/>
  <c r="O791" i="1"/>
  <c r="N791" i="1" a="1"/>
  <c r="N791" i="1" s="1"/>
  <c r="Q816" i="1"/>
  <c r="R816" i="1" s="1"/>
  <c r="N816" i="1" a="1"/>
  <c r="N816" i="1" s="1"/>
  <c r="O816" i="1"/>
  <c r="N866" i="1" a="1"/>
  <c r="N866" i="1" s="1"/>
  <c r="N873" i="1" a="1"/>
  <c r="N873" i="1" s="1"/>
  <c r="Q873" i="1"/>
  <c r="R873" i="1" s="1"/>
  <c r="O873" i="1"/>
  <c r="Q879" i="1"/>
  <c r="R879" i="1" s="1"/>
  <c r="O879" i="1"/>
  <c r="O881" i="1"/>
  <c r="O907" i="1"/>
  <c r="N907" i="1" a="1"/>
  <c r="N907" i="1" s="1"/>
  <c r="Q907" i="1"/>
  <c r="R907" i="1" s="1"/>
  <c r="Q959" i="1"/>
  <c r="R959" i="1" s="1"/>
  <c r="O959" i="1"/>
  <c r="N959" i="1" a="1"/>
  <c r="N959" i="1" s="1"/>
  <c r="O772" i="1"/>
  <c r="O774" i="1"/>
  <c r="N774" i="1" a="1"/>
  <c r="N774" i="1" s="1"/>
  <c r="O805" i="1"/>
  <c r="N807" i="1" a="1"/>
  <c r="N807" i="1" s="1"/>
  <c r="N818" i="1" a="1"/>
  <c r="N818" i="1" s="1"/>
  <c r="O831" i="1"/>
  <c r="Q838" i="1"/>
  <c r="R838" i="1" s="1"/>
  <c r="O838" i="1"/>
  <c r="N838" i="1" a="1"/>
  <c r="N838" i="1" s="1"/>
  <c r="O852" i="1"/>
  <c r="N852" i="1" a="1"/>
  <c r="N852" i="1" s="1"/>
  <c r="O864" i="1"/>
  <c r="N871" i="1" a="1"/>
  <c r="N871" i="1" s="1"/>
  <c r="N879" i="1" a="1"/>
  <c r="N879" i="1" s="1"/>
  <c r="N923" i="1" a="1"/>
  <c r="N923" i="1" s="1"/>
  <c r="Q923" i="1"/>
  <c r="R923" i="1" s="1"/>
  <c r="O923" i="1"/>
  <c r="Q949" i="1"/>
  <c r="R949" i="1" s="1"/>
  <c r="O949" i="1"/>
  <c r="Q968" i="1"/>
  <c r="R968" i="1" s="1"/>
  <c r="Q980" i="1"/>
  <c r="R980" i="1" s="1"/>
  <c r="O980" i="1"/>
  <c r="N980" i="1" a="1"/>
  <c r="N980" i="1" s="1"/>
  <c r="O874" i="1"/>
  <c r="N874" i="1" a="1"/>
  <c r="N874" i="1" s="1"/>
  <c r="Q904" i="1"/>
  <c r="R904" i="1" s="1"/>
  <c r="O904" i="1"/>
  <c r="Q908" i="1"/>
  <c r="R908" i="1" s="1"/>
  <c r="O908" i="1"/>
  <c r="N912" i="1" a="1"/>
  <c r="N912" i="1" s="1"/>
  <c r="Q912" i="1"/>
  <c r="R912" i="1" s="1"/>
  <c r="O912" i="1"/>
  <c r="O918" i="1"/>
  <c r="N918" i="1" a="1"/>
  <c r="N918" i="1" s="1"/>
  <c r="Q920" i="1"/>
  <c r="R920" i="1" s="1"/>
  <c r="O920" i="1"/>
  <c r="Q936" i="1"/>
  <c r="R936" i="1" s="1"/>
  <c r="O936" i="1"/>
  <c r="O938" i="1"/>
  <c r="N938" i="1" a="1"/>
  <c r="N938" i="1" s="1"/>
  <c r="O944" i="1"/>
  <c r="Q953" i="1"/>
  <c r="R953" i="1" s="1"/>
  <c r="N953" i="1" a="1"/>
  <c r="N953" i="1" s="1"/>
  <c r="O953" i="1"/>
  <c r="O962" i="1"/>
  <c r="N962" i="1" a="1"/>
  <c r="N962" i="1" s="1"/>
  <c r="Q962" i="1"/>
  <c r="R962" i="1" s="1"/>
  <c r="Q948" i="1"/>
  <c r="R948" i="1" s="1"/>
  <c r="N948" i="1" a="1"/>
  <c r="N948" i="1" s="1"/>
  <c r="Q954" i="1"/>
  <c r="R954" i="1" s="1"/>
  <c r="O954" i="1"/>
  <c r="O900" i="1"/>
  <c r="N900" i="1" a="1"/>
  <c r="N900" i="1" s="1"/>
  <c r="Q952" i="1"/>
  <c r="R952" i="1" s="1"/>
  <c r="O952" i="1"/>
  <c r="N954" i="1" a="1"/>
  <c r="N954" i="1" s="1"/>
  <c r="Q969" i="1"/>
  <c r="R969" i="1" s="1"/>
  <c r="O969" i="1"/>
  <c r="N969" i="1" a="1"/>
  <c r="N969" i="1" s="1"/>
  <c r="Q985" i="1"/>
  <c r="R985" i="1" s="1"/>
  <c r="O985" i="1"/>
  <c r="N985" i="1" a="1"/>
  <c r="N985" i="1" s="1"/>
  <c r="N997" i="1" a="1"/>
  <c r="N997" i="1" s="1"/>
  <c r="N813" i="1" a="1"/>
  <c r="N813" i="1" s="1"/>
  <c r="N846" i="1" a="1"/>
  <c r="N846" i="1" s="1"/>
  <c r="O865" i="1"/>
  <c r="N865" i="1" a="1"/>
  <c r="N865" i="1" s="1"/>
  <c r="N885" i="1" a="1"/>
  <c r="N885" i="1" s="1"/>
  <c r="O946" i="1"/>
  <c r="N946" i="1" a="1"/>
  <c r="N946" i="1" s="1"/>
  <c r="Q946" i="1"/>
  <c r="R946" i="1" s="1"/>
  <c r="O948" i="1"/>
  <c r="N952" i="1" a="1"/>
  <c r="N952" i="1" s="1"/>
  <c r="N965" i="1" a="1"/>
  <c r="N965" i="1" s="1"/>
  <c r="N967" i="1" a="1"/>
  <c r="N967" i="1" s="1"/>
  <c r="Q967" i="1"/>
  <c r="R967" i="1" s="1"/>
  <c r="O967" i="1"/>
  <c r="O973" i="1"/>
  <c r="N973" i="1" a="1"/>
  <c r="N973" i="1" s="1"/>
  <c r="O997" i="1"/>
  <c r="O851" i="1"/>
  <c r="Q914" i="1"/>
  <c r="R914" i="1" s="1"/>
  <c r="O914" i="1"/>
  <c r="N914" i="1" a="1"/>
  <c r="N914" i="1" s="1"/>
  <c r="Q942" i="1"/>
  <c r="R942" i="1" s="1"/>
  <c r="N942" i="1" a="1"/>
  <c r="N942" i="1" s="1"/>
  <c r="N944" i="1" a="1"/>
  <c r="N944" i="1" s="1"/>
  <c r="N983" i="1" a="1"/>
  <c r="N983" i="1" s="1"/>
  <c r="Q983" i="1"/>
  <c r="R983" i="1" s="1"/>
  <c r="O983" i="1"/>
  <c r="O989" i="1"/>
  <c r="O848" i="1"/>
  <c r="N848" i="1" a="1"/>
  <c r="N848" i="1" s="1"/>
  <c r="N867" i="1" a="1"/>
  <c r="N867" i="1" s="1"/>
  <c r="Q900" i="1"/>
  <c r="R900" i="1" s="1"/>
  <c r="Q930" i="1"/>
  <c r="R930" i="1" s="1"/>
  <c r="O930" i="1"/>
  <c r="N930" i="1" a="1"/>
  <c r="N930" i="1" s="1"/>
  <c r="O965" i="1"/>
  <c r="O971" i="1"/>
  <c r="Q963" i="1"/>
  <c r="R963" i="1" s="1"/>
  <c r="O963" i="1"/>
  <c r="O979" i="1"/>
  <c r="N979" i="1" a="1"/>
  <c r="N979" i="1" s="1"/>
  <c r="O984" i="1"/>
  <c r="N984" i="1" a="1"/>
  <c r="N984" i="1" s="1"/>
  <c r="O951" i="1"/>
  <c r="N951" i="1" a="1"/>
  <c r="N951" i="1" s="1"/>
  <c r="N943" i="1" a="1"/>
  <c r="N943" i="1" s="1"/>
  <c r="N1000" i="1" a="1"/>
  <c r="N1000" i="1" s="1"/>
  <c r="O1000" i="1"/>
  <c r="O940" i="1"/>
  <c r="N940" i="1" a="1"/>
  <c r="N940" i="1" s="1"/>
  <c r="O995" i="1"/>
  <c r="N995" i="1" a="1"/>
  <c r="N995" i="1" s="1"/>
  <c r="Q951" i="1"/>
  <c r="R951" i="1" s="1"/>
  <c r="O956" i="1"/>
  <c r="O972" i="1"/>
  <c r="N1002" i="1" a="1"/>
  <c r="N1002" i="1" s="1"/>
  <c r="O1002" i="1"/>
  <c r="BR4" i="1"/>
  <c r="I4" i="1"/>
  <c r="J2" i="2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B10" i="3"/>
  <c r="B13" i="3" s="1"/>
  <c r="B16" i="3" s="1"/>
  <c r="B19" i="3" s="1"/>
  <c r="B22" i="3" s="1"/>
  <c r="B25" i="3" s="1"/>
  <c r="B28" i="3" s="1"/>
  <c r="B31" i="3" s="1"/>
  <c r="B34" i="3" s="1"/>
  <c r="B37" i="3" s="1"/>
  <c r="B40" i="3" s="1"/>
  <c r="B43" i="3" s="1"/>
  <c r="D9" i="3"/>
  <c r="B9" i="3"/>
  <c r="B12" i="3" s="1"/>
  <c r="B15" i="3" s="1"/>
  <c r="B18" i="3" s="1"/>
  <c r="B21" i="3" s="1"/>
  <c r="B24" i="3" s="1"/>
  <c r="B27" i="3" s="1"/>
  <c r="B30" i="3" s="1"/>
  <c r="B33" i="3" s="1"/>
  <c r="B36" i="3" s="1"/>
  <c r="B39" i="3" s="1"/>
  <c r="B42" i="3" s="1"/>
  <c r="D8" i="3"/>
  <c r="B8" i="3"/>
  <c r="B11" i="3" s="1"/>
  <c r="B14" i="3" s="1"/>
  <c r="B17" i="3" s="1"/>
  <c r="B20" i="3" s="1"/>
  <c r="B23" i="3" s="1"/>
  <c r="B26" i="3" s="1"/>
  <c r="B29" i="3" s="1"/>
  <c r="B32" i="3" s="1"/>
  <c r="B35" i="3" s="1"/>
  <c r="B38" i="3" s="1"/>
  <c r="B41" i="3" s="1"/>
  <c r="B44" i="3" s="1"/>
  <c r="D7" i="3"/>
  <c r="B7" i="3"/>
  <c r="D6" i="3"/>
  <c r="B6" i="3"/>
  <c r="D5" i="3"/>
  <c r="D4" i="3"/>
  <c r="D3" i="3"/>
  <c r="Y696" i="1" l="1"/>
  <c r="AC795" i="1"/>
  <c r="O11" i="1"/>
  <c r="Q11" i="1" s="1"/>
  <c r="R11" i="1" s="1"/>
  <c r="AC60" i="1"/>
  <c r="Y60" i="1"/>
  <c r="X101" i="1"/>
  <c r="T101" i="1"/>
  <c r="X127" i="1"/>
  <c r="T127" i="1"/>
  <c r="X237" i="1"/>
  <c r="T237" i="1"/>
  <c r="X79" i="1"/>
  <c r="T79" i="1"/>
  <c r="X211" i="1"/>
  <c r="T211" i="1"/>
  <c r="AC874" i="1"/>
  <c r="Y874" i="1"/>
  <c r="X812" i="1"/>
  <c r="T812" i="1"/>
  <c r="AC430" i="1"/>
  <c r="Y430" i="1"/>
  <c r="X60" i="1"/>
  <c r="T60" i="1"/>
  <c r="X682" i="1"/>
  <c r="T682" i="1"/>
  <c r="AC342" i="1"/>
  <c r="Y342" i="1"/>
  <c r="X51" i="1"/>
  <c r="T51" i="1"/>
  <c r="X488" i="1"/>
  <c r="T488" i="1"/>
  <c r="AC265" i="1"/>
  <c r="Y265" i="1"/>
  <c r="X175" i="1"/>
  <c r="T175" i="1"/>
  <c r="AC575" i="1"/>
  <c r="Y575" i="1"/>
  <c r="X367" i="1"/>
  <c r="T367" i="1"/>
  <c r="AC195" i="1"/>
  <c r="Y195" i="1"/>
  <c r="X343" i="1"/>
  <c r="T343" i="1"/>
  <c r="X303" i="1"/>
  <c r="T303" i="1"/>
  <c r="AC567" i="1"/>
  <c r="Y567" i="1"/>
  <c r="AC973" i="1"/>
  <c r="Y973" i="1"/>
  <c r="X7" i="1"/>
  <c r="T7" i="1"/>
  <c r="X32" i="1"/>
  <c r="T32" i="1"/>
  <c r="AC855" i="1"/>
  <c r="Y855" i="1"/>
  <c r="X325" i="1"/>
  <c r="T325" i="1"/>
  <c r="X628" i="1"/>
  <c r="T628" i="1"/>
  <c r="X657" i="1"/>
  <c r="T657" i="1"/>
  <c r="AC266" i="1"/>
  <c r="Y266" i="1"/>
  <c r="X145" i="1"/>
  <c r="T145" i="1"/>
  <c r="AC443" i="1"/>
  <c r="Y443" i="1"/>
  <c r="X1000" i="1"/>
  <c r="T1000" i="1"/>
  <c r="AC568" i="1"/>
  <c r="Y568" i="1"/>
  <c r="AC778" i="1"/>
  <c r="Y778" i="1"/>
  <c r="AC7" i="1"/>
  <c r="Y7" i="1"/>
  <c r="AC997" i="1"/>
  <c r="Y997" i="1"/>
  <c r="X852" i="1"/>
  <c r="T852" i="1"/>
  <c r="X313" i="1"/>
  <c r="T313" i="1"/>
  <c r="X689" i="1"/>
  <c r="T689" i="1"/>
  <c r="X258" i="1"/>
  <c r="T258" i="1"/>
  <c r="AC51" i="1"/>
  <c r="Y51" i="1"/>
  <c r="AC488" i="1"/>
  <c r="Y488" i="1"/>
  <c r="X188" i="1"/>
  <c r="T188" i="1"/>
  <c r="AC175" i="1"/>
  <c r="Y175" i="1"/>
  <c r="X520" i="1"/>
  <c r="T520" i="1"/>
  <c r="AC367" i="1"/>
  <c r="Y367" i="1"/>
  <c r="X118" i="1"/>
  <c r="T118" i="1"/>
  <c r="AC343" i="1"/>
  <c r="Y343" i="1"/>
  <c r="AC303" i="1"/>
  <c r="Y303" i="1"/>
  <c r="X487" i="1"/>
  <c r="T487" i="1"/>
  <c r="X940" i="1"/>
  <c r="T940" i="1"/>
  <c r="X1002" i="1"/>
  <c r="T1002" i="1"/>
  <c r="AC32" i="1"/>
  <c r="Y32" i="1"/>
  <c r="X712" i="1"/>
  <c r="T712" i="1"/>
  <c r="AC325" i="1"/>
  <c r="Y325" i="1"/>
  <c r="AC628" i="1"/>
  <c r="Y628" i="1"/>
  <c r="AC657" i="1"/>
  <c r="Y657" i="1"/>
  <c r="X233" i="1"/>
  <c r="T233" i="1"/>
  <c r="AC145" i="1"/>
  <c r="Y145" i="1"/>
  <c r="X109" i="1"/>
  <c r="T109" i="1"/>
  <c r="X938" i="1"/>
  <c r="T938" i="1"/>
  <c r="AC807" i="1"/>
  <c r="Y807" i="1"/>
  <c r="AC690" i="1"/>
  <c r="Y690" i="1"/>
  <c r="AC588" i="1"/>
  <c r="Y588" i="1"/>
  <c r="AC785" i="1"/>
  <c r="Y785" i="1"/>
  <c r="X10" i="1"/>
  <c r="T10" i="1"/>
  <c r="AC313" i="1"/>
  <c r="Y313" i="1"/>
  <c r="X648" i="1"/>
  <c r="T648" i="1"/>
  <c r="X806" i="1"/>
  <c r="T806" i="1"/>
  <c r="AC258" i="1"/>
  <c r="Y258" i="1"/>
  <c r="X747" i="1"/>
  <c r="T747" i="1"/>
  <c r="X393" i="1"/>
  <c r="T393" i="1"/>
  <c r="AC188" i="1"/>
  <c r="Y188" i="1"/>
  <c r="X193" i="1"/>
  <c r="T193" i="1"/>
  <c r="AC520" i="1"/>
  <c r="Y520" i="1"/>
  <c r="X272" i="1"/>
  <c r="T272" i="1"/>
  <c r="AC118" i="1"/>
  <c r="Y118" i="1"/>
  <c r="X116" i="1"/>
  <c r="T116" i="1"/>
  <c r="X672" i="1"/>
  <c r="T672" i="1"/>
  <c r="AC487" i="1"/>
  <c r="Y487" i="1"/>
  <c r="AC940" i="1"/>
  <c r="Y940" i="1"/>
  <c r="AC1002" i="1"/>
  <c r="Y1002" i="1"/>
  <c r="X744" i="1"/>
  <c r="T744" i="1"/>
  <c r="AC712" i="1"/>
  <c r="Y712" i="1"/>
  <c r="X314" i="1"/>
  <c r="T314" i="1"/>
  <c r="X540" i="1"/>
  <c r="T540" i="1"/>
  <c r="X478" i="1"/>
  <c r="T478" i="1"/>
  <c r="AC233" i="1"/>
  <c r="Y233" i="1"/>
  <c r="AC109" i="1"/>
  <c r="Y109" i="1"/>
  <c r="X809" i="1"/>
  <c r="T809" i="1"/>
  <c r="AC979" i="1"/>
  <c r="Y979" i="1"/>
  <c r="AC644" i="1"/>
  <c r="Y644" i="1"/>
  <c r="X365" i="1"/>
  <c r="T365" i="1"/>
  <c r="X832" i="1"/>
  <c r="T832" i="1"/>
  <c r="X152" i="1"/>
  <c r="T152" i="1"/>
  <c r="AC648" i="1"/>
  <c r="Y648" i="1"/>
  <c r="AC806" i="1"/>
  <c r="Y806" i="1"/>
  <c r="X236" i="1"/>
  <c r="T236" i="1"/>
  <c r="X807" i="1"/>
  <c r="T807" i="1"/>
  <c r="AC393" i="1"/>
  <c r="Y393" i="1"/>
  <c r="X352" i="1"/>
  <c r="T352" i="1"/>
  <c r="AC193" i="1"/>
  <c r="Y193" i="1"/>
  <c r="X484" i="1"/>
  <c r="T484" i="1"/>
  <c r="AC272" i="1"/>
  <c r="Y272" i="1"/>
  <c r="X107" i="1"/>
  <c r="T107" i="1"/>
  <c r="AC116" i="1"/>
  <c r="Y116" i="1"/>
  <c r="X808" i="1"/>
  <c r="T808" i="1"/>
  <c r="X171" i="1"/>
  <c r="T171" i="1"/>
  <c r="X918" i="1"/>
  <c r="T918" i="1"/>
  <c r="X881" i="1"/>
  <c r="T881" i="1"/>
  <c r="X768" i="1"/>
  <c r="T768" i="1"/>
  <c r="X533" i="1"/>
  <c r="T533" i="1"/>
  <c r="AC314" i="1"/>
  <c r="Y314" i="1"/>
  <c r="AC540" i="1"/>
  <c r="Y540" i="1"/>
  <c r="AC478" i="1"/>
  <c r="Y478" i="1"/>
  <c r="X222" i="1"/>
  <c r="T222" i="1"/>
  <c r="AC101" i="1"/>
  <c r="Y101" i="1"/>
  <c r="AC938" i="1"/>
  <c r="Y938" i="1"/>
  <c r="AC682" i="1"/>
  <c r="Y682" i="1"/>
  <c r="AC521" i="1"/>
  <c r="Y521" i="1"/>
  <c r="AC984" i="1"/>
  <c r="Y984" i="1"/>
  <c r="AC832" i="1"/>
  <c r="Y832" i="1"/>
  <c r="AC152" i="1"/>
  <c r="Y152" i="1"/>
  <c r="X224" i="1"/>
  <c r="T224" i="1"/>
  <c r="X660" i="1"/>
  <c r="T660" i="1"/>
  <c r="AC236" i="1"/>
  <c r="Y236" i="1"/>
  <c r="X865" i="1"/>
  <c r="T865" i="1"/>
  <c r="X349" i="1"/>
  <c r="T349" i="1"/>
  <c r="AC352" i="1"/>
  <c r="Y352" i="1"/>
  <c r="X105" i="1"/>
  <c r="T105" i="1"/>
  <c r="AC484" i="1"/>
  <c r="Y484" i="1"/>
  <c r="X261" i="1"/>
  <c r="T261" i="1"/>
  <c r="AC107" i="1"/>
  <c r="Y107" i="1"/>
  <c r="X659" i="1"/>
  <c r="T659" i="1"/>
  <c r="X944" i="1"/>
  <c r="T944" i="1"/>
  <c r="AC171" i="1"/>
  <c r="Y171" i="1"/>
  <c r="AC918" i="1"/>
  <c r="Y918" i="1"/>
  <c r="AC881" i="1"/>
  <c r="Y881" i="1"/>
  <c r="X785" i="1"/>
  <c r="T785" i="1"/>
  <c r="AC533" i="1"/>
  <c r="Y533" i="1"/>
  <c r="X339" i="1"/>
  <c r="T339" i="1"/>
  <c r="AC222" i="1"/>
  <c r="Y222" i="1"/>
  <c r="AC127" i="1"/>
  <c r="Y127" i="1"/>
  <c r="AC865" i="1"/>
  <c r="Y865" i="1"/>
  <c r="AC550" i="1"/>
  <c r="Y550" i="1"/>
  <c r="AC659" i="1"/>
  <c r="Y659" i="1"/>
  <c r="AC1000" i="1"/>
  <c r="Y1000" i="1"/>
  <c r="X532" i="1"/>
  <c r="T532" i="1"/>
  <c r="X130" i="1"/>
  <c r="T130" i="1"/>
  <c r="AC224" i="1"/>
  <c r="Y224" i="1"/>
  <c r="AC660" i="1"/>
  <c r="Y660" i="1"/>
  <c r="X192" i="1"/>
  <c r="T192" i="1"/>
  <c r="X889" i="1"/>
  <c r="T889" i="1"/>
  <c r="AC349" i="1"/>
  <c r="Y349" i="1"/>
  <c r="X88" i="1"/>
  <c r="T88" i="1"/>
  <c r="AC105" i="1"/>
  <c r="Y105" i="1"/>
  <c r="X473" i="1"/>
  <c r="T473" i="1"/>
  <c r="AC261" i="1"/>
  <c r="Y261" i="1"/>
  <c r="X45" i="1"/>
  <c r="T45" i="1"/>
  <c r="X690" i="1"/>
  <c r="T690" i="1"/>
  <c r="AC944" i="1"/>
  <c r="Y944" i="1"/>
  <c r="X521" i="1"/>
  <c r="T521" i="1"/>
  <c r="X512" i="1"/>
  <c r="T512" i="1"/>
  <c r="X749" i="1"/>
  <c r="T749" i="1"/>
  <c r="X791" i="1"/>
  <c r="T791" i="1"/>
  <c r="X424" i="1"/>
  <c r="T424" i="1"/>
  <c r="AC237" i="1"/>
  <c r="Y237" i="1"/>
  <c r="AC365" i="1"/>
  <c r="Y365" i="1"/>
  <c r="AC339" i="1"/>
  <c r="Y339" i="1"/>
  <c r="AC79" i="1"/>
  <c r="Y79" i="1"/>
  <c r="X290" i="1"/>
  <c r="T290" i="1"/>
  <c r="AC955" i="1"/>
  <c r="Y955" i="1"/>
  <c r="AC889" i="1"/>
  <c r="Y889" i="1"/>
  <c r="AC809" i="1"/>
  <c r="Y809" i="1"/>
  <c r="AC594" i="1"/>
  <c r="Y594" i="1"/>
  <c r="AC532" i="1"/>
  <c r="Y532" i="1"/>
  <c r="AC130" i="1"/>
  <c r="Y130" i="1"/>
  <c r="X263" i="1"/>
  <c r="T263" i="1"/>
  <c r="X528" i="1"/>
  <c r="T528" i="1"/>
  <c r="AC192" i="1"/>
  <c r="Y192" i="1"/>
  <c r="X316" i="1"/>
  <c r="T316" i="1"/>
  <c r="AC88" i="1"/>
  <c r="Y88" i="1"/>
  <c r="X527" i="1"/>
  <c r="T527" i="1"/>
  <c r="AC473" i="1"/>
  <c r="Y473" i="1"/>
  <c r="X217" i="1"/>
  <c r="T217" i="1"/>
  <c r="AC45" i="1"/>
  <c r="Y45" i="1"/>
  <c r="X710" i="1"/>
  <c r="T710" i="1"/>
  <c r="X867" i="1"/>
  <c r="T867" i="1"/>
  <c r="X630" i="1"/>
  <c r="T630" i="1"/>
  <c r="AC512" i="1"/>
  <c r="Y512" i="1"/>
  <c r="AC749" i="1"/>
  <c r="Y749" i="1"/>
  <c r="X874" i="1"/>
  <c r="T874" i="1"/>
  <c r="AC424" i="1"/>
  <c r="Y424" i="1"/>
  <c r="X568" i="1"/>
  <c r="T568" i="1"/>
  <c r="X310" i="1"/>
  <c r="T310" i="1"/>
  <c r="X306" i="1"/>
  <c r="T306" i="1"/>
  <c r="AC211" i="1"/>
  <c r="Y211" i="1"/>
  <c r="X39" i="1"/>
  <c r="T39" i="1"/>
  <c r="AC290" i="1"/>
  <c r="Y290" i="1"/>
  <c r="AC852" i="1"/>
  <c r="Y852" i="1"/>
  <c r="AC812" i="1"/>
  <c r="Y812" i="1"/>
  <c r="AC772" i="1"/>
  <c r="Y772" i="1"/>
  <c r="X13" i="1"/>
  <c r="T13" i="1"/>
  <c r="AC263" i="1"/>
  <c r="Y263" i="1"/>
  <c r="AC528" i="1"/>
  <c r="Y528" i="1"/>
  <c r="X279" i="1"/>
  <c r="T279" i="1"/>
  <c r="X517" i="1"/>
  <c r="T517" i="1"/>
  <c r="AC316" i="1"/>
  <c r="Y316" i="1"/>
  <c r="X194" i="1"/>
  <c r="T194" i="1"/>
  <c r="X696" i="1"/>
  <c r="T696" i="1"/>
  <c r="X422" i="1"/>
  <c r="T422" i="1"/>
  <c r="AC217" i="1"/>
  <c r="Y217" i="1"/>
  <c r="X392" i="1"/>
  <c r="T392" i="1"/>
  <c r="X772" i="1"/>
  <c r="T772" i="1"/>
  <c r="AC867" i="1"/>
  <c r="Y867" i="1"/>
  <c r="X778" i="1"/>
  <c r="T778" i="1"/>
  <c r="X501" i="1"/>
  <c r="T501" i="1"/>
  <c r="X955" i="1"/>
  <c r="T955" i="1"/>
  <c r="X380" i="1"/>
  <c r="T380" i="1"/>
  <c r="X574" i="1"/>
  <c r="T574" i="1"/>
  <c r="AC310" i="1"/>
  <c r="Y310" i="1"/>
  <c r="AC306" i="1"/>
  <c r="Y306" i="1"/>
  <c r="X200" i="1"/>
  <c r="T200" i="1"/>
  <c r="AC39" i="1"/>
  <c r="Y39" i="1"/>
  <c r="AC808" i="1"/>
  <c r="Y808" i="1"/>
  <c r="AC768" i="1"/>
  <c r="Y768" i="1"/>
  <c r="X727" i="1"/>
  <c r="T727" i="1"/>
  <c r="X441" i="1"/>
  <c r="T441" i="1"/>
  <c r="AC13" i="1"/>
  <c r="Y13" i="1"/>
  <c r="X550" i="1"/>
  <c r="T550" i="1"/>
  <c r="X448" i="1"/>
  <c r="T448" i="1"/>
  <c r="AC279" i="1"/>
  <c r="Y279" i="1"/>
  <c r="AC517" i="1"/>
  <c r="Y517" i="1"/>
  <c r="X294" i="1"/>
  <c r="T294" i="1"/>
  <c r="AC194" i="1"/>
  <c r="Y194" i="1"/>
  <c r="X864" i="1"/>
  <c r="T864" i="1"/>
  <c r="AC422" i="1"/>
  <c r="Y422" i="1"/>
  <c r="X206" i="1"/>
  <c r="T206" i="1"/>
  <c r="AC392" i="1"/>
  <c r="Y392" i="1"/>
  <c r="X848" i="1"/>
  <c r="T848" i="1"/>
  <c r="X801" i="1"/>
  <c r="T801" i="1"/>
  <c r="X995" i="1"/>
  <c r="T995" i="1"/>
  <c r="AC501" i="1"/>
  <c r="Y501" i="1"/>
  <c r="AC727" i="1"/>
  <c r="Y727" i="1"/>
  <c r="X998" i="1"/>
  <c r="T998" i="1"/>
  <c r="AC380" i="1"/>
  <c r="Y380" i="1"/>
  <c r="X644" i="1"/>
  <c r="T644" i="1"/>
  <c r="X549" i="1"/>
  <c r="T549" i="1"/>
  <c r="X277" i="1"/>
  <c r="T277" i="1"/>
  <c r="AC200" i="1"/>
  <c r="Y200" i="1"/>
  <c r="X28" i="1"/>
  <c r="T28" i="1"/>
  <c r="X997" i="1"/>
  <c r="T997" i="1"/>
  <c r="AC555" i="1"/>
  <c r="Y555" i="1"/>
  <c r="AC672" i="1"/>
  <c r="Y672" i="1"/>
  <c r="AC848" i="1"/>
  <c r="Y848" i="1"/>
  <c r="AC441" i="1"/>
  <c r="Y441" i="1"/>
  <c r="X155" i="1"/>
  <c r="T155" i="1"/>
  <c r="X588" i="1"/>
  <c r="T588" i="1"/>
  <c r="AC448" i="1"/>
  <c r="Y448" i="1"/>
  <c r="X19" i="1"/>
  <c r="T19" i="1"/>
  <c r="X495" i="1"/>
  <c r="T495" i="1"/>
  <c r="AC294" i="1"/>
  <c r="Y294" i="1"/>
  <c r="X274" i="1"/>
  <c r="T274" i="1"/>
  <c r="AC864" i="1"/>
  <c r="Y864" i="1"/>
  <c r="X400" i="1"/>
  <c r="T400" i="1"/>
  <c r="AC206" i="1"/>
  <c r="Y206" i="1"/>
  <c r="X318" i="1"/>
  <c r="T318" i="1"/>
  <c r="X965" i="1"/>
  <c r="T965" i="1"/>
  <c r="AC801" i="1"/>
  <c r="Y801" i="1"/>
  <c r="AC995" i="1"/>
  <c r="Y995" i="1"/>
  <c r="X468" i="1"/>
  <c r="T468" i="1"/>
  <c r="AC998" i="1"/>
  <c r="Y998" i="1"/>
  <c r="X358" i="1"/>
  <c r="T358" i="1"/>
  <c r="X774" i="1"/>
  <c r="T774" i="1"/>
  <c r="X555" i="1"/>
  <c r="T555" i="1"/>
  <c r="AC277" i="1"/>
  <c r="Y277" i="1"/>
  <c r="X178" i="1"/>
  <c r="T178" i="1"/>
  <c r="AC28" i="1"/>
  <c r="Y28" i="1"/>
  <c r="X795" i="1"/>
  <c r="T795" i="1"/>
  <c r="AC744" i="1"/>
  <c r="Y744" i="1"/>
  <c r="AC639" i="1"/>
  <c r="Y639" i="1"/>
  <c r="X490" i="1"/>
  <c r="T490" i="1"/>
  <c r="AC710" i="1"/>
  <c r="Y710" i="1"/>
  <c r="X430" i="1"/>
  <c r="T430" i="1"/>
  <c r="AC155" i="1"/>
  <c r="Y155" i="1"/>
  <c r="X639" i="1"/>
  <c r="T639" i="1"/>
  <c r="X342" i="1"/>
  <c r="T342" i="1"/>
  <c r="AC19" i="1"/>
  <c r="Y19" i="1"/>
  <c r="AC495" i="1"/>
  <c r="Y495" i="1"/>
  <c r="X265" i="1"/>
  <c r="T265" i="1"/>
  <c r="AC274" i="1"/>
  <c r="Y274" i="1"/>
  <c r="X575" i="1"/>
  <c r="T575" i="1"/>
  <c r="AC400" i="1"/>
  <c r="Y400" i="1"/>
  <c r="X195" i="1"/>
  <c r="T195" i="1"/>
  <c r="AC318" i="1"/>
  <c r="Y318" i="1"/>
  <c r="X984" i="1"/>
  <c r="T984" i="1"/>
  <c r="X567" i="1"/>
  <c r="T567" i="1"/>
  <c r="X973" i="1"/>
  <c r="T973" i="1"/>
  <c r="AC490" i="1"/>
  <c r="Y490" i="1"/>
  <c r="AC468" i="1"/>
  <c r="Y468" i="1"/>
  <c r="X855" i="1"/>
  <c r="T855" i="1"/>
  <c r="AC358" i="1"/>
  <c r="Y358" i="1"/>
  <c r="AC774" i="1"/>
  <c r="Y774" i="1"/>
  <c r="X594" i="1"/>
  <c r="T594" i="1"/>
  <c r="X266" i="1"/>
  <c r="T266" i="1"/>
  <c r="AC178" i="1"/>
  <c r="Y178" i="1"/>
  <c r="X443" i="1"/>
  <c r="T443" i="1"/>
  <c r="X979" i="1"/>
  <c r="T979" i="1"/>
  <c r="AC689" i="1"/>
  <c r="Y689" i="1"/>
  <c r="AC965" i="1"/>
  <c r="Y965" i="1"/>
  <c r="Z963" i="1"/>
  <c r="AB963" i="1" s="1"/>
  <c r="U963" i="1"/>
  <c r="W963" i="1" s="1"/>
  <c r="Z811" i="1"/>
  <c r="AB811" i="1" s="1"/>
  <c r="U811" i="1"/>
  <c r="W811" i="1" s="1"/>
  <c r="Z711" i="1"/>
  <c r="AB711" i="1" s="1"/>
  <c r="U711" i="1"/>
  <c r="W711" i="1" s="1"/>
  <c r="Z875" i="1"/>
  <c r="AB875" i="1" s="1"/>
  <c r="U875" i="1"/>
  <c r="W875" i="1" s="1"/>
  <c r="Z878" i="1"/>
  <c r="AB878" i="1" s="1"/>
  <c r="U878" i="1"/>
  <c r="W878" i="1" s="1"/>
  <c r="Z756" i="1"/>
  <c r="AB756" i="1" s="1"/>
  <c r="U756" i="1"/>
  <c r="W756" i="1" s="1"/>
  <c r="Z538" i="1"/>
  <c r="AB538" i="1" s="1"/>
  <c r="U538" i="1"/>
  <c r="W538" i="1" s="1"/>
  <c r="Z952" i="1"/>
  <c r="AB952" i="1" s="1"/>
  <c r="U952" i="1"/>
  <c r="W952" i="1" s="1"/>
  <c r="Z981" i="1"/>
  <c r="AB981" i="1" s="1"/>
  <c r="U981" i="1"/>
  <c r="W981" i="1" s="1"/>
  <c r="Z754" i="1"/>
  <c r="AB754" i="1" s="1"/>
  <c r="U754" i="1"/>
  <c r="W754" i="1" s="1"/>
  <c r="Z857" i="1"/>
  <c r="AB857" i="1" s="1"/>
  <c r="U857" i="1"/>
  <c r="W857" i="1" s="1"/>
  <c r="Z909" i="1"/>
  <c r="AB909" i="1" s="1"/>
  <c r="U909" i="1"/>
  <c r="W909" i="1" s="1"/>
  <c r="Z719" i="1"/>
  <c r="AB719" i="1" s="1"/>
  <c r="U719" i="1"/>
  <c r="W719" i="1" s="1"/>
  <c r="Z251" i="1"/>
  <c r="AB251" i="1" s="1"/>
  <c r="U251" i="1"/>
  <c r="W251" i="1" s="1"/>
  <c r="Z587" i="1"/>
  <c r="AB587" i="1" s="1"/>
  <c r="U587" i="1"/>
  <c r="W587" i="1" s="1"/>
  <c r="Z479" i="1"/>
  <c r="AB479" i="1" s="1"/>
  <c r="U479" i="1"/>
  <c r="W479" i="1" s="1"/>
  <c r="Z398" i="1"/>
  <c r="AB398" i="1" s="1"/>
  <c r="U398" i="1"/>
  <c r="W398" i="1" s="1"/>
  <c r="Z113" i="1"/>
  <c r="AB113" i="1" s="1"/>
  <c r="U113" i="1"/>
  <c r="W113" i="1" s="1"/>
  <c r="Z912" i="1"/>
  <c r="AB912" i="1" s="1"/>
  <c r="U912" i="1"/>
  <c r="W912" i="1" s="1"/>
  <c r="Z783" i="1"/>
  <c r="AB783" i="1" s="1"/>
  <c r="U783" i="1"/>
  <c r="W783" i="1" s="1"/>
  <c r="Z888" i="1"/>
  <c r="AB888" i="1" s="1"/>
  <c r="U888" i="1"/>
  <c r="W888" i="1" s="1"/>
  <c r="Z715" i="1"/>
  <c r="AB715" i="1" s="1"/>
  <c r="U715" i="1"/>
  <c r="W715" i="1" s="1"/>
  <c r="Z798" i="1"/>
  <c r="AB798" i="1" s="1"/>
  <c r="U798" i="1"/>
  <c r="W798" i="1" s="1"/>
  <c r="Z705" i="1"/>
  <c r="AB705" i="1" s="1"/>
  <c r="U705" i="1"/>
  <c r="W705" i="1" s="1"/>
  <c r="Z525" i="1"/>
  <c r="AB525" i="1" s="1"/>
  <c r="U525" i="1"/>
  <c r="W525" i="1" s="1"/>
  <c r="Z793" i="1"/>
  <c r="AB793" i="1" s="1"/>
  <c r="U793" i="1"/>
  <c r="W793" i="1" s="1"/>
  <c r="Z693" i="1"/>
  <c r="AB693" i="1" s="1"/>
  <c r="U693" i="1"/>
  <c r="W693" i="1" s="1"/>
  <c r="Z221" i="1"/>
  <c r="AB221" i="1" s="1"/>
  <c r="U221" i="1"/>
  <c r="W221" i="1" s="1"/>
  <c r="Z930" i="1"/>
  <c r="AB930" i="1" s="1"/>
  <c r="U930" i="1"/>
  <c r="W930" i="1" s="1"/>
  <c r="Z736" i="1"/>
  <c r="AB736" i="1" s="1"/>
  <c r="U736" i="1"/>
  <c r="W736" i="1" s="1"/>
  <c r="Z611" i="1"/>
  <c r="AB611" i="1" s="1"/>
  <c r="U611" i="1"/>
  <c r="W611" i="1" s="1"/>
  <c r="Z687" i="1"/>
  <c r="AB687" i="1" s="1"/>
  <c r="U687" i="1"/>
  <c r="W687" i="1" s="1"/>
  <c r="Z937" i="1"/>
  <c r="AB937" i="1" s="1"/>
  <c r="U937" i="1"/>
  <c r="W937" i="1" s="1"/>
  <c r="Z462" i="1"/>
  <c r="AB462" i="1" s="1"/>
  <c r="U462" i="1"/>
  <c r="W462" i="1" s="1"/>
  <c r="Z416" i="1"/>
  <c r="AB416" i="1" s="1"/>
  <c r="U416" i="1"/>
  <c r="W416" i="1" s="1"/>
  <c r="Z962" i="1"/>
  <c r="AB962" i="1" s="1"/>
  <c r="U962" i="1"/>
  <c r="W962" i="1" s="1"/>
  <c r="Z990" i="1"/>
  <c r="AB990" i="1" s="1"/>
  <c r="U990" i="1"/>
  <c r="W990" i="1" s="1"/>
  <c r="Z814" i="1"/>
  <c r="AB814" i="1" s="1"/>
  <c r="U814" i="1"/>
  <c r="W814" i="1" s="1"/>
  <c r="Z824" i="1"/>
  <c r="AB824" i="1" s="1"/>
  <c r="U824" i="1"/>
  <c r="W824" i="1" s="1"/>
  <c r="Z837" i="1"/>
  <c r="AB837" i="1" s="1"/>
  <c r="U837" i="1"/>
  <c r="W837" i="1" s="1"/>
  <c r="Z891" i="1"/>
  <c r="AB891" i="1" s="1"/>
  <c r="U891" i="1"/>
  <c r="W891" i="1" s="1"/>
  <c r="Z825" i="1"/>
  <c r="AB825" i="1" s="1"/>
  <c r="U825" i="1"/>
  <c r="W825" i="1" s="1"/>
  <c r="Z770" i="1"/>
  <c r="AB770" i="1" s="1"/>
  <c r="U770" i="1"/>
  <c r="W770" i="1" s="1"/>
  <c r="Z913" i="1"/>
  <c r="AB913" i="1" s="1"/>
  <c r="U913" i="1"/>
  <c r="W913" i="1" s="1"/>
  <c r="Z822" i="1"/>
  <c r="AB822" i="1" s="1"/>
  <c r="U822" i="1"/>
  <c r="W822" i="1" s="1"/>
  <c r="Z823" i="1"/>
  <c r="AB823" i="1" s="1"/>
  <c r="U823" i="1"/>
  <c r="W823" i="1" s="1"/>
  <c r="Z535" i="1"/>
  <c r="AB535" i="1" s="1"/>
  <c r="U535" i="1"/>
  <c r="W535" i="1" s="1"/>
  <c r="Z799" i="1"/>
  <c r="AB799" i="1" s="1"/>
  <c r="U799" i="1"/>
  <c r="W799" i="1" s="1"/>
  <c r="Z681" i="1"/>
  <c r="AB681" i="1" s="1"/>
  <c r="U681" i="1"/>
  <c r="W681" i="1" s="1"/>
  <c r="Z602" i="1"/>
  <c r="AB602" i="1" s="1"/>
  <c r="U602" i="1"/>
  <c r="W602" i="1" s="1"/>
  <c r="Z765" i="1"/>
  <c r="AB765" i="1" s="1"/>
  <c r="U765" i="1"/>
  <c r="W765" i="1" s="1"/>
  <c r="Z695" i="1"/>
  <c r="AB695" i="1" s="1"/>
  <c r="U695" i="1"/>
  <c r="W695" i="1" s="1"/>
  <c r="Z684" i="1"/>
  <c r="AB684" i="1" s="1"/>
  <c r="U684" i="1"/>
  <c r="W684" i="1" s="1"/>
  <c r="Z735" i="1"/>
  <c r="AB735" i="1" s="1"/>
  <c r="U735" i="1"/>
  <c r="W735" i="1" s="1"/>
  <c r="Z485" i="1"/>
  <c r="AB485" i="1" s="1"/>
  <c r="U485" i="1"/>
  <c r="W485" i="1" s="1"/>
  <c r="Z733" i="1"/>
  <c r="AB733" i="1" s="1"/>
  <c r="U733" i="1"/>
  <c r="W733" i="1" s="1"/>
  <c r="Z636" i="1"/>
  <c r="AB636" i="1" s="1"/>
  <c r="U636" i="1"/>
  <c r="W636" i="1" s="1"/>
  <c r="Z497" i="1"/>
  <c r="AB497" i="1" s="1"/>
  <c r="U497" i="1"/>
  <c r="W497" i="1" s="1"/>
  <c r="Z924" i="1"/>
  <c r="AB924" i="1" s="1"/>
  <c r="U924" i="1"/>
  <c r="W924" i="1" s="1"/>
  <c r="Z580" i="1"/>
  <c r="AB580" i="1" s="1"/>
  <c r="U580" i="1"/>
  <c r="W580" i="1" s="1"/>
  <c r="Z751" i="1"/>
  <c r="AB751" i="1" s="1"/>
  <c r="U751" i="1"/>
  <c r="W751" i="1" s="1"/>
  <c r="Z601" i="1"/>
  <c r="AB601" i="1" s="1"/>
  <c r="U601" i="1"/>
  <c r="W601" i="1" s="1"/>
  <c r="Z334" i="1"/>
  <c r="AB334" i="1" s="1"/>
  <c r="U334" i="1"/>
  <c r="W334" i="1" s="1"/>
  <c r="Z481" i="1"/>
  <c r="AB481" i="1" s="1"/>
  <c r="U481" i="1"/>
  <c r="W481" i="1" s="1"/>
  <c r="Z548" i="1"/>
  <c r="AB548" i="1" s="1"/>
  <c r="U548" i="1"/>
  <c r="W548" i="1" s="1"/>
  <c r="Z359" i="1"/>
  <c r="AB359" i="1" s="1"/>
  <c r="U359" i="1"/>
  <c r="W359" i="1" s="1"/>
  <c r="Z674" i="1"/>
  <c r="AB674" i="1" s="1"/>
  <c r="U674" i="1"/>
  <c r="W674" i="1" s="1"/>
  <c r="Z703" i="1"/>
  <c r="AB703" i="1" s="1"/>
  <c r="U703" i="1"/>
  <c r="W703" i="1" s="1"/>
  <c r="Z417" i="1"/>
  <c r="AB417" i="1" s="1"/>
  <c r="U417" i="1"/>
  <c r="W417" i="1" s="1"/>
  <c r="Z9" i="1"/>
  <c r="AB9" i="1" s="1"/>
  <c r="U9" i="1"/>
  <c r="W9" i="1" s="1"/>
  <c r="Z718" i="1"/>
  <c r="AB718" i="1" s="1"/>
  <c r="U718" i="1"/>
  <c r="W718" i="1" s="1"/>
  <c r="Z442" i="1"/>
  <c r="AB442" i="1" s="1"/>
  <c r="U442" i="1"/>
  <c r="W442" i="1" s="1"/>
  <c r="Z124" i="1"/>
  <c r="AB124" i="1" s="1"/>
  <c r="U124" i="1"/>
  <c r="W124" i="1" s="1"/>
  <c r="Z615" i="1"/>
  <c r="AB615" i="1" s="1"/>
  <c r="U615" i="1"/>
  <c r="W615" i="1" s="1"/>
  <c r="Z326" i="1"/>
  <c r="AB326" i="1" s="1"/>
  <c r="U326" i="1"/>
  <c r="W326" i="1" s="1"/>
  <c r="Z31" i="1"/>
  <c r="AB31" i="1" s="1"/>
  <c r="U31" i="1"/>
  <c r="W31" i="1" s="1"/>
  <c r="Z331" i="1"/>
  <c r="AB331" i="1" s="1"/>
  <c r="U331" i="1"/>
  <c r="W331" i="1" s="1"/>
  <c r="Z165" i="1"/>
  <c r="AB165" i="1" s="1"/>
  <c r="U165" i="1"/>
  <c r="W165" i="1" s="1"/>
  <c r="Z11" i="1"/>
  <c r="AB11" i="1" s="1"/>
  <c r="U11" i="1"/>
  <c r="W11" i="1" s="1"/>
  <c r="Z6" i="1"/>
  <c r="U6" i="1"/>
  <c r="Z731" i="1"/>
  <c r="AB731" i="1" s="1"/>
  <c r="U731" i="1"/>
  <c r="W731" i="1" s="1"/>
  <c r="Z606" i="1"/>
  <c r="AB606" i="1" s="1"/>
  <c r="U606" i="1"/>
  <c r="W606" i="1" s="1"/>
  <c r="Z753" i="1"/>
  <c r="AB753" i="1" s="1"/>
  <c r="U753" i="1"/>
  <c r="W753" i="1" s="1"/>
  <c r="Z976" i="1"/>
  <c r="AB976" i="1" s="1"/>
  <c r="U976" i="1"/>
  <c r="W976" i="1" s="1"/>
  <c r="Z509" i="1"/>
  <c r="AB509" i="1" s="1"/>
  <c r="U509" i="1"/>
  <c r="W509" i="1" s="1"/>
  <c r="Z851" i="1"/>
  <c r="AB851" i="1" s="1"/>
  <c r="U851" i="1"/>
  <c r="W851" i="1" s="1"/>
  <c r="Z94" i="1"/>
  <c r="AB94" i="1" s="1"/>
  <c r="U94" i="1"/>
  <c r="W94" i="1" s="1"/>
  <c r="Z401" i="1"/>
  <c r="AB401" i="1" s="1"/>
  <c r="U401" i="1"/>
  <c r="W401" i="1" s="1"/>
  <c r="Z62" i="1"/>
  <c r="AB62" i="1" s="1"/>
  <c r="U62" i="1"/>
  <c r="W62" i="1" s="1"/>
  <c r="Z353" i="1"/>
  <c r="AB353" i="1" s="1"/>
  <c r="U353" i="1"/>
  <c r="W353" i="1" s="1"/>
  <c r="Z183" i="1"/>
  <c r="AB183" i="1" s="1"/>
  <c r="U183" i="1"/>
  <c r="W183" i="1" s="1"/>
  <c r="Z678" i="1"/>
  <c r="AB678" i="1" s="1"/>
  <c r="U678" i="1"/>
  <c r="W678" i="1" s="1"/>
  <c r="Z122" i="1"/>
  <c r="AB122" i="1" s="1"/>
  <c r="U122" i="1"/>
  <c r="W122" i="1" s="1"/>
  <c r="Z856" i="1"/>
  <c r="AB856" i="1" s="1"/>
  <c r="U856" i="1"/>
  <c r="W856" i="1" s="1"/>
  <c r="Z371" i="1"/>
  <c r="AB371" i="1" s="1"/>
  <c r="U371" i="1"/>
  <c r="W371" i="1" s="1"/>
  <c r="Z69" i="1"/>
  <c r="AB69" i="1" s="1"/>
  <c r="U69" i="1"/>
  <c r="W69" i="1" s="1"/>
  <c r="Z741" i="1"/>
  <c r="AB741" i="1" s="1"/>
  <c r="U741" i="1"/>
  <c r="W741" i="1" s="1"/>
  <c r="Z566" i="1"/>
  <c r="AB566" i="1" s="1"/>
  <c r="U566" i="1"/>
  <c r="W566" i="1" s="1"/>
  <c r="Z673" i="1"/>
  <c r="AB673" i="1" s="1"/>
  <c r="U673" i="1"/>
  <c r="W673" i="1" s="1"/>
  <c r="Z576" i="1"/>
  <c r="AB576" i="1" s="1"/>
  <c r="U576" i="1"/>
  <c r="W576" i="1" s="1"/>
  <c r="Z500" i="1"/>
  <c r="AB500" i="1" s="1"/>
  <c r="U500" i="1"/>
  <c r="W500" i="1" s="1"/>
  <c r="Z612" i="1"/>
  <c r="AB612" i="1" s="1"/>
  <c r="U612" i="1"/>
  <c r="W612" i="1" s="1"/>
  <c r="Z991" i="1"/>
  <c r="AB991" i="1" s="1"/>
  <c r="U991" i="1"/>
  <c r="W991" i="1" s="1"/>
  <c r="Z599" i="1"/>
  <c r="AB599" i="1" s="1"/>
  <c r="U599" i="1"/>
  <c r="W599" i="1" s="1"/>
  <c r="Z543" i="1"/>
  <c r="AB543" i="1" s="1"/>
  <c r="U543" i="1"/>
  <c r="W543" i="1" s="1"/>
  <c r="Z409" i="1"/>
  <c r="AB409" i="1" s="1"/>
  <c r="U409" i="1"/>
  <c r="W409" i="1" s="1"/>
  <c r="Z369" i="1"/>
  <c r="AB369" i="1" s="1"/>
  <c r="U369" i="1"/>
  <c r="W369" i="1" s="1"/>
  <c r="Z483" i="1"/>
  <c r="AB483" i="1" s="1"/>
  <c r="U483" i="1"/>
  <c r="W483" i="1" s="1"/>
  <c r="Z880" i="1"/>
  <c r="AB880" i="1" s="1"/>
  <c r="U880" i="1"/>
  <c r="W880" i="1" s="1"/>
  <c r="Z631" i="1"/>
  <c r="AB631" i="1" s="1"/>
  <c r="U631" i="1"/>
  <c r="W631" i="1" s="1"/>
  <c r="Z638" i="1"/>
  <c r="AB638" i="1" s="1"/>
  <c r="U638" i="1"/>
  <c r="W638" i="1" s="1"/>
  <c r="Z386" i="1"/>
  <c r="AB386" i="1" s="1"/>
  <c r="U386" i="1"/>
  <c r="W386" i="1" s="1"/>
  <c r="Z666" i="1"/>
  <c r="AB666" i="1" s="1"/>
  <c r="U666" i="1"/>
  <c r="W666" i="1" s="1"/>
  <c r="Z395" i="1"/>
  <c r="AB395" i="1" s="1"/>
  <c r="U395" i="1"/>
  <c r="W395" i="1" s="1"/>
  <c r="Z234" i="1"/>
  <c r="AB234" i="1" s="1"/>
  <c r="U234" i="1"/>
  <c r="W234" i="1" s="1"/>
  <c r="Z746" i="1"/>
  <c r="AB746" i="1" s="1"/>
  <c r="U746" i="1"/>
  <c r="W746" i="1" s="1"/>
  <c r="Z403" i="1"/>
  <c r="AB403" i="1" s="1"/>
  <c r="U403" i="1"/>
  <c r="W403" i="1" s="1"/>
  <c r="Z603" i="1"/>
  <c r="AB603" i="1" s="1"/>
  <c r="U603" i="1"/>
  <c r="W603" i="1" s="1"/>
  <c r="Z474" i="1"/>
  <c r="AB474" i="1" s="1"/>
  <c r="U474" i="1"/>
  <c r="W474" i="1" s="1"/>
  <c r="Z597" i="1"/>
  <c r="AB597" i="1" s="1"/>
  <c r="U597" i="1"/>
  <c r="W597" i="1" s="1"/>
  <c r="Z496" i="1"/>
  <c r="AB496" i="1" s="1"/>
  <c r="U496" i="1"/>
  <c r="W496" i="1" s="1"/>
  <c r="Z457" i="1"/>
  <c r="AB457" i="1" s="1"/>
  <c r="U457" i="1"/>
  <c r="W457" i="1" s="1"/>
  <c r="Z108" i="1"/>
  <c r="AB108" i="1" s="1"/>
  <c r="U108" i="1"/>
  <c r="W108" i="1" s="1"/>
  <c r="Z260" i="1"/>
  <c r="AB260" i="1" s="1"/>
  <c r="U260" i="1"/>
  <c r="W260" i="1" s="1"/>
  <c r="Z288" i="1"/>
  <c r="AB288" i="1" s="1"/>
  <c r="U288" i="1"/>
  <c r="W288" i="1" s="1"/>
  <c r="Z464" i="1"/>
  <c r="AB464" i="1" s="1"/>
  <c r="U464" i="1"/>
  <c r="W464" i="1" s="1"/>
  <c r="Z404" i="1"/>
  <c r="AB404" i="1" s="1"/>
  <c r="U404" i="1"/>
  <c r="W404" i="1" s="1"/>
  <c r="Z283" i="1"/>
  <c r="AB283" i="1" s="1"/>
  <c r="U283" i="1"/>
  <c r="W283" i="1" s="1"/>
  <c r="Z737" i="1"/>
  <c r="AB737" i="1" s="1"/>
  <c r="U737" i="1"/>
  <c r="W737" i="1" s="1"/>
  <c r="Z22" i="1"/>
  <c r="AB22" i="1" s="1"/>
  <c r="U22" i="1"/>
  <c r="W22" i="1" s="1"/>
  <c r="Z219" i="1"/>
  <c r="AB219" i="1" s="1"/>
  <c r="U219" i="1"/>
  <c r="W219" i="1" s="1"/>
  <c r="Z47" i="1"/>
  <c r="AB47" i="1" s="1"/>
  <c r="U47" i="1"/>
  <c r="W47" i="1" s="1"/>
  <c r="Z93" i="1"/>
  <c r="AB93" i="1" s="1"/>
  <c r="U93" i="1"/>
  <c r="W93" i="1" s="1"/>
  <c r="Z42" i="1"/>
  <c r="AB42" i="1" s="1"/>
  <c r="U42" i="1"/>
  <c r="W42" i="1" s="1"/>
  <c r="Z41" i="1"/>
  <c r="AB41" i="1" s="1"/>
  <c r="U41" i="1"/>
  <c r="W41" i="1" s="1"/>
  <c r="Z98" i="1"/>
  <c r="AB98" i="1" s="1"/>
  <c r="U98" i="1"/>
  <c r="W98" i="1" s="1"/>
  <c r="Z104" i="1"/>
  <c r="AB104" i="1" s="1"/>
  <c r="U104" i="1"/>
  <c r="W104" i="1" s="1"/>
  <c r="Z186" i="1"/>
  <c r="AB186" i="1" s="1"/>
  <c r="U186" i="1"/>
  <c r="W186" i="1" s="1"/>
  <c r="Z89" i="1"/>
  <c r="AB89" i="1" s="1"/>
  <c r="U89" i="1"/>
  <c r="W89" i="1" s="1"/>
  <c r="Z431" i="1"/>
  <c r="AB431" i="1" s="1"/>
  <c r="U431" i="1"/>
  <c r="W431" i="1" s="1"/>
  <c r="Z202" i="1"/>
  <c r="AB202" i="1" s="1"/>
  <c r="U202" i="1"/>
  <c r="W202" i="1" s="1"/>
  <c r="Z449" i="1"/>
  <c r="AB449" i="1" s="1"/>
  <c r="U449" i="1"/>
  <c r="W449" i="1" s="1"/>
  <c r="Z910" i="1"/>
  <c r="AB910" i="1" s="1"/>
  <c r="U910" i="1"/>
  <c r="W910" i="1" s="1"/>
  <c r="Z987" i="1"/>
  <c r="AB987" i="1" s="1"/>
  <c r="U987" i="1"/>
  <c r="W987" i="1" s="1"/>
  <c r="Z423" i="1"/>
  <c r="AB423" i="1" s="1"/>
  <c r="U423" i="1"/>
  <c r="W423" i="1" s="1"/>
  <c r="Z123" i="1"/>
  <c r="AB123" i="1" s="1"/>
  <c r="U123" i="1"/>
  <c r="W123" i="1" s="1"/>
  <c r="Z583" i="1"/>
  <c r="AB583" i="1" s="1"/>
  <c r="U583" i="1"/>
  <c r="W583" i="1" s="1"/>
  <c r="Z426" i="1"/>
  <c r="AB426" i="1" s="1"/>
  <c r="U426" i="1"/>
  <c r="W426" i="1" s="1"/>
  <c r="Z52" i="1"/>
  <c r="AB52" i="1" s="1"/>
  <c r="U52" i="1"/>
  <c r="W52" i="1" s="1"/>
  <c r="Z40" i="1"/>
  <c r="AB40" i="1" s="1"/>
  <c r="U40" i="1"/>
  <c r="W40" i="1" s="1"/>
  <c r="U553" i="1"/>
  <c r="W553" i="1" s="1"/>
  <c r="Z553" i="1"/>
  <c r="AB553" i="1" s="1"/>
  <c r="Z437" i="1"/>
  <c r="AB437" i="1" s="1"/>
  <c r="U437" i="1"/>
  <c r="W437" i="1" s="1"/>
  <c r="Z989" i="1"/>
  <c r="AB989" i="1" s="1"/>
  <c r="U989" i="1"/>
  <c r="W989" i="1" s="1"/>
  <c r="Z147" i="1"/>
  <c r="AB147" i="1" s="1"/>
  <c r="U147" i="1"/>
  <c r="W147" i="1" s="1"/>
  <c r="Z956" i="1"/>
  <c r="AB956" i="1" s="1"/>
  <c r="U956" i="1"/>
  <c r="W956" i="1" s="1"/>
  <c r="Z469" i="1"/>
  <c r="AB469" i="1" s="1"/>
  <c r="U469" i="1"/>
  <c r="W469" i="1" s="1"/>
  <c r="Z835" i="1"/>
  <c r="AB835" i="1" s="1"/>
  <c r="U835" i="1"/>
  <c r="W835" i="1" s="1"/>
  <c r="Z253" i="1"/>
  <c r="AB253" i="1" s="1"/>
  <c r="U253" i="1"/>
  <c r="W253" i="1" s="1"/>
  <c r="Z498" i="1"/>
  <c r="AB498" i="1" s="1"/>
  <c r="U498" i="1"/>
  <c r="W498" i="1" s="1"/>
  <c r="Z181" i="1"/>
  <c r="AB181" i="1" s="1"/>
  <c r="U181" i="1"/>
  <c r="W181" i="1" s="1"/>
  <c r="Z542" i="1"/>
  <c r="AB542" i="1" s="1"/>
  <c r="U542" i="1"/>
  <c r="W542" i="1" s="1"/>
  <c r="Z724" i="1"/>
  <c r="AB724" i="1" s="1"/>
  <c r="U724" i="1"/>
  <c r="W724" i="1" s="1"/>
  <c r="Z581" i="1"/>
  <c r="AB581" i="1" s="1"/>
  <c r="U581" i="1"/>
  <c r="W581" i="1" s="1"/>
  <c r="Z523" i="1"/>
  <c r="AB523" i="1" s="1"/>
  <c r="U523" i="1"/>
  <c r="W523" i="1" s="1"/>
  <c r="Z720" i="1"/>
  <c r="AB720" i="1" s="1"/>
  <c r="U720" i="1"/>
  <c r="W720" i="1" s="1"/>
  <c r="Z360" i="1"/>
  <c r="AB360" i="1" s="1"/>
  <c r="U360" i="1"/>
  <c r="W360" i="1" s="1"/>
  <c r="Z534" i="1"/>
  <c r="AB534" i="1" s="1"/>
  <c r="U534" i="1"/>
  <c r="W534" i="1" s="1"/>
  <c r="Z308" i="1"/>
  <c r="AB308" i="1" s="1"/>
  <c r="U308" i="1"/>
  <c r="W308" i="1" s="1"/>
  <c r="Z511" i="1"/>
  <c r="AB511" i="1" s="1"/>
  <c r="U511" i="1"/>
  <c r="W511" i="1" s="1"/>
  <c r="Z463" i="1"/>
  <c r="AB463" i="1" s="1"/>
  <c r="U463" i="1"/>
  <c r="W463" i="1" s="1"/>
  <c r="Z299" i="1"/>
  <c r="AB299" i="1" s="1"/>
  <c r="U299" i="1"/>
  <c r="W299" i="1" s="1"/>
  <c r="Z168" i="1"/>
  <c r="AB168" i="1" s="1"/>
  <c r="U168" i="1"/>
  <c r="W168" i="1" s="1"/>
  <c r="Z399" i="1"/>
  <c r="AB399" i="1" s="1"/>
  <c r="U399" i="1"/>
  <c r="W399" i="1" s="1"/>
  <c r="Z190" i="1"/>
  <c r="AB190" i="1" s="1"/>
  <c r="U190" i="1"/>
  <c r="W190" i="1" s="1"/>
  <c r="Z439" i="1"/>
  <c r="AB439" i="1" s="1"/>
  <c r="U439" i="1"/>
  <c r="W439" i="1" s="1"/>
  <c r="Z267" i="1"/>
  <c r="AB267" i="1" s="1"/>
  <c r="U267" i="1"/>
  <c r="W267" i="1" s="1"/>
  <c r="Z554" i="1"/>
  <c r="AB554" i="1" s="1"/>
  <c r="U554" i="1"/>
  <c r="W554" i="1" s="1"/>
  <c r="Z453" i="1"/>
  <c r="AB453" i="1" s="1"/>
  <c r="U453" i="1"/>
  <c r="W453" i="1" s="1"/>
  <c r="Z716" i="1"/>
  <c r="AB716" i="1" s="1"/>
  <c r="U716" i="1"/>
  <c r="W716" i="1" s="1"/>
  <c r="Z645" i="1"/>
  <c r="AB645" i="1" s="1"/>
  <c r="U645" i="1"/>
  <c r="W645" i="1" s="1"/>
  <c r="Z402" i="1"/>
  <c r="AB402" i="1" s="1"/>
  <c r="U402" i="1"/>
  <c r="W402" i="1" s="1"/>
  <c r="Z231" i="1"/>
  <c r="AB231" i="1" s="1"/>
  <c r="U231" i="1"/>
  <c r="W231" i="1" s="1"/>
  <c r="Z172" i="1"/>
  <c r="AB172" i="1" s="1"/>
  <c r="U172" i="1"/>
  <c r="W172" i="1" s="1"/>
  <c r="Z160" i="1"/>
  <c r="AB160" i="1" s="1"/>
  <c r="U160" i="1"/>
  <c r="W160" i="1" s="1"/>
  <c r="Z213" i="1"/>
  <c r="AB213" i="1" s="1"/>
  <c r="U213" i="1"/>
  <c r="W213" i="1" s="1"/>
  <c r="Z387" i="1"/>
  <c r="AB387" i="1" s="1"/>
  <c r="U387" i="1"/>
  <c r="W387" i="1" s="1"/>
  <c r="U320" i="1"/>
  <c r="W320" i="1" s="1"/>
  <c r="Z320" i="1"/>
  <c r="AB320" i="1" s="1"/>
  <c r="Z91" i="1"/>
  <c r="AB91" i="1" s="1"/>
  <c r="U91" i="1"/>
  <c r="W91" i="1" s="1"/>
  <c r="Z354" i="1"/>
  <c r="AB354" i="1" s="1"/>
  <c r="U354" i="1"/>
  <c r="W354" i="1" s="1"/>
  <c r="Z691" i="1"/>
  <c r="AB691" i="1" s="1"/>
  <c r="U691" i="1"/>
  <c r="W691" i="1" s="1"/>
  <c r="Z273" i="1"/>
  <c r="AB273" i="1" s="1"/>
  <c r="U273" i="1"/>
  <c r="W273" i="1" s="1"/>
  <c r="Z210" i="1"/>
  <c r="AB210" i="1" s="1"/>
  <c r="U210" i="1"/>
  <c r="W210" i="1" s="1"/>
  <c r="Z390" i="1"/>
  <c r="AB390" i="1" s="1"/>
  <c r="U390" i="1"/>
  <c r="W390" i="1" s="1"/>
  <c r="Z335" i="1"/>
  <c r="AB335" i="1" s="1"/>
  <c r="U335" i="1"/>
  <c r="W335" i="1" s="1"/>
  <c r="Z131" i="1"/>
  <c r="AB131" i="1" s="1"/>
  <c r="U131" i="1"/>
  <c r="W131" i="1" s="1"/>
  <c r="Z70" i="1"/>
  <c r="AB70" i="1" s="1"/>
  <c r="U70" i="1"/>
  <c r="W70" i="1" s="1"/>
  <c r="Z50" i="1"/>
  <c r="AB50" i="1" s="1"/>
  <c r="U50" i="1"/>
  <c r="W50" i="1" s="1"/>
  <c r="Z187" i="1"/>
  <c r="AB187" i="1" s="1"/>
  <c r="U187" i="1"/>
  <c r="W187" i="1" s="1"/>
  <c r="Z36" i="1"/>
  <c r="AB36" i="1" s="1"/>
  <c r="U36" i="1"/>
  <c r="W36" i="1" s="1"/>
  <c r="Z140" i="1"/>
  <c r="AB140" i="1" s="1"/>
  <c r="U140" i="1"/>
  <c r="W140" i="1" s="1"/>
  <c r="Z80" i="1"/>
  <c r="AB80" i="1" s="1"/>
  <c r="U80" i="1"/>
  <c r="W80" i="1" s="1"/>
  <c r="Z162" i="1"/>
  <c r="AB162" i="1" s="1"/>
  <c r="U162" i="1"/>
  <c r="W162" i="1" s="1"/>
  <c r="Z877" i="1"/>
  <c r="AB877" i="1" s="1"/>
  <c r="U877" i="1"/>
  <c r="W877" i="1" s="1"/>
  <c r="Z845" i="1"/>
  <c r="AB845" i="1" s="1"/>
  <c r="U845" i="1"/>
  <c r="W845" i="1" s="1"/>
  <c r="Z608" i="1"/>
  <c r="AB608" i="1" s="1"/>
  <c r="U608" i="1"/>
  <c r="W608" i="1" s="1"/>
  <c r="Z786" i="1"/>
  <c r="AB786" i="1" s="1"/>
  <c r="U786" i="1"/>
  <c r="W786" i="1" s="1"/>
  <c r="Z869" i="1"/>
  <c r="AB869" i="1" s="1"/>
  <c r="U869" i="1"/>
  <c r="W869" i="1" s="1"/>
  <c r="Z389" i="1"/>
  <c r="AB389" i="1" s="1"/>
  <c r="U389" i="1"/>
  <c r="W389" i="1" s="1"/>
  <c r="Z280" i="1"/>
  <c r="AB280" i="1" s="1"/>
  <c r="U280" i="1"/>
  <c r="W280" i="1" s="1"/>
  <c r="Z44" i="1"/>
  <c r="AB44" i="1" s="1"/>
  <c r="U44" i="1"/>
  <c r="W44" i="1" s="1"/>
  <c r="Z595" i="1"/>
  <c r="AB595" i="1" s="1"/>
  <c r="U595" i="1"/>
  <c r="W595" i="1" s="1"/>
  <c r="Z301" i="1"/>
  <c r="AB301" i="1" s="1"/>
  <c r="U301" i="1"/>
  <c r="W301" i="1" s="1"/>
  <c r="Z136" i="1"/>
  <c r="AB136" i="1" s="1"/>
  <c r="U136" i="1"/>
  <c r="W136" i="1" s="1"/>
  <c r="Z86" i="1"/>
  <c r="AB86" i="1" s="1"/>
  <c r="U86" i="1"/>
  <c r="W86" i="1" s="1"/>
  <c r="Z934" i="1"/>
  <c r="AB934" i="1" s="1"/>
  <c r="U934" i="1"/>
  <c r="W934" i="1" s="1"/>
  <c r="Z87" i="1"/>
  <c r="AB87" i="1" s="1"/>
  <c r="U87" i="1"/>
  <c r="W87" i="1" s="1"/>
  <c r="Z341" i="1"/>
  <c r="AB341" i="1" s="1"/>
  <c r="U341" i="1"/>
  <c r="W341" i="1" s="1"/>
  <c r="Z284" i="1"/>
  <c r="AB284" i="1" s="1"/>
  <c r="U284" i="1"/>
  <c r="W284" i="1" s="1"/>
  <c r="Z982" i="1"/>
  <c r="AB982" i="1" s="1"/>
  <c r="U982" i="1"/>
  <c r="W982" i="1" s="1"/>
  <c r="Z906" i="1"/>
  <c r="AB906" i="1" s="1"/>
  <c r="U906" i="1"/>
  <c r="W906" i="1" s="1"/>
  <c r="Z397" i="1"/>
  <c r="AB397" i="1" s="1"/>
  <c r="U397" i="1"/>
  <c r="W397" i="1" s="1"/>
  <c r="Z717" i="1"/>
  <c r="AB717" i="1" s="1"/>
  <c r="U717" i="1"/>
  <c r="W717" i="1" s="1"/>
  <c r="Z142" i="1"/>
  <c r="AB142" i="1" s="1"/>
  <c r="U142" i="1"/>
  <c r="W142" i="1" s="1"/>
  <c r="Z669" i="1"/>
  <c r="AB669" i="1" s="1"/>
  <c r="U669" i="1"/>
  <c r="W669" i="1" s="1"/>
  <c r="Z820" i="1"/>
  <c r="AB820" i="1" s="1"/>
  <c r="U820" i="1"/>
  <c r="W820" i="1" s="1"/>
  <c r="Z675" i="1"/>
  <c r="AB675" i="1" s="1"/>
  <c r="U675" i="1"/>
  <c r="W675" i="1" s="1"/>
  <c r="Z728" i="1"/>
  <c r="AB728" i="1" s="1"/>
  <c r="U728" i="1"/>
  <c r="W728" i="1" s="1"/>
  <c r="Z564" i="1"/>
  <c r="AB564" i="1" s="1"/>
  <c r="U564" i="1"/>
  <c r="W564" i="1" s="1"/>
  <c r="Z377" i="1"/>
  <c r="AB377" i="1" s="1"/>
  <c r="U377" i="1"/>
  <c r="W377" i="1" s="1"/>
  <c r="Z445" i="1"/>
  <c r="AB445" i="1" s="1"/>
  <c r="U445" i="1"/>
  <c r="W445" i="1" s="1"/>
  <c r="Z293" i="1"/>
  <c r="AB293" i="1" s="1"/>
  <c r="U293" i="1"/>
  <c r="W293" i="1" s="1"/>
  <c r="Z529" i="1"/>
  <c r="AB529" i="1" s="1"/>
  <c r="U529" i="1"/>
  <c r="W529" i="1" s="1"/>
  <c r="Z376" i="1"/>
  <c r="AB376" i="1" s="1"/>
  <c r="U376" i="1"/>
  <c r="W376" i="1" s="1"/>
  <c r="Z515" i="1"/>
  <c r="AB515" i="1" s="1"/>
  <c r="U515" i="1"/>
  <c r="W515" i="1" s="1"/>
  <c r="Z646" i="1"/>
  <c r="AB646" i="1" s="1"/>
  <c r="U646" i="1"/>
  <c r="W646" i="1" s="1"/>
  <c r="Z212" i="1"/>
  <c r="AB212" i="1" s="1"/>
  <c r="U212" i="1"/>
  <c r="W212" i="1" s="1"/>
  <c r="Z139" i="1"/>
  <c r="AB139" i="1" s="1"/>
  <c r="U139" i="1"/>
  <c r="W139" i="1" s="1"/>
  <c r="Z242" i="1"/>
  <c r="AB242" i="1" s="1"/>
  <c r="U242" i="1"/>
  <c r="W242" i="1" s="1"/>
  <c r="Z427" i="1"/>
  <c r="AB427" i="1" s="1"/>
  <c r="U427" i="1"/>
  <c r="W427" i="1" s="1"/>
  <c r="Z240" i="1"/>
  <c r="AB240" i="1" s="1"/>
  <c r="U240" i="1"/>
  <c r="W240" i="1" s="1"/>
  <c r="Z156" i="1"/>
  <c r="AB156" i="1" s="1"/>
  <c r="U156" i="1"/>
  <c r="W156" i="1" s="1"/>
  <c r="Z185" i="1"/>
  <c r="AB185" i="1" s="1"/>
  <c r="U185" i="1"/>
  <c r="W185" i="1" s="1"/>
  <c r="Z459" i="1"/>
  <c r="AB459" i="1" s="1"/>
  <c r="U459" i="1"/>
  <c r="W459" i="1" s="1"/>
  <c r="Z414" i="1"/>
  <c r="AB414" i="1" s="1"/>
  <c r="U414" i="1"/>
  <c r="W414" i="1" s="1"/>
  <c r="Z524" i="1"/>
  <c r="AB524" i="1" s="1"/>
  <c r="U524" i="1"/>
  <c r="W524" i="1" s="1"/>
  <c r="Z466" i="1"/>
  <c r="AB466" i="1" s="1"/>
  <c r="U466" i="1"/>
  <c r="W466" i="1" s="1"/>
  <c r="Z370" i="1"/>
  <c r="AB370" i="1" s="1"/>
  <c r="U370" i="1"/>
  <c r="W370" i="1" s="1"/>
  <c r="Z336" i="1"/>
  <c r="AB336" i="1" s="1"/>
  <c r="U336" i="1"/>
  <c r="W336" i="1" s="1"/>
  <c r="Z244" i="1"/>
  <c r="AB244" i="1" s="1"/>
  <c r="U244" i="1"/>
  <c r="W244" i="1" s="1"/>
  <c r="Z438" i="1"/>
  <c r="AB438" i="1" s="1"/>
  <c r="U438" i="1"/>
  <c r="W438" i="1" s="1"/>
  <c r="Z381" i="1"/>
  <c r="AB381" i="1" s="1"/>
  <c r="U381" i="1"/>
  <c r="W381" i="1" s="1"/>
  <c r="Z14" i="1"/>
  <c r="AB14" i="1" s="1"/>
  <c r="U14" i="1"/>
  <c r="W14" i="1" s="1"/>
  <c r="Z609" i="1"/>
  <c r="AB609" i="1" s="1"/>
  <c r="U609" i="1"/>
  <c r="W609" i="1" s="1"/>
  <c r="Z12" i="1"/>
  <c r="AB12" i="1" s="1"/>
  <c r="U12" i="1"/>
  <c r="W12" i="1" s="1"/>
  <c r="Z312" i="1"/>
  <c r="AB312" i="1" s="1"/>
  <c r="U312" i="1"/>
  <c r="W312" i="1" s="1"/>
  <c r="Z18" i="1"/>
  <c r="AB18" i="1" s="1"/>
  <c r="U18" i="1"/>
  <c r="W18" i="1" s="1"/>
  <c r="Z197" i="1"/>
  <c r="AB197" i="1" s="1"/>
  <c r="U197" i="1"/>
  <c r="W197" i="1" s="1"/>
  <c r="Z73" i="1"/>
  <c r="AB73" i="1" s="1"/>
  <c r="U73" i="1"/>
  <c r="W73" i="1" s="1"/>
  <c r="Z58" i="1"/>
  <c r="AB58" i="1" s="1"/>
  <c r="U58" i="1"/>
  <c r="W58" i="1" s="1"/>
  <c r="Z77" i="1"/>
  <c r="AB77" i="1" s="1"/>
  <c r="U77" i="1"/>
  <c r="W77" i="1" s="1"/>
  <c r="Z64" i="1"/>
  <c r="AB64" i="1" s="1"/>
  <c r="U64" i="1"/>
  <c r="W64" i="1" s="1"/>
  <c r="Z30" i="1"/>
  <c r="AB30" i="1" s="1"/>
  <c r="U30" i="1"/>
  <c r="W30" i="1" s="1"/>
  <c r="Z840" i="1"/>
  <c r="AB840" i="1" s="1"/>
  <c r="U840" i="1"/>
  <c r="W840" i="1" s="1"/>
  <c r="Z604" i="1"/>
  <c r="AB604" i="1" s="1"/>
  <c r="U604" i="1"/>
  <c r="W604" i="1" s="1"/>
  <c r="Z698" i="1"/>
  <c r="AB698" i="1" s="1"/>
  <c r="U698" i="1"/>
  <c r="W698" i="1" s="1"/>
  <c r="Z661" i="1"/>
  <c r="AB661" i="1" s="1"/>
  <c r="U661" i="1"/>
  <c r="W661" i="1" s="1"/>
  <c r="Z926" i="1"/>
  <c r="AB926" i="1" s="1"/>
  <c r="U926" i="1"/>
  <c r="W926" i="1" s="1"/>
  <c r="Z932" i="1"/>
  <c r="AB932" i="1" s="1"/>
  <c r="U932" i="1"/>
  <c r="W932" i="1" s="1"/>
  <c r="Z476" i="1"/>
  <c r="AB476" i="1" s="1"/>
  <c r="U476" i="1"/>
  <c r="W476" i="1" s="1"/>
  <c r="Z238" i="1"/>
  <c r="AB238" i="1" s="1"/>
  <c r="U238" i="1"/>
  <c r="W238" i="1" s="1"/>
  <c r="Z503" i="1"/>
  <c r="AB503" i="1" s="1"/>
  <c r="U503" i="1"/>
  <c r="W503" i="1" s="1"/>
  <c r="Z25" i="1"/>
  <c r="AB25" i="1" s="1"/>
  <c r="U25" i="1"/>
  <c r="W25" i="1" s="1"/>
  <c r="Z275" i="1"/>
  <c r="AB275" i="1" s="1"/>
  <c r="U275" i="1"/>
  <c r="W275" i="1" s="1"/>
  <c r="Z584" i="1"/>
  <c r="AB584" i="1" s="1"/>
  <c r="U584" i="1"/>
  <c r="W584" i="1" s="1"/>
  <c r="Z378" i="1"/>
  <c r="AB378" i="1" s="1"/>
  <c r="U378" i="1"/>
  <c r="W378" i="1" s="1"/>
  <c r="Z141" i="1"/>
  <c r="AB141" i="1" s="1"/>
  <c r="U141" i="1"/>
  <c r="W141" i="1" s="1"/>
  <c r="Z344" i="1"/>
  <c r="AB344" i="1" s="1"/>
  <c r="U344" i="1"/>
  <c r="W344" i="1" s="1"/>
  <c r="Z112" i="1"/>
  <c r="AB112" i="1" s="1"/>
  <c r="U112" i="1"/>
  <c r="W112" i="1" s="1"/>
  <c r="Z298" i="1"/>
  <c r="AB298" i="1" s="1"/>
  <c r="U298" i="1"/>
  <c r="W298" i="1" s="1"/>
  <c r="Z626" i="1"/>
  <c r="AB626" i="1" s="1"/>
  <c r="U626" i="1"/>
  <c r="W626" i="1" s="1"/>
  <c r="Z415" i="1"/>
  <c r="AB415" i="1" s="1"/>
  <c r="U415" i="1"/>
  <c r="W415" i="1" s="1"/>
  <c r="Z927" i="1"/>
  <c r="AB927" i="1" s="1"/>
  <c r="U927" i="1"/>
  <c r="W927" i="1" s="1"/>
  <c r="Z545" i="1"/>
  <c r="AB545" i="1" s="1"/>
  <c r="U545" i="1"/>
  <c r="W545" i="1" s="1"/>
  <c r="Z589" i="1"/>
  <c r="AB589" i="1" s="1"/>
  <c r="U589" i="1"/>
  <c r="W589" i="1" s="1"/>
  <c r="Z662" i="1"/>
  <c r="AB662" i="1" s="1"/>
  <c r="U662" i="1"/>
  <c r="W662" i="1" s="1"/>
  <c r="Z986" i="1"/>
  <c r="AB986" i="1" s="1"/>
  <c r="U986" i="1"/>
  <c r="W986" i="1" s="1"/>
  <c r="Z625" i="1"/>
  <c r="AB625" i="1" s="1"/>
  <c r="U625" i="1"/>
  <c r="W625" i="1" s="1"/>
  <c r="Z782" i="1"/>
  <c r="AB782" i="1" s="1"/>
  <c r="U782" i="1"/>
  <c r="W782" i="1" s="1"/>
  <c r="Z671" i="1"/>
  <c r="AB671" i="1" s="1"/>
  <c r="U671" i="1"/>
  <c r="W671" i="1" s="1"/>
  <c r="Z531" i="1"/>
  <c r="AB531" i="1" s="1"/>
  <c r="U531" i="1"/>
  <c r="W531" i="1" s="1"/>
  <c r="Z787" i="1"/>
  <c r="AB787" i="1" s="1"/>
  <c r="U787" i="1"/>
  <c r="W787" i="1" s="1"/>
  <c r="Z748" i="1"/>
  <c r="AB748" i="1" s="1"/>
  <c r="U748" i="1"/>
  <c r="W748" i="1" s="1"/>
  <c r="Z351" i="1"/>
  <c r="AB351" i="1" s="1"/>
  <c r="U351" i="1"/>
  <c r="W351" i="1" s="1"/>
  <c r="Z271" i="1"/>
  <c r="AB271" i="1" s="1"/>
  <c r="U271" i="1"/>
  <c r="W271" i="1" s="1"/>
  <c r="Z338" i="1"/>
  <c r="AB338" i="1" s="1"/>
  <c r="U338" i="1"/>
  <c r="W338" i="1" s="1"/>
  <c r="Z388" i="1"/>
  <c r="AB388" i="1" s="1"/>
  <c r="U388" i="1"/>
  <c r="W388" i="1" s="1"/>
  <c r="Z317" i="1"/>
  <c r="AB317" i="1" s="1"/>
  <c r="U317" i="1"/>
  <c r="W317" i="1" s="1"/>
  <c r="Z65" i="1"/>
  <c r="AB65" i="1" s="1"/>
  <c r="U65" i="1"/>
  <c r="W65" i="1" s="1"/>
  <c r="Z8" i="1"/>
  <c r="AB8" i="1" s="1"/>
  <c r="U8" i="1"/>
  <c r="W8" i="1" s="1"/>
  <c r="Z68" i="1"/>
  <c r="AB68" i="1" s="1"/>
  <c r="U68" i="1"/>
  <c r="W68" i="1" s="1"/>
  <c r="Z35" i="1"/>
  <c r="AB35" i="1" s="1"/>
  <c r="U35" i="1"/>
  <c r="W35" i="1" s="1"/>
  <c r="Z322" i="1"/>
  <c r="AB322" i="1" s="1"/>
  <c r="U322" i="1"/>
  <c r="W322" i="1" s="1"/>
  <c r="Z121" i="1"/>
  <c r="AB121" i="1" s="1"/>
  <c r="U121" i="1"/>
  <c r="W121" i="1" s="1"/>
  <c r="Z943" i="1"/>
  <c r="AB943" i="1" s="1"/>
  <c r="U943" i="1"/>
  <c r="W943" i="1" s="1"/>
  <c r="Z842" i="1"/>
  <c r="AB842" i="1" s="1"/>
  <c r="U842" i="1"/>
  <c r="W842" i="1" s="1"/>
  <c r="Z593" i="1"/>
  <c r="AB593" i="1" s="1"/>
  <c r="U593" i="1"/>
  <c r="W593" i="1" s="1"/>
  <c r="Z755" i="1"/>
  <c r="AB755" i="1" s="1"/>
  <c r="U755" i="1"/>
  <c r="W755" i="1" s="1"/>
  <c r="Z860" i="1"/>
  <c r="AB860" i="1" s="1"/>
  <c r="U860" i="1"/>
  <c r="W860" i="1" s="1"/>
  <c r="Z84" i="1"/>
  <c r="AB84" i="1" s="1"/>
  <c r="U84" i="1"/>
  <c r="W84" i="1" s="1"/>
  <c r="Z249" i="1"/>
  <c r="AB249" i="1" s="1"/>
  <c r="U249" i="1"/>
  <c r="W249" i="1" s="1"/>
  <c r="Z43" i="1"/>
  <c r="AB43" i="1" s="1"/>
  <c r="U43" i="1"/>
  <c r="W43" i="1" s="1"/>
  <c r="Z287" i="1"/>
  <c r="AB287" i="1" s="1"/>
  <c r="U287" i="1"/>
  <c r="W287" i="1" s="1"/>
  <c r="Z99" i="1"/>
  <c r="AB99" i="1" s="1"/>
  <c r="U99" i="1"/>
  <c r="W99" i="1" s="1"/>
  <c r="U297" i="1"/>
  <c r="W297" i="1" s="1"/>
  <c r="Z297" i="1"/>
  <c r="AB297" i="1" s="1"/>
  <c r="Z966" i="1"/>
  <c r="AB966" i="1" s="1"/>
  <c r="U966" i="1"/>
  <c r="W966" i="1" s="1"/>
  <c r="Z375" i="1"/>
  <c r="AB375" i="1" s="1"/>
  <c r="U375" i="1"/>
  <c r="W375" i="1" s="1"/>
  <c r="Z289" i="1"/>
  <c r="AB289" i="1" s="1"/>
  <c r="U289" i="1"/>
  <c r="W289" i="1" s="1"/>
  <c r="Z232" i="1"/>
  <c r="AB232" i="1" s="1"/>
  <c r="U232" i="1"/>
  <c r="W232" i="1" s="1"/>
  <c r="Z489" i="1"/>
  <c r="AB489" i="1" s="1"/>
  <c r="U489" i="1"/>
  <c r="W489" i="1" s="1"/>
  <c r="Z928" i="1"/>
  <c r="AB928" i="1" s="1"/>
  <c r="U928" i="1"/>
  <c r="W928" i="1" s="1"/>
  <c r="Z767" i="1"/>
  <c r="AB767" i="1" s="1"/>
  <c r="U767" i="1"/>
  <c r="W767" i="1" s="1"/>
  <c r="Z598" i="1"/>
  <c r="AB598" i="1" s="1"/>
  <c r="U598" i="1"/>
  <c r="W598" i="1" s="1"/>
  <c r="Z729" i="1"/>
  <c r="AB729" i="1" s="1"/>
  <c r="U729" i="1"/>
  <c r="W729" i="1" s="1"/>
  <c r="Z861" i="1"/>
  <c r="AB861" i="1" s="1"/>
  <c r="U861" i="1"/>
  <c r="W861" i="1" s="1"/>
  <c r="Z947" i="1"/>
  <c r="AB947" i="1" s="1"/>
  <c r="U947" i="1"/>
  <c r="W947" i="1" s="1"/>
  <c r="Z903" i="1"/>
  <c r="AB903" i="1" s="1"/>
  <c r="U903" i="1"/>
  <c r="W903" i="1" s="1"/>
  <c r="Z391" i="1"/>
  <c r="AB391" i="1" s="1"/>
  <c r="U391" i="1"/>
  <c r="W391" i="1" s="1"/>
  <c r="Z544" i="1"/>
  <c r="AB544" i="1" s="1"/>
  <c r="U544" i="1"/>
  <c r="W544" i="1" s="1"/>
  <c r="Z169" i="1"/>
  <c r="AB169" i="1" s="1"/>
  <c r="U169" i="1"/>
  <c r="W169" i="1" s="1"/>
  <c r="Z126" i="1"/>
  <c r="AB126" i="1" s="1"/>
  <c r="U126" i="1"/>
  <c r="W126" i="1" s="1"/>
  <c r="Z471" i="1"/>
  <c r="AB471" i="1" s="1"/>
  <c r="U471" i="1"/>
  <c r="W471" i="1" s="1"/>
  <c r="Z366" i="1"/>
  <c r="AB366" i="1" s="1"/>
  <c r="U366" i="1"/>
  <c r="W366" i="1" s="1"/>
  <c r="Z286" i="1"/>
  <c r="AB286" i="1" s="1"/>
  <c r="U286" i="1"/>
  <c r="W286" i="1" s="1"/>
  <c r="Z256" i="1"/>
  <c r="AB256" i="1" s="1"/>
  <c r="U256" i="1"/>
  <c r="W256" i="1" s="1"/>
  <c r="Z143" i="1"/>
  <c r="AB143" i="1" s="1"/>
  <c r="U143" i="1"/>
  <c r="W143" i="1" s="1"/>
  <c r="Z95" i="1"/>
  <c r="AB95" i="1" s="1"/>
  <c r="U95" i="1"/>
  <c r="W95" i="1" s="1"/>
  <c r="Z482" i="1"/>
  <c r="AB482" i="1" s="1"/>
  <c r="U482" i="1"/>
  <c r="W482" i="1" s="1"/>
  <c r="Z330" i="1"/>
  <c r="AB330" i="1" s="1"/>
  <c r="U330" i="1"/>
  <c r="W330" i="1" s="1"/>
  <c r="Z146" i="1"/>
  <c r="AB146" i="1" s="1"/>
  <c r="U146" i="1"/>
  <c r="W146" i="1" s="1"/>
  <c r="Z182" i="1"/>
  <c r="AB182" i="1" s="1"/>
  <c r="U182" i="1"/>
  <c r="W182" i="1" s="1"/>
  <c r="Z110" i="1"/>
  <c r="AB110" i="1" s="1"/>
  <c r="U110" i="1"/>
  <c r="W110" i="1" s="1"/>
  <c r="Z184" i="1"/>
  <c r="AB184" i="1" s="1"/>
  <c r="U184" i="1"/>
  <c r="W184" i="1" s="1"/>
  <c r="Z29" i="1"/>
  <c r="AB29" i="1" s="1"/>
  <c r="U29" i="1"/>
  <c r="W29" i="1" s="1"/>
  <c r="Z134" i="1"/>
  <c r="AB134" i="1" s="1"/>
  <c r="U134" i="1"/>
  <c r="W134" i="1" s="1"/>
  <c r="Z82" i="1"/>
  <c r="AB82" i="1" s="1"/>
  <c r="U82" i="1"/>
  <c r="W82" i="1" s="1"/>
  <c r="Z75" i="1"/>
  <c r="AB75" i="1" s="1"/>
  <c r="U75" i="1"/>
  <c r="W75" i="1" s="1"/>
  <c r="Z154" i="1"/>
  <c r="AB154" i="1" s="1"/>
  <c r="U154" i="1"/>
  <c r="W154" i="1" s="1"/>
  <c r="Z55" i="1"/>
  <c r="AB55" i="1" s="1"/>
  <c r="U55" i="1"/>
  <c r="W55" i="1" s="1"/>
  <c r="Z305" i="1"/>
  <c r="AB305" i="1" s="1"/>
  <c r="U305" i="1"/>
  <c r="W305" i="1" s="1"/>
  <c r="Z572" i="1"/>
  <c r="AB572" i="1" s="1"/>
  <c r="U572" i="1"/>
  <c r="W572" i="1" s="1"/>
  <c r="Z802" i="1"/>
  <c r="AB802" i="1" s="1"/>
  <c r="U802" i="1"/>
  <c r="W802" i="1" s="1"/>
  <c r="Z656" i="1"/>
  <c r="AB656" i="1" s="1"/>
  <c r="U656" i="1"/>
  <c r="W656" i="1" s="1"/>
  <c r="Z383" i="1"/>
  <c r="AB383" i="1" s="1"/>
  <c r="U383" i="1"/>
  <c r="W383" i="1" s="1"/>
  <c r="Z337" i="1"/>
  <c r="AB337" i="1" s="1"/>
  <c r="U337" i="1"/>
  <c r="W337" i="1" s="1"/>
  <c r="Z198" i="1"/>
  <c r="AB198" i="1" s="1"/>
  <c r="U198" i="1"/>
  <c r="W198" i="1" s="1"/>
  <c r="Z465" i="1"/>
  <c r="AB465" i="1" s="1"/>
  <c r="U465" i="1"/>
  <c r="W465" i="1" s="1"/>
  <c r="Z180" i="1"/>
  <c r="AB180" i="1" s="1"/>
  <c r="U180" i="1"/>
  <c r="W180" i="1" s="1"/>
  <c r="Z16" i="1"/>
  <c r="AB16" i="1" s="1"/>
  <c r="U16" i="1"/>
  <c r="W16" i="1" s="1"/>
  <c r="Z562" i="1"/>
  <c r="AB562" i="1" s="1"/>
  <c r="U562" i="1"/>
  <c r="W562" i="1" s="1"/>
  <c r="Z362" i="1"/>
  <c r="AB362" i="1" s="1"/>
  <c r="U362" i="1"/>
  <c r="W362" i="1" s="1"/>
  <c r="Z818" i="1"/>
  <c r="AB818" i="1" s="1"/>
  <c r="U818" i="1"/>
  <c r="W818" i="1" s="1"/>
  <c r="Z138" i="1"/>
  <c r="AB138" i="1" s="1"/>
  <c r="U138" i="1"/>
  <c r="W138" i="1" s="1"/>
  <c r="Z20" i="1"/>
  <c r="AB20" i="1" s="1"/>
  <c r="U20" i="1"/>
  <c r="W20" i="1" s="1"/>
  <c r="Z704" i="1"/>
  <c r="AB704" i="1" s="1"/>
  <c r="U704" i="1"/>
  <c r="W704" i="1" s="1"/>
  <c r="Z972" i="1"/>
  <c r="AB972" i="1" s="1"/>
  <c r="U972" i="1"/>
  <c r="W972" i="1" s="1"/>
  <c r="Z619" i="1"/>
  <c r="AB619" i="1" s="1"/>
  <c r="U619" i="1"/>
  <c r="W619" i="1" s="1"/>
  <c r="Z357" i="1"/>
  <c r="AB357" i="1" s="1"/>
  <c r="U357" i="1"/>
  <c r="W357" i="1" s="1"/>
  <c r="Z706" i="1"/>
  <c r="AB706" i="1" s="1"/>
  <c r="U706" i="1"/>
  <c r="W706" i="1" s="1"/>
  <c r="Z111" i="1"/>
  <c r="AB111" i="1" s="1"/>
  <c r="U111" i="1"/>
  <c r="W111" i="1" s="1"/>
  <c r="Z896" i="1"/>
  <c r="AB896" i="1" s="1"/>
  <c r="U896" i="1"/>
  <c r="W896" i="1" s="1"/>
  <c r="Z714" i="1"/>
  <c r="AB714" i="1" s="1"/>
  <c r="U714" i="1"/>
  <c r="W714" i="1" s="1"/>
  <c r="Z565" i="1"/>
  <c r="AB565" i="1" s="1"/>
  <c r="U565" i="1"/>
  <c r="W565" i="1" s="1"/>
  <c r="Z817" i="1"/>
  <c r="AB817" i="1" s="1"/>
  <c r="U817" i="1"/>
  <c r="W817" i="1" s="1"/>
  <c r="Z324" i="1"/>
  <c r="AB324" i="1" s="1"/>
  <c r="U324" i="1"/>
  <c r="W324" i="1" s="1"/>
  <c r="Z144" i="1"/>
  <c r="AB144" i="1" s="1"/>
  <c r="U144" i="1"/>
  <c r="W144" i="1" s="1"/>
  <c r="Z37" i="1"/>
  <c r="AB37" i="1" s="1"/>
  <c r="U37" i="1"/>
  <c r="W37" i="1" s="1"/>
  <c r="Z66" i="1"/>
  <c r="AB66" i="1" s="1"/>
  <c r="U66" i="1"/>
  <c r="W66" i="1" s="1"/>
  <c r="Z174" i="1"/>
  <c r="AB174" i="1" s="1"/>
  <c r="U174" i="1"/>
  <c r="W174" i="1" s="1"/>
  <c r="Z24" i="1"/>
  <c r="AB24" i="1" s="1"/>
  <c r="U24" i="1"/>
  <c r="W24" i="1" s="1"/>
  <c r="Z157" i="1"/>
  <c r="AB157" i="1" s="1"/>
  <c r="U157" i="1"/>
  <c r="W157" i="1" s="1"/>
  <c r="Z53" i="1"/>
  <c r="AB53" i="1" s="1"/>
  <c r="U53" i="1"/>
  <c r="W53" i="1" s="1"/>
  <c r="Z159" i="1"/>
  <c r="AB159" i="1" s="1"/>
  <c r="U159" i="1"/>
  <c r="W159" i="1" s="1"/>
  <c r="Z102" i="1"/>
  <c r="AB102" i="1" s="1"/>
  <c r="U102" i="1"/>
  <c r="W102" i="1" s="1"/>
  <c r="Z46" i="1"/>
  <c r="AB46" i="1" s="1"/>
  <c r="U46" i="1"/>
  <c r="W46" i="1" s="1"/>
  <c r="Z797" i="1"/>
  <c r="AB797" i="1" s="1"/>
  <c r="U797" i="1"/>
  <c r="W797" i="1" s="1"/>
  <c r="Z499" i="1"/>
  <c r="AB499" i="1" s="1"/>
  <c r="U499" i="1"/>
  <c r="W499" i="1" s="1"/>
  <c r="Z743" i="1"/>
  <c r="AB743" i="1" s="1"/>
  <c r="U743" i="1"/>
  <c r="W743" i="1" s="1"/>
  <c r="Z826" i="1"/>
  <c r="AB826" i="1" s="1"/>
  <c r="U826" i="1"/>
  <c r="W826" i="1" s="1"/>
  <c r="Z993" i="1"/>
  <c r="AB993" i="1" s="1"/>
  <c r="U993" i="1"/>
  <c r="W993" i="1" s="1"/>
  <c r="Z789" i="1"/>
  <c r="AB789" i="1" s="1"/>
  <c r="U789" i="1"/>
  <c r="W789" i="1" s="1"/>
  <c r="Z363" i="1"/>
  <c r="AB363" i="1" s="1"/>
  <c r="U363" i="1"/>
  <c r="W363" i="1" s="1"/>
  <c r="Z163" i="1"/>
  <c r="AB163" i="1" s="1"/>
  <c r="U163" i="1"/>
  <c r="W163" i="1" s="1"/>
  <c r="Z829" i="1"/>
  <c r="AB829" i="1" s="1"/>
  <c r="U829" i="1"/>
  <c r="W829" i="1" s="1"/>
  <c r="Z319" i="1"/>
  <c r="AB319" i="1" s="1"/>
  <c r="U319" i="1"/>
  <c r="W319" i="1" s="1"/>
  <c r="Z470" i="1"/>
  <c r="AB470" i="1" s="1"/>
  <c r="U470" i="1"/>
  <c r="W470" i="1" s="1"/>
  <c r="Z667" i="1"/>
  <c r="AB667" i="1" s="1"/>
  <c r="U667" i="1"/>
  <c r="W667" i="1" s="1"/>
  <c r="Z850" i="1"/>
  <c r="AB850" i="1" s="1"/>
  <c r="U850" i="1"/>
  <c r="W850" i="1" s="1"/>
  <c r="Z204" i="1"/>
  <c r="AB204" i="1" s="1"/>
  <c r="U204" i="1"/>
  <c r="W204" i="1" s="1"/>
  <c r="Z759" i="1"/>
  <c r="AB759" i="1" s="1"/>
  <c r="U759" i="1"/>
  <c r="W759" i="1" s="1"/>
  <c r="Z969" i="1"/>
  <c r="AB969" i="1" s="1"/>
  <c r="U969" i="1"/>
  <c r="W969" i="1" s="1"/>
  <c r="Z922" i="1"/>
  <c r="AB922" i="1" s="1"/>
  <c r="U922" i="1"/>
  <c r="W922" i="1" s="1"/>
  <c r="Z800" i="1"/>
  <c r="AB800" i="1" s="1"/>
  <c r="U800" i="1"/>
  <c r="W800" i="1" s="1"/>
  <c r="Z592" i="1"/>
  <c r="AB592" i="1" s="1"/>
  <c r="U592" i="1"/>
  <c r="W592" i="1" s="1"/>
  <c r="Z996" i="1"/>
  <c r="AB996" i="1" s="1"/>
  <c r="U996" i="1"/>
  <c r="W996" i="1" s="1"/>
  <c r="Z839" i="1"/>
  <c r="AB839" i="1" s="1"/>
  <c r="U839" i="1"/>
  <c r="W839" i="1" s="1"/>
  <c r="Z692" i="1"/>
  <c r="AB692" i="1" s="1"/>
  <c r="U692" i="1"/>
  <c r="W692" i="1" s="1"/>
  <c r="Z653" i="1"/>
  <c r="AB653" i="1" s="1"/>
  <c r="U653" i="1"/>
  <c r="W653" i="1" s="1"/>
  <c r="Z622" i="1"/>
  <c r="AB622" i="1" s="1"/>
  <c r="U622" i="1"/>
  <c r="W622" i="1" s="1"/>
  <c r="Z953" i="1"/>
  <c r="AB953" i="1" s="1"/>
  <c r="U953" i="1"/>
  <c r="W953" i="1" s="1"/>
  <c r="Z892" i="1"/>
  <c r="AB892" i="1" s="1"/>
  <c r="U892" i="1"/>
  <c r="W892" i="1" s="1"/>
  <c r="Z935" i="1"/>
  <c r="AB935" i="1" s="1"/>
  <c r="U935" i="1"/>
  <c r="W935" i="1" s="1"/>
  <c r="Z779" i="1"/>
  <c r="AB779" i="1" s="1"/>
  <c r="U779" i="1"/>
  <c r="W779" i="1" s="1"/>
  <c r="Z621" i="1"/>
  <c r="AB621" i="1" s="1"/>
  <c r="U621" i="1"/>
  <c r="W621" i="1" s="1"/>
  <c r="Z771" i="1"/>
  <c r="AB771" i="1" s="1"/>
  <c r="U771" i="1"/>
  <c r="W771" i="1" s="1"/>
  <c r="U364" i="1"/>
  <c r="W364" i="1" s="1"/>
  <c r="Z364" i="1"/>
  <c r="AB364" i="1" s="1"/>
  <c r="Z278" i="1"/>
  <c r="AB278" i="1" s="1"/>
  <c r="U278" i="1"/>
  <c r="W278" i="1" s="1"/>
  <c r="Z959" i="1"/>
  <c r="AB959" i="1" s="1"/>
  <c r="U959" i="1"/>
  <c r="W959" i="1" s="1"/>
  <c r="Z964" i="1"/>
  <c r="AB964" i="1" s="1"/>
  <c r="U964" i="1"/>
  <c r="W964" i="1" s="1"/>
  <c r="Z700" i="1"/>
  <c r="AB700" i="1" s="1"/>
  <c r="U700" i="1"/>
  <c r="W700" i="1" s="1"/>
  <c r="Z605" i="1"/>
  <c r="AB605" i="1" s="1"/>
  <c r="U605" i="1"/>
  <c r="W605" i="1" s="1"/>
  <c r="Z394" i="1"/>
  <c r="AB394" i="1" s="1"/>
  <c r="U394" i="1"/>
  <c r="W394" i="1" s="1"/>
  <c r="Z71" i="1"/>
  <c r="AB71" i="1" s="1"/>
  <c r="U71" i="1"/>
  <c r="W71" i="1" s="1"/>
  <c r="Z223" i="1"/>
  <c r="AB223" i="1" s="1"/>
  <c r="U223" i="1"/>
  <c r="W223" i="1" s="1"/>
  <c r="Z137" i="1"/>
  <c r="AB137" i="1" s="1"/>
  <c r="U137" i="1"/>
  <c r="W137" i="1" s="1"/>
  <c r="Z694" i="1"/>
  <c r="AB694" i="1" s="1"/>
  <c r="U694" i="1"/>
  <c r="W694" i="1" s="1"/>
  <c r="Z333" i="1"/>
  <c r="AB333" i="1" s="1"/>
  <c r="U333" i="1"/>
  <c r="W333" i="1" s="1"/>
  <c r="Z624" i="1"/>
  <c r="AB624" i="1" s="1"/>
  <c r="U624" i="1"/>
  <c r="W624" i="1" s="1"/>
  <c r="Z21" i="1"/>
  <c r="AB21" i="1" s="1"/>
  <c r="U21" i="1"/>
  <c r="W21" i="1" s="1"/>
  <c r="Z900" i="1"/>
  <c r="AB900" i="1" s="1"/>
  <c r="U900" i="1"/>
  <c r="W900" i="1" s="1"/>
  <c r="Z949" i="1"/>
  <c r="AB949" i="1" s="1"/>
  <c r="U949" i="1"/>
  <c r="W949" i="1" s="1"/>
  <c r="Z838" i="1"/>
  <c r="AB838" i="1" s="1"/>
  <c r="U838" i="1"/>
  <c r="W838" i="1" s="1"/>
  <c r="Z907" i="1"/>
  <c r="AB907" i="1" s="1"/>
  <c r="U907" i="1"/>
  <c r="W907" i="1" s="1"/>
  <c r="Z866" i="1"/>
  <c r="AB866" i="1" s="1"/>
  <c r="U866" i="1"/>
  <c r="W866" i="1" s="1"/>
  <c r="Z958" i="1"/>
  <c r="AB958" i="1" s="1"/>
  <c r="U958" i="1"/>
  <c r="W958" i="1" s="1"/>
  <c r="Z775" i="1"/>
  <c r="AB775" i="1" s="1"/>
  <c r="U775" i="1"/>
  <c r="W775" i="1" s="1"/>
  <c r="Z941" i="1"/>
  <c r="AB941" i="1" s="1"/>
  <c r="U941" i="1"/>
  <c r="W941" i="1" s="1"/>
  <c r="Z970" i="1"/>
  <c r="AB970" i="1" s="1"/>
  <c r="U970" i="1"/>
  <c r="W970" i="1" s="1"/>
  <c r="Z664" i="1"/>
  <c r="AB664" i="1" s="1"/>
  <c r="U664" i="1"/>
  <c r="W664" i="1" s="1"/>
  <c r="Z654" i="1"/>
  <c r="AB654" i="1" s="1"/>
  <c r="U654" i="1"/>
  <c r="W654" i="1" s="1"/>
  <c r="Z815" i="1"/>
  <c r="AB815" i="1" s="1"/>
  <c r="U815" i="1"/>
  <c r="W815" i="1" s="1"/>
  <c r="Z915" i="1"/>
  <c r="AB915" i="1" s="1"/>
  <c r="U915" i="1"/>
  <c r="W915" i="1" s="1"/>
  <c r="Z642" i="1"/>
  <c r="AB642" i="1" s="1"/>
  <c r="U642" i="1"/>
  <c r="W642" i="1" s="1"/>
  <c r="Z569" i="1"/>
  <c r="AB569" i="1" s="1"/>
  <c r="U569" i="1"/>
  <c r="W569" i="1" s="1"/>
  <c r="Z506" i="1"/>
  <c r="AB506" i="1" s="1"/>
  <c r="U506" i="1"/>
  <c r="W506" i="1" s="1"/>
  <c r="Z853" i="1"/>
  <c r="AB853" i="1" s="1"/>
  <c r="U853" i="1"/>
  <c r="W853" i="1" s="1"/>
  <c r="Z637" i="1"/>
  <c r="AB637" i="1" s="1"/>
  <c r="U637" i="1"/>
  <c r="W637" i="1" s="1"/>
  <c r="Z780" i="1"/>
  <c r="AB780" i="1" s="1"/>
  <c r="U780" i="1"/>
  <c r="W780" i="1" s="1"/>
  <c r="Z510" i="1"/>
  <c r="AB510" i="1" s="1"/>
  <c r="U510" i="1"/>
  <c r="W510" i="1" s="1"/>
  <c r="Z1001" i="1"/>
  <c r="AB1001" i="1" s="1"/>
  <c r="U1001" i="1"/>
  <c r="W1001" i="1" s="1"/>
  <c r="Z862" i="1"/>
  <c r="AB862" i="1" s="1"/>
  <c r="U862" i="1"/>
  <c r="W862" i="1" s="1"/>
  <c r="Z641" i="1"/>
  <c r="AB641" i="1" s="1"/>
  <c r="U641" i="1"/>
  <c r="W641" i="1" s="1"/>
  <c r="Z537" i="1"/>
  <c r="AB537" i="1" s="1"/>
  <c r="U537" i="1"/>
  <c r="W537" i="1" s="1"/>
  <c r="Z382" i="1"/>
  <c r="AB382" i="1" s="1"/>
  <c r="U382" i="1"/>
  <c r="W382" i="1" s="1"/>
  <c r="Z707" i="1"/>
  <c r="AB707" i="1" s="1"/>
  <c r="U707" i="1"/>
  <c r="W707" i="1" s="1"/>
  <c r="Z620" i="1"/>
  <c r="AB620" i="1" s="1"/>
  <c r="U620" i="1"/>
  <c r="W620" i="1" s="1"/>
  <c r="Z428" i="1"/>
  <c r="AB428" i="1" s="1"/>
  <c r="U428" i="1"/>
  <c r="W428" i="1" s="1"/>
  <c r="Z350" i="1"/>
  <c r="AB350" i="1" s="1"/>
  <c r="U350" i="1"/>
  <c r="W350" i="1" s="1"/>
  <c r="Z374" i="1"/>
  <c r="AB374" i="1" s="1"/>
  <c r="U374" i="1"/>
  <c r="W374" i="1" s="1"/>
  <c r="Z455" i="1"/>
  <c r="AB455" i="1" s="1"/>
  <c r="U455" i="1"/>
  <c r="W455" i="1" s="1"/>
  <c r="Z412" i="1"/>
  <c r="AB412" i="1" s="1"/>
  <c r="U412" i="1"/>
  <c r="W412" i="1" s="1"/>
  <c r="Z480" i="1"/>
  <c r="AB480" i="1" s="1"/>
  <c r="U480" i="1"/>
  <c r="W480" i="1" s="1"/>
  <c r="Z618" i="1"/>
  <c r="AB618" i="1" s="1"/>
  <c r="U618" i="1"/>
  <c r="W618" i="1" s="1"/>
  <c r="Z547" i="1"/>
  <c r="AB547" i="1" s="1"/>
  <c r="U547" i="1"/>
  <c r="W547" i="1" s="1"/>
  <c r="Z269" i="1"/>
  <c r="AB269" i="1" s="1"/>
  <c r="U269" i="1"/>
  <c r="W269" i="1" s="1"/>
  <c r="Z384" i="1"/>
  <c r="AB384" i="1" s="1"/>
  <c r="U384" i="1"/>
  <c r="W384" i="1" s="1"/>
  <c r="Z493" i="1"/>
  <c r="AB493" i="1" s="1"/>
  <c r="U493" i="1"/>
  <c r="W493" i="1" s="1"/>
  <c r="Z345" i="1"/>
  <c r="AB345" i="1" s="1"/>
  <c r="U345" i="1"/>
  <c r="W345" i="1" s="1"/>
  <c r="Z429" i="1"/>
  <c r="AB429" i="1" s="1"/>
  <c r="U429" i="1"/>
  <c r="W429" i="1" s="1"/>
  <c r="Z355" i="1"/>
  <c r="AB355" i="1" s="1"/>
  <c r="U355" i="1"/>
  <c r="W355" i="1" s="1"/>
  <c r="Z164" i="1"/>
  <c r="AB164" i="1" s="1"/>
  <c r="U164" i="1"/>
  <c r="W164" i="1" s="1"/>
  <c r="Z207" i="1"/>
  <c r="AB207" i="1" s="1"/>
  <c r="U207" i="1"/>
  <c r="W207" i="1" s="1"/>
  <c r="Z117" i="1"/>
  <c r="AB117" i="1" s="1"/>
  <c r="U117" i="1"/>
  <c r="W117" i="1" s="1"/>
  <c r="Z434" i="1"/>
  <c r="AB434" i="1" s="1"/>
  <c r="U434" i="1"/>
  <c r="W434" i="1" s="1"/>
  <c r="Z461" i="1"/>
  <c r="AB461" i="1" s="1"/>
  <c r="U461" i="1"/>
  <c r="W461" i="1" s="1"/>
  <c r="Z436" i="1"/>
  <c r="AB436" i="1" s="1"/>
  <c r="U436" i="1"/>
  <c r="W436" i="1" s="1"/>
  <c r="Z229" i="1"/>
  <c r="AB229" i="1" s="1"/>
  <c r="U229" i="1"/>
  <c r="W229" i="1" s="1"/>
  <c r="Z74" i="1"/>
  <c r="AB74" i="1" s="1"/>
  <c r="U74" i="1"/>
  <c r="W74" i="1" s="1"/>
  <c r="Z356" i="1"/>
  <c r="AB356" i="1" s="1"/>
  <c r="U356" i="1"/>
  <c r="W356" i="1" s="1"/>
  <c r="Z268" i="1"/>
  <c r="AB268" i="1" s="1"/>
  <c r="U268" i="1"/>
  <c r="W268" i="1" s="1"/>
  <c r="Z189" i="1"/>
  <c r="AB189" i="1" s="1"/>
  <c r="U189" i="1"/>
  <c r="W189" i="1" s="1"/>
  <c r="Z90" i="1"/>
  <c r="AB90" i="1" s="1"/>
  <c r="U90" i="1"/>
  <c r="W90" i="1" s="1"/>
  <c r="Z368" i="1"/>
  <c r="AB368" i="1" s="1"/>
  <c r="U368" i="1"/>
  <c r="W368" i="1" s="1"/>
  <c r="Z17" i="1"/>
  <c r="AB17" i="1" s="1"/>
  <c r="U17" i="1"/>
  <c r="W17" i="1" s="1"/>
  <c r="Z103" i="1"/>
  <c r="AB103" i="1" s="1"/>
  <c r="U103" i="1"/>
  <c r="W103" i="1" s="1"/>
  <c r="Z72" i="1"/>
  <c r="AB72" i="1" s="1"/>
  <c r="U72" i="1"/>
  <c r="W72" i="1" s="1"/>
  <c r="Z48" i="1"/>
  <c r="AB48" i="1" s="1"/>
  <c r="U48" i="1"/>
  <c r="W48" i="1" s="1"/>
  <c r="Z999" i="1"/>
  <c r="AB999" i="1" s="1"/>
  <c r="U999" i="1"/>
  <c r="W999" i="1" s="1"/>
  <c r="Z894" i="1"/>
  <c r="AB894" i="1" s="1"/>
  <c r="U894" i="1"/>
  <c r="W894" i="1" s="1"/>
  <c r="Z596" i="1"/>
  <c r="AB596" i="1" s="1"/>
  <c r="U596" i="1"/>
  <c r="W596" i="1" s="1"/>
  <c r="Z570" i="1"/>
  <c r="AB570" i="1" s="1"/>
  <c r="U570" i="1"/>
  <c r="W570" i="1" s="1"/>
  <c r="Z916" i="1"/>
  <c r="AB916" i="1" s="1"/>
  <c r="U916" i="1"/>
  <c r="W916" i="1" s="1"/>
  <c r="Z579" i="1"/>
  <c r="AB579" i="1" s="1"/>
  <c r="U579" i="1"/>
  <c r="W579" i="1" s="1"/>
  <c r="Z285" i="1"/>
  <c r="AB285" i="1" s="1"/>
  <c r="U285" i="1"/>
  <c r="W285" i="1" s="1"/>
  <c r="Z846" i="1"/>
  <c r="AB846" i="1" s="1"/>
  <c r="U846" i="1"/>
  <c r="W846" i="1" s="1"/>
  <c r="Z444" i="1"/>
  <c r="AB444" i="1" s="1"/>
  <c r="U444" i="1"/>
  <c r="W444" i="1" s="1"/>
  <c r="Z332" i="1"/>
  <c r="AB332" i="1" s="1"/>
  <c r="U332" i="1"/>
  <c r="W332" i="1" s="1"/>
  <c r="Z385" i="1"/>
  <c r="AB385" i="1" s="1"/>
  <c r="U385" i="1"/>
  <c r="W385" i="1" s="1"/>
  <c r="Z514" i="1"/>
  <c r="AB514" i="1" s="1"/>
  <c r="U514" i="1"/>
  <c r="W514" i="1" s="1"/>
  <c r="Z150" i="1"/>
  <c r="AB150" i="1" s="1"/>
  <c r="U150" i="1"/>
  <c r="W150" i="1" s="1"/>
  <c r="Z396" i="1"/>
  <c r="AB396" i="1" s="1"/>
  <c r="U396" i="1"/>
  <c r="W396" i="1" s="1"/>
  <c r="Z83" i="1"/>
  <c r="AB83" i="1" s="1"/>
  <c r="U83" i="1"/>
  <c r="W83" i="1" s="1"/>
  <c r="Z627" i="1"/>
  <c r="AB627" i="1" s="1"/>
  <c r="U627" i="1"/>
  <c r="W627" i="1" s="1"/>
  <c r="Z243" i="1"/>
  <c r="AB243" i="1" s="1"/>
  <c r="U243" i="1"/>
  <c r="W243" i="1" s="1"/>
  <c r="Z522" i="1"/>
  <c r="AB522" i="1" s="1"/>
  <c r="U522" i="1"/>
  <c r="W522" i="1" s="1"/>
  <c r="Z248" i="1"/>
  <c r="AB248" i="1" s="1"/>
  <c r="U248" i="1"/>
  <c r="W248" i="1" s="1"/>
  <c r="Z92" i="1"/>
  <c r="AB92" i="1" s="1"/>
  <c r="U92" i="1"/>
  <c r="W92" i="1" s="1"/>
  <c r="Z56" i="1"/>
  <c r="AB56" i="1" s="1"/>
  <c r="U56" i="1"/>
  <c r="W56" i="1" s="1"/>
  <c r="Z405" i="1"/>
  <c r="AB405" i="1" s="1"/>
  <c r="U405" i="1"/>
  <c r="W405" i="1" s="1"/>
  <c r="Z961" i="1"/>
  <c r="AB961" i="1" s="1"/>
  <c r="U961" i="1"/>
  <c r="W961" i="1" s="1"/>
  <c r="Z911" i="1"/>
  <c r="AB911" i="1" s="1"/>
  <c r="U911" i="1"/>
  <c r="W911" i="1" s="1"/>
  <c r="Z616" i="1"/>
  <c r="AB616" i="1" s="1"/>
  <c r="U616" i="1"/>
  <c r="W616" i="1" s="1"/>
  <c r="Z634" i="1"/>
  <c r="AB634" i="1" s="1"/>
  <c r="U634" i="1"/>
  <c r="W634" i="1" s="1"/>
  <c r="Z920" i="1"/>
  <c r="AB920" i="1" s="1"/>
  <c r="U920" i="1"/>
  <c r="W920" i="1" s="1"/>
  <c r="Z757" i="1"/>
  <c r="AB757" i="1" s="1"/>
  <c r="U757" i="1"/>
  <c r="W757" i="1" s="1"/>
  <c r="Z868" i="1"/>
  <c r="AB868" i="1" s="1"/>
  <c r="U868" i="1"/>
  <c r="W868" i="1" s="1"/>
  <c r="Z723" i="1"/>
  <c r="AB723" i="1" s="1"/>
  <c r="U723" i="1"/>
  <c r="W723" i="1" s="1"/>
  <c r="Z651" i="1"/>
  <c r="AB651" i="1" s="1"/>
  <c r="U651" i="1"/>
  <c r="W651" i="1" s="1"/>
  <c r="Z526" i="1"/>
  <c r="AB526" i="1" s="1"/>
  <c r="U526" i="1"/>
  <c r="W526" i="1" s="1"/>
  <c r="Z730" i="1"/>
  <c r="AB730" i="1" s="1"/>
  <c r="U730" i="1"/>
  <c r="W730" i="1" s="1"/>
  <c r="Z721" i="1"/>
  <c r="AB721" i="1" s="1"/>
  <c r="U721" i="1"/>
  <c r="W721" i="1" s="1"/>
  <c r="Z614" i="1"/>
  <c r="AB614" i="1" s="1"/>
  <c r="U614" i="1"/>
  <c r="W614" i="1" s="1"/>
  <c r="Z472" i="1"/>
  <c r="AB472" i="1" s="1"/>
  <c r="U472" i="1"/>
  <c r="W472" i="1" s="1"/>
  <c r="Z148" i="1"/>
  <c r="AB148" i="1" s="1"/>
  <c r="U148" i="1"/>
  <c r="W148" i="1" s="1"/>
  <c r="Z968" i="1"/>
  <c r="AB968" i="1" s="1"/>
  <c r="U968" i="1"/>
  <c r="W968" i="1" s="1"/>
  <c r="Z921" i="1"/>
  <c r="AB921" i="1" s="1"/>
  <c r="U921" i="1"/>
  <c r="W921" i="1" s="1"/>
  <c r="Z670" i="1"/>
  <c r="AB670" i="1" s="1"/>
  <c r="U670" i="1"/>
  <c r="W670" i="1" s="1"/>
  <c r="Z950" i="1"/>
  <c r="AB950" i="1" s="1"/>
  <c r="U950" i="1"/>
  <c r="W950" i="1" s="1"/>
  <c r="Z433" i="1"/>
  <c r="AB433" i="1" s="1"/>
  <c r="U433" i="1"/>
  <c r="W433" i="1" s="1"/>
  <c r="Z205" i="1"/>
  <c r="AB205" i="1" s="1"/>
  <c r="U205" i="1"/>
  <c r="W205" i="1" s="1"/>
  <c r="Z406" i="1"/>
  <c r="AB406" i="1" s="1"/>
  <c r="U406" i="1"/>
  <c r="W406" i="1" s="1"/>
  <c r="Z849" i="1"/>
  <c r="AB849" i="1" s="1"/>
  <c r="U849" i="1"/>
  <c r="W849" i="1" s="1"/>
  <c r="Z974" i="1"/>
  <c r="AB974" i="1" s="1"/>
  <c r="U974" i="1"/>
  <c r="W974" i="1" s="1"/>
  <c r="Z573" i="1"/>
  <c r="AB573" i="1" s="1"/>
  <c r="U573" i="1"/>
  <c r="W573" i="1" s="1"/>
  <c r="Z450" i="1"/>
  <c r="AB450" i="1" s="1"/>
  <c r="U450" i="1"/>
  <c r="W450" i="1" s="1"/>
  <c r="Z988" i="1"/>
  <c r="AB988" i="1" s="1"/>
  <c r="U988" i="1"/>
  <c r="W988" i="1" s="1"/>
  <c r="Z458" i="1"/>
  <c r="AB458" i="1" s="1"/>
  <c r="U458" i="1"/>
  <c r="W458" i="1" s="1"/>
  <c r="Z340" i="1"/>
  <c r="AB340" i="1" s="1"/>
  <c r="U340" i="1"/>
  <c r="W340" i="1" s="1"/>
  <c r="Z578" i="1"/>
  <c r="AB578" i="1" s="1"/>
  <c r="U578" i="1"/>
  <c r="W578" i="1" s="1"/>
  <c r="Z296" i="1"/>
  <c r="AB296" i="1" s="1"/>
  <c r="U296" i="1"/>
  <c r="W296" i="1" s="1"/>
  <c r="Z245" i="1"/>
  <c r="AB245" i="1" s="1"/>
  <c r="U245" i="1"/>
  <c r="W245" i="1" s="1"/>
  <c r="Z281" i="1"/>
  <c r="AB281" i="1" s="1"/>
  <c r="U281" i="1"/>
  <c r="W281" i="1" s="1"/>
  <c r="Z252" i="1"/>
  <c r="AB252" i="1" s="1"/>
  <c r="U252" i="1"/>
  <c r="W252" i="1" s="1"/>
  <c r="Z951" i="1"/>
  <c r="AB951" i="1" s="1"/>
  <c r="U951" i="1"/>
  <c r="W951" i="1" s="1"/>
  <c r="Z929" i="1"/>
  <c r="AB929" i="1" s="1"/>
  <c r="U929" i="1"/>
  <c r="W929" i="1" s="1"/>
  <c r="Z833" i="1"/>
  <c r="AB833" i="1" s="1"/>
  <c r="U833" i="1"/>
  <c r="W833" i="1" s="1"/>
  <c r="Z859" i="1"/>
  <c r="AB859" i="1" s="1"/>
  <c r="U859" i="1"/>
  <c r="W859" i="1" s="1"/>
  <c r="Z886" i="1"/>
  <c r="AB886" i="1" s="1"/>
  <c r="U886" i="1"/>
  <c r="W886" i="1" s="1"/>
  <c r="Z931" i="1"/>
  <c r="AB931" i="1" s="1"/>
  <c r="U931" i="1"/>
  <c r="W931" i="1" s="1"/>
  <c r="Z898" i="1"/>
  <c r="AB898" i="1" s="1"/>
  <c r="U898" i="1"/>
  <c r="W898" i="1" s="1"/>
  <c r="Z884" i="1"/>
  <c r="AB884" i="1" s="1"/>
  <c r="U884" i="1"/>
  <c r="W884" i="1" s="1"/>
  <c r="Z650" i="1"/>
  <c r="AB650" i="1" s="1"/>
  <c r="U650" i="1"/>
  <c r="W650" i="1" s="1"/>
  <c r="Z563" i="1"/>
  <c r="AB563" i="1" s="1"/>
  <c r="U563" i="1"/>
  <c r="W563" i="1" s="1"/>
  <c r="Z708" i="1"/>
  <c r="AB708" i="1" s="1"/>
  <c r="U708" i="1"/>
  <c r="W708" i="1" s="1"/>
  <c r="Z617" i="1"/>
  <c r="AB617" i="1" s="1"/>
  <c r="U617" i="1"/>
  <c r="W617" i="1" s="1"/>
  <c r="Z559" i="1"/>
  <c r="AB559" i="1" s="1"/>
  <c r="U559" i="1"/>
  <c r="W559" i="1" s="1"/>
  <c r="Z766" i="1"/>
  <c r="AB766" i="1" s="1"/>
  <c r="U766" i="1"/>
  <c r="W766" i="1" s="1"/>
  <c r="Z686" i="1"/>
  <c r="AB686" i="1" s="1"/>
  <c r="U686" i="1"/>
  <c r="W686" i="1" s="1"/>
  <c r="Z722" i="1"/>
  <c r="AB722" i="1" s="1"/>
  <c r="U722" i="1"/>
  <c r="W722" i="1" s="1"/>
  <c r="Z635" i="1"/>
  <c r="AB635" i="1" s="1"/>
  <c r="U635" i="1"/>
  <c r="W635" i="1" s="1"/>
  <c r="Z504" i="1"/>
  <c r="AB504" i="1" s="1"/>
  <c r="U504" i="1"/>
  <c r="W504" i="1" s="1"/>
  <c r="Z585" i="1"/>
  <c r="AB585" i="1" s="1"/>
  <c r="U585" i="1"/>
  <c r="W585" i="1" s="1"/>
  <c r="Z726" i="1"/>
  <c r="AB726" i="1" s="1"/>
  <c r="U726" i="1"/>
  <c r="W726" i="1" s="1"/>
  <c r="Z738" i="1"/>
  <c r="AB738" i="1" s="1"/>
  <c r="U738" i="1"/>
  <c r="W738" i="1" s="1"/>
  <c r="Z607" i="1"/>
  <c r="AB607" i="1" s="1"/>
  <c r="U607" i="1"/>
  <c r="W607" i="1" s="1"/>
  <c r="Z647" i="1"/>
  <c r="AB647" i="1" s="1"/>
  <c r="U647" i="1"/>
  <c r="W647" i="1" s="1"/>
  <c r="Z452" i="1"/>
  <c r="AB452" i="1" s="1"/>
  <c r="U452" i="1"/>
  <c r="W452" i="1" s="1"/>
  <c r="Z321" i="1"/>
  <c r="AB321" i="1" s="1"/>
  <c r="U321" i="1"/>
  <c r="W321" i="1" s="1"/>
  <c r="Z507" i="1"/>
  <c r="AB507" i="1" s="1"/>
  <c r="U507" i="1"/>
  <c r="W507" i="1" s="1"/>
  <c r="Z895" i="1"/>
  <c r="AB895" i="1" s="1"/>
  <c r="U895" i="1"/>
  <c r="W895" i="1" s="1"/>
  <c r="Z348" i="1"/>
  <c r="AB348" i="1" s="1"/>
  <c r="U348" i="1"/>
  <c r="W348" i="1" s="1"/>
  <c r="Z226" i="1"/>
  <c r="AB226" i="1" s="1"/>
  <c r="U226" i="1"/>
  <c r="W226" i="1" s="1"/>
  <c r="Z410" i="1"/>
  <c r="AB410" i="1" s="1"/>
  <c r="U410" i="1"/>
  <c r="W410" i="1" s="1"/>
  <c r="Z307" i="1"/>
  <c r="AB307" i="1" s="1"/>
  <c r="U307" i="1"/>
  <c r="W307" i="1" s="1"/>
  <c r="Z247" i="1"/>
  <c r="AB247" i="1" s="1"/>
  <c r="U247" i="1"/>
  <c r="W247" i="1" s="1"/>
  <c r="Z161" i="1"/>
  <c r="AB161" i="1" s="1"/>
  <c r="U161" i="1"/>
  <c r="W161" i="1" s="1"/>
  <c r="Z196" i="1"/>
  <c r="AB196" i="1" s="1"/>
  <c r="U196" i="1"/>
  <c r="W196" i="1" s="1"/>
  <c r="Z460" i="1"/>
  <c r="AB460" i="1" s="1"/>
  <c r="U460" i="1"/>
  <c r="W460" i="1" s="1"/>
  <c r="Z508" i="1"/>
  <c r="AB508" i="1" s="1"/>
  <c r="U508" i="1"/>
  <c r="W508" i="1" s="1"/>
  <c r="Z176" i="1"/>
  <c r="AB176" i="1" s="1"/>
  <c r="U176" i="1"/>
  <c r="W176" i="1" s="1"/>
  <c r="Z167" i="1"/>
  <c r="AB167" i="1" s="1"/>
  <c r="U167" i="1"/>
  <c r="W167" i="1" s="1"/>
  <c r="Z270" i="1"/>
  <c r="AB270" i="1" s="1"/>
  <c r="U270" i="1"/>
  <c r="W270" i="1" s="1"/>
  <c r="Z208" i="1"/>
  <c r="AB208" i="1" s="1"/>
  <c r="U208" i="1"/>
  <c r="W208" i="1" s="1"/>
  <c r="Z177" i="1"/>
  <c r="AB177" i="1" s="1"/>
  <c r="U177" i="1"/>
  <c r="W177" i="1" s="1"/>
  <c r="Z170" i="1"/>
  <c r="AB170" i="1" s="1"/>
  <c r="U170" i="1"/>
  <c r="W170" i="1" s="1"/>
  <c r="Z745" i="1"/>
  <c r="AB745" i="1" s="1"/>
  <c r="U745" i="1"/>
  <c r="W745" i="1" s="1"/>
  <c r="Z361" i="1"/>
  <c r="AB361" i="1" s="1"/>
  <c r="U361" i="1"/>
  <c r="W361" i="1" s="1"/>
  <c r="Z446" i="1"/>
  <c r="AB446" i="1" s="1"/>
  <c r="U446" i="1"/>
  <c r="W446" i="1" s="1"/>
  <c r="Z300" i="1"/>
  <c r="AB300" i="1" s="1"/>
  <c r="U300" i="1"/>
  <c r="W300" i="1" s="1"/>
  <c r="Z54" i="1"/>
  <c r="AB54" i="1" s="1"/>
  <c r="U54" i="1"/>
  <c r="W54" i="1" s="1"/>
  <c r="Z713" i="1"/>
  <c r="AB713" i="1" s="1"/>
  <c r="U713" i="1"/>
  <c r="W713" i="1" s="1"/>
  <c r="Z125" i="1"/>
  <c r="AB125" i="1" s="1"/>
  <c r="U125" i="1"/>
  <c r="W125" i="1" s="1"/>
  <c r="Z227" i="1"/>
  <c r="AB227" i="1" s="1"/>
  <c r="U227" i="1"/>
  <c r="W227" i="1" s="1"/>
  <c r="Z882" i="1"/>
  <c r="AB882" i="1" s="1"/>
  <c r="U882" i="1"/>
  <c r="W882" i="1" s="1"/>
  <c r="Z804" i="1"/>
  <c r="AB804" i="1" s="1"/>
  <c r="U804" i="1"/>
  <c r="W804" i="1" s="1"/>
  <c r="Z411" i="1"/>
  <c r="AB411" i="1" s="1"/>
  <c r="U411" i="1"/>
  <c r="W411" i="1" s="1"/>
  <c r="Z561" i="1"/>
  <c r="AB561" i="1" s="1"/>
  <c r="U561" i="1"/>
  <c r="W561" i="1" s="1"/>
  <c r="Z781" i="1"/>
  <c r="AB781" i="1" s="1"/>
  <c r="U781" i="1"/>
  <c r="W781" i="1" s="1"/>
  <c r="Z539" i="1"/>
  <c r="AB539" i="1" s="1"/>
  <c r="U539" i="1"/>
  <c r="W539" i="1" s="1"/>
  <c r="Z902" i="1"/>
  <c r="AB902" i="1" s="1"/>
  <c r="U902" i="1"/>
  <c r="W902" i="1" s="1"/>
  <c r="Z516" i="1"/>
  <c r="AB516" i="1" s="1"/>
  <c r="U516" i="1"/>
  <c r="W516" i="1" s="1"/>
  <c r="Z259" i="1"/>
  <c r="AB259" i="1" s="1"/>
  <c r="U259" i="1"/>
  <c r="W259" i="1" s="1"/>
  <c r="Z132" i="1"/>
  <c r="AB132" i="1" s="1"/>
  <c r="U132" i="1"/>
  <c r="W132" i="1" s="1"/>
  <c r="Z209" i="1"/>
  <c r="AB209" i="1" s="1"/>
  <c r="U209" i="1"/>
  <c r="W209" i="1" s="1"/>
  <c r="Z530" i="1"/>
  <c r="AB530" i="1" s="1"/>
  <c r="U530" i="1"/>
  <c r="W530" i="1" s="1"/>
  <c r="Z96" i="1"/>
  <c r="AB96" i="1" s="1"/>
  <c r="U96" i="1"/>
  <c r="W96" i="1" s="1"/>
  <c r="Z235" i="1"/>
  <c r="AB235" i="1" s="1"/>
  <c r="U235" i="1"/>
  <c r="W235" i="1" s="1"/>
  <c r="Z505" i="1"/>
  <c r="AB505" i="1" s="1"/>
  <c r="U505" i="1"/>
  <c r="W505" i="1" s="1"/>
  <c r="Z945" i="1"/>
  <c r="AB945" i="1" s="1"/>
  <c r="U945" i="1"/>
  <c r="W945" i="1" s="1"/>
  <c r="Z315" i="1"/>
  <c r="AB315" i="1" s="1"/>
  <c r="U315" i="1"/>
  <c r="W315" i="1" s="1"/>
  <c r="Z582" i="1"/>
  <c r="AB582" i="1" s="1"/>
  <c r="U582" i="1"/>
  <c r="W582" i="1" s="1"/>
  <c r="Z872" i="1"/>
  <c r="AB872" i="1" s="1"/>
  <c r="U872" i="1"/>
  <c r="W872" i="1" s="1"/>
  <c r="Z769" i="1"/>
  <c r="AB769" i="1" s="1"/>
  <c r="U769" i="1"/>
  <c r="W769" i="1" s="1"/>
  <c r="Z477" i="1"/>
  <c r="AB477" i="1" s="1"/>
  <c r="U477" i="1"/>
  <c r="W477" i="1" s="1"/>
  <c r="Z764" i="1"/>
  <c r="AB764" i="1" s="1"/>
  <c r="U764" i="1"/>
  <c r="W764" i="1" s="1"/>
  <c r="Z879" i="1"/>
  <c r="AB879" i="1" s="1"/>
  <c r="U879" i="1"/>
  <c r="W879" i="1" s="1"/>
  <c r="Z983" i="1"/>
  <c r="AB983" i="1" s="1"/>
  <c r="U983" i="1"/>
  <c r="W983" i="1" s="1"/>
  <c r="Z794" i="1"/>
  <c r="AB794" i="1" s="1"/>
  <c r="U794" i="1"/>
  <c r="W794" i="1" s="1"/>
  <c r="Z739" i="1"/>
  <c r="AB739" i="1" s="1"/>
  <c r="U739" i="1"/>
  <c r="W739" i="1" s="1"/>
  <c r="Z613" i="1"/>
  <c r="AB613" i="1" s="1"/>
  <c r="U613" i="1"/>
  <c r="W613" i="1" s="1"/>
  <c r="Z873" i="1"/>
  <c r="AB873" i="1" s="1"/>
  <c r="U873" i="1"/>
  <c r="W873" i="1" s="1"/>
  <c r="Z590" i="1"/>
  <c r="AB590" i="1" s="1"/>
  <c r="U590" i="1"/>
  <c r="W590" i="1" s="1"/>
  <c r="Z992" i="1"/>
  <c r="AB992" i="1" s="1"/>
  <c r="U992" i="1"/>
  <c r="W992" i="1" s="1"/>
  <c r="Z752" i="1"/>
  <c r="AB752" i="1" s="1"/>
  <c r="U752" i="1"/>
  <c r="W752" i="1" s="1"/>
  <c r="Z658" i="1"/>
  <c r="AB658" i="1" s="1"/>
  <c r="U658" i="1"/>
  <c r="W658" i="1" s="1"/>
  <c r="Z905" i="1"/>
  <c r="AB905" i="1" s="1"/>
  <c r="U905" i="1"/>
  <c r="W905" i="1" s="1"/>
  <c r="Z291" i="1"/>
  <c r="AB291" i="1" s="1"/>
  <c r="U291" i="1"/>
  <c r="W291" i="1" s="1"/>
  <c r="Z85" i="1"/>
  <c r="AB85" i="1" s="1"/>
  <c r="U85" i="1"/>
  <c r="W85" i="1" s="1"/>
  <c r="Z843" i="1"/>
  <c r="AB843" i="1" s="1"/>
  <c r="U843" i="1"/>
  <c r="W843" i="1" s="1"/>
  <c r="Z577" i="1"/>
  <c r="AB577" i="1" s="1"/>
  <c r="U577" i="1"/>
  <c r="W577" i="1" s="1"/>
  <c r="Z491" i="1"/>
  <c r="AB491" i="1" s="1"/>
  <c r="U491" i="1"/>
  <c r="W491" i="1" s="1"/>
  <c r="Z890" i="1"/>
  <c r="AB890" i="1" s="1"/>
  <c r="U890" i="1"/>
  <c r="W890" i="1" s="1"/>
  <c r="Z502" i="1"/>
  <c r="AB502" i="1" s="1"/>
  <c r="U502" i="1"/>
  <c r="W502" i="1" s="1"/>
  <c r="Z492" i="1"/>
  <c r="AB492" i="1" s="1"/>
  <c r="U492" i="1"/>
  <c r="W492" i="1" s="1"/>
  <c r="Z541" i="1"/>
  <c r="AB541" i="1" s="1"/>
  <c r="U541" i="1"/>
  <c r="W541" i="1" s="1"/>
  <c r="Z939" i="1"/>
  <c r="AB939" i="1" s="1"/>
  <c r="U939" i="1"/>
  <c r="W939" i="1" s="1"/>
  <c r="Z841" i="1"/>
  <c r="AB841" i="1" s="1"/>
  <c r="U841" i="1"/>
  <c r="W841" i="1" s="1"/>
  <c r="Z792" i="1"/>
  <c r="AB792" i="1" s="1"/>
  <c r="U792" i="1"/>
  <c r="W792" i="1" s="1"/>
  <c r="Z586" i="1"/>
  <c r="AB586" i="1" s="1"/>
  <c r="U586" i="1"/>
  <c r="W586" i="1" s="1"/>
  <c r="Z663" i="1"/>
  <c r="AB663" i="1" s="1"/>
  <c r="U663" i="1"/>
  <c r="W663" i="1" s="1"/>
  <c r="Z257" i="1"/>
  <c r="AB257" i="1" s="1"/>
  <c r="U257" i="1"/>
  <c r="W257" i="1" s="1"/>
  <c r="Z513" i="1"/>
  <c r="AB513" i="1" s="1"/>
  <c r="U513" i="1"/>
  <c r="W513" i="1" s="1"/>
  <c r="Z556" i="1"/>
  <c r="AB556" i="1" s="1"/>
  <c r="U556" i="1"/>
  <c r="W556" i="1" s="1"/>
  <c r="Z954" i="1"/>
  <c r="AB954" i="1" s="1"/>
  <c r="U954" i="1"/>
  <c r="W954" i="1" s="1"/>
  <c r="Z908" i="1"/>
  <c r="AB908" i="1" s="1"/>
  <c r="U908" i="1"/>
  <c r="W908" i="1" s="1"/>
  <c r="Z816" i="1"/>
  <c r="AB816" i="1" s="1"/>
  <c r="U816" i="1"/>
  <c r="W816" i="1" s="1"/>
  <c r="Z914" i="1"/>
  <c r="AB914" i="1" s="1"/>
  <c r="U914" i="1"/>
  <c r="W914" i="1" s="1"/>
  <c r="Z985" i="1"/>
  <c r="AB985" i="1" s="1"/>
  <c r="U985" i="1"/>
  <c r="W985" i="1" s="1"/>
  <c r="Z923" i="1"/>
  <c r="AB923" i="1" s="1"/>
  <c r="U923" i="1"/>
  <c r="W923" i="1" s="1"/>
  <c r="Z831" i="1"/>
  <c r="AB831" i="1" s="1"/>
  <c r="U831" i="1"/>
  <c r="W831" i="1" s="1"/>
  <c r="Z975" i="1"/>
  <c r="AB975" i="1" s="1"/>
  <c r="U975" i="1"/>
  <c r="W975" i="1" s="1"/>
  <c r="Z836" i="1"/>
  <c r="AB836" i="1" s="1"/>
  <c r="U836" i="1"/>
  <c r="W836" i="1" s="1"/>
  <c r="Z762" i="1"/>
  <c r="AB762" i="1" s="1"/>
  <c r="U762" i="1"/>
  <c r="W762" i="1" s="1"/>
  <c r="Z732" i="1"/>
  <c r="AB732" i="1" s="1"/>
  <c r="U732" i="1"/>
  <c r="W732" i="1" s="1"/>
  <c r="Z796" i="1"/>
  <c r="AB796" i="1" s="1"/>
  <c r="U796" i="1"/>
  <c r="W796" i="1" s="1"/>
  <c r="Z883" i="1"/>
  <c r="AB883" i="1" s="1"/>
  <c r="U883" i="1"/>
  <c r="W883" i="1" s="1"/>
  <c r="Z827" i="1"/>
  <c r="AB827" i="1" s="1"/>
  <c r="U827" i="1"/>
  <c r="W827" i="1" s="1"/>
  <c r="Z960" i="1"/>
  <c r="AB960" i="1" s="1"/>
  <c r="U960" i="1"/>
  <c r="W960" i="1" s="1"/>
  <c r="Z828" i="1"/>
  <c r="AB828" i="1" s="1"/>
  <c r="U828" i="1"/>
  <c r="W828" i="1" s="1"/>
  <c r="Z919" i="1"/>
  <c r="AB919" i="1" s="1"/>
  <c r="U919" i="1"/>
  <c r="W919" i="1" s="1"/>
  <c r="Z702" i="1"/>
  <c r="AB702" i="1" s="1"/>
  <c r="U702" i="1"/>
  <c r="W702" i="1" s="1"/>
  <c r="Z887" i="1"/>
  <c r="AB887" i="1" s="1"/>
  <c r="U887" i="1"/>
  <c r="W887" i="1" s="1"/>
  <c r="Z776" i="1"/>
  <c r="AB776" i="1" s="1"/>
  <c r="U776" i="1"/>
  <c r="W776" i="1" s="1"/>
  <c r="Z821" i="1"/>
  <c r="AB821" i="1" s="1"/>
  <c r="U821" i="1"/>
  <c r="W821" i="1" s="1"/>
  <c r="Z680" i="1"/>
  <c r="AB680" i="1" s="1"/>
  <c r="U680" i="1"/>
  <c r="W680" i="1" s="1"/>
  <c r="Z763" i="1"/>
  <c r="AB763" i="1" s="1"/>
  <c r="U763" i="1"/>
  <c r="W763" i="1" s="1"/>
  <c r="Z629" i="1"/>
  <c r="AB629" i="1" s="1"/>
  <c r="U629" i="1"/>
  <c r="W629" i="1" s="1"/>
  <c r="Z551" i="1"/>
  <c r="AB551" i="1" s="1"/>
  <c r="U551" i="1"/>
  <c r="W551" i="1" s="1"/>
  <c r="Z518" i="1"/>
  <c r="AB518" i="1" s="1"/>
  <c r="U518" i="1"/>
  <c r="W518" i="1" s="1"/>
  <c r="Z413" i="1"/>
  <c r="AB413" i="1" s="1"/>
  <c r="U413" i="1"/>
  <c r="W413" i="1" s="1"/>
  <c r="Z676" i="1"/>
  <c r="AB676" i="1" s="1"/>
  <c r="U676" i="1"/>
  <c r="W676" i="1" s="1"/>
  <c r="Z494" i="1"/>
  <c r="AB494" i="1" s="1"/>
  <c r="U494" i="1"/>
  <c r="W494" i="1" s="1"/>
  <c r="Z697" i="1"/>
  <c r="AB697" i="1" s="1"/>
  <c r="U697" i="1"/>
  <c r="W697" i="1" s="1"/>
  <c r="Z665" i="1"/>
  <c r="AB665" i="1" s="1"/>
  <c r="U665" i="1"/>
  <c r="W665" i="1" s="1"/>
  <c r="Z742" i="1"/>
  <c r="AB742" i="1" s="1"/>
  <c r="U742" i="1"/>
  <c r="W742" i="1" s="1"/>
  <c r="Z215" i="1"/>
  <c r="AB215" i="1" s="1"/>
  <c r="U215" i="1"/>
  <c r="W215" i="1" s="1"/>
  <c r="Z407" i="1"/>
  <c r="AB407" i="1" s="1"/>
  <c r="U407" i="1"/>
  <c r="W407" i="1" s="1"/>
  <c r="Z668" i="1"/>
  <c r="AB668" i="1" s="1"/>
  <c r="U668" i="1"/>
  <c r="W668" i="1" s="1"/>
  <c r="Z784" i="1"/>
  <c r="AB784" i="1" s="1"/>
  <c r="U784" i="1"/>
  <c r="W784" i="1" s="1"/>
  <c r="Z854" i="1"/>
  <c r="AB854" i="1" s="1"/>
  <c r="U854" i="1"/>
  <c r="W854" i="1" s="1"/>
  <c r="Z610" i="1"/>
  <c r="AB610" i="1" s="1"/>
  <c r="U610" i="1"/>
  <c r="W610" i="1" s="1"/>
  <c r="Z560" i="1"/>
  <c r="AB560" i="1" s="1"/>
  <c r="U560" i="1"/>
  <c r="W560" i="1" s="1"/>
  <c r="Z120" i="1"/>
  <c r="AB120" i="1" s="1"/>
  <c r="U120" i="1"/>
  <c r="W120" i="1" s="1"/>
  <c r="Z420" i="1"/>
  <c r="AB420" i="1" s="1"/>
  <c r="U420" i="1"/>
  <c r="W420" i="1" s="1"/>
  <c r="Z571" i="1"/>
  <c r="AB571" i="1" s="1"/>
  <c r="U571" i="1"/>
  <c r="W571" i="1" s="1"/>
  <c r="Z218" i="1"/>
  <c r="AB218" i="1" s="1"/>
  <c r="U218" i="1"/>
  <c r="W218" i="1" s="1"/>
  <c r="Z151" i="1"/>
  <c r="AB151" i="1" s="1"/>
  <c r="U151" i="1"/>
  <c r="W151" i="1" s="1"/>
  <c r="Z418" i="1"/>
  <c r="AB418" i="1" s="1"/>
  <c r="U418" i="1"/>
  <c r="W418" i="1" s="1"/>
  <c r="Z57" i="1"/>
  <c r="AB57" i="1" s="1"/>
  <c r="U57" i="1"/>
  <c r="W57" i="1" s="1"/>
  <c r="Z246" i="1"/>
  <c r="AB246" i="1" s="1"/>
  <c r="U246" i="1"/>
  <c r="W246" i="1" s="1"/>
  <c r="Z128" i="1"/>
  <c r="AB128" i="1" s="1"/>
  <c r="U128" i="1"/>
  <c r="W128" i="1" s="1"/>
  <c r="Z15" i="1"/>
  <c r="AB15" i="1" s="1"/>
  <c r="U15" i="1"/>
  <c r="W15" i="1" s="1"/>
  <c r="Z250" i="1"/>
  <c r="AB250" i="1" s="1"/>
  <c r="U250" i="1"/>
  <c r="W250" i="1" s="1"/>
  <c r="Z81" i="1"/>
  <c r="AB81" i="1" s="1"/>
  <c r="U81" i="1"/>
  <c r="W81" i="1" s="1"/>
  <c r="Z100" i="1"/>
  <c r="AB100" i="1" s="1"/>
  <c r="U100" i="1"/>
  <c r="W100" i="1" s="1"/>
  <c r="Z239" i="1"/>
  <c r="AB239" i="1" s="1"/>
  <c r="U239" i="1"/>
  <c r="W239" i="1" s="1"/>
  <c r="Z76" i="1"/>
  <c r="AB76" i="1" s="1"/>
  <c r="U76" i="1"/>
  <c r="W76" i="1" s="1"/>
  <c r="Z115" i="1"/>
  <c r="AB115" i="1" s="1"/>
  <c r="U115" i="1"/>
  <c r="W115" i="1" s="1"/>
  <c r="Z734" i="1"/>
  <c r="AB734" i="1" s="1"/>
  <c r="U734" i="1"/>
  <c r="W734" i="1" s="1"/>
  <c r="Z557" i="1"/>
  <c r="AB557" i="1" s="1"/>
  <c r="U557" i="1"/>
  <c r="W557" i="1" s="1"/>
  <c r="Z677" i="1"/>
  <c r="AB677" i="1" s="1"/>
  <c r="U677" i="1"/>
  <c r="W677" i="1" s="1"/>
  <c r="Z59" i="1"/>
  <c r="AB59" i="1" s="1"/>
  <c r="U59" i="1"/>
  <c r="W59" i="1" s="1"/>
  <c r="U311" i="1"/>
  <c r="W311" i="1" s="1"/>
  <c r="Z311" i="1"/>
  <c r="AB311" i="1" s="1"/>
  <c r="Z323" i="1"/>
  <c r="AB323" i="1" s="1"/>
  <c r="U323" i="1"/>
  <c r="W323" i="1" s="1"/>
  <c r="Z699" i="1"/>
  <c r="AB699" i="1" s="1"/>
  <c r="U699" i="1"/>
  <c r="W699" i="1" s="1"/>
  <c r="Z758" i="1"/>
  <c r="AB758" i="1" s="1"/>
  <c r="U758" i="1"/>
  <c r="W758" i="1" s="1"/>
  <c r="Z440" i="1"/>
  <c r="AB440" i="1" s="1"/>
  <c r="U440" i="1"/>
  <c r="W440" i="1" s="1"/>
  <c r="Z254" i="1"/>
  <c r="AB254" i="1" s="1"/>
  <c r="U254" i="1"/>
  <c r="W254" i="1" s="1"/>
  <c r="Z327" i="1"/>
  <c r="AB327" i="1" s="1"/>
  <c r="U327" i="1"/>
  <c r="W327" i="1" s="1"/>
  <c r="Z467" i="1"/>
  <c r="AB467" i="1" s="1"/>
  <c r="U467" i="1"/>
  <c r="W467" i="1" s="1"/>
  <c r="Z830" i="1"/>
  <c r="AB830" i="1" s="1"/>
  <c r="U830" i="1"/>
  <c r="W830" i="1" s="1"/>
  <c r="Z225" i="1"/>
  <c r="AB225" i="1" s="1"/>
  <c r="U225" i="1"/>
  <c r="W225" i="1" s="1"/>
  <c r="Z456" i="1"/>
  <c r="AB456" i="1" s="1"/>
  <c r="U456" i="1"/>
  <c r="W456" i="1" s="1"/>
  <c r="Z977" i="1"/>
  <c r="AB977" i="1" s="1"/>
  <c r="U977" i="1"/>
  <c r="W977" i="1" s="1"/>
  <c r="Z649" i="1"/>
  <c r="AB649" i="1" s="1"/>
  <c r="U649" i="1"/>
  <c r="W649" i="1" s="1"/>
  <c r="Z803" i="1"/>
  <c r="AB803" i="1" s="1"/>
  <c r="U803" i="1"/>
  <c r="W803" i="1" s="1"/>
  <c r="Z858" i="1"/>
  <c r="AB858" i="1" s="1"/>
  <c r="U858" i="1"/>
  <c r="W858" i="1" s="1"/>
  <c r="Z863" i="1"/>
  <c r="AB863" i="1" s="1"/>
  <c r="U863" i="1"/>
  <c r="W863" i="1" s="1"/>
  <c r="Z876" i="1"/>
  <c r="AB876" i="1" s="1"/>
  <c r="U876" i="1"/>
  <c r="W876" i="1" s="1"/>
  <c r="Z790" i="1"/>
  <c r="AB790" i="1" s="1"/>
  <c r="U790" i="1"/>
  <c r="W790" i="1" s="1"/>
  <c r="Z536" i="1"/>
  <c r="AB536" i="1" s="1"/>
  <c r="U536" i="1"/>
  <c r="W536" i="1" s="1"/>
  <c r="Z810" i="1"/>
  <c r="AB810" i="1" s="1"/>
  <c r="U810" i="1"/>
  <c r="W810" i="1" s="1"/>
  <c r="Z967" i="1"/>
  <c r="AB967" i="1" s="1"/>
  <c r="U967" i="1"/>
  <c r="W967" i="1" s="1"/>
  <c r="Z980" i="1"/>
  <c r="AB980" i="1" s="1"/>
  <c r="U980" i="1"/>
  <c r="W980" i="1" s="1"/>
  <c r="Z652" i="1"/>
  <c r="AB652" i="1" s="1"/>
  <c r="U652" i="1"/>
  <c r="W652" i="1" s="1"/>
  <c r="Z655" i="1"/>
  <c r="AB655" i="1" s="1"/>
  <c r="U655" i="1"/>
  <c r="W655" i="1" s="1"/>
  <c r="Z978" i="1"/>
  <c r="AB978" i="1" s="1"/>
  <c r="U978" i="1"/>
  <c r="W978" i="1" s="1"/>
  <c r="Z228" i="1"/>
  <c r="AB228" i="1" s="1"/>
  <c r="U228" i="1"/>
  <c r="W228" i="1" s="1"/>
  <c r="Z230" i="1"/>
  <c r="AB230" i="1" s="1"/>
  <c r="U230" i="1"/>
  <c r="W230" i="1" s="1"/>
  <c r="Z552" i="1"/>
  <c r="AB552" i="1" s="1"/>
  <c r="U552" i="1"/>
  <c r="W552" i="1" s="1"/>
  <c r="Z372" i="1"/>
  <c r="AB372" i="1" s="1"/>
  <c r="U372" i="1"/>
  <c r="W372" i="1" s="1"/>
  <c r="Z27" i="1"/>
  <c r="AB27" i="1" s="1"/>
  <c r="U27" i="1"/>
  <c r="W27" i="1" s="1"/>
  <c r="Z994" i="1"/>
  <c r="AB994" i="1" s="1"/>
  <c r="U994" i="1"/>
  <c r="W994" i="1" s="1"/>
  <c r="Z847" i="1"/>
  <c r="AB847" i="1" s="1"/>
  <c r="U847" i="1"/>
  <c r="W847" i="1" s="1"/>
  <c r="Z475" i="1"/>
  <c r="AB475" i="1" s="1"/>
  <c r="U475" i="1"/>
  <c r="W475" i="1" s="1"/>
  <c r="Z643" i="1"/>
  <c r="AB643" i="1" s="1"/>
  <c r="U643" i="1"/>
  <c r="W643" i="1" s="1"/>
  <c r="Z777" i="1"/>
  <c r="AB777" i="1" s="1"/>
  <c r="U777" i="1"/>
  <c r="W777" i="1" s="1"/>
  <c r="Z173" i="1"/>
  <c r="AB173" i="1" s="1"/>
  <c r="U173" i="1"/>
  <c r="W173" i="1" s="1"/>
  <c r="Z942" i="1"/>
  <c r="AB942" i="1" s="1"/>
  <c r="U942" i="1"/>
  <c r="W942" i="1" s="1"/>
  <c r="Z834" i="1"/>
  <c r="AB834" i="1" s="1"/>
  <c r="U834" i="1"/>
  <c r="W834" i="1" s="1"/>
  <c r="Z591" i="1"/>
  <c r="AB591" i="1" s="1"/>
  <c r="U591" i="1"/>
  <c r="W591" i="1" s="1"/>
  <c r="Z519" i="1"/>
  <c r="AB519" i="1" s="1"/>
  <c r="U519" i="1"/>
  <c r="W519" i="1" s="1"/>
  <c r="Z328" i="1"/>
  <c r="AB328" i="1" s="1"/>
  <c r="U328" i="1"/>
  <c r="W328" i="1" s="1"/>
  <c r="Z788" i="1"/>
  <c r="AB788" i="1" s="1"/>
  <c r="U788" i="1"/>
  <c r="W788" i="1" s="1"/>
  <c r="Z276" i="1"/>
  <c r="AB276" i="1" s="1"/>
  <c r="U276" i="1"/>
  <c r="W276" i="1" s="1"/>
  <c r="Z432" i="1"/>
  <c r="AB432" i="1" s="1"/>
  <c r="U432" i="1"/>
  <c r="W432" i="1" s="1"/>
  <c r="Z946" i="1"/>
  <c r="AB946" i="1" s="1"/>
  <c r="U946" i="1"/>
  <c r="W946" i="1" s="1"/>
  <c r="Z948" i="1"/>
  <c r="AB948" i="1" s="1"/>
  <c r="U948" i="1"/>
  <c r="W948" i="1" s="1"/>
  <c r="Z936" i="1"/>
  <c r="AB936" i="1" s="1"/>
  <c r="U936" i="1"/>
  <c r="W936" i="1" s="1"/>
  <c r="Z904" i="1"/>
  <c r="AB904" i="1" s="1"/>
  <c r="U904" i="1"/>
  <c r="W904" i="1" s="1"/>
  <c r="Z925" i="1"/>
  <c r="AB925" i="1" s="1"/>
  <c r="U925" i="1"/>
  <c r="W925" i="1" s="1"/>
  <c r="Z805" i="1"/>
  <c r="AB805" i="1" s="1"/>
  <c r="U805" i="1"/>
  <c r="W805" i="1" s="1"/>
  <c r="Z917" i="1"/>
  <c r="AB917" i="1" s="1"/>
  <c r="U917" i="1"/>
  <c r="W917" i="1" s="1"/>
  <c r="Z844" i="1"/>
  <c r="AB844" i="1" s="1"/>
  <c r="U844" i="1"/>
  <c r="W844" i="1" s="1"/>
  <c r="Z901" i="1"/>
  <c r="AB901" i="1" s="1"/>
  <c r="U901" i="1"/>
  <c r="W901" i="1" s="1"/>
  <c r="Z933" i="1"/>
  <c r="AB933" i="1" s="1"/>
  <c r="U933" i="1"/>
  <c r="W933" i="1" s="1"/>
  <c r="Z957" i="1"/>
  <c r="AB957" i="1" s="1"/>
  <c r="U957" i="1"/>
  <c r="W957" i="1" s="1"/>
  <c r="Z870" i="1"/>
  <c r="AB870" i="1" s="1"/>
  <c r="U870" i="1"/>
  <c r="W870" i="1" s="1"/>
  <c r="Z760" i="1"/>
  <c r="AB760" i="1" s="1"/>
  <c r="U760" i="1"/>
  <c r="W760" i="1" s="1"/>
  <c r="Z897" i="1"/>
  <c r="AB897" i="1" s="1"/>
  <c r="U897" i="1"/>
  <c r="W897" i="1" s="1"/>
  <c r="Z679" i="1"/>
  <c r="AB679" i="1" s="1"/>
  <c r="U679" i="1"/>
  <c r="W679" i="1" s="1"/>
  <c r="Z632" i="1"/>
  <c r="AB632" i="1" s="1"/>
  <c r="U632" i="1"/>
  <c r="W632" i="1" s="1"/>
  <c r="Z750" i="1"/>
  <c r="AB750" i="1" s="1"/>
  <c r="U750" i="1"/>
  <c r="W750" i="1" s="1"/>
  <c r="Z761" i="1"/>
  <c r="AB761" i="1" s="1"/>
  <c r="U761" i="1"/>
  <c r="W761" i="1" s="1"/>
  <c r="Z725" i="1"/>
  <c r="AB725" i="1" s="1"/>
  <c r="U725" i="1"/>
  <c r="W725" i="1" s="1"/>
  <c r="Z701" i="1"/>
  <c r="AB701" i="1" s="1"/>
  <c r="U701" i="1"/>
  <c r="W701" i="1" s="1"/>
  <c r="Z546" i="1"/>
  <c r="AB546" i="1" s="1"/>
  <c r="U546" i="1"/>
  <c r="W546" i="1" s="1"/>
  <c r="Z373" i="1"/>
  <c r="AB373" i="1" s="1"/>
  <c r="U373" i="1"/>
  <c r="W373" i="1" s="1"/>
  <c r="Z304" i="1"/>
  <c r="AB304" i="1" s="1"/>
  <c r="U304" i="1"/>
  <c r="W304" i="1" s="1"/>
  <c r="Z201" i="1"/>
  <c r="AB201" i="1" s="1"/>
  <c r="U201" i="1"/>
  <c r="W201" i="1" s="1"/>
  <c r="Z685" i="1"/>
  <c r="AB685" i="1" s="1"/>
  <c r="U685" i="1"/>
  <c r="W685" i="1" s="1"/>
  <c r="Z633" i="1"/>
  <c r="AB633" i="1" s="1"/>
  <c r="U633" i="1"/>
  <c r="W633" i="1" s="1"/>
  <c r="Z600" i="1"/>
  <c r="AB600" i="1" s="1"/>
  <c r="U600" i="1"/>
  <c r="W600" i="1" s="1"/>
  <c r="Z421" i="1"/>
  <c r="AB421" i="1" s="1"/>
  <c r="U421" i="1"/>
  <c r="W421" i="1" s="1"/>
  <c r="Z408" i="1"/>
  <c r="AB408" i="1" s="1"/>
  <c r="U408" i="1"/>
  <c r="W408" i="1" s="1"/>
  <c r="Z255" i="1"/>
  <c r="AB255" i="1" s="1"/>
  <c r="U255" i="1"/>
  <c r="W255" i="1" s="1"/>
  <c r="Z435" i="1"/>
  <c r="AB435" i="1" s="1"/>
  <c r="U435" i="1"/>
  <c r="W435" i="1" s="1"/>
  <c r="Z309" i="1"/>
  <c r="AB309" i="1" s="1"/>
  <c r="U309" i="1"/>
  <c r="W309" i="1" s="1"/>
  <c r="Z709" i="1"/>
  <c r="AB709" i="1" s="1"/>
  <c r="U709" i="1"/>
  <c r="W709" i="1" s="1"/>
  <c r="Z241" i="1"/>
  <c r="AB241" i="1" s="1"/>
  <c r="U241" i="1"/>
  <c r="W241" i="1" s="1"/>
  <c r="Z282" i="1"/>
  <c r="AB282" i="1" s="1"/>
  <c r="U282" i="1"/>
  <c r="W282" i="1" s="1"/>
  <c r="Z158" i="1"/>
  <c r="AB158" i="1" s="1"/>
  <c r="U158" i="1"/>
  <c r="W158" i="1" s="1"/>
  <c r="Z49" i="1"/>
  <c r="AB49" i="1" s="1"/>
  <c r="U49" i="1"/>
  <c r="W49" i="1" s="1"/>
  <c r="Z329" i="1"/>
  <c r="AB329" i="1" s="1"/>
  <c r="U329" i="1"/>
  <c r="W329" i="1" s="1"/>
  <c r="Z262" i="1"/>
  <c r="AB262" i="1" s="1"/>
  <c r="U262" i="1"/>
  <c r="W262" i="1" s="1"/>
  <c r="Z346" i="1"/>
  <c r="AB346" i="1" s="1"/>
  <c r="U346" i="1"/>
  <c r="W346" i="1" s="1"/>
  <c r="Z97" i="1"/>
  <c r="AB97" i="1" s="1"/>
  <c r="U97" i="1"/>
  <c r="W97" i="1" s="1"/>
  <c r="Z106" i="1"/>
  <c r="AB106" i="1" s="1"/>
  <c r="U106" i="1"/>
  <c r="W106" i="1" s="1"/>
  <c r="Z558" i="1"/>
  <c r="AB558" i="1" s="1"/>
  <c r="U558" i="1"/>
  <c r="W558" i="1" s="1"/>
  <c r="Z179" i="1"/>
  <c r="AB179" i="1" s="1"/>
  <c r="U179" i="1"/>
  <c r="W179" i="1" s="1"/>
  <c r="Z135" i="1"/>
  <c r="AB135" i="1" s="1"/>
  <c r="U135" i="1"/>
  <c r="W135" i="1" s="1"/>
  <c r="Z166" i="1"/>
  <c r="AB166" i="1" s="1"/>
  <c r="U166" i="1"/>
  <c r="W166" i="1" s="1"/>
  <c r="Z419" i="1"/>
  <c r="AB419" i="1" s="1"/>
  <c r="U419" i="1"/>
  <c r="W419" i="1" s="1"/>
  <c r="Z379" i="1"/>
  <c r="AB379" i="1" s="1"/>
  <c r="U379" i="1"/>
  <c r="W379" i="1" s="1"/>
  <c r="Z295" i="1"/>
  <c r="AB295" i="1" s="1"/>
  <c r="U295" i="1"/>
  <c r="W295" i="1" s="1"/>
  <c r="Z740" i="1"/>
  <c r="AB740" i="1" s="1"/>
  <c r="U740" i="1"/>
  <c r="W740" i="1" s="1"/>
  <c r="Z292" i="1"/>
  <c r="AB292" i="1" s="1"/>
  <c r="U292" i="1"/>
  <c r="W292" i="1" s="1"/>
  <c r="Z191" i="1"/>
  <c r="AB191" i="1" s="1"/>
  <c r="U191" i="1"/>
  <c r="W191" i="1" s="1"/>
  <c r="Z26" i="1"/>
  <c r="AB26" i="1" s="1"/>
  <c r="U26" i="1"/>
  <c r="W26" i="1" s="1"/>
  <c r="Z425" i="1"/>
  <c r="AB425" i="1" s="1"/>
  <c r="U425" i="1"/>
  <c r="W425" i="1" s="1"/>
  <c r="Z347" i="1"/>
  <c r="AB347" i="1" s="1"/>
  <c r="U347" i="1"/>
  <c r="W347" i="1" s="1"/>
  <c r="Z114" i="1"/>
  <c r="AB114" i="1" s="1"/>
  <c r="U114" i="1"/>
  <c r="W114" i="1" s="1"/>
  <c r="Z153" i="1"/>
  <c r="AB153" i="1" s="1"/>
  <c r="U153" i="1"/>
  <c r="W153" i="1" s="1"/>
  <c r="Z63" i="1"/>
  <c r="AB63" i="1" s="1"/>
  <c r="U63" i="1"/>
  <c r="W63" i="1" s="1"/>
  <c r="Z5" i="1"/>
  <c r="U5" i="1"/>
  <c r="Z149" i="1"/>
  <c r="AB149" i="1" s="1"/>
  <c r="U149" i="1"/>
  <c r="W149" i="1" s="1"/>
  <c r="Z119" i="1"/>
  <c r="AB119" i="1" s="1"/>
  <c r="U119" i="1"/>
  <c r="W119" i="1" s="1"/>
  <c r="Z33" i="1"/>
  <c r="AB33" i="1" s="1"/>
  <c r="U33" i="1"/>
  <c r="W33" i="1" s="1"/>
  <c r="Z34" i="1"/>
  <c r="AB34" i="1" s="1"/>
  <c r="U34" i="1"/>
  <c r="W34" i="1" s="1"/>
  <c r="Z23" i="1"/>
  <c r="AB23" i="1" s="1"/>
  <c r="U23" i="1"/>
  <c r="W23" i="1" s="1"/>
  <c r="Z67" i="1"/>
  <c r="AB67" i="1" s="1"/>
  <c r="U67" i="1"/>
  <c r="W67" i="1" s="1"/>
  <c r="Z38" i="1"/>
  <c r="AB38" i="1" s="1"/>
  <c r="U38" i="1"/>
  <c r="W38" i="1" s="1"/>
  <c r="Z773" i="1"/>
  <c r="AB773" i="1" s="1"/>
  <c r="U773" i="1"/>
  <c r="W773" i="1" s="1"/>
  <c r="Z640" i="1"/>
  <c r="AB640" i="1" s="1"/>
  <c r="U640" i="1"/>
  <c r="W640" i="1" s="1"/>
  <c r="Z688" i="1"/>
  <c r="AB688" i="1" s="1"/>
  <c r="U688" i="1"/>
  <c r="W688" i="1" s="1"/>
  <c r="Z871" i="1"/>
  <c r="AB871" i="1" s="1"/>
  <c r="U871" i="1"/>
  <c r="W871" i="1" s="1"/>
  <c r="Z971" i="1"/>
  <c r="AB971" i="1" s="1"/>
  <c r="U971" i="1"/>
  <c r="W971" i="1" s="1"/>
  <c r="Z893" i="1"/>
  <c r="AB893" i="1" s="1"/>
  <c r="U893" i="1"/>
  <c r="W893" i="1" s="1"/>
  <c r="Z813" i="1"/>
  <c r="AB813" i="1" s="1"/>
  <c r="U813" i="1"/>
  <c r="W813" i="1" s="1"/>
  <c r="Z899" i="1"/>
  <c r="AB899" i="1" s="1"/>
  <c r="U899" i="1"/>
  <c r="W899" i="1" s="1"/>
  <c r="Z216" i="1"/>
  <c r="AB216" i="1" s="1"/>
  <c r="U216" i="1"/>
  <c r="W216" i="1" s="1"/>
  <c r="Z486" i="1"/>
  <c r="AB486" i="1" s="1"/>
  <c r="U486" i="1"/>
  <c r="W486" i="1" s="1"/>
  <c r="Z129" i="1"/>
  <c r="AB129" i="1" s="1"/>
  <c r="U129" i="1"/>
  <c r="W129" i="1" s="1"/>
  <c r="Z133" i="1"/>
  <c r="AB133" i="1" s="1"/>
  <c r="U133" i="1"/>
  <c r="W133" i="1" s="1"/>
  <c r="Z199" i="1"/>
  <c r="AB199" i="1" s="1"/>
  <c r="U199" i="1"/>
  <c r="W199" i="1" s="1"/>
  <c r="Z454" i="1"/>
  <c r="AB454" i="1" s="1"/>
  <c r="U454" i="1"/>
  <c r="W454" i="1" s="1"/>
  <c r="Z451" i="1"/>
  <c r="AB451" i="1" s="1"/>
  <c r="U451" i="1"/>
  <c r="W451" i="1" s="1"/>
  <c r="Z264" i="1"/>
  <c r="AB264" i="1" s="1"/>
  <c r="U264" i="1"/>
  <c r="W264" i="1" s="1"/>
  <c r="Z220" i="1"/>
  <c r="AB220" i="1" s="1"/>
  <c r="U220" i="1"/>
  <c r="W220" i="1" s="1"/>
  <c r="Z302" i="1"/>
  <c r="AB302" i="1" s="1"/>
  <c r="U302" i="1"/>
  <c r="W302" i="1" s="1"/>
  <c r="Z61" i="1"/>
  <c r="AB61" i="1" s="1"/>
  <c r="U61" i="1"/>
  <c r="W61" i="1" s="1"/>
  <c r="Z885" i="1"/>
  <c r="AB885" i="1" s="1"/>
  <c r="U885" i="1"/>
  <c r="W885" i="1" s="1"/>
  <c r="Z447" i="1"/>
  <c r="AB447" i="1" s="1"/>
  <c r="U447" i="1"/>
  <c r="W447" i="1" s="1"/>
  <c r="Z819" i="1"/>
  <c r="AB819" i="1" s="1"/>
  <c r="U819" i="1"/>
  <c r="W819" i="1" s="1"/>
  <c r="Z214" i="1"/>
  <c r="AB214" i="1" s="1"/>
  <c r="U214" i="1"/>
  <c r="W214" i="1" s="1"/>
  <c r="Z203" i="1"/>
  <c r="AB203" i="1" s="1"/>
  <c r="U203" i="1"/>
  <c r="W203" i="1" s="1"/>
  <c r="Z683" i="1"/>
  <c r="AB683" i="1" s="1"/>
  <c r="U683" i="1"/>
  <c r="W683" i="1" s="1"/>
  <c r="Z623" i="1"/>
  <c r="AB623" i="1" s="1"/>
  <c r="U623" i="1"/>
  <c r="W623" i="1" s="1"/>
  <c r="Z78" i="1"/>
  <c r="AB78" i="1" s="1"/>
  <c r="U78" i="1"/>
  <c r="W78" i="1" s="1"/>
  <c r="J4" i="1"/>
  <c r="W5" i="1" l="1"/>
  <c r="T5" i="1" s="1"/>
  <c r="W6" i="1"/>
  <c r="T6" i="1" s="1"/>
  <c r="AB6" i="1"/>
  <c r="Y6" i="1" s="1"/>
  <c r="AB5" i="1"/>
  <c r="Y5" i="1" s="1"/>
  <c r="X971" i="1"/>
  <c r="T971" i="1"/>
  <c r="AC957" i="1"/>
  <c r="Y957" i="1"/>
  <c r="X863" i="1"/>
  <c r="T863" i="1"/>
  <c r="AC960" i="1"/>
  <c r="Y960" i="1"/>
  <c r="X558" i="1"/>
  <c r="T558" i="1"/>
  <c r="X816" i="1"/>
  <c r="T816" i="1"/>
  <c r="AC505" i="1"/>
  <c r="Y505" i="1"/>
  <c r="AC738" i="1"/>
  <c r="Y738" i="1"/>
  <c r="AC67" i="1"/>
  <c r="Y67" i="1"/>
  <c r="AC546" i="1"/>
  <c r="Y546" i="1"/>
  <c r="AC967" i="1"/>
  <c r="Y967" i="1"/>
  <c r="X100" i="1"/>
  <c r="T100" i="1"/>
  <c r="X975" i="1"/>
  <c r="T975" i="1"/>
  <c r="AC752" i="1"/>
  <c r="Y752" i="1"/>
  <c r="X170" i="1"/>
  <c r="T170" i="1"/>
  <c r="AC686" i="1"/>
  <c r="Y686" i="1"/>
  <c r="AC968" i="1"/>
  <c r="Y968" i="1"/>
  <c r="AC623" i="1"/>
  <c r="Y623" i="1"/>
  <c r="X23" i="1"/>
  <c r="T23" i="1"/>
  <c r="AC633" i="1"/>
  <c r="Y633" i="1"/>
  <c r="X994" i="1"/>
  <c r="T994" i="1"/>
  <c r="X557" i="1"/>
  <c r="T557" i="1"/>
  <c r="X629" i="1"/>
  <c r="T629" i="1"/>
  <c r="AC663" i="1"/>
  <c r="Y663" i="1"/>
  <c r="AC794" i="1"/>
  <c r="Y794" i="1"/>
  <c r="AC170" i="1"/>
  <c r="Y170" i="1"/>
  <c r="AC726" i="1"/>
  <c r="Y726" i="1"/>
  <c r="X450" i="1"/>
  <c r="T450" i="1"/>
  <c r="AC56" i="1"/>
  <c r="Y56" i="1"/>
  <c r="X268" i="1"/>
  <c r="T268" i="1"/>
  <c r="X621" i="1"/>
  <c r="T621" i="1"/>
  <c r="X688" i="1"/>
  <c r="T688" i="1"/>
  <c r="AC106" i="1"/>
  <c r="Y106" i="1"/>
  <c r="AC701" i="1"/>
  <c r="Y701" i="1"/>
  <c r="X173" i="1"/>
  <c r="T173" i="1"/>
  <c r="AC830" i="1"/>
  <c r="Y830" i="1"/>
  <c r="X81" i="1"/>
  <c r="T81" i="1"/>
  <c r="X702" i="1"/>
  <c r="T702" i="1"/>
  <c r="X85" i="1"/>
  <c r="T85" i="1"/>
  <c r="X96" i="1"/>
  <c r="T96" i="1"/>
  <c r="X410" i="1"/>
  <c r="T410" i="1"/>
  <c r="AC833" i="1"/>
  <c r="Y833" i="1"/>
  <c r="AC148" i="1"/>
  <c r="Y148" i="1"/>
  <c r="AC570" i="1"/>
  <c r="Y570" i="1"/>
  <c r="X199" i="1"/>
  <c r="T199" i="1"/>
  <c r="X153" i="1"/>
  <c r="T153" i="1"/>
  <c r="X201" i="1"/>
  <c r="T201" i="1"/>
  <c r="X948" i="1"/>
  <c r="T948" i="1"/>
  <c r="X655" i="1"/>
  <c r="T655" i="1"/>
  <c r="X323" i="1"/>
  <c r="T323" i="1"/>
  <c r="X560" i="1"/>
  <c r="T560" i="1"/>
  <c r="AC763" i="1"/>
  <c r="Y763" i="1"/>
  <c r="X923" i="1"/>
  <c r="T923" i="1"/>
  <c r="X879" i="1"/>
  <c r="T879" i="1"/>
  <c r="X882" i="1"/>
  <c r="T882" i="1"/>
  <c r="X226" i="1"/>
  <c r="T226" i="1"/>
  <c r="AC929" i="1"/>
  <c r="Y929" i="1"/>
  <c r="AC472" i="1"/>
  <c r="Y472" i="1"/>
  <c r="AC396" i="1"/>
  <c r="Y396" i="1"/>
  <c r="AC356" i="1"/>
  <c r="Y356" i="1"/>
  <c r="AC428" i="1"/>
  <c r="Y428" i="1"/>
  <c r="X21" i="1"/>
  <c r="T21" i="1"/>
  <c r="X470" i="1"/>
  <c r="T470" i="1"/>
  <c r="AC24" i="1"/>
  <c r="Y24" i="1"/>
  <c r="X802" i="1"/>
  <c r="T802" i="1"/>
  <c r="AC99" i="1"/>
  <c r="Y99" i="1"/>
  <c r="AC820" i="1"/>
  <c r="Y820" i="1"/>
  <c r="X819" i="1"/>
  <c r="T819" i="1"/>
  <c r="AC220" i="1"/>
  <c r="Y220" i="1"/>
  <c r="X129" i="1"/>
  <c r="T129" i="1"/>
  <c r="AC893" i="1"/>
  <c r="Y893" i="1"/>
  <c r="X38" i="1"/>
  <c r="T38" i="1"/>
  <c r="AC119" i="1"/>
  <c r="Y119" i="1"/>
  <c r="X347" i="1"/>
  <c r="T347" i="1"/>
  <c r="AC740" i="1"/>
  <c r="Y740" i="1"/>
  <c r="X179" i="1"/>
  <c r="T179" i="1"/>
  <c r="AC262" i="1"/>
  <c r="Y262" i="1"/>
  <c r="X709" i="1"/>
  <c r="T709" i="1"/>
  <c r="AC421" i="1"/>
  <c r="Y421" i="1"/>
  <c r="X373" i="1"/>
  <c r="T373" i="1"/>
  <c r="AC750" i="1"/>
  <c r="Y750" i="1"/>
  <c r="X957" i="1"/>
  <c r="T957" i="1"/>
  <c r="AC805" i="1"/>
  <c r="Y805" i="1"/>
  <c r="X432" i="1"/>
  <c r="T432" i="1"/>
  <c r="AC591" i="1"/>
  <c r="Y591" i="1"/>
  <c r="X475" i="1"/>
  <c r="T475" i="1"/>
  <c r="AC552" i="1"/>
  <c r="Y552" i="1"/>
  <c r="X980" i="1"/>
  <c r="T980" i="1"/>
  <c r="AC876" i="1"/>
  <c r="Y876" i="1"/>
  <c r="X456" i="1"/>
  <c r="T456" i="1"/>
  <c r="AC254" i="1"/>
  <c r="Y254" i="1"/>
  <c r="X59" i="1"/>
  <c r="T59" i="1"/>
  <c r="AC76" i="1"/>
  <c r="Y76" i="1"/>
  <c r="X128" i="1"/>
  <c r="T128" i="1"/>
  <c r="AC218" i="1"/>
  <c r="Y218" i="1"/>
  <c r="X854" i="1"/>
  <c r="T854" i="1"/>
  <c r="AC742" i="1"/>
  <c r="Y742" i="1"/>
  <c r="X518" i="1"/>
  <c r="T518" i="1"/>
  <c r="AC821" i="1"/>
  <c r="Y821" i="1"/>
  <c r="X960" i="1"/>
  <c r="T960" i="1"/>
  <c r="AC762" i="1"/>
  <c r="Y762" i="1"/>
  <c r="X914" i="1"/>
  <c r="T914" i="1"/>
  <c r="AC513" i="1"/>
  <c r="Y513" i="1"/>
  <c r="X939" i="1"/>
  <c r="T939" i="1"/>
  <c r="AC491" i="1"/>
  <c r="Y491" i="1"/>
  <c r="X658" i="1"/>
  <c r="T658" i="1"/>
  <c r="AC613" i="1"/>
  <c r="Y613" i="1"/>
  <c r="X477" i="1"/>
  <c r="T477" i="1"/>
  <c r="AC945" i="1"/>
  <c r="Y945" i="1"/>
  <c r="X132" i="1"/>
  <c r="T132" i="1"/>
  <c r="AC781" i="1"/>
  <c r="Y781" i="1"/>
  <c r="X125" i="1"/>
  <c r="T125" i="1"/>
  <c r="AC361" i="1"/>
  <c r="Y361" i="1"/>
  <c r="X167" i="1"/>
  <c r="T167" i="1"/>
  <c r="AC161" i="1"/>
  <c r="Y161" i="1"/>
  <c r="X895" i="1"/>
  <c r="T895" i="1"/>
  <c r="AC607" i="1"/>
  <c r="Y607" i="1"/>
  <c r="X722" i="1"/>
  <c r="T722" i="1"/>
  <c r="AC708" i="1"/>
  <c r="Y708" i="1"/>
  <c r="X886" i="1"/>
  <c r="T886" i="1"/>
  <c r="AC252" i="1"/>
  <c r="Y252" i="1"/>
  <c r="X458" i="1"/>
  <c r="T458" i="1"/>
  <c r="AC849" i="1"/>
  <c r="Y849" i="1"/>
  <c r="X921" i="1"/>
  <c r="T921" i="1"/>
  <c r="AC721" i="1"/>
  <c r="Y721" i="1"/>
  <c r="X757" i="1"/>
  <c r="T757" i="1"/>
  <c r="AC961" i="1"/>
  <c r="Y961" i="1"/>
  <c r="X243" i="1"/>
  <c r="T243" i="1"/>
  <c r="AC514" i="1"/>
  <c r="Y514" i="1"/>
  <c r="X579" i="1"/>
  <c r="T579" i="1"/>
  <c r="AC999" i="1"/>
  <c r="Y999" i="1"/>
  <c r="X90" i="1"/>
  <c r="T90" i="1"/>
  <c r="AC229" i="1"/>
  <c r="Y229" i="1"/>
  <c r="X164" i="1"/>
  <c r="T164" i="1"/>
  <c r="AC384" i="1"/>
  <c r="Y384" i="1"/>
  <c r="X455" i="1"/>
  <c r="T455" i="1"/>
  <c r="AC707" i="1"/>
  <c r="Y707" i="1"/>
  <c r="X510" i="1"/>
  <c r="T510" i="1"/>
  <c r="AC569" i="1"/>
  <c r="Y569" i="1"/>
  <c r="X970" i="1"/>
  <c r="T970" i="1"/>
  <c r="AC907" i="1"/>
  <c r="Y907" i="1"/>
  <c r="X333" i="1"/>
  <c r="T333" i="1"/>
  <c r="AC394" i="1"/>
  <c r="Y394" i="1"/>
  <c r="AC364" i="1"/>
  <c r="Y364" i="1"/>
  <c r="AC892" i="1"/>
  <c r="Y892" i="1"/>
  <c r="X996" i="1"/>
  <c r="T996" i="1"/>
  <c r="AC759" i="1"/>
  <c r="Y759" i="1"/>
  <c r="X829" i="1"/>
  <c r="T829" i="1"/>
  <c r="AC826" i="1"/>
  <c r="Y826" i="1"/>
  <c r="X159" i="1"/>
  <c r="T159" i="1"/>
  <c r="AC66" i="1"/>
  <c r="Y66" i="1"/>
  <c r="X714" i="1"/>
  <c r="T714" i="1"/>
  <c r="AC619" i="1"/>
  <c r="Y619" i="1"/>
  <c r="X362" i="1"/>
  <c r="T362" i="1"/>
  <c r="AC198" i="1"/>
  <c r="Y198" i="1"/>
  <c r="X305" i="1"/>
  <c r="T305" i="1"/>
  <c r="AC134" i="1"/>
  <c r="Y134" i="1"/>
  <c r="X330" i="1"/>
  <c r="T330" i="1"/>
  <c r="AC286" i="1"/>
  <c r="Y286" i="1"/>
  <c r="X391" i="1"/>
  <c r="T391" i="1"/>
  <c r="AC598" i="1"/>
  <c r="Y598" i="1"/>
  <c r="X375" i="1"/>
  <c r="T375" i="1"/>
  <c r="AC43" i="1"/>
  <c r="Y43" i="1"/>
  <c r="X842" i="1"/>
  <c r="T842" i="1"/>
  <c r="AC68" i="1"/>
  <c r="Y68" i="1"/>
  <c r="X271" i="1"/>
  <c r="T271" i="1"/>
  <c r="AC671" i="1"/>
  <c r="Y671" i="1"/>
  <c r="X545" i="1"/>
  <c r="T545" i="1"/>
  <c r="AC112" i="1"/>
  <c r="Y112" i="1"/>
  <c r="X25" i="1"/>
  <c r="T25" i="1"/>
  <c r="AC926" i="1"/>
  <c r="Y926" i="1"/>
  <c r="X64" i="1"/>
  <c r="T64" i="1"/>
  <c r="AC18" i="1"/>
  <c r="Y18" i="1"/>
  <c r="X438" i="1"/>
  <c r="T438" i="1"/>
  <c r="AC524" i="1"/>
  <c r="Y524" i="1"/>
  <c r="X427" i="1"/>
  <c r="T427" i="1"/>
  <c r="AC515" i="1"/>
  <c r="Y515" i="1"/>
  <c r="X564" i="1"/>
  <c r="T564" i="1"/>
  <c r="AC142" i="1"/>
  <c r="Y142" i="1"/>
  <c r="X341" i="1"/>
  <c r="T341" i="1"/>
  <c r="AC301" i="1"/>
  <c r="Y301" i="1"/>
  <c r="X786" i="1"/>
  <c r="T786" i="1"/>
  <c r="AC80" i="1"/>
  <c r="Y80" i="1"/>
  <c r="X131" i="1"/>
  <c r="T131" i="1"/>
  <c r="AC691" i="1"/>
  <c r="Y691" i="1"/>
  <c r="X160" i="1"/>
  <c r="T160" i="1"/>
  <c r="AC716" i="1"/>
  <c r="Y716" i="1"/>
  <c r="X399" i="1"/>
  <c r="T399" i="1"/>
  <c r="AC308" i="1"/>
  <c r="Y308" i="1"/>
  <c r="X724" i="1"/>
  <c r="T724" i="1"/>
  <c r="AC835" i="1"/>
  <c r="Y835" i="1"/>
  <c r="AC553" i="1"/>
  <c r="Y553" i="1"/>
  <c r="AC123" i="1"/>
  <c r="Y123" i="1"/>
  <c r="X431" i="1"/>
  <c r="T431" i="1"/>
  <c r="AC41" i="1"/>
  <c r="Y41" i="1"/>
  <c r="X737" i="1"/>
  <c r="T737" i="1"/>
  <c r="AC260" i="1"/>
  <c r="Y260" i="1"/>
  <c r="X603" i="1"/>
  <c r="T603" i="1"/>
  <c r="AC666" i="1"/>
  <c r="Y666" i="1"/>
  <c r="X369" i="1"/>
  <c r="T369" i="1"/>
  <c r="AC612" i="1"/>
  <c r="Y612" i="1"/>
  <c r="X69" i="1"/>
  <c r="T69" i="1"/>
  <c r="AC183" i="1"/>
  <c r="Y183" i="1"/>
  <c r="X509" i="1"/>
  <c r="T509" i="1"/>
  <c r="X615" i="1"/>
  <c r="T615" i="1"/>
  <c r="AC417" i="1"/>
  <c r="Y417" i="1"/>
  <c r="X334" i="1"/>
  <c r="T334" i="1"/>
  <c r="AC497" i="1"/>
  <c r="Y497" i="1"/>
  <c r="X695" i="1"/>
  <c r="T695" i="1"/>
  <c r="AC535" i="1"/>
  <c r="Y535" i="1"/>
  <c r="X891" i="1"/>
  <c r="T891" i="1"/>
  <c r="AC962" i="1"/>
  <c r="Y962" i="1"/>
  <c r="X736" i="1"/>
  <c r="T736" i="1"/>
  <c r="AC525" i="1"/>
  <c r="Y525" i="1"/>
  <c r="X912" i="1"/>
  <c r="T912" i="1"/>
  <c r="AC251" i="1"/>
  <c r="Y251" i="1"/>
  <c r="X952" i="1"/>
  <c r="T952" i="1"/>
  <c r="AC711" i="1"/>
  <c r="Y711" i="1"/>
  <c r="X632" i="1"/>
  <c r="T632" i="1"/>
  <c r="X571" i="1"/>
  <c r="T571" i="1"/>
  <c r="AC914" i="1"/>
  <c r="Y914" i="1"/>
  <c r="X739" i="1"/>
  <c r="T739" i="1"/>
  <c r="X505" i="1"/>
  <c r="T505" i="1"/>
  <c r="AC132" i="1"/>
  <c r="Y132" i="1"/>
  <c r="X561" i="1"/>
  <c r="T561" i="1"/>
  <c r="AC125" i="1"/>
  <c r="Y125" i="1"/>
  <c r="X745" i="1"/>
  <c r="T745" i="1"/>
  <c r="AC167" i="1"/>
  <c r="Y167" i="1"/>
  <c r="X247" i="1"/>
  <c r="T247" i="1"/>
  <c r="AC895" i="1"/>
  <c r="Y895" i="1"/>
  <c r="X738" i="1"/>
  <c r="T738" i="1"/>
  <c r="AC722" i="1"/>
  <c r="Y722" i="1"/>
  <c r="X563" i="1"/>
  <c r="T563" i="1"/>
  <c r="AC886" i="1"/>
  <c r="Y886" i="1"/>
  <c r="X281" i="1"/>
  <c r="T281" i="1"/>
  <c r="AC458" i="1"/>
  <c r="Y458" i="1"/>
  <c r="X406" i="1"/>
  <c r="T406" i="1"/>
  <c r="AC921" i="1"/>
  <c r="Y921" i="1"/>
  <c r="X730" i="1"/>
  <c r="T730" i="1"/>
  <c r="AC757" i="1"/>
  <c r="Y757" i="1"/>
  <c r="X405" i="1"/>
  <c r="T405" i="1"/>
  <c r="AC243" i="1"/>
  <c r="Y243" i="1"/>
  <c r="X385" i="1"/>
  <c r="T385" i="1"/>
  <c r="AC579" i="1"/>
  <c r="Y579" i="1"/>
  <c r="X48" i="1"/>
  <c r="T48" i="1"/>
  <c r="AC90" i="1"/>
  <c r="Y90" i="1"/>
  <c r="X436" i="1"/>
  <c r="T436" i="1"/>
  <c r="AC164" i="1"/>
  <c r="Y164" i="1"/>
  <c r="X269" i="1"/>
  <c r="T269" i="1"/>
  <c r="AC455" i="1"/>
  <c r="Y455" i="1"/>
  <c r="X382" i="1"/>
  <c r="T382" i="1"/>
  <c r="AC510" i="1"/>
  <c r="Y510" i="1"/>
  <c r="X642" i="1"/>
  <c r="T642" i="1"/>
  <c r="AC970" i="1"/>
  <c r="Y970" i="1"/>
  <c r="X838" i="1"/>
  <c r="T838" i="1"/>
  <c r="AC333" i="1"/>
  <c r="Y333" i="1"/>
  <c r="X605" i="1"/>
  <c r="T605" i="1"/>
  <c r="X364" i="1"/>
  <c r="T364" i="1"/>
  <c r="X953" i="1"/>
  <c r="T953" i="1"/>
  <c r="AC996" i="1"/>
  <c r="Y996" i="1"/>
  <c r="X204" i="1"/>
  <c r="T204" i="1"/>
  <c r="AC829" i="1"/>
  <c r="Y829" i="1"/>
  <c r="X743" i="1"/>
  <c r="T743" i="1"/>
  <c r="AC159" i="1"/>
  <c r="Y159" i="1"/>
  <c r="X37" i="1"/>
  <c r="T37" i="1"/>
  <c r="AC714" i="1"/>
  <c r="Y714" i="1"/>
  <c r="X972" i="1"/>
  <c r="T972" i="1"/>
  <c r="AC362" i="1"/>
  <c r="Y362" i="1"/>
  <c r="X337" i="1"/>
  <c r="T337" i="1"/>
  <c r="AC305" i="1"/>
  <c r="Y305" i="1"/>
  <c r="X29" i="1"/>
  <c r="T29" i="1"/>
  <c r="AC330" i="1"/>
  <c r="Y330" i="1"/>
  <c r="X366" i="1"/>
  <c r="T366" i="1"/>
  <c r="AC391" i="1"/>
  <c r="Y391" i="1"/>
  <c r="X767" i="1"/>
  <c r="T767" i="1"/>
  <c r="AC375" i="1"/>
  <c r="Y375" i="1"/>
  <c r="X249" i="1"/>
  <c r="T249" i="1"/>
  <c r="AC842" i="1"/>
  <c r="Y842" i="1"/>
  <c r="X8" i="1"/>
  <c r="T8" i="1"/>
  <c r="AC271" i="1"/>
  <c r="Y271" i="1"/>
  <c r="X782" i="1"/>
  <c r="T782" i="1"/>
  <c r="AC545" i="1"/>
  <c r="Y545" i="1"/>
  <c r="X344" i="1"/>
  <c r="T344" i="1"/>
  <c r="AC25" i="1"/>
  <c r="Y25" i="1"/>
  <c r="X661" i="1"/>
  <c r="T661" i="1"/>
  <c r="AC64" i="1"/>
  <c r="Y64" i="1"/>
  <c r="X312" i="1"/>
  <c r="T312" i="1"/>
  <c r="AC438" i="1"/>
  <c r="Y438" i="1"/>
  <c r="X414" i="1"/>
  <c r="T414" i="1"/>
  <c r="AC427" i="1"/>
  <c r="Y427" i="1"/>
  <c r="X376" i="1"/>
  <c r="T376" i="1"/>
  <c r="AC564" i="1"/>
  <c r="Y564" i="1"/>
  <c r="X717" i="1"/>
  <c r="T717" i="1"/>
  <c r="AC341" i="1"/>
  <c r="Y341" i="1"/>
  <c r="X595" i="1"/>
  <c r="T595" i="1"/>
  <c r="AC786" i="1"/>
  <c r="Y786" i="1"/>
  <c r="X140" i="1"/>
  <c r="T140" i="1"/>
  <c r="AC131" i="1"/>
  <c r="Y131" i="1"/>
  <c r="X354" i="1"/>
  <c r="T354" i="1"/>
  <c r="AC160" i="1"/>
  <c r="Y160" i="1"/>
  <c r="X453" i="1"/>
  <c r="T453" i="1"/>
  <c r="AC399" i="1"/>
  <c r="Y399" i="1"/>
  <c r="X534" i="1"/>
  <c r="T534" i="1"/>
  <c r="AC724" i="1"/>
  <c r="Y724" i="1"/>
  <c r="X469" i="1"/>
  <c r="T469" i="1"/>
  <c r="X553" i="1"/>
  <c r="T553" i="1"/>
  <c r="X423" i="1"/>
  <c r="T423" i="1"/>
  <c r="AC431" i="1"/>
  <c r="Y431" i="1"/>
  <c r="X42" i="1"/>
  <c r="T42" i="1"/>
  <c r="AC737" i="1"/>
  <c r="Y737" i="1"/>
  <c r="X108" i="1"/>
  <c r="T108" i="1"/>
  <c r="AC603" i="1"/>
  <c r="Y603" i="1"/>
  <c r="X386" i="1"/>
  <c r="T386" i="1"/>
  <c r="AC369" i="1"/>
  <c r="Y369" i="1"/>
  <c r="X500" i="1"/>
  <c r="T500" i="1"/>
  <c r="AC69" i="1"/>
  <c r="Y69" i="1"/>
  <c r="X353" i="1"/>
  <c r="T353" i="1"/>
  <c r="AC509" i="1"/>
  <c r="Y509" i="1"/>
  <c r="AC615" i="1"/>
  <c r="Y615" i="1"/>
  <c r="X703" i="1"/>
  <c r="T703" i="1"/>
  <c r="AC334" i="1"/>
  <c r="Y334" i="1"/>
  <c r="X636" i="1"/>
  <c r="T636" i="1"/>
  <c r="AC695" i="1"/>
  <c r="Y695" i="1"/>
  <c r="X823" i="1"/>
  <c r="T823" i="1"/>
  <c r="AC891" i="1"/>
  <c r="Y891" i="1"/>
  <c r="X416" i="1"/>
  <c r="T416" i="1"/>
  <c r="AC736" i="1"/>
  <c r="Y736" i="1"/>
  <c r="X705" i="1"/>
  <c r="T705" i="1"/>
  <c r="AC912" i="1"/>
  <c r="Y912" i="1"/>
  <c r="X719" i="1"/>
  <c r="T719" i="1"/>
  <c r="AC952" i="1"/>
  <c r="Y952" i="1"/>
  <c r="X811" i="1"/>
  <c r="T811" i="1"/>
  <c r="AC179" i="1"/>
  <c r="Y179" i="1"/>
  <c r="AC456" i="1"/>
  <c r="Y456" i="1"/>
  <c r="X257" i="1"/>
  <c r="T257" i="1"/>
  <c r="AC78" i="1"/>
  <c r="Y78" i="1"/>
  <c r="AC295" i="1"/>
  <c r="Y295" i="1"/>
  <c r="X276" i="1"/>
  <c r="T276" i="1"/>
  <c r="AC440" i="1"/>
  <c r="Y440" i="1"/>
  <c r="AC665" i="1"/>
  <c r="Y665" i="1"/>
  <c r="X752" i="1"/>
  <c r="T752" i="1"/>
  <c r="AC745" i="1"/>
  <c r="Y745" i="1"/>
  <c r="X859" i="1"/>
  <c r="T859" i="1"/>
  <c r="AC281" i="1"/>
  <c r="Y281" i="1"/>
  <c r="X988" i="1"/>
  <c r="T988" i="1"/>
  <c r="AC406" i="1"/>
  <c r="Y406" i="1"/>
  <c r="X968" i="1"/>
  <c r="T968" i="1"/>
  <c r="AC730" i="1"/>
  <c r="Y730" i="1"/>
  <c r="X920" i="1"/>
  <c r="T920" i="1"/>
  <c r="AC405" i="1"/>
  <c r="Y405" i="1"/>
  <c r="X627" i="1"/>
  <c r="T627" i="1"/>
  <c r="AC385" i="1"/>
  <c r="Y385" i="1"/>
  <c r="X916" i="1"/>
  <c r="T916" i="1"/>
  <c r="AC48" i="1"/>
  <c r="Y48" i="1"/>
  <c r="X189" i="1"/>
  <c r="T189" i="1"/>
  <c r="AC436" i="1"/>
  <c r="Y436" i="1"/>
  <c r="X355" i="1"/>
  <c r="T355" i="1"/>
  <c r="AC269" i="1"/>
  <c r="Y269" i="1"/>
  <c r="X374" i="1"/>
  <c r="T374" i="1"/>
  <c r="AC382" i="1"/>
  <c r="Y382" i="1"/>
  <c r="X780" i="1"/>
  <c r="T780" i="1"/>
  <c r="AC642" i="1"/>
  <c r="Y642" i="1"/>
  <c r="X941" i="1"/>
  <c r="T941" i="1"/>
  <c r="AC838" i="1"/>
  <c r="Y838" i="1"/>
  <c r="X694" i="1"/>
  <c r="T694" i="1"/>
  <c r="AC605" i="1"/>
  <c r="Y605" i="1"/>
  <c r="X771" i="1"/>
  <c r="T771" i="1"/>
  <c r="AC953" i="1"/>
  <c r="Y953" i="1"/>
  <c r="X592" i="1"/>
  <c r="T592" i="1"/>
  <c r="AC204" i="1"/>
  <c r="Y204" i="1"/>
  <c r="X163" i="1"/>
  <c r="T163" i="1"/>
  <c r="AC743" i="1"/>
  <c r="Y743" i="1"/>
  <c r="X53" i="1"/>
  <c r="T53" i="1"/>
  <c r="AC37" i="1"/>
  <c r="Y37" i="1"/>
  <c r="X896" i="1"/>
  <c r="T896" i="1"/>
  <c r="AC972" i="1"/>
  <c r="Y972" i="1"/>
  <c r="X562" i="1"/>
  <c r="T562" i="1"/>
  <c r="AC337" i="1"/>
  <c r="Y337" i="1"/>
  <c r="X55" i="1"/>
  <c r="T55" i="1"/>
  <c r="AC29" i="1"/>
  <c r="Y29" i="1"/>
  <c r="X482" i="1"/>
  <c r="T482" i="1"/>
  <c r="AC366" i="1"/>
  <c r="Y366" i="1"/>
  <c r="X903" i="1"/>
  <c r="T903" i="1"/>
  <c r="AC767" i="1"/>
  <c r="Y767" i="1"/>
  <c r="X966" i="1"/>
  <c r="T966" i="1"/>
  <c r="AC249" i="1"/>
  <c r="Y249" i="1"/>
  <c r="X943" i="1"/>
  <c r="T943" i="1"/>
  <c r="AC8" i="1"/>
  <c r="Y8" i="1"/>
  <c r="X351" i="1"/>
  <c r="T351" i="1"/>
  <c r="AC782" i="1"/>
  <c r="Y782" i="1"/>
  <c r="X927" i="1"/>
  <c r="T927" i="1"/>
  <c r="AC344" i="1"/>
  <c r="Y344" i="1"/>
  <c r="X503" i="1"/>
  <c r="T503" i="1"/>
  <c r="AC661" i="1"/>
  <c r="Y661" i="1"/>
  <c r="X77" i="1"/>
  <c r="T77" i="1"/>
  <c r="AC312" i="1"/>
  <c r="Y312" i="1"/>
  <c r="X244" i="1"/>
  <c r="T244" i="1"/>
  <c r="AC414" i="1"/>
  <c r="Y414" i="1"/>
  <c r="X242" i="1"/>
  <c r="T242" i="1"/>
  <c r="AC376" i="1"/>
  <c r="Y376" i="1"/>
  <c r="X728" i="1"/>
  <c r="T728" i="1"/>
  <c r="AC717" i="1"/>
  <c r="Y717" i="1"/>
  <c r="X87" i="1"/>
  <c r="T87" i="1"/>
  <c r="AC595" i="1"/>
  <c r="Y595" i="1"/>
  <c r="X608" i="1"/>
  <c r="T608" i="1"/>
  <c r="AC140" i="1"/>
  <c r="Y140" i="1"/>
  <c r="X335" i="1"/>
  <c r="T335" i="1"/>
  <c r="AC354" i="1"/>
  <c r="Y354" i="1"/>
  <c r="X172" i="1"/>
  <c r="T172" i="1"/>
  <c r="AC453" i="1"/>
  <c r="Y453" i="1"/>
  <c r="X168" i="1"/>
  <c r="T168" i="1"/>
  <c r="AC534" i="1"/>
  <c r="Y534" i="1"/>
  <c r="X542" i="1"/>
  <c r="T542" i="1"/>
  <c r="AC469" i="1"/>
  <c r="Y469" i="1"/>
  <c r="X40" i="1"/>
  <c r="T40" i="1"/>
  <c r="AC423" i="1"/>
  <c r="Y423" i="1"/>
  <c r="X89" i="1"/>
  <c r="T89" i="1"/>
  <c r="AC42" i="1"/>
  <c r="Y42" i="1"/>
  <c r="X283" i="1"/>
  <c r="T283" i="1"/>
  <c r="AC108" i="1"/>
  <c r="Y108" i="1"/>
  <c r="X403" i="1"/>
  <c r="T403" i="1"/>
  <c r="AC386" i="1"/>
  <c r="Y386" i="1"/>
  <c r="X409" i="1"/>
  <c r="T409" i="1"/>
  <c r="AC500" i="1"/>
  <c r="Y500" i="1"/>
  <c r="X371" i="1"/>
  <c r="T371" i="1"/>
  <c r="AC353" i="1"/>
  <c r="Y353" i="1"/>
  <c r="X976" i="1"/>
  <c r="T976" i="1"/>
  <c r="X124" i="1"/>
  <c r="T124" i="1"/>
  <c r="AC703" i="1"/>
  <c r="Y703" i="1"/>
  <c r="X601" i="1"/>
  <c r="T601" i="1"/>
  <c r="AC636" i="1"/>
  <c r="Y636" i="1"/>
  <c r="X765" i="1"/>
  <c r="T765" i="1"/>
  <c r="AC823" i="1"/>
  <c r="Y823" i="1"/>
  <c r="X837" i="1"/>
  <c r="T837" i="1"/>
  <c r="AC416" i="1"/>
  <c r="Y416" i="1"/>
  <c r="X930" i="1"/>
  <c r="T930" i="1"/>
  <c r="AC705" i="1"/>
  <c r="Y705" i="1"/>
  <c r="X113" i="1"/>
  <c r="T113" i="1"/>
  <c r="AC719" i="1"/>
  <c r="Y719" i="1"/>
  <c r="X538" i="1"/>
  <c r="T538" i="1"/>
  <c r="AC811" i="1"/>
  <c r="Y811" i="1"/>
  <c r="X329" i="1"/>
  <c r="T329" i="1"/>
  <c r="AC128" i="1"/>
  <c r="Y128" i="1"/>
  <c r="X577" i="1"/>
  <c r="T577" i="1"/>
  <c r="X486" i="1"/>
  <c r="T486" i="1"/>
  <c r="X309" i="1"/>
  <c r="T309" i="1"/>
  <c r="X847" i="1"/>
  <c r="T847" i="1"/>
  <c r="X225" i="1"/>
  <c r="T225" i="1"/>
  <c r="AC571" i="1"/>
  <c r="Y571" i="1"/>
  <c r="X827" i="1"/>
  <c r="T827" i="1"/>
  <c r="X259" i="1"/>
  <c r="T259" i="1"/>
  <c r="X623" i="1"/>
  <c r="T623" i="1"/>
  <c r="X942" i="1"/>
  <c r="T942" i="1"/>
  <c r="AC551" i="1"/>
  <c r="Y551" i="1"/>
  <c r="AC259" i="1"/>
  <c r="Y259" i="1"/>
  <c r="X650" i="1"/>
  <c r="T650" i="1"/>
  <c r="X205" i="1"/>
  <c r="T205" i="1"/>
  <c r="X332" i="1"/>
  <c r="T332" i="1"/>
  <c r="AC916" i="1"/>
  <c r="Y916" i="1"/>
  <c r="X72" i="1"/>
  <c r="T72" i="1"/>
  <c r="AC189" i="1"/>
  <c r="Y189" i="1"/>
  <c r="X461" i="1"/>
  <c r="T461" i="1"/>
  <c r="AC355" i="1"/>
  <c r="Y355" i="1"/>
  <c r="X547" i="1"/>
  <c r="T547" i="1"/>
  <c r="AC374" i="1"/>
  <c r="Y374" i="1"/>
  <c r="X537" i="1"/>
  <c r="T537" i="1"/>
  <c r="AC780" i="1"/>
  <c r="Y780" i="1"/>
  <c r="X915" i="1"/>
  <c r="T915" i="1"/>
  <c r="AC941" i="1"/>
  <c r="Y941" i="1"/>
  <c r="X949" i="1"/>
  <c r="T949" i="1"/>
  <c r="AC694" i="1"/>
  <c r="Y694" i="1"/>
  <c r="X700" i="1"/>
  <c r="T700" i="1"/>
  <c r="AC771" i="1"/>
  <c r="Y771" i="1"/>
  <c r="X622" i="1"/>
  <c r="T622" i="1"/>
  <c r="AC592" i="1"/>
  <c r="Y592" i="1"/>
  <c r="X850" i="1"/>
  <c r="T850" i="1"/>
  <c r="AC163" i="1"/>
  <c r="Y163" i="1"/>
  <c r="X499" i="1"/>
  <c r="T499" i="1"/>
  <c r="AC53" i="1"/>
  <c r="Y53" i="1"/>
  <c r="X144" i="1"/>
  <c r="T144" i="1"/>
  <c r="AC896" i="1"/>
  <c r="Y896" i="1"/>
  <c r="X704" i="1"/>
  <c r="T704" i="1"/>
  <c r="AC562" i="1"/>
  <c r="Y562" i="1"/>
  <c r="X383" i="1"/>
  <c r="T383" i="1"/>
  <c r="AC55" i="1"/>
  <c r="Y55" i="1"/>
  <c r="X184" i="1"/>
  <c r="T184" i="1"/>
  <c r="AC482" i="1"/>
  <c r="Y482" i="1"/>
  <c r="X471" i="1"/>
  <c r="T471" i="1"/>
  <c r="AC903" i="1"/>
  <c r="Y903" i="1"/>
  <c r="X928" i="1"/>
  <c r="T928" i="1"/>
  <c r="AC966" i="1"/>
  <c r="Y966" i="1"/>
  <c r="X84" i="1"/>
  <c r="T84" i="1"/>
  <c r="AC943" i="1"/>
  <c r="Y943" i="1"/>
  <c r="X65" i="1"/>
  <c r="T65" i="1"/>
  <c r="AC351" i="1"/>
  <c r="Y351" i="1"/>
  <c r="X625" i="1"/>
  <c r="T625" i="1"/>
  <c r="AC927" i="1"/>
  <c r="Y927" i="1"/>
  <c r="X141" i="1"/>
  <c r="T141" i="1"/>
  <c r="AC503" i="1"/>
  <c r="Y503" i="1"/>
  <c r="X698" i="1"/>
  <c r="T698" i="1"/>
  <c r="AC77" i="1"/>
  <c r="Y77" i="1"/>
  <c r="X12" i="1"/>
  <c r="T12" i="1"/>
  <c r="AC244" i="1"/>
  <c r="Y244" i="1"/>
  <c r="X459" i="1"/>
  <c r="T459" i="1"/>
  <c r="AC242" i="1"/>
  <c r="Y242" i="1"/>
  <c r="X529" i="1"/>
  <c r="T529" i="1"/>
  <c r="AC728" i="1"/>
  <c r="Y728" i="1"/>
  <c r="X397" i="1"/>
  <c r="T397" i="1"/>
  <c r="AC87" i="1"/>
  <c r="Y87" i="1"/>
  <c r="X44" i="1"/>
  <c r="T44" i="1"/>
  <c r="AC608" i="1"/>
  <c r="Y608" i="1"/>
  <c r="X36" i="1"/>
  <c r="T36" i="1"/>
  <c r="AC335" i="1"/>
  <c r="Y335" i="1"/>
  <c r="X91" i="1"/>
  <c r="T91" i="1"/>
  <c r="AC172" i="1"/>
  <c r="Y172" i="1"/>
  <c r="X554" i="1"/>
  <c r="T554" i="1"/>
  <c r="AC168" i="1"/>
  <c r="Y168" i="1"/>
  <c r="X360" i="1"/>
  <c r="T360" i="1"/>
  <c r="AC542" i="1"/>
  <c r="Y542" i="1"/>
  <c r="X956" i="1"/>
  <c r="T956" i="1"/>
  <c r="AC40" i="1"/>
  <c r="Y40" i="1"/>
  <c r="X987" i="1"/>
  <c r="T987" i="1"/>
  <c r="AC89" i="1"/>
  <c r="Y89" i="1"/>
  <c r="X93" i="1"/>
  <c r="T93" i="1"/>
  <c r="AC283" i="1"/>
  <c r="Y283" i="1"/>
  <c r="X457" i="1"/>
  <c r="T457" i="1"/>
  <c r="AC403" i="1"/>
  <c r="Y403" i="1"/>
  <c r="X638" i="1"/>
  <c r="T638" i="1"/>
  <c r="AC409" i="1"/>
  <c r="Y409" i="1"/>
  <c r="X576" i="1"/>
  <c r="T576" i="1"/>
  <c r="AC371" i="1"/>
  <c r="Y371" i="1"/>
  <c r="X62" i="1"/>
  <c r="T62" i="1"/>
  <c r="AC976" i="1"/>
  <c r="Y976" i="1"/>
  <c r="X165" i="1"/>
  <c r="T165" i="1"/>
  <c r="AC124" i="1"/>
  <c r="Y124" i="1"/>
  <c r="X674" i="1"/>
  <c r="T674" i="1"/>
  <c r="AC601" i="1"/>
  <c r="Y601" i="1"/>
  <c r="X733" i="1"/>
  <c r="T733" i="1"/>
  <c r="AC765" i="1"/>
  <c r="Y765" i="1"/>
  <c r="X822" i="1"/>
  <c r="T822" i="1"/>
  <c r="AC837" i="1"/>
  <c r="Y837" i="1"/>
  <c r="X462" i="1"/>
  <c r="T462" i="1"/>
  <c r="AC930" i="1"/>
  <c r="Y930" i="1"/>
  <c r="X798" i="1"/>
  <c r="T798" i="1"/>
  <c r="AC113" i="1"/>
  <c r="Y113" i="1"/>
  <c r="X909" i="1"/>
  <c r="T909" i="1"/>
  <c r="AC538" i="1"/>
  <c r="Y538" i="1"/>
  <c r="X963" i="1"/>
  <c r="T963" i="1"/>
  <c r="AC347" i="1"/>
  <c r="Y347" i="1"/>
  <c r="X440" i="1"/>
  <c r="T440" i="1"/>
  <c r="AC658" i="1"/>
  <c r="Y658" i="1"/>
  <c r="AC971" i="1"/>
  <c r="Y971" i="1"/>
  <c r="AC329" i="1"/>
  <c r="Y329" i="1"/>
  <c r="AC863" i="1"/>
  <c r="Y863" i="1"/>
  <c r="X246" i="1"/>
  <c r="T246" i="1"/>
  <c r="AC836" i="1"/>
  <c r="Y836" i="1"/>
  <c r="X176" i="1"/>
  <c r="T176" i="1"/>
  <c r="AC558" i="1"/>
  <c r="Y558" i="1"/>
  <c r="X216" i="1"/>
  <c r="T216" i="1"/>
  <c r="AC858" i="1"/>
  <c r="Y858" i="1"/>
  <c r="X872" i="1"/>
  <c r="T872" i="1"/>
  <c r="AC205" i="1"/>
  <c r="Y205" i="1"/>
  <c r="AC461" i="1"/>
  <c r="Y461" i="1"/>
  <c r="X637" i="1"/>
  <c r="T637" i="1"/>
  <c r="AC915" i="1"/>
  <c r="Y915" i="1"/>
  <c r="AC622" i="1"/>
  <c r="Y622" i="1"/>
  <c r="X800" i="1"/>
  <c r="T800" i="1"/>
  <c r="AC850" i="1"/>
  <c r="Y850" i="1"/>
  <c r="X363" i="1"/>
  <c r="T363" i="1"/>
  <c r="AC499" i="1"/>
  <c r="Y499" i="1"/>
  <c r="X157" i="1"/>
  <c r="T157" i="1"/>
  <c r="AC144" i="1"/>
  <c r="Y144" i="1"/>
  <c r="X111" i="1"/>
  <c r="T111" i="1"/>
  <c r="AC704" i="1"/>
  <c r="Y704" i="1"/>
  <c r="X16" i="1"/>
  <c r="T16" i="1"/>
  <c r="AC383" i="1"/>
  <c r="Y383" i="1"/>
  <c r="X154" i="1"/>
  <c r="T154" i="1"/>
  <c r="AC184" i="1"/>
  <c r="Y184" i="1"/>
  <c r="X95" i="1"/>
  <c r="T95" i="1"/>
  <c r="AC471" i="1"/>
  <c r="Y471" i="1"/>
  <c r="X947" i="1"/>
  <c r="T947" i="1"/>
  <c r="AC928" i="1"/>
  <c r="Y928" i="1"/>
  <c r="AC297" i="1"/>
  <c r="Y297" i="1"/>
  <c r="AC84" i="1"/>
  <c r="Y84" i="1"/>
  <c r="X121" i="1"/>
  <c r="T121" i="1"/>
  <c r="AC65" i="1"/>
  <c r="Y65" i="1"/>
  <c r="X748" i="1"/>
  <c r="T748" i="1"/>
  <c r="AC625" i="1"/>
  <c r="Y625" i="1"/>
  <c r="X415" i="1"/>
  <c r="T415" i="1"/>
  <c r="AC141" i="1"/>
  <c r="Y141" i="1"/>
  <c r="X238" i="1"/>
  <c r="T238" i="1"/>
  <c r="AC698" i="1"/>
  <c r="Y698" i="1"/>
  <c r="X58" i="1"/>
  <c r="T58" i="1"/>
  <c r="AC12" i="1"/>
  <c r="Y12" i="1"/>
  <c r="X336" i="1"/>
  <c r="T336" i="1"/>
  <c r="AC459" i="1"/>
  <c r="Y459" i="1"/>
  <c r="X139" i="1"/>
  <c r="T139" i="1"/>
  <c r="AC529" i="1"/>
  <c r="Y529" i="1"/>
  <c r="X675" i="1"/>
  <c r="T675" i="1"/>
  <c r="AC397" i="1"/>
  <c r="Y397" i="1"/>
  <c r="X934" i="1"/>
  <c r="T934" i="1"/>
  <c r="AC44" i="1"/>
  <c r="Y44" i="1"/>
  <c r="X845" i="1"/>
  <c r="T845" i="1"/>
  <c r="AC36" i="1"/>
  <c r="Y36" i="1"/>
  <c r="X390" i="1"/>
  <c r="T390" i="1"/>
  <c r="AC91" i="1"/>
  <c r="Y91" i="1"/>
  <c r="X231" i="1"/>
  <c r="T231" i="1"/>
  <c r="AC554" i="1"/>
  <c r="Y554" i="1"/>
  <c r="X299" i="1"/>
  <c r="T299" i="1"/>
  <c r="AC360" i="1"/>
  <c r="Y360" i="1"/>
  <c r="X181" i="1"/>
  <c r="T181" i="1"/>
  <c r="AC956" i="1"/>
  <c r="Y956" i="1"/>
  <c r="X52" i="1"/>
  <c r="T52" i="1"/>
  <c r="AC987" i="1"/>
  <c r="Y987" i="1"/>
  <c r="X186" i="1"/>
  <c r="T186" i="1"/>
  <c r="AC93" i="1"/>
  <c r="Y93" i="1"/>
  <c r="X404" i="1"/>
  <c r="T404" i="1"/>
  <c r="AC457" i="1"/>
  <c r="Y457" i="1"/>
  <c r="X746" i="1"/>
  <c r="T746" i="1"/>
  <c r="AC638" i="1"/>
  <c r="Y638" i="1"/>
  <c r="X543" i="1"/>
  <c r="T543" i="1"/>
  <c r="AC576" i="1"/>
  <c r="Y576" i="1"/>
  <c r="X856" i="1"/>
  <c r="T856" i="1"/>
  <c r="AC62" i="1"/>
  <c r="Y62" i="1"/>
  <c r="X753" i="1"/>
  <c r="T753" i="1"/>
  <c r="AC165" i="1"/>
  <c r="Y165" i="1"/>
  <c r="X442" i="1"/>
  <c r="T442" i="1"/>
  <c r="AC674" i="1"/>
  <c r="Y674" i="1"/>
  <c r="X751" i="1"/>
  <c r="T751" i="1"/>
  <c r="AC733" i="1"/>
  <c r="Y733" i="1"/>
  <c r="X602" i="1"/>
  <c r="T602" i="1"/>
  <c r="AC822" i="1"/>
  <c r="Y822" i="1"/>
  <c r="X824" i="1"/>
  <c r="T824" i="1"/>
  <c r="AC462" i="1"/>
  <c r="Y462" i="1"/>
  <c r="X221" i="1"/>
  <c r="T221" i="1"/>
  <c r="AC798" i="1"/>
  <c r="Y798" i="1"/>
  <c r="X398" i="1"/>
  <c r="T398" i="1"/>
  <c r="AC909" i="1"/>
  <c r="Y909" i="1"/>
  <c r="X756" i="1"/>
  <c r="T756" i="1"/>
  <c r="AC963" i="1"/>
  <c r="Y963" i="1"/>
  <c r="AC373" i="1"/>
  <c r="Y373" i="1"/>
  <c r="X239" i="1"/>
  <c r="T239" i="1"/>
  <c r="AC939" i="1"/>
  <c r="Y939" i="1"/>
  <c r="AC264" i="1"/>
  <c r="Y264" i="1"/>
  <c r="X425" i="1"/>
  <c r="T425" i="1"/>
  <c r="AC600" i="1"/>
  <c r="Y600" i="1"/>
  <c r="AC230" i="1"/>
  <c r="Y230" i="1"/>
  <c r="X677" i="1"/>
  <c r="T677" i="1"/>
  <c r="X551" i="1"/>
  <c r="T551" i="1"/>
  <c r="AC561" i="1"/>
  <c r="Y561" i="1"/>
  <c r="AC447" i="1"/>
  <c r="Y447" i="1"/>
  <c r="AC933" i="1"/>
  <c r="Y933" i="1"/>
  <c r="AC668" i="1"/>
  <c r="Y668" i="1"/>
  <c r="X92" i="1"/>
  <c r="T92" i="1"/>
  <c r="X641" i="1"/>
  <c r="T641" i="1"/>
  <c r="X964" i="1"/>
  <c r="T964" i="1"/>
  <c r="X797" i="1"/>
  <c r="T797" i="1"/>
  <c r="X20" i="1"/>
  <c r="T20" i="1"/>
  <c r="X110" i="1"/>
  <c r="T110" i="1"/>
  <c r="X489" i="1"/>
  <c r="T489" i="1"/>
  <c r="X317" i="1"/>
  <c r="T317" i="1"/>
  <c r="AC415" i="1"/>
  <c r="Y415" i="1"/>
  <c r="X604" i="1"/>
  <c r="T604" i="1"/>
  <c r="X609" i="1"/>
  <c r="T609" i="1"/>
  <c r="AC336" i="1"/>
  <c r="Y336" i="1"/>
  <c r="X185" i="1"/>
  <c r="T185" i="1"/>
  <c r="AC139" i="1"/>
  <c r="Y139" i="1"/>
  <c r="X293" i="1"/>
  <c r="T293" i="1"/>
  <c r="AC675" i="1"/>
  <c r="Y675" i="1"/>
  <c r="X906" i="1"/>
  <c r="T906" i="1"/>
  <c r="X280" i="1"/>
  <c r="T280" i="1"/>
  <c r="AC845" i="1"/>
  <c r="Y845" i="1"/>
  <c r="X187" i="1"/>
  <c r="T187" i="1"/>
  <c r="AC390" i="1"/>
  <c r="Y390" i="1"/>
  <c r="AC320" i="1"/>
  <c r="Y320" i="1"/>
  <c r="AC231" i="1"/>
  <c r="Y231" i="1"/>
  <c r="X267" i="1"/>
  <c r="T267" i="1"/>
  <c r="AC299" i="1"/>
  <c r="Y299" i="1"/>
  <c r="X720" i="1"/>
  <c r="T720" i="1"/>
  <c r="AC181" i="1"/>
  <c r="Y181" i="1"/>
  <c r="X147" i="1"/>
  <c r="T147" i="1"/>
  <c r="AC52" i="1"/>
  <c r="Y52" i="1"/>
  <c r="X910" i="1"/>
  <c r="T910" i="1"/>
  <c r="AC186" i="1"/>
  <c r="Y186" i="1"/>
  <c r="X47" i="1"/>
  <c r="T47" i="1"/>
  <c r="AC404" i="1"/>
  <c r="Y404" i="1"/>
  <c r="X496" i="1"/>
  <c r="T496" i="1"/>
  <c r="AC746" i="1"/>
  <c r="Y746" i="1"/>
  <c r="X631" i="1"/>
  <c r="T631" i="1"/>
  <c r="AC543" i="1"/>
  <c r="Y543" i="1"/>
  <c r="X673" i="1"/>
  <c r="T673" i="1"/>
  <c r="AC856" i="1"/>
  <c r="Y856" i="1"/>
  <c r="X401" i="1"/>
  <c r="T401" i="1"/>
  <c r="AC753" i="1"/>
  <c r="Y753" i="1"/>
  <c r="X331" i="1"/>
  <c r="T331" i="1"/>
  <c r="AC442" i="1"/>
  <c r="Y442" i="1"/>
  <c r="X359" i="1"/>
  <c r="T359" i="1"/>
  <c r="AC751" i="1"/>
  <c r="Y751" i="1"/>
  <c r="X485" i="1"/>
  <c r="T485" i="1"/>
  <c r="AC602" i="1"/>
  <c r="Y602" i="1"/>
  <c r="X913" i="1"/>
  <c r="T913" i="1"/>
  <c r="AC824" i="1"/>
  <c r="Y824" i="1"/>
  <c r="X937" i="1"/>
  <c r="T937" i="1"/>
  <c r="AC221" i="1"/>
  <c r="Y221" i="1"/>
  <c r="X715" i="1"/>
  <c r="T715" i="1"/>
  <c r="AC398" i="1"/>
  <c r="Y398" i="1"/>
  <c r="X857" i="1"/>
  <c r="T857" i="1"/>
  <c r="AC756" i="1"/>
  <c r="Y756" i="1"/>
  <c r="X78" i="1"/>
  <c r="T78" i="1"/>
  <c r="X149" i="1"/>
  <c r="T149" i="1"/>
  <c r="X925" i="1"/>
  <c r="T925" i="1"/>
  <c r="AC59" i="1"/>
  <c r="Y59" i="1"/>
  <c r="X836" i="1"/>
  <c r="T836" i="1"/>
  <c r="X447" i="1"/>
  <c r="T447" i="1"/>
  <c r="X67" i="1"/>
  <c r="T67" i="1"/>
  <c r="AC925" i="1"/>
  <c r="Y925" i="1"/>
  <c r="AC776" i="1"/>
  <c r="Y776" i="1"/>
  <c r="AC577" i="1"/>
  <c r="Y577" i="1"/>
  <c r="X507" i="1"/>
  <c r="T507" i="1"/>
  <c r="X49" i="1"/>
  <c r="T49" i="1"/>
  <c r="X904" i="1"/>
  <c r="T904" i="1"/>
  <c r="X858" i="1"/>
  <c r="T858" i="1"/>
  <c r="AC246" i="1"/>
  <c r="Y246" i="1"/>
  <c r="X663" i="1"/>
  <c r="T663" i="1"/>
  <c r="AC769" i="1"/>
  <c r="Y769" i="1"/>
  <c r="AC176" i="1"/>
  <c r="Y176" i="1"/>
  <c r="AC988" i="1"/>
  <c r="Y988" i="1"/>
  <c r="X56" i="1"/>
  <c r="T56" i="1"/>
  <c r="AC49" i="1"/>
  <c r="Y49" i="1"/>
  <c r="X901" i="1"/>
  <c r="T901" i="1"/>
  <c r="AC228" i="1"/>
  <c r="Y228" i="1"/>
  <c r="AC758" i="1"/>
  <c r="Y758" i="1"/>
  <c r="X668" i="1"/>
  <c r="T668" i="1"/>
  <c r="AC975" i="1"/>
  <c r="Y975" i="1"/>
  <c r="X992" i="1"/>
  <c r="T992" i="1"/>
  <c r="AC411" i="1"/>
  <c r="Y411" i="1"/>
  <c r="AC307" i="1"/>
  <c r="Y307" i="1"/>
  <c r="X833" i="1"/>
  <c r="T833" i="1"/>
  <c r="X634" i="1"/>
  <c r="T634" i="1"/>
  <c r="AC72" i="1"/>
  <c r="Y72" i="1"/>
  <c r="AC537" i="1"/>
  <c r="Y537" i="1"/>
  <c r="AC949" i="1"/>
  <c r="Y949" i="1"/>
  <c r="X454" i="1"/>
  <c r="T454" i="1"/>
  <c r="X419" i="1"/>
  <c r="T419" i="1"/>
  <c r="X897" i="1"/>
  <c r="T897" i="1"/>
  <c r="AC994" i="1"/>
  <c r="Y994" i="1"/>
  <c r="X699" i="1"/>
  <c r="T699" i="1"/>
  <c r="X494" i="1"/>
  <c r="T494" i="1"/>
  <c r="AC492" i="1"/>
  <c r="Y492" i="1"/>
  <c r="X804" i="1"/>
  <c r="T804" i="1"/>
  <c r="AC321" i="1"/>
  <c r="Y321" i="1"/>
  <c r="X296" i="1"/>
  <c r="T296" i="1"/>
  <c r="AC634" i="1"/>
  <c r="Y634" i="1"/>
  <c r="AC83" i="1"/>
  <c r="Y83" i="1"/>
  <c r="X444" i="1"/>
  <c r="T444" i="1"/>
  <c r="X103" i="1"/>
  <c r="T103" i="1"/>
  <c r="X618" i="1"/>
  <c r="T618" i="1"/>
  <c r="AC350" i="1"/>
  <c r="Y350" i="1"/>
  <c r="AC637" i="1"/>
  <c r="Y637" i="1"/>
  <c r="X815" i="1"/>
  <c r="T815" i="1"/>
  <c r="AC775" i="1"/>
  <c r="Y775" i="1"/>
  <c r="X900" i="1"/>
  <c r="T900" i="1"/>
  <c r="AC137" i="1"/>
  <c r="Y137" i="1"/>
  <c r="AC621" i="1"/>
  <c r="Y621" i="1"/>
  <c r="X653" i="1"/>
  <c r="T653" i="1"/>
  <c r="AC800" i="1"/>
  <c r="Y800" i="1"/>
  <c r="X667" i="1"/>
  <c r="T667" i="1"/>
  <c r="AC363" i="1"/>
  <c r="Y363" i="1"/>
  <c r="AC157" i="1"/>
  <c r="Y157" i="1"/>
  <c r="X324" i="1"/>
  <c r="T324" i="1"/>
  <c r="AC111" i="1"/>
  <c r="Y111" i="1"/>
  <c r="AC16" i="1"/>
  <c r="Y16" i="1"/>
  <c r="X656" i="1"/>
  <c r="T656" i="1"/>
  <c r="AC154" i="1"/>
  <c r="Y154" i="1"/>
  <c r="AC95" i="1"/>
  <c r="Y95" i="1"/>
  <c r="X126" i="1"/>
  <c r="T126" i="1"/>
  <c r="AC947" i="1"/>
  <c r="Y947" i="1"/>
  <c r="X297" i="1"/>
  <c r="T297" i="1"/>
  <c r="X860" i="1"/>
  <c r="T860" i="1"/>
  <c r="AC121" i="1"/>
  <c r="Y121" i="1"/>
  <c r="AC748" i="1"/>
  <c r="Y748" i="1"/>
  <c r="X986" i="1"/>
  <c r="T986" i="1"/>
  <c r="X378" i="1"/>
  <c r="T378" i="1"/>
  <c r="AC238" i="1"/>
  <c r="Y238" i="1"/>
  <c r="AC58" i="1"/>
  <c r="Y58" i="1"/>
  <c r="AC934" i="1"/>
  <c r="Y934" i="1"/>
  <c r="AC683" i="1"/>
  <c r="Y683" i="1"/>
  <c r="X61" i="1"/>
  <c r="T61" i="1"/>
  <c r="AC454" i="1"/>
  <c r="Y454" i="1"/>
  <c r="X899" i="1"/>
  <c r="T899" i="1"/>
  <c r="AC688" i="1"/>
  <c r="Y688" i="1"/>
  <c r="X34" i="1"/>
  <c r="T34" i="1"/>
  <c r="AC63" i="1"/>
  <c r="Y63" i="1"/>
  <c r="X191" i="1"/>
  <c r="T191" i="1"/>
  <c r="AC419" i="1"/>
  <c r="Y419" i="1"/>
  <c r="X97" i="1"/>
  <c r="T97" i="1"/>
  <c r="AC158" i="1"/>
  <c r="Y158" i="1"/>
  <c r="X255" i="1"/>
  <c r="T255" i="1"/>
  <c r="AC685" i="1"/>
  <c r="Y685" i="1"/>
  <c r="X725" i="1"/>
  <c r="T725" i="1"/>
  <c r="AC897" i="1"/>
  <c r="Y897" i="1"/>
  <c r="X844" i="1"/>
  <c r="T844" i="1"/>
  <c r="AC936" i="1"/>
  <c r="Y936" i="1"/>
  <c r="X328" i="1"/>
  <c r="T328" i="1"/>
  <c r="AC173" i="1"/>
  <c r="Y173" i="1"/>
  <c r="X27" i="1"/>
  <c r="T27" i="1"/>
  <c r="AC978" i="1"/>
  <c r="Y978" i="1"/>
  <c r="X536" i="1"/>
  <c r="T536" i="1"/>
  <c r="AC803" i="1"/>
  <c r="Y803" i="1"/>
  <c r="X467" i="1"/>
  <c r="T467" i="1"/>
  <c r="AC699" i="1"/>
  <c r="Y699" i="1"/>
  <c r="X734" i="1"/>
  <c r="T734" i="1"/>
  <c r="AC81" i="1"/>
  <c r="Y81" i="1"/>
  <c r="X418" i="1"/>
  <c r="T418" i="1"/>
  <c r="AC120" i="1"/>
  <c r="Y120" i="1"/>
  <c r="X407" i="1"/>
  <c r="T407" i="1"/>
  <c r="AC494" i="1"/>
  <c r="Y494" i="1"/>
  <c r="X763" i="1"/>
  <c r="T763" i="1"/>
  <c r="AC702" i="1"/>
  <c r="Y702" i="1"/>
  <c r="X796" i="1"/>
  <c r="T796" i="1"/>
  <c r="AC831" i="1"/>
  <c r="Y831" i="1"/>
  <c r="X954" i="1"/>
  <c r="T954" i="1"/>
  <c r="AC586" i="1"/>
  <c r="Y586" i="1"/>
  <c r="X502" i="1"/>
  <c r="T502" i="1"/>
  <c r="AC85" i="1"/>
  <c r="Y85" i="1"/>
  <c r="X590" i="1"/>
  <c r="T590" i="1"/>
  <c r="AC983" i="1"/>
  <c r="Y983" i="1"/>
  <c r="X582" i="1"/>
  <c r="T582" i="1"/>
  <c r="AC96" i="1"/>
  <c r="Y96" i="1"/>
  <c r="X902" i="1"/>
  <c r="T902" i="1"/>
  <c r="AC804" i="1"/>
  <c r="Y804" i="1"/>
  <c r="X300" i="1"/>
  <c r="T300" i="1"/>
  <c r="AC177" i="1"/>
  <c r="Y177" i="1"/>
  <c r="X460" i="1"/>
  <c r="T460" i="1"/>
  <c r="AC410" i="1"/>
  <c r="Y410" i="1"/>
  <c r="X452" i="1"/>
  <c r="T452" i="1"/>
  <c r="AC585" i="1"/>
  <c r="Y585" i="1"/>
  <c r="X559" i="1"/>
  <c r="T559" i="1"/>
  <c r="AC884" i="1"/>
  <c r="Y884" i="1"/>
  <c r="X929" i="1"/>
  <c r="T929" i="1"/>
  <c r="AC296" i="1"/>
  <c r="Y296" i="1"/>
  <c r="X573" i="1"/>
  <c r="T573" i="1"/>
  <c r="AC433" i="1"/>
  <c r="Y433" i="1"/>
  <c r="X472" i="1"/>
  <c r="T472" i="1"/>
  <c r="AC651" i="1"/>
  <c r="Y651" i="1"/>
  <c r="X616" i="1"/>
  <c r="T616" i="1"/>
  <c r="AC92" i="1"/>
  <c r="Y92" i="1"/>
  <c r="X396" i="1"/>
  <c r="T396" i="1"/>
  <c r="AC444" i="1"/>
  <c r="Y444" i="1"/>
  <c r="X596" i="1"/>
  <c r="T596" i="1"/>
  <c r="AC103" i="1"/>
  <c r="Y103" i="1"/>
  <c r="X356" i="1"/>
  <c r="T356" i="1"/>
  <c r="AC434" i="1"/>
  <c r="Y434" i="1"/>
  <c r="X345" i="1"/>
  <c r="T345" i="1"/>
  <c r="AC618" i="1"/>
  <c r="Y618" i="1"/>
  <c r="X428" i="1"/>
  <c r="T428" i="1"/>
  <c r="AC641" i="1"/>
  <c r="Y641" i="1"/>
  <c r="X853" i="1"/>
  <c r="T853" i="1"/>
  <c r="AC815" i="1"/>
  <c r="Y815" i="1"/>
  <c r="X958" i="1"/>
  <c r="T958" i="1"/>
  <c r="AC900" i="1"/>
  <c r="Y900" i="1"/>
  <c r="X223" i="1"/>
  <c r="T223" i="1"/>
  <c r="AC964" i="1"/>
  <c r="Y964" i="1"/>
  <c r="X779" i="1"/>
  <c r="T779" i="1"/>
  <c r="AC653" i="1"/>
  <c r="Y653" i="1"/>
  <c r="X922" i="1"/>
  <c r="T922" i="1"/>
  <c r="AC667" i="1"/>
  <c r="Y667" i="1"/>
  <c r="X789" i="1"/>
  <c r="T789" i="1"/>
  <c r="AC797" i="1"/>
  <c r="Y797" i="1"/>
  <c r="X24" i="1"/>
  <c r="T24" i="1"/>
  <c r="AC324" i="1"/>
  <c r="Y324" i="1"/>
  <c r="X706" i="1"/>
  <c r="T706" i="1"/>
  <c r="AC20" i="1"/>
  <c r="Y20" i="1"/>
  <c r="X180" i="1"/>
  <c r="T180" i="1"/>
  <c r="AC656" i="1"/>
  <c r="Y656" i="1"/>
  <c r="X75" i="1"/>
  <c r="T75" i="1"/>
  <c r="AC110" i="1"/>
  <c r="Y110" i="1"/>
  <c r="X143" i="1"/>
  <c r="T143" i="1"/>
  <c r="AC126" i="1"/>
  <c r="Y126" i="1"/>
  <c r="X861" i="1"/>
  <c r="T861" i="1"/>
  <c r="AC489" i="1"/>
  <c r="Y489" i="1"/>
  <c r="X99" i="1"/>
  <c r="T99" i="1"/>
  <c r="AC860" i="1"/>
  <c r="Y860" i="1"/>
  <c r="X322" i="1"/>
  <c r="T322" i="1"/>
  <c r="AC317" i="1"/>
  <c r="Y317" i="1"/>
  <c r="X787" i="1"/>
  <c r="T787" i="1"/>
  <c r="AC986" i="1"/>
  <c r="Y986" i="1"/>
  <c r="X626" i="1"/>
  <c r="T626" i="1"/>
  <c r="AC378" i="1"/>
  <c r="Y378" i="1"/>
  <c r="X476" i="1"/>
  <c r="T476" i="1"/>
  <c r="AC604" i="1"/>
  <c r="Y604" i="1"/>
  <c r="X73" i="1"/>
  <c r="T73" i="1"/>
  <c r="AC609" i="1"/>
  <c r="Y609" i="1"/>
  <c r="X370" i="1"/>
  <c r="T370" i="1"/>
  <c r="AC185" i="1"/>
  <c r="Y185" i="1"/>
  <c r="X212" i="1"/>
  <c r="T212" i="1"/>
  <c r="AC293" i="1"/>
  <c r="Y293" i="1"/>
  <c r="X820" i="1"/>
  <c r="T820" i="1"/>
  <c r="AC906" i="1"/>
  <c r="Y906" i="1"/>
  <c r="X86" i="1"/>
  <c r="T86" i="1"/>
  <c r="AC280" i="1"/>
  <c r="Y280" i="1"/>
  <c r="X877" i="1"/>
  <c r="T877" i="1"/>
  <c r="AC187" i="1"/>
  <c r="Y187" i="1"/>
  <c r="X210" i="1"/>
  <c r="T210" i="1"/>
  <c r="X320" i="1"/>
  <c r="T320" i="1"/>
  <c r="X402" i="1"/>
  <c r="T402" i="1"/>
  <c r="AC267" i="1"/>
  <c r="Y267" i="1"/>
  <c r="X463" i="1"/>
  <c r="T463" i="1"/>
  <c r="AC720" i="1"/>
  <c r="Y720" i="1"/>
  <c r="X498" i="1"/>
  <c r="T498" i="1"/>
  <c r="AC147" i="1"/>
  <c r="Y147" i="1"/>
  <c r="X426" i="1"/>
  <c r="T426" i="1"/>
  <c r="AC910" i="1"/>
  <c r="Y910" i="1"/>
  <c r="X104" i="1"/>
  <c r="T104" i="1"/>
  <c r="AC47" i="1"/>
  <c r="Y47" i="1"/>
  <c r="X464" i="1"/>
  <c r="T464" i="1"/>
  <c r="AC496" i="1"/>
  <c r="Y496" i="1"/>
  <c r="X234" i="1"/>
  <c r="T234" i="1"/>
  <c r="AC631" i="1"/>
  <c r="Y631" i="1"/>
  <c r="X599" i="1"/>
  <c r="T599" i="1"/>
  <c r="AC673" i="1"/>
  <c r="Y673" i="1"/>
  <c r="X122" i="1"/>
  <c r="T122" i="1"/>
  <c r="AC401" i="1"/>
  <c r="Y401" i="1"/>
  <c r="X606" i="1"/>
  <c r="T606" i="1"/>
  <c r="AC331" i="1"/>
  <c r="Y331" i="1"/>
  <c r="X718" i="1"/>
  <c r="T718" i="1"/>
  <c r="AC359" i="1"/>
  <c r="Y359" i="1"/>
  <c r="X580" i="1"/>
  <c r="T580" i="1"/>
  <c r="AC485" i="1"/>
  <c r="Y485" i="1"/>
  <c r="X681" i="1"/>
  <c r="T681" i="1"/>
  <c r="AC913" i="1"/>
  <c r="Y913" i="1"/>
  <c r="X814" i="1"/>
  <c r="T814" i="1"/>
  <c r="AC937" i="1"/>
  <c r="Y937" i="1"/>
  <c r="X693" i="1"/>
  <c r="T693" i="1"/>
  <c r="AC715" i="1"/>
  <c r="Y715" i="1"/>
  <c r="X479" i="1"/>
  <c r="T479" i="1"/>
  <c r="AC857" i="1"/>
  <c r="Y857" i="1"/>
  <c r="X878" i="1"/>
  <c r="T878" i="1"/>
  <c r="AC129" i="1"/>
  <c r="Y129" i="1"/>
  <c r="X834" i="1"/>
  <c r="T834" i="1"/>
  <c r="X776" i="1"/>
  <c r="T776" i="1"/>
  <c r="AC477" i="1"/>
  <c r="Y477" i="1"/>
  <c r="AC149" i="1"/>
  <c r="Y149" i="1"/>
  <c r="X546" i="1"/>
  <c r="T546" i="1"/>
  <c r="X967" i="1"/>
  <c r="T967" i="1"/>
  <c r="AC239" i="1"/>
  <c r="Y239" i="1"/>
  <c r="X784" i="1"/>
  <c r="T784" i="1"/>
  <c r="X713" i="1"/>
  <c r="T713" i="1"/>
  <c r="X451" i="1"/>
  <c r="T451" i="1"/>
  <c r="X679" i="1"/>
  <c r="T679" i="1"/>
  <c r="AC502" i="1"/>
  <c r="Y502" i="1"/>
  <c r="AC180" i="1"/>
  <c r="Y180" i="1"/>
  <c r="AC626" i="1"/>
  <c r="Y626" i="1"/>
  <c r="AC370" i="1"/>
  <c r="Y370" i="1"/>
  <c r="AC212" i="1"/>
  <c r="Y212" i="1"/>
  <c r="X445" i="1"/>
  <c r="T445" i="1"/>
  <c r="X982" i="1"/>
  <c r="T982" i="1"/>
  <c r="AC86" i="1"/>
  <c r="Y86" i="1"/>
  <c r="X389" i="1"/>
  <c r="T389" i="1"/>
  <c r="AC210" i="1"/>
  <c r="Y210" i="1"/>
  <c r="X387" i="1"/>
  <c r="T387" i="1"/>
  <c r="X439" i="1"/>
  <c r="T439" i="1"/>
  <c r="AC463" i="1"/>
  <c r="Y463" i="1"/>
  <c r="X523" i="1"/>
  <c r="T523" i="1"/>
  <c r="AC498" i="1"/>
  <c r="Y498" i="1"/>
  <c r="X989" i="1"/>
  <c r="T989" i="1"/>
  <c r="AC426" i="1"/>
  <c r="Y426" i="1"/>
  <c r="X449" i="1"/>
  <c r="T449" i="1"/>
  <c r="AC104" i="1"/>
  <c r="Y104" i="1"/>
  <c r="X219" i="1"/>
  <c r="T219" i="1"/>
  <c r="AC464" i="1"/>
  <c r="Y464" i="1"/>
  <c r="X597" i="1"/>
  <c r="T597" i="1"/>
  <c r="AC234" i="1"/>
  <c r="Y234" i="1"/>
  <c r="X880" i="1"/>
  <c r="T880" i="1"/>
  <c r="AC599" i="1"/>
  <c r="Y599" i="1"/>
  <c r="X566" i="1"/>
  <c r="T566" i="1"/>
  <c r="AC122" i="1"/>
  <c r="Y122" i="1"/>
  <c r="X94" i="1"/>
  <c r="T94" i="1"/>
  <c r="AC606" i="1"/>
  <c r="Y606" i="1"/>
  <c r="X31" i="1"/>
  <c r="T31" i="1"/>
  <c r="AC718" i="1"/>
  <c r="Y718" i="1"/>
  <c r="X548" i="1"/>
  <c r="T548" i="1"/>
  <c r="AC580" i="1"/>
  <c r="Y580" i="1"/>
  <c r="X735" i="1"/>
  <c r="T735" i="1"/>
  <c r="AC681" i="1"/>
  <c r="Y681" i="1"/>
  <c r="X770" i="1"/>
  <c r="T770" i="1"/>
  <c r="AC814" i="1"/>
  <c r="Y814" i="1"/>
  <c r="X687" i="1"/>
  <c r="T687" i="1"/>
  <c r="AC693" i="1"/>
  <c r="Y693" i="1"/>
  <c r="X888" i="1"/>
  <c r="T888" i="1"/>
  <c r="AC479" i="1"/>
  <c r="Y479" i="1"/>
  <c r="X754" i="1"/>
  <c r="T754" i="1"/>
  <c r="AC878" i="1"/>
  <c r="Y878" i="1"/>
  <c r="AC38" i="1"/>
  <c r="Y38" i="1"/>
  <c r="AC709" i="1"/>
  <c r="Y709" i="1"/>
  <c r="AC475" i="1"/>
  <c r="Y475" i="1"/>
  <c r="X665" i="1"/>
  <c r="T665" i="1"/>
  <c r="AC834" i="1"/>
  <c r="Y834" i="1"/>
  <c r="X541" i="1"/>
  <c r="T541" i="1"/>
  <c r="X686" i="1"/>
  <c r="T686" i="1"/>
  <c r="AC425" i="1"/>
  <c r="Y425" i="1"/>
  <c r="AC276" i="1"/>
  <c r="Y276" i="1"/>
  <c r="AC225" i="1"/>
  <c r="Y225" i="1"/>
  <c r="X420" i="1"/>
  <c r="T420" i="1"/>
  <c r="X887" i="1"/>
  <c r="T887" i="1"/>
  <c r="X843" i="1"/>
  <c r="T843" i="1"/>
  <c r="X411" i="1"/>
  <c r="T411" i="1"/>
  <c r="AC507" i="1"/>
  <c r="Y507" i="1"/>
  <c r="X245" i="1"/>
  <c r="T245" i="1"/>
  <c r="AC627" i="1"/>
  <c r="Y627" i="1"/>
  <c r="AC871" i="1"/>
  <c r="Y871" i="1"/>
  <c r="X106" i="1"/>
  <c r="T106" i="1"/>
  <c r="AC904" i="1"/>
  <c r="Y904" i="1"/>
  <c r="X810" i="1"/>
  <c r="T810" i="1"/>
  <c r="X57" i="1"/>
  <c r="T57" i="1"/>
  <c r="AC887" i="1"/>
  <c r="Y887" i="1"/>
  <c r="X492" i="1"/>
  <c r="T492" i="1"/>
  <c r="X516" i="1"/>
  <c r="T516" i="1"/>
  <c r="X321" i="1"/>
  <c r="T321" i="1"/>
  <c r="AC245" i="1"/>
  <c r="Y245" i="1"/>
  <c r="X83" i="1"/>
  <c r="T83" i="1"/>
  <c r="AC547" i="1"/>
  <c r="Y547" i="1"/>
  <c r="AC700" i="1"/>
  <c r="Y700" i="1"/>
  <c r="AC885" i="1"/>
  <c r="Y885" i="1"/>
  <c r="X63" i="1"/>
  <c r="T63" i="1"/>
  <c r="X685" i="1"/>
  <c r="T685" i="1"/>
  <c r="AC788" i="1"/>
  <c r="Y788" i="1"/>
  <c r="X803" i="1"/>
  <c r="T803" i="1"/>
  <c r="X120" i="1"/>
  <c r="T120" i="1"/>
  <c r="X831" i="1"/>
  <c r="T831" i="1"/>
  <c r="AC992" i="1"/>
  <c r="Y992" i="1"/>
  <c r="AC516" i="1"/>
  <c r="Y516" i="1"/>
  <c r="AC508" i="1"/>
  <c r="Y508" i="1"/>
  <c r="X884" i="1"/>
  <c r="T884" i="1"/>
  <c r="X651" i="1"/>
  <c r="T651" i="1"/>
  <c r="AC429" i="1"/>
  <c r="Y429" i="1"/>
  <c r="AC899" i="1"/>
  <c r="Y899" i="1"/>
  <c r="AC191" i="1"/>
  <c r="Y191" i="1"/>
  <c r="AC255" i="1"/>
  <c r="Y255" i="1"/>
  <c r="AC844" i="1"/>
  <c r="Y844" i="1"/>
  <c r="AC27" i="1"/>
  <c r="Y27" i="1"/>
  <c r="X649" i="1"/>
  <c r="T649" i="1"/>
  <c r="X250" i="1"/>
  <c r="T250" i="1"/>
  <c r="X676" i="1"/>
  <c r="T676" i="1"/>
  <c r="X792" i="1"/>
  <c r="T792" i="1"/>
  <c r="AC582" i="1"/>
  <c r="Y582" i="1"/>
  <c r="AC300" i="1"/>
  <c r="Y300" i="1"/>
  <c r="AC452" i="1"/>
  <c r="Y452" i="1"/>
  <c r="X898" i="1"/>
  <c r="T898" i="1"/>
  <c r="X950" i="1"/>
  <c r="T950" i="1"/>
  <c r="X248" i="1"/>
  <c r="T248" i="1"/>
  <c r="X17" i="1"/>
  <c r="T17" i="1"/>
  <c r="X480" i="1"/>
  <c r="T480" i="1"/>
  <c r="X654" i="1"/>
  <c r="T654" i="1"/>
  <c r="X959" i="1"/>
  <c r="T959" i="1"/>
  <c r="AC922" i="1"/>
  <c r="Y922" i="1"/>
  <c r="X817" i="1"/>
  <c r="T817" i="1"/>
  <c r="X182" i="1"/>
  <c r="T182" i="1"/>
  <c r="X232" i="1"/>
  <c r="T232" i="1"/>
  <c r="X388" i="1"/>
  <c r="T388" i="1"/>
  <c r="X584" i="1"/>
  <c r="T584" i="1"/>
  <c r="AC73" i="1"/>
  <c r="Y73" i="1"/>
  <c r="AC402" i="1"/>
  <c r="Y402" i="1"/>
  <c r="AC203" i="1"/>
  <c r="Y203" i="1"/>
  <c r="X302" i="1"/>
  <c r="T302" i="1"/>
  <c r="AC199" i="1"/>
  <c r="Y199" i="1"/>
  <c r="X813" i="1"/>
  <c r="T813" i="1"/>
  <c r="AC640" i="1"/>
  <c r="Y640" i="1"/>
  <c r="X33" i="1"/>
  <c r="T33" i="1"/>
  <c r="AC153" i="1"/>
  <c r="Y153" i="1"/>
  <c r="X292" i="1"/>
  <c r="T292" i="1"/>
  <c r="AC166" i="1"/>
  <c r="Y166" i="1"/>
  <c r="X346" i="1"/>
  <c r="T346" i="1"/>
  <c r="AC282" i="1"/>
  <c r="Y282" i="1"/>
  <c r="X408" i="1"/>
  <c r="T408" i="1"/>
  <c r="AC201" i="1"/>
  <c r="Y201" i="1"/>
  <c r="X761" i="1"/>
  <c r="T761" i="1"/>
  <c r="AC760" i="1"/>
  <c r="Y760" i="1"/>
  <c r="X917" i="1"/>
  <c r="T917" i="1"/>
  <c r="AC948" i="1"/>
  <c r="Y948" i="1"/>
  <c r="X519" i="1"/>
  <c r="T519" i="1"/>
  <c r="AC777" i="1"/>
  <c r="Y777" i="1"/>
  <c r="X372" i="1"/>
  <c r="T372" i="1"/>
  <c r="AC655" i="1"/>
  <c r="Y655" i="1"/>
  <c r="X790" i="1"/>
  <c r="T790" i="1"/>
  <c r="AC649" i="1"/>
  <c r="Y649" i="1"/>
  <c r="X327" i="1"/>
  <c r="T327" i="1"/>
  <c r="AC323" i="1"/>
  <c r="Y323" i="1"/>
  <c r="X115" i="1"/>
  <c r="T115" i="1"/>
  <c r="AC250" i="1"/>
  <c r="Y250" i="1"/>
  <c r="X151" i="1"/>
  <c r="T151" i="1"/>
  <c r="AC560" i="1"/>
  <c r="Y560" i="1"/>
  <c r="X215" i="1"/>
  <c r="T215" i="1"/>
  <c r="AC676" i="1"/>
  <c r="Y676" i="1"/>
  <c r="X680" i="1"/>
  <c r="T680" i="1"/>
  <c r="AC919" i="1"/>
  <c r="Y919" i="1"/>
  <c r="X732" i="1"/>
  <c r="T732" i="1"/>
  <c r="AC923" i="1"/>
  <c r="Y923" i="1"/>
  <c r="X556" i="1"/>
  <c r="T556" i="1"/>
  <c r="AC792" i="1"/>
  <c r="Y792" i="1"/>
  <c r="X890" i="1"/>
  <c r="T890" i="1"/>
  <c r="AC291" i="1"/>
  <c r="Y291" i="1"/>
  <c r="X873" i="1"/>
  <c r="T873" i="1"/>
  <c r="AC879" i="1"/>
  <c r="Y879" i="1"/>
  <c r="X315" i="1"/>
  <c r="T315" i="1"/>
  <c r="AC530" i="1"/>
  <c r="Y530" i="1"/>
  <c r="X539" i="1"/>
  <c r="T539" i="1"/>
  <c r="AC882" i="1"/>
  <c r="Y882" i="1"/>
  <c r="X446" i="1"/>
  <c r="T446" i="1"/>
  <c r="AC208" i="1"/>
  <c r="Y208" i="1"/>
  <c r="X196" i="1"/>
  <c r="T196" i="1"/>
  <c r="AC226" i="1"/>
  <c r="Y226" i="1"/>
  <c r="X647" i="1"/>
  <c r="T647" i="1"/>
  <c r="AC504" i="1"/>
  <c r="Y504" i="1"/>
  <c r="X617" i="1"/>
  <c r="T617" i="1"/>
  <c r="AC898" i="1"/>
  <c r="Y898" i="1"/>
  <c r="X951" i="1"/>
  <c r="T951" i="1"/>
  <c r="AC578" i="1"/>
  <c r="Y578" i="1"/>
  <c r="X974" i="1"/>
  <c r="T974" i="1"/>
  <c r="AC950" i="1"/>
  <c r="Y950" i="1"/>
  <c r="X614" i="1"/>
  <c r="T614" i="1"/>
  <c r="AC723" i="1"/>
  <c r="Y723" i="1"/>
  <c r="X911" i="1"/>
  <c r="T911" i="1"/>
  <c r="AC248" i="1"/>
  <c r="Y248" i="1"/>
  <c r="X150" i="1"/>
  <c r="T150" i="1"/>
  <c r="AC846" i="1"/>
  <c r="Y846" i="1"/>
  <c r="X894" i="1"/>
  <c r="T894" i="1"/>
  <c r="AC17" i="1"/>
  <c r="Y17" i="1"/>
  <c r="X74" i="1"/>
  <c r="T74" i="1"/>
  <c r="AC117" i="1"/>
  <c r="Y117" i="1"/>
  <c r="X493" i="1"/>
  <c r="T493" i="1"/>
  <c r="AC480" i="1"/>
  <c r="Y480" i="1"/>
  <c r="X620" i="1"/>
  <c r="T620" i="1"/>
  <c r="AC862" i="1"/>
  <c r="Y862" i="1"/>
  <c r="X506" i="1"/>
  <c r="T506" i="1"/>
  <c r="AC654" i="1"/>
  <c r="Y654" i="1"/>
  <c r="X866" i="1"/>
  <c r="T866" i="1"/>
  <c r="AC21" i="1"/>
  <c r="Y21" i="1"/>
  <c r="X71" i="1"/>
  <c r="T71" i="1"/>
  <c r="AC959" i="1"/>
  <c r="Y959" i="1"/>
  <c r="X935" i="1"/>
  <c r="T935" i="1"/>
  <c r="AC692" i="1"/>
  <c r="Y692" i="1"/>
  <c r="X969" i="1"/>
  <c r="T969" i="1"/>
  <c r="AC470" i="1"/>
  <c r="Y470" i="1"/>
  <c r="X993" i="1"/>
  <c r="T993" i="1"/>
  <c r="AC46" i="1"/>
  <c r="Y46" i="1"/>
  <c r="X174" i="1"/>
  <c r="T174" i="1"/>
  <c r="AC817" i="1"/>
  <c r="Y817" i="1"/>
  <c r="X357" i="1"/>
  <c r="T357" i="1"/>
  <c r="AC138" i="1"/>
  <c r="Y138" i="1"/>
  <c r="X465" i="1"/>
  <c r="T465" i="1"/>
  <c r="AC802" i="1"/>
  <c r="Y802" i="1"/>
  <c r="X82" i="1"/>
  <c r="T82" i="1"/>
  <c r="AC182" i="1"/>
  <c r="Y182" i="1"/>
  <c r="X256" i="1"/>
  <c r="T256" i="1"/>
  <c r="AC169" i="1"/>
  <c r="Y169" i="1"/>
  <c r="X729" i="1"/>
  <c r="T729" i="1"/>
  <c r="AC232" i="1"/>
  <c r="Y232" i="1"/>
  <c r="X287" i="1"/>
  <c r="T287" i="1"/>
  <c r="AC755" i="1"/>
  <c r="Y755" i="1"/>
  <c r="X35" i="1"/>
  <c r="T35" i="1"/>
  <c r="AC388" i="1"/>
  <c r="Y388" i="1"/>
  <c r="X531" i="1"/>
  <c r="T531" i="1"/>
  <c r="AC662" i="1"/>
  <c r="Y662" i="1"/>
  <c r="X298" i="1"/>
  <c r="T298" i="1"/>
  <c r="AC584" i="1"/>
  <c r="Y584" i="1"/>
  <c r="X932" i="1"/>
  <c r="T932" i="1"/>
  <c r="AC840" i="1"/>
  <c r="Y840" i="1"/>
  <c r="X197" i="1"/>
  <c r="T197" i="1"/>
  <c r="AC14" i="1"/>
  <c r="Y14" i="1"/>
  <c r="X466" i="1"/>
  <c r="T466" i="1"/>
  <c r="AC156" i="1"/>
  <c r="Y156" i="1"/>
  <c r="X646" i="1"/>
  <c r="T646" i="1"/>
  <c r="AC445" i="1"/>
  <c r="Y445" i="1"/>
  <c r="X669" i="1"/>
  <c r="T669" i="1"/>
  <c r="AC982" i="1"/>
  <c r="Y982" i="1"/>
  <c r="X136" i="1"/>
  <c r="T136" i="1"/>
  <c r="AC389" i="1"/>
  <c r="Y389" i="1"/>
  <c r="X162" i="1"/>
  <c r="T162" i="1"/>
  <c r="AC50" i="1"/>
  <c r="Y50" i="1"/>
  <c r="X273" i="1"/>
  <c r="T273" i="1"/>
  <c r="AC387" i="1"/>
  <c r="Y387" i="1"/>
  <c r="X645" i="1"/>
  <c r="T645" i="1"/>
  <c r="AC439" i="1"/>
  <c r="Y439" i="1"/>
  <c r="X511" i="1"/>
  <c r="T511" i="1"/>
  <c r="AC523" i="1"/>
  <c r="Y523" i="1"/>
  <c r="X253" i="1"/>
  <c r="T253" i="1"/>
  <c r="AC989" i="1"/>
  <c r="Y989" i="1"/>
  <c r="X583" i="1"/>
  <c r="T583" i="1"/>
  <c r="AC449" i="1"/>
  <c r="Y449" i="1"/>
  <c r="X98" i="1"/>
  <c r="T98" i="1"/>
  <c r="AC219" i="1"/>
  <c r="Y219" i="1"/>
  <c r="X288" i="1"/>
  <c r="T288" i="1"/>
  <c r="AC597" i="1"/>
  <c r="Y597" i="1"/>
  <c r="X395" i="1"/>
  <c r="T395" i="1"/>
  <c r="AC880" i="1"/>
  <c r="Y880" i="1"/>
  <c r="X991" i="1"/>
  <c r="T991" i="1"/>
  <c r="AC566" i="1"/>
  <c r="Y566" i="1"/>
  <c r="X678" i="1"/>
  <c r="T678" i="1"/>
  <c r="AC94" i="1"/>
  <c r="Y94" i="1"/>
  <c r="X731" i="1"/>
  <c r="T731" i="1"/>
  <c r="AC31" i="1"/>
  <c r="Y31" i="1"/>
  <c r="X9" i="1"/>
  <c r="T9" i="1"/>
  <c r="AC548" i="1"/>
  <c r="Y548" i="1"/>
  <c r="X924" i="1"/>
  <c r="T924" i="1"/>
  <c r="AC735" i="1"/>
  <c r="Y735" i="1"/>
  <c r="X799" i="1"/>
  <c r="T799" i="1"/>
  <c r="AC770" i="1"/>
  <c r="Y770" i="1"/>
  <c r="X990" i="1"/>
  <c r="T990" i="1"/>
  <c r="AC687" i="1"/>
  <c r="Y687" i="1"/>
  <c r="X793" i="1"/>
  <c r="T793" i="1"/>
  <c r="AC888" i="1"/>
  <c r="Y888" i="1"/>
  <c r="X587" i="1"/>
  <c r="T587" i="1"/>
  <c r="AC754" i="1"/>
  <c r="Y754" i="1"/>
  <c r="X875" i="1"/>
  <c r="T875" i="1"/>
  <c r="AC819" i="1"/>
  <c r="Y819" i="1"/>
  <c r="X600" i="1"/>
  <c r="T600" i="1"/>
  <c r="X230" i="1"/>
  <c r="T230" i="1"/>
  <c r="AC518" i="1"/>
  <c r="Y518" i="1"/>
  <c r="X933" i="1"/>
  <c r="T933" i="1"/>
  <c r="X769" i="1"/>
  <c r="T769" i="1"/>
  <c r="AC563" i="1"/>
  <c r="Y563" i="1"/>
  <c r="AC486" i="1"/>
  <c r="Y486" i="1"/>
  <c r="AC309" i="1"/>
  <c r="Y309" i="1"/>
  <c r="X228" i="1"/>
  <c r="T228" i="1"/>
  <c r="AC677" i="1"/>
  <c r="Y677" i="1"/>
  <c r="X697" i="1"/>
  <c r="T697" i="1"/>
  <c r="AC816" i="1"/>
  <c r="Y816" i="1"/>
  <c r="X794" i="1"/>
  <c r="T794" i="1"/>
  <c r="AC713" i="1"/>
  <c r="Y713" i="1"/>
  <c r="X726" i="1"/>
  <c r="T726" i="1"/>
  <c r="AC920" i="1"/>
  <c r="Y920" i="1"/>
  <c r="X885" i="1"/>
  <c r="T885" i="1"/>
  <c r="X26" i="1"/>
  <c r="T26" i="1"/>
  <c r="X435" i="1"/>
  <c r="T435" i="1"/>
  <c r="AC679" i="1"/>
  <c r="Y679" i="1"/>
  <c r="X788" i="1"/>
  <c r="T788" i="1"/>
  <c r="X830" i="1"/>
  <c r="T830" i="1"/>
  <c r="AC420" i="1"/>
  <c r="Y420" i="1"/>
  <c r="X883" i="1"/>
  <c r="T883" i="1"/>
  <c r="AC843" i="1"/>
  <c r="Y843" i="1"/>
  <c r="X54" i="1"/>
  <c r="T54" i="1"/>
  <c r="X766" i="1"/>
  <c r="T766" i="1"/>
  <c r="X148" i="1"/>
  <c r="T148" i="1"/>
  <c r="AC332" i="1"/>
  <c r="Y332" i="1"/>
  <c r="X350" i="1"/>
  <c r="T350" i="1"/>
  <c r="X137" i="1"/>
  <c r="T137" i="1"/>
  <c r="AC216" i="1"/>
  <c r="Y216" i="1"/>
  <c r="AC26" i="1"/>
  <c r="Y26" i="1"/>
  <c r="AC435" i="1"/>
  <c r="Y435" i="1"/>
  <c r="AC901" i="1"/>
  <c r="Y901" i="1"/>
  <c r="X978" i="1"/>
  <c r="T978" i="1"/>
  <c r="AC557" i="1"/>
  <c r="Y557" i="1"/>
  <c r="AC629" i="1"/>
  <c r="Y629" i="1"/>
  <c r="AC908" i="1"/>
  <c r="Y908" i="1"/>
  <c r="X983" i="1"/>
  <c r="T983" i="1"/>
  <c r="AC54" i="1"/>
  <c r="Y54" i="1"/>
  <c r="X585" i="1"/>
  <c r="T585" i="1"/>
  <c r="AC450" i="1"/>
  <c r="Y450" i="1"/>
  <c r="AC268" i="1"/>
  <c r="Y268" i="1"/>
  <c r="AC61" i="1"/>
  <c r="Y61" i="1"/>
  <c r="AC34" i="1"/>
  <c r="Y34" i="1"/>
  <c r="AC97" i="1"/>
  <c r="Y97" i="1"/>
  <c r="AC725" i="1"/>
  <c r="Y725" i="1"/>
  <c r="AC328" i="1"/>
  <c r="Y328" i="1"/>
  <c r="AC467" i="1"/>
  <c r="Y467" i="1"/>
  <c r="AC418" i="1"/>
  <c r="Y418" i="1"/>
  <c r="X919" i="1"/>
  <c r="T919" i="1"/>
  <c r="AC954" i="1"/>
  <c r="Y954" i="1"/>
  <c r="AC590" i="1"/>
  <c r="Y590" i="1"/>
  <c r="AC902" i="1"/>
  <c r="Y902" i="1"/>
  <c r="AC460" i="1"/>
  <c r="Y460" i="1"/>
  <c r="AC559" i="1"/>
  <c r="Y559" i="1"/>
  <c r="AC573" i="1"/>
  <c r="Y573" i="1"/>
  <c r="AC616" i="1"/>
  <c r="Y616" i="1"/>
  <c r="AC596" i="1"/>
  <c r="Y596" i="1"/>
  <c r="X117" i="1"/>
  <c r="T117" i="1"/>
  <c r="X862" i="1"/>
  <c r="T862" i="1"/>
  <c r="AC958" i="1"/>
  <c r="Y958" i="1"/>
  <c r="AC779" i="1"/>
  <c r="Y779" i="1"/>
  <c r="AC789" i="1"/>
  <c r="Y789" i="1"/>
  <c r="AC706" i="1"/>
  <c r="Y706" i="1"/>
  <c r="AC75" i="1"/>
  <c r="Y75" i="1"/>
  <c r="X169" i="1"/>
  <c r="T169" i="1"/>
  <c r="X755" i="1"/>
  <c r="T755" i="1"/>
  <c r="AC787" i="1"/>
  <c r="Y787" i="1"/>
  <c r="X840" i="1"/>
  <c r="T840" i="1"/>
  <c r="X156" i="1"/>
  <c r="T156" i="1"/>
  <c r="AC877" i="1"/>
  <c r="Y877" i="1"/>
  <c r="X214" i="1"/>
  <c r="T214" i="1"/>
  <c r="X133" i="1"/>
  <c r="T133" i="1"/>
  <c r="AC33" i="1"/>
  <c r="Y33" i="1"/>
  <c r="AC292" i="1"/>
  <c r="Y292" i="1"/>
  <c r="AC346" i="1"/>
  <c r="Y346" i="1"/>
  <c r="X304" i="1"/>
  <c r="T304" i="1"/>
  <c r="X870" i="1"/>
  <c r="T870" i="1"/>
  <c r="AC519" i="1"/>
  <c r="Y519" i="1"/>
  <c r="AC372" i="1"/>
  <c r="Y372" i="1"/>
  <c r="X652" i="1"/>
  <c r="T652" i="1"/>
  <c r="X977" i="1"/>
  <c r="T977" i="1"/>
  <c r="AC115" i="1"/>
  <c r="Y115" i="1"/>
  <c r="X15" i="1"/>
  <c r="T15" i="1"/>
  <c r="X610" i="1"/>
  <c r="T610" i="1"/>
  <c r="AC215" i="1"/>
  <c r="Y215" i="1"/>
  <c r="X413" i="1"/>
  <c r="T413" i="1"/>
  <c r="AC680" i="1"/>
  <c r="Y680" i="1"/>
  <c r="X828" i="1"/>
  <c r="T828" i="1"/>
  <c r="AC732" i="1"/>
  <c r="Y732" i="1"/>
  <c r="X985" i="1"/>
  <c r="T985" i="1"/>
  <c r="AC556" i="1"/>
  <c r="Y556" i="1"/>
  <c r="X841" i="1"/>
  <c r="T841" i="1"/>
  <c r="AC890" i="1"/>
  <c r="Y890" i="1"/>
  <c r="X905" i="1"/>
  <c r="T905" i="1"/>
  <c r="AC873" i="1"/>
  <c r="Y873" i="1"/>
  <c r="X764" i="1"/>
  <c r="T764" i="1"/>
  <c r="AC315" i="1"/>
  <c r="Y315" i="1"/>
  <c r="X209" i="1"/>
  <c r="T209" i="1"/>
  <c r="AC539" i="1"/>
  <c r="Y539" i="1"/>
  <c r="X227" i="1"/>
  <c r="T227" i="1"/>
  <c r="AC446" i="1"/>
  <c r="Y446" i="1"/>
  <c r="X270" i="1"/>
  <c r="T270" i="1"/>
  <c r="AC196" i="1"/>
  <c r="Y196" i="1"/>
  <c r="X348" i="1"/>
  <c r="T348" i="1"/>
  <c r="AC647" i="1"/>
  <c r="Y647" i="1"/>
  <c r="X635" i="1"/>
  <c r="T635" i="1"/>
  <c r="AC617" i="1"/>
  <c r="Y617" i="1"/>
  <c r="X931" i="1"/>
  <c r="T931" i="1"/>
  <c r="AC951" i="1"/>
  <c r="Y951" i="1"/>
  <c r="X340" i="1"/>
  <c r="T340" i="1"/>
  <c r="AC974" i="1"/>
  <c r="Y974" i="1"/>
  <c r="X670" i="1"/>
  <c r="T670" i="1"/>
  <c r="AC614" i="1"/>
  <c r="Y614" i="1"/>
  <c r="X868" i="1"/>
  <c r="T868" i="1"/>
  <c r="AC911" i="1"/>
  <c r="Y911" i="1"/>
  <c r="X522" i="1"/>
  <c r="T522" i="1"/>
  <c r="AC150" i="1"/>
  <c r="Y150" i="1"/>
  <c r="X285" i="1"/>
  <c r="T285" i="1"/>
  <c r="AC894" i="1"/>
  <c r="Y894" i="1"/>
  <c r="X368" i="1"/>
  <c r="T368" i="1"/>
  <c r="AC74" i="1"/>
  <c r="Y74" i="1"/>
  <c r="X207" i="1"/>
  <c r="T207" i="1"/>
  <c r="AC493" i="1"/>
  <c r="Y493" i="1"/>
  <c r="X412" i="1"/>
  <c r="T412" i="1"/>
  <c r="AC620" i="1"/>
  <c r="Y620" i="1"/>
  <c r="X1001" i="1"/>
  <c r="T1001" i="1"/>
  <c r="AC506" i="1"/>
  <c r="Y506" i="1"/>
  <c r="X664" i="1"/>
  <c r="T664" i="1"/>
  <c r="AC866" i="1"/>
  <c r="Y866" i="1"/>
  <c r="X624" i="1"/>
  <c r="T624" i="1"/>
  <c r="AC71" i="1"/>
  <c r="Y71" i="1"/>
  <c r="X278" i="1"/>
  <c r="T278" i="1"/>
  <c r="AC935" i="1"/>
  <c r="Y935" i="1"/>
  <c r="X839" i="1"/>
  <c r="T839" i="1"/>
  <c r="AC969" i="1"/>
  <c r="Y969" i="1"/>
  <c r="X319" i="1"/>
  <c r="T319" i="1"/>
  <c r="AC993" i="1"/>
  <c r="Y993" i="1"/>
  <c r="X102" i="1"/>
  <c r="T102" i="1"/>
  <c r="AC174" i="1"/>
  <c r="Y174" i="1"/>
  <c r="X565" i="1"/>
  <c r="T565" i="1"/>
  <c r="AC357" i="1"/>
  <c r="Y357" i="1"/>
  <c r="X818" i="1"/>
  <c r="T818" i="1"/>
  <c r="AC465" i="1"/>
  <c r="Y465" i="1"/>
  <c r="X572" i="1"/>
  <c r="T572" i="1"/>
  <c r="AC82" i="1"/>
  <c r="Y82" i="1"/>
  <c r="X146" i="1"/>
  <c r="T146" i="1"/>
  <c r="AC256" i="1"/>
  <c r="Y256" i="1"/>
  <c r="X544" i="1"/>
  <c r="T544" i="1"/>
  <c r="AC729" i="1"/>
  <c r="Y729" i="1"/>
  <c r="X289" i="1"/>
  <c r="T289" i="1"/>
  <c r="AC287" i="1"/>
  <c r="Y287" i="1"/>
  <c r="X593" i="1"/>
  <c r="T593" i="1"/>
  <c r="AC35" i="1"/>
  <c r="Y35" i="1"/>
  <c r="X338" i="1"/>
  <c r="T338" i="1"/>
  <c r="AC531" i="1"/>
  <c r="Y531" i="1"/>
  <c r="X589" i="1"/>
  <c r="T589" i="1"/>
  <c r="AC298" i="1"/>
  <c r="Y298" i="1"/>
  <c r="X275" i="1"/>
  <c r="T275" i="1"/>
  <c r="AC932" i="1"/>
  <c r="Y932" i="1"/>
  <c r="X30" i="1"/>
  <c r="T30" i="1"/>
  <c r="AC197" i="1"/>
  <c r="Y197" i="1"/>
  <c r="X381" i="1"/>
  <c r="T381" i="1"/>
  <c r="AC466" i="1"/>
  <c r="Y466" i="1"/>
  <c r="X240" i="1"/>
  <c r="T240" i="1"/>
  <c r="AC646" i="1"/>
  <c r="Y646" i="1"/>
  <c r="X377" i="1"/>
  <c r="T377" i="1"/>
  <c r="AC669" i="1"/>
  <c r="Y669" i="1"/>
  <c r="X284" i="1"/>
  <c r="T284" i="1"/>
  <c r="AC136" i="1"/>
  <c r="Y136" i="1"/>
  <c r="X869" i="1"/>
  <c r="T869" i="1"/>
  <c r="AC162" i="1"/>
  <c r="Y162" i="1"/>
  <c r="X70" i="1"/>
  <c r="T70" i="1"/>
  <c r="AC273" i="1"/>
  <c r="Y273" i="1"/>
  <c r="X213" i="1"/>
  <c r="T213" i="1"/>
  <c r="AC645" i="1"/>
  <c r="Y645" i="1"/>
  <c r="X190" i="1"/>
  <c r="T190" i="1"/>
  <c r="AC511" i="1"/>
  <c r="Y511" i="1"/>
  <c r="X581" i="1"/>
  <c r="T581" i="1"/>
  <c r="AC253" i="1"/>
  <c r="Y253" i="1"/>
  <c r="X437" i="1"/>
  <c r="T437" i="1"/>
  <c r="AC583" i="1"/>
  <c r="Y583" i="1"/>
  <c r="X202" i="1"/>
  <c r="T202" i="1"/>
  <c r="AC98" i="1"/>
  <c r="Y98" i="1"/>
  <c r="X22" i="1"/>
  <c r="T22" i="1"/>
  <c r="AC288" i="1"/>
  <c r="Y288" i="1"/>
  <c r="X474" i="1"/>
  <c r="T474" i="1"/>
  <c r="AC395" i="1"/>
  <c r="Y395" i="1"/>
  <c r="X483" i="1"/>
  <c r="T483" i="1"/>
  <c r="AC991" i="1"/>
  <c r="Y991" i="1"/>
  <c r="X741" i="1"/>
  <c r="T741" i="1"/>
  <c r="AC678" i="1"/>
  <c r="Y678" i="1"/>
  <c r="X851" i="1"/>
  <c r="T851" i="1"/>
  <c r="AC731" i="1"/>
  <c r="Y731" i="1"/>
  <c r="X326" i="1"/>
  <c r="T326" i="1"/>
  <c r="AC9" i="1"/>
  <c r="Y9" i="1"/>
  <c r="X481" i="1"/>
  <c r="T481" i="1"/>
  <c r="AC924" i="1"/>
  <c r="Y924" i="1"/>
  <c r="X684" i="1"/>
  <c r="T684" i="1"/>
  <c r="AC799" i="1"/>
  <c r="Y799" i="1"/>
  <c r="X825" i="1"/>
  <c r="T825" i="1"/>
  <c r="AC990" i="1"/>
  <c r="Y990" i="1"/>
  <c r="X611" i="1"/>
  <c r="T611" i="1"/>
  <c r="AC793" i="1"/>
  <c r="Y793" i="1"/>
  <c r="X783" i="1"/>
  <c r="T783" i="1"/>
  <c r="AC587" i="1"/>
  <c r="Y587" i="1"/>
  <c r="X981" i="1"/>
  <c r="T981" i="1"/>
  <c r="AC875" i="1"/>
  <c r="Y875" i="1"/>
  <c r="X264" i="1"/>
  <c r="T264" i="1"/>
  <c r="X295" i="1"/>
  <c r="T295" i="1"/>
  <c r="AC432" i="1"/>
  <c r="Y432" i="1"/>
  <c r="AC980" i="1"/>
  <c r="Y980" i="1"/>
  <c r="AC854" i="1"/>
  <c r="Y854" i="1"/>
  <c r="AC632" i="1"/>
  <c r="Y632" i="1"/>
  <c r="AC257" i="1"/>
  <c r="Y257" i="1"/>
  <c r="AC739" i="1"/>
  <c r="Y739" i="1"/>
  <c r="AC247" i="1"/>
  <c r="Y247" i="1"/>
  <c r="X871" i="1"/>
  <c r="T871" i="1"/>
  <c r="X379" i="1"/>
  <c r="T379" i="1"/>
  <c r="X633" i="1"/>
  <c r="T633" i="1"/>
  <c r="AC847" i="1"/>
  <c r="Y847" i="1"/>
  <c r="X758" i="1"/>
  <c r="T758" i="1"/>
  <c r="AC784" i="1"/>
  <c r="Y784" i="1"/>
  <c r="AC827" i="1"/>
  <c r="Y827" i="1"/>
  <c r="AC541" i="1"/>
  <c r="Y541" i="1"/>
  <c r="X235" i="1"/>
  <c r="T235" i="1"/>
  <c r="X307" i="1"/>
  <c r="T307" i="1"/>
  <c r="AC859" i="1"/>
  <c r="Y859" i="1"/>
  <c r="X526" i="1"/>
  <c r="T526" i="1"/>
  <c r="AC451" i="1"/>
  <c r="Y451" i="1"/>
  <c r="AC379" i="1"/>
  <c r="Y379" i="1"/>
  <c r="X701" i="1"/>
  <c r="T701" i="1"/>
  <c r="AC942" i="1"/>
  <c r="Y942" i="1"/>
  <c r="AC100" i="1"/>
  <c r="Y100" i="1"/>
  <c r="AC697" i="1"/>
  <c r="Y697" i="1"/>
  <c r="X908" i="1"/>
  <c r="T908" i="1"/>
  <c r="AC235" i="1"/>
  <c r="Y235" i="1"/>
  <c r="X508" i="1"/>
  <c r="T508" i="1"/>
  <c r="AC650" i="1"/>
  <c r="Y650" i="1"/>
  <c r="AC526" i="1"/>
  <c r="Y526" i="1"/>
  <c r="X570" i="1"/>
  <c r="T570" i="1"/>
  <c r="X429" i="1"/>
  <c r="T429" i="1"/>
  <c r="X775" i="1"/>
  <c r="T775" i="1"/>
  <c r="X683" i="1"/>
  <c r="T683" i="1"/>
  <c r="AC23" i="1"/>
  <c r="Y23" i="1"/>
  <c r="X158" i="1"/>
  <c r="T158" i="1"/>
  <c r="X936" i="1"/>
  <c r="T936" i="1"/>
  <c r="AC810" i="1"/>
  <c r="Y810" i="1"/>
  <c r="AC57" i="1"/>
  <c r="Y57" i="1"/>
  <c r="AC883" i="1"/>
  <c r="Y883" i="1"/>
  <c r="X586" i="1"/>
  <c r="T586" i="1"/>
  <c r="AC872" i="1"/>
  <c r="Y872" i="1"/>
  <c r="X177" i="1"/>
  <c r="T177" i="1"/>
  <c r="AC766" i="1"/>
  <c r="Y766" i="1"/>
  <c r="X433" i="1"/>
  <c r="T433" i="1"/>
  <c r="X434" i="1"/>
  <c r="T434" i="1"/>
  <c r="X203" i="1"/>
  <c r="T203" i="1"/>
  <c r="X640" i="1"/>
  <c r="T640" i="1"/>
  <c r="X166" i="1"/>
  <c r="T166" i="1"/>
  <c r="X282" i="1"/>
  <c r="T282" i="1"/>
  <c r="X760" i="1"/>
  <c r="T760" i="1"/>
  <c r="X777" i="1"/>
  <c r="T777" i="1"/>
  <c r="AC536" i="1"/>
  <c r="Y536" i="1"/>
  <c r="AC734" i="1"/>
  <c r="Y734" i="1"/>
  <c r="AC407" i="1"/>
  <c r="Y407" i="1"/>
  <c r="AC796" i="1"/>
  <c r="Y796" i="1"/>
  <c r="X291" i="1"/>
  <c r="T291" i="1"/>
  <c r="X530" i="1"/>
  <c r="T530" i="1"/>
  <c r="X208" i="1"/>
  <c r="T208" i="1"/>
  <c r="X504" i="1"/>
  <c r="T504" i="1"/>
  <c r="X578" i="1"/>
  <c r="T578" i="1"/>
  <c r="X723" i="1"/>
  <c r="T723" i="1"/>
  <c r="X846" i="1"/>
  <c r="T846" i="1"/>
  <c r="AC345" i="1"/>
  <c r="Y345" i="1"/>
  <c r="AC853" i="1"/>
  <c r="Y853" i="1"/>
  <c r="AC223" i="1"/>
  <c r="Y223" i="1"/>
  <c r="X692" i="1"/>
  <c r="T692" i="1"/>
  <c r="X46" i="1"/>
  <c r="T46" i="1"/>
  <c r="X138" i="1"/>
  <c r="T138" i="1"/>
  <c r="AC143" i="1"/>
  <c r="Y143" i="1"/>
  <c r="AC861" i="1"/>
  <c r="Y861" i="1"/>
  <c r="AC322" i="1"/>
  <c r="Y322" i="1"/>
  <c r="X662" i="1"/>
  <c r="T662" i="1"/>
  <c r="AC476" i="1"/>
  <c r="Y476" i="1"/>
  <c r="X14" i="1"/>
  <c r="T14" i="1"/>
  <c r="X50" i="1"/>
  <c r="T50" i="1"/>
  <c r="AC302" i="1"/>
  <c r="Y302" i="1"/>
  <c r="AC813" i="1"/>
  <c r="Y813" i="1"/>
  <c r="X773" i="1"/>
  <c r="T773" i="1"/>
  <c r="X114" i="1"/>
  <c r="T114" i="1"/>
  <c r="X135" i="1"/>
  <c r="T135" i="1"/>
  <c r="X241" i="1"/>
  <c r="T241" i="1"/>
  <c r="AC408" i="1"/>
  <c r="Y408" i="1"/>
  <c r="AC761" i="1"/>
  <c r="Y761" i="1"/>
  <c r="AC917" i="1"/>
  <c r="Y917" i="1"/>
  <c r="X946" i="1"/>
  <c r="T946" i="1"/>
  <c r="X643" i="1"/>
  <c r="T643" i="1"/>
  <c r="AC790" i="1"/>
  <c r="Y790" i="1"/>
  <c r="AC327" i="1"/>
  <c r="Y327" i="1"/>
  <c r="AC311" i="1"/>
  <c r="Y311" i="1"/>
  <c r="AC151" i="1"/>
  <c r="Y151" i="1"/>
  <c r="AC214" i="1"/>
  <c r="Y214" i="1"/>
  <c r="X220" i="1"/>
  <c r="T220" i="1"/>
  <c r="AC133" i="1"/>
  <c r="Y133" i="1"/>
  <c r="X893" i="1"/>
  <c r="T893" i="1"/>
  <c r="AC773" i="1"/>
  <c r="Y773" i="1"/>
  <c r="X119" i="1"/>
  <c r="T119" i="1"/>
  <c r="AC114" i="1"/>
  <c r="Y114" i="1"/>
  <c r="X740" i="1"/>
  <c r="T740" i="1"/>
  <c r="AC135" i="1"/>
  <c r="Y135" i="1"/>
  <c r="X262" i="1"/>
  <c r="T262" i="1"/>
  <c r="AC241" i="1"/>
  <c r="Y241" i="1"/>
  <c r="X421" i="1"/>
  <c r="T421" i="1"/>
  <c r="AC304" i="1"/>
  <c r="Y304" i="1"/>
  <c r="X750" i="1"/>
  <c r="T750" i="1"/>
  <c r="AC870" i="1"/>
  <c r="Y870" i="1"/>
  <c r="X805" i="1"/>
  <c r="T805" i="1"/>
  <c r="AC946" i="1"/>
  <c r="Y946" i="1"/>
  <c r="X591" i="1"/>
  <c r="T591" i="1"/>
  <c r="AC643" i="1"/>
  <c r="Y643" i="1"/>
  <c r="X552" i="1"/>
  <c r="T552" i="1"/>
  <c r="AC652" i="1"/>
  <c r="Y652" i="1"/>
  <c r="X876" i="1"/>
  <c r="T876" i="1"/>
  <c r="AC977" i="1"/>
  <c r="Y977" i="1"/>
  <c r="X254" i="1"/>
  <c r="T254" i="1"/>
  <c r="X311" i="1"/>
  <c r="T311" i="1"/>
  <c r="X76" i="1"/>
  <c r="T76" i="1"/>
  <c r="AC15" i="1"/>
  <c r="Y15" i="1"/>
  <c r="X218" i="1"/>
  <c r="T218" i="1"/>
  <c r="AC610" i="1"/>
  <c r="Y610" i="1"/>
  <c r="X742" i="1"/>
  <c r="T742" i="1"/>
  <c r="AC413" i="1"/>
  <c r="Y413" i="1"/>
  <c r="X821" i="1"/>
  <c r="T821" i="1"/>
  <c r="AC828" i="1"/>
  <c r="Y828" i="1"/>
  <c r="X762" i="1"/>
  <c r="T762" i="1"/>
  <c r="AC985" i="1"/>
  <c r="Y985" i="1"/>
  <c r="X513" i="1"/>
  <c r="T513" i="1"/>
  <c r="AC841" i="1"/>
  <c r="Y841" i="1"/>
  <c r="X491" i="1"/>
  <c r="T491" i="1"/>
  <c r="AC905" i="1"/>
  <c r="Y905" i="1"/>
  <c r="X613" i="1"/>
  <c r="T613" i="1"/>
  <c r="AC764" i="1"/>
  <c r="Y764" i="1"/>
  <c r="X945" i="1"/>
  <c r="T945" i="1"/>
  <c r="AC209" i="1"/>
  <c r="Y209" i="1"/>
  <c r="X781" i="1"/>
  <c r="T781" i="1"/>
  <c r="AC227" i="1"/>
  <c r="Y227" i="1"/>
  <c r="X361" i="1"/>
  <c r="T361" i="1"/>
  <c r="AC270" i="1"/>
  <c r="Y270" i="1"/>
  <c r="X161" i="1"/>
  <c r="T161" i="1"/>
  <c r="AC348" i="1"/>
  <c r="Y348" i="1"/>
  <c r="X607" i="1"/>
  <c r="T607" i="1"/>
  <c r="AC635" i="1"/>
  <c r="Y635" i="1"/>
  <c r="X708" i="1"/>
  <c r="T708" i="1"/>
  <c r="AC931" i="1"/>
  <c r="Y931" i="1"/>
  <c r="X252" i="1"/>
  <c r="T252" i="1"/>
  <c r="AC340" i="1"/>
  <c r="Y340" i="1"/>
  <c r="X849" i="1"/>
  <c r="T849" i="1"/>
  <c r="AC670" i="1"/>
  <c r="Y670" i="1"/>
  <c r="X721" i="1"/>
  <c r="T721" i="1"/>
  <c r="AC868" i="1"/>
  <c r="Y868" i="1"/>
  <c r="X961" i="1"/>
  <c r="T961" i="1"/>
  <c r="AC522" i="1"/>
  <c r="Y522" i="1"/>
  <c r="X514" i="1"/>
  <c r="T514" i="1"/>
  <c r="AC285" i="1"/>
  <c r="Y285" i="1"/>
  <c r="X999" i="1"/>
  <c r="T999" i="1"/>
  <c r="AC368" i="1"/>
  <c r="Y368" i="1"/>
  <c r="X229" i="1"/>
  <c r="T229" i="1"/>
  <c r="AC207" i="1"/>
  <c r="Y207" i="1"/>
  <c r="X384" i="1"/>
  <c r="T384" i="1"/>
  <c r="AC412" i="1"/>
  <c r="Y412" i="1"/>
  <c r="X707" i="1"/>
  <c r="T707" i="1"/>
  <c r="AC1001" i="1"/>
  <c r="Y1001" i="1"/>
  <c r="X569" i="1"/>
  <c r="T569" i="1"/>
  <c r="AC664" i="1"/>
  <c r="Y664" i="1"/>
  <c r="X907" i="1"/>
  <c r="T907" i="1"/>
  <c r="AC624" i="1"/>
  <c r="Y624" i="1"/>
  <c r="X394" i="1"/>
  <c r="T394" i="1"/>
  <c r="AC278" i="1"/>
  <c r="Y278" i="1"/>
  <c r="X892" i="1"/>
  <c r="T892" i="1"/>
  <c r="AC839" i="1"/>
  <c r="Y839" i="1"/>
  <c r="X759" i="1"/>
  <c r="T759" i="1"/>
  <c r="AC319" i="1"/>
  <c r="Y319" i="1"/>
  <c r="X826" i="1"/>
  <c r="T826" i="1"/>
  <c r="AC102" i="1"/>
  <c r="Y102" i="1"/>
  <c r="X66" i="1"/>
  <c r="T66" i="1"/>
  <c r="AC565" i="1"/>
  <c r="Y565" i="1"/>
  <c r="X619" i="1"/>
  <c r="T619" i="1"/>
  <c r="AC818" i="1"/>
  <c r="Y818" i="1"/>
  <c r="X198" i="1"/>
  <c r="T198" i="1"/>
  <c r="AC572" i="1"/>
  <c r="Y572" i="1"/>
  <c r="X134" i="1"/>
  <c r="T134" i="1"/>
  <c r="AC146" i="1"/>
  <c r="Y146" i="1"/>
  <c r="X286" i="1"/>
  <c r="T286" i="1"/>
  <c r="AC544" i="1"/>
  <c r="Y544" i="1"/>
  <c r="X598" i="1"/>
  <c r="T598" i="1"/>
  <c r="AC289" i="1"/>
  <c r="Y289" i="1"/>
  <c r="X43" i="1"/>
  <c r="T43" i="1"/>
  <c r="AC593" i="1"/>
  <c r="Y593" i="1"/>
  <c r="X68" i="1"/>
  <c r="T68" i="1"/>
  <c r="AC338" i="1"/>
  <c r="Y338" i="1"/>
  <c r="X671" i="1"/>
  <c r="T671" i="1"/>
  <c r="AC589" i="1"/>
  <c r="Y589" i="1"/>
  <c r="X112" i="1"/>
  <c r="T112" i="1"/>
  <c r="AC275" i="1"/>
  <c r="Y275" i="1"/>
  <c r="X926" i="1"/>
  <c r="T926" i="1"/>
  <c r="AC30" i="1"/>
  <c r="Y30" i="1"/>
  <c r="X18" i="1"/>
  <c r="T18" i="1"/>
  <c r="AC381" i="1"/>
  <c r="Y381" i="1"/>
  <c r="X524" i="1"/>
  <c r="T524" i="1"/>
  <c r="AC240" i="1"/>
  <c r="Y240" i="1"/>
  <c r="X515" i="1"/>
  <c r="T515" i="1"/>
  <c r="AC377" i="1"/>
  <c r="Y377" i="1"/>
  <c r="X142" i="1"/>
  <c r="T142" i="1"/>
  <c r="AC284" i="1"/>
  <c r="Y284" i="1"/>
  <c r="X301" i="1"/>
  <c r="T301" i="1"/>
  <c r="AC869" i="1"/>
  <c r="Y869" i="1"/>
  <c r="X80" i="1"/>
  <c r="T80" i="1"/>
  <c r="AC70" i="1"/>
  <c r="Y70" i="1"/>
  <c r="X691" i="1"/>
  <c r="T691" i="1"/>
  <c r="AC213" i="1"/>
  <c r="Y213" i="1"/>
  <c r="X716" i="1"/>
  <c r="T716" i="1"/>
  <c r="AC190" i="1"/>
  <c r="Y190" i="1"/>
  <c r="X308" i="1"/>
  <c r="T308" i="1"/>
  <c r="AC581" i="1"/>
  <c r="Y581" i="1"/>
  <c r="X835" i="1"/>
  <c r="T835" i="1"/>
  <c r="AC437" i="1"/>
  <c r="Y437" i="1"/>
  <c r="X123" i="1"/>
  <c r="T123" i="1"/>
  <c r="AC202" i="1"/>
  <c r="Y202" i="1"/>
  <c r="X41" i="1"/>
  <c r="T41" i="1"/>
  <c r="AC22" i="1"/>
  <c r="Y22" i="1"/>
  <c r="X260" i="1"/>
  <c r="T260" i="1"/>
  <c r="AC474" i="1"/>
  <c r="Y474" i="1"/>
  <c r="X666" i="1"/>
  <c r="T666" i="1"/>
  <c r="AC483" i="1"/>
  <c r="Y483" i="1"/>
  <c r="X612" i="1"/>
  <c r="T612" i="1"/>
  <c r="AC741" i="1"/>
  <c r="Y741" i="1"/>
  <c r="X183" i="1"/>
  <c r="T183" i="1"/>
  <c r="AC851" i="1"/>
  <c r="Y851" i="1"/>
  <c r="AC326" i="1"/>
  <c r="Y326" i="1"/>
  <c r="X417" i="1"/>
  <c r="T417" i="1"/>
  <c r="AC481" i="1"/>
  <c r="Y481" i="1"/>
  <c r="X497" i="1"/>
  <c r="T497" i="1"/>
  <c r="AC684" i="1"/>
  <c r="Y684" i="1"/>
  <c r="X535" i="1"/>
  <c r="T535" i="1"/>
  <c r="AC825" i="1"/>
  <c r="Y825" i="1"/>
  <c r="X962" i="1"/>
  <c r="T962" i="1"/>
  <c r="AC611" i="1"/>
  <c r="Y611" i="1"/>
  <c r="X525" i="1"/>
  <c r="T525" i="1"/>
  <c r="AC783" i="1"/>
  <c r="Y783" i="1"/>
  <c r="X251" i="1"/>
  <c r="T251" i="1"/>
  <c r="AC981" i="1"/>
  <c r="Y981" i="1"/>
  <c r="X711" i="1"/>
  <c r="T711" i="1"/>
  <c r="X11" i="1"/>
  <c r="T11" i="1"/>
  <c r="AC11" i="1"/>
  <c r="Y11" i="1"/>
  <c r="P4" i="1"/>
  <c r="O4" i="1" l="1"/>
  <c r="Q4" i="1" s="1"/>
  <c r="R4" i="1" s="1"/>
  <c r="U4" i="1" l="1"/>
  <c r="Z4" i="1"/>
  <c r="AB4" i="1" s="1"/>
  <c r="W4" i="1" l="1"/>
  <c r="T4" i="1" s="1"/>
  <c r="Y4" i="1"/>
  <c r="AC4" i="1"/>
  <c r="AC6" i="1"/>
  <c r="AC5" i="1"/>
  <c r="X6" i="1"/>
  <c r="X5" i="1"/>
  <c r="X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<sst xmlns="http://schemas.openxmlformats.org/spreadsheetml/2006/main" count="462" uniqueCount="219">
  <si>
    <t>CLIENTES NACIONALES</t>
  </si>
  <si>
    <t>CLIENTE</t>
  </si>
  <si>
    <t>Nombre</t>
  </si>
  <si>
    <t>Email</t>
  </si>
  <si>
    <t>Programa</t>
  </si>
  <si>
    <t>Noches</t>
  </si>
  <si>
    <t>Check-In</t>
  </si>
  <si>
    <t>Check-Out</t>
  </si>
  <si>
    <t>Precio lista</t>
  </si>
  <si>
    <t>¿Es operador?</t>
  </si>
  <si>
    <t>Descuento</t>
  </si>
  <si>
    <t>V˚B˚</t>
  </si>
  <si>
    <t>Valor Bruto</t>
  </si>
  <si>
    <t>Valor Líquido</t>
  </si>
  <si>
    <t>DETALLE PROGRAMA</t>
  </si>
  <si>
    <t>Estado reserva</t>
  </si>
  <si>
    <t>Estado saldo</t>
  </si>
  <si>
    <t>FSN</t>
  </si>
  <si>
    <t>JIP</t>
  </si>
  <si>
    <t>$</t>
  </si>
  <si>
    <t>Monto total reserva</t>
  </si>
  <si>
    <t>Pagado a la fecha reserva</t>
  </si>
  <si>
    <t>Adeudado a la fecha reserva</t>
  </si>
  <si>
    <t>Adeudado grupal reserva</t>
  </si>
  <si>
    <t>Monto total saldo</t>
  </si>
  <si>
    <t>Pagado a la fecha saldo</t>
  </si>
  <si>
    <t>Adeudado a la fecha saldo</t>
  </si>
  <si>
    <t>Adeudado grupal saldo</t>
  </si>
  <si>
    <t>SEGUIMIENTO RESERVA</t>
  </si>
  <si>
    <t>SEGUIMIENTO SALDO</t>
  </si>
  <si>
    <t>Fecha Pago 1</t>
  </si>
  <si>
    <t>Monto Pago 1</t>
  </si>
  <si>
    <t>Medio de pago Pago 1</t>
  </si>
  <si>
    <t>Fecha Pago 2</t>
  </si>
  <si>
    <t>Medio de pago Pago 2</t>
  </si>
  <si>
    <t>Monto Pago 2</t>
  </si>
  <si>
    <t>PAGO 1</t>
  </si>
  <si>
    <t>PAGO 2</t>
  </si>
  <si>
    <t>Fecha Pago 3</t>
  </si>
  <si>
    <t>Monto Pago 3</t>
  </si>
  <si>
    <t>Medio de pago Pago 3</t>
  </si>
  <si>
    <t>PAGO 3</t>
  </si>
  <si>
    <t>PAGO 4</t>
  </si>
  <si>
    <t>PAGO 5</t>
  </si>
  <si>
    <t>Fecha Pago 4</t>
  </si>
  <si>
    <t>Monto Pago 4</t>
  </si>
  <si>
    <t>Medio de pago Pago 4</t>
  </si>
  <si>
    <t>Fecha Pago 5</t>
  </si>
  <si>
    <t>Monto Pago 5</t>
  </si>
  <si>
    <t>Medio de pago Pago 5</t>
  </si>
  <si>
    <t>N˚</t>
  </si>
  <si>
    <t>Non Angler</t>
  </si>
  <si>
    <t>PRICING PESCA: NACIONAL</t>
  </si>
  <si>
    <t>PRICING PESCA: EXTRANJERO</t>
  </si>
  <si>
    <t>BASE</t>
  </si>
  <si>
    <t>N˚ DÍAS</t>
  </si>
  <si>
    <t>N˚ NOCHES</t>
  </si>
  <si>
    <t>TEXTO</t>
  </si>
  <si>
    <t>VALOR BRUTO (CLP)</t>
  </si>
  <si>
    <t>VALOR BRUTO (USD)</t>
  </si>
  <si>
    <t>Base single</t>
  </si>
  <si>
    <t>1 noche</t>
  </si>
  <si>
    <t>Base single 1 noche</t>
  </si>
  <si>
    <t>Base doble</t>
  </si>
  <si>
    <t>Base doble 1 noche</t>
  </si>
  <si>
    <t>Non angler nacional</t>
  </si>
  <si>
    <t>Non angler nacional 1 noche</t>
  </si>
  <si>
    <t>2 noches</t>
  </si>
  <si>
    <t>Base single 2 noches</t>
  </si>
  <si>
    <t>Base doble 2 noches</t>
  </si>
  <si>
    <t>Non angler nacional 2 noches</t>
  </si>
  <si>
    <t>3 noches</t>
  </si>
  <si>
    <t>Base single 3 noches</t>
  </si>
  <si>
    <t>Base doble 3 noches</t>
  </si>
  <si>
    <t>Non angler nacional 3 noches</t>
  </si>
  <si>
    <t>4 noches</t>
  </si>
  <si>
    <t>Base single 4 noches</t>
  </si>
  <si>
    <t>Base doble 4 noches</t>
  </si>
  <si>
    <t>Non angler nacional 4 noches</t>
  </si>
  <si>
    <t>5 noches</t>
  </si>
  <si>
    <t>Base single 5 noches</t>
  </si>
  <si>
    <t>Base doble 5 noches</t>
  </si>
  <si>
    <t>Non angler nacional 5 noches</t>
  </si>
  <si>
    <t>6 noches</t>
  </si>
  <si>
    <t>Base single 6 noches</t>
  </si>
  <si>
    <t>Base doble 6 noches</t>
  </si>
  <si>
    <t>Non angler nacional 6 noches</t>
  </si>
  <si>
    <t>7 noches</t>
  </si>
  <si>
    <t>Base single 7 noches</t>
  </si>
  <si>
    <t>Base doble 7 noches</t>
  </si>
  <si>
    <t>Non angler nacional 7 noches</t>
  </si>
  <si>
    <t>8 noches</t>
  </si>
  <si>
    <t>Base single 8 noches</t>
  </si>
  <si>
    <t>Base doble 8 noches</t>
  </si>
  <si>
    <t>Non angler nacional 8 noches</t>
  </si>
  <si>
    <t>9 noches</t>
  </si>
  <si>
    <t>Base single 9 noches</t>
  </si>
  <si>
    <t>Base doble 9 noches</t>
  </si>
  <si>
    <t>Non angler nacional 9 noches</t>
  </si>
  <si>
    <t>10 noches</t>
  </si>
  <si>
    <t>Base single 10 noches</t>
  </si>
  <si>
    <t>Base doble 10 noches</t>
  </si>
  <si>
    <t>Non angler nacional 10 noches</t>
  </si>
  <si>
    <t>11 noches</t>
  </si>
  <si>
    <t>Base single 11 noches</t>
  </si>
  <si>
    <t>Base doble 11 noches</t>
  </si>
  <si>
    <t>Non angler nacional 11 noches</t>
  </si>
  <si>
    <t>12 noches</t>
  </si>
  <si>
    <t>Base single 12 noches</t>
  </si>
  <si>
    <t>Base doble 12 noches</t>
  </si>
  <si>
    <t>Non angler nacional 12 noches</t>
  </si>
  <si>
    <t>13 noches</t>
  </si>
  <si>
    <t>Base single 13 noches</t>
  </si>
  <si>
    <t>Base doble 13 noches</t>
  </si>
  <si>
    <t>Non angler nacional 13 noches</t>
  </si>
  <si>
    <t>14 noches</t>
  </si>
  <si>
    <t>Base single 14 noches</t>
  </si>
  <si>
    <t>Base doble 14 noches</t>
  </si>
  <si>
    <t>Non angler nacional 14 noches</t>
  </si>
  <si>
    <t>Host</t>
  </si>
  <si>
    <t>Host 1 noche</t>
  </si>
  <si>
    <t>2 Noches</t>
  </si>
  <si>
    <t>Host 2 Noches</t>
  </si>
  <si>
    <t>3 Noches</t>
  </si>
  <si>
    <t>Host 3 Noches</t>
  </si>
  <si>
    <t>4 Noches</t>
  </si>
  <si>
    <t>Host 4 Noches</t>
  </si>
  <si>
    <t>5 Noches</t>
  </si>
  <si>
    <t>Host 5 Noches</t>
  </si>
  <si>
    <t>6 Noches</t>
  </si>
  <si>
    <t>Host 6 Noches</t>
  </si>
  <si>
    <t>7 Noches</t>
  </si>
  <si>
    <t>Host 7 Noches</t>
  </si>
  <si>
    <t>8 Noches</t>
  </si>
  <si>
    <t>Host 8 Noches</t>
  </si>
  <si>
    <t>9 Noches</t>
  </si>
  <si>
    <t>Host 9 Noches</t>
  </si>
  <si>
    <t>10 Noches</t>
  </si>
  <si>
    <t>Host 10 Noches</t>
  </si>
  <si>
    <t>11 Noches</t>
  </si>
  <si>
    <t>Host 11 Noches</t>
  </si>
  <si>
    <t>12 Noches</t>
  </si>
  <si>
    <t>Host 12 Noches</t>
  </si>
  <si>
    <t>13 Noches</t>
  </si>
  <si>
    <t>Host 13 Noches</t>
  </si>
  <si>
    <t>14 Noches</t>
  </si>
  <si>
    <t>Host 14 Noches</t>
  </si>
  <si>
    <t>Moneda</t>
  </si>
  <si>
    <t>CLP</t>
  </si>
  <si>
    <t>USD</t>
  </si>
  <si>
    <t>Estado_reserva</t>
  </si>
  <si>
    <t>Estado_saldo</t>
  </si>
  <si>
    <t>SI</t>
  </si>
  <si>
    <t>NO</t>
  </si>
  <si>
    <t>Operador</t>
  </si>
  <si>
    <t>Medio de pago</t>
  </si>
  <si>
    <t>Transferencia</t>
  </si>
  <si>
    <t>WebPay</t>
  </si>
  <si>
    <t>Políticas GBL</t>
  </si>
  <si>
    <t>1. Políticas de pago</t>
  </si>
  <si>
    <t>1.1 Política de pago: Reserva</t>
  </si>
  <si>
    <t>El pago de la reserva debe ser realizado hasta 7 días posterior realizada la reserva</t>
  </si>
  <si>
    <t>1.2 Política de pago: Saldo</t>
  </si>
  <si>
    <t>El pago del saldo debe ser realizado hasta 23 días antes del check in</t>
  </si>
  <si>
    <t>2. Clasificación de deudores</t>
  </si>
  <si>
    <t>1. Al día:</t>
  </si>
  <si>
    <t>Cliente pago la totalidad de la reserva y del saldo a la fecha</t>
  </si>
  <si>
    <t>3. Debe_saldo:</t>
  </si>
  <si>
    <t>2. Debe_reserva:</t>
  </si>
  <si>
    <t>4. Moroso_reserva:</t>
  </si>
  <si>
    <t>5. Moroso_saldo:</t>
  </si>
  <si>
    <t>Cliente no ha cancelado la totalidad del monto de la reserva pero no han pasado 7 días desde la fecha de reserva</t>
  </si>
  <si>
    <t>Cliente no ha cancelado la totalidad del monto del saldo pero faltan más de 23 días para el check-in</t>
  </si>
  <si>
    <t>Cliente no ha cancelado la totalidad del monto de la reserva y ya han pasadomás de 7 días desde la fecha de reserva</t>
  </si>
  <si>
    <t>Cliente no ha cancelado la totalidad del monto del saldo y faltan menos de 23 días para el check-in</t>
  </si>
  <si>
    <t>3. Política de descuento</t>
  </si>
  <si>
    <t>Solo y únicamente Franz Schee l (FSN) y Jorge Icaza (JIP) están autorizados para aprobar un descuento</t>
  </si>
  <si>
    <t>3.1 Aprobación:</t>
  </si>
  <si>
    <t>3.2 Rangos:</t>
  </si>
  <si>
    <t>Se podrán aplicar descuentos como máximo de un 25% sobre el precio lista</t>
  </si>
  <si>
    <t>3.3 Operadores</t>
  </si>
  <si>
    <t>El descuento asociado a operadores es de un 20% del precio lista</t>
  </si>
  <si>
    <t>3.4 Descuento Usuario/Operador</t>
  </si>
  <si>
    <t>No se podrán aplicar descuento_usuarios a pasajeros que vengan por operadores</t>
  </si>
  <si>
    <t>Grupo</t>
  </si>
  <si>
    <t>*Clave para desbloquear descuentos</t>
  </si>
  <si>
    <t>Reserva N˚</t>
  </si>
  <si>
    <t>INFORMACIÓN GENERAL</t>
  </si>
  <si>
    <t>STATUS PAGO PROGRAMA</t>
  </si>
  <si>
    <t>DETALLE DE PAGOS</t>
  </si>
  <si>
    <t>X</t>
  </si>
  <si>
    <t>Baker Single</t>
  </si>
  <si>
    <t>Baker Full</t>
  </si>
  <si>
    <t>Fecha Reserva</t>
  </si>
  <si>
    <t>Sin descuento</t>
  </si>
  <si>
    <t>Fecha de reserva</t>
  </si>
  <si>
    <t>Programa_texto</t>
  </si>
  <si>
    <t>Baker single</t>
  </si>
  <si>
    <t>Baker full</t>
  </si>
  <si>
    <t>%</t>
  </si>
  <si>
    <t>Modo</t>
  </si>
  <si>
    <t>DESCUENTO</t>
  </si>
  <si>
    <t>Descuento ingresado</t>
  </si>
  <si>
    <t>Dscto (%)</t>
  </si>
  <si>
    <t>Dscto ($)</t>
  </si>
  <si>
    <t>x</t>
  </si>
  <si>
    <t>Reserva</t>
  </si>
  <si>
    <t>Saldo</t>
  </si>
  <si>
    <t>Concepto Pago 1</t>
  </si>
  <si>
    <t>Concepto Pago 3</t>
  </si>
  <si>
    <t>Concepto Pago 2</t>
  </si>
  <si>
    <t>Concepto Pago 4</t>
  </si>
  <si>
    <t>Concepto Pago 5</t>
  </si>
  <si>
    <t>Moroso</t>
  </si>
  <si>
    <t>Sin deuda</t>
  </si>
  <si>
    <t>Deuda</t>
  </si>
  <si>
    <t>Días desde reserva</t>
  </si>
  <si>
    <t>Días para check-in</t>
  </si>
  <si>
    <t>GBL25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</si>
</sst>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[$USD]\ * #,##0_ ;_ [$USD]\ * \-#,##0_ ;_ [$USD]\ * &quot;-&quot;_ ;_ @_ 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rgb="FF2454A9"/>
      </left>
      <right/>
      <top style="medium">
        <color rgb="FF2454A9"/>
      </top>
      <bottom/>
      <diagonal/>
    </border>
    <border>
      <left/>
      <right/>
      <top style="medium">
        <color rgb="FF2454A9"/>
      </top>
      <bottom/>
      <diagonal/>
    </border>
    <border>
      <left/>
      <right style="medium">
        <color rgb="FF2454A9"/>
      </right>
      <top style="medium">
        <color rgb="FF2454A9"/>
      </top>
      <bottom/>
      <diagonal/>
    </border>
    <border>
      <left style="medium">
        <color rgb="FF2454A9"/>
      </left>
      <right/>
      <top/>
      <bottom style="medium">
        <color rgb="FF2454A9"/>
      </bottom>
      <diagonal/>
    </border>
    <border>
      <left/>
      <right/>
      <top/>
      <bottom style="medium">
        <color rgb="FF2454A9"/>
      </bottom>
      <diagonal/>
    </border>
    <border>
      <left/>
      <right style="medium">
        <color rgb="FF2454A9"/>
      </right>
      <top/>
      <bottom style="medium">
        <color rgb="FF2454A9"/>
      </bottom>
      <diagonal/>
    </border>
    <border>
      <left style="medium">
        <color rgb="FF2454A9"/>
      </left>
      <right/>
      <top/>
      <bottom/>
      <diagonal/>
    </border>
    <border>
      <left/>
      <right style="medium">
        <color rgb="FF2454A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42" fontId="0" fillId="0" borderId="0" xfId="2" applyFont="1" applyBorder="1"/>
    <xf numFmtId="42" fontId="0" fillId="0" borderId="8" xfId="2" applyFont="1" applyBorder="1"/>
    <xf numFmtId="164" fontId="5" fillId="0" borderId="8" xfId="1" applyNumberFormat="1" applyFont="1" applyFill="1" applyBorder="1"/>
    <xf numFmtId="0" fontId="0" fillId="0" borderId="5" xfId="0" applyBorder="1" applyAlignment="1">
      <alignment horizontal="center"/>
    </xf>
    <xf numFmtId="42" fontId="0" fillId="0" borderId="5" xfId="2" applyFont="1" applyBorder="1"/>
    <xf numFmtId="42" fontId="0" fillId="0" borderId="6" xfId="2" applyFont="1" applyBorder="1"/>
    <xf numFmtId="164" fontId="5" fillId="0" borderId="6" xfId="1" applyNumberFormat="1" applyFont="1" applyFill="1" applyBorder="1"/>
    <xf numFmtId="9" fontId="0" fillId="0" borderId="0" xfId="3" applyFont="1"/>
    <xf numFmtId="0" fontId="2" fillId="0" borderId="0" xfId="0" applyFont="1" applyAlignment="1">
      <alignment horizontal="center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42" fontId="0" fillId="2" borderId="0" xfId="2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NumberFormat="1"/>
    <xf numFmtId="9" fontId="0" fillId="2" borderId="0" xfId="3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2" borderId="0" xfId="0" applyFill="1" applyProtection="1"/>
    <xf numFmtId="0" fontId="0" fillId="3" borderId="0" xfId="0" applyNumberFormat="1" applyFill="1" applyAlignment="1">
      <alignment horizontal="center"/>
    </xf>
    <xf numFmtId="3" fontId="0" fillId="3" borderId="0" xfId="4" applyNumberFormat="1" applyFont="1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42" fontId="0" fillId="4" borderId="0" xfId="2" applyFont="1" applyFill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42" fontId="0" fillId="2" borderId="0" xfId="2" applyFont="1" applyFill="1" applyBorder="1"/>
    <xf numFmtId="42" fontId="0" fillId="2" borderId="0" xfId="2" applyNumberFormat="1" applyFont="1" applyFill="1" applyBorder="1"/>
    <xf numFmtId="42" fontId="0" fillId="2" borderId="13" xfId="2" applyFont="1" applyFill="1" applyBorder="1"/>
    <xf numFmtId="0" fontId="0" fillId="0" borderId="13" xfId="0" applyBorder="1" applyProtection="1">
      <protection locked="0"/>
    </xf>
    <xf numFmtId="42" fontId="0" fillId="0" borderId="0" xfId="2" applyFont="1" applyBorder="1" applyProtection="1">
      <protection locked="0"/>
    </xf>
    <xf numFmtId="42" fontId="0" fillId="2" borderId="15" xfId="2" applyFont="1" applyFill="1" applyBorder="1"/>
    <xf numFmtId="42" fontId="0" fillId="0" borderId="0" xfId="2" applyFont="1"/>
    <xf numFmtId="42" fontId="0" fillId="0" borderId="0" xfId="2" applyFont="1" applyProtection="1">
      <protection locked="0"/>
    </xf>
    <xf numFmtId="14" fontId="0" fillId="0" borderId="0" xfId="0" applyNumberFormat="1" applyBorder="1" applyProtection="1">
      <protection locked="0"/>
    </xf>
    <xf numFmtId="14" fontId="0" fillId="0" borderId="15" xfId="0" applyNumberFormat="1" applyBorder="1"/>
    <xf numFmtId="14" fontId="0" fillId="0" borderId="0" xfId="0" applyNumberFormat="1" applyProtection="1">
      <protection locked="0"/>
    </xf>
    <xf numFmtId="14" fontId="0" fillId="2" borderId="15" xfId="0" applyNumberFormat="1" applyFill="1" applyBorder="1"/>
    <xf numFmtId="14" fontId="0" fillId="0" borderId="0" xfId="4" applyNumberFormat="1" applyFont="1"/>
    <xf numFmtId="0" fontId="2" fillId="2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0" fillId="0" borderId="0" xfId="0" applyNumberFormat="1" applyAlignment="1">
      <alignment horizont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4" xfId="0" applyFont="1" applyFill="1" applyBorder="1" applyAlignment="1" applyProtection="1">
      <alignment horizontal="center"/>
      <protection locked="0"/>
    </xf>
    <xf numFmtId="14" fontId="2" fillId="0" borderId="15" xfId="0" applyNumberFormat="1" applyFont="1" applyFill="1" applyBorder="1" applyAlignment="1" applyProtection="1">
      <alignment horizontal="center"/>
      <protection locked="0"/>
    </xf>
    <xf numFmtId="42" fontId="2" fillId="0" borderId="15" xfId="2" applyFont="1" applyFill="1" applyBorder="1" applyAlignment="1" applyProtection="1">
      <alignment horizontal="center"/>
      <protection locked="0"/>
    </xf>
    <xf numFmtId="0" fontId="2" fillId="0" borderId="16" xfId="0" applyFont="1" applyFill="1" applyBorder="1" applyAlignment="1" applyProtection="1">
      <alignment horizontal="center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14" fontId="6" fillId="0" borderId="15" xfId="0" applyNumberFormat="1" applyFont="1" applyFill="1" applyBorder="1" applyAlignment="1" applyProtection="1">
      <alignment horizontal="center"/>
      <protection locked="0"/>
    </xf>
    <xf numFmtId="42" fontId="6" fillId="0" borderId="15" xfId="2" applyFont="1" applyFill="1" applyBorder="1" applyAlignment="1" applyProtection="1">
      <alignment horizontal="center"/>
      <protection locked="0"/>
    </xf>
    <xf numFmtId="0" fontId="6" fillId="0" borderId="16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</cellXfs>
  <cellStyles count="5">
    <cellStyle name="Millares [0]" xfId="4" builtinId="6"/>
    <cellStyle name="Moneda" xfId="1" builtinId="4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6B6D-8066-6F48-948B-8FE112E30D82}">
  <dimension ref="A1:CA1003"/>
  <sheetViews>
    <sheetView tabSelected="1" topLeftCell="V1" zoomScale="150" zoomScaleNormal="150" workbookViewId="0">
      <selection activeCell="AC4" sqref="AC4"/>
    </sheetView>
  </sheetViews>
  <sheetFormatPr baseColWidth="10" defaultRowHeight="16" x14ac:dyDescent="0.2"/>
  <cols>
    <col min="1" max="1" width="20.1640625" style="18" bestFit="1" customWidth="1"/>
    <col min="2" max="2" width="10.33203125" customWidth="1"/>
    <col min="3" max="3" width="20.33203125" customWidth="1"/>
    <col min="4" max="4" width="13.33203125" customWidth="1"/>
    <col min="5" max="5" width="11" bestFit="1" customWidth="1"/>
    <col min="6" max="6" width="7.33203125" style="1" bestFit="1" customWidth="1"/>
    <col min="7" max="7" width="13.1640625" style="1" bestFit="1" customWidth="1"/>
    <col min="8" max="8" width="8.5" style="1" bestFit="1" customWidth="1"/>
    <col min="9" max="9" width="10" style="18" bestFit="1" customWidth="1"/>
    <col min="10" max="10" width="11.33203125" style="18" bestFit="1" customWidth="1"/>
    <col min="11" max="11" width="12.83203125" style="1" bestFit="1" customWidth="1"/>
    <col min="12" max="12" width="5.6640625" style="1" bestFit="1" customWidth="1"/>
    <col min="13" max="13" width="5.83203125" style="1" bestFit="1" customWidth="1"/>
    <col min="14" max="14" width="18.83203125" style="35" bestFit="1" customWidth="1"/>
    <col min="15" max="15" width="13.1640625" style="22" bestFit="1" customWidth="1"/>
    <col min="16" max="16" width="17.33203125" style="18" bestFit="1" customWidth="1"/>
    <col min="17" max="17" width="16.6640625" style="18" bestFit="1" customWidth="1"/>
    <col min="18" max="18" width="17" style="18" bestFit="1" customWidth="1"/>
    <col min="19" max="19" width="4.5" style="38" customWidth="1"/>
    <col min="20" max="20" width="14.83203125" style="18" customWidth="1"/>
    <col min="21" max="21" width="17" style="18" bestFit="1" customWidth="1"/>
    <col min="22" max="22" width="22" style="18" bestFit="1" customWidth="1"/>
    <col min="23" max="23" width="24.33203125" style="18" bestFit="1" customWidth="1"/>
    <col min="24" max="24" width="21" style="18" bestFit="1" customWidth="1"/>
    <col min="25" max="25" width="11.33203125" style="18" bestFit="1" customWidth="1"/>
    <col min="26" max="26" width="15.1640625" style="18" bestFit="1" customWidth="1"/>
    <col min="27" max="27" width="20.1640625" style="18" bestFit="1" customWidth="1"/>
    <col min="28" max="28" width="22.6640625" style="18" bestFit="1" customWidth="1"/>
    <col min="29" max="29" width="19.5" style="18" bestFit="1" customWidth="1"/>
    <col min="30" max="30" width="19.5" style="18" customWidth="1"/>
    <col min="31" max="31" width="12" style="19" bestFit="1" customWidth="1"/>
    <col min="32" max="32" width="12" style="54" bestFit="1" customWidth="1"/>
    <col min="33" max="33" width="18.6640625" bestFit="1" customWidth="1"/>
    <col min="34" max="34" width="19.5" style="18" customWidth="1"/>
    <col min="35" max="35" width="12" style="19" bestFit="1" customWidth="1"/>
    <col min="36" max="36" width="12" style="54" bestFit="1" customWidth="1"/>
    <col min="37" max="37" width="18.6640625" bestFit="1" customWidth="1"/>
    <col min="38" max="38" width="19.5" style="18" customWidth="1"/>
    <col min="39" max="39" width="12" style="19" bestFit="1" customWidth="1"/>
    <col min="40" max="40" width="12" style="54" bestFit="1" customWidth="1"/>
    <col min="41" max="41" width="18.6640625" bestFit="1" customWidth="1"/>
    <col min="42" max="42" width="19.5" style="18" customWidth="1"/>
    <col min="43" max="43" width="12" style="19" bestFit="1" customWidth="1"/>
    <col min="44" max="44" width="12" style="54" bestFit="1" customWidth="1"/>
    <col min="45" max="45" width="18.6640625" bestFit="1" customWidth="1"/>
    <col min="46" max="46" width="19.5" style="18" customWidth="1"/>
    <col min="47" max="47" width="12" style="19" bestFit="1" customWidth="1"/>
    <col min="48" max="48" width="12" style="54" bestFit="1" customWidth="1"/>
    <col min="49" max="49" width="18.6640625" bestFit="1" customWidth="1"/>
    <col min="59" max="59" width="33.6640625" bestFit="1" customWidth="1"/>
    <col min="60" max="60" width="14.83203125" bestFit="1" customWidth="1"/>
    <col min="61" max="61" width="14.83203125" customWidth="1"/>
    <col min="62" max="62" width="16.83203125" bestFit="1" customWidth="1"/>
    <col min="63" max="64" width="14.83203125" customWidth="1"/>
    <col min="65" max="65" width="12" bestFit="1" customWidth="1"/>
    <col min="66" max="66" width="11.33203125" bestFit="1" customWidth="1"/>
    <col min="70" max="70" width="18.6640625" style="18" customWidth="1"/>
    <col min="71" max="71" width="22.1640625" customWidth="1"/>
    <col min="72" max="72" width="18.6640625" customWidth="1"/>
    <col min="73" max="73" width="11.33203125" bestFit="1" customWidth="1"/>
  </cols>
  <sheetData>
    <row r="1" spans="1:74" s="1" customFormat="1" ht="17" thickBot="1" x14ac:dyDescent="0.25">
      <c r="A1" s="22" t="s">
        <v>0</v>
      </c>
      <c r="B1" s="23" t="s">
        <v>187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37"/>
      <c r="T1" s="24" t="s">
        <v>188</v>
      </c>
      <c r="U1" s="24"/>
      <c r="V1" s="24"/>
      <c r="W1" s="24"/>
      <c r="X1" s="24"/>
      <c r="Y1" s="24"/>
      <c r="Z1" s="24"/>
      <c r="AA1" s="24"/>
      <c r="AB1" s="24"/>
      <c r="AC1" s="24"/>
      <c r="AD1" s="71"/>
      <c r="AE1" s="72" t="s">
        <v>189</v>
      </c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3"/>
      <c r="BH1" s="30"/>
      <c r="BI1" s="68"/>
      <c r="BJ1" s="68"/>
      <c r="BK1" s="68"/>
      <c r="BL1" s="68"/>
    </row>
    <row r="2" spans="1:74" s="1" customFormat="1" x14ac:dyDescent="0.2">
      <c r="A2" s="22"/>
      <c r="B2" s="23" t="s">
        <v>1</v>
      </c>
      <c r="C2" s="23"/>
      <c r="D2" s="23"/>
      <c r="E2" s="23" t="s">
        <v>14</v>
      </c>
      <c r="F2" s="23"/>
      <c r="G2" s="23"/>
      <c r="H2" s="23"/>
      <c r="I2" s="23"/>
      <c r="J2" s="23"/>
      <c r="K2" s="23" t="s">
        <v>201</v>
      </c>
      <c r="L2" s="23"/>
      <c r="M2" s="23"/>
      <c r="N2" s="23"/>
      <c r="O2" s="23"/>
      <c r="P2" s="23"/>
      <c r="Q2" s="23"/>
      <c r="R2" s="23"/>
      <c r="S2" s="37"/>
      <c r="T2" s="40" t="s">
        <v>28</v>
      </c>
      <c r="U2" s="41"/>
      <c r="V2" s="41"/>
      <c r="W2" s="41"/>
      <c r="X2" s="42"/>
      <c r="Y2" s="40" t="s">
        <v>29</v>
      </c>
      <c r="Z2" s="41"/>
      <c r="AA2" s="41"/>
      <c r="AB2" s="41"/>
      <c r="AC2" s="41"/>
      <c r="AD2" s="74" t="s">
        <v>36</v>
      </c>
      <c r="AE2" s="72"/>
      <c r="AF2" s="72"/>
      <c r="AG2" s="73"/>
      <c r="AH2" s="75" t="s">
        <v>37</v>
      </c>
      <c r="AI2" s="75"/>
      <c r="AJ2" s="75"/>
      <c r="AK2" s="75"/>
      <c r="AL2" s="74" t="s">
        <v>41</v>
      </c>
      <c r="AM2" s="72"/>
      <c r="AN2" s="72"/>
      <c r="AO2" s="73"/>
      <c r="AP2" s="75" t="s">
        <v>42</v>
      </c>
      <c r="AQ2" s="75"/>
      <c r="AR2" s="75"/>
      <c r="AS2" s="75"/>
      <c r="AT2" s="74" t="s">
        <v>43</v>
      </c>
      <c r="AU2" s="72"/>
      <c r="AV2" s="72"/>
      <c r="AW2" s="73"/>
    </row>
    <row r="3" spans="1:74" s="62" customFormat="1" ht="17" thickBot="1" x14ac:dyDescent="0.25">
      <c r="A3" s="61" t="s">
        <v>186</v>
      </c>
      <c r="B3" s="62" t="s">
        <v>184</v>
      </c>
      <c r="C3" s="62" t="s">
        <v>2</v>
      </c>
      <c r="D3" s="62" t="s">
        <v>3</v>
      </c>
      <c r="E3" s="62" t="s">
        <v>4</v>
      </c>
      <c r="F3" s="62" t="s">
        <v>5</v>
      </c>
      <c r="G3" s="62" t="s">
        <v>193</v>
      </c>
      <c r="H3" s="62" t="s">
        <v>6</v>
      </c>
      <c r="I3" s="61" t="s">
        <v>7</v>
      </c>
      <c r="J3" s="61" t="s">
        <v>8</v>
      </c>
      <c r="K3" s="62" t="s">
        <v>9</v>
      </c>
      <c r="L3" s="62" t="s">
        <v>11</v>
      </c>
      <c r="M3" s="62" t="s">
        <v>200</v>
      </c>
      <c r="N3" s="63" t="s">
        <v>202</v>
      </c>
      <c r="O3" s="61" t="s">
        <v>203</v>
      </c>
      <c r="P3" s="61" t="s">
        <v>204</v>
      </c>
      <c r="Q3" s="61" t="s">
        <v>12</v>
      </c>
      <c r="R3" s="61" t="s">
        <v>13</v>
      </c>
      <c r="S3" s="64"/>
      <c r="T3" s="65" t="s">
        <v>15</v>
      </c>
      <c r="U3" s="66" t="s">
        <v>20</v>
      </c>
      <c r="V3" s="66" t="s">
        <v>21</v>
      </c>
      <c r="W3" s="66" t="s">
        <v>22</v>
      </c>
      <c r="X3" s="67" t="s">
        <v>23</v>
      </c>
      <c r="Y3" s="65" t="s">
        <v>16</v>
      </c>
      <c r="Z3" s="66" t="s">
        <v>24</v>
      </c>
      <c r="AA3" s="66" t="s">
        <v>25</v>
      </c>
      <c r="AB3" s="66" t="s">
        <v>26</v>
      </c>
      <c r="AC3" s="66" t="s">
        <v>27</v>
      </c>
      <c r="AD3" s="76" t="s">
        <v>208</v>
      </c>
      <c r="AE3" s="77" t="s">
        <v>30</v>
      </c>
      <c r="AF3" s="78" t="s">
        <v>31</v>
      </c>
      <c r="AG3" s="79" t="s">
        <v>32</v>
      </c>
      <c r="AH3" s="80" t="s">
        <v>210</v>
      </c>
      <c r="AI3" s="77" t="s">
        <v>33</v>
      </c>
      <c r="AJ3" s="78" t="s">
        <v>35</v>
      </c>
      <c r="AK3" s="80" t="s">
        <v>34</v>
      </c>
      <c r="AL3" s="76" t="s">
        <v>209</v>
      </c>
      <c r="AM3" s="81" t="s">
        <v>38</v>
      </c>
      <c r="AN3" s="82" t="s">
        <v>39</v>
      </c>
      <c r="AO3" s="83" t="s">
        <v>40</v>
      </c>
      <c r="AP3" s="80" t="s">
        <v>211</v>
      </c>
      <c r="AQ3" s="81" t="s">
        <v>44</v>
      </c>
      <c r="AR3" s="82" t="s">
        <v>45</v>
      </c>
      <c r="AS3" s="84" t="s">
        <v>46</v>
      </c>
      <c r="AT3" s="76" t="s">
        <v>212</v>
      </c>
      <c r="AU3" s="81" t="s">
        <v>47</v>
      </c>
      <c r="AV3" s="82" t="s">
        <v>48</v>
      </c>
      <c r="AW3" s="83" t="s">
        <v>49</v>
      </c>
      <c r="BR3" s="61" t="s">
        <v>196</v>
      </c>
      <c r="BS3" s="62" t="s">
        <v>216</v>
      </c>
      <c r="BT3" s="62" t="s">
        <v>217</v>
      </c>
      <c r="BU3" s="62" t="s">
        <v>218</v>
      </c>
    </row>
    <row r="4" spans="1:74" x14ac:dyDescent="0.2">
      <c r="A4" s="18" t="str" cm="1">
        <f t="array" aca="1" ref="A4" ca="1">IF(B4="","","Grupo N˚"&amp;SUMPRODUCT(($B$4:B4&lt;&gt;"")*($B$4:B4&lt;&gt;OFFSET($B$4,-1,0,ROWS($B$4:B4),1))))</f>
        <v/>
      </c>
      <c r="B4" s="31"/>
      <c r="C4" s="31"/>
      <c r="D4" s="31"/>
      <c r="E4" s="31"/>
      <c r="F4" s="32"/>
      <c r="G4" s="33"/>
      <c r="H4" s="33"/>
      <c r="I4" s="20" t="str">
        <f>+IF(H4="","",G4+H4)</f>
        <v/>
      </c>
      <c r="J4" s="21" t="str">
        <f>IFERROR(VLOOKUP(BR4,Pricing!$D$3:$E$58,2,FALSE),"")</f>
        <v/>
      </c>
      <c r="K4" s="32"/>
      <c r="L4" s="32"/>
      <c r="M4" s="32"/>
      <c r="N4" s="36" t="str" cm="1">
        <f t="array" ref="N4">IFERROR(_xlfn.IFS((AND(K4="SI",M4="$")),J4*0.2,AND(K4="SI",M4="%"),20),"")</f>
        <v/>
      </c>
      <c r="O4" s="29" t="str">
        <f>IFERROR(IF($M4="%",
             IF(N(N4)&gt;1, N(N4)/100, N(N4)),
             IF(AND($J4&gt;0,$M4="$"), N(N4)/$J4, "")
            ),"")</f>
        <v/>
      </c>
      <c r="P4" s="21" t="str">
        <f>IFERROR(IF(M4="$", N(N4), IF(M4="%", J4*N(N4/100), "")), "")</f>
        <v/>
      </c>
      <c r="Q4" s="21" t="str">
        <f>IF(J4="","",J4*(1-N(O4)))</f>
        <v/>
      </c>
      <c r="R4" s="21" t="str">
        <f>IF(Q4="","",Q4/1.19)</f>
        <v/>
      </c>
      <c r="S4" s="39"/>
      <c r="T4" s="43" t="str">
        <f>IF(W4="","",IFERROR(
 IF(AND(ABS(N(W4))&lt;0.5, BS4&lt;=7), "Sin deuda",
  IF(AND(N(W4)&gt;0, BS4&lt;=7), "Con deuda",
   IF(AND(N(W4)&gt;0, BS4&gt;7), "Moroso", "")
  )
)," "))</f>
        <v/>
      </c>
      <c r="U4" s="49" t="str">
        <f>IF(R4="","",R4/2)</f>
        <v/>
      </c>
      <c r="V4" s="48" t="str">
        <f>IF(AD4="","",SUM(
 IF(ISNUMBER(SEARCH("reserva",AD4)),AF4,0),
 IF(ISNUMBER(SEARCH("reserva",AH4)),AJ4,0),
 IF(ISNUMBER(SEARCH("reserva",AL4)),AN4,0),
 IF(ISNUMBER(SEARCH("reserva",AP4)),AR4,0),
 IF(ISNUMBER(SEARCH("reserva",AT4)),AV4,0)
))</f>
        <v/>
      </c>
      <c r="W4" s="48" t="str">
        <f>IFERROR(U4-N(V4),"")</f>
        <v/>
      </c>
      <c r="X4" s="50" t="str">
        <f>IF(W4="","",SUMIF($B$4:$B$1002,B4,$W$4:$W$1000))</f>
        <v/>
      </c>
      <c r="Y4" s="43" t="str">
        <f>IF(AB4="","",IFERROR(
 IF(AND(ABS(N(AB4))&lt;0.5, BT4&gt;=23), "Sin deuda",
  IF(AND(N(AB4)&gt;0, BT4&gt;=23), "Con deuda",
   IF(AND(N(AB4)&gt;0, BT4&lt;23), "Moroso", "")
  )
),""))</f>
        <v/>
      </c>
      <c r="Z4" s="49" t="str">
        <f>IF(R4="","",R4/2)</f>
        <v/>
      </c>
      <c r="AA4" s="48" t="str">
        <f>IF(AD4="","",SUM(
 IF(ISNUMBER(SEARCH("saldo",AD4)),AF4,0),
 IF(ISNUMBER(SEARCH("saldo",AH4)),AJ4,0),
 IF(ISNUMBER(SEARCH("saldo",AL4)),AN4,0),
 IF(ISNUMBER(SEARCH("saldo",AP4)),AR4,0),
 IF(ISNUMBER(SEARCH("saldo",AT4)),AV4,0)
))</f>
        <v/>
      </c>
      <c r="AB4" s="49" t="str">
        <f>IFERROR(Z4-N(AA4),"")</f>
        <v/>
      </c>
      <c r="AC4" s="50" t="str">
        <f>IF(AB4="","",SUMIF($B$4:$B$1002,B4,$AB$4:$AB$1000))</f>
        <v/>
      </c>
      <c r="AD4" s="69"/>
      <c r="AE4" s="56"/>
      <c r="AF4" s="52"/>
      <c r="AG4" s="51"/>
      <c r="AH4" s="70"/>
      <c r="AI4" s="58"/>
      <c r="AJ4" s="55"/>
      <c r="AK4" s="51"/>
      <c r="AL4" s="69"/>
      <c r="AM4" s="56"/>
      <c r="AN4" s="52"/>
      <c r="AO4" s="51"/>
      <c r="AP4" s="70"/>
      <c r="AQ4" s="58"/>
      <c r="AR4" s="55"/>
      <c r="AS4" s="51"/>
      <c r="AT4" s="69"/>
      <c r="AU4" s="56"/>
      <c r="AV4" s="52"/>
      <c r="AW4" s="51"/>
      <c r="BR4" s="34" t="str">
        <f>IF(E4="","",CONCATENATE(E4," ",F4," noches"))</f>
        <v/>
      </c>
      <c r="BS4" s="28" t="str">
        <f ca="1">IF(G4="","",+TODAY()-G4)</f>
        <v/>
      </c>
      <c r="BT4" s="28" t="str">
        <f ca="1">IF(H4="","",H4-TODAY())</f>
        <v/>
      </c>
      <c r="BV4" s="19"/>
    </row>
    <row r="5" spans="1:74" x14ac:dyDescent="0.2">
      <c r="A5" s="18" t="str" cm="1">
        <f t="array" aca="1" ref="A5" ca="1">IF(B5="","","Grupo N˚"&amp;SUMPRODUCT(($B$4:B5&lt;&gt;"")*($B$4:B5&lt;&gt;OFFSET($B$4,-1,0,ROWS($B$4:B5),1))))</f>
        <v/>
      </c>
      <c r="B5" s="31"/>
      <c r="C5" s="31"/>
      <c r="D5" s="31"/>
      <c r="E5" s="31"/>
      <c r="F5" s="32"/>
      <c r="G5" s="33"/>
      <c r="H5" s="33"/>
      <c r="I5" s="20" t="str">
        <f t="shared" ref="I5:I68" si="0">+IF(H5="","",G5+H5)</f>
        <v/>
      </c>
      <c r="J5" s="21" t="str">
        <f>IFERROR(VLOOKUP(BR5,Pricing!$D$3:$E$58,2,FALSE),"")</f>
        <v/>
      </c>
      <c r="K5" s="32"/>
      <c r="L5" s="32"/>
      <c r="M5" s="32"/>
      <c r="N5" s="36" t="str" cm="1">
        <f t="array" ref="N5">IFERROR(_xlfn.IFS((AND(K5="SI",M5="$")),J5*0.2,AND(K5="SI",M5="%"),20),"")</f>
        <v/>
      </c>
      <c r="O5" s="29" t="str">
        <f t="shared" ref="O5:O68" si="1">IFERROR(IF($M5="%",
             IF(N(N5)&gt;1, N(N5)/100, N(N5)),
             IF(AND($J5&gt;0,$M5="$"), N(N5)/$J5, "")
            ),"")</f>
        <v/>
      </c>
      <c r="P5" s="21" t="str">
        <f t="shared" ref="P5:P68" si="2">IFERROR(IF(M5="$", N(N5), IF(M5="%", J5*N(N5/100), "")), "")</f>
        <v/>
      </c>
      <c r="Q5" s="21" t="str">
        <f t="shared" ref="Q5:Q68" si="3">IF(J5="","",J5*(1-N(O5)))</f>
        <v/>
      </c>
      <c r="R5" s="21" t="str">
        <f t="shared" ref="R5:R68" si="4">IF(Q5="","",Q5/1.19)</f>
        <v/>
      </c>
      <c r="S5" s="39"/>
      <c r="T5" s="43" t="str">
        <f t="shared" ref="T5:T7" si="5">IF(W5="","",IFERROR(
 IF(AND(ABS(N(W5))&lt;0.5, BS5&lt;=7), "Sin deuda",
  IF(AND(N(W5)&gt;0, BS5&lt;=7), "Con deuda",
   IF(AND(N(W5)&gt;0, BS5&gt;7), "Moroso", "")
  )
)," "))</f>
        <v/>
      </c>
      <c r="U5" s="49" t="str">
        <f t="shared" ref="U5:U12" si="6">IF(R5="","",R5/2)</f>
        <v/>
      </c>
      <c r="V5" s="48" t="str">
        <f t="shared" ref="V5:V9" si="7">IF(AD5="","",SUM(
 IF(ISNUMBER(SEARCH("reserva",AD5)),AF5,0),
 IF(ISNUMBER(SEARCH("reserva",AH5)),AJ5,0),
 IF(ISNUMBER(SEARCH("reserva",AL5)),AN5,0),
 IF(ISNUMBER(SEARCH("reserva",AP5)),AR5,0),
 IF(ISNUMBER(SEARCH("reserva",AT5)),AV5,0)
))</f>
        <v/>
      </c>
      <c r="W5" s="48" t="str">
        <f t="shared" ref="W5:W68" si="8">IFERROR(U5-N(V5),"")</f>
        <v/>
      </c>
      <c r="X5" s="50" t="str">
        <f>IF(W5="","",SUMIF($B$4:$B$1002,B5,$W$4:$W$1000))</f>
        <v/>
      </c>
      <c r="Y5" s="43" t="str">
        <f t="shared" ref="Y5:Y68" si="9">IF(AB5="","",IFERROR(
 IF(AND(ABS(N(AB5))&lt;0.5, BT5&gt;=23), "Sin deuda",
  IF(AND(N(AB5)&gt;0, BT5&gt;=23), "Con deuda",
   IF(AND(N(AB5)&gt;0, BT5&lt;23), "Moroso", "")
  )
),""))</f>
        <v/>
      </c>
      <c r="Z5" s="49" t="str">
        <f t="shared" ref="Z5:Z68" si="10">IF(R5="","",R5/2)</f>
        <v/>
      </c>
      <c r="AA5" s="48" t="str">
        <f t="shared" ref="AA5:AA68" si="11">IF(AD5="","",SUM(
 IF(ISNUMBER(SEARCH("saldo",AD5)),AF5,0),
 IF(ISNUMBER(SEARCH("saldo",AH5)),AJ5,0),
 IF(ISNUMBER(SEARCH("saldo",AL5)),AN5,0),
 IF(ISNUMBER(SEARCH("saldo",AP5)),AR5,0),
 IF(ISNUMBER(SEARCH("saldo",AT5)),AV5,0)
))</f>
        <v/>
      </c>
      <c r="AB5" s="49" t="str">
        <f t="shared" ref="AB5:AB68" si="12">IFERROR(Z5-N(AA5),"")</f>
        <v/>
      </c>
      <c r="AC5" s="50" t="str">
        <f>IF(AB5="","",SUMIF($B$4:$B$1002,B5,$AB$4:$AB$1000))</f>
        <v/>
      </c>
      <c r="AD5" s="69"/>
      <c r="AE5" s="56"/>
      <c r="AF5" s="52"/>
      <c r="AG5" s="51"/>
      <c r="AH5" s="70"/>
      <c r="AI5" s="58"/>
      <c r="AJ5" s="55"/>
      <c r="AK5" s="51"/>
      <c r="AL5" s="69"/>
      <c r="AM5" s="56"/>
      <c r="AN5" s="52"/>
      <c r="AO5" s="51"/>
      <c r="AP5" s="70"/>
      <c r="AQ5" s="58"/>
      <c r="AR5" s="55"/>
      <c r="AS5" s="51"/>
      <c r="AT5" s="69"/>
      <c r="AU5" s="56"/>
      <c r="AV5" s="52"/>
      <c r="AW5" s="51"/>
      <c r="BR5" s="34" t="str">
        <f>IF(E5="","",CONCATENATE(E5," ",F5," noches"))</f>
        <v/>
      </c>
      <c r="BS5" s="28" t="str">
        <f t="shared" ref="BS5:BS68" ca="1" si="13">IF(G5="","",+TODAY()-G5)</f>
        <v/>
      </c>
      <c r="BT5" s="28" t="str">
        <f t="shared" ref="BT5:BT68" ca="1" si="14">IF(H5="","",H5-TODAY())</f>
        <v/>
      </c>
    </row>
    <row r="6" spans="1:74" x14ac:dyDescent="0.2">
      <c r="A6" s="18" t="str" cm="1">
        <f t="array" aca="1" ref="A6" ca="1">IF(B6="","","Grupo N˚"&amp;SUMPRODUCT(($B$4:B6&lt;&gt;"")*($B$4:B6&lt;&gt;OFFSET($B$4,-1,0,ROWS($B$4:B6),1))))</f>
        <v/>
      </c>
      <c r="B6" s="31"/>
      <c r="C6" s="31"/>
      <c r="D6" s="31"/>
      <c r="E6" s="31"/>
      <c r="F6" s="32"/>
      <c r="G6" s="33"/>
      <c r="H6" s="33"/>
      <c r="I6" s="20" t="str">
        <f t="shared" si="0"/>
        <v/>
      </c>
      <c r="J6" s="21" t="str">
        <f>IFERROR(VLOOKUP(BR6,Pricing!$D$3:$E$58,2,FALSE),"")</f>
        <v/>
      </c>
      <c r="K6" s="32"/>
      <c r="L6" s="32"/>
      <c r="M6" s="32"/>
      <c r="N6" s="36" t="str" cm="1">
        <f t="array" ref="N6">IFERROR(_xlfn.IFS((AND(K6="SI",M6="$")),J6*0.2,AND(K6="SI",M6="%"),20),"")</f>
        <v/>
      </c>
      <c r="O6" s="29" t="str">
        <f t="shared" si="1"/>
        <v/>
      </c>
      <c r="P6" s="21" t="str">
        <f t="shared" si="2"/>
        <v/>
      </c>
      <c r="Q6" s="21" t="str">
        <f t="shared" si="3"/>
        <v/>
      </c>
      <c r="R6" s="21" t="str">
        <f t="shared" si="4"/>
        <v/>
      </c>
      <c r="S6" s="39"/>
      <c r="T6" s="43" t="str">
        <f t="shared" si="5"/>
        <v/>
      </c>
      <c r="U6" s="49" t="str">
        <f t="shared" si="6"/>
        <v/>
      </c>
      <c r="V6" s="48" t="str">
        <f t="shared" si="7"/>
        <v/>
      </c>
      <c r="W6" s="48" t="str">
        <f t="shared" si="8"/>
        <v/>
      </c>
      <c r="X6" s="50" t="str">
        <f>IF(W6="","",SUMIF($B$4:$B$1002,B6,$W$4:$W$1000))</f>
        <v/>
      </c>
      <c r="Y6" s="43" t="str">
        <f t="shared" si="9"/>
        <v/>
      </c>
      <c r="Z6" s="49" t="str">
        <f t="shared" si="10"/>
        <v/>
      </c>
      <c r="AA6" s="48" t="str">
        <f t="shared" si="11"/>
        <v/>
      </c>
      <c r="AB6" s="49" t="str">
        <f t="shared" si="12"/>
        <v/>
      </c>
      <c r="AC6" s="50" t="str">
        <f>IF(AB6="","",SUMIF($B$4:$B$1002,B6,$AB$4:$AB$1000))</f>
        <v/>
      </c>
      <c r="AD6" s="69"/>
      <c r="AE6" s="56"/>
      <c r="AF6" s="52"/>
      <c r="AG6" s="51"/>
      <c r="AH6" s="70"/>
      <c r="AI6" s="58"/>
      <c r="AJ6" s="55"/>
      <c r="AK6" s="51"/>
      <c r="AL6" s="69"/>
      <c r="AM6" s="56"/>
      <c r="AN6" s="52"/>
      <c r="AO6" s="51"/>
      <c r="AP6" s="70"/>
      <c r="AQ6" s="58"/>
      <c r="AR6" s="55"/>
      <c r="AS6" s="51"/>
      <c r="AT6" s="69"/>
      <c r="AU6" s="56"/>
      <c r="AV6" s="52"/>
      <c r="AW6" s="51"/>
      <c r="BR6" s="34" t="str">
        <f>IF(E6="","",CONCATENATE(E6," ",F6," noches"))</f>
        <v/>
      </c>
      <c r="BS6" s="28" t="str">
        <f t="shared" ca="1" si="13"/>
        <v/>
      </c>
      <c r="BT6" s="28" t="str">
        <f t="shared" ca="1" si="14"/>
        <v/>
      </c>
    </row>
    <row r="7" spans="1:74" x14ac:dyDescent="0.2">
      <c r="A7" s="18" t="str" cm="1">
        <f t="array" aca="1" ref="A7" ca="1">IF(B7="","","Grupo N˚"&amp;SUMPRODUCT(($B$4:B7&lt;&gt;"")*($B$4:B7&lt;&gt;OFFSET($B$4,-1,0,ROWS($B$4:B7),1))))</f>
        <v/>
      </c>
      <c r="B7" s="31"/>
      <c r="C7" s="31"/>
      <c r="D7" s="31"/>
      <c r="E7" s="31"/>
      <c r="F7" s="32"/>
      <c r="G7" s="33"/>
      <c r="H7" s="33"/>
      <c r="I7" s="20" t="str">
        <f t="shared" si="0"/>
        <v/>
      </c>
      <c r="J7" s="21" t="str">
        <f>IFERROR(VLOOKUP(BR7,Pricing!$D$3:$E$58,2,FALSE),"")</f>
        <v/>
      </c>
      <c r="K7" s="32"/>
      <c r="L7" s="32"/>
      <c r="M7" s="32"/>
      <c r="N7" s="36" t="str" cm="1">
        <f t="array" ref="N7">IFERROR(_xlfn.IFS((AND(K7="SI",M7="$")),J7*0.2,AND(K7="SI",M7="%"),20),"")</f>
        <v/>
      </c>
      <c r="O7" s="29" t="str">
        <f t="shared" si="1"/>
        <v/>
      </c>
      <c r="P7" s="21" t="str">
        <f t="shared" si="2"/>
        <v/>
      </c>
      <c r="Q7" s="21" t="str">
        <f t="shared" si="3"/>
        <v/>
      </c>
      <c r="R7" s="21" t="str">
        <f t="shared" si="4"/>
        <v/>
      </c>
      <c r="S7" s="39"/>
      <c r="T7" s="43" t="str">
        <f t="shared" si="5"/>
        <v/>
      </c>
      <c r="U7" s="49" t="str">
        <f t="shared" si="6"/>
        <v/>
      </c>
      <c r="V7" s="48" t="str">
        <f t="shared" si="7"/>
        <v/>
      </c>
      <c r="W7" s="48" t="str">
        <f t="shared" si="8"/>
        <v/>
      </c>
      <c r="X7" s="50" t="str">
        <f>IF(W7="","",SUMIF($B$4:$B$1002,B7,$W$4:$W$1000))</f>
        <v/>
      </c>
      <c r="Y7" s="43" t="str">
        <f t="shared" si="9"/>
        <v/>
      </c>
      <c r="Z7" s="49" t="str">
        <f t="shared" si="10"/>
        <v/>
      </c>
      <c r="AA7" s="48" t="str">
        <f t="shared" si="11"/>
        <v/>
      </c>
      <c r="AB7" s="49" t="str">
        <f t="shared" si="12"/>
        <v/>
      </c>
      <c r="AC7" s="50" t="str">
        <f>IF(AB7="","",SUMIF($B$4:$B$1002,B7,$AB$4:$AB$1000))</f>
        <v/>
      </c>
      <c r="AD7" s="69"/>
      <c r="AE7" s="56"/>
      <c r="AF7" s="52"/>
      <c r="AG7" s="51"/>
      <c r="AH7" s="70"/>
      <c r="AI7" s="58"/>
      <c r="AJ7" s="55"/>
      <c r="AK7" s="51"/>
      <c r="AL7" s="69"/>
      <c r="AM7" s="56"/>
      <c r="AN7" s="52"/>
      <c r="AO7" s="51"/>
      <c r="AP7" s="70"/>
      <c r="AQ7" s="58"/>
      <c r="AR7" s="55"/>
      <c r="AS7" s="51"/>
      <c r="AT7" s="69"/>
      <c r="AU7" s="56"/>
      <c r="AV7" s="52"/>
      <c r="AW7" s="51"/>
      <c r="BH7" s="19"/>
      <c r="BI7" s="28"/>
      <c r="BJ7" s="28"/>
      <c r="BK7" s="60"/>
      <c r="BL7" s="28"/>
      <c r="BM7" s="54"/>
      <c r="BN7" s="54"/>
      <c r="BO7" s="54"/>
      <c r="BP7" s="54"/>
      <c r="BR7" s="34" t="str">
        <f>IF(E7="","",CONCATENATE(E7," ",F7," noches"))</f>
        <v/>
      </c>
      <c r="BS7" s="28" t="str">
        <f t="shared" ca="1" si="13"/>
        <v/>
      </c>
      <c r="BT7" s="28" t="str">
        <f t="shared" ca="1" si="14"/>
        <v/>
      </c>
    </row>
    <row r="8" spans="1:74" x14ac:dyDescent="0.2">
      <c r="A8" s="18" t="str" cm="1">
        <f t="array" aca="1" ref="A8" ca="1">IF(B8="","","Grupo N˚"&amp;SUMPRODUCT(($B$4:B8&lt;&gt;"")*($B$4:B8&lt;&gt;OFFSET($B$4,-1,0,ROWS($B$4:B8),1))))</f>
        <v/>
      </c>
      <c r="B8" s="31"/>
      <c r="C8" s="31"/>
      <c r="D8" s="31"/>
      <c r="E8" s="31"/>
      <c r="F8" s="32"/>
      <c r="G8" s="33"/>
      <c r="H8" s="33"/>
      <c r="I8" s="20" t="str">
        <f t="shared" si="0"/>
        <v/>
      </c>
      <c r="J8" s="21" t="str">
        <f>IFERROR(VLOOKUP(BR8,Pricing!$D$3:$E$58,2,FALSE),"")</f>
        <v/>
      </c>
      <c r="K8" s="32"/>
      <c r="L8" s="32"/>
      <c r="M8" s="32"/>
      <c r="N8" s="36" t="str" cm="1">
        <f t="array" ref="N8">IFERROR(_xlfn.IFS((AND(K8="SI",M8="$")),J8*0.2,AND(K8="SI",M8="%"),20),"")</f>
        <v/>
      </c>
      <c r="O8" s="29" t="str">
        <f t="shared" si="1"/>
        <v/>
      </c>
      <c r="P8" s="21" t="str">
        <f t="shared" si="2"/>
        <v/>
      </c>
      <c r="Q8" s="21" t="str">
        <f t="shared" si="3"/>
        <v/>
      </c>
      <c r="R8" s="21" t="str">
        <f t="shared" si="4"/>
        <v/>
      </c>
      <c r="S8" s="39"/>
      <c r="T8" s="43" t="str">
        <f>IF(W8="","",IFERROR(
 IF(AND(ABS(N(W8))&lt;0.5, BS8&lt;=7), "Sin deuda",
  IF(AND(N(W8)&gt;0, BS8&lt;=7), "Con deuda",
   IF(AND(N(W8)&gt;0, BS8&gt;7), "Moroso", "")
  )
)," "))</f>
        <v/>
      </c>
      <c r="U8" s="49" t="str">
        <f t="shared" si="6"/>
        <v/>
      </c>
      <c r="V8" s="48" t="str">
        <f t="shared" si="7"/>
        <v/>
      </c>
      <c r="W8" s="48" t="str">
        <f t="shared" si="8"/>
        <v/>
      </c>
      <c r="X8" s="50" t="str">
        <f>IF(W8="","",SUMIF($B$4:$B$1002,B8,$W$4:$W$1000))</f>
        <v/>
      </c>
      <c r="Y8" s="43" t="str">
        <f t="shared" si="9"/>
        <v/>
      </c>
      <c r="Z8" s="49" t="str">
        <f t="shared" si="10"/>
        <v/>
      </c>
      <c r="AA8" s="48" t="str">
        <f t="shared" si="11"/>
        <v/>
      </c>
      <c r="AB8" s="49" t="str">
        <f t="shared" si="12"/>
        <v/>
      </c>
      <c r="AC8" s="50" t="str">
        <f>IF(AB8="","",SUMIF($B$4:$B$1002,B8,$AB$4:$AB$1000))</f>
        <v/>
      </c>
      <c r="AD8" s="69"/>
      <c r="AE8" s="56"/>
      <c r="AF8" s="52"/>
      <c r="AG8" s="51"/>
      <c r="AH8" s="70"/>
      <c r="AI8" s="58"/>
      <c r="AJ8" s="55"/>
      <c r="AK8" s="51"/>
      <c r="AL8" s="69"/>
      <c r="AM8" s="56"/>
      <c r="AN8" s="52"/>
      <c r="AO8" s="51"/>
      <c r="AP8" s="70"/>
      <c r="AQ8" s="58"/>
      <c r="AR8" s="55"/>
      <c r="AS8" s="51"/>
      <c r="AT8" s="69"/>
      <c r="AU8" s="56"/>
      <c r="AV8" s="52"/>
      <c r="AW8" s="51"/>
      <c r="BH8" s="19"/>
      <c r="BI8" s="19"/>
      <c r="BJ8" s="28"/>
      <c r="BK8" s="60"/>
      <c r="BL8" s="28"/>
      <c r="BM8" s="54"/>
      <c r="BN8" s="54"/>
      <c r="BO8" s="54"/>
      <c r="BP8" s="54"/>
      <c r="BR8" s="34" t="str">
        <f>IF(E8="","",CONCATENATE(E8," ",F8," noches"))</f>
        <v/>
      </c>
      <c r="BS8" s="28" t="str">
        <f t="shared" ca="1" si="13"/>
        <v/>
      </c>
      <c r="BT8" s="28" t="str">
        <f t="shared" ca="1" si="14"/>
        <v/>
      </c>
    </row>
    <row r="9" spans="1:74" x14ac:dyDescent="0.2">
      <c r="A9" s="18" t="str" cm="1">
        <f t="array" aca="1" ref="A9" ca="1">IF(B9="","","Grupo N˚"&amp;SUMPRODUCT(($B$4:B9&lt;&gt;"")*($B$4:B9&lt;&gt;OFFSET($B$4,-1,0,ROWS($B$4:B9),1))))</f>
        <v/>
      </c>
      <c r="B9" s="31"/>
      <c r="C9" s="31"/>
      <c r="D9" s="31"/>
      <c r="E9" s="31"/>
      <c r="F9" s="32"/>
      <c r="G9" s="33"/>
      <c r="H9" s="33"/>
      <c r="I9" s="20" t="str">
        <f t="shared" si="0"/>
        <v/>
      </c>
      <c r="J9" s="21" t="str">
        <f>IFERROR(VLOOKUP(BR9,Pricing!$D$3:$E$58,2,FALSE),"")</f>
        <v/>
      </c>
      <c r="K9" s="32"/>
      <c r="L9" s="32"/>
      <c r="M9" s="32"/>
      <c r="N9" s="36" t="str" cm="1">
        <f t="array" ref="N9">IFERROR(_xlfn.IFS((AND(K9="SI",M9="$")),J9*0.2,AND(K9="SI",M9="%"),20),"")</f>
        <v/>
      </c>
      <c r="O9" s="29" t="str">
        <f t="shared" si="1"/>
        <v/>
      </c>
      <c r="P9" s="21" t="str">
        <f t="shared" si="2"/>
        <v/>
      </c>
      <c r="Q9" s="21" t="str">
        <f t="shared" si="3"/>
        <v/>
      </c>
      <c r="R9" s="21" t="str">
        <f t="shared" si="4"/>
        <v/>
      </c>
      <c r="S9" s="39"/>
      <c r="T9" s="43" t="str">
        <f t="shared" ref="T9:T72" si="15">IF(W9="","",IFERROR(
 IF(AND(ABS(N(W9))&lt;0.5, BS9&lt;=7), "Sin deuda",
  IF(AND(N(W9)&gt;0, BS9&lt;=7), "Con deuda",
   IF(AND(N(W9)&gt;0, BS9&gt;7), "Moroso", "")
  )
)," "))</f>
        <v/>
      </c>
      <c r="U9" s="49" t="str">
        <f t="shared" si="6"/>
        <v/>
      </c>
      <c r="V9" s="48" t="str">
        <f t="shared" si="7"/>
        <v/>
      </c>
      <c r="W9" s="48" t="str">
        <f t="shared" si="8"/>
        <v/>
      </c>
      <c r="X9" s="50" t="str">
        <f>IF(W9="","",SUMIF($B$4:$B$1002,B9,$W$4:$W$1000))</f>
        <v/>
      </c>
      <c r="Y9" s="43" t="str">
        <f t="shared" si="9"/>
        <v/>
      </c>
      <c r="Z9" s="49" t="str">
        <f t="shared" si="10"/>
        <v/>
      </c>
      <c r="AA9" s="48" t="str">
        <f t="shared" si="11"/>
        <v/>
      </c>
      <c r="AB9" s="49" t="str">
        <f t="shared" si="12"/>
        <v/>
      </c>
      <c r="AC9" s="50" t="str">
        <f>IF(AB9="","",SUMIF($B$4:$B$1002,B9,$AB$4:$AB$1000))</f>
        <v/>
      </c>
      <c r="AD9" s="69"/>
      <c r="AE9" s="56"/>
      <c r="AF9" s="52"/>
      <c r="AG9" s="51"/>
      <c r="AH9" s="70"/>
      <c r="AI9" s="58"/>
      <c r="AJ9" s="55"/>
      <c r="AK9" s="51"/>
      <c r="AL9" s="69"/>
      <c r="AM9" s="56"/>
      <c r="AN9" s="52"/>
      <c r="AO9" s="51"/>
      <c r="AP9" s="70"/>
      <c r="AQ9" s="58"/>
      <c r="AR9" s="55"/>
      <c r="AS9" s="51"/>
      <c r="AT9" s="69"/>
      <c r="AU9" s="56"/>
      <c r="AV9" s="52"/>
      <c r="AW9" s="51"/>
      <c r="BH9" s="19"/>
      <c r="BI9" s="19"/>
      <c r="BJ9" s="28"/>
      <c r="BK9" s="60"/>
      <c r="BL9" s="28"/>
      <c r="BM9" s="54"/>
      <c r="BN9" s="54"/>
      <c r="BO9" s="54"/>
      <c r="BP9" s="54"/>
      <c r="BR9" s="34" t="str">
        <f>IF(E9="","",CONCATENATE(E9," ",F9," noches"))</f>
        <v/>
      </c>
      <c r="BS9" s="28" t="str">
        <f t="shared" ca="1" si="13"/>
        <v/>
      </c>
      <c r="BT9" s="28" t="str">
        <f t="shared" ca="1" si="14"/>
        <v/>
      </c>
    </row>
    <row r="10" spans="1:74" x14ac:dyDescent="0.2">
      <c r="A10" s="18" t="str" cm="1">
        <f t="array" aca="1" ref="A10" ca="1">IF(B10="","","Grupo N˚"&amp;SUMPRODUCT(($B$4:B10&lt;&gt;"")*($B$4:B10&lt;&gt;OFFSET($B$4,-1,0,ROWS($B$4:B10),1))))</f>
        <v/>
      </c>
      <c r="B10" s="31"/>
      <c r="C10" s="31"/>
      <c r="D10" s="31"/>
      <c r="E10" s="31"/>
      <c r="F10" s="32"/>
      <c r="G10" s="33"/>
      <c r="H10" s="33"/>
      <c r="I10" s="20" t="str">
        <f t="shared" si="0"/>
        <v/>
      </c>
      <c r="J10" s="21" t="str">
        <f>IFERROR(VLOOKUP(BR10,Pricing!$D$3:$E$58,2,FALSE),"")</f>
        <v/>
      </c>
      <c r="K10" s="32"/>
      <c r="L10" s="32"/>
      <c r="M10" s="32"/>
      <c r="N10" s="36" t="str" cm="1">
        <f t="array" ref="N10">IFERROR(_xlfn.IFS((AND(K10="SI",M10="$")),J10*0.2,AND(K10="SI",M10="%"),20),"")</f>
        <v/>
      </c>
      <c r="O10" s="29" t="str">
        <f t="shared" si="1"/>
        <v/>
      </c>
      <c r="P10" s="21" t="str">
        <f t="shared" si="2"/>
        <v/>
      </c>
      <c r="Q10" s="21" t="str">
        <f t="shared" si="3"/>
        <v/>
      </c>
      <c r="R10" s="21" t="str">
        <f t="shared" si="4"/>
        <v/>
      </c>
      <c r="S10" s="39"/>
      <c r="T10" s="43" t="str">
        <f t="shared" si="15"/>
        <v/>
      </c>
      <c r="U10" s="49" t="str">
        <f t="shared" si="6"/>
        <v/>
      </c>
      <c r="V10" s="48" t="str">
        <f t="shared" ref="V10:V12" si="16">IF(AD10="","",SUM(
 IF(ISNUMBER(SEARCH("reserva",AD10)),AF10,0),
 IF(ISNUMBER(SEARCH("reserva",AH10)),AJ10,0),
 IF(ISNUMBER(SEARCH("reserva",AL10)),AN10,0),
 IF(ISNUMBER(SEARCH("reserva",AP10)),AR10,0),
 IF(ISNUMBER(SEARCH("reserva",AT10)),AV10,0)
))</f>
        <v/>
      </c>
      <c r="W10" s="48" t="str">
        <f t="shared" si="8"/>
        <v/>
      </c>
      <c r="X10" s="50" t="str">
        <f>IF(W10="","",SUMIF($B$4:$B$1002,B10,$W$4:$W$1000))</f>
        <v/>
      </c>
      <c r="Y10" s="43" t="str">
        <f t="shared" si="9"/>
        <v/>
      </c>
      <c r="Z10" s="49" t="str">
        <f t="shared" si="10"/>
        <v/>
      </c>
      <c r="AA10" s="48" t="str">
        <f t="shared" si="11"/>
        <v/>
      </c>
      <c r="AB10" s="49" t="str">
        <f t="shared" si="12"/>
        <v/>
      </c>
      <c r="AC10" s="50" t="str">
        <f>IF(AB10="","",SUMIF($B$4:$B$1002,B10,$AB$4:$AB$1000))</f>
        <v/>
      </c>
      <c r="AD10" s="69"/>
      <c r="AE10" s="56"/>
      <c r="AF10" s="52"/>
      <c r="AG10" s="51"/>
      <c r="AH10" s="70"/>
      <c r="AI10" s="58"/>
      <c r="AJ10" s="55"/>
      <c r="AK10" s="51"/>
      <c r="AL10" s="69"/>
      <c r="AM10" s="56"/>
      <c r="AN10" s="52"/>
      <c r="AO10" s="51"/>
      <c r="AP10" s="70"/>
      <c r="AQ10" s="58"/>
      <c r="AR10" s="55"/>
      <c r="AS10" s="51"/>
      <c r="AT10" s="69"/>
      <c r="AU10" s="56"/>
      <c r="AV10" s="52"/>
      <c r="AW10" s="51"/>
      <c r="BR10" s="34" t="str">
        <f>IF(E10="","",CONCATENATE(E10," ",F10," noches"))</f>
        <v/>
      </c>
      <c r="BS10" s="28" t="str">
        <f t="shared" ca="1" si="13"/>
        <v/>
      </c>
      <c r="BT10" s="28" t="str">
        <f t="shared" ca="1" si="14"/>
        <v/>
      </c>
    </row>
    <row r="11" spans="1:74" x14ac:dyDescent="0.2">
      <c r="A11" s="18" t="str" cm="1">
        <f t="array" aca="1" ref="A11" ca="1">IF(B11="","","Grupo N˚"&amp;SUMPRODUCT(($B$4:B11&lt;&gt;"")*($B$4:B11&lt;&gt;OFFSET($B$4,-1,0,ROWS($B$4:B11),1))))</f>
        <v/>
      </c>
      <c r="B11" s="31"/>
      <c r="C11" s="31"/>
      <c r="D11" s="31"/>
      <c r="E11" s="31"/>
      <c r="F11" s="32"/>
      <c r="G11" s="33"/>
      <c r="H11" s="33"/>
      <c r="I11" s="20" t="str">
        <f t="shared" si="0"/>
        <v/>
      </c>
      <c r="J11" s="21" t="str">
        <f>IFERROR(VLOOKUP(BR11,Pricing!$D$3:$E$58,2,FALSE),"")</f>
        <v/>
      </c>
      <c r="K11" s="32"/>
      <c r="L11" s="32"/>
      <c r="M11" s="32"/>
      <c r="N11" s="36" t="str" cm="1">
        <f t="array" ref="N11">IFERROR(_xlfn.IFS((AND(K11="SI",M11="$")),J11*0.2,AND(K11="SI",M11="%"),20),"")</f>
        <v/>
      </c>
      <c r="O11" s="29" t="str">
        <f t="shared" si="1"/>
        <v/>
      </c>
      <c r="P11" s="21" t="str">
        <f t="shared" si="2"/>
        <v/>
      </c>
      <c r="Q11" s="21" t="str">
        <f t="shared" si="3"/>
        <v/>
      </c>
      <c r="R11" s="21" t="str">
        <f t="shared" si="4"/>
        <v/>
      </c>
      <c r="S11" s="39"/>
      <c r="T11" s="43" t="str">
        <f t="shared" si="15"/>
        <v/>
      </c>
      <c r="U11" s="49" t="str">
        <f t="shared" si="6"/>
        <v/>
      </c>
      <c r="V11" s="48" t="str">
        <f t="shared" si="16"/>
        <v/>
      </c>
      <c r="W11" s="48" t="str">
        <f t="shared" si="8"/>
        <v/>
      </c>
      <c r="X11" s="50" t="str">
        <f>IF(W11="","",SUMIF($B$4:$B$1002,B11,$W$4:$W$1000))</f>
        <v/>
      </c>
      <c r="Y11" s="43" t="str">
        <f t="shared" si="9"/>
        <v/>
      </c>
      <c r="Z11" s="49" t="str">
        <f t="shared" si="10"/>
        <v/>
      </c>
      <c r="AA11" s="48" t="str">
        <f t="shared" si="11"/>
        <v/>
      </c>
      <c r="AB11" s="49" t="str">
        <f t="shared" si="12"/>
        <v/>
      </c>
      <c r="AC11" s="50" t="str">
        <f>IF(AB11="","",SUMIF($B$4:$B$1002,B11,$AB$4:$AB$1000))</f>
        <v/>
      </c>
      <c r="AD11" s="69"/>
      <c r="AE11" s="56"/>
      <c r="AF11" s="52"/>
      <c r="AG11" s="51"/>
      <c r="AH11" s="70"/>
      <c r="AI11" s="58"/>
      <c r="AJ11" s="55"/>
      <c r="AK11" s="51"/>
      <c r="AL11" s="69"/>
      <c r="AM11" s="56"/>
      <c r="AN11" s="52"/>
      <c r="AO11" s="51"/>
      <c r="AP11" s="70"/>
      <c r="AQ11" s="58"/>
      <c r="AR11" s="55"/>
      <c r="AS11" s="51"/>
      <c r="AT11" s="69"/>
      <c r="AU11" s="56"/>
      <c r="AV11" s="52"/>
      <c r="AW11" s="51"/>
      <c r="BR11" s="34" t="str">
        <f>IF(E11="","",CONCATENATE(E11," ",F11," noches"))</f>
        <v/>
      </c>
      <c r="BS11" s="28" t="str">
        <f t="shared" ca="1" si="13"/>
        <v/>
      </c>
      <c r="BT11" s="28" t="str">
        <f t="shared" ca="1" si="14"/>
        <v/>
      </c>
    </row>
    <row r="12" spans="1:74" x14ac:dyDescent="0.2">
      <c r="A12" s="18" t="str" cm="1">
        <f t="array" aca="1" ref="A12" ca="1">IF(B12="","","Grupo N˚"&amp;SUMPRODUCT(($B$4:B12&lt;&gt;"")*($B$4:B12&lt;&gt;OFFSET($B$4,-1,0,ROWS($B$4:B12),1))))</f>
        <v/>
      </c>
      <c r="B12" s="31"/>
      <c r="C12" s="31"/>
      <c r="D12" s="31"/>
      <c r="E12" s="31"/>
      <c r="F12" s="32"/>
      <c r="G12" s="33"/>
      <c r="H12" s="33"/>
      <c r="I12" s="20" t="str">
        <f t="shared" si="0"/>
        <v/>
      </c>
      <c r="J12" s="21" t="str">
        <f>IFERROR(VLOOKUP(BR12,Pricing!$D$3:$E$58,2,FALSE),"")</f>
        <v/>
      </c>
      <c r="K12" s="32"/>
      <c r="L12" s="32"/>
      <c r="M12" s="32"/>
      <c r="N12" s="36" t="str" cm="1">
        <f t="array" ref="N12">IFERROR(_xlfn.IFS((AND(K12="SI",M12="$")),J12*0.2,AND(K12="SI",M12="%"),20),"")</f>
        <v/>
      </c>
      <c r="O12" s="29" t="str">
        <f t="shared" si="1"/>
        <v/>
      </c>
      <c r="P12" s="21" t="str">
        <f t="shared" si="2"/>
        <v/>
      </c>
      <c r="Q12" s="21" t="str">
        <f t="shared" si="3"/>
        <v/>
      </c>
      <c r="R12" s="21" t="str">
        <f t="shared" si="4"/>
        <v/>
      </c>
      <c r="S12" s="39"/>
      <c r="T12" s="43" t="str">
        <f t="shared" si="15"/>
        <v/>
      </c>
      <c r="U12" s="49" t="str">
        <f t="shared" si="6"/>
        <v/>
      </c>
      <c r="V12" s="48" t="str">
        <f t="shared" si="16"/>
        <v/>
      </c>
      <c r="W12" s="48" t="str">
        <f t="shared" si="8"/>
        <v/>
      </c>
      <c r="X12" s="50" t="str">
        <f>IF(W12="","",SUMIF($B$4:$B$1002,B12,$W$4:$W$1000))</f>
        <v/>
      </c>
      <c r="Y12" s="43" t="str">
        <f t="shared" si="9"/>
        <v/>
      </c>
      <c r="Z12" s="49" t="str">
        <f t="shared" si="10"/>
        <v/>
      </c>
      <c r="AA12" s="48" t="str">
        <f t="shared" si="11"/>
        <v/>
      </c>
      <c r="AB12" s="49" t="str">
        <f t="shared" si="12"/>
        <v/>
      </c>
      <c r="AC12" s="50" t="str">
        <f>IF(AB12="","",SUMIF($B$4:$B$1002,B12,$AB$4:$AB$1000))</f>
        <v/>
      </c>
      <c r="AD12" s="69"/>
      <c r="AE12" s="56"/>
      <c r="AF12" s="52"/>
      <c r="AG12" s="51"/>
      <c r="AH12" s="70"/>
      <c r="AI12" s="58"/>
      <c r="AJ12" s="55"/>
      <c r="AK12" s="51"/>
      <c r="AL12" s="69"/>
      <c r="AM12" s="56"/>
      <c r="AN12" s="52"/>
      <c r="AO12" s="51"/>
      <c r="AP12" s="70"/>
      <c r="AQ12" s="58"/>
      <c r="AR12" s="55"/>
      <c r="AS12" s="51"/>
      <c r="AT12" s="69"/>
      <c r="AU12" s="56"/>
      <c r="AV12" s="52"/>
      <c r="AW12" s="51"/>
      <c r="BR12" s="34" t="str">
        <f>IF(E12="","",CONCATENATE(E12," ",F12," noches"))</f>
        <v/>
      </c>
      <c r="BS12" s="28" t="str">
        <f t="shared" ca="1" si="13"/>
        <v/>
      </c>
      <c r="BT12" s="28" t="str">
        <f t="shared" ca="1" si="14"/>
        <v/>
      </c>
    </row>
    <row r="13" spans="1:74" x14ac:dyDescent="0.2">
      <c r="A13" s="18" t="str" cm="1">
        <f t="array" aca="1" ref="A13" ca="1">IF(B13="","","Grupo N˚"&amp;SUMPRODUCT(($B$4:B13&lt;&gt;"")*($B$4:B13&lt;&gt;OFFSET($B$4,-1,0,ROWS($B$4:B13),1))))</f>
        <v/>
      </c>
      <c r="B13" s="31"/>
      <c r="C13" s="31"/>
      <c r="D13" s="58"/>
      <c r="E13" s="31"/>
      <c r="F13" s="32"/>
      <c r="G13" s="33"/>
      <c r="H13" s="33"/>
      <c r="I13" s="20" t="str">
        <f t="shared" si="0"/>
        <v/>
      </c>
      <c r="J13" s="21" t="str">
        <f>IFERROR(VLOOKUP(BR13,Pricing!$D$3:$E$58,2,FALSE),"")</f>
        <v/>
      </c>
      <c r="K13" s="32"/>
      <c r="L13" s="32"/>
      <c r="M13" s="32"/>
      <c r="N13" s="36" t="str" cm="1">
        <f t="array" ref="N13">IFERROR(_xlfn.IFS((AND(K13="SI",M13="$")),J13*0.2,AND(K13="SI",M13="%"),20),"")</f>
        <v/>
      </c>
      <c r="O13" s="29" t="str">
        <f t="shared" si="1"/>
        <v/>
      </c>
      <c r="P13" s="21" t="str">
        <f t="shared" si="2"/>
        <v/>
      </c>
      <c r="Q13" s="21" t="str">
        <f t="shared" si="3"/>
        <v/>
      </c>
      <c r="R13" s="21" t="str">
        <f t="shared" si="4"/>
        <v/>
      </c>
      <c r="S13" s="39"/>
      <c r="T13" s="43" t="str">
        <f t="shared" si="15"/>
        <v/>
      </c>
      <c r="U13" s="49" t="str">
        <f t="shared" ref="U13:U76" si="17">IF(R13="","",R13/2)</f>
        <v/>
      </c>
      <c r="V13" s="48" t="str">
        <f t="shared" ref="V13:V76" si="18">IF(AD13="","",SUM(
 IF(ISNUMBER(SEARCH("reserva",AD13)),AF13,0),
 IF(ISNUMBER(SEARCH("reserva",AH13)),AJ13,0),
 IF(ISNUMBER(SEARCH("reserva",AL13)),AN13,0),
 IF(ISNUMBER(SEARCH("reserva",AP13)),AR13,0),
 IF(ISNUMBER(SEARCH("reserva",AT13)),AV13,0)
))</f>
        <v/>
      </c>
      <c r="W13" s="48" t="str">
        <f t="shared" si="8"/>
        <v/>
      </c>
      <c r="X13" s="50" t="str">
        <f>IF(W13="","",SUMIF($B$4:$B$1002,B13,$W$4:$W$1000))</f>
        <v/>
      </c>
      <c r="Y13" s="43" t="str">
        <f t="shared" si="9"/>
        <v/>
      </c>
      <c r="Z13" s="49" t="str">
        <f t="shared" si="10"/>
        <v/>
      </c>
      <c r="AA13" s="48" t="str">
        <f t="shared" si="11"/>
        <v/>
      </c>
      <c r="AB13" s="49" t="str">
        <f t="shared" si="12"/>
        <v/>
      </c>
      <c r="AC13" s="50" t="str">
        <f>IF(AB13="","",SUMIF($B$4:$B$1002,B13,$AB$4:$AB$1000))</f>
        <v/>
      </c>
      <c r="AD13" s="69"/>
      <c r="AE13" s="56"/>
      <c r="AF13" s="52"/>
      <c r="AG13" s="51"/>
      <c r="AH13" s="70"/>
      <c r="AI13" s="58"/>
      <c r="AJ13" s="55"/>
      <c r="AK13" s="51"/>
      <c r="AL13" s="69"/>
      <c r="AM13" s="56"/>
      <c r="AN13" s="52"/>
      <c r="AO13" s="51"/>
      <c r="AP13" s="70"/>
      <c r="AQ13" s="58"/>
      <c r="AR13" s="55"/>
      <c r="AS13" s="51"/>
      <c r="AT13" s="69"/>
      <c r="AU13" s="56"/>
      <c r="AV13" s="52"/>
      <c r="AW13" s="51"/>
      <c r="BR13" s="34" t="str">
        <f>IF(E13="","",CONCATENATE(E13," ",F13," noches"))</f>
        <v/>
      </c>
      <c r="BS13" s="28" t="str">
        <f t="shared" ca="1" si="13"/>
        <v/>
      </c>
      <c r="BT13" s="28" t="str">
        <f t="shared" ca="1" si="14"/>
        <v/>
      </c>
    </row>
    <row r="14" spans="1:74" x14ac:dyDescent="0.2">
      <c r="A14" s="18" t="str" cm="1">
        <f t="array" aca="1" ref="A14" ca="1">IF(B14="","","Grupo N˚"&amp;SUMPRODUCT(($B$4:B14&lt;&gt;"")*($B$4:B14&lt;&gt;OFFSET($B$4,-1,0,ROWS($B$4:B14),1))))</f>
        <v/>
      </c>
      <c r="B14" s="31"/>
      <c r="C14" s="31"/>
      <c r="D14" s="31"/>
      <c r="E14" s="31"/>
      <c r="F14" s="32"/>
      <c r="G14" s="33"/>
      <c r="H14" s="33"/>
      <c r="I14" s="20" t="str">
        <f t="shared" si="0"/>
        <v/>
      </c>
      <c r="J14" s="21" t="str">
        <f>IFERROR(VLOOKUP(BR14,Pricing!$D$3:$E$58,2,FALSE),"")</f>
        <v/>
      </c>
      <c r="K14" s="32"/>
      <c r="L14" s="32"/>
      <c r="M14" s="32"/>
      <c r="N14" s="36" t="str" cm="1">
        <f t="array" ref="N14">IFERROR(_xlfn.IFS((AND(K14="SI",M14="$")),J14*0.2,AND(K14="SI",M14="%"),20),"")</f>
        <v/>
      </c>
      <c r="O14" s="29" t="str">
        <f t="shared" si="1"/>
        <v/>
      </c>
      <c r="P14" s="21" t="str">
        <f t="shared" si="2"/>
        <v/>
      </c>
      <c r="Q14" s="21" t="str">
        <f t="shared" si="3"/>
        <v/>
      </c>
      <c r="R14" s="21" t="str">
        <f t="shared" si="4"/>
        <v/>
      </c>
      <c r="S14" s="39"/>
      <c r="T14" s="43" t="str">
        <f t="shared" si="15"/>
        <v/>
      </c>
      <c r="U14" s="49" t="str">
        <f t="shared" si="17"/>
        <v/>
      </c>
      <c r="V14" s="48" t="str">
        <f t="shared" si="18"/>
        <v/>
      </c>
      <c r="W14" s="48" t="str">
        <f t="shared" si="8"/>
        <v/>
      </c>
      <c r="X14" s="50" t="str">
        <f>IF(W14="","",SUMIF($B$4:$B$1002,B14,$W$4:$W$1000))</f>
        <v/>
      </c>
      <c r="Y14" s="43" t="str">
        <f t="shared" si="9"/>
        <v/>
      </c>
      <c r="Z14" s="49" t="str">
        <f t="shared" si="10"/>
        <v/>
      </c>
      <c r="AA14" s="48" t="str">
        <f t="shared" si="11"/>
        <v/>
      </c>
      <c r="AB14" s="49" t="str">
        <f t="shared" si="12"/>
        <v/>
      </c>
      <c r="AC14" s="50" t="str">
        <f>IF(AB14="","",SUMIF($B$4:$B$1002,B14,$AB$4:$AB$1000))</f>
        <v/>
      </c>
      <c r="AD14" s="69"/>
      <c r="AE14" s="56"/>
      <c r="AF14" s="52"/>
      <c r="AG14" s="51"/>
      <c r="AH14" s="70"/>
      <c r="AI14" s="58"/>
      <c r="AJ14" s="55"/>
      <c r="AK14" s="51"/>
      <c r="AL14" s="69"/>
      <c r="AM14" s="56"/>
      <c r="AN14" s="52"/>
      <c r="AO14" s="51"/>
      <c r="AP14" s="70"/>
      <c r="AQ14" s="58"/>
      <c r="AR14" s="55"/>
      <c r="AS14" s="51"/>
      <c r="AT14" s="69"/>
      <c r="AU14" s="56"/>
      <c r="AV14" s="52"/>
      <c r="AW14" s="51"/>
      <c r="BR14" s="34" t="str">
        <f>IF(E14="","",CONCATENATE(E14," ",F14," noches"))</f>
        <v/>
      </c>
      <c r="BS14" s="28" t="str">
        <f t="shared" ca="1" si="13"/>
        <v/>
      </c>
      <c r="BT14" s="28" t="str">
        <f t="shared" ca="1" si="14"/>
        <v/>
      </c>
    </row>
    <row r="15" spans="1:74" x14ac:dyDescent="0.2">
      <c r="A15" s="18" t="str" cm="1">
        <f t="array" aca="1" ref="A15" ca="1">IF(B15="","","Grupo N˚"&amp;SUMPRODUCT(($B$4:B15&lt;&gt;"")*($B$4:B15&lt;&gt;OFFSET($B$4,-1,0,ROWS($B$4:B15),1))))</f>
        <v/>
      </c>
      <c r="B15" s="31"/>
      <c r="C15" s="31"/>
      <c r="D15" s="31"/>
      <c r="E15" s="31"/>
      <c r="F15" s="32"/>
      <c r="G15" s="33"/>
      <c r="H15" s="33"/>
      <c r="I15" s="20" t="str">
        <f t="shared" si="0"/>
        <v/>
      </c>
      <c r="J15" s="21" t="str">
        <f>IFERROR(VLOOKUP(BR15,Pricing!$D$3:$E$58,2,FALSE),"")</f>
        <v/>
      </c>
      <c r="K15" s="32"/>
      <c r="L15" s="32"/>
      <c r="M15" s="32"/>
      <c r="N15" s="36" t="str" cm="1">
        <f t="array" ref="N15">IFERROR(_xlfn.IFS((AND(K15="SI",M15="$")),J15*0.2,AND(K15="SI",M15="%"),20),"")</f>
        <v/>
      </c>
      <c r="O15" s="29" t="str">
        <f t="shared" si="1"/>
        <v/>
      </c>
      <c r="P15" s="21" t="str">
        <f t="shared" si="2"/>
        <v/>
      </c>
      <c r="Q15" s="21" t="str">
        <f t="shared" si="3"/>
        <v/>
      </c>
      <c r="R15" s="21" t="str">
        <f t="shared" si="4"/>
        <v/>
      </c>
      <c r="S15" s="39"/>
      <c r="T15" s="43" t="str">
        <f t="shared" si="15"/>
        <v/>
      </c>
      <c r="U15" s="49" t="str">
        <f t="shared" si="17"/>
        <v/>
      </c>
      <c r="V15" s="48" t="str">
        <f t="shared" si="18"/>
        <v/>
      </c>
      <c r="W15" s="48" t="str">
        <f t="shared" si="8"/>
        <v/>
      </c>
      <c r="X15" s="50" t="str">
        <f>IF(W15="","",SUMIF($B$4:$B$1002,B15,$W$4:$W$1000))</f>
        <v/>
      </c>
      <c r="Y15" s="43" t="str">
        <f t="shared" si="9"/>
        <v/>
      </c>
      <c r="Z15" s="49" t="str">
        <f t="shared" si="10"/>
        <v/>
      </c>
      <c r="AA15" s="48" t="str">
        <f t="shared" si="11"/>
        <v/>
      </c>
      <c r="AB15" s="49" t="str">
        <f t="shared" si="12"/>
        <v/>
      </c>
      <c r="AC15" s="50" t="str">
        <f>IF(AB15="","",SUMIF($B$4:$B$1002,B15,$AB$4:$AB$1000))</f>
        <v/>
      </c>
      <c r="AD15" s="69"/>
      <c r="AE15" s="56"/>
      <c r="AF15" s="52"/>
      <c r="AG15" s="51"/>
      <c r="AH15" s="70"/>
      <c r="AI15" s="58"/>
      <c r="AJ15" s="55"/>
      <c r="AK15" s="51"/>
      <c r="AL15" s="69"/>
      <c r="AM15" s="56"/>
      <c r="AN15" s="52"/>
      <c r="AO15" s="51"/>
      <c r="AP15" s="70"/>
      <c r="AQ15" s="58"/>
      <c r="AR15" s="55"/>
      <c r="AS15" s="51"/>
      <c r="AT15" s="69"/>
      <c r="AU15" s="56"/>
      <c r="AV15" s="52"/>
      <c r="AW15" s="51"/>
      <c r="BR15" s="34" t="str">
        <f>IF(E15="","",CONCATENATE(E15," ",F15," noches"))</f>
        <v/>
      </c>
      <c r="BS15" s="28" t="str">
        <f t="shared" ca="1" si="13"/>
        <v/>
      </c>
      <c r="BT15" s="28" t="str">
        <f t="shared" ca="1" si="14"/>
        <v/>
      </c>
    </row>
    <row r="16" spans="1:74" x14ac:dyDescent="0.2">
      <c r="A16" s="18" t="str" cm="1">
        <f t="array" aca="1" ref="A16" ca="1">IF(B16="","","Grupo N˚"&amp;SUMPRODUCT(($B$4:B16&lt;&gt;"")*($B$4:B16&lt;&gt;OFFSET($B$4,-1,0,ROWS($B$4:B16),1))))</f>
        <v/>
      </c>
      <c r="B16" s="31"/>
      <c r="C16" s="31"/>
      <c r="D16" s="31"/>
      <c r="E16" s="31"/>
      <c r="F16" s="32"/>
      <c r="G16" s="33"/>
      <c r="H16" s="33"/>
      <c r="I16" s="20" t="str">
        <f t="shared" si="0"/>
        <v/>
      </c>
      <c r="J16" s="21" t="str">
        <f>IFERROR(VLOOKUP(BR16,Pricing!$D$3:$E$58,2,FALSE),"")</f>
        <v/>
      </c>
      <c r="K16" s="32"/>
      <c r="L16" s="32"/>
      <c r="M16" s="32"/>
      <c r="N16" s="36" t="str" cm="1">
        <f t="array" ref="N16">IFERROR(_xlfn.IFS((AND(K16="SI",M16="$")),J16*0.2,AND(K16="SI",M16="%"),20),"")</f>
        <v/>
      </c>
      <c r="O16" s="29" t="str">
        <f t="shared" si="1"/>
        <v/>
      </c>
      <c r="P16" s="21" t="str">
        <f t="shared" si="2"/>
        <v/>
      </c>
      <c r="Q16" s="21" t="str">
        <f t="shared" si="3"/>
        <v/>
      </c>
      <c r="R16" s="21" t="str">
        <f t="shared" si="4"/>
        <v/>
      </c>
      <c r="S16" s="39"/>
      <c r="T16" s="43" t="str">
        <f t="shared" si="15"/>
        <v/>
      </c>
      <c r="U16" s="49" t="str">
        <f t="shared" si="17"/>
        <v/>
      </c>
      <c r="V16" s="48" t="str">
        <f t="shared" si="18"/>
        <v/>
      </c>
      <c r="W16" s="48" t="str">
        <f t="shared" si="8"/>
        <v/>
      </c>
      <c r="X16" s="50" t="str">
        <f>IF(W16="","",SUMIF($B$4:$B$1002,B16,$W$4:$W$1000))</f>
        <v/>
      </c>
      <c r="Y16" s="43" t="str">
        <f t="shared" si="9"/>
        <v/>
      </c>
      <c r="Z16" s="49" t="str">
        <f t="shared" si="10"/>
        <v/>
      </c>
      <c r="AA16" s="48" t="str">
        <f t="shared" si="11"/>
        <v/>
      </c>
      <c r="AB16" s="49" t="str">
        <f t="shared" si="12"/>
        <v/>
      </c>
      <c r="AC16" s="50" t="str">
        <f>IF(AB16="","",SUMIF($B$4:$B$1002,B16,$AB$4:$AB$1000))</f>
        <v/>
      </c>
      <c r="AD16" s="69"/>
      <c r="AE16" s="56"/>
      <c r="AF16" s="52"/>
      <c r="AG16" s="51"/>
      <c r="AH16" s="70"/>
      <c r="AI16" s="58"/>
      <c r="AJ16" s="55"/>
      <c r="AK16" s="51"/>
      <c r="AL16" s="69"/>
      <c r="AM16" s="56"/>
      <c r="AN16" s="52"/>
      <c r="AO16" s="51"/>
      <c r="AP16" s="70"/>
      <c r="AQ16" s="58"/>
      <c r="AR16" s="55"/>
      <c r="AS16" s="51"/>
      <c r="AT16" s="69"/>
      <c r="AU16" s="56"/>
      <c r="AV16" s="52"/>
      <c r="AW16" s="51"/>
      <c r="BR16" s="34" t="str">
        <f>IF(E16="","",CONCATENATE(E16," ",F16," noches"))</f>
        <v/>
      </c>
      <c r="BS16" s="28" t="str">
        <f t="shared" ca="1" si="13"/>
        <v/>
      </c>
      <c r="BT16" s="28" t="str">
        <f t="shared" ca="1" si="14"/>
        <v/>
      </c>
    </row>
    <row r="17" spans="1:72" x14ac:dyDescent="0.2">
      <c r="A17" s="18" t="str" cm="1">
        <f t="array" aca="1" ref="A17" ca="1">IF(B17="","","Grupo N˚"&amp;SUMPRODUCT(($B$4:B17&lt;&gt;"")*($B$4:B17&lt;&gt;OFFSET($B$4,-1,0,ROWS($B$4:B17),1))))</f>
        <v/>
      </c>
      <c r="B17" s="31"/>
      <c r="C17" s="31"/>
      <c r="D17" s="31"/>
      <c r="E17" s="31"/>
      <c r="F17" s="32"/>
      <c r="G17" s="33"/>
      <c r="H17" s="33"/>
      <c r="I17" s="20" t="str">
        <f t="shared" si="0"/>
        <v/>
      </c>
      <c r="J17" s="21" t="str">
        <f>IFERROR(VLOOKUP(BR17,Pricing!$D$3:$E$58,2,FALSE),"")</f>
        <v/>
      </c>
      <c r="K17" s="32"/>
      <c r="L17" s="32"/>
      <c r="M17" s="32"/>
      <c r="N17" s="36" t="str" cm="1">
        <f t="array" ref="N17">IFERROR(_xlfn.IFS((AND(K17="SI",M17="$")),J17*0.2,AND(K17="SI",M17="%"),20),"")</f>
        <v/>
      </c>
      <c r="O17" s="29" t="str">
        <f t="shared" si="1"/>
        <v/>
      </c>
      <c r="P17" s="21" t="str">
        <f t="shared" si="2"/>
        <v/>
      </c>
      <c r="Q17" s="21" t="str">
        <f t="shared" si="3"/>
        <v/>
      </c>
      <c r="R17" s="21" t="str">
        <f t="shared" si="4"/>
        <v/>
      </c>
      <c r="S17" s="39"/>
      <c r="T17" s="43" t="str">
        <f t="shared" si="15"/>
        <v/>
      </c>
      <c r="U17" s="49" t="str">
        <f t="shared" si="17"/>
        <v/>
      </c>
      <c r="V17" s="48" t="str">
        <f t="shared" si="18"/>
        <v/>
      </c>
      <c r="W17" s="48" t="str">
        <f t="shared" si="8"/>
        <v/>
      </c>
      <c r="X17" s="50" t="str">
        <f>IF(W17="","",SUMIF($B$4:$B$1002,B17,$W$4:$W$1000))</f>
        <v/>
      </c>
      <c r="Y17" s="43" t="str">
        <f t="shared" si="9"/>
        <v/>
      </c>
      <c r="Z17" s="49" t="str">
        <f t="shared" si="10"/>
        <v/>
      </c>
      <c r="AA17" s="48" t="str">
        <f t="shared" si="11"/>
        <v/>
      </c>
      <c r="AB17" s="49" t="str">
        <f t="shared" si="12"/>
        <v/>
      </c>
      <c r="AC17" s="50" t="str">
        <f>IF(AB17="","",SUMIF($B$4:$B$1002,B17,$AB$4:$AB$1000))</f>
        <v/>
      </c>
      <c r="AD17" s="69"/>
      <c r="AE17" s="56"/>
      <c r="AF17" s="52"/>
      <c r="AG17" s="51"/>
      <c r="AH17" s="70"/>
      <c r="AI17" s="58"/>
      <c r="AJ17" s="55"/>
      <c r="AK17" s="51"/>
      <c r="AL17" s="69"/>
      <c r="AM17" s="56"/>
      <c r="AN17" s="52"/>
      <c r="AO17" s="51"/>
      <c r="AP17" s="70"/>
      <c r="AQ17" s="58"/>
      <c r="AR17" s="55"/>
      <c r="AS17" s="51"/>
      <c r="AT17" s="69"/>
      <c r="AU17" s="56"/>
      <c r="AV17" s="52"/>
      <c r="AW17" s="51"/>
      <c r="BR17" s="34" t="str">
        <f>IF(E17="","",CONCATENATE(E17," ",F17," noches"))</f>
        <v/>
      </c>
      <c r="BS17" s="28" t="str">
        <f t="shared" ca="1" si="13"/>
        <v/>
      </c>
      <c r="BT17" s="28" t="str">
        <f t="shared" ca="1" si="14"/>
        <v/>
      </c>
    </row>
    <row r="18" spans="1:72" x14ac:dyDescent="0.2">
      <c r="A18" s="18" t="str" cm="1">
        <f t="array" aca="1" ref="A18" ca="1">IF(B18="","","Grupo N˚"&amp;SUMPRODUCT(($B$4:B18&lt;&gt;"")*($B$4:B18&lt;&gt;OFFSET($B$4,-1,0,ROWS($B$4:B18),1))))</f>
        <v/>
      </c>
      <c r="B18" s="31"/>
      <c r="C18" s="31"/>
      <c r="D18" s="31"/>
      <c r="E18" s="31"/>
      <c r="F18" s="32"/>
      <c r="G18" s="33"/>
      <c r="H18" s="33"/>
      <c r="I18" s="20" t="str">
        <f t="shared" si="0"/>
        <v/>
      </c>
      <c r="J18" s="21" t="str">
        <f>IFERROR(VLOOKUP(BR18,Pricing!$D$3:$E$58,2,FALSE),"")</f>
        <v/>
      </c>
      <c r="K18" s="32"/>
      <c r="L18" s="32"/>
      <c r="M18" s="32"/>
      <c r="N18" s="36" t="str" cm="1">
        <f t="array" ref="N18">IFERROR(_xlfn.IFS((AND(K18="SI",M18="$")),J18*0.2,AND(K18="SI",M18="%"),20),"")</f>
        <v/>
      </c>
      <c r="O18" s="29" t="str">
        <f t="shared" si="1"/>
        <v/>
      </c>
      <c r="P18" s="21" t="str">
        <f t="shared" si="2"/>
        <v/>
      </c>
      <c r="Q18" s="21" t="str">
        <f t="shared" si="3"/>
        <v/>
      </c>
      <c r="R18" s="21" t="str">
        <f t="shared" si="4"/>
        <v/>
      </c>
      <c r="S18" s="39"/>
      <c r="T18" s="43" t="str">
        <f t="shared" si="15"/>
        <v/>
      </c>
      <c r="U18" s="49" t="str">
        <f t="shared" si="17"/>
        <v/>
      </c>
      <c r="V18" s="48" t="str">
        <f t="shared" si="18"/>
        <v/>
      </c>
      <c r="W18" s="48" t="str">
        <f t="shared" si="8"/>
        <v/>
      </c>
      <c r="X18" s="50" t="str">
        <f>IF(W18="","",SUMIF($B$4:$B$1002,B18,$W$4:$W$1000))</f>
        <v/>
      </c>
      <c r="Y18" s="43" t="str">
        <f t="shared" si="9"/>
        <v/>
      </c>
      <c r="Z18" s="49" t="str">
        <f t="shared" si="10"/>
        <v/>
      </c>
      <c r="AA18" s="48" t="str">
        <f t="shared" si="11"/>
        <v/>
      </c>
      <c r="AB18" s="49" t="str">
        <f t="shared" si="12"/>
        <v/>
      </c>
      <c r="AC18" s="50" t="str">
        <f>IF(AB18="","",SUMIF($B$4:$B$1002,B18,$AB$4:$AB$1000))</f>
        <v/>
      </c>
      <c r="AD18" s="69"/>
      <c r="AE18" s="56"/>
      <c r="AF18" s="52"/>
      <c r="AG18" s="51"/>
      <c r="AH18" s="70"/>
      <c r="AI18" s="58"/>
      <c r="AJ18" s="55"/>
      <c r="AK18" s="51"/>
      <c r="AL18" s="69"/>
      <c r="AM18" s="56"/>
      <c r="AN18" s="52"/>
      <c r="AO18" s="51"/>
      <c r="AP18" s="70"/>
      <c r="AQ18" s="58"/>
      <c r="AR18" s="55"/>
      <c r="AS18" s="51"/>
      <c r="AT18" s="69"/>
      <c r="AU18" s="56"/>
      <c r="AV18" s="52"/>
      <c r="AW18" s="51"/>
      <c r="BR18" s="34" t="str">
        <f>IF(E18="","",CONCATENATE(E18," ",F18," noches"))</f>
        <v/>
      </c>
      <c r="BS18" s="28" t="str">
        <f t="shared" ca="1" si="13"/>
        <v/>
      </c>
      <c r="BT18" s="28" t="str">
        <f t="shared" ca="1" si="14"/>
        <v/>
      </c>
    </row>
    <row r="19" spans="1:72" x14ac:dyDescent="0.2">
      <c r="A19" s="18" t="str" cm="1">
        <f t="array" aca="1" ref="A19" ca="1">IF(B19="","","Grupo N˚"&amp;SUMPRODUCT(($B$4:B19&lt;&gt;"")*($B$4:B19&lt;&gt;OFFSET($B$4,-1,0,ROWS($B$4:B19),1))))</f>
        <v/>
      </c>
      <c r="B19" s="31"/>
      <c r="C19" s="31"/>
      <c r="D19" s="31"/>
      <c r="E19" s="31"/>
      <c r="F19" s="32"/>
      <c r="G19" s="33"/>
      <c r="H19" s="33"/>
      <c r="I19" s="20" t="str">
        <f t="shared" si="0"/>
        <v/>
      </c>
      <c r="J19" s="21" t="str">
        <f>IFERROR(VLOOKUP(BR19,Pricing!$D$3:$E$58,2,FALSE),"")</f>
        <v/>
      </c>
      <c r="K19" s="32"/>
      <c r="L19" s="32"/>
      <c r="M19" s="32"/>
      <c r="N19" s="36" t="str" cm="1">
        <f t="array" ref="N19">IFERROR(_xlfn.IFS((AND(K19="SI",M19="$")),J19*0.2,AND(K19="SI",M19="%"),20),"")</f>
        <v/>
      </c>
      <c r="O19" s="29" t="str">
        <f t="shared" si="1"/>
        <v/>
      </c>
      <c r="P19" s="21" t="str">
        <f t="shared" si="2"/>
        <v/>
      </c>
      <c r="Q19" s="21" t="str">
        <f t="shared" si="3"/>
        <v/>
      </c>
      <c r="R19" s="21" t="str">
        <f t="shared" si="4"/>
        <v/>
      </c>
      <c r="S19" s="39"/>
      <c r="T19" s="43" t="str">
        <f t="shared" si="15"/>
        <v/>
      </c>
      <c r="U19" s="49" t="str">
        <f t="shared" si="17"/>
        <v/>
      </c>
      <c r="V19" s="48" t="str">
        <f t="shared" si="18"/>
        <v/>
      </c>
      <c r="W19" s="48" t="str">
        <f t="shared" si="8"/>
        <v/>
      </c>
      <c r="X19" s="50" t="str">
        <f>IF(W19="","",SUMIF($B$4:$B$1002,B19,$W$4:$W$1000))</f>
        <v/>
      </c>
      <c r="Y19" s="43" t="str">
        <f t="shared" si="9"/>
        <v/>
      </c>
      <c r="Z19" s="49" t="str">
        <f t="shared" si="10"/>
        <v/>
      </c>
      <c r="AA19" s="48" t="str">
        <f t="shared" si="11"/>
        <v/>
      </c>
      <c r="AB19" s="49" t="str">
        <f t="shared" si="12"/>
        <v/>
      </c>
      <c r="AC19" s="50" t="str">
        <f>IF(AB19="","",SUMIF($B$4:$B$1002,B19,$AB$4:$AB$1000))</f>
        <v/>
      </c>
      <c r="AD19" s="69"/>
      <c r="AE19" s="56"/>
      <c r="AF19" s="52"/>
      <c r="AG19" s="51"/>
      <c r="AH19" s="70"/>
      <c r="AI19" s="58"/>
      <c r="AJ19" s="55"/>
      <c r="AK19" s="51"/>
      <c r="AL19" s="69"/>
      <c r="AM19" s="56"/>
      <c r="AN19" s="52"/>
      <c r="AO19" s="51"/>
      <c r="AP19" s="70"/>
      <c r="AQ19" s="58"/>
      <c r="AR19" s="55"/>
      <c r="AS19" s="51"/>
      <c r="AT19" s="69"/>
      <c r="AU19" s="56"/>
      <c r="AV19" s="52"/>
      <c r="AW19" s="51"/>
      <c r="BR19" s="34" t="str">
        <f>IF(E19="","",CONCATENATE(E19," ",F19," noches"))</f>
        <v/>
      </c>
      <c r="BS19" s="28" t="str">
        <f t="shared" ca="1" si="13"/>
        <v/>
      </c>
      <c r="BT19" s="28" t="str">
        <f t="shared" ca="1" si="14"/>
        <v/>
      </c>
    </row>
    <row r="20" spans="1:72" x14ac:dyDescent="0.2">
      <c r="A20" s="18" t="str" cm="1">
        <f t="array" aca="1" ref="A20" ca="1">IF(B20="","","Grupo N˚"&amp;SUMPRODUCT(($B$4:B20&lt;&gt;"")*($B$4:B20&lt;&gt;OFFSET($B$4,-1,0,ROWS($B$4:B20),1))))</f>
        <v/>
      </c>
      <c r="B20" s="31"/>
      <c r="C20" s="31"/>
      <c r="D20" s="31"/>
      <c r="E20" s="31"/>
      <c r="F20" s="32"/>
      <c r="G20" s="33"/>
      <c r="H20" s="33"/>
      <c r="I20" s="20" t="str">
        <f t="shared" si="0"/>
        <v/>
      </c>
      <c r="J20" s="21" t="str">
        <f>IFERROR(VLOOKUP(BR20,Pricing!$D$3:$E$58,2,FALSE),"")</f>
        <v/>
      </c>
      <c r="K20" s="32"/>
      <c r="L20" s="32"/>
      <c r="M20" s="32"/>
      <c r="N20" s="36" t="str" cm="1">
        <f t="array" ref="N20">IFERROR(_xlfn.IFS((AND(K20="SI",M20="$")),J20*0.2,AND(K20="SI",M20="%"),20),"")</f>
        <v/>
      </c>
      <c r="O20" s="29" t="str">
        <f t="shared" si="1"/>
        <v/>
      </c>
      <c r="P20" s="21" t="str">
        <f t="shared" si="2"/>
        <v/>
      </c>
      <c r="Q20" s="21" t="str">
        <f t="shared" si="3"/>
        <v/>
      </c>
      <c r="R20" s="21" t="str">
        <f t="shared" si="4"/>
        <v/>
      </c>
      <c r="S20" s="39"/>
      <c r="T20" s="43" t="str">
        <f t="shared" si="15"/>
        <v/>
      </c>
      <c r="U20" s="49" t="str">
        <f t="shared" si="17"/>
        <v/>
      </c>
      <c r="V20" s="48" t="str">
        <f t="shared" si="18"/>
        <v/>
      </c>
      <c r="W20" s="48" t="str">
        <f t="shared" si="8"/>
        <v/>
      </c>
      <c r="X20" s="50" t="str">
        <f>IF(W20="","",SUMIF($B$4:$B$1002,B20,$W$4:$W$1000))</f>
        <v/>
      </c>
      <c r="Y20" s="43" t="str">
        <f t="shared" si="9"/>
        <v/>
      </c>
      <c r="Z20" s="49" t="str">
        <f t="shared" si="10"/>
        <v/>
      </c>
      <c r="AA20" s="48" t="str">
        <f t="shared" si="11"/>
        <v/>
      </c>
      <c r="AB20" s="49" t="str">
        <f t="shared" si="12"/>
        <v/>
      </c>
      <c r="AC20" s="50" t="str">
        <f>IF(AB20="","",SUMIF($B$4:$B$1002,B20,$AB$4:$AB$1000))</f>
        <v/>
      </c>
      <c r="AD20" s="69"/>
      <c r="AE20" s="56"/>
      <c r="AF20" s="52"/>
      <c r="AG20" s="51"/>
      <c r="AH20" s="70"/>
      <c r="AI20" s="58"/>
      <c r="AJ20" s="55"/>
      <c r="AK20" s="51"/>
      <c r="AL20" s="69"/>
      <c r="AM20" s="56"/>
      <c r="AN20" s="52"/>
      <c r="AO20" s="51"/>
      <c r="AP20" s="70"/>
      <c r="AQ20" s="58"/>
      <c r="AR20" s="55"/>
      <c r="AS20" s="51"/>
      <c r="AT20" s="69"/>
      <c r="AU20" s="56"/>
      <c r="AV20" s="52"/>
      <c r="AW20" s="51"/>
      <c r="BR20" s="34" t="str">
        <f>IF(E20="","",CONCATENATE(E20," ",F20," noches"))</f>
        <v/>
      </c>
      <c r="BS20" s="28" t="str">
        <f t="shared" ca="1" si="13"/>
        <v/>
      </c>
      <c r="BT20" s="28" t="str">
        <f t="shared" ca="1" si="14"/>
        <v/>
      </c>
    </row>
    <row r="21" spans="1:72" x14ac:dyDescent="0.2">
      <c r="A21" s="18" t="str" cm="1">
        <f t="array" aca="1" ref="A21" ca="1">IF(B21="","","Grupo N˚"&amp;SUMPRODUCT(($B$4:B21&lt;&gt;"")*($B$4:B21&lt;&gt;OFFSET($B$4,-1,0,ROWS($B$4:B21),1))))</f>
        <v/>
      </c>
      <c r="B21" s="31"/>
      <c r="C21" s="31"/>
      <c r="D21" s="31"/>
      <c r="E21" s="31"/>
      <c r="F21" s="32"/>
      <c r="G21" s="33"/>
      <c r="H21" s="33"/>
      <c r="I21" s="20" t="str">
        <f t="shared" si="0"/>
        <v/>
      </c>
      <c r="J21" s="21" t="str">
        <f>IFERROR(VLOOKUP(BR21,Pricing!$D$3:$E$58,2,FALSE),"")</f>
        <v/>
      </c>
      <c r="K21" s="32"/>
      <c r="L21" s="32"/>
      <c r="M21" s="32"/>
      <c r="N21" s="36" t="str" cm="1">
        <f t="array" ref="N21">IFERROR(_xlfn.IFS((AND(K21="SI",M21="$")),J21*0.2,AND(K21="SI",M21="%"),20),"")</f>
        <v/>
      </c>
      <c r="O21" s="29" t="str">
        <f t="shared" si="1"/>
        <v/>
      </c>
      <c r="P21" s="21" t="str">
        <f t="shared" si="2"/>
        <v/>
      </c>
      <c r="Q21" s="21" t="str">
        <f t="shared" si="3"/>
        <v/>
      </c>
      <c r="R21" s="21" t="str">
        <f t="shared" si="4"/>
        <v/>
      </c>
      <c r="S21" s="39"/>
      <c r="T21" s="43" t="str">
        <f t="shared" si="15"/>
        <v/>
      </c>
      <c r="U21" s="49" t="str">
        <f t="shared" si="17"/>
        <v/>
      </c>
      <c r="V21" s="48" t="str">
        <f t="shared" si="18"/>
        <v/>
      </c>
      <c r="W21" s="48" t="str">
        <f t="shared" si="8"/>
        <v/>
      </c>
      <c r="X21" s="50" t="str">
        <f>IF(W21="","",SUMIF($B$4:$B$1002,B21,$W$4:$W$1000))</f>
        <v/>
      </c>
      <c r="Y21" s="43" t="str">
        <f t="shared" si="9"/>
        <v/>
      </c>
      <c r="Z21" s="49" t="str">
        <f t="shared" si="10"/>
        <v/>
      </c>
      <c r="AA21" s="48" t="str">
        <f t="shared" si="11"/>
        <v/>
      </c>
      <c r="AB21" s="49" t="str">
        <f t="shared" si="12"/>
        <v/>
      </c>
      <c r="AC21" s="50" t="str">
        <f>IF(AB21="","",SUMIF($B$4:$B$1002,B21,$AB$4:$AB$1000))</f>
        <v/>
      </c>
      <c r="AD21" s="69"/>
      <c r="AE21" s="56"/>
      <c r="AF21" s="52"/>
      <c r="AG21" s="51"/>
      <c r="AH21" s="70"/>
      <c r="AI21" s="58"/>
      <c r="AJ21" s="55"/>
      <c r="AK21" s="51"/>
      <c r="AL21" s="69"/>
      <c r="AM21" s="56"/>
      <c r="AN21" s="52"/>
      <c r="AO21" s="51"/>
      <c r="AP21" s="70"/>
      <c r="AQ21" s="58"/>
      <c r="AR21" s="55"/>
      <c r="AS21" s="51"/>
      <c r="AT21" s="69"/>
      <c r="AU21" s="56"/>
      <c r="AV21" s="52"/>
      <c r="AW21" s="51"/>
      <c r="BR21" s="34" t="str">
        <f>IF(E21="","",CONCATENATE(E21," ",F21," noches"))</f>
        <v/>
      </c>
      <c r="BS21" s="28" t="str">
        <f t="shared" ca="1" si="13"/>
        <v/>
      </c>
      <c r="BT21" s="28" t="str">
        <f t="shared" ca="1" si="14"/>
        <v/>
      </c>
    </row>
    <row r="22" spans="1:72" x14ac:dyDescent="0.2">
      <c r="A22" s="18" t="str" cm="1">
        <f t="array" aca="1" ref="A22" ca="1">IF(B22="","","Grupo N˚"&amp;SUMPRODUCT(($B$4:B22&lt;&gt;"")*($B$4:B22&lt;&gt;OFFSET($B$4,-1,0,ROWS($B$4:B22),1))))</f>
        <v/>
      </c>
      <c r="B22" s="31"/>
      <c r="C22" s="31"/>
      <c r="D22" s="31"/>
      <c r="E22" s="31"/>
      <c r="F22" s="32"/>
      <c r="G22" s="33"/>
      <c r="H22" s="33"/>
      <c r="I22" s="20" t="str">
        <f t="shared" si="0"/>
        <v/>
      </c>
      <c r="J22" s="21" t="str">
        <f>IFERROR(VLOOKUP(BR22,Pricing!$D$3:$E$58,2,FALSE),"")</f>
        <v/>
      </c>
      <c r="K22" s="32"/>
      <c r="L22" s="32"/>
      <c r="M22" s="32"/>
      <c r="N22" s="36" t="str" cm="1">
        <f t="array" ref="N22">IFERROR(_xlfn.IFS((AND(K22="SI",M22="$")),J22*0.2,AND(K22="SI",M22="%"),20),"")</f>
        <v/>
      </c>
      <c r="O22" s="29" t="str">
        <f t="shared" si="1"/>
        <v/>
      </c>
      <c r="P22" s="21" t="str">
        <f t="shared" si="2"/>
        <v/>
      </c>
      <c r="Q22" s="21" t="str">
        <f t="shared" si="3"/>
        <v/>
      </c>
      <c r="R22" s="21" t="str">
        <f t="shared" si="4"/>
        <v/>
      </c>
      <c r="S22" s="39"/>
      <c r="T22" s="43" t="str">
        <f t="shared" si="15"/>
        <v/>
      </c>
      <c r="U22" s="49" t="str">
        <f t="shared" si="17"/>
        <v/>
      </c>
      <c r="V22" s="48" t="str">
        <f t="shared" si="18"/>
        <v/>
      </c>
      <c r="W22" s="48" t="str">
        <f t="shared" si="8"/>
        <v/>
      </c>
      <c r="X22" s="50" t="str">
        <f>IF(W22="","",SUMIF($B$4:$B$1002,B22,$W$4:$W$1000))</f>
        <v/>
      </c>
      <c r="Y22" s="43" t="str">
        <f t="shared" si="9"/>
        <v/>
      </c>
      <c r="Z22" s="49" t="str">
        <f t="shared" si="10"/>
        <v/>
      </c>
      <c r="AA22" s="48" t="str">
        <f t="shared" si="11"/>
        <v/>
      </c>
      <c r="AB22" s="49" t="str">
        <f t="shared" si="12"/>
        <v/>
      </c>
      <c r="AC22" s="50" t="str">
        <f>IF(AB22="","",SUMIF($B$4:$B$1002,B22,$AB$4:$AB$1000))</f>
        <v/>
      </c>
      <c r="AD22" s="69"/>
      <c r="AE22" s="56"/>
      <c r="AF22" s="52"/>
      <c r="AG22" s="51"/>
      <c r="AH22" s="70"/>
      <c r="AI22" s="58"/>
      <c r="AJ22" s="55"/>
      <c r="AK22" s="51"/>
      <c r="AL22" s="69"/>
      <c r="AM22" s="56"/>
      <c r="AN22" s="52"/>
      <c r="AO22" s="51"/>
      <c r="AP22" s="70"/>
      <c r="AQ22" s="58"/>
      <c r="AR22" s="55"/>
      <c r="AS22" s="51"/>
      <c r="AT22" s="69"/>
      <c r="AU22" s="56"/>
      <c r="AV22" s="52"/>
      <c r="AW22" s="51"/>
      <c r="BR22" s="34" t="str">
        <f>IF(E22="","",CONCATENATE(E22," ",F22," noches"))</f>
        <v/>
      </c>
      <c r="BS22" s="28" t="str">
        <f t="shared" ca="1" si="13"/>
        <v/>
      </c>
      <c r="BT22" s="28" t="str">
        <f t="shared" ca="1" si="14"/>
        <v/>
      </c>
    </row>
    <row r="23" spans="1:72" x14ac:dyDescent="0.2">
      <c r="A23" s="18" t="str" cm="1">
        <f t="array" aca="1" ref="A23" ca="1">IF(B23="","","Grupo N˚"&amp;SUMPRODUCT(($B$4:B23&lt;&gt;"")*($B$4:B23&lt;&gt;OFFSET($B$4,-1,0,ROWS($B$4:B23),1))))</f>
        <v/>
      </c>
      <c r="B23" s="31"/>
      <c r="C23" s="31"/>
      <c r="D23" s="31"/>
      <c r="E23" s="31"/>
      <c r="F23" s="32"/>
      <c r="G23" s="33"/>
      <c r="H23" s="33"/>
      <c r="I23" s="20" t="str">
        <f t="shared" si="0"/>
        <v/>
      </c>
      <c r="J23" s="21" t="str">
        <f>IFERROR(VLOOKUP(BR23,Pricing!$D$3:$E$58,2,FALSE),"")</f>
        <v/>
      </c>
      <c r="K23" s="32"/>
      <c r="L23" s="32"/>
      <c r="M23" s="32"/>
      <c r="N23" s="36" t="str" cm="1">
        <f t="array" ref="N23">IFERROR(_xlfn.IFS((AND(K23="SI",M23="$")),J23*0.2,AND(K23="SI",M23="%"),20),"")</f>
        <v/>
      </c>
      <c r="O23" s="29" t="str">
        <f t="shared" si="1"/>
        <v/>
      </c>
      <c r="P23" s="21" t="str">
        <f t="shared" si="2"/>
        <v/>
      </c>
      <c r="Q23" s="21" t="str">
        <f t="shared" si="3"/>
        <v/>
      </c>
      <c r="R23" s="21" t="str">
        <f t="shared" si="4"/>
        <v/>
      </c>
      <c r="S23" s="39"/>
      <c r="T23" s="43" t="str">
        <f t="shared" si="15"/>
        <v/>
      </c>
      <c r="U23" s="49" t="str">
        <f t="shared" si="17"/>
        <v/>
      </c>
      <c r="V23" s="48" t="str">
        <f t="shared" si="18"/>
        <v/>
      </c>
      <c r="W23" s="48" t="str">
        <f t="shared" si="8"/>
        <v/>
      </c>
      <c r="X23" s="50" t="str">
        <f>IF(W23="","",SUMIF($B$4:$B$1002,B23,$W$4:$W$1000))</f>
        <v/>
      </c>
      <c r="Y23" s="43" t="str">
        <f t="shared" si="9"/>
        <v/>
      </c>
      <c r="Z23" s="49" t="str">
        <f t="shared" si="10"/>
        <v/>
      </c>
      <c r="AA23" s="48" t="str">
        <f t="shared" si="11"/>
        <v/>
      </c>
      <c r="AB23" s="49" t="str">
        <f t="shared" si="12"/>
        <v/>
      </c>
      <c r="AC23" s="50" t="str">
        <f>IF(AB23="","",SUMIF($B$4:$B$1002,B23,$AB$4:$AB$1000))</f>
        <v/>
      </c>
      <c r="AD23" s="69"/>
      <c r="AE23" s="56"/>
      <c r="AF23" s="52"/>
      <c r="AG23" s="51"/>
      <c r="AH23" s="70"/>
      <c r="AI23" s="58"/>
      <c r="AJ23" s="55"/>
      <c r="AK23" s="51"/>
      <c r="AL23" s="69"/>
      <c r="AM23" s="56"/>
      <c r="AN23" s="52"/>
      <c r="AO23" s="51"/>
      <c r="AP23" s="70"/>
      <c r="AQ23" s="58"/>
      <c r="AR23" s="55"/>
      <c r="AS23" s="51"/>
      <c r="AT23" s="69"/>
      <c r="AU23" s="56"/>
      <c r="AV23" s="52"/>
      <c r="AW23" s="51"/>
      <c r="BR23" s="34" t="str">
        <f>IF(E23="","",CONCATENATE(E23," ",F23," noches"))</f>
        <v/>
      </c>
      <c r="BS23" s="28" t="str">
        <f t="shared" ca="1" si="13"/>
        <v/>
      </c>
      <c r="BT23" s="28" t="str">
        <f t="shared" ca="1" si="14"/>
        <v/>
      </c>
    </row>
    <row r="24" spans="1:72" x14ac:dyDescent="0.2">
      <c r="A24" s="18" t="str" cm="1">
        <f t="array" aca="1" ref="A24" ca="1">IF(B24="","","Grupo N˚"&amp;SUMPRODUCT(($B$4:B24&lt;&gt;"")*($B$4:B24&lt;&gt;OFFSET($B$4,-1,0,ROWS($B$4:B24),1))))</f>
        <v/>
      </c>
      <c r="B24" s="31"/>
      <c r="C24" s="31"/>
      <c r="D24" s="31"/>
      <c r="E24" s="31"/>
      <c r="F24" s="32"/>
      <c r="G24" s="33"/>
      <c r="H24" s="33"/>
      <c r="I24" s="20" t="str">
        <f t="shared" si="0"/>
        <v/>
      </c>
      <c r="J24" s="21" t="str">
        <f>IFERROR(VLOOKUP(BR24,Pricing!$D$3:$E$58,2,FALSE),"")</f>
        <v/>
      </c>
      <c r="K24" s="32"/>
      <c r="L24" s="32"/>
      <c r="M24" s="32"/>
      <c r="N24" s="36" t="str" cm="1">
        <f t="array" ref="N24">IFERROR(_xlfn.IFS((AND(K24="SI",M24="$")),J24*0.2,AND(K24="SI",M24="%"),20),"")</f>
        <v/>
      </c>
      <c r="O24" s="29" t="str">
        <f t="shared" si="1"/>
        <v/>
      </c>
      <c r="P24" s="21" t="str">
        <f t="shared" si="2"/>
        <v/>
      </c>
      <c r="Q24" s="21" t="str">
        <f t="shared" si="3"/>
        <v/>
      </c>
      <c r="R24" s="21" t="str">
        <f t="shared" si="4"/>
        <v/>
      </c>
      <c r="S24" s="39"/>
      <c r="T24" s="43" t="str">
        <f t="shared" si="15"/>
        <v/>
      </c>
      <c r="U24" s="49" t="str">
        <f t="shared" si="17"/>
        <v/>
      </c>
      <c r="V24" s="48" t="str">
        <f t="shared" si="18"/>
        <v/>
      </c>
      <c r="W24" s="48" t="str">
        <f t="shared" si="8"/>
        <v/>
      </c>
      <c r="X24" s="50" t="str">
        <f>IF(W24="","",SUMIF($B$4:$B$1002,B24,$W$4:$W$1000))</f>
        <v/>
      </c>
      <c r="Y24" s="43" t="str">
        <f t="shared" si="9"/>
        <v/>
      </c>
      <c r="Z24" s="49" t="str">
        <f t="shared" si="10"/>
        <v/>
      </c>
      <c r="AA24" s="48" t="str">
        <f t="shared" si="11"/>
        <v/>
      </c>
      <c r="AB24" s="49" t="str">
        <f t="shared" si="12"/>
        <v/>
      </c>
      <c r="AC24" s="50" t="str">
        <f>IF(AB24="","",SUMIF($B$4:$B$1002,B24,$AB$4:$AB$1000))</f>
        <v/>
      </c>
      <c r="AD24" s="69"/>
      <c r="AE24" s="56"/>
      <c r="AF24" s="52"/>
      <c r="AG24" s="51"/>
      <c r="AH24" s="70"/>
      <c r="AI24" s="58"/>
      <c r="AJ24" s="55"/>
      <c r="AK24" s="51"/>
      <c r="AL24" s="69"/>
      <c r="AM24" s="56"/>
      <c r="AN24" s="52"/>
      <c r="AO24" s="51"/>
      <c r="AP24" s="70"/>
      <c r="AQ24" s="58"/>
      <c r="AR24" s="55"/>
      <c r="AS24" s="51"/>
      <c r="AT24" s="69"/>
      <c r="AU24" s="56"/>
      <c r="AV24" s="52"/>
      <c r="AW24" s="51"/>
      <c r="BR24" s="34" t="str">
        <f>IF(E24="","",CONCATENATE(E24," ",F24," noches"))</f>
        <v/>
      </c>
      <c r="BS24" s="28" t="str">
        <f t="shared" ca="1" si="13"/>
        <v/>
      </c>
      <c r="BT24" s="28" t="str">
        <f t="shared" ca="1" si="14"/>
        <v/>
      </c>
    </row>
    <row r="25" spans="1:72" x14ac:dyDescent="0.2">
      <c r="A25" s="18" t="str" cm="1">
        <f t="array" aca="1" ref="A25" ca="1">IF(B25="","","Grupo N˚"&amp;SUMPRODUCT(($B$4:B25&lt;&gt;"")*($B$4:B25&lt;&gt;OFFSET($B$4,-1,0,ROWS($B$4:B25),1))))</f>
        <v/>
      </c>
      <c r="B25" s="31"/>
      <c r="C25" s="31"/>
      <c r="D25" s="31"/>
      <c r="E25" s="31"/>
      <c r="F25" s="32"/>
      <c r="G25" s="33"/>
      <c r="H25" s="33"/>
      <c r="I25" s="20" t="str">
        <f t="shared" si="0"/>
        <v/>
      </c>
      <c r="J25" s="21" t="str">
        <f>IFERROR(VLOOKUP(BR25,Pricing!$D$3:$E$58,2,FALSE),"")</f>
        <v/>
      </c>
      <c r="K25" s="32"/>
      <c r="L25" s="32"/>
      <c r="M25" s="32"/>
      <c r="N25" s="36" t="str" cm="1">
        <f t="array" ref="N25">IFERROR(_xlfn.IFS((AND(K25="SI",M25="$")),J25*0.2,AND(K25="SI",M25="%"),20),"")</f>
        <v/>
      </c>
      <c r="O25" s="29" t="str">
        <f t="shared" si="1"/>
        <v/>
      </c>
      <c r="P25" s="21" t="str">
        <f t="shared" si="2"/>
        <v/>
      </c>
      <c r="Q25" s="21" t="str">
        <f t="shared" si="3"/>
        <v/>
      </c>
      <c r="R25" s="21" t="str">
        <f t="shared" si="4"/>
        <v/>
      </c>
      <c r="S25" s="39"/>
      <c r="T25" s="43" t="str">
        <f t="shared" si="15"/>
        <v/>
      </c>
      <c r="U25" s="49" t="str">
        <f t="shared" si="17"/>
        <v/>
      </c>
      <c r="V25" s="48" t="str">
        <f t="shared" si="18"/>
        <v/>
      </c>
      <c r="W25" s="48" t="str">
        <f t="shared" si="8"/>
        <v/>
      </c>
      <c r="X25" s="50" t="str">
        <f>IF(W25="","",SUMIF($B$4:$B$1002,B25,$W$4:$W$1000))</f>
        <v/>
      </c>
      <c r="Y25" s="43" t="str">
        <f t="shared" si="9"/>
        <v/>
      </c>
      <c r="Z25" s="49" t="str">
        <f t="shared" si="10"/>
        <v/>
      </c>
      <c r="AA25" s="48" t="str">
        <f t="shared" si="11"/>
        <v/>
      </c>
      <c r="AB25" s="49" t="str">
        <f t="shared" si="12"/>
        <v/>
      </c>
      <c r="AC25" s="50" t="str">
        <f>IF(AB25="","",SUMIF($B$4:$B$1002,B25,$AB$4:$AB$1000))</f>
        <v/>
      </c>
      <c r="AD25" s="69"/>
      <c r="AE25" s="56"/>
      <c r="AF25" s="52"/>
      <c r="AG25" s="51"/>
      <c r="AH25" s="70"/>
      <c r="AI25" s="58"/>
      <c r="AJ25" s="55"/>
      <c r="AK25" s="51"/>
      <c r="AL25" s="69"/>
      <c r="AM25" s="56"/>
      <c r="AN25" s="52"/>
      <c r="AO25" s="51"/>
      <c r="AP25" s="70"/>
      <c r="AQ25" s="58"/>
      <c r="AR25" s="55"/>
      <c r="AS25" s="51"/>
      <c r="AT25" s="69"/>
      <c r="AU25" s="56"/>
      <c r="AV25" s="52"/>
      <c r="AW25" s="51"/>
      <c r="BR25" s="34" t="str">
        <f>IF(E25="","",CONCATENATE(E25," ",F25," noches"))</f>
        <v/>
      </c>
      <c r="BS25" s="28" t="str">
        <f t="shared" ca="1" si="13"/>
        <v/>
      </c>
      <c r="BT25" s="28" t="str">
        <f t="shared" ca="1" si="14"/>
        <v/>
      </c>
    </row>
    <row r="26" spans="1:72" x14ac:dyDescent="0.2">
      <c r="A26" s="18" t="str" cm="1">
        <f t="array" aca="1" ref="A26" ca="1">IF(B26="","","Grupo N˚"&amp;SUMPRODUCT(($B$4:B26&lt;&gt;"")*($B$4:B26&lt;&gt;OFFSET($B$4,-1,0,ROWS($B$4:B26),1))))</f>
        <v/>
      </c>
      <c r="B26" s="31"/>
      <c r="C26" s="31"/>
      <c r="D26" s="31"/>
      <c r="E26" s="31"/>
      <c r="F26" s="32"/>
      <c r="G26" s="33"/>
      <c r="H26" s="33"/>
      <c r="I26" s="20" t="str">
        <f t="shared" si="0"/>
        <v/>
      </c>
      <c r="J26" s="21" t="str">
        <f>IFERROR(VLOOKUP(BR26,Pricing!$D$3:$E$58,2,FALSE),"")</f>
        <v/>
      </c>
      <c r="K26" s="32"/>
      <c r="L26" s="32"/>
      <c r="M26" s="32"/>
      <c r="N26" s="36" t="str" cm="1">
        <f t="array" ref="N26">IFERROR(_xlfn.IFS((AND(K26="SI",M26="$")),J26*0.2,AND(K26="SI",M26="%"),20),"")</f>
        <v/>
      </c>
      <c r="O26" s="29" t="str">
        <f t="shared" si="1"/>
        <v/>
      </c>
      <c r="P26" s="21" t="str">
        <f t="shared" si="2"/>
        <v/>
      </c>
      <c r="Q26" s="21" t="str">
        <f t="shared" si="3"/>
        <v/>
      </c>
      <c r="R26" s="21" t="str">
        <f t="shared" si="4"/>
        <v/>
      </c>
      <c r="S26" s="39"/>
      <c r="T26" s="43" t="str">
        <f t="shared" si="15"/>
        <v/>
      </c>
      <c r="U26" s="49" t="str">
        <f t="shared" si="17"/>
        <v/>
      </c>
      <c r="V26" s="48" t="str">
        <f t="shared" si="18"/>
        <v/>
      </c>
      <c r="W26" s="48" t="str">
        <f t="shared" si="8"/>
        <v/>
      </c>
      <c r="X26" s="50" t="str">
        <f>IF(W26="","",SUMIF($B$4:$B$1002,B26,$W$4:$W$1000))</f>
        <v/>
      </c>
      <c r="Y26" s="43" t="str">
        <f t="shared" si="9"/>
        <v/>
      </c>
      <c r="Z26" s="49" t="str">
        <f t="shared" si="10"/>
        <v/>
      </c>
      <c r="AA26" s="48" t="str">
        <f t="shared" si="11"/>
        <v/>
      </c>
      <c r="AB26" s="49" t="str">
        <f t="shared" si="12"/>
        <v/>
      </c>
      <c r="AC26" s="50" t="str">
        <f>IF(AB26="","",SUMIF($B$4:$B$1002,B26,$AB$4:$AB$1000))</f>
        <v/>
      </c>
      <c r="AD26" s="69"/>
      <c r="AE26" s="56"/>
      <c r="AF26" s="52"/>
      <c r="AG26" s="51"/>
      <c r="AH26" s="70"/>
      <c r="AI26" s="58"/>
      <c r="AJ26" s="55"/>
      <c r="AK26" s="51"/>
      <c r="AL26" s="69"/>
      <c r="AM26" s="56"/>
      <c r="AN26" s="52"/>
      <c r="AO26" s="51"/>
      <c r="AP26" s="70"/>
      <c r="AQ26" s="58"/>
      <c r="AR26" s="55"/>
      <c r="AS26" s="51"/>
      <c r="AT26" s="69"/>
      <c r="AU26" s="56"/>
      <c r="AV26" s="52"/>
      <c r="AW26" s="51"/>
      <c r="BR26" s="34" t="str">
        <f>IF(E26="","",CONCATENATE(E26," ",F26," noches"))</f>
        <v/>
      </c>
      <c r="BS26" s="28" t="str">
        <f t="shared" ca="1" si="13"/>
        <v/>
      </c>
      <c r="BT26" s="28" t="str">
        <f t="shared" ca="1" si="14"/>
        <v/>
      </c>
    </row>
    <row r="27" spans="1:72" x14ac:dyDescent="0.2">
      <c r="A27" s="18" t="str" cm="1">
        <f t="array" aca="1" ref="A27" ca="1">IF(B27="","","Grupo N˚"&amp;SUMPRODUCT(($B$4:B27&lt;&gt;"")*($B$4:B27&lt;&gt;OFFSET($B$4,-1,0,ROWS($B$4:B27),1))))</f>
        <v/>
      </c>
      <c r="B27" s="31"/>
      <c r="C27" s="31"/>
      <c r="D27" s="31"/>
      <c r="E27" s="31"/>
      <c r="F27" s="32"/>
      <c r="G27" s="33"/>
      <c r="H27" s="33"/>
      <c r="I27" s="20" t="str">
        <f t="shared" si="0"/>
        <v/>
      </c>
      <c r="J27" s="21" t="str">
        <f>IFERROR(VLOOKUP(BR27,Pricing!$D$3:$E$58,2,FALSE),"")</f>
        <v/>
      </c>
      <c r="K27" s="32"/>
      <c r="L27" s="32"/>
      <c r="M27" s="32"/>
      <c r="N27" s="36" t="str" cm="1">
        <f t="array" ref="N27">IFERROR(_xlfn.IFS((AND(K27="SI",M27="$")),J27*0.2,AND(K27="SI",M27="%"),20),"")</f>
        <v/>
      </c>
      <c r="O27" s="29" t="str">
        <f t="shared" si="1"/>
        <v/>
      </c>
      <c r="P27" s="21" t="str">
        <f t="shared" si="2"/>
        <v/>
      </c>
      <c r="Q27" s="21" t="str">
        <f t="shared" si="3"/>
        <v/>
      </c>
      <c r="R27" s="21" t="str">
        <f t="shared" si="4"/>
        <v/>
      </c>
      <c r="S27" s="39"/>
      <c r="T27" s="43" t="str">
        <f t="shared" si="15"/>
        <v/>
      </c>
      <c r="U27" s="49" t="str">
        <f t="shared" si="17"/>
        <v/>
      </c>
      <c r="V27" s="48" t="str">
        <f t="shared" si="18"/>
        <v/>
      </c>
      <c r="W27" s="48" t="str">
        <f t="shared" si="8"/>
        <v/>
      </c>
      <c r="X27" s="50" t="str">
        <f>IF(W27="","",SUMIF($B$4:$B$1002,B27,$W$4:$W$1000))</f>
        <v/>
      </c>
      <c r="Y27" s="43" t="str">
        <f t="shared" si="9"/>
        <v/>
      </c>
      <c r="Z27" s="49" t="str">
        <f t="shared" si="10"/>
        <v/>
      </c>
      <c r="AA27" s="48" t="str">
        <f t="shared" si="11"/>
        <v/>
      </c>
      <c r="AB27" s="49" t="str">
        <f t="shared" si="12"/>
        <v/>
      </c>
      <c r="AC27" s="50" t="str">
        <f>IF(AB27="","",SUMIF($B$4:$B$1002,B27,$AB$4:$AB$1000))</f>
        <v/>
      </c>
      <c r="AD27" s="69"/>
      <c r="AE27" s="56"/>
      <c r="AF27" s="52"/>
      <c r="AG27" s="51"/>
      <c r="AH27" s="70"/>
      <c r="AI27" s="58"/>
      <c r="AJ27" s="55"/>
      <c r="AK27" s="51"/>
      <c r="AL27" s="69"/>
      <c r="AM27" s="56"/>
      <c r="AN27" s="52"/>
      <c r="AO27" s="51"/>
      <c r="AP27" s="70"/>
      <c r="AQ27" s="58"/>
      <c r="AR27" s="55"/>
      <c r="AS27" s="51"/>
      <c r="AT27" s="69"/>
      <c r="AU27" s="56"/>
      <c r="AV27" s="52"/>
      <c r="AW27" s="51"/>
      <c r="BR27" s="34" t="str">
        <f>IF(E27="","",CONCATENATE(E27," ",F27," noches"))</f>
        <v/>
      </c>
      <c r="BS27" s="28" t="str">
        <f t="shared" ca="1" si="13"/>
        <v/>
      </c>
      <c r="BT27" s="28" t="str">
        <f t="shared" ca="1" si="14"/>
        <v/>
      </c>
    </row>
    <row r="28" spans="1:72" x14ac:dyDescent="0.2">
      <c r="A28" s="18" t="str" cm="1">
        <f t="array" aca="1" ref="A28" ca="1">IF(B28="","","Grupo N˚"&amp;SUMPRODUCT(($B$4:B28&lt;&gt;"")*($B$4:B28&lt;&gt;OFFSET($B$4,-1,0,ROWS($B$4:B28),1))))</f>
        <v/>
      </c>
      <c r="B28" s="31"/>
      <c r="C28" s="31"/>
      <c r="D28" s="31"/>
      <c r="E28" s="31"/>
      <c r="F28" s="32"/>
      <c r="G28" s="33"/>
      <c r="H28" s="33"/>
      <c r="I28" s="20" t="str">
        <f t="shared" si="0"/>
        <v/>
      </c>
      <c r="J28" s="21" t="str">
        <f>IFERROR(VLOOKUP(BR28,Pricing!$D$3:$E$58,2,FALSE),"")</f>
        <v/>
      </c>
      <c r="K28" s="32"/>
      <c r="L28" s="32"/>
      <c r="M28" s="32"/>
      <c r="N28" s="36" t="str" cm="1">
        <f t="array" ref="N28">IFERROR(_xlfn.IFS((AND(K28="SI",M28="$")),J28*0.2,AND(K28="SI",M28="%"),20),"")</f>
        <v/>
      </c>
      <c r="O28" s="29" t="str">
        <f t="shared" si="1"/>
        <v/>
      </c>
      <c r="P28" s="21" t="str">
        <f t="shared" si="2"/>
        <v/>
      </c>
      <c r="Q28" s="21" t="str">
        <f t="shared" si="3"/>
        <v/>
      </c>
      <c r="R28" s="21" t="str">
        <f t="shared" si="4"/>
        <v/>
      </c>
      <c r="S28" s="39"/>
      <c r="T28" s="43" t="str">
        <f t="shared" si="15"/>
        <v/>
      </c>
      <c r="U28" s="49" t="str">
        <f t="shared" si="17"/>
        <v/>
      </c>
      <c r="V28" s="48" t="str">
        <f t="shared" si="18"/>
        <v/>
      </c>
      <c r="W28" s="48" t="str">
        <f t="shared" si="8"/>
        <v/>
      </c>
      <c r="X28" s="50" t="str">
        <f>IF(W28="","",SUMIF($B$4:$B$1002,B28,$W$4:$W$1000))</f>
        <v/>
      </c>
      <c r="Y28" s="43" t="str">
        <f t="shared" si="9"/>
        <v/>
      </c>
      <c r="Z28" s="49" t="str">
        <f t="shared" si="10"/>
        <v/>
      </c>
      <c r="AA28" s="48" t="str">
        <f t="shared" si="11"/>
        <v/>
      </c>
      <c r="AB28" s="49" t="str">
        <f t="shared" si="12"/>
        <v/>
      </c>
      <c r="AC28" s="50" t="str">
        <f>IF(AB28="","",SUMIF($B$4:$B$1002,B28,$AB$4:$AB$1000))</f>
        <v/>
      </c>
      <c r="AD28" s="69"/>
      <c r="AE28" s="56"/>
      <c r="AF28" s="52"/>
      <c r="AG28" s="51"/>
      <c r="AH28" s="70"/>
      <c r="AI28" s="58"/>
      <c r="AJ28" s="55"/>
      <c r="AK28" s="51"/>
      <c r="AL28" s="69"/>
      <c r="AM28" s="56"/>
      <c r="AN28" s="52"/>
      <c r="AO28" s="51"/>
      <c r="AP28" s="70"/>
      <c r="AQ28" s="58"/>
      <c r="AR28" s="55"/>
      <c r="AS28" s="51"/>
      <c r="AT28" s="69"/>
      <c r="AU28" s="56"/>
      <c r="AV28" s="52"/>
      <c r="AW28" s="51"/>
      <c r="BR28" s="34" t="str">
        <f>IF(E28="","",CONCATENATE(E28," ",F28," noches"))</f>
        <v/>
      </c>
      <c r="BS28" s="28" t="str">
        <f t="shared" ca="1" si="13"/>
        <v/>
      </c>
      <c r="BT28" s="28" t="str">
        <f t="shared" ca="1" si="14"/>
        <v/>
      </c>
    </row>
    <row r="29" spans="1:72" x14ac:dyDescent="0.2">
      <c r="A29" s="18" t="str" cm="1">
        <f t="array" aca="1" ref="A29" ca="1">IF(B29="","","Grupo N˚"&amp;SUMPRODUCT(($B$4:B29&lt;&gt;"")*($B$4:B29&lt;&gt;OFFSET($B$4,-1,0,ROWS($B$4:B29),1))))</f>
        <v/>
      </c>
      <c r="B29" s="31"/>
      <c r="C29" s="31"/>
      <c r="D29" s="31"/>
      <c r="E29" s="31"/>
      <c r="F29" s="32"/>
      <c r="G29" s="33"/>
      <c r="H29" s="33"/>
      <c r="I29" s="20" t="str">
        <f t="shared" si="0"/>
        <v/>
      </c>
      <c r="J29" s="21" t="str">
        <f>IFERROR(VLOOKUP(BR29,Pricing!$D$3:$E$58,2,FALSE),"")</f>
        <v/>
      </c>
      <c r="K29" s="32"/>
      <c r="L29" s="32"/>
      <c r="M29" s="32"/>
      <c r="N29" s="36" t="str" cm="1">
        <f t="array" ref="N29">IFERROR(_xlfn.IFS((AND(K29="SI",M29="$")),J29*0.2,AND(K29="SI",M29="%"),20),"")</f>
        <v/>
      </c>
      <c r="O29" s="29" t="str">
        <f t="shared" si="1"/>
        <v/>
      </c>
      <c r="P29" s="21" t="str">
        <f t="shared" si="2"/>
        <v/>
      </c>
      <c r="Q29" s="21" t="str">
        <f t="shared" si="3"/>
        <v/>
      </c>
      <c r="R29" s="21" t="str">
        <f t="shared" si="4"/>
        <v/>
      </c>
      <c r="S29" s="39"/>
      <c r="T29" s="43" t="str">
        <f t="shared" si="15"/>
        <v/>
      </c>
      <c r="U29" s="49" t="str">
        <f t="shared" si="17"/>
        <v/>
      </c>
      <c r="V29" s="48" t="str">
        <f t="shared" si="18"/>
        <v/>
      </c>
      <c r="W29" s="48" t="str">
        <f t="shared" si="8"/>
        <v/>
      </c>
      <c r="X29" s="50" t="str">
        <f>IF(W29="","",SUMIF($B$4:$B$1002,B29,$W$4:$W$1000))</f>
        <v/>
      </c>
      <c r="Y29" s="43" t="str">
        <f t="shared" si="9"/>
        <v/>
      </c>
      <c r="Z29" s="49" t="str">
        <f t="shared" si="10"/>
        <v/>
      </c>
      <c r="AA29" s="48" t="str">
        <f t="shared" si="11"/>
        <v/>
      </c>
      <c r="AB29" s="49" t="str">
        <f t="shared" si="12"/>
        <v/>
      </c>
      <c r="AC29" s="50" t="str">
        <f>IF(AB29="","",SUMIF($B$4:$B$1002,B29,$AB$4:$AB$1000))</f>
        <v/>
      </c>
      <c r="AD29" s="69"/>
      <c r="AE29" s="56"/>
      <c r="AF29" s="52"/>
      <c r="AG29" s="51"/>
      <c r="AH29" s="70"/>
      <c r="AI29" s="58"/>
      <c r="AJ29" s="55"/>
      <c r="AK29" s="51"/>
      <c r="AL29" s="69"/>
      <c r="AM29" s="56"/>
      <c r="AN29" s="52"/>
      <c r="AO29" s="51"/>
      <c r="AP29" s="70"/>
      <c r="AQ29" s="58"/>
      <c r="AR29" s="55"/>
      <c r="AS29" s="51"/>
      <c r="AT29" s="69"/>
      <c r="AU29" s="56"/>
      <c r="AV29" s="52"/>
      <c r="AW29" s="51"/>
      <c r="BR29" s="34" t="str">
        <f>IF(E29="","",CONCATENATE(E29," ",F29," noches"))</f>
        <v/>
      </c>
      <c r="BS29" s="28" t="str">
        <f t="shared" ca="1" si="13"/>
        <v/>
      </c>
      <c r="BT29" s="28" t="str">
        <f t="shared" ca="1" si="14"/>
        <v/>
      </c>
    </row>
    <row r="30" spans="1:72" x14ac:dyDescent="0.2">
      <c r="A30" s="18" t="str" cm="1">
        <f t="array" aca="1" ref="A30" ca="1">IF(B30="","","Grupo N˚"&amp;SUMPRODUCT(($B$4:B30&lt;&gt;"")*($B$4:B30&lt;&gt;OFFSET($B$4,-1,0,ROWS($B$4:B30),1))))</f>
        <v/>
      </c>
      <c r="B30" s="31"/>
      <c r="C30" s="31"/>
      <c r="D30" s="31"/>
      <c r="E30" s="31"/>
      <c r="F30" s="32"/>
      <c r="G30" s="33"/>
      <c r="H30" s="33"/>
      <c r="I30" s="20" t="str">
        <f t="shared" si="0"/>
        <v/>
      </c>
      <c r="J30" s="21" t="str">
        <f>IFERROR(VLOOKUP(BR30,Pricing!$D$3:$E$58,2,FALSE),"")</f>
        <v/>
      </c>
      <c r="K30" s="32"/>
      <c r="L30" s="32"/>
      <c r="M30" s="32"/>
      <c r="N30" s="36" t="str" cm="1">
        <f t="array" ref="N30">IFERROR(_xlfn.IFS((AND(K30="SI",M30="$")),J30*0.2,AND(K30="SI",M30="%"),20),"")</f>
        <v/>
      </c>
      <c r="O30" s="29" t="str">
        <f t="shared" si="1"/>
        <v/>
      </c>
      <c r="P30" s="21" t="str">
        <f t="shared" si="2"/>
        <v/>
      </c>
      <c r="Q30" s="21" t="str">
        <f t="shared" si="3"/>
        <v/>
      </c>
      <c r="R30" s="21" t="str">
        <f t="shared" si="4"/>
        <v/>
      </c>
      <c r="S30" s="39"/>
      <c r="T30" s="43" t="str">
        <f t="shared" si="15"/>
        <v/>
      </c>
      <c r="U30" s="49" t="str">
        <f t="shared" si="17"/>
        <v/>
      </c>
      <c r="V30" s="48" t="str">
        <f t="shared" si="18"/>
        <v/>
      </c>
      <c r="W30" s="48" t="str">
        <f t="shared" si="8"/>
        <v/>
      </c>
      <c r="X30" s="50" t="str">
        <f>IF(W30="","",SUMIF($B$4:$B$1002,B30,$W$4:$W$1000))</f>
        <v/>
      </c>
      <c r="Y30" s="43" t="str">
        <f t="shared" si="9"/>
        <v/>
      </c>
      <c r="Z30" s="49" t="str">
        <f t="shared" si="10"/>
        <v/>
      </c>
      <c r="AA30" s="48" t="str">
        <f t="shared" si="11"/>
        <v/>
      </c>
      <c r="AB30" s="49" t="str">
        <f t="shared" si="12"/>
        <v/>
      </c>
      <c r="AC30" s="50" t="str">
        <f>IF(AB30="","",SUMIF($B$4:$B$1002,B30,$AB$4:$AB$1000))</f>
        <v/>
      </c>
      <c r="AD30" s="69"/>
      <c r="AE30" s="56"/>
      <c r="AF30" s="52"/>
      <c r="AG30" s="51"/>
      <c r="AH30" s="70"/>
      <c r="AI30" s="58"/>
      <c r="AJ30" s="55"/>
      <c r="AK30" s="51"/>
      <c r="AL30" s="69"/>
      <c r="AM30" s="56"/>
      <c r="AN30" s="52"/>
      <c r="AO30" s="51"/>
      <c r="AP30" s="70"/>
      <c r="AQ30" s="58"/>
      <c r="AR30" s="55"/>
      <c r="AS30" s="51"/>
      <c r="AT30" s="69"/>
      <c r="AU30" s="56"/>
      <c r="AV30" s="52"/>
      <c r="AW30" s="51"/>
      <c r="BR30" s="34" t="str">
        <f>IF(E30="","",CONCATENATE(E30," ",F30," noches"))</f>
        <v/>
      </c>
      <c r="BS30" s="28" t="str">
        <f t="shared" ca="1" si="13"/>
        <v/>
      </c>
      <c r="BT30" s="28" t="str">
        <f t="shared" ca="1" si="14"/>
        <v/>
      </c>
    </row>
    <row r="31" spans="1:72" x14ac:dyDescent="0.2">
      <c r="A31" s="18" t="str" cm="1">
        <f t="array" aca="1" ref="A31" ca="1">IF(B31="","","Grupo N˚"&amp;SUMPRODUCT(($B$4:B31&lt;&gt;"")*($B$4:B31&lt;&gt;OFFSET($B$4,-1,0,ROWS($B$4:B31),1))))</f>
        <v/>
      </c>
      <c r="B31" s="31"/>
      <c r="C31" s="31"/>
      <c r="D31" s="31"/>
      <c r="E31" s="31"/>
      <c r="F31" s="32"/>
      <c r="G31" s="33"/>
      <c r="H31" s="33"/>
      <c r="I31" s="20" t="str">
        <f t="shared" si="0"/>
        <v/>
      </c>
      <c r="J31" s="21" t="str">
        <f>IFERROR(VLOOKUP(BR31,Pricing!$D$3:$E$58,2,FALSE),"")</f>
        <v/>
      </c>
      <c r="K31" s="32"/>
      <c r="L31" s="32"/>
      <c r="M31" s="32"/>
      <c r="N31" s="36" t="str" cm="1">
        <f t="array" ref="N31">IFERROR(_xlfn.IFS((AND(K31="SI",M31="$")),J31*0.2,AND(K31="SI",M31="%"),20),"")</f>
        <v/>
      </c>
      <c r="O31" s="29" t="str">
        <f t="shared" si="1"/>
        <v/>
      </c>
      <c r="P31" s="21" t="str">
        <f t="shared" si="2"/>
        <v/>
      </c>
      <c r="Q31" s="21" t="str">
        <f t="shared" si="3"/>
        <v/>
      </c>
      <c r="R31" s="21" t="str">
        <f t="shared" si="4"/>
        <v/>
      </c>
      <c r="S31" s="39"/>
      <c r="T31" s="43" t="str">
        <f t="shared" si="15"/>
        <v/>
      </c>
      <c r="U31" s="49" t="str">
        <f t="shared" si="17"/>
        <v/>
      </c>
      <c r="V31" s="48" t="str">
        <f t="shared" si="18"/>
        <v/>
      </c>
      <c r="W31" s="48" t="str">
        <f t="shared" si="8"/>
        <v/>
      </c>
      <c r="X31" s="50" t="str">
        <f>IF(W31="","",SUMIF($B$4:$B$1002,B31,$W$4:$W$1000))</f>
        <v/>
      </c>
      <c r="Y31" s="43" t="str">
        <f t="shared" si="9"/>
        <v/>
      </c>
      <c r="Z31" s="49" t="str">
        <f t="shared" si="10"/>
        <v/>
      </c>
      <c r="AA31" s="48" t="str">
        <f t="shared" si="11"/>
        <v/>
      </c>
      <c r="AB31" s="49" t="str">
        <f t="shared" si="12"/>
        <v/>
      </c>
      <c r="AC31" s="50" t="str">
        <f>IF(AB31="","",SUMIF($B$4:$B$1002,B31,$AB$4:$AB$1000))</f>
        <v/>
      </c>
      <c r="AD31" s="69"/>
      <c r="AE31" s="56"/>
      <c r="AF31" s="52"/>
      <c r="AG31" s="51"/>
      <c r="AH31" s="70"/>
      <c r="AI31" s="58"/>
      <c r="AJ31" s="55"/>
      <c r="AK31" s="51"/>
      <c r="AL31" s="69"/>
      <c r="AM31" s="56"/>
      <c r="AN31" s="52"/>
      <c r="AO31" s="51"/>
      <c r="AP31" s="70"/>
      <c r="AQ31" s="58"/>
      <c r="AR31" s="55"/>
      <c r="AS31" s="51"/>
      <c r="AT31" s="69"/>
      <c r="AU31" s="56"/>
      <c r="AV31" s="52"/>
      <c r="AW31" s="51"/>
      <c r="BR31" s="34" t="str">
        <f>IF(E31="","",CONCATENATE(E31," ",F31," noches"))</f>
        <v/>
      </c>
      <c r="BS31" s="28" t="str">
        <f t="shared" ca="1" si="13"/>
        <v/>
      </c>
      <c r="BT31" s="28" t="str">
        <f t="shared" ca="1" si="14"/>
        <v/>
      </c>
    </row>
    <row r="32" spans="1:72" x14ac:dyDescent="0.2">
      <c r="A32" s="18" t="str" cm="1">
        <f t="array" aca="1" ref="A32" ca="1">IF(B32="","","Grupo N˚"&amp;SUMPRODUCT(($B$4:B32&lt;&gt;"")*($B$4:B32&lt;&gt;OFFSET($B$4,-1,0,ROWS($B$4:B32),1))))</f>
        <v/>
      </c>
      <c r="B32" s="31"/>
      <c r="C32" s="31"/>
      <c r="D32" s="31"/>
      <c r="E32" s="31"/>
      <c r="F32" s="32"/>
      <c r="G32" s="33"/>
      <c r="H32" s="33"/>
      <c r="I32" s="20" t="str">
        <f t="shared" si="0"/>
        <v/>
      </c>
      <c r="J32" s="21" t="str">
        <f>IFERROR(VLOOKUP(BR32,Pricing!$D$3:$E$58,2,FALSE),"")</f>
        <v/>
      </c>
      <c r="K32" s="32"/>
      <c r="L32" s="32"/>
      <c r="M32" s="32"/>
      <c r="N32" s="36" t="str" cm="1">
        <f t="array" ref="N32">IFERROR(_xlfn.IFS((AND(K32="SI",M32="$")),J32*0.2,AND(K32="SI",M32="%"),20),"")</f>
        <v/>
      </c>
      <c r="O32" s="29" t="str">
        <f t="shared" si="1"/>
        <v/>
      </c>
      <c r="P32" s="21" t="str">
        <f t="shared" si="2"/>
        <v/>
      </c>
      <c r="Q32" s="21" t="str">
        <f t="shared" si="3"/>
        <v/>
      </c>
      <c r="R32" s="21" t="str">
        <f t="shared" si="4"/>
        <v/>
      </c>
      <c r="S32" s="39"/>
      <c r="T32" s="43" t="str">
        <f t="shared" si="15"/>
        <v/>
      </c>
      <c r="U32" s="49" t="str">
        <f t="shared" si="17"/>
        <v/>
      </c>
      <c r="V32" s="48" t="str">
        <f t="shared" si="18"/>
        <v/>
      </c>
      <c r="W32" s="48" t="str">
        <f t="shared" si="8"/>
        <v/>
      </c>
      <c r="X32" s="50" t="str">
        <f>IF(W32="","",SUMIF($B$4:$B$1002,B32,$W$4:$W$1000))</f>
        <v/>
      </c>
      <c r="Y32" s="43" t="str">
        <f t="shared" si="9"/>
        <v/>
      </c>
      <c r="Z32" s="49" t="str">
        <f t="shared" si="10"/>
        <v/>
      </c>
      <c r="AA32" s="48" t="str">
        <f t="shared" si="11"/>
        <v/>
      </c>
      <c r="AB32" s="49" t="str">
        <f t="shared" si="12"/>
        <v/>
      </c>
      <c r="AC32" s="50" t="str">
        <f>IF(AB32="","",SUMIF($B$4:$B$1002,B32,$AB$4:$AB$1000))</f>
        <v/>
      </c>
      <c r="AD32" s="69"/>
      <c r="AE32" s="56"/>
      <c r="AF32" s="52"/>
      <c r="AG32" s="51"/>
      <c r="AH32" s="70"/>
      <c r="AI32" s="58"/>
      <c r="AJ32" s="55"/>
      <c r="AK32" s="51"/>
      <c r="AL32" s="69"/>
      <c r="AM32" s="56"/>
      <c r="AN32" s="52"/>
      <c r="AO32" s="51"/>
      <c r="AP32" s="70"/>
      <c r="AQ32" s="58"/>
      <c r="AR32" s="55"/>
      <c r="AS32" s="51"/>
      <c r="AT32" s="69"/>
      <c r="AU32" s="56"/>
      <c r="AV32" s="52"/>
      <c r="AW32" s="51"/>
      <c r="BR32" s="34" t="str">
        <f>IF(E32="","",CONCATENATE(E32," ",F32," noches"))</f>
        <v/>
      </c>
      <c r="BS32" s="28" t="str">
        <f t="shared" ca="1" si="13"/>
        <v/>
      </c>
      <c r="BT32" s="28" t="str">
        <f t="shared" ca="1" si="14"/>
        <v/>
      </c>
    </row>
    <row r="33" spans="1:72" x14ac:dyDescent="0.2">
      <c r="A33" s="18" t="str" cm="1">
        <f t="array" aca="1" ref="A33" ca="1">IF(B33="","","Grupo N˚"&amp;SUMPRODUCT(($B$4:B33&lt;&gt;"")*($B$4:B33&lt;&gt;OFFSET($B$4,-1,0,ROWS($B$4:B33),1))))</f>
        <v/>
      </c>
      <c r="B33" s="31"/>
      <c r="C33" s="31"/>
      <c r="D33" s="31"/>
      <c r="E33" s="31"/>
      <c r="F33" s="32"/>
      <c r="G33" s="33"/>
      <c r="H33" s="33"/>
      <c r="I33" s="20" t="str">
        <f t="shared" si="0"/>
        <v/>
      </c>
      <c r="J33" s="21" t="str">
        <f>IFERROR(VLOOKUP(BR33,Pricing!$D$3:$E$58,2,FALSE),"")</f>
        <v/>
      </c>
      <c r="K33" s="32"/>
      <c r="L33" s="32"/>
      <c r="M33" s="32"/>
      <c r="N33" s="36" t="str" cm="1">
        <f t="array" ref="N33">IFERROR(_xlfn.IFS((AND(K33="SI",M33="$")),J33*0.2,AND(K33="SI",M33="%"),20),"")</f>
        <v/>
      </c>
      <c r="O33" s="29" t="str">
        <f t="shared" si="1"/>
        <v/>
      </c>
      <c r="P33" s="21" t="str">
        <f t="shared" si="2"/>
        <v/>
      </c>
      <c r="Q33" s="21" t="str">
        <f t="shared" si="3"/>
        <v/>
      </c>
      <c r="R33" s="21" t="str">
        <f t="shared" si="4"/>
        <v/>
      </c>
      <c r="S33" s="39"/>
      <c r="T33" s="43" t="str">
        <f t="shared" si="15"/>
        <v/>
      </c>
      <c r="U33" s="49" t="str">
        <f t="shared" si="17"/>
        <v/>
      </c>
      <c r="V33" s="48" t="str">
        <f t="shared" si="18"/>
        <v/>
      </c>
      <c r="W33" s="48" t="str">
        <f t="shared" si="8"/>
        <v/>
      </c>
      <c r="X33" s="50" t="str">
        <f>IF(W33="","",SUMIF($B$4:$B$1002,B33,$W$4:$W$1000))</f>
        <v/>
      </c>
      <c r="Y33" s="43" t="str">
        <f t="shared" si="9"/>
        <v/>
      </c>
      <c r="Z33" s="49" t="str">
        <f t="shared" si="10"/>
        <v/>
      </c>
      <c r="AA33" s="48" t="str">
        <f t="shared" si="11"/>
        <v/>
      </c>
      <c r="AB33" s="49" t="str">
        <f t="shared" si="12"/>
        <v/>
      </c>
      <c r="AC33" s="50" t="str">
        <f>IF(AB33="","",SUMIF($B$4:$B$1002,B33,$AB$4:$AB$1000))</f>
        <v/>
      </c>
      <c r="AD33" s="69"/>
      <c r="AE33" s="56"/>
      <c r="AF33" s="52"/>
      <c r="AG33" s="51"/>
      <c r="AH33" s="70"/>
      <c r="AI33" s="58"/>
      <c r="AJ33" s="55"/>
      <c r="AK33" s="51"/>
      <c r="AL33" s="69"/>
      <c r="AM33" s="56"/>
      <c r="AN33" s="52"/>
      <c r="AO33" s="51"/>
      <c r="AP33" s="70"/>
      <c r="AQ33" s="58"/>
      <c r="AR33" s="55"/>
      <c r="AS33" s="51"/>
      <c r="AT33" s="69"/>
      <c r="AU33" s="56"/>
      <c r="AV33" s="52"/>
      <c r="AW33" s="51"/>
      <c r="BR33" s="34" t="str">
        <f>IF(E33="","",CONCATENATE(E33," ",F33," noches"))</f>
        <v/>
      </c>
      <c r="BS33" s="28" t="str">
        <f t="shared" ca="1" si="13"/>
        <v/>
      </c>
      <c r="BT33" s="28" t="str">
        <f t="shared" ca="1" si="14"/>
        <v/>
      </c>
    </row>
    <row r="34" spans="1:72" x14ac:dyDescent="0.2">
      <c r="A34" s="18" t="str" cm="1">
        <f t="array" aca="1" ref="A34" ca="1">IF(B34="","","Grupo N˚"&amp;SUMPRODUCT(($B$4:B34&lt;&gt;"")*($B$4:B34&lt;&gt;OFFSET($B$4,-1,0,ROWS($B$4:B34),1))))</f>
        <v/>
      </c>
      <c r="B34" s="31"/>
      <c r="C34" s="31"/>
      <c r="D34" s="31"/>
      <c r="E34" s="31"/>
      <c r="F34" s="32"/>
      <c r="G34" s="33"/>
      <c r="H34" s="33"/>
      <c r="I34" s="20" t="str">
        <f t="shared" si="0"/>
        <v/>
      </c>
      <c r="J34" s="21" t="str">
        <f>IFERROR(VLOOKUP(BR34,Pricing!$D$3:$E$58,2,FALSE),"")</f>
        <v/>
      </c>
      <c r="K34" s="32"/>
      <c r="L34" s="32"/>
      <c r="M34" s="32"/>
      <c r="N34" s="36" t="str" cm="1">
        <f t="array" ref="N34">IFERROR(_xlfn.IFS((AND(K34="SI",M34="$")),J34*0.2,AND(K34="SI",M34="%"),20),"")</f>
        <v/>
      </c>
      <c r="O34" s="29" t="str">
        <f t="shared" si="1"/>
        <v/>
      </c>
      <c r="P34" s="21" t="str">
        <f t="shared" si="2"/>
        <v/>
      </c>
      <c r="Q34" s="21" t="str">
        <f t="shared" si="3"/>
        <v/>
      </c>
      <c r="R34" s="21" t="str">
        <f t="shared" si="4"/>
        <v/>
      </c>
      <c r="S34" s="39"/>
      <c r="T34" s="43" t="str">
        <f t="shared" si="15"/>
        <v/>
      </c>
      <c r="U34" s="49" t="str">
        <f t="shared" si="17"/>
        <v/>
      </c>
      <c r="V34" s="48" t="str">
        <f t="shared" si="18"/>
        <v/>
      </c>
      <c r="W34" s="48" t="str">
        <f t="shared" si="8"/>
        <v/>
      </c>
      <c r="X34" s="50" t="str">
        <f>IF(W34="","",SUMIF($B$4:$B$1002,B34,$W$4:$W$1000))</f>
        <v/>
      </c>
      <c r="Y34" s="43" t="str">
        <f t="shared" si="9"/>
        <v/>
      </c>
      <c r="Z34" s="49" t="str">
        <f t="shared" si="10"/>
        <v/>
      </c>
      <c r="AA34" s="48" t="str">
        <f t="shared" si="11"/>
        <v/>
      </c>
      <c r="AB34" s="49" t="str">
        <f t="shared" si="12"/>
        <v/>
      </c>
      <c r="AC34" s="50" t="str">
        <f>IF(AB34="","",SUMIF($B$4:$B$1002,B34,$AB$4:$AB$1000))</f>
        <v/>
      </c>
      <c r="AD34" s="69"/>
      <c r="AE34" s="56"/>
      <c r="AF34" s="52"/>
      <c r="AG34" s="51"/>
      <c r="AH34" s="70"/>
      <c r="AI34" s="58"/>
      <c r="AJ34" s="55"/>
      <c r="AK34" s="51"/>
      <c r="AL34" s="69"/>
      <c r="AM34" s="56"/>
      <c r="AN34" s="52"/>
      <c r="AO34" s="51"/>
      <c r="AP34" s="70"/>
      <c r="AQ34" s="58"/>
      <c r="AR34" s="55"/>
      <c r="AS34" s="51"/>
      <c r="AT34" s="69"/>
      <c r="AU34" s="56"/>
      <c r="AV34" s="52"/>
      <c r="AW34" s="51"/>
      <c r="BR34" s="34" t="str">
        <f>IF(E34="","",CONCATENATE(E34," ",F34," noches"))</f>
        <v/>
      </c>
      <c r="BS34" s="28" t="str">
        <f t="shared" ca="1" si="13"/>
        <v/>
      </c>
      <c r="BT34" s="28" t="str">
        <f t="shared" ca="1" si="14"/>
        <v/>
      </c>
    </row>
    <row r="35" spans="1:72" x14ac:dyDescent="0.2">
      <c r="A35" s="18" t="str" cm="1">
        <f t="array" aca="1" ref="A35" ca="1">IF(B35="","","Grupo N˚"&amp;SUMPRODUCT(($B$4:B35&lt;&gt;"")*($B$4:B35&lt;&gt;OFFSET($B$4,-1,0,ROWS($B$4:B35),1))))</f>
        <v/>
      </c>
      <c r="B35" s="31"/>
      <c r="C35" s="31"/>
      <c r="D35" s="31"/>
      <c r="E35" s="31"/>
      <c r="F35" s="32"/>
      <c r="G35" s="33"/>
      <c r="H35" s="33"/>
      <c r="I35" s="20" t="str">
        <f t="shared" si="0"/>
        <v/>
      </c>
      <c r="J35" s="21" t="str">
        <f>IFERROR(VLOOKUP(BR35,Pricing!$D$3:$E$58,2,FALSE),"")</f>
        <v/>
      </c>
      <c r="K35" s="32"/>
      <c r="L35" s="32"/>
      <c r="M35" s="32"/>
      <c r="N35" s="36" t="str" cm="1">
        <f t="array" ref="N35">IFERROR(_xlfn.IFS((AND(K35="SI",M35="$")),J35*0.2,AND(K35="SI",M35="%"),20),"")</f>
        <v/>
      </c>
      <c r="O35" s="29" t="str">
        <f t="shared" si="1"/>
        <v/>
      </c>
      <c r="P35" s="21" t="str">
        <f t="shared" si="2"/>
        <v/>
      </c>
      <c r="Q35" s="21" t="str">
        <f t="shared" si="3"/>
        <v/>
      </c>
      <c r="R35" s="21" t="str">
        <f t="shared" si="4"/>
        <v/>
      </c>
      <c r="S35" s="39"/>
      <c r="T35" s="43" t="str">
        <f t="shared" si="15"/>
        <v/>
      </c>
      <c r="U35" s="49" t="str">
        <f t="shared" si="17"/>
        <v/>
      </c>
      <c r="V35" s="48" t="str">
        <f t="shared" si="18"/>
        <v/>
      </c>
      <c r="W35" s="48" t="str">
        <f t="shared" si="8"/>
        <v/>
      </c>
      <c r="X35" s="50" t="str">
        <f>IF(W35="","",SUMIF($B$4:$B$1002,B35,$W$4:$W$1000))</f>
        <v/>
      </c>
      <c r="Y35" s="43" t="str">
        <f t="shared" si="9"/>
        <v/>
      </c>
      <c r="Z35" s="49" t="str">
        <f t="shared" si="10"/>
        <v/>
      </c>
      <c r="AA35" s="48" t="str">
        <f t="shared" si="11"/>
        <v/>
      </c>
      <c r="AB35" s="49" t="str">
        <f t="shared" si="12"/>
        <v/>
      </c>
      <c r="AC35" s="50" t="str">
        <f>IF(AB35="","",SUMIF($B$4:$B$1002,B35,$AB$4:$AB$1000))</f>
        <v/>
      </c>
      <c r="AD35" s="69"/>
      <c r="AE35" s="56"/>
      <c r="AF35" s="52"/>
      <c r="AG35" s="51"/>
      <c r="AH35" s="70"/>
      <c r="AI35" s="58"/>
      <c r="AJ35" s="55"/>
      <c r="AK35" s="51"/>
      <c r="AL35" s="69"/>
      <c r="AM35" s="56"/>
      <c r="AN35" s="52"/>
      <c r="AO35" s="51"/>
      <c r="AP35" s="70"/>
      <c r="AQ35" s="58"/>
      <c r="AR35" s="55"/>
      <c r="AS35" s="51"/>
      <c r="AT35" s="69"/>
      <c r="AU35" s="56"/>
      <c r="AV35" s="52"/>
      <c r="AW35" s="51"/>
      <c r="BR35" s="34" t="str">
        <f>IF(E35="","",CONCATENATE(E35," ",F35," noches"))</f>
        <v/>
      </c>
      <c r="BS35" s="28" t="str">
        <f t="shared" ca="1" si="13"/>
        <v/>
      </c>
      <c r="BT35" s="28" t="str">
        <f t="shared" ca="1" si="14"/>
        <v/>
      </c>
    </row>
    <row r="36" spans="1:72" x14ac:dyDescent="0.2">
      <c r="A36" s="18" t="str" cm="1">
        <f t="array" aca="1" ref="A36" ca="1">IF(B36="","","Grupo N˚"&amp;SUMPRODUCT(($B$4:B36&lt;&gt;"")*($B$4:B36&lt;&gt;OFFSET($B$4,-1,0,ROWS($B$4:B36),1))))</f>
        <v/>
      </c>
      <c r="B36" s="31"/>
      <c r="C36" s="31"/>
      <c r="D36" s="31"/>
      <c r="E36" s="31"/>
      <c r="F36" s="32"/>
      <c r="G36" s="33"/>
      <c r="H36" s="33"/>
      <c r="I36" s="20" t="str">
        <f t="shared" si="0"/>
        <v/>
      </c>
      <c r="J36" s="21" t="str">
        <f>IFERROR(VLOOKUP(BR36,Pricing!$D$3:$E$58,2,FALSE),"")</f>
        <v/>
      </c>
      <c r="K36" s="32"/>
      <c r="L36" s="32"/>
      <c r="M36" s="32"/>
      <c r="N36" s="36" t="str" cm="1">
        <f t="array" ref="N36">IFERROR(_xlfn.IFS((AND(K36="SI",M36="$")),J36*0.2,AND(K36="SI",M36="%"),20),"")</f>
        <v/>
      </c>
      <c r="O36" s="29" t="str">
        <f t="shared" si="1"/>
        <v/>
      </c>
      <c r="P36" s="21" t="str">
        <f t="shared" si="2"/>
        <v/>
      </c>
      <c r="Q36" s="21" t="str">
        <f t="shared" si="3"/>
        <v/>
      </c>
      <c r="R36" s="21" t="str">
        <f t="shared" si="4"/>
        <v/>
      </c>
      <c r="S36" s="39"/>
      <c r="T36" s="43" t="str">
        <f t="shared" si="15"/>
        <v/>
      </c>
      <c r="U36" s="49" t="str">
        <f t="shared" si="17"/>
        <v/>
      </c>
      <c r="V36" s="48" t="str">
        <f t="shared" si="18"/>
        <v/>
      </c>
      <c r="W36" s="48" t="str">
        <f t="shared" si="8"/>
        <v/>
      </c>
      <c r="X36" s="50" t="str">
        <f>IF(W36="","",SUMIF($B$4:$B$1002,B36,$W$4:$W$1000))</f>
        <v/>
      </c>
      <c r="Y36" s="43" t="str">
        <f t="shared" si="9"/>
        <v/>
      </c>
      <c r="Z36" s="49" t="str">
        <f t="shared" si="10"/>
        <v/>
      </c>
      <c r="AA36" s="48" t="str">
        <f t="shared" si="11"/>
        <v/>
      </c>
      <c r="AB36" s="49" t="str">
        <f t="shared" si="12"/>
        <v/>
      </c>
      <c r="AC36" s="50" t="str">
        <f>IF(AB36="","",SUMIF($B$4:$B$1002,B36,$AB$4:$AB$1000))</f>
        <v/>
      </c>
      <c r="AD36" s="69"/>
      <c r="AE36" s="56"/>
      <c r="AF36" s="52"/>
      <c r="AG36" s="51"/>
      <c r="AH36" s="70"/>
      <c r="AI36" s="58"/>
      <c r="AJ36" s="55"/>
      <c r="AK36" s="51"/>
      <c r="AL36" s="69"/>
      <c r="AM36" s="56"/>
      <c r="AN36" s="52"/>
      <c r="AO36" s="51"/>
      <c r="AP36" s="70"/>
      <c r="AQ36" s="58"/>
      <c r="AR36" s="55"/>
      <c r="AS36" s="51"/>
      <c r="AT36" s="69"/>
      <c r="AU36" s="56"/>
      <c r="AV36" s="52"/>
      <c r="AW36" s="51"/>
      <c r="BR36" s="34" t="str">
        <f>IF(E36="","",CONCATENATE(E36," ",F36," noches"))</f>
        <v/>
      </c>
      <c r="BS36" s="28" t="str">
        <f t="shared" ca="1" si="13"/>
        <v/>
      </c>
      <c r="BT36" s="28" t="str">
        <f t="shared" ca="1" si="14"/>
        <v/>
      </c>
    </row>
    <row r="37" spans="1:72" x14ac:dyDescent="0.2">
      <c r="A37" s="18" t="str" cm="1">
        <f t="array" aca="1" ref="A37" ca="1">IF(B37="","","Grupo N˚"&amp;SUMPRODUCT(($B$4:B37&lt;&gt;"")*($B$4:B37&lt;&gt;OFFSET($B$4,-1,0,ROWS($B$4:B37),1))))</f>
        <v/>
      </c>
      <c r="B37" s="31"/>
      <c r="C37" s="31"/>
      <c r="D37" s="31"/>
      <c r="E37" s="31"/>
      <c r="F37" s="32"/>
      <c r="G37" s="33"/>
      <c r="H37" s="33"/>
      <c r="I37" s="20" t="str">
        <f t="shared" si="0"/>
        <v/>
      </c>
      <c r="J37" s="21" t="str">
        <f>IFERROR(VLOOKUP(BR37,Pricing!$D$3:$E$58,2,FALSE),"")</f>
        <v/>
      </c>
      <c r="K37" s="32"/>
      <c r="L37" s="32"/>
      <c r="M37" s="32"/>
      <c r="N37" s="36" t="str" cm="1">
        <f t="array" ref="N37">IFERROR(_xlfn.IFS((AND(K37="SI",M37="$")),J37*0.2,AND(K37="SI",M37="%"),20),"")</f>
        <v/>
      </c>
      <c r="O37" s="29" t="str">
        <f t="shared" si="1"/>
        <v/>
      </c>
      <c r="P37" s="21" t="str">
        <f t="shared" si="2"/>
        <v/>
      </c>
      <c r="Q37" s="21" t="str">
        <f t="shared" si="3"/>
        <v/>
      </c>
      <c r="R37" s="21" t="str">
        <f t="shared" si="4"/>
        <v/>
      </c>
      <c r="S37" s="39"/>
      <c r="T37" s="43" t="str">
        <f t="shared" si="15"/>
        <v/>
      </c>
      <c r="U37" s="49" t="str">
        <f t="shared" si="17"/>
        <v/>
      </c>
      <c r="V37" s="48" t="str">
        <f t="shared" si="18"/>
        <v/>
      </c>
      <c r="W37" s="48" t="str">
        <f t="shared" si="8"/>
        <v/>
      </c>
      <c r="X37" s="50" t="str">
        <f>IF(W37="","",SUMIF($B$4:$B$1002,B37,$W$4:$W$1000))</f>
        <v/>
      </c>
      <c r="Y37" s="43" t="str">
        <f t="shared" si="9"/>
        <v/>
      </c>
      <c r="Z37" s="49" t="str">
        <f t="shared" si="10"/>
        <v/>
      </c>
      <c r="AA37" s="48" t="str">
        <f t="shared" si="11"/>
        <v/>
      </c>
      <c r="AB37" s="49" t="str">
        <f t="shared" si="12"/>
        <v/>
      </c>
      <c r="AC37" s="50" t="str">
        <f>IF(AB37="","",SUMIF($B$4:$B$1002,B37,$AB$4:$AB$1000))</f>
        <v/>
      </c>
      <c r="AD37" s="69"/>
      <c r="AE37" s="56"/>
      <c r="AF37" s="52"/>
      <c r="AG37" s="51"/>
      <c r="AH37" s="70"/>
      <c r="AI37" s="58"/>
      <c r="AJ37" s="55"/>
      <c r="AK37" s="51"/>
      <c r="AL37" s="69"/>
      <c r="AM37" s="56"/>
      <c r="AN37" s="52"/>
      <c r="AO37" s="51"/>
      <c r="AP37" s="70"/>
      <c r="AQ37" s="58"/>
      <c r="AR37" s="55"/>
      <c r="AS37" s="51"/>
      <c r="AT37" s="69"/>
      <c r="AU37" s="56"/>
      <c r="AV37" s="52"/>
      <c r="AW37" s="51"/>
      <c r="BR37" s="34" t="str">
        <f>IF(E37="","",CONCATENATE(E37," ",F37," noches"))</f>
        <v/>
      </c>
      <c r="BS37" s="28" t="str">
        <f t="shared" ca="1" si="13"/>
        <v/>
      </c>
      <c r="BT37" s="28" t="str">
        <f t="shared" ca="1" si="14"/>
        <v/>
      </c>
    </row>
    <row r="38" spans="1:72" x14ac:dyDescent="0.2">
      <c r="A38" s="18" t="str" cm="1">
        <f t="array" aca="1" ref="A38" ca="1">IF(B38="","","Grupo N˚"&amp;SUMPRODUCT(($B$4:B38&lt;&gt;"")*($B$4:B38&lt;&gt;OFFSET($B$4,-1,0,ROWS($B$4:B38),1))))</f>
        <v/>
      </c>
      <c r="B38" s="31"/>
      <c r="C38" s="31"/>
      <c r="D38" s="31"/>
      <c r="E38" s="31"/>
      <c r="F38" s="32"/>
      <c r="G38" s="33"/>
      <c r="H38" s="33"/>
      <c r="I38" s="20" t="str">
        <f t="shared" si="0"/>
        <v/>
      </c>
      <c r="J38" s="21" t="str">
        <f>IFERROR(VLOOKUP(BR38,Pricing!$D$3:$E$58,2,FALSE),"")</f>
        <v/>
      </c>
      <c r="K38" s="32"/>
      <c r="L38" s="32"/>
      <c r="M38" s="32"/>
      <c r="N38" s="36" t="str" cm="1">
        <f t="array" ref="N38">IFERROR(_xlfn.IFS((AND(K38="SI",M38="$")),J38*0.2,AND(K38="SI",M38="%"),20),"")</f>
        <v/>
      </c>
      <c r="O38" s="29" t="str">
        <f t="shared" si="1"/>
        <v/>
      </c>
      <c r="P38" s="21" t="str">
        <f t="shared" si="2"/>
        <v/>
      </c>
      <c r="Q38" s="21" t="str">
        <f t="shared" si="3"/>
        <v/>
      </c>
      <c r="R38" s="21" t="str">
        <f t="shared" si="4"/>
        <v/>
      </c>
      <c r="S38" s="39"/>
      <c r="T38" s="43" t="str">
        <f t="shared" si="15"/>
        <v/>
      </c>
      <c r="U38" s="49" t="str">
        <f t="shared" si="17"/>
        <v/>
      </c>
      <c r="V38" s="48" t="str">
        <f t="shared" si="18"/>
        <v/>
      </c>
      <c r="W38" s="48" t="str">
        <f t="shared" si="8"/>
        <v/>
      </c>
      <c r="X38" s="50" t="str">
        <f>IF(W38="","",SUMIF($B$4:$B$1002,B38,$W$4:$W$1000))</f>
        <v/>
      </c>
      <c r="Y38" s="43" t="str">
        <f t="shared" si="9"/>
        <v/>
      </c>
      <c r="Z38" s="49" t="str">
        <f t="shared" si="10"/>
        <v/>
      </c>
      <c r="AA38" s="48" t="str">
        <f t="shared" si="11"/>
        <v/>
      </c>
      <c r="AB38" s="49" t="str">
        <f t="shared" si="12"/>
        <v/>
      </c>
      <c r="AC38" s="50" t="str">
        <f>IF(AB38="","",SUMIF($B$4:$B$1002,B38,$AB$4:$AB$1000))</f>
        <v/>
      </c>
      <c r="AD38" s="69"/>
      <c r="AE38" s="56"/>
      <c r="AF38" s="52"/>
      <c r="AG38" s="51"/>
      <c r="AH38" s="70"/>
      <c r="AI38" s="58"/>
      <c r="AJ38" s="55"/>
      <c r="AK38" s="51"/>
      <c r="AL38" s="69"/>
      <c r="AM38" s="56"/>
      <c r="AN38" s="52"/>
      <c r="AO38" s="51"/>
      <c r="AP38" s="70"/>
      <c r="AQ38" s="58"/>
      <c r="AR38" s="55"/>
      <c r="AS38" s="51"/>
      <c r="AT38" s="69"/>
      <c r="AU38" s="56"/>
      <c r="AV38" s="52"/>
      <c r="AW38" s="51"/>
      <c r="BR38" s="34" t="str">
        <f>IF(E38="","",CONCATENATE(E38," ",F38," noches"))</f>
        <v/>
      </c>
      <c r="BS38" s="28" t="str">
        <f t="shared" ca="1" si="13"/>
        <v/>
      </c>
      <c r="BT38" s="28" t="str">
        <f t="shared" ca="1" si="14"/>
        <v/>
      </c>
    </row>
    <row r="39" spans="1:72" x14ac:dyDescent="0.2">
      <c r="A39" s="18" t="str" cm="1">
        <f t="array" aca="1" ref="A39" ca="1">IF(B39="","","Grupo N˚"&amp;SUMPRODUCT(($B$4:B39&lt;&gt;"")*($B$4:B39&lt;&gt;OFFSET($B$4,-1,0,ROWS($B$4:B39),1))))</f>
        <v/>
      </c>
      <c r="B39" s="31"/>
      <c r="C39" s="31"/>
      <c r="D39" s="31"/>
      <c r="E39" s="31"/>
      <c r="F39" s="32"/>
      <c r="G39" s="33"/>
      <c r="H39" s="33"/>
      <c r="I39" s="20" t="str">
        <f t="shared" si="0"/>
        <v/>
      </c>
      <c r="J39" s="21" t="str">
        <f>IFERROR(VLOOKUP(BR39,Pricing!$D$3:$E$58,2,FALSE),"")</f>
        <v/>
      </c>
      <c r="K39" s="32"/>
      <c r="L39" s="32"/>
      <c r="M39" s="32"/>
      <c r="N39" s="36" t="str" cm="1">
        <f t="array" ref="N39">IFERROR(_xlfn.IFS((AND(K39="SI",M39="$")),J39*0.2,AND(K39="SI",M39="%"),20),"")</f>
        <v/>
      </c>
      <c r="O39" s="29" t="str">
        <f t="shared" si="1"/>
        <v/>
      </c>
      <c r="P39" s="21" t="str">
        <f t="shared" si="2"/>
        <v/>
      </c>
      <c r="Q39" s="21" t="str">
        <f t="shared" si="3"/>
        <v/>
      </c>
      <c r="R39" s="21" t="str">
        <f t="shared" si="4"/>
        <v/>
      </c>
      <c r="S39" s="39"/>
      <c r="T39" s="43" t="str">
        <f t="shared" si="15"/>
        <v/>
      </c>
      <c r="U39" s="49" t="str">
        <f t="shared" si="17"/>
        <v/>
      </c>
      <c r="V39" s="48" t="str">
        <f t="shared" si="18"/>
        <v/>
      </c>
      <c r="W39" s="48" t="str">
        <f t="shared" si="8"/>
        <v/>
      </c>
      <c r="X39" s="50" t="str">
        <f>IF(W39="","",SUMIF($B$4:$B$1002,B39,$W$4:$W$1000))</f>
        <v/>
      </c>
      <c r="Y39" s="43" t="str">
        <f t="shared" si="9"/>
        <v/>
      </c>
      <c r="Z39" s="49" t="str">
        <f t="shared" si="10"/>
        <v/>
      </c>
      <c r="AA39" s="48" t="str">
        <f t="shared" si="11"/>
        <v/>
      </c>
      <c r="AB39" s="49" t="str">
        <f t="shared" si="12"/>
        <v/>
      </c>
      <c r="AC39" s="50" t="str">
        <f>IF(AB39="","",SUMIF($B$4:$B$1002,B39,$AB$4:$AB$1000))</f>
        <v/>
      </c>
      <c r="AD39" s="69"/>
      <c r="AE39" s="56"/>
      <c r="AF39" s="52"/>
      <c r="AG39" s="51"/>
      <c r="AH39" s="70"/>
      <c r="AI39" s="58"/>
      <c r="AJ39" s="55"/>
      <c r="AK39" s="51"/>
      <c r="AL39" s="69"/>
      <c r="AM39" s="56"/>
      <c r="AN39" s="52"/>
      <c r="AO39" s="51"/>
      <c r="AP39" s="70"/>
      <c r="AQ39" s="58"/>
      <c r="AR39" s="55"/>
      <c r="AS39" s="51"/>
      <c r="AT39" s="69"/>
      <c r="AU39" s="56"/>
      <c r="AV39" s="52"/>
      <c r="AW39" s="51"/>
      <c r="BR39" s="34" t="str">
        <f>IF(E39="","",CONCATENATE(E39," ",F39," noches"))</f>
        <v/>
      </c>
      <c r="BS39" s="28" t="str">
        <f t="shared" ca="1" si="13"/>
        <v/>
      </c>
      <c r="BT39" s="28" t="str">
        <f t="shared" ca="1" si="14"/>
        <v/>
      </c>
    </row>
    <row r="40" spans="1:72" x14ac:dyDescent="0.2">
      <c r="A40" s="18" t="str" cm="1">
        <f t="array" aca="1" ref="A40" ca="1">IF(B40="","","Grupo N˚"&amp;SUMPRODUCT(($B$4:B40&lt;&gt;"")*($B$4:B40&lt;&gt;OFFSET($B$4,-1,0,ROWS($B$4:B40),1))))</f>
        <v/>
      </c>
      <c r="B40" s="31"/>
      <c r="C40" s="31"/>
      <c r="D40" s="31"/>
      <c r="E40" s="31"/>
      <c r="F40" s="32"/>
      <c r="G40" s="33"/>
      <c r="H40" s="33"/>
      <c r="I40" s="20" t="str">
        <f t="shared" si="0"/>
        <v/>
      </c>
      <c r="J40" s="21" t="str">
        <f>IFERROR(VLOOKUP(BR40,Pricing!$D$3:$E$58,2,FALSE),"")</f>
        <v/>
      </c>
      <c r="K40" s="32"/>
      <c r="L40" s="32"/>
      <c r="M40" s="32"/>
      <c r="N40" s="36" t="str" cm="1">
        <f t="array" ref="N40">IFERROR(_xlfn.IFS((AND(K40="SI",M40="$")),J40*0.2,AND(K40="SI",M40="%"),20),"")</f>
        <v/>
      </c>
      <c r="O40" s="29" t="str">
        <f t="shared" si="1"/>
        <v/>
      </c>
      <c r="P40" s="21" t="str">
        <f t="shared" si="2"/>
        <v/>
      </c>
      <c r="Q40" s="21" t="str">
        <f t="shared" si="3"/>
        <v/>
      </c>
      <c r="R40" s="21" t="str">
        <f t="shared" si="4"/>
        <v/>
      </c>
      <c r="S40" s="39"/>
      <c r="T40" s="43" t="str">
        <f t="shared" si="15"/>
        <v/>
      </c>
      <c r="U40" s="49" t="str">
        <f t="shared" si="17"/>
        <v/>
      </c>
      <c r="V40" s="48" t="str">
        <f t="shared" si="18"/>
        <v/>
      </c>
      <c r="W40" s="48" t="str">
        <f t="shared" si="8"/>
        <v/>
      </c>
      <c r="X40" s="50" t="str">
        <f>IF(W40="","",SUMIF($B$4:$B$1002,B40,$W$4:$W$1000))</f>
        <v/>
      </c>
      <c r="Y40" s="43" t="str">
        <f t="shared" si="9"/>
        <v/>
      </c>
      <c r="Z40" s="49" t="str">
        <f t="shared" si="10"/>
        <v/>
      </c>
      <c r="AA40" s="48" t="str">
        <f t="shared" si="11"/>
        <v/>
      </c>
      <c r="AB40" s="49" t="str">
        <f t="shared" si="12"/>
        <v/>
      </c>
      <c r="AC40" s="50" t="str">
        <f>IF(AB40="","",SUMIF($B$4:$B$1002,B40,$AB$4:$AB$1000))</f>
        <v/>
      </c>
      <c r="AD40" s="69"/>
      <c r="AE40" s="56"/>
      <c r="AF40" s="52"/>
      <c r="AG40" s="51"/>
      <c r="AH40" s="70"/>
      <c r="AI40" s="58"/>
      <c r="AJ40" s="55"/>
      <c r="AK40" s="51"/>
      <c r="AL40" s="69"/>
      <c r="AM40" s="56"/>
      <c r="AN40" s="52"/>
      <c r="AO40" s="51"/>
      <c r="AP40" s="70"/>
      <c r="AQ40" s="58"/>
      <c r="AR40" s="55"/>
      <c r="AS40" s="51"/>
      <c r="AT40" s="69"/>
      <c r="AU40" s="56"/>
      <c r="AV40" s="52"/>
      <c r="AW40" s="51"/>
      <c r="BR40" s="34" t="str">
        <f>IF(E40="","",CONCATENATE(E40," ",F40," noches"))</f>
        <v/>
      </c>
      <c r="BS40" s="28" t="str">
        <f t="shared" ca="1" si="13"/>
        <v/>
      </c>
      <c r="BT40" s="28" t="str">
        <f t="shared" ca="1" si="14"/>
        <v/>
      </c>
    </row>
    <row r="41" spans="1:72" x14ac:dyDescent="0.2">
      <c r="A41" s="18" t="str" cm="1">
        <f t="array" aca="1" ref="A41" ca="1">IF(B41="","","Grupo N˚"&amp;SUMPRODUCT(($B$4:B41&lt;&gt;"")*($B$4:B41&lt;&gt;OFFSET($B$4,-1,0,ROWS($B$4:B41),1))))</f>
        <v/>
      </c>
      <c r="B41" s="31"/>
      <c r="C41" s="31"/>
      <c r="D41" s="31"/>
      <c r="E41" s="31"/>
      <c r="F41" s="32"/>
      <c r="G41" s="33"/>
      <c r="H41" s="33"/>
      <c r="I41" s="20" t="str">
        <f t="shared" si="0"/>
        <v/>
      </c>
      <c r="J41" s="21" t="str">
        <f>IFERROR(VLOOKUP(BR41,Pricing!$D$3:$E$58,2,FALSE),"")</f>
        <v/>
      </c>
      <c r="K41" s="32"/>
      <c r="L41" s="32"/>
      <c r="M41" s="32"/>
      <c r="N41" s="36" t="str" cm="1">
        <f t="array" ref="N41">IFERROR(_xlfn.IFS((AND(K41="SI",M41="$")),J41*0.2,AND(K41="SI",M41="%"),20),"")</f>
        <v/>
      </c>
      <c r="O41" s="29" t="str">
        <f t="shared" si="1"/>
        <v/>
      </c>
      <c r="P41" s="21" t="str">
        <f t="shared" si="2"/>
        <v/>
      </c>
      <c r="Q41" s="21" t="str">
        <f t="shared" si="3"/>
        <v/>
      </c>
      <c r="R41" s="21" t="str">
        <f t="shared" si="4"/>
        <v/>
      </c>
      <c r="S41" s="39"/>
      <c r="T41" s="43" t="str">
        <f t="shared" si="15"/>
        <v/>
      </c>
      <c r="U41" s="49" t="str">
        <f t="shared" si="17"/>
        <v/>
      </c>
      <c r="V41" s="48" t="str">
        <f t="shared" si="18"/>
        <v/>
      </c>
      <c r="W41" s="48" t="str">
        <f t="shared" si="8"/>
        <v/>
      </c>
      <c r="X41" s="50" t="str">
        <f>IF(W41="","",SUMIF($B$4:$B$1002,B41,$W$4:$W$1000))</f>
        <v/>
      </c>
      <c r="Y41" s="43" t="str">
        <f t="shared" si="9"/>
        <v/>
      </c>
      <c r="Z41" s="49" t="str">
        <f t="shared" si="10"/>
        <v/>
      </c>
      <c r="AA41" s="48" t="str">
        <f t="shared" si="11"/>
        <v/>
      </c>
      <c r="AB41" s="49" t="str">
        <f t="shared" si="12"/>
        <v/>
      </c>
      <c r="AC41" s="50" t="str">
        <f>IF(AB41="","",SUMIF($B$4:$B$1002,B41,$AB$4:$AB$1000))</f>
        <v/>
      </c>
      <c r="AD41" s="69"/>
      <c r="AE41" s="56"/>
      <c r="AF41" s="52"/>
      <c r="AG41" s="51"/>
      <c r="AH41" s="70"/>
      <c r="AI41" s="58"/>
      <c r="AJ41" s="55"/>
      <c r="AK41" s="51"/>
      <c r="AL41" s="69"/>
      <c r="AM41" s="56"/>
      <c r="AN41" s="52"/>
      <c r="AO41" s="51"/>
      <c r="AP41" s="70"/>
      <c r="AQ41" s="58"/>
      <c r="AR41" s="55"/>
      <c r="AS41" s="51"/>
      <c r="AT41" s="69"/>
      <c r="AU41" s="56"/>
      <c r="AV41" s="52"/>
      <c r="AW41" s="51"/>
      <c r="BR41" s="34" t="str">
        <f>IF(E41="","",CONCATENATE(E41," ",F41," noches"))</f>
        <v/>
      </c>
      <c r="BS41" s="28" t="str">
        <f t="shared" ca="1" si="13"/>
        <v/>
      </c>
      <c r="BT41" s="28" t="str">
        <f t="shared" ca="1" si="14"/>
        <v/>
      </c>
    </row>
    <row r="42" spans="1:72" x14ac:dyDescent="0.2">
      <c r="A42" s="18" t="str" cm="1">
        <f t="array" aca="1" ref="A42" ca="1">IF(B42="","","Grupo N˚"&amp;SUMPRODUCT(($B$4:B42&lt;&gt;"")*($B$4:B42&lt;&gt;OFFSET($B$4,-1,0,ROWS($B$4:B42),1))))</f>
        <v/>
      </c>
      <c r="B42" s="31"/>
      <c r="C42" s="31"/>
      <c r="D42" s="31"/>
      <c r="E42" s="31"/>
      <c r="F42" s="32"/>
      <c r="G42" s="33"/>
      <c r="H42" s="33"/>
      <c r="I42" s="20" t="str">
        <f t="shared" si="0"/>
        <v/>
      </c>
      <c r="J42" s="21" t="str">
        <f>IFERROR(VLOOKUP(BR42,Pricing!$D$3:$E$58,2,FALSE),"")</f>
        <v/>
      </c>
      <c r="K42" s="32"/>
      <c r="L42" s="32"/>
      <c r="M42" s="32"/>
      <c r="N42" s="36" t="str" cm="1">
        <f t="array" ref="N42">IFERROR(_xlfn.IFS((AND(K42="SI",M42="$")),J42*0.2,AND(K42="SI",M42="%"),20),"")</f>
        <v/>
      </c>
      <c r="O42" s="29" t="str">
        <f t="shared" si="1"/>
        <v/>
      </c>
      <c r="P42" s="21" t="str">
        <f t="shared" si="2"/>
        <v/>
      </c>
      <c r="Q42" s="21" t="str">
        <f t="shared" si="3"/>
        <v/>
      </c>
      <c r="R42" s="21" t="str">
        <f t="shared" si="4"/>
        <v/>
      </c>
      <c r="S42" s="39"/>
      <c r="T42" s="43" t="str">
        <f t="shared" si="15"/>
        <v/>
      </c>
      <c r="U42" s="49" t="str">
        <f t="shared" si="17"/>
        <v/>
      </c>
      <c r="V42" s="48" t="str">
        <f t="shared" si="18"/>
        <v/>
      </c>
      <c r="W42" s="48" t="str">
        <f t="shared" si="8"/>
        <v/>
      </c>
      <c r="X42" s="50" t="str">
        <f>IF(W42="","",SUMIF($B$4:$B$1002,B42,$W$4:$W$1000))</f>
        <v/>
      </c>
      <c r="Y42" s="43" t="str">
        <f t="shared" si="9"/>
        <v/>
      </c>
      <c r="Z42" s="49" t="str">
        <f t="shared" si="10"/>
        <v/>
      </c>
      <c r="AA42" s="48" t="str">
        <f t="shared" si="11"/>
        <v/>
      </c>
      <c r="AB42" s="49" t="str">
        <f t="shared" si="12"/>
        <v/>
      </c>
      <c r="AC42" s="50" t="str">
        <f>IF(AB42="","",SUMIF($B$4:$B$1002,B42,$AB$4:$AB$1000))</f>
        <v/>
      </c>
      <c r="AD42" s="69"/>
      <c r="AE42" s="56"/>
      <c r="AF42" s="52"/>
      <c r="AG42" s="51"/>
      <c r="AH42" s="70"/>
      <c r="AI42" s="58"/>
      <c r="AJ42" s="55"/>
      <c r="AK42" s="51"/>
      <c r="AL42" s="69"/>
      <c r="AM42" s="56"/>
      <c r="AN42" s="52"/>
      <c r="AO42" s="51"/>
      <c r="AP42" s="70"/>
      <c r="AQ42" s="58"/>
      <c r="AR42" s="55"/>
      <c r="AS42" s="51"/>
      <c r="AT42" s="69"/>
      <c r="AU42" s="56"/>
      <c r="AV42" s="52"/>
      <c r="AW42" s="51"/>
      <c r="BR42" s="34" t="str">
        <f>IF(E42="","",CONCATENATE(E42," ",F42," noches"))</f>
        <v/>
      </c>
      <c r="BS42" s="28" t="str">
        <f t="shared" ca="1" si="13"/>
        <v/>
      </c>
      <c r="BT42" s="28" t="str">
        <f t="shared" ca="1" si="14"/>
        <v/>
      </c>
    </row>
    <row r="43" spans="1:72" x14ac:dyDescent="0.2">
      <c r="A43" s="18" t="str" cm="1">
        <f t="array" aca="1" ref="A43" ca="1">IF(B43="","","Grupo N˚"&amp;SUMPRODUCT(($B$4:B43&lt;&gt;"")*($B$4:B43&lt;&gt;OFFSET($B$4,-1,0,ROWS($B$4:B43),1))))</f>
        <v/>
      </c>
      <c r="B43" s="31"/>
      <c r="C43" s="31"/>
      <c r="D43" s="31"/>
      <c r="E43" s="31"/>
      <c r="F43" s="32"/>
      <c r="G43" s="33"/>
      <c r="H43" s="33"/>
      <c r="I43" s="20" t="str">
        <f t="shared" si="0"/>
        <v/>
      </c>
      <c r="J43" s="21" t="str">
        <f>IFERROR(VLOOKUP(BR43,Pricing!$D$3:$E$58,2,FALSE),"")</f>
        <v/>
      </c>
      <c r="K43" s="32"/>
      <c r="L43" s="32"/>
      <c r="M43" s="32"/>
      <c r="N43" s="36" t="str" cm="1">
        <f t="array" ref="N43">IFERROR(_xlfn.IFS((AND(K43="SI",M43="$")),J43*0.2,AND(K43="SI",M43="%"),20),"")</f>
        <v/>
      </c>
      <c r="O43" s="29" t="str">
        <f t="shared" si="1"/>
        <v/>
      </c>
      <c r="P43" s="21" t="str">
        <f t="shared" si="2"/>
        <v/>
      </c>
      <c r="Q43" s="21" t="str">
        <f t="shared" si="3"/>
        <v/>
      </c>
      <c r="R43" s="21" t="str">
        <f t="shared" si="4"/>
        <v/>
      </c>
      <c r="S43" s="39"/>
      <c r="T43" s="43" t="str">
        <f t="shared" si="15"/>
        <v/>
      </c>
      <c r="U43" s="49" t="str">
        <f t="shared" si="17"/>
        <v/>
      </c>
      <c r="V43" s="48" t="str">
        <f t="shared" si="18"/>
        <v/>
      </c>
      <c r="W43" s="48" t="str">
        <f t="shared" si="8"/>
        <v/>
      </c>
      <c r="X43" s="50" t="str">
        <f>IF(W43="","",SUMIF($B$4:$B$1002,B43,$W$4:$W$1000))</f>
        <v/>
      </c>
      <c r="Y43" s="43" t="str">
        <f t="shared" si="9"/>
        <v/>
      </c>
      <c r="Z43" s="49" t="str">
        <f t="shared" si="10"/>
        <v/>
      </c>
      <c r="AA43" s="48" t="str">
        <f t="shared" si="11"/>
        <v/>
      </c>
      <c r="AB43" s="49" t="str">
        <f t="shared" si="12"/>
        <v/>
      </c>
      <c r="AC43" s="50" t="str">
        <f>IF(AB43="","",SUMIF($B$4:$B$1002,B43,$AB$4:$AB$1000))</f>
        <v/>
      </c>
      <c r="AD43" s="69"/>
      <c r="AE43" s="56"/>
      <c r="AF43" s="52"/>
      <c r="AG43" s="51"/>
      <c r="AH43" s="70"/>
      <c r="AI43" s="58"/>
      <c r="AJ43" s="55"/>
      <c r="AK43" s="51"/>
      <c r="AL43" s="69"/>
      <c r="AM43" s="56"/>
      <c r="AN43" s="52"/>
      <c r="AO43" s="51"/>
      <c r="AP43" s="70"/>
      <c r="AQ43" s="58"/>
      <c r="AR43" s="55"/>
      <c r="AS43" s="51"/>
      <c r="AT43" s="69"/>
      <c r="AU43" s="56"/>
      <c r="AV43" s="52"/>
      <c r="AW43" s="51"/>
      <c r="BR43" s="34" t="str">
        <f>IF(E43="","",CONCATENATE(E43," ",F43," noches"))</f>
        <v/>
      </c>
      <c r="BS43" s="28" t="str">
        <f t="shared" ca="1" si="13"/>
        <v/>
      </c>
      <c r="BT43" s="28" t="str">
        <f t="shared" ca="1" si="14"/>
        <v/>
      </c>
    </row>
    <row r="44" spans="1:72" x14ac:dyDescent="0.2">
      <c r="A44" s="18" t="str" cm="1">
        <f t="array" aca="1" ref="A44" ca="1">IF(B44="","","Grupo N˚"&amp;SUMPRODUCT(($B$4:B44&lt;&gt;"")*($B$4:B44&lt;&gt;OFFSET($B$4,-1,0,ROWS($B$4:B44),1))))</f>
        <v/>
      </c>
      <c r="B44" s="31"/>
      <c r="C44" s="31"/>
      <c r="D44" s="31"/>
      <c r="E44" s="31"/>
      <c r="F44" s="32"/>
      <c r="G44" s="33"/>
      <c r="H44" s="33"/>
      <c r="I44" s="20" t="str">
        <f t="shared" si="0"/>
        <v/>
      </c>
      <c r="J44" s="21" t="str">
        <f>IFERROR(VLOOKUP(BR44,Pricing!$D$3:$E$58,2,FALSE),"")</f>
        <v/>
      </c>
      <c r="K44" s="32"/>
      <c r="L44" s="32"/>
      <c r="M44" s="32"/>
      <c r="N44" s="36" t="str" cm="1">
        <f t="array" ref="N44">IFERROR(_xlfn.IFS((AND(K44="SI",M44="$")),J44*0.2,AND(K44="SI",M44="%"),20),"")</f>
        <v/>
      </c>
      <c r="O44" s="29" t="str">
        <f t="shared" si="1"/>
        <v/>
      </c>
      <c r="P44" s="21" t="str">
        <f t="shared" si="2"/>
        <v/>
      </c>
      <c r="Q44" s="21" t="str">
        <f t="shared" si="3"/>
        <v/>
      </c>
      <c r="R44" s="21" t="str">
        <f t="shared" si="4"/>
        <v/>
      </c>
      <c r="S44" s="39"/>
      <c r="T44" s="43" t="str">
        <f t="shared" si="15"/>
        <v/>
      </c>
      <c r="U44" s="49" t="str">
        <f t="shared" si="17"/>
        <v/>
      </c>
      <c r="V44" s="48" t="str">
        <f t="shared" si="18"/>
        <v/>
      </c>
      <c r="W44" s="48" t="str">
        <f t="shared" si="8"/>
        <v/>
      </c>
      <c r="X44" s="50" t="str">
        <f>IF(W44="","",SUMIF($B$4:$B$1002,B44,$W$4:$W$1000))</f>
        <v/>
      </c>
      <c r="Y44" s="43" t="str">
        <f t="shared" si="9"/>
        <v/>
      </c>
      <c r="Z44" s="49" t="str">
        <f t="shared" si="10"/>
        <v/>
      </c>
      <c r="AA44" s="48" t="str">
        <f t="shared" si="11"/>
        <v/>
      </c>
      <c r="AB44" s="49" t="str">
        <f t="shared" si="12"/>
        <v/>
      </c>
      <c r="AC44" s="50" t="str">
        <f>IF(AB44="","",SUMIF($B$4:$B$1002,B44,$AB$4:$AB$1000))</f>
        <v/>
      </c>
      <c r="AD44" s="69"/>
      <c r="AE44" s="56"/>
      <c r="AF44" s="52"/>
      <c r="AG44" s="51"/>
      <c r="AH44" s="70"/>
      <c r="AI44" s="58"/>
      <c r="AJ44" s="55"/>
      <c r="AK44" s="51"/>
      <c r="AL44" s="69"/>
      <c r="AM44" s="56"/>
      <c r="AN44" s="52"/>
      <c r="AO44" s="51"/>
      <c r="AP44" s="70"/>
      <c r="AQ44" s="58"/>
      <c r="AR44" s="55"/>
      <c r="AS44" s="51"/>
      <c r="AT44" s="69"/>
      <c r="AU44" s="56"/>
      <c r="AV44" s="52"/>
      <c r="AW44" s="51"/>
      <c r="BR44" s="34" t="str">
        <f>IF(E44="","",CONCATENATE(E44," ",F44," noches"))</f>
        <v/>
      </c>
      <c r="BS44" s="28" t="str">
        <f t="shared" ca="1" si="13"/>
        <v/>
      </c>
      <c r="BT44" s="28" t="str">
        <f t="shared" ca="1" si="14"/>
        <v/>
      </c>
    </row>
    <row r="45" spans="1:72" x14ac:dyDescent="0.2">
      <c r="A45" s="18" t="str" cm="1">
        <f t="array" aca="1" ref="A45" ca="1">IF(B45="","","Grupo N˚"&amp;SUMPRODUCT(($B$4:B45&lt;&gt;"")*($B$4:B45&lt;&gt;OFFSET($B$4,-1,0,ROWS($B$4:B45),1))))</f>
        <v/>
      </c>
      <c r="B45" s="31"/>
      <c r="C45" s="31"/>
      <c r="D45" s="31"/>
      <c r="E45" s="31"/>
      <c r="F45" s="32"/>
      <c r="G45" s="33"/>
      <c r="H45" s="33"/>
      <c r="I45" s="20" t="str">
        <f t="shared" si="0"/>
        <v/>
      </c>
      <c r="J45" s="21" t="str">
        <f>IFERROR(VLOOKUP(BR45,Pricing!$D$3:$E$58,2,FALSE),"")</f>
        <v/>
      </c>
      <c r="K45" s="32"/>
      <c r="L45" s="32"/>
      <c r="M45" s="32"/>
      <c r="N45" s="36" t="str" cm="1">
        <f t="array" ref="N45">IFERROR(_xlfn.IFS((AND(K45="SI",M45="$")),J45*0.2,AND(K45="SI",M45="%"),20),"")</f>
        <v/>
      </c>
      <c r="O45" s="29" t="str">
        <f t="shared" si="1"/>
        <v/>
      </c>
      <c r="P45" s="21" t="str">
        <f t="shared" si="2"/>
        <v/>
      </c>
      <c r="Q45" s="21" t="str">
        <f t="shared" si="3"/>
        <v/>
      </c>
      <c r="R45" s="21" t="str">
        <f t="shared" si="4"/>
        <v/>
      </c>
      <c r="S45" s="39"/>
      <c r="T45" s="43" t="str">
        <f t="shared" si="15"/>
        <v/>
      </c>
      <c r="U45" s="49" t="str">
        <f t="shared" si="17"/>
        <v/>
      </c>
      <c r="V45" s="48" t="str">
        <f t="shared" si="18"/>
        <v/>
      </c>
      <c r="W45" s="48" t="str">
        <f t="shared" si="8"/>
        <v/>
      </c>
      <c r="X45" s="50" t="str">
        <f>IF(W45="","",SUMIF($B$4:$B$1002,B45,$W$4:$W$1000))</f>
        <v/>
      </c>
      <c r="Y45" s="43" t="str">
        <f t="shared" si="9"/>
        <v/>
      </c>
      <c r="Z45" s="49" t="str">
        <f t="shared" si="10"/>
        <v/>
      </c>
      <c r="AA45" s="48" t="str">
        <f t="shared" si="11"/>
        <v/>
      </c>
      <c r="AB45" s="49" t="str">
        <f t="shared" si="12"/>
        <v/>
      </c>
      <c r="AC45" s="50" t="str">
        <f>IF(AB45="","",SUMIF($B$4:$B$1002,B45,$AB$4:$AB$1000))</f>
        <v/>
      </c>
      <c r="AD45" s="69"/>
      <c r="AE45" s="56"/>
      <c r="AF45" s="52"/>
      <c r="AG45" s="51"/>
      <c r="AH45" s="70"/>
      <c r="AI45" s="58"/>
      <c r="AJ45" s="55"/>
      <c r="AK45" s="51"/>
      <c r="AL45" s="69"/>
      <c r="AM45" s="56"/>
      <c r="AN45" s="52"/>
      <c r="AO45" s="51"/>
      <c r="AP45" s="70"/>
      <c r="AQ45" s="58"/>
      <c r="AR45" s="55"/>
      <c r="AS45" s="51"/>
      <c r="AT45" s="69"/>
      <c r="AU45" s="56"/>
      <c r="AV45" s="52"/>
      <c r="AW45" s="51"/>
      <c r="BR45" s="34" t="str">
        <f>IF(E45="","",CONCATENATE(E45," ",F45," noches"))</f>
        <v/>
      </c>
      <c r="BS45" s="28" t="str">
        <f t="shared" ca="1" si="13"/>
        <v/>
      </c>
      <c r="BT45" s="28" t="str">
        <f t="shared" ca="1" si="14"/>
        <v/>
      </c>
    </row>
    <row r="46" spans="1:72" x14ac:dyDescent="0.2">
      <c r="A46" s="18" t="str" cm="1">
        <f t="array" aca="1" ref="A46" ca="1">IF(B46="","","Grupo N˚"&amp;SUMPRODUCT(($B$4:B46&lt;&gt;"")*($B$4:B46&lt;&gt;OFFSET($B$4,-1,0,ROWS($B$4:B46),1))))</f>
        <v/>
      </c>
      <c r="B46" s="31"/>
      <c r="C46" s="31"/>
      <c r="D46" s="31"/>
      <c r="E46" s="31"/>
      <c r="F46" s="32"/>
      <c r="G46" s="33"/>
      <c r="H46" s="33"/>
      <c r="I46" s="20" t="str">
        <f t="shared" si="0"/>
        <v/>
      </c>
      <c r="J46" s="21" t="str">
        <f>IFERROR(VLOOKUP(BR46,Pricing!$D$3:$E$58,2,FALSE),"")</f>
        <v/>
      </c>
      <c r="K46" s="32"/>
      <c r="L46" s="32"/>
      <c r="M46" s="32"/>
      <c r="N46" s="36" t="str" cm="1">
        <f t="array" ref="N46">IFERROR(_xlfn.IFS((AND(K46="SI",M46="$")),J46*0.2,AND(K46="SI",M46="%"),20),"")</f>
        <v/>
      </c>
      <c r="O46" s="29" t="str">
        <f t="shared" si="1"/>
        <v/>
      </c>
      <c r="P46" s="21" t="str">
        <f t="shared" si="2"/>
        <v/>
      </c>
      <c r="Q46" s="21" t="str">
        <f t="shared" si="3"/>
        <v/>
      </c>
      <c r="R46" s="21" t="str">
        <f t="shared" si="4"/>
        <v/>
      </c>
      <c r="S46" s="39"/>
      <c r="T46" s="43" t="str">
        <f t="shared" si="15"/>
        <v/>
      </c>
      <c r="U46" s="49" t="str">
        <f t="shared" si="17"/>
        <v/>
      </c>
      <c r="V46" s="48" t="str">
        <f t="shared" si="18"/>
        <v/>
      </c>
      <c r="W46" s="48" t="str">
        <f t="shared" si="8"/>
        <v/>
      </c>
      <c r="X46" s="50" t="str">
        <f>IF(W46="","",SUMIF($B$4:$B$1002,B46,$W$4:$W$1000))</f>
        <v/>
      </c>
      <c r="Y46" s="43" t="str">
        <f t="shared" si="9"/>
        <v/>
      </c>
      <c r="Z46" s="49" t="str">
        <f t="shared" si="10"/>
        <v/>
      </c>
      <c r="AA46" s="48" t="str">
        <f t="shared" si="11"/>
        <v/>
      </c>
      <c r="AB46" s="49" t="str">
        <f t="shared" si="12"/>
        <v/>
      </c>
      <c r="AC46" s="50" t="str">
        <f>IF(AB46="","",SUMIF($B$4:$B$1002,B46,$AB$4:$AB$1000))</f>
        <v/>
      </c>
      <c r="AD46" s="69"/>
      <c r="AE46" s="56"/>
      <c r="AF46" s="52"/>
      <c r="AG46" s="51"/>
      <c r="AH46" s="70"/>
      <c r="AI46" s="58"/>
      <c r="AJ46" s="55"/>
      <c r="AK46" s="51"/>
      <c r="AL46" s="69"/>
      <c r="AM46" s="56"/>
      <c r="AN46" s="52"/>
      <c r="AO46" s="51"/>
      <c r="AP46" s="70"/>
      <c r="AQ46" s="58"/>
      <c r="AR46" s="55"/>
      <c r="AS46" s="51"/>
      <c r="AT46" s="69"/>
      <c r="AU46" s="56"/>
      <c r="AV46" s="52"/>
      <c r="AW46" s="51"/>
      <c r="BR46" s="34" t="str">
        <f>IF(E46="","",CONCATENATE(E46," ",F46," noches"))</f>
        <v/>
      </c>
      <c r="BS46" s="28" t="str">
        <f t="shared" ca="1" si="13"/>
        <v/>
      </c>
      <c r="BT46" s="28" t="str">
        <f t="shared" ca="1" si="14"/>
        <v/>
      </c>
    </row>
    <row r="47" spans="1:72" x14ac:dyDescent="0.2">
      <c r="A47" s="18" t="str" cm="1">
        <f t="array" aca="1" ref="A47" ca="1">IF(B47="","","Grupo N˚"&amp;SUMPRODUCT(($B$4:B47&lt;&gt;"")*($B$4:B47&lt;&gt;OFFSET($B$4,-1,0,ROWS($B$4:B47),1))))</f>
        <v/>
      </c>
      <c r="B47" s="31"/>
      <c r="C47" s="31"/>
      <c r="D47" s="31"/>
      <c r="E47" s="31"/>
      <c r="F47" s="32"/>
      <c r="G47" s="33"/>
      <c r="H47" s="33"/>
      <c r="I47" s="20" t="str">
        <f t="shared" si="0"/>
        <v/>
      </c>
      <c r="J47" s="21" t="str">
        <f>IFERROR(VLOOKUP(BR47,Pricing!$D$3:$E$58,2,FALSE),"")</f>
        <v/>
      </c>
      <c r="K47" s="32"/>
      <c r="L47" s="32"/>
      <c r="M47" s="32"/>
      <c r="N47" s="36" t="str" cm="1">
        <f t="array" ref="N47">IFERROR(_xlfn.IFS((AND(K47="SI",M47="$")),J47*0.2,AND(K47="SI",M47="%"),20),"")</f>
        <v/>
      </c>
      <c r="O47" s="29" t="str">
        <f t="shared" si="1"/>
        <v/>
      </c>
      <c r="P47" s="21" t="str">
        <f t="shared" si="2"/>
        <v/>
      </c>
      <c r="Q47" s="21" t="str">
        <f t="shared" si="3"/>
        <v/>
      </c>
      <c r="R47" s="21" t="str">
        <f t="shared" si="4"/>
        <v/>
      </c>
      <c r="S47" s="39"/>
      <c r="T47" s="43" t="str">
        <f t="shared" si="15"/>
        <v/>
      </c>
      <c r="U47" s="49" t="str">
        <f t="shared" si="17"/>
        <v/>
      </c>
      <c r="V47" s="48" t="str">
        <f t="shared" si="18"/>
        <v/>
      </c>
      <c r="W47" s="48" t="str">
        <f t="shared" si="8"/>
        <v/>
      </c>
      <c r="X47" s="50" t="str">
        <f>IF(W47="","",SUMIF($B$4:$B$1002,B47,$W$4:$W$1000))</f>
        <v/>
      </c>
      <c r="Y47" s="43" t="str">
        <f t="shared" si="9"/>
        <v/>
      </c>
      <c r="Z47" s="49" t="str">
        <f t="shared" si="10"/>
        <v/>
      </c>
      <c r="AA47" s="48" t="str">
        <f t="shared" si="11"/>
        <v/>
      </c>
      <c r="AB47" s="49" t="str">
        <f t="shared" si="12"/>
        <v/>
      </c>
      <c r="AC47" s="50" t="str">
        <f>IF(AB47="","",SUMIF($B$4:$B$1002,B47,$AB$4:$AB$1000))</f>
        <v/>
      </c>
      <c r="AD47" s="69"/>
      <c r="AE47" s="56"/>
      <c r="AF47" s="52"/>
      <c r="AG47" s="51"/>
      <c r="AH47" s="70"/>
      <c r="AI47" s="58"/>
      <c r="AJ47" s="55"/>
      <c r="AK47" s="51"/>
      <c r="AL47" s="69"/>
      <c r="AM47" s="56"/>
      <c r="AN47" s="52"/>
      <c r="AO47" s="51"/>
      <c r="AP47" s="70"/>
      <c r="AQ47" s="58"/>
      <c r="AR47" s="55"/>
      <c r="AS47" s="51"/>
      <c r="AT47" s="69"/>
      <c r="AU47" s="56"/>
      <c r="AV47" s="52"/>
      <c r="AW47" s="51"/>
      <c r="BR47" s="34" t="str">
        <f>IF(E47="","",CONCATENATE(E47," ",F47," noches"))</f>
        <v/>
      </c>
      <c r="BS47" s="28" t="str">
        <f t="shared" ca="1" si="13"/>
        <v/>
      </c>
      <c r="BT47" s="28" t="str">
        <f t="shared" ca="1" si="14"/>
        <v/>
      </c>
    </row>
    <row r="48" spans="1:72" x14ac:dyDescent="0.2">
      <c r="A48" s="18" t="str" cm="1">
        <f t="array" aca="1" ref="A48" ca="1">IF(B48="","","Grupo N˚"&amp;SUMPRODUCT(($B$4:B48&lt;&gt;"")*($B$4:B48&lt;&gt;OFFSET($B$4,-1,0,ROWS($B$4:B48),1))))</f>
        <v/>
      </c>
      <c r="B48" s="31"/>
      <c r="C48" s="31"/>
      <c r="D48" s="31"/>
      <c r="E48" s="31"/>
      <c r="F48" s="32"/>
      <c r="G48" s="33"/>
      <c r="H48" s="33"/>
      <c r="I48" s="20" t="str">
        <f t="shared" si="0"/>
        <v/>
      </c>
      <c r="J48" s="21" t="str">
        <f>IFERROR(VLOOKUP(BR48,Pricing!$D$3:$E$58,2,FALSE),"")</f>
        <v/>
      </c>
      <c r="K48" s="32"/>
      <c r="L48" s="32"/>
      <c r="M48" s="32"/>
      <c r="N48" s="36" t="str" cm="1">
        <f t="array" ref="N48">IFERROR(_xlfn.IFS((AND(K48="SI",M48="$")),J48*0.2,AND(K48="SI",M48="%"),20),"")</f>
        <v/>
      </c>
      <c r="O48" s="29" t="str">
        <f t="shared" si="1"/>
        <v/>
      </c>
      <c r="P48" s="21" t="str">
        <f t="shared" si="2"/>
        <v/>
      </c>
      <c r="Q48" s="21" t="str">
        <f t="shared" si="3"/>
        <v/>
      </c>
      <c r="R48" s="21" t="str">
        <f t="shared" si="4"/>
        <v/>
      </c>
      <c r="S48" s="39"/>
      <c r="T48" s="43" t="str">
        <f t="shared" si="15"/>
        <v/>
      </c>
      <c r="U48" s="49" t="str">
        <f t="shared" si="17"/>
        <v/>
      </c>
      <c r="V48" s="48" t="str">
        <f t="shared" si="18"/>
        <v/>
      </c>
      <c r="W48" s="48" t="str">
        <f t="shared" si="8"/>
        <v/>
      </c>
      <c r="X48" s="50" t="str">
        <f>IF(W48="","",SUMIF($B$4:$B$1002,B48,$W$4:$W$1000))</f>
        <v/>
      </c>
      <c r="Y48" s="43" t="str">
        <f t="shared" si="9"/>
        <v/>
      </c>
      <c r="Z48" s="49" t="str">
        <f t="shared" si="10"/>
        <v/>
      </c>
      <c r="AA48" s="48" t="str">
        <f t="shared" si="11"/>
        <v/>
      </c>
      <c r="AB48" s="49" t="str">
        <f t="shared" si="12"/>
        <v/>
      </c>
      <c r="AC48" s="50" t="str">
        <f>IF(AB48="","",SUMIF($B$4:$B$1002,B48,$AB$4:$AB$1000))</f>
        <v/>
      </c>
      <c r="AD48" s="69"/>
      <c r="AE48" s="56"/>
      <c r="AF48" s="52"/>
      <c r="AG48" s="51"/>
      <c r="AH48" s="70"/>
      <c r="AI48" s="58"/>
      <c r="AJ48" s="55"/>
      <c r="AK48" s="51"/>
      <c r="AL48" s="69"/>
      <c r="AM48" s="56"/>
      <c r="AN48" s="52"/>
      <c r="AO48" s="51"/>
      <c r="AP48" s="70"/>
      <c r="AQ48" s="58"/>
      <c r="AR48" s="55"/>
      <c r="AS48" s="51"/>
      <c r="AT48" s="69"/>
      <c r="AU48" s="56"/>
      <c r="AV48" s="52"/>
      <c r="AW48" s="51"/>
      <c r="BR48" s="34" t="str">
        <f>IF(E48="","",CONCATENATE(E48," ",F48," noches"))</f>
        <v/>
      </c>
      <c r="BS48" s="28" t="str">
        <f t="shared" ca="1" si="13"/>
        <v/>
      </c>
      <c r="BT48" s="28" t="str">
        <f t="shared" ca="1" si="14"/>
        <v/>
      </c>
    </row>
    <row r="49" spans="1:72" x14ac:dyDescent="0.2">
      <c r="A49" s="18" t="str" cm="1">
        <f t="array" aca="1" ref="A49" ca="1">IF(B49="","","Grupo N˚"&amp;SUMPRODUCT(($B$4:B49&lt;&gt;"")*($B$4:B49&lt;&gt;OFFSET($B$4,-1,0,ROWS($B$4:B49),1))))</f>
        <v/>
      </c>
      <c r="B49" s="31"/>
      <c r="C49" s="31"/>
      <c r="D49" s="31"/>
      <c r="E49" s="31"/>
      <c r="F49" s="32"/>
      <c r="G49" s="33"/>
      <c r="H49" s="33"/>
      <c r="I49" s="20" t="str">
        <f t="shared" si="0"/>
        <v/>
      </c>
      <c r="J49" s="21" t="str">
        <f>IFERROR(VLOOKUP(BR49,Pricing!$D$3:$E$58,2,FALSE),"")</f>
        <v/>
      </c>
      <c r="K49" s="32"/>
      <c r="L49" s="32"/>
      <c r="M49" s="32"/>
      <c r="N49" s="36" t="str" cm="1">
        <f t="array" ref="N49">IFERROR(_xlfn.IFS((AND(K49="SI",M49="$")),J49*0.2,AND(K49="SI",M49="%"),20),"")</f>
        <v/>
      </c>
      <c r="O49" s="29" t="str">
        <f t="shared" si="1"/>
        <v/>
      </c>
      <c r="P49" s="21" t="str">
        <f t="shared" si="2"/>
        <v/>
      </c>
      <c r="Q49" s="21" t="str">
        <f t="shared" si="3"/>
        <v/>
      </c>
      <c r="R49" s="21" t="str">
        <f t="shared" si="4"/>
        <v/>
      </c>
      <c r="S49" s="39"/>
      <c r="T49" s="43" t="str">
        <f t="shared" si="15"/>
        <v/>
      </c>
      <c r="U49" s="49" t="str">
        <f t="shared" si="17"/>
        <v/>
      </c>
      <c r="V49" s="48" t="str">
        <f t="shared" si="18"/>
        <v/>
      </c>
      <c r="W49" s="48" t="str">
        <f t="shared" si="8"/>
        <v/>
      </c>
      <c r="X49" s="50" t="str">
        <f>IF(W49="","",SUMIF($B$4:$B$1002,B49,$W$4:$W$1000))</f>
        <v/>
      </c>
      <c r="Y49" s="43" t="str">
        <f t="shared" si="9"/>
        <v/>
      </c>
      <c r="Z49" s="49" t="str">
        <f t="shared" si="10"/>
        <v/>
      </c>
      <c r="AA49" s="48" t="str">
        <f t="shared" si="11"/>
        <v/>
      </c>
      <c r="AB49" s="49" t="str">
        <f t="shared" si="12"/>
        <v/>
      </c>
      <c r="AC49" s="50" t="str">
        <f>IF(AB49="","",SUMIF($B$4:$B$1002,B49,$AB$4:$AB$1000))</f>
        <v/>
      </c>
      <c r="AD49" s="69"/>
      <c r="AE49" s="56"/>
      <c r="AF49" s="52"/>
      <c r="AG49" s="51"/>
      <c r="AH49" s="70"/>
      <c r="AI49" s="58"/>
      <c r="AJ49" s="55"/>
      <c r="AK49" s="51"/>
      <c r="AL49" s="69"/>
      <c r="AM49" s="56"/>
      <c r="AN49" s="52"/>
      <c r="AO49" s="51"/>
      <c r="AP49" s="70"/>
      <c r="AQ49" s="58"/>
      <c r="AR49" s="55"/>
      <c r="AS49" s="51"/>
      <c r="AT49" s="69"/>
      <c r="AU49" s="56"/>
      <c r="AV49" s="52"/>
      <c r="AW49" s="51"/>
      <c r="BR49" s="34" t="str">
        <f>IF(E49="","",CONCATENATE(E49," ",F49," noches"))</f>
        <v/>
      </c>
      <c r="BS49" s="28" t="str">
        <f t="shared" ca="1" si="13"/>
        <v/>
      </c>
      <c r="BT49" s="28" t="str">
        <f t="shared" ca="1" si="14"/>
        <v/>
      </c>
    </row>
    <row r="50" spans="1:72" x14ac:dyDescent="0.2">
      <c r="A50" s="18" t="str" cm="1">
        <f t="array" aca="1" ref="A50" ca="1">IF(B50="","","Grupo N˚"&amp;SUMPRODUCT(($B$4:B50&lt;&gt;"")*($B$4:B50&lt;&gt;OFFSET($B$4,-1,0,ROWS($B$4:B50),1))))</f>
        <v/>
      </c>
      <c r="B50" s="31"/>
      <c r="C50" s="31"/>
      <c r="D50" s="31"/>
      <c r="E50" s="31"/>
      <c r="F50" s="32"/>
      <c r="G50" s="33"/>
      <c r="H50" s="33"/>
      <c r="I50" s="20" t="str">
        <f t="shared" si="0"/>
        <v/>
      </c>
      <c r="J50" s="21" t="str">
        <f>IFERROR(VLOOKUP(BR50,Pricing!$D$3:$E$58,2,FALSE),"")</f>
        <v/>
      </c>
      <c r="K50" s="32"/>
      <c r="L50" s="32"/>
      <c r="M50" s="32"/>
      <c r="N50" s="36" t="str" cm="1">
        <f t="array" ref="N50">IFERROR(_xlfn.IFS((AND(K50="SI",M50="$")),J50*0.2,AND(K50="SI",M50="%"),20),"")</f>
        <v/>
      </c>
      <c r="O50" s="29" t="str">
        <f t="shared" si="1"/>
        <v/>
      </c>
      <c r="P50" s="21" t="str">
        <f t="shared" si="2"/>
        <v/>
      </c>
      <c r="Q50" s="21" t="str">
        <f t="shared" si="3"/>
        <v/>
      </c>
      <c r="R50" s="21" t="str">
        <f t="shared" si="4"/>
        <v/>
      </c>
      <c r="S50" s="39"/>
      <c r="T50" s="43" t="str">
        <f t="shared" si="15"/>
        <v/>
      </c>
      <c r="U50" s="49" t="str">
        <f t="shared" si="17"/>
        <v/>
      </c>
      <c r="V50" s="48" t="str">
        <f t="shared" si="18"/>
        <v/>
      </c>
      <c r="W50" s="48" t="str">
        <f t="shared" si="8"/>
        <v/>
      </c>
      <c r="X50" s="50" t="str">
        <f>IF(W50="","",SUMIF($B$4:$B$1002,B50,$W$4:$W$1000))</f>
        <v/>
      </c>
      <c r="Y50" s="43" t="str">
        <f t="shared" si="9"/>
        <v/>
      </c>
      <c r="Z50" s="49" t="str">
        <f t="shared" si="10"/>
        <v/>
      </c>
      <c r="AA50" s="48" t="str">
        <f t="shared" si="11"/>
        <v/>
      </c>
      <c r="AB50" s="49" t="str">
        <f t="shared" si="12"/>
        <v/>
      </c>
      <c r="AC50" s="50" t="str">
        <f>IF(AB50="","",SUMIF($B$4:$B$1002,B50,$AB$4:$AB$1000))</f>
        <v/>
      </c>
      <c r="AD50" s="69"/>
      <c r="AE50" s="56"/>
      <c r="AF50" s="52"/>
      <c r="AG50" s="51"/>
      <c r="AH50" s="70"/>
      <c r="AI50" s="58"/>
      <c r="AJ50" s="55"/>
      <c r="AK50" s="51"/>
      <c r="AL50" s="69"/>
      <c r="AM50" s="56"/>
      <c r="AN50" s="52"/>
      <c r="AO50" s="51"/>
      <c r="AP50" s="70"/>
      <c r="AQ50" s="58"/>
      <c r="AR50" s="55"/>
      <c r="AS50" s="51"/>
      <c r="AT50" s="69"/>
      <c r="AU50" s="56"/>
      <c r="AV50" s="52"/>
      <c r="AW50" s="51"/>
      <c r="BR50" s="34" t="str">
        <f>IF(E50="","",CONCATENATE(E50," ",F50," noches"))</f>
        <v/>
      </c>
      <c r="BS50" s="28" t="str">
        <f t="shared" ca="1" si="13"/>
        <v/>
      </c>
      <c r="BT50" s="28" t="str">
        <f t="shared" ca="1" si="14"/>
        <v/>
      </c>
    </row>
    <row r="51" spans="1:72" x14ac:dyDescent="0.2">
      <c r="A51" s="18" t="str" cm="1">
        <f t="array" aca="1" ref="A51" ca="1">IF(B51="","","Grupo N˚"&amp;SUMPRODUCT(($B$4:B51&lt;&gt;"")*($B$4:B51&lt;&gt;OFFSET($B$4,-1,0,ROWS($B$4:B51),1))))</f>
        <v/>
      </c>
      <c r="B51" s="31"/>
      <c r="C51" s="31"/>
      <c r="D51" s="31"/>
      <c r="E51" s="31"/>
      <c r="F51" s="32"/>
      <c r="G51" s="33"/>
      <c r="H51" s="33"/>
      <c r="I51" s="20" t="str">
        <f t="shared" si="0"/>
        <v/>
      </c>
      <c r="J51" s="21" t="str">
        <f>IFERROR(VLOOKUP(BR51,Pricing!$D$3:$E$58,2,FALSE),"")</f>
        <v/>
      </c>
      <c r="K51" s="32"/>
      <c r="L51" s="32"/>
      <c r="M51" s="32"/>
      <c r="N51" s="36" t="str" cm="1">
        <f t="array" ref="N51">IFERROR(_xlfn.IFS((AND(K51="SI",M51="$")),J51*0.2,AND(K51="SI",M51="%"),20),"")</f>
        <v/>
      </c>
      <c r="O51" s="29" t="str">
        <f t="shared" si="1"/>
        <v/>
      </c>
      <c r="P51" s="21" t="str">
        <f t="shared" si="2"/>
        <v/>
      </c>
      <c r="Q51" s="21" t="str">
        <f t="shared" si="3"/>
        <v/>
      </c>
      <c r="R51" s="21" t="str">
        <f t="shared" si="4"/>
        <v/>
      </c>
      <c r="S51" s="39"/>
      <c r="T51" s="43" t="str">
        <f t="shared" si="15"/>
        <v/>
      </c>
      <c r="U51" s="49" t="str">
        <f t="shared" si="17"/>
        <v/>
      </c>
      <c r="V51" s="48" t="str">
        <f t="shared" si="18"/>
        <v/>
      </c>
      <c r="W51" s="48" t="str">
        <f t="shared" si="8"/>
        <v/>
      </c>
      <c r="X51" s="50" t="str">
        <f>IF(W51="","",SUMIF($B$4:$B$1002,B51,$W$4:$W$1000))</f>
        <v/>
      </c>
      <c r="Y51" s="43" t="str">
        <f t="shared" si="9"/>
        <v/>
      </c>
      <c r="Z51" s="49" t="str">
        <f t="shared" si="10"/>
        <v/>
      </c>
      <c r="AA51" s="48" t="str">
        <f t="shared" si="11"/>
        <v/>
      </c>
      <c r="AB51" s="49" t="str">
        <f t="shared" si="12"/>
        <v/>
      </c>
      <c r="AC51" s="50" t="str">
        <f>IF(AB51="","",SUMIF($B$4:$B$1002,B51,$AB$4:$AB$1000))</f>
        <v/>
      </c>
      <c r="AD51" s="69"/>
      <c r="AE51" s="56"/>
      <c r="AF51" s="52"/>
      <c r="AG51" s="51"/>
      <c r="AH51" s="70"/>
      <c r="AI51" s="58"/>
      <c r="AJ51" s="55"/>
      <c r="AK51" s="51"/>
      <c r="AL51" s="69"/>
      <c r="AM51" s="56"/>
      <c r="AN51" s="52"/>
      <c r="AO51" s="51"/>
      <c r="AP51" s="70"/>
      <c r="AQ51" s="58"/>
      <c r="AR51" s="55"/>
      <c r="AS51" s="51"/>
      <c r="AT51" s="69"/>
      <c r="AU51" s="56"/>
      <c r="AV51" s="52"/>
      <c r="AW51" s="51"/>
      <c r="BR51" s="34" t="str">
        <f>IF(E51="","",CONCATENATE(E51," ",F51," noches"))</f>
        <v/>
      </c>
      <c r="BS51" s="28" t="str">
        <f t="shared" ca="1" si="13"/>
        <v/>
      </c>
      <c r="BT51" s="28" t="str">
        <f t="shared" ca="1" si="14"/>
        <v/>
      </c>
    </row>
    <row r="52" spans="1:72" x14ac:dyDescent="0.2">
      <c r="A52" s="18" t="str" cm="1">
        <f t="array" aca="1" ref="A52" ca="1">IF(B52="","","Grupo N˚"&amp;SUMPRODUCT(($B$4:B52&lt;&gt;"")*($B$4:B52&lt;&gt;OFFSET($B$4,-1,0,ROWS($B$4:B52),1))))</f>
        <v/>
      </c>
      <c r="B52" s="31"/>
      <c r="C52" s="31"/>
      <c r="D52" s="31"/>
      <c r="E52" s="31"/>
      <c r="F52" s="32"/>
      <c r="G52" s="33"/>
      <c r="H52" s="33"/>
      <c r="I52" s="20" t="str">
        <f t="shared" si="0"/>
        <v/>
      </c>
      <c r="J52" s="21" t="str">
        <f>IFERROR(VLOOKUP(BR52,Pricing!$D$3:$E$58,2,FALSE),"")</f>
        <v/>
      </c>
      <c r="K52" s="32"/>
      <c r="L52" s="32"/>
      <c r="M52" s="32"/>
      <c r="N52" s="36" t="str" cm="1">
        <f t="array" ref="N52">IFERROR(_xlfn.IFS((AND(K52="SI",M52="$")),J52*0.2,AND(K52="SI",M52="%"),20),"")</f>
        <v/>
      </c>
      <c r="O52" s="29" t="str">
        <f t="shared" si="1"/>
        <v/>
      </c>
      <c r="P52" s="21" t="str">
        <f t="shared" si="2"/>
        <v/>
      </c>
      <c r="Q52" s="21" t="str">
        <f t="shared" si="3"/>
        <v/>
      </c>
      <c r="R52" s="21" t="str">
        <f t="shared" si="4"/>
        <v/>
      </c>
      <c r="S52" s="39"/>
      <c r="T52" s="43" t="str">
        <f t="shared" si="15"/>
        <v/>
      </c>
      <c r="U52" s="49" t="str">
        <f t="shared" si="17"/>
        <v/>
      </c>
      <c r="V52" s="48" t="str">
        <f t="shared" si="18"/>
        <v/>
      </c>
      <c r="W52" s="48" t="str">
        <f t="shared" si="8"/>
        <v/>
      </c>
      <c r="X52" s="50" t="str">
        <f>IF(W52="","",SUMIF($B$4:$B$1002,B52,$W$4:$W$1000))</f>
        <v/>
      </c>
      <c r="Y52" s="43" t="str">
        <f t="shared" si="9"/>
        <v/>
      </c>
      <c r="Z52" s="49" t="str">
        <f t="shared" si="10"/>
        <v/>
      </c>
      <c r="AA52" s="48" t="str">
        <f t="shared" si="11"/>
        <v/>
      </c>
      <c r="AB52" s="49" t="str">
        <f t="shared" si="12"/>
        <v/>
      </c>
      <c r="AC52" s="50" t="str">
        <f>IF(AB52="","",SUMIF($B$4:$B$1002,B52,$AB$4:$AB$1000))</f>
        <v/>
      </c>
      <c r="AD52" s="69"/>
      <c r="AE52" s="56"/>
      <c r="AF52" s="52"/>
      <c r="AG52" s="51"/>
      <c r="AH52" s="70"/>
      <c r="AI52" s="58"/>
      <c r="AJ52" s="55"/>
      <c r="AK52" s="51"/>
      <c r="AL52" s="69"/>
      <c r="AM52" s="56"/>
      <c r="AN52" s="52"/>
      <c r="AO52" s="51"/>
      <c r="AP52" s="70"/>
      <c r="AQ52" s="58"/>
      <c r="AR52" s="55"/>
      <c r="AS52" s="51"/>
      <c r="AT52" s="69"/>
      <c r="AU52" s="56"/>
      <c r="AV52" s="52"/>
      <c r="AW52" s="51"/>
      <c r="BR52" s="34" t="str">
        <f>IF(E52="","",CONCATENATE(E52," ",F52," noches"))</f>
        <v/>
      </c>
      <c r="BS52" s="28" t="str">
        <f t="shared" ca="1" si="13"/>
        <v/>
      </c>
      <c r="BT52" s="28" t="str">
        <f t="shared" ca="1" si="14"/>
        <v/>
      </c>
    </row>
    <row r="53" spans="1:72" x14ac:dyDescent="0.2">
      <c r="A53" s="18" t="str" cm="1">
        <f t="array" aca="1" ref="A53" ca="1">IF(B53="","","Grupo N˚"&amp;SUMPRODUCT(($B$4:B53&lt;&gt;"")*($B$4:B53&lt;&gt;OFFSET($B$4,-1,0,ROWS($B$4:B53),1))))</f>
        <v/>
      </c>
      <c r="B53" s="31"/>
      <c r="C53" s="31"/>
      <c r="D53" s="31"/>
      <c r="E53" s="31"/>
      <c r="F53" s="32"/>
      <c r="G53" s="33"/>
      <c r="H53" s="33"/>
      <c r="I53" s="20" t="str">
        <f t="shared" si="0"/>
        <v/>
      </c>
      <c r="J53" s="21" t="str">
        <f>IFERROR(VLOOKUP(BR53,Pricing!$D$3:$E$58,2,FALSE),"")</f>
        <v/>
      </c>
      <c r="K53" s="32"/>
      <c r="L53" s="32"/>
      <c r="M53" s="32"/>
      <c r="N53" s="36" t="str" cm="1">
        <f t="array" ref="N53">IFERROR(_xlfn.IFS((AND(K53="SI",M53="$")),J53*0.2,AND(K53="SI",M53="%"),20),"")</f>
        <v/>
      </c>
      <c r="O53" s="29" t="str">
        <f t="shared" si="1"/>
        <v/>
      </c>
      <c r="P53" s="21" t="str">
        <f t="shared" si="2"/>
        <v/>
      </c>
      <c r="Q53" s="21" t="str">
        <f t="shared" si="3"/>
        <v/>
      </c>
      <c r="R53" s="21" t="str">
        <f t="shared" si="4"/>
        <v/>
      </c>
      <c r="S53" s="39"/>
      <c r="T53" s="43" t="str">
        <f t="shared" si="15"/>
        <v/>
      </c>
      <c r="U53" s="49" t="str">
        <f t="shared" si="17"/>
        <v/>
      </c>
      <c r="V53" s="48" t="str">
        <f t="shared" si="18"/>
        <v/>
      </c>
      <c r="W53" s="48" t="str">
        <f t="shared" si="8"/>
        <v/>
      </c>
      <c r="X53" s="50" t="str">
        <f>IF(W53="","",SUMIF($B$4:$B$1002,B53,$W$4:$W$1000))</f>
        <v/>
      </c>
      <c r="Y53" s="43" t="str">
        <f t="shared" si="9"/>
        <v/>
      </c>
      <c r="Z53" s="49" t="str">
        <f t="shared" si="10"/>
        <v/>
      </c>
      <c r="AA53" s="48" t="str">
        <f t="shared" si="11"/>
        <v/>
      </c>
      <c r="AB53" s="49" t="str">
        <f t="shared" si="12"/>
        <v/>
      </c>
      <c r="AC53" s="50" t="str">
        <f>IF(AB53="","",SUMIF($B$4:$B$1002,B53,$AB$4:$AB$1000))</f>
        <v/>
      </c>
      <c r="AD53" s="69"/>
      <c r="AE53" s="56"/>
      <c r="AF53" s="52"/>
      <c r="AG53" s="51"/>
      <c r="AH53" s="70"/>
      <c r="AI53" s="58"/>
      <c r="AJ53" s="55"/>
      <c r="AK53" s="51"/>
      <c r="AL53" s="69"/>
      <c r="AM53" s="56"/>
      <c r="AN53" s="52"/>
      <c r="AO53" s="51"/>
      <c r="AP53" s="70"/>
      <c r="AQ53" s="58"/>
      <c r="AR53" s="55"/>
      <c r="AS53" s="51"/>
      <c r="AT53" s="69"/>
      <c r="AU53" s="56"/>
      <c r="AV53" s="52"/>
      <c r="AW53" s="51"/>
      <c r="BR53" s="34" t="str">
        <f>IF(E53="","",CONCATENATE(E53," ",F53," noches"))</f>
        <v/>
      </c>
      <c r="BS53" s="28" t="str">
        <f t="shared" ca="1" si="13"/>
        <v/>
      </c>
      <c r="BT53" s="28" t="str">
        <f t="shared" ca="1" si="14"/>
        <v/>
      </c>
    </row>
    <row r="54" spans="1:72" x14ac:dyDescent="0.2">
      <c r="A54" s="18" t="str" cm="1">
        <f t="array" aca="1" ref="A54" ca="1">IF(B54="","","Grupo N˚"&amp;SUMPRODUCT(($B$4:B54&lt;&gt;"")*($B$4:B54&lt;&gt;OFFSET($B$4,-1,0,ROWS($B$4:B54),1))))</f>
        <v/>
      </c>
      <c r="B54" s="31"/>
      <c r="C54" s="31"/>
      <c r="D54" s="31"/>
      <c r="E54" s="31"/>
      <c r="F54" s="32"/>
      <c r="G54" s="33"/>
      <c r="H54" s="33"/>
      <c r="I54" s="20" t="str">
        <f t="shared" si="0"/>
        <v/>
      </c>
      <c r="J54" s="21" t="str">
        <f>IFERROR(VLOOKUP(BR54,Pricing!$D$3:$E$58,2,FALSE),"")</f>
        <v/>
      </c>
      <c r="K54" s="32"/>
      <c r="L54" s="32"/>
      <c r="M54" s="32"/>
      <c r="N54" s="36" t="str" cm="1">
        <f t="array" ref="N54">IFERROR(_xlfn.IFS((AND(K54="SI",M54="$")),J54*0.2,AND(K54="SI",M54="%"),20),"")</f>
        <v/>
      </c>
      <c r="O54" s="29" t="str">
        <f t="shared" si="1"/>
        <v/>
      </c>
      <c r="P54" s="21" t="str">
        <f t="shared" si="2"/>
        <v/>
      </c>
      <c r="Q54" s="21" t="str">
        <f t="shared" si="3"/>
        <v/>
      </c>
      <c r="R54" s="21" t="str">
        <f t="shared" si="4"/>
        <v/>
      </c>
      <c r="S54" s="39"/>
      <c r="T54" s="43" t="str">
        <f t="shared" si="15"/>
        <v/>
      </c>
      <c r="U54" s="49" t="str">
        <f t="shared" si="17"/>
        <v/>
      </c>
      <c r="V54" s="48" t="str">
        <f t="shared" si="18"/>
        <v/>
      </c>
      <c r="W54" s="48" t="str">
        <f t="shared" si="8"/>
        <v/>
      </c>
      <c r="X54" s="50" t="str">
        <f>IF(W54="","",SUMIF($B$4:$B$1002,B54,$W$4:$W$1000))</f>
        <v/>
      </c>
      <c r="Y54" s="43" t="str">
        <f t="shared" si="9"/>
        <v/>
      </c>
      <c r="Z54" s="49" t="str">
        <f t="shared" si="10"/>
        <v/>
      </c>
      <c r="AA54" s="48" t="str">
        <f t="shared" si="11"/>
        <v/>
      </c>
      <c r="AB54" s="49" t="str">
        <f t="shared" si="12"/>
        <v/>
      </c>
      <c r="AC54" s="50" t="str">
        <f>IF(AB54="","",SUMIF($B$4:$B$1002,B54,$AB$4:$AB$1000))</f>
        <v/>
      </c>
      <c r="AD54" s="69"/>
      <c r="AE54" s="56"/>
      <c r="AF54" s="52"/>
      <c r="AG54" s="51"/>
      <c r="AH54" s="70"/>
      <c r="AI54" s="58"/>
      <c r="AJ54" s="55"/>
      <c r="AK54" s="51"/>
      <c r="AL54" s="69"/>
      <c r="AM54" s="56"/>
      <c r="AN54" s="52"/>
      <c r="AO54" s="51"/>
      <c r="AP54" s="70"/>
      <c r="AQ54" s="58"/>
      <c r="AR54" s="55"/>
      <c r="AS54" s="51"/>
      <c r="AT54" s="69"/>
      <c r="AU54" s="56"/>
      <c r="AV54" s="52"/>
      <c r="AW54" s="51"/>
      <c r="BR54" s="34" t="str">
        <f>IF(E54="","",CONCATENATE(E54," ",F54," noches"))</f>
        <v/>
      </c>
      <c r="BS54" s="28" t="str">
        <f t="shared" ca="1" si="13"/>
        <v/>
      </c>
      <c r="BT54" s="28" t="str">
        <f t="shared" ca="1" si="14"/>
        <v/>
      </c>
    </row>
    <row r="55" spans="1:72" x14ac:dyDescent="0.2">
      <c r="A55" s="18" t="str" cm="1">
        <f t="array" aca="1" ref="A55" ca="1">IF(B55="","","Grupo N˚"&amp;SUMPRODUCT(($B$4:B55&lt;&gt;"")*($B$4:B55&lt;&gt;OFFSET($B$4,-1,0,ROWS($B$4:B55),1))))</f>
        <v/>
      </c>
      <c r="B55" s="31"/>
      <c r="C55" s="31"/>
      <c r="D55" s="31"/>
      <c r="E55" s="31"/>
      <c r="F55" s="32"/>
      <c r="G55" s="33"/>
      <c r="H55" s="33"/>
      <c r="I55" s="20" t="str">
        <f t="shared" si="0"/>
        <v/>
      </c>
      <c r="J55" s="21" t="str">
        <f>IFERROR(VLOOKUP(BR55,Pricing!$D$3:$E$58,2,FALSE),"")</f>
        <v/>
      </c>
      <c r="K55" s="32"/>
      <c r="L55" s="32"/>
      <c r="M55" s="32"/>
      <c r="N55" s="36" t="str" cm="1">
        <f t="array" ref="N55">IFERROR(_xlfn.IFS((AND(K55="SI",M55="$")),J55*0.2,AND(K55="SI",M55="%"),20),"")</f>
        <v/>
      </c>
      <c r="O55" s="29" t="str">
        <f t="shared" si="1"/>
        <v/>
      </c>
      <c r="P55" s="21" t="str">
        <f t="shared" si="2"/>
        <v/>
      </c>
      <c r="Q55" s="21" t="str">
        <f t="shared" si="3"/>
        <v/>
      </c>
      <c r="R55" s="21" t="str">
        <f t="shared" si="4"/>
        <v/>
      </c>
      <c r="S55" s="39"/>
      <c r="T55" s="43" t="str">
        <f t="shared" si="15"/>
        <v/>
      </c>
      <c r="U55" s="49" t="str">
        <f t="shared" si="17"/>
        <v/>
      </c>
      <c r="V55" s="48" t="str">
        <f t="shared" si="18"/>
        <v/>
      </c>
      <c r="W55" s="48" t="str">
        <f t="shared" si="8"/>
        <v/>
      </c>
      <c r="X55" s="50" t="str">
        <f>IF(W55="","",SUMIF($B$4:$B$1002,B55,$W$4:$W$1000))</f>
        <v/>
      </c>
      <c r="Y55" s="43" t="str">
        <f t="shared" si="9"/>
        <v/>
      </c>
      <c r="Z55" s="49" t="str">
        <f t="shared" si="10"/>
        <v/>
      </c>
      <c r="AA55" s="48" t="str">
        <f t="shared" si="11"/>
        <v/>
      </c>
      <c r="AB55" s="49" t="str">
        <f t="shared" si="12"/>
        <v/>
      </c>
      <c r="AC55" s="50" t="str">
        <f>IF(AB55="","",SUMIF($B$4:$B$1002,B55,$AB$4:$AB$1000))</f>
        <v/>
      </c>
      <c r="AD55" s="69"/>
      <c r="AE55" s="56"/>
      <c r="AF55" s="52"/>
      <c r="AG55" s="51"/>
      <c r="AH55" s="70"/>
      <c r="AI55" s="58"/>
      <c r="AJ55" s="55"/>
      <c r="AK55" s="51"/>
      <c r="AL55" s="69"/>
      <c r="AM55" s="56"/>
      <c r="AN55" s="52"/>
      <c r="AO55" s="51"/>
      <c r="AP55" s="70"/>
      <c r="AQ55" s="58"/>
      <c r="AR55" s="55"/>
      <c r="AS55" s="51"/>
      <c r="AT55" s="69"/>
      <c r="AU55" s="56"/>
      <c r="AV55" s="52"/>
      <c r="AW55" s="51"/>
      <c r="BR55" s="34" t="str">
        <f>IF(E55="","",CONCATENATE(E55," ",F55," noches"))</f>
        <v/>
      </c>
      <c r="BS55" s="28" t="str">
        <f t="shared" ca="1" si="13"/>
        <v/>
      </c>
      <c r="BT55" s="28" t="str">
        <f t="shared" ca="1" si="14"/>
        <v/>
      </c>
    </row>
    <row r="56" spans="1:72" x14ac:dyDescent="0.2">
      <c r="A56" s="18" t="str" cm="1">
        <f t="array" aca="1" ref="A56" ca="1">IF(B56="","","Grupo N˚"&amp;SUMPRODUCT(($B$4:B56&lt;&gt;"")*($B$4:B56&lt;&gt;OFFSET($B$4,-1,0,ROWS($B$4:B56),1))))</f>
        <v/>
      </c>
      <c r="B56" s="31"/>
      <c r="C56" s="31"/>
      <c r="D56" s="31"/>
      <c r="E56" s="31"/>
      <c r="F56" s="32"/>
      <c r="G56" s="33"/>
      <c r="H56" s="33"/>
      <c r="I56" s="20" t="str">
        <f t="shared" si="0"/>
        <v/>
      </c>
      <c r="J56" s="21" t="str">
        <f>IFERROR(VLOOKUP(BR56,Pricing!$D$3:$E$58,2,FALSE),"")</f>
        <v/>
      </c>
      <c r="K56" s="32"/>
      <c r="L56" s="32"/>
      <c r="M56" s="32"/>
      <c r="N56" s="36" t="str" cm="1">
        <f t="array" ref="N56">IFERROR(_xlfn.IFS((AND(K56="SI",M56="$")),J56*0.2,AND(K56="SI",M56="%"),20),"")</f>
        <v/>
      </c>
      <c r="O56" s="29" t="str">
        <f t="shared" si="1"/>
        <v/>
      </c>
      <c r="P56" s="21" t="str">
        <f t="shared" si="2"/>
        <v/>
      </c>
      <c r="Q56" s="21" t="str">
        <f t="shared" si="3"/>
        <v/>
      </c>
      <c r="R56" s="21" t="str">
        <f t="shared" si="4"/>
        <v/>
      </c>
      <c r="S56" s="39"/>
      <c r="T56" s="43" t="str">
        <f t="shared" si="15"/>
        <v/>
      </c>
      <c r="U56" s="49" t="str">
        <f t="shared" si="17"/>
        <v/>
      </c>
      <c r="V56" s="48" t="str">
        <f t="shared" si="18"/>
        <v/>
      </c>
      <c r="W56" s="48" t="str">
        <f t="shared" si="8"/>
        <v/>
      </c>
      <c r="X56" s="50" t="str">
        <f>IF(W56="","",SUMIF($B$4:$B$1002,B56,$W$4:$W$1000))</f>
        <v/>
      </c>
      <c r="Y56" s="43" t="str">
        <f t="shared" si="9"/>
        <v/>
      </c>
      <c r="Z56" s="49" t="str">
        <f t="shared" si="10"/>
        <v/>
      </c>
      <c r="AA56" s="48" t="str">
        <f t="shared" si="11"/>
        <v/>
      </c>
      <c r="AB56" s="49" t="str">
        <f t="shared" si="12"/>
        <v/>
      </c>
      <c r="AC56" s="50" t="str">
        <f>IF(AB56="","",SUMIF($B$4:$B$1002,B56,$AB$4:$AB$1000))</f>
        <v/>
      </c>
      <c r="AD56" s="69"/>
      <c r="AE56" s="56"/>
      <c r="AF56" s="52"/>
      <c r="AG56" s="51"/>
      <c r="AH56" s="70"/>
      <c r="AI56" s="58"/>
      <c r="AJ56" s="55"/>
      <c r="AK56" s="51"/>
      <c r="AL56" s="69"/>
      <c r="AM56" s="56"/>
      <c r="AN56" s="52"/>
      <c r="AO56" s="51"/>
      <c r="AP56" s="70"/>
      <c r="AQ56" s="58"/>
      <c r="AR56" s="55"/>
      <c r="AS56" s="51"/>
      <c r="AT56" s="69"/>
      <c r="AU56" s="56"/>
      <c r="AV56" s="52"/>
      <c r="AW56" s="51"/>
      <c r="BR56" s="34" t="str">
        <f>IF(E56="","",CONCATENATE(E56," ",F56," noches"))</f>
        <v/>
      </c>
      <c r="BS56" s="28" t="str">
        <f t="shared" ca="1" si="13"/>
        <v/>
      </c>
      <c r="BT56" s="28" t="str">
        <f t="shared" ca="1" si="14"/>
        <v/>
      </c>
    </row>
    <row r="57" spans="1:72" x14ac:dyDescent="0.2">
      <c r="A57" s="18" t="str" cm="1">
        <f t="array" aca="1" ref="A57" ca="1">IF(B57="","","Grupo N˚"&amp;SUMPRODUCT(($B$4:B57&lt;&gt;"")*($B$4:B57&lt;&gt;OFFSET($B$4,-1,0,ROWS($B$4:B57),1))))</f>
        <v/>
      </c>
      <c r="B57" s="31"/>
      <c r="C57" s="31"/>
      <c r="D57" s="31"/>
      <c r="E57" s="31"/>
      <c r="F57" s="32"/>
      <c r="G57" s="33"/>
      <c r="H57" s="33"/>
      <c r="I57" s="20" t="str">
        <f t="shared" si="0"/>
        <v/>
      </c>
      <c r="J57" s="21" t="str">
        <f>IFERROR(VLOOKUP(BR57,Pricing!$D$3:$E$58,2,FALSE),"")</f>
        <v/>
      </c>
      <c r="K57" s="32"/>
      <c r="L57" s="32"/>
      <c r="M57" s="32"/>
      <c r="N57" s="36" t="str" cm="1">
        <f t="array" ref="N57">IFERROR(_xlfn.IFS((AND(K57="SI",M57="$")),J57*0.2,AND(K57="SI",M57="%"),20),"")</f>
        <v/>
      </c>
      <c r="O57" s="29" t="str">
        <f t="shared" si="1"/>
        <v/>
      </c>
      <c r="P57" s="21" t="str">
        <f t="shared" si="2"/>
        <v/>
      </c>
      <c r="Q57" s="21" t="str">
        <f t="shared" si="3"/>
        <v/>
      </c>
      <c r="R57" s="21" t="str">
        <f t="shared" si="4"/>
        <v/>
      </c>
      <c r="S57" s="39"/>
      <c r="T57" s="43" t="str">
        <f t="shared" si="15"/>
        <v/>
      </c>
      <c r="U57" s="49" t="str">
        <f t="shared" si="17"/>
        <v/>
      </c>
      <c r="V57" s="48" t="str">
        <f t="shared" si="18"/>
        <v/>
      </c>
      <c r="W57" s="48" t="str">
        <f t="shared" si="8"/>
        <v/>
      </c>
      <c r="X57" s="50" t="str">
        <f>IF(W57="","",SUMIF($B$4:$B$1002,B57,$W$4:$W$1000))</f>
        <v/>
      </c>
      <c r="Y57" s="43" t="str">
        <f t="shared" si="9"/>
        <v/>
      </c>
      <c r="Z57" s="49" t="str">
        <f t="shared" si="10"/>
        <v/>
      </c>
      <c r="AA57" s="48" t="str">
        <f t="shared" si="11"/>
        <v/>
      </c>
      <c r="AB57" s="49" t="str">
        <f t="shared" si="12"/>
        <v/>
      </c>
      <c r="AC57" s="50" t="str">
        <f>IF(AB57="","",SUMIF($B$4:$B$1002,B57,$AB$4:$AB$1000))</f>
        <v/>
      </c>
      <c r="AD57" s="69"/>
      <c r="AE57" s="56"/>
      <c r="AF57" s="52"/>
      <c r="AG57" s="51"/>
      <c r="AH57" s="70"/>
      <c r="AI57" s="58"/>
      <c r="AJ57" s="55"/>
      <c r="AK57" s="51"/>
      <c r="AL57" s="69"/>
      <c r="AM57" s="56"/>
      <c r="AN57" s="52"/>
      <c r="AO57" s="51"/>
      <c r="AP57" s="70"/>
      <c r="AQ57" s="58"/>
      <c r="AR57" s="55"/>
      <c r="AS57" s="51"/>
      <c r="AT57" s="69"/>
      <c r="AU57" s="56"/>
      <c r="AV57" s="52"/>
      <c r="AW57" s="51"/>
      <c r="BR57" s="34" t="str">
        <f>IF(E57="","",CONCATENATE(E57," ",F57," noches"))</f>
        <v/>
      </c>
      <c r="BS57" s="28" t="str">
        <f t="shared" ca="1" si="13"/>
        <v/>
      </c>
      <c r="BT57" s="28" t="str">
        <f t="shared" ca="1" si="14"/>
        <v/>
      </c>
    </row>
    <row r="58" spans="1:72" x14ac:dyDescent="0.2">
      <c r="A58" s="18" t="str" cm="1">
        <f t="array" aca="1" ref="A58" ca="1">IF(B58="","","Grupo N˚"&amp;SUMPRODUCT(($B$4:B58&lt;&gt;"")*($B$4:B58&lt;&gt;OFFSET($B$4,-1,0,ROWS($B$4:B58),1))))</f>
        <v/>
      </c>
      <c r="B58" s="31"/>
      <c r="C58" s="31"/>
      <c r="D58" s="31"/>
      <c r="E58" s="31"/>
      <c r="F58" s="32"/>
      <c r="G58" s="33"/>
      <c r="H58" s="33"/>
      <c r="I58" s="20" t="str">
        <f t="shared" si="0"/>
        <v/>
      </c>
      <c r="J58" s="21" t="str">
        <f>IFERROR(VLOOKUP(BR58,Pricing!$D$3:$E$58,2,FALSE),"")</f>
        <v/>
      </c>
      <c r="K58" s="32"/>
      <c r="L58" s="32"/>
      <c r="M58" s="32"/>
      <c r="N58" s="36" t="str" cm="1">
        <f t="array" ref="N58">IFERROR(_xlfn.IFS((AND(K58="SI",M58="$")),J58*0.2,AND(K58="SI",M58="%"),20),"")</f>
        <v/>
      </c>
      <c r="O58" s="29" t="str">
        <f t="shared" si="1"/>
        <v/>
      </c>
      <c r="P58" s="21" t="str">
        <f t="shared" si="2"/>
        <v/>
      </c>
      <c r="Q58" s="21" t="str">
        <f t="shared" si="3"/>
        <v/>
      </c>
      <c r="R58" s="21" t="str">
        <f t="shared" si="4"/>
        <v/>
      </c>
      <c r="S58" s="39"/>
      <c r="T58" s="43" t="str">
        <f t="shared" si="15"/>
        <v/>
      </c>
      <c r="U58" s="49" t="str">
        <f t="shared" si="17"/>
        <v/>
      </c>
      <c r="V58" s="48" t="str">
        <f t="shared" si="18"/>
        <v/>
      </c>
      <c r="W58" s="48" t="str">
        <f t="shared" si="8"/>
        <v/>
      </c>
      <c r="X58" s="50" t="str">
        <f>IF(W58="","",SUMIF($B$4:$B$1002,B58,$W$4:$W$1000))</f>
        <v/>
      </c>
      <c r="Y58" s="43" t="str">
        <f t="shared" si="9"/>
        <v/>
      </c>
      <c r="Z58" s="49" t="str">
        <f t="shared" si="10"/>
        <v/>
      </c>
      <c r="AA58" s="48" t="str">
        <f t="shared" si="11"/>
        <v/>
      </c>
      <c r="AB58" s="49" t="str">
        <f t="shared" si="12"/>
        <v/>
      </c>
      <c r="AC58" s="50" t="str">
        <f>IF(AB58="","",SUMIF($B$4:$B$1002,B58,$AB$4:$AB$1000))</f>
        <v/>
      </c>
      <c r="AD58" s="69"/>
      <c r="AE58" s="56"/>
      <c r="AF58" s="52"/>
      <c r="AG58" s="51"/>
      <c r="AH58" s="70"/>
      <c r="AI58" s="58"/>
      <c r="AJ58" s="55"/>
      <c r="AK58" s="51"/>
      <c r="AL58" s="69"/>
      <c r="AM58" s="56"/>
      <c r="AN58" s="52"/>
      <c r="AO58" s="51"/>
      <c r="AP58" s="70"/>
      <c r="AQ58" s="58"/>
      <c r="AR58" s="55"/>
      <c r="AS58" s="51"/>
      <c r="AT58" s="69"/>
      <c r="AU58" s="56"/>
      <c r="AV58" s="52"/>
      <c r="AW58" s="51"/>
      <c r="BR58" s="34" t="str">
        <f>IF(E58="","",CONCATENATE(E58," ",F58," noches"))</f>
        <v/>
      </c>
      <c r="BS58" s="28" t="str">
        <f t="shared" ca="1" si="13"/>
        <v/>
      </c>
      <c r="BT58" s="28" t="str">
        <f t="shared" ca="1" si="14"/>
        <v/>
      </c>
    </row>
    <row r="59" spans="1:72" x14ac:dyDescent="0.2">
      <c r="A59" s="18" t="str" cm="1">
        <f t="array" aca="1" ref="A59" ca="1">IF(B59="","","Grupo N˚"&amp;SUMPRODUCT(($B$4:B59&lt;&gt;"")*($B$4:B59&lt;&gt;OFFSET($B$4,-1,0,ROWS($B$4:B59),1))))</f>
        <v/>
      </c>
      <c r="B59" s="31"/>
      <c r="C59" s="31"/>
      <c r="D59" s="31"/>
      <c r="E59" s="31"/>
      <c r="F59" s="32"/>
      <c r="G59" s="33"/>
      <c r="H59" s="33"/>
      <c r="I59" s="20" t="str">
        <f t="shared" si="0"/>
        <v/>
      </c>
      <c r="J59" s="21" t="str">
        <f>IFERROR(VLOOKUP(BR59,Pricing!$D$3:$E$58,2,FALSE),"")</f>
        <v/>
      </c>
      <c r="K59" s="32"/>
      <c r="L59" s="32"/>
      <c r="M59" s="32"/>
      <c r="N59" s="36" t="str" cm="1">
        <f t="array" ref="N59">IFERROR(_xlfn.IFS((AND(K59="SI",M59="$")),J59*0.2,AND(K59="SI",M59="%"),20),"")</f>
        <v/>
      </c>
      <c r="O59" s="29" t="str">
        <f t="shared" si="1"/>
        <v/>
      </c>
      <c r="P59" s="21" t="str">
        <f t="shared" si="2"/>
        <v/>
      </c>
      <c r="Q59" s="21" t="str">
        <f t="shared" si="3"/>
        <v/>
      </c>
      <c r="R59" s="21" t="str">
        <f t="shared" si="4"/>
        <v/>
      </c>
      <c r="S59" s="39"/>
      <c r="T59" s="43" t="str">
        <f t="shared" si="15"/>
        <v/>
      </c>
      <c r="U59" s="49" t="str">
        <f t="shared" si="17"/>
        <v/>
      </c>
      <c r="V59" s="48" t="str">
        <f t="shared" si="18"/>
        <v/>
      </c>
      <c r="W59" s="48" t="str">
        <f t="shared" si="8"/>
        <v/>
      </c>
      <c r="X59" s="50" t="str">
        <f>IF(W59="","",SUMIF($B$4:$B$1002,B59,$W$4:$W$1000))</f>
        <v/>
      </c>
      <c r="Y59" s="43" t="str">
        <f t="shared" si="9"/>
        <v/>
      </c>
      <c r="Z59" s="49" t="str">
        <f t="shared" si="10"/>
        <v/>
      </c>
      <c r="AA59" s="48" t="str">
        <f t="shared" si="11"/>
        <v/>
      </c>
      <c r="AB59" s="49" t="str">
        <f t="shared" si="12"/>
        <v/>
      </c>
      <c r="AC59" s="50" t="str">
        <f>IF(AB59="","",SUMIF($B$4:$B$1002,B59,$AB$4:$AB$1000))</f>
        <v/>
      </c>
      <c r="AD59" s="69"/>
      <c r="AE59" s="56"/>
      <c r="AF59" s="52"/>
      <c r="AG59" s="51"/>
      <c r="AH59" s="70"/>
      <c r="AI59" s="58"/>
      <c r="AJ59" s="55"/>
      <c r="AK59" s="51"/>
      <c r="AL59" s="69"/>
      <c r="AM59" s="56"/>
      <c r="AN59" s="52"/>
      <c r="AO59" s="51"/>
      <c r="AP59" s="70"/>
      <c r="AQ59" s="58"/>
      <c r="AR59" s="55"/>
      <c r="AS59" s="51"/>
      <c r="AT59" s="69"/>
      <c r="AU59" s="56"/>
      <c r="AV59" s="52"/>
      <c r="AW59" s="51"/>
      <c r="BR59" s="34" t="str">
        <f>IF(E59="","",CONCATENATE(E59," ",F59," noches"))</f>
        <v/>
      </c>
      <c r="BS59" s="28" t="str">
        <f t="shared" ca="1" si="13"/>
        <v/>
      </c>
      <c r="BT59" s="28" t="str">
        <f t="shared" ca="1" si="14"/>
        <v/>
      </c>
    </row>
    <row r="60" spans="1:72" x14ac:dyDescent="0.2">
      <c r="A60" s="18" t="str" cm="1">
        <f t="array" aca="1" ref="A60" ca="1">IF(B60="","","Grupo N˚"&amp;SUMPRODUCT(($B$4:B60&lt;&gt;"")*($B$4:B60&lt;&gt;OFFSET($B$4,-1,0,ROWS($B$4:B60),1))))</f>
        <v/>
      </c>
      <c r="B60" s="31"/>
      <c r="C60" s="31"/>
      <c r="D60" s="31"/>
      <c r="E60" s="31"/>
      <c r="F60" s="32"/>
      <c r="G60" s="33"/>
      <c r="H60" s="33"/>
      <c r="I60" s="20" t="str">
        <f t="shared" si="0"/>
        <v/>
      </c>
      <c r="J60" s="21" t="str">
        <f>IFERROR(VLOOKUP(BR60,Pricing!$D$3:$E$58,2,FALSE),"")</f>
        <v/>
      </c>
      <c r="K60" s="32"/>
      <c r="L60" s="32"/>
      <c r="M60" s="32"/>
      <c r="N60" s="36" t="str" cm="1">
        <f t="array" ref="N60">IFERROR(_xlfn.IFS((AND(K60="SI",M60="$")),J60*0.2,AND(K60="SI",M60="%"),20),"")</f>
        <v/>
      </c>
      <c r="O60" s="29" t="str">
        <f t="shared" si="1"/>
        <v/>
      </c>
      <c r="P60" s="21" t="str">
        <f t="shared" si="2"/>
        <v/>
      </c>
      <c r="Q60" s="21" t="str">
        <f t="shared" si="3"/>
        <v/>
      </c>
      <c r="R60" s="21" t="str">
        <f t="shared" si="4"/>
        <v/>
      </c>
      <c r="S60" s="39"/>
      <c r="T60" s="43" t="str">
        <f t="shared" si="15"/>
        <v/>
      </c>
      <c r="U60" s="49" t="str">
        <f t="shared" si="17"/>
        <v/>
      </c>
      <c r="V60" s="48" t="str">
        <f t="shared" si="18"/>
        <v/>
      </c>
      <c r="W60" s="48" t="str">
        <f t="shared" si="8"/>
        <v/>
      </c>
      <c r="X60" s="50" t="str">
        <f>IF(W60="","",SUMIF($B$4:$B$1002,B60,$W$4:$W$1000))</f>
        <v/>
      </c>
      <c r="Y60" s="43" t="str">
        <f t="shared" si="9"/>
        <v/>
      </c>
      <c r="Z60" s="49" t="str">
        <f t="shared" si="10"/>
        <v/>
      </c>
      <c r="AA60" s="48" t="str">
        <f t="shared" si="11"/>
        <v/>
      </c>
      <c r="AB60" s="49" t="str">
        <f t="shared" si="12"/>
        <v/>
      </c>
      <c r="AC60" s="50" t="str">
        <f>IF(AB60="","",SUMIF($B$4:$B$1002,B60,$AB$4:$AB$1000))</f>
        <v/>
      </c>
      <c r="AD60" s="69"/>
      <c r="AE60" s="56"/>
      <c r="AF60" s="52"/>
      <c r="AG60" s="51"/>
      <c r="AH60" s="70"/>
      <c r="AI60" s="58"/>
      <c r="AJ60" s="55"/>
      <c r="AK60" s="51"/>
      <c r="AL60" s="69"/>
      <c r="AM60" s="56"/>
      <c r="AN60" s="52"/>
      <c r="AO60" s="51"/>
      <c r="AP60" s="70"/>
      <c r="AQ60" s="58"/>
      <c r="AR60" s="55"/>
      <c r="AS60" s="51"/>
      <c r="AT60" s="69"/>
      <c r="AU60" s="56"/>
      <c r="AV60" s="52"/>
      <c r="AW60" s="51"/>
      <c r="BR60" s="34" t="str">
        <f>IF(E60="","",CONCATENATE(E60," ",F60," noches"))</f>
        <v/>
      </c>
      <c r="BS60" s="28" t="str">
        <f t="shared" ca="1" si="13"/>
        <v/>
      </c>
      <c r="BT60" s="28" t="str">
        <f t="shared" ca="1" si="14"/>
        <v/>
      </c>
    </row>
    <row r="61" spans="1:72" x14ac:dyDescent="0.2">
      <c r="A61" s="18" t="str" cm="1">
        <f t="array" aca="1" ref="A61" ca="1">IF(B61="","","Grupo N˚"&amp;SUMPRODUCT(($B$4:B61&lt;&gt;"")*($B$4:B61&lt;&gt;OFFSET($B$4,-1,0,ROWS($B$4:B61),1))))</f>
        <v/>
      </c>
      <c r="B61" s="31"/>
      <c r="C61" s="31"/>
      <c r="D61" s="31"/>
      <c r="E61" s="31"/>
      <c r="F61" s="32"/>
      <c r="G61" s="33"/>
      <c r="H61" s="33"/>
      <c r="I61" s="20" t="str">
        <f t="shared" si="0"/>
        <v/>
      </c>
      <c r="J61" s="21" t="str">
        <f>IFERROR(VLOOKUP(BR61,Pricing!$D$3:$E$58,2,FALSE),"")</f>
        <v/>
      </c>
      <c r="K61" s="32"/>
      <c r="L61" s="32"/>
      <c r="M61" s="32"/>
      <c r="N61" s="36" t="str" cm="1">
        <f t="array" ref="N61">IFERROR(_xlfn.IFS((AND(K61="SI",M61="$")),J61*0.2,AND(K61="SI",M61="%"),20),"")</f>
        <v/>
      </c>
      <c r="O61" s="29" t="str">
        <f t="shared" si="1"/>
        <v/>
      </c>
      <c r="P61" s="21" t="str">
        <f t="shared" si="2"/>
        <v/>
      </c>
      <c r="Q61" s="21" t="str">
        <f t="shared" si="3"/>
        <v/>
      </c>
      <c r="R61" s="21" t="str">
        <f t="shared" si="4"/>
        <v/>
      </c>
      <c r="S61" s="39"/>
      <c r="T61" s="43" t="str">
        <f t="shared" si="15"/>
        <v/>
      </c>
      <c r="U61" s="49" t="str">
        <f t="shared" si="17"/>
        <v/>
      </c>
      <c r="V61" s="48" t="str">
        <f t="shared" si="18"/>
        <v/>
      </c>
      <c r="W61" s="48" t="str">
        <f t="shared" si="8"/>
        <v/>
      </c>
      <c r="X61" s="50" t="str">
        <f>IF(W61="","",SUMIF($B$4:$B$1002,B61,$W$4:$W$1000))</f>
        <v/>
      </c>
      <c r="Y61" s="43" t="str">
        <f t="shared" si="9"/>
        <v/>
      </c>
      <c r="Z61" s="49" t="str">
        <f t="shared" si="10"/>
        <v/>
      </c>
      <c r="AA61" s="48" t="str">
        <f t="shared" si="11"/>
        <v/>
      </c>
      <c r="AB61" s="49" t="str">
        <f t="shared" si="12"/>
        <v/>
      </c>
      <c r="AC61" s="50" t="str">
        <f>IF(AB61="","",SUMIF($B$4:$B$1002,B61,$AB$4:$AB$1000))</f>
        <v/>
      </c>
      <c r="AD61" s="69"/>
      <c r="AE61" s="56"/>
      <c r="AF61" s="52"/>
      <c r="AG61" s="51"/>
      <c r="AH61" s="70"/>
      <c r="AI61" s="58"/>
      <c r="AJ61" s="55"/>
      <c r="AK61" s="51"/>
      <c r="AL61" s="69"/>
      <c r="AM61" s="56"/>
      <c r="AN61" s="52"/>
      <c r="AO61" s="51"/>
      <c r="AP61" s="70"/>
      <c r="AQ61" s="58"/>
      <c r="AR61" s="55"/>
      <c r="AS61" s="51"/>
      <c r="AT61" s="69"/>
      <c r="AU61" s="56"/>
      <c r="AV61" s="52"/>
      <c r="AW61" s="51"/>
      <c r="BR61" s="34" t="str">
        <f>IF(E61="","",CONCATENATE(E61," ",F61," noches"))</f>
        <v/>
      </c>
      <c r="BS61" s="28" t="str">
        <f t="shared" ca="1" si="13"/>
        <v/>
      </c>
      <c r="BT61" s="28" t="str">
        <f t="shared" ca="1" si="14"/>
        <v/>
      </c>
    </row>
    <row r="62" spans="1:72" x14ac:dyDescent="0.2">
      <c r="A62" s="18" t="str" cm="1">
        <f t="array" aca="1" ref="A62" ca="1">IF(B62="","","Grupo N˚"&amp;SUMPRODUCT(($B$4:B62&lt;&gt;"")*($B$4:B62&lt;&gt;OFFSET($B$4,-1,0,ROWS($B$4:B62),1))))</f>
        <v/>
      </c>
      <c r="B62" s="31"/>
      <c r="C62" s="31"/>
      <c r="D62" s="31"/>
      <c r="E62" s="31"/>
      <c r="F62" s="32"/>
      <c r="G62" s="33"/>
      <c r="H62" s="33"/>
      <c r="I62" s="20" t="str">
        <f t="shared" si="0"/>
        <v/>
      </c>
      <c r="J62" s="21" t="str">
        <f>IFERROR(VLOOKUP(BR62,Pricing!$D$3:$E$58,2,FALSE),"")</f>
        <v/>
      </c>
      <c r="K62" s="32"/>
      <c r="L62" s="32"/>
      <c r="M62" s="32"/>
      <c r="N62" s="36" t="str" cm="1">
        <f t="array" ref="N62">IFERROR(_xlfn.IFS((AND(K62="SI",M62="$")),J62*0.2,AND(K62="SI",M62="%"),20),"")</f>
        <v/>
      </c>
      <c r="O62" s="29" t="str">
        <f t="shared" si="1"/>
        <v/>
      </c>
      <c r="P62" s="21" t="str">
        <f t="shared" si="2"/>
        <v/>
      </c>
      <c r="Q62" s="21" t="str">
        <f t="shared" si="3"/>
        <v/>
      </c>
      <c r="R62" s="21" t="str">
        <f t="shared" si="4"/>
        <v/>
      </c>
      <c r="S62" s="39"/>
      <c r="T62" s="43" t="str">
        <f t="shared" si="15"/>
        <v/>
      </c>
      <c r="U62" s="49" t="str">
        <f t="shared" si="17"/>
        <v/>
      </c>
      <c r="V62" s="48" t="str">
        <f t="shared" si="18"/>
        <v/>
      </c>
      <c r="W62" s="48" t="str">
        <f t="shared" si="8"/>
        <v/>
      </c>
      <c r="X62" s="50" t="str">
        <f>IF(W62="","",SUMIF($B$4:$B$1002,B62,$W$4:$W$1000))</f>
        <v/>
      </c>
      <c r="Y62" s="43" t="str">
        <f t="shared" si="9"/>
        <v/>
      </c>
      <c r="Z62" s="49" t="str">
        <f t="shared" si="10"/>
        <v/>
      </c>
      <c r="AA62" s="48" t="str">
        <f t="shared" si="11"/>
        <v/>
      </c>
      <c r="AB62" s="49" t="str">
        <f t="shared" si="12"/>
        <v/>
      </c>
      <c r="AC62" s="50" t="str">
        <f>IF(AB62="","",SUMIF($B$4:$B$1002,B62,$AB$4:$AB$1000))</f>
        <v/>
      </c>
      <c r="AD62" s="69"/>
      <c r="AE62" s="56"/>
      <c r="AF62" s="52"/>
      <c r="AG62" s="51"/>
      <c r="AH62" s="70"/>
      <c r="AI62" s="58"/>
      <c r="AJ62" s="55"/>
      <c r="AK62" s="51"/>
      <c r="AL62" s="69"/>
      <c r="AM62" s="56"/>
      <c r="AN62" s="52"/>
      <c r="AO62" s="51"/>
      <c r="AP62" s="70"/>
      <c r="AQ62" s="58"/>
      <c r="AR62" s="55"/>
      <c r="AS62" s="51"/>
      <c r="AT62" s="69"/>
      <c r="AU62" s="56"/>
      <c r="AV62" s="52"/>
      <c r="AW62" s="51"/>
      <c r="BR62" s="34" t="str">
        <f>IF(E62="","",CONCATENATE(E62," ",F62," noches"))</f>
        <v/>
      </c>
      <c r="BS62" s="28" t="str">
        <f t="shared" ca="1" si="13"/>
        <v/>
      </c>
      <c r="BT62" s="28" t="str">
        <f t="shared" ca="1" si="14"/>
        <v/>
      </c>
    </row>
    <row r="63" spans="1:72" x14ac:dyDescent="0.2">
      <c r="A63" s="18" t="str" cm="1">
        <f t="array" aca="1" ref="A63" ca="1">IF(B63="","","Grupo N˚"&amp;SUMPRODUCT(($B$4:B63&lt;&gt;"")*($B$4:B63&lt;&gt;OFFSET($B$4,-1,0,ROWS($B$4:B63),1))))</f>
        <v/>
      </c>
      <c r="B63" s="31"/>
      <c r="C63" s="31"/>
      <c r="D63" s="31"/>
      <c r="E63" s="31"/>
      <c r="F63" s="32"/>
      <c r="G63" s="33"/>
      <c r="H63" s="33"/>
      <c r="I63" s="20" t="str">
        <f t="shared" si="0"/>
        <v/>
      </c>
      <c r="J63" s="21" t="str">
        <f>IFERROR(VLOOKUP(BR63,Pricing!$D$3:$E$58,2,FALSE),"")</f>
        <v/>
      </c>
      <c r="K63" s="32"/>
      <c r="L63" s="32"/>
      <c r="M63" s="32"/>
      <c r="N63" s="36" t="str" cm="1">
        <f t="array" ref="N63">IFERROR(_xlfn.IFS((AND(K63="SI",M63="$")),J63*0.2,AND(K63="SI",M63="%"),20),"")</f>
        <v/>
      </c>
      <c r="O63" s="29" t="str">
        <f t="shared" si="1"/>
        <v/>
      </c>
      <c r="P63" s="21" t="str">
        <f t="shared" si="2"/>
        <v/>
      </c>
      <c r="Q63" s="21" t="str">
        <f t="shared" si="3"/>
        <v/>
      </c>
      <c r="R63" s="21" t="str">
        <f t="shared" si="4"/>
        <v/>
      </c>
      <c r="S63" s="39"/>
      <c r="T63" s="43" t="str">
        <f t="shared" si="15"/>
        <v/>
      </c>
      <c r="U63" s="49" t="str">
        <f t="shared" si="17"/>
        <v/>
      </c>
      <c r="V63" s="48" t="str">
        <f t="shared" si="18"/>
        <v/>
      </c>
      <c r="W63" s="48" t="str">
        <f t="shared" si="8"/>
        <v/>
      </c>
      <c r="X63" s="50" t="str">
        <f>IF(W63="","",SUMIF($B$4:$B$1002,B63,$W$4:$W$1000))</f>
        <v/>
      </c>
      <c r="Y63" s="43" t="str">
        <f t="shared" si="9"/>
        <v/>
      </c>
      <c r="Z63" s="49" t="str">
        <f t="shared" si="10"/>
        <v/>
      </c>
      <c r="AA63" s="48" t="str">
        <f t="shared" si="11"/>
        <v/>
      </c>
      <c r="AB63" s="49" t="str">
        <f t="shared" si="12"/>
        <v/>
      </c>
      <c r="AC63" s="50" t="str">
        <f>IF(AB63="","",SUMIF($B$4:$B$1002,B63,$AB$4:$AB$1000))</f>
        <v/>
      </c>
      <c r="AD63" s="69"/>
      <c r="AE63" s="56"/>
      <c r="AF63" s="52"/>
      <c r="AG63" s="51"/>
      <c r="AH63" s="70"/>
      <c r="AI63" s="58"/>
      <c r="AJ63" s="55"/>
      <c r="AK63" s="51"/>
      <c r="AL63" s="69"/>
      <c r="AM63" s="56"/>
      <c r="AN63" s="52"/>
      <c r="AO63" s="51"/>
      <c r="AP63" s="70"/>
      <c r="AQ63" s="58"/>
      <c r="AR63" s="55"/>
      <c r="AS63" s="51"/>
      <c r="AT63" s="69"/>
      <c r="AU63" s="56"/>
      <c r="AV63" s="52"/>
      <c r="AW63" s="51"/>
      <c r="BR63" s="34" t="str">
        <f>IF(E63="","",CONCATENATE(E63," ",F63," noches"))</f>
        <v/>
      </c>
      <c r="BS63" s="28" t="str">
        <f t="shared" ca="1" si="13"/>
        <v/>
      </c>
      <c r="BT63" s="28" t="str">
        <f t="shared" ca="1" si="14"/>
        <v/>
      </c>
    </row>
    <row r="64" spans="1:72" x14ac:dyDescent="0.2">
      <c r="A64" s="18" t="str" cm="1">
        <f t="array" aca="1" ref="A64" ca="1">IF(B64="","","Grupo N˚"&amp;SUMPRODUCT(($B$4:B64&lt;&gt;"")*($B$4:B64&lt;&gt;OFFSET($B$4,-1,0,ROWS($B$4:B64),1))))</f>
        <v/>
      </c>
      <c r="B64" s="31"/>
      <c r="C64" s="31"/>
      <c r="D64" s="31"/>
      <c r="E64" s="31"/>
      <c r="F64" s="32"/>
      <c r="G64" s="33"/>
      <c r="H64" s="33"/>
      <c r="I64" s="20" t="str">
        <f t="shared" si="0"/>
        <v/>
      </c>
      <c r="J64" s="21" t="str">
        <f>IFERROR(VLOOKUP(BR64,Pricing!$D$3:$E$58,2,FALSE),"")</f>
        <v/>
      </c>
      <c r="K64" s="32"/>
      <c r="L64" s="32"/>
      <c r="M64" s="32"/>
      <c r="N64" s="36" t="str" cm="1">
        <f t="array" ref="N64">IFERROR(_xlfn.IFS((AND(K64="SI",M64="$")),J64*0.2,AND(K64="SI",M64="%"),20),"")</f>
        <v/>
      </c>
      <c r="O64" s="29" t="str">
        <f t="shared" si="1"/>
        <v/>
      </c>
      <c r="P64" s="21" t="str">
        <f t="shared" si="2"/>
        <v/>
      </c>
      <c r="Q64" s="21" t="str">
        <f t="shared" si="3"/>
        <v/>
      </c>
      <c r="R64" s="21" t="str">
        <f t="shared" si="4"/>
        <v/>
      </c>
      <c r="S64" s="39"/>
      <c r="T64" s="43" t="str">
        <f t="shared" si="15"/>
        <v/>
      </c>
      <c r="U64" s="49" t="str">
        <f t="shared" si="17"/>
        <v/>
      </c>
      <c r="V64" s="48" t="str">
        <f t="shared" si="18"/>
        <v/>
      </c>
      <c r="W64" s="48" t="str">
        <f t="shared" si="8"/>
        <v/>
      </c>
      <c r="X64" s="50" t="str">
        <f>IF(W64="","",SUMIF($B$4:$B$1002,B64,$W$4:$W$1000))</f>
        <v/>
      </c>
      <c r="Y64" s="43" t="str">
        <f t="shared" si="9"/>
        <v/>
      </c>
      <c r="Z64" s="49" t="str">
        <f t="shared" si="10"/>
        <v/>
      </c>
      <c r="AA64" s="48" t="str">
        <f t="shared" si="11"/>
        <v/>
      </c>
      <c r="AB64" s="49" t="str">
        <f t="shared" si="12"/>
        <v/>
      </c>
      <c r="AC64" s="50" t="str">
        <f>IF(AB64="","",SUMIF($B$4:$B$1002,B64,$AB$4:$AB$1000))</f>
        <v/>
      </c>
      <c r="AD64" s="69"/>
      <c r="AE64" s="56"/>
      <c r="AF64" s="52"/>
      <c r="AG64" s="51"/>
      <c r="AH64" s="70"/>
      <c r="AI64" s="58"/>
      <c r="AJ64" s="55"/>
      <c r="AK64" s="51"/>
      <c r="AL64" s="69"/>
      <c r="AM64" s="56"/>
      <c r="AN64" s="52"/>
      <c r="AO64" s="51"/>
      <c r="AP64" s="70"/>
      <c r="AQ64" s="58"/>
      <c r="AR64" s="55"/>
      <c r="AS64" s="51"/>
      <c r="AT64" s="69"/>
      <c r="AU64" s="56"/>
      <c r="AV64" s="52"/>
      <c r="AW64" s="51"/>
      <c r="BR64" s="34" t="str">
        <f>IF(E64="","",CONCATENATE(E64," ",F64," noches"))</f>
        <v/>
      </c>
      <c r="BS64" s="28" t="str">
        <f t="shared" ca="1" si="13"/>
        <v/>
      </c>
      <c r="BT64" s="28" t="str">
        <f t="shared" ca="1" si="14"/>
        <v/>
      </c>
    </row>
    <row r="65" spans="1:72" x14ac:dyDescent="0.2">
      <c r="A65" s="18" t="str" cm="1">
        <f t="array" aca="1" ref="A65" ca="1">IF(B65="","","Grupo N˚"&amp;SUMPRODUCT(($B$4:B65&lt;&gt;"")*($B$4:B65&lt;&gt;OFFSET($B$4,-1,0,ROWS($B$4:B65),1))))</f>
        <v/>
      </c>
      <c r="B65" s="31"/>
      <c r="C65" s="31"/>
      <c r="D65" s="31"/>
      <c r="E65" s="31"/>
      <c r="F65" s="32"/>
      <c r="G65" s="33"/>
      <c r="H65" s="33"/>
      <c r="I65" s="20" t="str">
        <f t="shared" si="0"/>
        <v/>
      </c>
      <c r="J65" s="21" t="str">
        <f>IFERROR(VLOOKUP(BR65,Pricing!$D$3:$E$58,2,FALSE),"")</f>
        <v/>
      </c>
      <c r="K65" s="32"/>
      <c r="L65" s="32"/>
      <c r="M65" s="32"/>
      <c r="N65" s="36" t="str" cm="1">
        <f t="array" ref="N65">IFERROR(_xlfn.IFS((AND(K65="SI",M65="$")),J65*0.2,AND(K65="SI",M65="%"),20),"")</f>
        <v/>
      </c>
      <c r="O65" s="29" t="str">
        <f t="shared" si="1"/>
        <v/>
      </c>
      <c r="P65" s="21" t="str">
        <f t="shared" si="2"/>
        <v/>
      </c>
      <c r="Q65" s="21" t="str">
        <f t="shared" si="3"/>
        <v/>
      </c>
      <c r="R65" s="21" t="str">
        <f t="shared" si="4"/>
        <v/>
      </c>
      <c r="S65" s="39"/>
      <c r="T65" s="43" t="str">
        <f t="shared" si="15"/>
        <v/>
      </c>
      <c r="U65" s="49" t="str">
        <f t="shared" si="17"/>
        <v/>
      </c>
      <c r="V65" s="48" t="str">
        <f t="shared" si="18"/>
        <v/>
      </c>
      <c r="W65" s="48" t="str">
        <f t="shared" si="8"/>
        <v/>
      </c>
      <c r="X65" s="50" t="str">
        <f>IF(W65="","",SUMIF($B$4:$B$1002,B65,$W$4:$W$1000))</f>
        <v/>
      </c>
      <c r="Y65" s="43" t="str">
        <f t="shared" si="9"/>
        <v/>
      </c>
      <c r="Z65" s="49" t="str">
        <f t="shared" si="10"/>
        <v/>
      </c>
      <c r="AA65" s="48" t="str">
        <f t="shared" si="11"/>
        <v/>
      </c>
      <c r="AB65" s="49" t="str">
        <f t="shared" si="12"/>
        <v/>
      </c>
      <c r="AC65" s="50" t="str">
        <f>IF(AB65="","",SUMIF($B$4:$B$1002,B65,$AB$4:$AB$1000))</f>
        <v/>
      </c>
      <c r="AD65" s="69"/>
      <c r="AE65" s="56"/>
      <c r="AF65" s="52"/>
      <c r="AG65" s="51"/>
      <c r="AH65" s="70"/>
      <c r="AI65" s="58"/>
      <c r="AJ65" s="55"/>
      <c r="AK65" s="51"/>
      <c r="AL65" s="69"/>
      <c r="AM65" s="56"/>
      <c r="AN65" s="52"/>
      <c r="AO65" s="51"/>
      <c r="AP65" s="70"/>
      <c r="AQ65" s="58"/>
      <c r="AR65" s="55"/>
      <c r="AS65" s="51"/>
      <c r="AT65" s="69"/>
      <c r="AU65" s="56"/>
      <c r="AV65" s="52"/>
      <c r="AW65" s="51"/>
      <c r="BR65" s="34" t="str">
        <f>IF(E65="","",CONCATENATE(E65," ",F65," noches"))</f>
        <v/>
      </c>
      <c r="BS65" s="28" t="str">
        <f t="shared" ca="1" si="13"/>
        <v/>
      </c>
      <c r="BT65" s="28" t="str">
        <f t="shared" ca="1" si="14"/>
        <v/>
      </c>
    </row>
    <row r="66" spans="1:72" x14ac:dyDescent="0.2">
      <c r="A66" s="18" t="str" cm="1">
        <f t="array" aca="1" ref="A66" ca="1">IF(B66="","","Grupo N˚"&amp;SUMPRODUCT(($B$4:B66&lt;&gt;"")*($B$4:B66&lt;&gt;OFFSET($B$4,-1,0,ROWS($B$4:B66),1))))</f>
        <v/>
      </c>
      <c r="B66" s="31"/>
      <c r="C66" s="31"/>
      <c r="D66" s="31"/>
      <c r="E66" s="31"/>
      <c r="F66" s="32"/>
      <c r="G66" s="33"/>
      <c r="H66" s="33"/>
      <c r="I66" s="20" t="str">
        <f t="shared" si="0"/>
        <v/>
      </c>
      <c r="J66" s="21" t="str">
        <f>IFERROR(VLOOKUP(BR66,Pricing!$D$3:$E$58,2,FALSE),"")</f>
        <v/>
      </c>
      <c r="K66" s="32"/>
      <c r="L66" s="32"/>
      <c r="M66" s="32"/>
      <c r="N66" s="36" t="str" cm="1">
        <f t="array" ref="N66">IFERROR(_xlfn.IFS((AND(K66="SI",M66="$")),J66*0.2,AND(K66="SI",M66="%"),20),"")</f>
        <v/>
      </c>
      <c r="O66" s="29" t="str">
        <f t="shared" si="1"/>
        <v/>
      </c>
      <c r="P66" s="21" t="str">
        <f t="shared" si="2"/>
        <v/>
      </c>
      <c r="Q66" s="21" t="str">
        <f t="shared" si="3"/>
        <v/>
      </c>
      <c r="R66" s="21" t="str">
        <f t="shared" si="4"/>
        <v/>
      </c>
      <c r="S66" s="39"/>
      <c r="T66" s="43" t="str">
        <f t="shared" si="15"/>
        <v/>
      </c>
      <c r="U66" s="49" t="str">
        <f t="shared" si="17"/>
        <v/>
      </c>
      <c r="V66" s="48" t="str">
        <f t="shared" si="18"/>
        <v/>
      </c>
      <c r="W66" s="48" t="str">
        <f t="shared" si="8"/>
        <v/>
      </c>
      <c r="X66" s="50" t="str">
        <f>IF(W66="","",SUMIF($B$4:$B$1002,B66,$W$4:$W$1000))</f>
        <v/>
      </c>
      <c r="Y66" s="43" t="str">
        <f t="shared" si="9"/>
        <v/>
      </c>
      <c r="Z66" s="49" t="str">
        <f t="shared" si="10"/>
        <v/>
      </c>
      <c r="AA66" s="48" t="str">
        <f t="shared" si="11"/>
        <v/>
      </c>
      <c r="AB66" s="49" t="str">
        <f t="shared" si="12"/>
        <v/>
      </c>
      <c r="AC66" s="50" t="str">
        <f>IF(AB66="","",SUMIF($B$4:$B$1002,B66,$AB$4:$AB$1000))</f>
        <v/>
      </c>
      <c r="AD66" s="69"/>
      <c r="AE66" s="56"/>
      <c r="AF66" s="52"/>
      <c r="AG66" s="51"/>
      <c r="AH66" s="70"/>
      <c r="AI66" s="58"/>
      <c r="AJ66" s="55"/>
      <c r="AK66" s="51"/>
      <c r="AL66" s="69"/>
      <c r="AM66" s="56"/>
      <c r="AN66" s="52"/>
      <c r="AO66" s="51"/>
      <c r="AP66" s="70"/>
      <c r="AQ66" s="58"/>
      <c r="AR66" s="55"/>
      <c r="AS66" s="51"/>
      <c r="AT66" s="69"/>
      <c r="AU66" s="56"/>
      <c r="AV66" s="52"/>
      <c r="AW66" s="51"/>
      <c r="BR66" s="34" t="str">
        <f>IF(E66="","",CONCATENATE(E66," ",F66," noches"))</f>
        <v/>
      </c>
      <c r="BS66" s="28" t="str">
        <f t="shared" ca="1" si="13"/>
        <v/>
      </c>
      <c r="BT66" s="28" t="str">
        <f t="shared" ca="1" si="14"/>
        <v/>
      </c>
    </row>
    <row r="67" spans="1:72" x14ac:dyDescent="0.2">
      <c r="A67" s="18" t="str" cm="1">
        <f t="array" aca="1" ref="A67" ca="1">IF(B67="","","Grupo N˚"&amp;SUMPRODUCT(($B$4:B67&lt;&gt;"")*($B$4:B67&lt;&gt;OFFSET($B$4,-1,0,ROWS($B$4:B67),1))))</f>
        <v/>
      </c>
      <c r="B67" s="31"/>
      <c r="C67" s="31"/>
      <c r="D67" s="31"/>
      <c r="E67" s="31"/>
      <c r="F67" s="32"/>
      <c r="G67" s="33"/>
      <c r="H67" s="33"/>
      <c r="I67" s="20" t="str">
        <f t="shared" si="0"/>
        <v/>
      </c>
      <c r="J67" s="21" t="str">
        <f>IFERROR(VLOOKUP(BR67,Pricing!$D$3:$E$58,2,FALSE),"")</f>
        <v/>
      </c>
      <c r="K67" s="32"/>
      <c r="L67" s="32"/>
      <c r="M67" s="32"/>
      <c r="N67" s="36" t="str" cm="1">
        <f t="array" ref="N67">IFERROR(_xlfn.IFS((AND(K67="SI",M67="$")),J67*0.2,AND(K67="SI",M67="%"),20),"")</f>
        <v/>
      </c>
      <c r="O67" s="29" t="str">
        <f t="shared" si="1"/>
        <v/>
      </c>
      <c r="P67" s="21" t="str">
        <f t="shared" si="2"/>
        <v/>
      </c>
      <c r="Q67" s="21" t="str">
        <f t="shared" si="3"/>
        <v/>
      </c>
      <c r="R67" s="21" t="str">
        <f t="shared" si="4"/>
        <v/>
      </c>
      <c r="S67" s="39"/>
      <c r="T67" s="43" t="str">
        <f t="shared" si="15"/>
        <v/>
      </c>
      <c r="U67" s="49" t="str">
        <f t="shared" si="17"/>
        <v/>
      </c>
      <c r="V67" s="48" t="str">
        <f t="shared" si="18"/>
        <v/>
      </c>
      <c r="W67" s="48" t="str">
        <f t="shared" si="8"/>
        <v/>
      </c>
      <c r="X67" s="50" t="str">
        <f>IF(W67="","",SUMIF($B$4:$B$1002,B67,$W$4:$W$1000))</f>
        <v/>
      </c>
      <c r="Y67" s="43" t="str">
        <f t="shared" si="9"/>
        <v/>
      </c>
      <c r="Z67" s="49" t="str">
        <f t="shared" si="10"/>
        <v/>
      </c>
      <c r="AA67" s="48" t="str">
        <f t="shared" si="11"/>
        <v/>
      </c>
      <c r="AB67" s="49" t="str">
        <f t="shared" si="12"/>
        <v/>
      </c>
      <c r="AC67" s="50" t="str">
        <f>IF(AB67="","",SUMIF($B$4:$B$1002,B67,$AB$4:$AB$1000))</f>
        <v/>
      </c>
      <c r="AD67" s="69"/>
      <c r="AE67" s="56"/>
      <c r="AF67" s="52"/>
      <c r="AG67" s="51"/>
      <c r="AH67" s="70"/>
      <c r="AI67" s="58"/>
      <c r="AJ67" s="55"/>
      <c r="AK67" s="51"/>
      <c r="AL67" s="69"/>
      <c r="AM67" s="56"/>
      <c r="AN67" s="52"/>
      <c r="AO67" s="51"/>
      <c r="AP67" s="70"/>
      <c r="AQ67" s="58"/>
      <c r="AR67" s="55"/>
      <c r="AS67" s="51"/>
      <c r="AT67" s="69"/>
      <c r="AU67" s="56"/>
      <c r="AV67" s="52"/>
      <c r="AW67" s="51"/>
      <c r="BR67" s="34" t="str">
        <f>IF(E67="","",CONCATENATE(E67," ",F67," noches"))</f>
        <v/>
      </c>
      <c r="BS67" s="28" t="str">
        <f t="shared" ca="1" si="13"/>
        <v/>
      </c>
      <c r="BT67" s="28" t="str">
        <f t="shared" ca="1" si="14"/>
        <v/>
      </c>
    </row>
    <row r="68" spans="1:72" x14ac:dyDescent="0.2">
      <c r="A68" s="18" t="str" cm="1">
        <f t="array" aca="1" ref="A68" ca="1">IF(B68="","","Grupo N˚"&amp;SUMPRODUCT(($B$4:B68&lt;&gt;"")*($B$4:B68&lt;&gt;OFFSET($B$4,-1,0,ROWS($B$4:B68),1))))</f>
        <v/>
      </c>
      <c r="B68" s="31"/>
      <c r="C68" s="31"/>
      <c r="D68" s="31"/>
      <c r="E68" s="31"/>
      <c r="F68" s="32"/>
      <c r="G68" s="33"/>
      <c r="H68" s="33"/>
      <c r="I68" s="20" t="str">
        <f t="shared" si="0"/>
        <v/>
      </c>
      <c r="J68" s="21" t="str">
        <f>IFERROR(VLOOKUP(BR68,Pricing!$D$3:$E$58,2,FALSE),"")</f>
        <v/>
      </c>
      <c r="K68" s="32"/>
      <c r="L68" s="32"/>
      <c r="M68" s="32"/>
      <c r="N68" s="36" t="str" cm="1">
        <f t="array" ref="N68">IFERROR(_xlfn.IFS((AND(K68="SI",M68="$")),J68*0.2,AND(K68="SI",M68="%"),20),"")</f>
        <v/>
      </c>
      <c r="O68" s="29" t="str">
        <f t="shared" si="1"/>
        <v/>
      </c>
      <c r="P68" s="21" t="str">
        <f t="shared" si="2"/>
        <v/>
      </c>
      <c r="Q68" s="21" t="str">
        <f t="shared" si="3"/>
        <v/>
      </c>
      <c r="R68" s="21" t="str">
        <f t="shared" si="4"/>
        <v/>
      </c>
      <c r="S68" s="39"/>
      <c r="T68" s="43" t="str">
        <f t="shared" si="15"/>
        <v/>
      </c>
      <c r="U68" s="49" t="str">
        <f t="shared" si="17"/>
        <v/>
      </c>
      <c r="V68" s="48" t="str">
        <f t="shared" si="18"/>
        <v/>
      </c>
      <c r="W68" s="48" t="str">
        <f t="shared" si="8"/>
        <v/>
      </c>
      <c r="X68" s="50" t="str">
        <f>IF(W68="","",SUMIF($B$4:$B$1002,B68,$W$4:$W$1000))</f>
        <v/>
      </c>
      <c r="Y68" s="43" t="str">
        <f t="shared" si="9"/>
        <v/>
      </c>
      <c r="Z68" s="49" t="str">
        <f t="shared" si="10"/>
        <v/>
      </c>
      <c r="AA68" s="48" t="str">
        <f t="shared" si="11"/>
        <v/>
      </c>
      <c r="AB68" s="49" t="str">
        <f t="shared" si="12"/>
        <v/>
      </c>
      <c r="AC68" s="50" t="str">
        <f>IF(AB68="","",SUMIF($B$4:$B$1002,B68,$AB$4:$AB$1000))</f>
        <v/>
      </c>
      <c r="AD68" s="69"/>
      <c r="AE68" s="56"/>
      <c r="AF68" s="52"/>
      <c r="AG68" s="51"/>
      <c r="AH68" s="70"/>
      <c r="AI68" s="58"/>
      <c r="AJ68" s="55"/>
      <c r="AK68" s="51"/>
      <c r="AL68" s="69"/>
      <c r="AM68" s="56"/>
      <c r="AN68" s="52"/>
      <c r="AO68" s="51"/>
      <c r="AP68" s="70"/>
      <c r="AQ68" s="58"/>
      <c r="AR68" s="55"/>
      <c r="AS68" s="51"/>
      <c r="AT68" s="69"/>
      <c r="AU68" s="56"/>
      <c r="AV68" s="52"/>
      <c r="AW68" s="51"/>
      <c r="BR68" s="34" t="str">
        <f>IF(E68="","",CONCATENATE(E68," ",F68," noches"))</f>
        <v/>
      </c>
      <c r="BS68" s="28" t="str">
        <f t="shared" ca="1" si="13"/>
        <v/>
      </c>
      <c r="BT68" s="28" t="str">
        <f t="shared" ca="1" si="14"/>
        <v/>
      </c>
    </row>
    <row r="69" spans="1:72" x14ac:dyDescent="0.2">
      <c r="A69" s="18" t="str" cm="1">
        <f t="array" aca="1" ref="A69" ca="1">IF(B69="","","Grupo N˚"&amp;SUMPRODUCT(($B$4:B69&lt;&gt;"")*($B$4:B69&lt;&gt;OFFSET($B$4,-1,0,ROWS($B$4:B69),1))))</f>
        <v/>
      </c>
      <c r="B69" s="31"/>
      <c r="C69" s="31"/>
      <c r="D69" s="31"/>
      <c r="E69" s="31"/>
      <c r="F69" s="32"/>
      <c r="G69" s="33"/>
      <c r="H69" s="33"/>
      <c r="I69" s="20" t="str">
        <f t="shared" ref="I69:I132" si="19">+IF(H69="","",G69+H69)</f>
        <v/>
      </c>
      <c r="J69" s="21" t="str">
        <f>IFERROR(VLOOKUP(BR69,Pricing!$D$3:$E$58,2,FALSE),"")</f>
        <v/>
      </c>
      <c r="K69" s="32"/>
      <c r="L69" s="32"/>
      <c r="M69" s="32"/>
      <c r="N69" s="36" t="str" cm="1">
        <f t="array" ref="N69">IFERROR(_xlfn.IFS((AND(K69="SI",M69="$")),J69*0.2,AND(K69="SI",M69="%"),20),"")</f>
        <v/>
      </c>
      <c r="O69" s="29" t="str">
        <f t="shared" ref="O69:O132" si="20">IFERROR(IF($M69="%",
             IF(N(N69)&gt;1, N(N69)/100, N(N69)),
             IF(AND($J69&gt;0,$M69="$"), N(N69)/$J69, "")
            ),"")</f>
        <v/>
      </c>
      <c r="P69" s="21" t="str">
        <f t="shared" ref="P69:P132" si="21">IFERROR(IF(M69="$", N(N69), IF(M69="%", J69*N(N69/100), "")), "")</f>
        <v/>
      </c>
      <c r="Q69" s="21" t="str">
        <f t="shared" ref="Q69:Q132" si="22">IF(J69="","",J69*(1-N(O69)))</f>
        <v/>
      </c>
      <c r="R69" s="21" t="str">
        <f t="shared" ref="R69:R132" si="23">IF(Q69="","",Q69/1.19)</f>
        <v/>
      </c>
      <c r="S69" s="39"/>
      <c r="T69" s="43" t="str">
        <f t="shared" si="15"/>
        <v/>
      </c>
      <c r="U69" s="49" t="str">
        <f t="shared" si="17"/>
        <v/>
      </c>
      <c r="V69" s="48" t="str">
        <f t="shared" si="18"/>
        <v/>
      </c>
      <c r="W69" s="48" t="str">
        <f t="shared" ref="W69:W132" si="24">IFERROR(U69-N(V69),"")</f>
        <v/>
      </c>
      <c r="X69" s="50" t="str">
        <f>IF(W69="","",SUMIF($B$4:$B$1002,B69,$W$4:$W$1000))</f>
        <v/>
      </c>
      <c r="Y69" s="43" t="str">
        <f t="shared" ref="Y69:Y132" si="25">IF(AB69="","",IFERROR(
 IF(AND(ABS(N(AB69))&lt;0.5, BT69&gt;=23), "Sin deuda",
  IF(AND(N(AB69)&gt;0, BT69&gt;=23), "Con deuda",
   IF(AND(N(AB69)&gt;0, BT69&lt;23), "Moroso", "")
  )
),""))</f>
        <v/>
      </c>
      <c r="Z69" s="49" t="str">
        <f t="shared" ref="Z69:Z132" si="26">IF(R69="","",R69/2)</f>
        <v/>
      </c>
      <c r="AA69" s="48" t="str">
        <f t="shared" ref="AA69:AA132" si="27">IF(AD69="","",SUM(
 IF(ISNUMBER(SEARCH("saldo",AD69)),AF69,0),
 IF(ISNUMBER(SEARCH("saldo",AH69)),AJ69,0),
 IF(ISNUMBER(SEARCH("saldo",AL69)),AN69,0),
 IF(ISNUMBER(SEARCH("saldo",AP69)),AR69,0),
 IF(ISNUMBER(SEARCH("saldo",AT69)),AV69,0)
))</f>
        <v/>
      </c>
      <c r="AB69" s="49" t="str">
        <f t="shared" ref="AB69:AB132" si="28">IFERROR(Z69-N(AA69),"")</f>
        <v/>
      </c>
      <c r="AC69" s="50" t="str">
        <f>IF(AB69="","",SUMIF($B$4:$B$1002,B69,$AB$4:$AB$1000))</f>
        <v/>
      </c>
      <c r="AD69" s="69"/>
      <c r="AE69" s="56"/>
      <c r="AF69" s="52"/>
      <c r="AG69" s="51"/>
      <c r="AH69" s="70"/>
      <c r="AI69" s="58"/>
      <c r="AJ69" s="55"/>
      <c r="AK69" s="51"/>
      <c r="AL69" s="69"/>
      <c r="AM69" s="56"/>
      <c r="AN69" s="52"/>
      <c r="AO69" s="51"/>
      <c r="AP69" s="70"/>
      <c r="AQ69" s="58"/>
      <c r="AR69" s="55"/>
      <c r="AS69" s="51"/>
      <c r="AT69" s="69"/>
      <c r="AU69" s="56"/>
      <c r="AV69" s="52"/>
      <c r="AW69" s="51"/>
      <c r="BR69" s="34" t="str">
        <f>IF(E69="","",CONCATENATE(E69," ",F69," noches"))</f>
        <v/>
      </c>
      <c r="BS69" s="28" t="str">
        <f t="shared" ref="BS69:BS132" ca="1" si="29">IF(G69="","",+TODAY()-G69)</f>
        <v/>
      </c>
      <c r="BT69" s="28" t="str">
        <f t="shared" ref="BT69:BT132" ca="1" si="30">IF(H69="","",H69-TODAY())</f>
        <v/>
      </c>
    </row>
    <row r="70" spans="1:72" x14ac:dyDescent="0.2">
      <c r="A70" s="18" t="str" cm="1">
        <f t="array" aca="1" ref="A70" ca="1">IF(B70="","","Grupo N˚"&amp;SUMPRODUCT(($B$4:B70&lt;&gt;"")*($B$4:B70&lt;&gt;OFFSET($B$4,-1,0,ROWS($B$4:B70),1))))</f>
        <v/>
      </c>
      <c r="B70" s="31"/>
      <c r="C70" s="31"/>
      <c r="D70" s="31"/>
      <c r="E70" s="31"/>
      <c r="F70" s="32"/>
      <c r="G70" s="33"/>
      <c r="H70" s="33"/>
      <c r="I70" s="20" t="str">
        <f t="shared" si="19"/>
        <v/>
      </c>
      <c r="J70" s="21" t="str">
        <f>IFERROR(VLOOKUP(BR70,Pricing!$D$3:$E$58,2,FALSE),"")</f>
        <v/>
      </c>
      <c r="K70" s="32"/>
      <c r="L70" s="32"/>
      <c r="M70" s="32"/>
      <c r="N70" s="36" t="str" cm="1">
        <f t="array" ref="N70">IFERROR(_xlfn.IFS((AND(K70="SI",M70="$")),J70*0.2,AND(K70="SI",M70="%"),20),"")</f>
        <v/>
      </c>
      <c r="O70" s="29" t="str">
        <f t="shared" si="20"/>
        <v/>
      </c>
      <c r="P70" s="21" t="str">
        <f t="shared" si="21"/>
        <v/>
      </c>
      <c r="Q70" s="21" t="str">
        <f t="shared" si="22"/>
        <v/>
      </c>
      <c r="R70" s="21" t="str">
        <f t="shared" si="23"/>
        <v/>
      </c>
      <c r="S70" s="39"/>
      <c r="T70" s="43" t="str">
        <f t="shared" si="15"/>
        <v/>
      </c>
      <c r="U70" s="49" t="str">
        <f t="shared" si="17"/>
        <v/>
      </c>
      <c r="V70" s="48" t="str">
        <f t="shared" si="18"/>
        <v/>
      </c>
      <c r="W70" s="48" t="str">
        <f t="shared" si="24"/>
        <v/>
      </c>
      <c r="X70" s="50" t="str">
        <f>IF(W70="","",SUMIF($B$4:$B$1002,B70,$W$4:$W$1000))</f>
        <v/>
      </c>
      <c r="Y70" s="43" t="str">
        <f t="shared" si="25"/>
        <v/>
      </c>
      <c r="Z70" s="49" t="str">
        <f t="shared" si="26"/>
        <v/>
      </c>
      <c r="AA70" s="48" t="str">
        <f t="shared" si="27"/>
        <v/>
      </c>
      <c r="AB70" s="49" t="str">
        <f t="shared" si="28"/>
        <v/>
      </c>
      <c r="AC70" s="50" t="str">
        <f>IF(AB70="","",SUMIF($B$4:$B$1002,B70,$AB$4:$AB$1000))</f>
        <v/>
      </c>
      <c r="AD70" s="69"/>
      <c r="AE70" s="56"/>
      <c r="AF70" s="52"/>
      <c r="AG70" s="51"/>
      <c r="AH70" s="70"/>
      <c r="AI70" s="58"/>
      <c r="AJ70" s="55"/>
      <c r="AK70" s="51"/>
      <c r="AL70" s="69"/>
      <c r="AM70" s="56"/>
      <c r="AN70" s="52"/>
      <c r="AO70" s="51"/>
      <c r="AP70" s="70"/>
      <c r="AQ70" s="58"/>
      <c r="AR70" s="55"/>
      <c r="AS70" s="51"/>
      <c r="AT70" s="69"/>
      <c r="AU70" s="56"/>
      <c r="AV70" s="52"/>
      <c r="AW70" s="51"/>
      <c r="BR70" s="34" t="str">
        <f>IF(E70="","",CONCATENATE(E70," ",F70," noches"))</f>
        <v/>
      </c>
      <c r="BS70" s="28" t="str">
        <f t="shared" ca="1" si="29"/>
        <v/>
      </c>
      <c r="BT70" s="28" t="str">
        <f t="shared" ca="1" si="30"/>
        <v/>
      </c>
    </row>
    <row r="71" spans="1:72" x14ac:dyDescent="0.2">
      <c r="A71" s="18" t="str" cm="1">
        <f t="array" aca="1" ref="A71" ca="1">IF(B71="","","Grupo N˚"&amp;SUMPRODUCT(($B$4:B71&lt;&gt;"")*($B$4:B71&lt;&gt;OFFSET($B$4,-1,0,ROWS($B$4:B71),1))))</f>
        <v/>
      </c>
      <c r="B71" s="31"/>
      <c r="C71" s="31"/>
      <c r="D71" s="31"/>
      <c r="E71" s="31"/>
      <c r="F71" s="32"/>
      <c r="G71" s="33"/>
      <c r="H71" s="33"/>
      <c r="I71" s="20" t="str">
        <f t="shared" si="19"/>
        <v/>
      </c>
      <c r="J71" s="21" t="str">
        <f>IFERROR(VLOOKUP(BR71,Pricing!$D$3:$E$58,2,FALSE),"")</f>
        <v/>
      </c>
      <c r="K71" s="32"/>
      <c r="L71" s="32"/>
      <c r="M71" s="32"/>
      <c r="N71" s="36" t="str" cm="1">
        <f t="array" ref="N71">IFERROR(_xlfn.IFS((AND(K71="SI",M71="$")),J71*0.2,AND(K71="SI",M71="%"),20),"")</f>
        <v/>
      </c>
      <c r="O71" s="29" t="str">
        <f t="shared" si="20"/>
        <v/>
      </c>
      <c r="P71" s="21" t="str">
        <f t="shared" si="21"/>
        <v/>
      </c>
      <c r="Q71" s="21" t="str">
        <f t="shared" si="22"/>
        <v/>
      </c>
      <c r="R71" s="21" t="str">
        <f t="shared" si="23"/>
        <v/>
      </c>
      <c r="S71" s="39"/>
      <c r="T71" s="43" t="str">
        <f t="shared" si="15"/>
        <v/>
      </c>
      <c r="U71" s="49" t="str">
        <f t="shared" si="17"/>
        <v/>
      </c>
      <c r="V71" s="48" t="str">
        <f t="shared" si="18"/>
        <v/>
      </c>
      <c r="W71" s="48" t="str">
        <f t="shared" si="24"/>
        <v/>
      </c>
      <c r="X71" s="50" t="str">
        <f>IF(W71="","",SUMIF($B$4:$B$1002,B71,$W$4:$W$1000))</f>
        <v/>
      </c>
      <c r="Y71" s="43" t="str">
        <f t="shared" si="25"/>
        <v/>
      </c>
      <c r="Z71" s="49" t="str">
        <f t="shared" si="26"/>
        <v/>
      </c>
      <c r="AA71" s="48" t="str">
        <f t="shared" si="27"/>
        <v/>
      </c>
      <c r="AB71" s="49" t="str">
        <f t="shared" si="28"/>
        <v/>
      </c>
      <c r="AC71" s="50" t="str">
        <f>IF(AB71="","",SUMIF($B$4:$B$1002,B71,$AB$4:$AB$1000))</f>
        <v/>
      </c>
      <c r="AD71" s="69"/>
      <c r="AE71" s="56"/>
      <c r="AF71" s="52"/>
      <c r="AG71" s="51"/>
      <c r="AH71" s="70"/>
      <c r="AI71" s="58"/>
      <c r="AJ71" s="55"/>
      <c r="AK71" s="51"/>
      <c r="AL71" s="69"/>
      <c r="AM71" s="56"/>
      <c r="AN71" s="52"/>
      <c r="AO71" s="51"/>
      <c r="AP71" s="70"/>
      <c r="AQ71" s="58"/>
      <c r="AR71" s="55"/>
      <c r="AS71" s="51"/>
      <c r="AT71" s="69"/>
      <c r="AU71" s="56"/>
      <c r="AV71" s="52"/>
      <c r="AW71" s="51"/>
      <c r="BR71" s="34" t="str">
        <f>IF(E71="","",CONCATENATE(E71," ",F71," noches"))</f>
        <v/>
      </c>
      <c r="BS71" s="28" t="str">
        <f t="shared" ca="1" si="29"/>
        <v/>
      </c>
      <c r="BT71" s="28" t="str">
        <f t="shared" ca="1" si="30"/>
        <v/>
      </c>
    </row>
    <row r="72" spans="1:72" x14ac:dyDescent="0.2">
      <c r="A72" s="18" t="str" cm="1">
        <f t="array" aca="1" ref="A72" ca="1">IF(B72="","","Grupo N˚"&amp;SUMPRODUCT(($B$4:B72&lt;&gt;"")*($B$4:B72&lt;&gt;OFFSET($B$4,-1,0,ROWS($B$4:B72),1))))</f>
        <v/>
      </c>
      <c r="B72" s="31"/>
      <c r="C72" s="31"/>
      <c r="D72" s="31"/>
      <c r="E72" s="31"/>
      <c r="F72" s="32"/>
      <c r="G72" s="33"/>
      <c r="H72" s="33"/>
      <c r="I72" s="20" t="str">
        <f t="shared" si="19"/>
        <v/>
      </c>
      <c r="J72" s="21" t="str">
        <f>IFERROR(VLOOKUP(BR72,Pricing!$D$3:$E$58,2,FALSE),"")</f>
        <v/>
      </c>
      <c r="K72" s="32"/>
      <c r="L72" s="32"/>
      <c r="M72" s="32"/>
      <c r="N72" s="36" t="str" cm="1">
        <f t="array" ref="N72">IFERROR(_xlfn.IFS((AND(K72="SI",M72="$")),J72*0.2,AND(K72="SI",M72="%"),20),"")</f>
        <v/>
      </c>
      <c r="O72" s="29" t="str">
        <f t="shared" si="20"/>
        <v/>
      </c>
      <c r="P72" s="21" t="str">
        <f t="shared" si="21"/>
        <v/>
      </c>
      <c r="Q72" s="21" t="str">
        <f t="shared" si="22"/>
        <v/>
      </c>
      <c r="R72" s="21" t="str">
        <f t="shared" si="23"/>
        <v/>
      </c>
      <c r="S72" s="39"/>
      <c r="T72" s="43" t="str">
        <f t="shared" si="15"/>
        <v/>
      </c>
      <c r="U72" s="49" t="str">
        <f t="shared" si="17"/>
        <v/>
      </c>
      <c r="V72" s="48" t="str">
        <f t="shared" si="18"/>
        <v/>
      </c>
      <c r="W72" s="48" t="str">
        <f t="shared" si="24"/>
        <v/>
      </c>
      <c r="X72" s="50" t="str">
        <f>IF(W72="","",SUMIF($B$4:$B$1002,B72,$W$4:$W$1000))</f>
        <v/>
      </c>
      <c r="Y72" s="43" t="str">
        <f t="shared" si="25"/>
        <v/>
      </c>
      <c r="Z72" s="49" t="str">
        <f t="shared" si="26"/>
        <v/>
      </c>
      <c r="AA72" s="48" t="str">
        <f t="shared" si="27"/>
        <v/>
      </c>
      <c r="AB72" s="49" t="str">
        <f t="shared" si="28"/>
        <v/>
      </c>
      <c r="AC72" s="50" t="str">
        <f>IF(AB72="","",SUMIF($B$4:$B$1002,B72,$AB$4:$AB$1000))</f>
        <v/>
      </c>
      <c r="AD72" s="69"/>
      <c r="AE72" s="56"/>
      <c r="AF72" s="52"/>
      <c r="AG72" s="51"/>
      <c r="AH72" s="70"/>
      <c r="AI72" s="58"/>
      <c r="AJ72" s="55"/>
      <c r="AK72" s="51"/>
      <c r="AL72" s="69"/>
      <c r="AM72" s="56"/>
      <c r="AN72" s="52"/>
      <c r="AO72" s="51"/>
      <c r="AP72" s="70"/>
      <c r="AQ72" s="58"/>
      <c r="AR72" s="55"/>
      <c r="AS72" s="51"/>
      <c r="AT72" s="69"/>
      <c r="AU72" s="56"/>
      <c r="AV72" s="52"/>
      <c r="AW72" s="51"/>
      <c r="BR72" s="34" t="str">
        <f>IF(E72="","",CONCATENATE(E72," ",F72," noches"))</f>
        <v/>
      </c>
      <c r="BS72" s="28" t="str">
        <f t="shared" ca="1" si="29"/>
        <v/>
      </c>
      <c r="BT72" s="28" t="str">
        <f t="shared" ca="1" si="30"/>
        <v/>
      </c>
    </row>
    <row r="73" spans="1:72" x14ac:dyDescent="0.2">
      <c r="A73" s="18" t="str" cm="1">
        <f t="array" aca="1" ref="A73" ca="1">IF(B73="","","Grupo N˚"&amp;SUMPRODUCT(($B$4:B73&lt;&gt;"")*($B$4:B73&lt;&gt;OFFSET($B$4,-1,0,ROWS($B$4:B73),1))))</f>
        <v/>
      </c>
      <c r="B73" s="31"/>
      <c r="C73" s="31"/>
      <c r="D73" s="31"/>
      <c r="E73" s="31"/>
      <c r="F73" s="32"/>
      <c r="G73" s="33"/>
      <c r="H73" s="33"/>
      <c r="I73" s="20" t="str">
        <f t="shared" si="19"/>
        <v/>
      </c>
      <c r="J73" s="21" t="str">
        <f>IFERROR(VLOOKUP(BR73,Pricing!$D$3:$E$58,2,FALSE),"")</f>
        <v/>
      </c>
      <c r="K73" s="32"/>
      <c r="L73" s="32"/>
      <c r="M73" s="32"/>
      <c r="N73" s="36" t="str" cm="1">
        <f t="array" ref="N73">IFERROR(_xlfn.IFS((AND(K73="SI",M73="$")),J73*0.2,AND(K73="SI",M73="%"),20),"")</f>
        <v/>
      </c>
      <c r="O73" s="29" t="str">
        <f t="shared" si="20"/>
        <v/>
      </c>
      <c r="P73" s="21" t="str">
        <f t="shared" si="21"/>
        <v/>
      </c>
      <c r="Q73" s="21" t="str">
        <f t="shared" si="22"/>
        <v/>
      </c>
      <c r="R73" s="21" t="str">
        <f t="shared" si="23"/>
        <v/>
      </c>
      <c r="S73" s="39"/>
      <c r="T73" s="43" t="str">
        <f t="shared" ref="T73:T136" si="31">IF(W73="","",IFERROR(
 IF(AND(ABS(N(W73))&lt;0.5, BS73&lt;=7), "Sin deuda",
  IF(AND(N(W73)&gt;0, BS73&lt;=7), "Con deuda",
   IF(AND(N(W73)&gt;0, BS73&gt;7), "Moroso", "")
  )
)," "))</f>
        <v/>
      </c>
      <c r="U73" s="49" t="str">
        <f t="shared" si="17"/>
        <v/>
      </c>
      <c r="V73" s="48" t="str">
        <f t="shared" si="18"/>
        <v/>
      </c>
      <c r="W73" s="48" t="str">
        <f t="shared" si="24"/>
        <v/>
      </c>
      <c r="X73" s="50" t="str">
        <f>IF(W73="","",SUMIF($B$4:$B$1002,B73,$W$4:$W$1000))</f>
        <v/>
      </c>
      <c r="Y73" s="43" t="str">
        <f t="shared" si="25"/>
        <v/>
      </c>
      <c r="Z73" s="49" t="str">
        <f t="shared" si="26"/>
        <v/>
      </c>
      <c r="AA73" s="48" t="str">
        <f t="shared" si="27"/>
        <v/>
      </c>
      <c r="AB73" s="49" t="str">
        <f t="shared" si="28"/>
        <v/>
      </c>
      <c r="AC73" s="50" t="str">
        <f>IF(AB73="","",SUMIF($B$4:$B$1002,B73,$AB$4:$AB$1000))</f>
        <v/>
      </c>
      <c r="AD73" s="69"/>
      <c r="AE73" s="56"/>
      <c r="AF73" s="52"/>
      <c r="AG73" s="51"/>
      <c r="AH73" s="70"/>
      <c r="AI73" s="58"/>
      <c r="AJ73" s="55"/>
      <c r="AK73" s="51"/>
      <c r="AL73" s="69"/>
      <c r="AM73" s="56"/>
      <c r="AN73" s="52"/>
      <c r="AO73" s="51"/>
      <c r="AP73" s="70"/>
      <c r="AQ73" s="58"/>
      <c r="AR73" s="55"/>
      <c r="AS73" s="51"/>
      <c r="AT73" s="69"/>
      <c r="AU73" s="56"/>
      <c r="AV73" s="52"/>
      <c r="AW73" s="51"/>
      <c r="BR73" s="34" t="str">
        <f>IF(E73="","",CONCATENATE(E73," ",F73," noches"))</f>
        <v/>
      </c>
      <c r="BS73" s="28" t="str">
        <f t="shared" ca="1" si="29"/>
        <v/>
      </c>
      <c r="BT73" s="28" t="str">
        <f t="shared" ca="1" si="30"/>
        <v/>
      </c>
    </row>
    <row r="74" spans="1:72" x14ac:dyDescent="0.2">
      <c r="A74" s="18" t="str" cm="1">
        <f t="array" aca="1" ref="A74" ca="1">IF(B74="","","Grupo N˚"&amp;SUMPRODUCT(($B$4:B74&lt;&gt;"")*($B$4:B74&lt;&gt;OFFSET($B$4,-1,0,ROWS($B$4:B74),1))))</f>
        <v/>
      </c>
      <c r="B74" s="31"/>
      <c r="C74" s="31"/>
      <c r="D74" s="31"/>
      <c r="E74" s="31"/>
      <c r="F74" s="32"/>
      <c r="G74" s="33"/>
      <c r="H74" s="33"/>
      <c r="I74" s="20" t="str">
        <f t="shared" si="19"/>
        <v/>
      </c>
      <c r="J74" s="21" t="str">
        <f>IFERROR(VLOOKUP(BR74,Pricing!$D$3:$E$58,2,FALSE),"")</f>
        <v/>
      </c>
      <c r="K74" s="32"/>
      <c r="L74" s="32"/>
      <c r="M74" s="32"/>
      <c r="N74" s="36" t="str" cm="1">
        <f t="array" ref="N74">IFERROR(_xlfn.IFS((AND(K74="SI",M74="$")),J74*0.2,AND(K74="SI",M74="%"),20),"")</f>
        <v/>
      </c>
      <c r="O74" s="29" t="str">
        <f t="shared" si="20"/>
        <v/>
      </c>
      <c r="P74" s="21" t="str">
        <f t="shared" si="21"/>
        <v/>
      </c>
      <c r="Q74" s="21" t="str">
        <f t="shared" si="22"/>
        <v/>
      </c>
      <c r="R74" s="21" t="str">
        <f t="shared" si="23"/>
        <v/>
      </c>
      <c r="S74" s="39"/>
      <c r="T74" s="43" t="str">
        <f t="shared" si="31"/>
        <v/>
      </c>
      <c r="U74" s="49" t="str">
        <f t="shared" si="17"/>
        <v/>
      </c>
      <c r="V74" s="48" t="str">
        <f t="shared" si="18"/>
        <v/>
      </c>
      <c r="W74" s="48" t="str">
        <f t="shared" si="24"/>
        <v/>
      </c>
      <c r="X74" s="50" t="str">
        <f>IF(W74="","",SUMIF($B$4:$B$1002,B74,$W$4:$W$1000))</f>
        <v/>
      </c>
      <c r="Y74" s="43" t="str">
        <f t="shared" si="25"/>
        <v/>
      </c>
      <c r="Z74" s="49" t="str">
        <f t="shared" si="26"/>
        <v/>
      </c>
      <c r="AA74" s="48" t="str">
        <f t="shared" si="27"/>
        <v/>
      </c>
      <c r="AB74" s="49" t="str">
        <f t="shared" si="28"/>
        <v/>
      </c>
      <c r="AC74" s="50" t="str">
        <f>IF(AB74="","",SUMIF($B$4:$B$1002,B74,$AB$4:$AB$1000))</f>
        <v/>
      </c>
      <c r="AD74" s="69"/>
      <c r="AE74" s="56"/>
      <c r="AF74" s="52"/>
      <c r="AG74" s="51"/>
      <c r="AH74" s="70"/>
      <c r="AI74" s="58"/>
      <c r="AJ74" s="55"/>
      <c r="AK74" s="51"/>
      <c r="AL74" s="69"/>
      <c r="AM74" s="56"/>
      <c r="AN74" s="52"/>
      <c r="AO74" s="51"/>
      <c r="AP74" s="70"/>
      <c r="AQ74" s="58"/>
      <c r="AR74" s="55"/>
      <c r="AS74" s="51"/>
      <c r="AT74" s="69"/>
      <c r="AU74" s="56"/>
      <c r="AV74" s="52"/>
      <c r="AW74" s="51"/>
      <c r="BR74" s="34" t="str">
        <f>IF(E74="","",CONCATENATE(E74," ",F74," noches"))</f>
        <v/>
      </c>
      <c r="BS74" s="28" t="str">
        <f t="shared" ca="1" si="29"/>
        <v/>
      </c>
      <c r="BT74" s="28" t="str">
        <f t="shared" ca="1" si="30"/>
        <v/>
      </c>
    </row>
    <row r="75" spans="1:72" x14ac:dyDescent="0.2">
      <c r="A75" s="18" t="str" cm="1">
        <f t="array" aca="1" ref="A75" ca="1">IF(B75="","","Grupo N˚"&amp;SUMPRODUCT(($B$4:B75&lt;&gt;"")*($B$4:B75&lt;&gt;OFFSET($B$4,-1,0,ROWS($B$4:B75),1))))</f>
        <v/>
      </c>
      <c r="B75" s="31"/>
      <c r="C75" s="31"/>
      <c r="D75" s="31"/>
      <c r="E75" s="31"/>
      <c r="F75" s="32"/>
      <c r="G75" s="33"/>
      <c r="H75" s="33"/>
      <c r="I75" s="20" t="str">
        <f t="shared" si="19"/>
        <v/>
      </c>
      <c r="J75" s="21" t="str">
        <f>IFERROR(VLOOKUP(BR75,Pricing!$D$3:$E$58,2,FALSE),"")</f>
        <v/>
      </c>
      <c r="K75" s="32"/>
      <c r="L75" s="32"/>
      <c r="M75" s="32"/>
      <c r="N75" s="36" t="str" cm="1">
        <f t="array" ref="N75">IFERROR(_xlfn.IFS((AND(K75="SI",M75="$")),J75*0.2,AND(K75="SI",M75="%"),20),"")</f>
        <v/>
      </c>
      <c r="O75" s="29" t="str">
        <f t="shared" si="20"/>
        <v/>
      </c>
      <c r="P75" s="21" t="str">
        <f t="shared" si="21"/>
        <v/>
      </c>
      <c r="Q75" s="21" t="str">
        <f t="shared" si="22"/>
        <v/>
      </c>
      <c r="R75" s="21" t="str">
        <f t="shared" si="23"/>
        <v/>
      </c>
      <c r="S75" s="39"/>
      <c r="T75" s="43" t="str">
        <f t="shared" si="31"/>
        <v/>
      </c>
      <c r="U75" s="49" t="str">
        <f t="shared" si="17"/>
        <v/>
      </c>
      <c r="V75" s="48" t="str">
        <f t="shared" si="18"/>
        <v/>
      </c>
      <c r="W75" s="48" t="str">
        <f t="shared" si="24"/>
        <v/>
      </c>
      <c r="X75" s="50" t="str">
        <f>IF(W75="","",SUMIF($B$4:$B$1002,B75,$W$4:$W$1000))</f>
        <v/>
      </c>
      <c r="Y75" s="43" t="str">
        <f t="shared" si="25"/>
        <v/>
      </c>
      <c r="Z75" s="49" t="str">
        <f t="shared" si="26"/>
        <v/>
      </c>
      <c r="AA75" s="48" t="str">
        <f t="shared" si="27"/>
        <v/>
      </c>
      <c r="AB75" s="49" t="str">
        <f t="shared" si="28"/>
        <v/>
      </c>
      <c r="AC75" s="50" t="str">
        <f>IF(AB75="","",SUMIF($B$4:$B$1002,B75,$AB$4:$AB$1000))</f>
        <v/>
      </c>
      <c r="AD75" s="69"/>
      <c r="AE75" s="56"/>
      <c r="AF75" s="52"/>
      <c r="AG75" s="51"/>
      <c r="AH75" s="70"/>
      <c r="AI75" s="58"/>
      <c r="AJ75" s="55"/>
      <c r="AK75" s="51"/>
      <c r="AL75" s="69"/>
      <c r="AM75" s="56"/>
      <c r="AN75" s="52"/>
      <c r="AO75" s="51"/>
      <c r="AP75" s="70"/>
      <c r="AQ75" s="58"/>
      <c r="AR75" s="55"/>
      <c r="AS75" s="51"/>
      <c r="AT75" s="69"/>
      <c r="AU75" s="56"/>
      <c r="AV75" s="52"/>
      <c r="AW75" s="51"/>
      <c r="BR75" s="34" t="str">
        <f>IF(E75="","",CONCATENATE(E75," ",F75," noches"))</f>
        <v/>
      </c>
      <c r="BS75" s="28" t="str">
        <f t="shared" ca="1" si="29"/>
        <v/>
      </c>
      <c r="BT75" s="28" t="str">
        <f t="shared" ca="1" si="30"/>
        <v/>
      </c>
    </row>
    <row r="76" spans="1:72" x14ac:dyDescent="0.2">
      <c r="A76" s="18" t="str" cm="1">
        <f t="array" aca="1" ref="A76" ca="1">IF(B76="","","Grupo N˚"&amp;SUMPRODUCT(($B$4:B76&lt;&gt;"")*($B$4:B76&lt;&gt;OFFSET($B$4,-1,0,ROWS($B$4:B76),1))))</f>
        <v/>
      </c>
      <c r="B76" s="31"/>
      <c r="C76" s="31"/>
      <c r="D76" s="31"/>
      <c r="E76" s="31"/>
      <c r="F76" s="32"/>
      <c r="G76" s="33"/>
      <c r="H76" s="33"/>
      <c r="I76" s="20" t="str">
        <f t="shared" si="19"/>
        <v/>
      </c>
      <c r="J76" s="21" t="str">
        <f>IFERROR(VLOOKUP(BR76,Pricing!$D$3:$E$58,2,FALSE),"")</f>
        <v/>
      </c>
      <c r="K76" s="32"/>
      <c r="L76" s="32"/>
      <c r="M76" s="32"/>
      <c r="N76" s="36" t="str" cm="1">
        <f t="array" ref="N76">IFERROR(_xlfn.IFS((AND(K76="SI",M76="$")),J76*0.2,AND(K76="SI",M76="%"),20),"")</f>
        <v/>
      </c>
      <c r="O76" s="29" t="str">
        <f t="shared" si="20"/>
        <v/>
      </c>
      <c r="P76" s="21" t="str">
        <f t="shared" si="21"/>
        <v/>
      </c>
      <c r="Q76" s="21" t="str">
        <f t="shared" si="22"/>
        <v/>
      </c>
      <c r="R76" s="21" t="str">
        <f t="shared" si="23"/>
        <v/>
      </c>
      <c r="S76" s="39"/>
      <c r="T76" s="43" t="str">
        <f t="shared" si="31"/>
        <v/>
      </c>
      <c r="U76" s="49" t="str">
        <f t="shared" si="17"/>
        <v/>
      </c>
      <c r="V76" s="48" t="str">
        <f t="shared" si="18"/>
        <v/>
      </c>
      <c r="W76" s="48" t="str">
        <f t="shared" si="24"/>
        <v/>
      </c>
      <c r="X76" s="50" t="str">
        <f>IF(W76="","",SUMIF($B$4:$B$1002,B76,$W$4:$W$1000))</f>
        <v/>
      </c>
      <c r="Y76" s="43" t="str">
        <f t="shared" si="25"/>
        <v/>
      </c>
      <c r="Z76" s="49" t="str">
        <f t="shared" si="26"/>
        <v/>
      </c>
      <c r="AA76" s="48" t="str">
        <f t="shared" si="27"/>
        <v/>
      </c>
      <c r="AB76" s="49" t="str">
        <f t="shared" si="28"/>
        <v/>
      </c>
      <c r="AC76" s="50" t="str">
        <f>IF(AB76="","",SUMIF($B$4:$B$1002,B76,$AB$4:$AB$1000))</f>
        <v/>
      </c>
      <c r="AD76" s="69"/>
      <c r="AE76" s="56"/>
      <c r="AF76" s="52"/>
      <c r="AG76" s="51"/>
      <c r="AH76" s="70"/>
      <c r="AI76" s="58"/>
      <c r="AJ76" s="55"/>
      <c r="AK76" s="51"/>
      <c r="AL76" s="69"/>
      <c r="AM76" s="56"/>
      <c r="AN76" s="52"/>
      <c r="AO76" s="51"/>
      <c r="AP76" s="70"/>
      <c r="AQ76" s="58"/>
      <c r="AR76" s="55"/>
      <c r="AS76" s="51"/>
      <c r="AT76" s="69"/>
      <c r="AU76" s="56"/>
      <c r="AV76" s="52"/>
      <c r="AW76" s="51"/>
      <c r="BR76" s="34" t="str">
        <f>IF(E76="","",CONCATENATE(E76," ",F76," noches"))</f>
        <v/>
      </c>
      <c r="BS76" s="28" t="str">
        <f t="shared" ca="1" si="29"/>
        <v/>
      </c>
      <c r="BT76" s="28" t="str">
        <f t="shared" ca="1" si="30"/>
        <v/>
      </c>
    </row>
    <row r="77" spans="1:72" x14ac:dyDescent="0.2">
      <c r="A77" s="18" t="str" cm="1">
        <f t="array" aca="1" ref="A77" ca="1">IF(B77="","","Grupo N˚"&amp;SUMPRODUCT(($B$4:B77&lt;&gt;"")*($B$4:B77&lt;&gt;OFFSET($B$4,-1,0,ROWS($B$4:B77),1))))</f>
        <v/>
      </c>
      <c r="B77" s="31"/>
      <c r="C77" s="31"/>
      <c r="D77" s="31"/>
      <c r="E77" s="31"/>
      <c r="F77" s="32"/>
      <c r="G77" s="33"/>
      <c r="H77" s="33"/>
      <c r="I77" s="20" t="str">
        <f t="shared" si="19"/>
        <v/>
      </c>
      <c r="J77" s="21" t="str">
        <f>IFERROR(VLOOKUP(BR77,Pricing!$D$3:$E$58,2,FALSE),"")</f>
        <v/>
      </c>
      <c r="K77" s="32"/>
      <c r="L77" s="32"/>
      <c r="M77" s="32"/>
      <c r="N77" s="36" t="str" cm="1">
        <f t="array" ref="N77">IFERROR(_xlfn.IFS((AND(K77="SI",M77="$")),J77*0.2,AND(K77="SI",M77="%"),20),"")</f>
        <v/>
      </c>
      <c r="O77" s="29" t="str">
        <f t="shared" si="20"/>
        <v/>
      </c>
      <c r="P77" s="21" t="str">
        <f t="shared" si="21"/>
        <v/>
      </c>
      <c r="Q77" s="21" t="str">
        <f t="shared" si="22"/>
        <v/>
      </c>
      <c r="R77" s="21" t="str">
        <f t="shared" si="23"/>
        <v/>
      </c>
      <c r="S77" s="39"/>
      <c r="T77" s="43" t="str">
        <f t="shared" si="31"/>
        <v/>
      </c>
      <c r="U77" s="49" t="str">
        <f t="shared" ref="U77:U140" si="32">IF(R77="","",R77/2)</f>
        <v/>
      </c>
      <c r="V77" s="48" t="str">
        <f t="shared" ref="V77:V140" si="33">IF(AD77="","",SUM(
 IF(ISNUMBER(SEARCH("reserva",AD77)),AF77,0),
 IF(ISNUMBER(SEARCH("reserva",AH77)),AJ77,0),
 IF(ISNUMBER(SEARCH("reserva",AL77)),AN77,0),
 IF(ISNUMBER(SEARCH("reserva",AP77)),AR77,0),
 IF(ISNUMBER(SEARCH("reserva",AT77)),AV77,0)
))</f>
        <v/>
      </c>
      <c r="W77" s="48" t="str">
        <f t="shared" si="24"/>
        <v/>
      </c>
      <c r="X77" s="50" t="str">
        <f>IF(W77="","",SUMIF($B$4:$B$1002,B77,$W$4:$W$1000))</f>
        <v/>
      </c>
      <c r="Y77" s="43" t="str">
        <f t="shared" si="25"/>
        <v/>
      </c>
      <c r="Z77" s="49" t="str">
        <f t="shared" si="26"/>
        <v/>
      </c>
      <c r="AA77" s="48" t="str">
        <f t="shared" si="27"/>
        <v/>
      </c>
      <c r="AB77" s="49" t="str">
        <f t="shared" si="28"/>
        <v/>
      </c>
      <c r="AC77" s="50" t="str">
        <f>IF(AB77="","",SUMIF($B$4:$B$1002,B77,$AB$4:$AB$1000))</f>
        <v/>
      </c>
      <c r="AD77" s="69"/>
      <c r="AE77" s="56"/>
      <c r="AF77" s="52"/>
      <c r="AG77" s="51"/>
      <c r="AH77" s="70"/>
      <c r="AI77" s="58"/>
      <c r="AJ77" s="55"/>
      <c r="AK77" s="51"/>
      <c r="AL77" s="69"/>
      <c r="AM77" s="56"/>
      <c r="AN77" s="52"/>
      <c r="AO77" s="51"/>
      <c r="AP77" s="70"/>
      <c r="AQ77" s="58"/>
      <c r="AR77" s="55"/>
      <c r="AS77" s="51"/>
      <c r="AT77" s="69"/>
      <c r="AU77" s="56"/>
      <c r="AV77" s="52"/>
      <c r="AW77" s="51"/>
      <c r="BR77" s="34" t="str">
        <f>IF(E77="","",CONCATENATE(E77," ",F77," noches"))</f>
        <v/>
      </c>
      <c r="BS77" s="28" t="str">
        <f t="shared" ca="1" si="29"/>
        <v/>
      </c>
      <c r="BT77" s="28" t="str">
        <f t="shared" ca="1" si="30"/>
        <v/>
      </c>
    </row>
    <row r="78" spans="1:72" x14ac:dyDescent="0.2">
      <c r="A78" s="18" t="str" cm="1">
        <f t="array" aca="1" ref="A78" ca="1">IF(B78="","","Grupo N˚"&amp;SUMPRODUCT(($B$4:B78&lt;&gt;"")*($B$4:B78&lt;&gt;OFFSET($B$4,-1,0,ROWS($B$4:B78),1))))</f>
        <v/>
      </c>
      <c r="B78" s="31"/>
      <c r="C78" s="31"/>
      <c r="D78" s="31"/>
      <c r="E78" s="31"/>
      <c r="F78" s="32"/>
      <c r="G78" s="33"/>
      <c r="H78" s="33"/>
      <c r="I78" s="20" t="str">
        <f t="shared" si="19"/>
        <v/>
      </c>
      <c r="J78" s="21" t="str">
        <f>IFERROR(VLOOKUP(BR78,Pricing!$D$3:$E$58,2,FALSE),"")</f>
        <v/>
      </c>
      <c r="K78" s="32"/>
      <c r="L78" s="32"/>
      <c r="M78" s="32"/>
      <c r="N78" s="36" t="str" cm="1">
        <f t="array" ref="N78">IFERROR(_xlfn.IFS((AND(K78="SI",M78="$")),J78*0.2,AND(K78="SI",M78="%"),20),"")</f>
        <v/>
      </c>
      <c r="O78" s="29" t="str">
        <f t="shared" si="20"/>
        <v/>
      </c>
      <c r="P78" s="21" t="str">
        <f t="shared" si="21"/>
        <v/>
      </c>
      <c r="Q78" s="21" t="str">
        <f t="shared" si="22"/>
        <v/>
      </c>
      <c r="R78" s="21" t="str">
        <f t="shared" si="23"/>
        <v/>
      </c>
      <c r="S78" s="39"/>
      <c r="T78" s="43" t="str">
        <f t="shared" si="31"/>
        <v/>
      </c>
      <c r="U78" s="49" t="str">
        <f t="shared" si="32"/>
        <v/>
      </c>
      <c r="V78" s="48" t="str">
        <f t="shared" si="33"/>
        <v/>
      </c>
      <c r="W78" s="48" t="str">
        <f t="shared" si="24"/>
        <v/>
      </c>
      <c r="X78" s="50" t="str">
        <f>IF(W78="","",SUMIF($B$4:$B$1002,B78,$W$4:$W$1000))</f>
        <v/>
      </c>
      <c r="Y78" s="43" t="str">
        <f t="shared" si="25"/>
        <v/>
      </c>
      <c r="Z78" s="49" t="str">
        <f t="shared" si="26"/>
        <v/>
      </c>
      <c r="AA78" s="48" t="str">
        <f t="shared" si="27"/>
        <v/>
      </c>
      <c r="AB78" s="49" t="str">
        <f t="shared" si="28"/>
        <v/>
      </c>
      <c r="AC78" s="50" t="str">
        <f>IF(AB78="","",SUMIF($B$4:$B$1002,B78,$AB$4:$AB$1000))</f>
        <v/>
      </c>
      <c r="AD78" s="69"/>
      <c r="AE78" s="56"/>
      <c r="AF78" s="52"/>
      <c r="AG78" s="51"/>
      <c r="AH78" s="70"/>
      <c r="AI78" s="58"/>
      <c r="AJ78" s="55"/>
      <c r="AK78" s="51"/>
      <c r="AL78" s="69"/>
      <c r="AM78" s="56"/>
      <c r="AN78" s="52"/>
      <c r="AO78" s="51"/>
      <c r="AP78" s="70"/>
      <c r="AQ78" s="58"/>
      <c r="AR78" s="55"/>
      <c r="AS78" s="51"/>
      <c r="AT78" s="69"/>
      <c r="AU78" s="56"/>
      <c r="AV78" s="52"/>
      <c r="AW78" s="51"/>
      <c r="BR78" s="34" t="str">
        <f>IF(E78="","",CONCATENATE(E78," ",F78," noches"))</f>
        <v/>
      </c>
      <c r="BS78" s="28" t="str">
        <f t="shared" ca="1" si="29"/>
        <v/>
      </c>
      <c r="BT78" s="28" t="str">
        <f t="shared" ca="1" si="30"/>
        <v/>
      </c>
    </row>
    <row r="79" spans="1:72" x14ac:dyDescent="0.2">
      <c r="A79" s="18" t="str" cm="1">
        <f t="array" aca="1" ref="A79" ca="1">IF(B79="","","Grupo N˚"&amp;SUMPRODUCT(($B$4:B79&lt;&gt;"")*($B$4:B79&lt;&gt;OFFSET($B$4,-1,0,ROWS($B$4:B79),1))))</f>
        <v/>
      </c>
      <c r="B79" s="31"/>
      <c r="C79" s="31"/>
      <c r="D79" s="31"/>
      <c r="E79" s="31"/>
      <c r="F79" s="32"/>
      <c r="G79" s="33"/>
      <c r="H79" s="33"/>
      <c r="I79" s="20" t="str">
        <f t="shared" si="19"/>
        <v/>
      </c>
      <c r="J79" s="21" t="str">
        <f>IFERROR(VLOOKUP(BR79,Pricing!$D$3:$E$58,2,FALSE),"")</f>
        <v/>
      </c>
      <c r="K79" s="32"/>
      <c r="L79" s="32"/>
      <c r="M79" s="32"/>
      <c r="N79" s="36" t="str" cm="1">
        <f t="array" ref="N79">IFERROR(_xlfn.IFS((AND(K79="SI",M79="$")),J79*0.2,AND(K79="SI",M79="%"),20),"")</f>
        <v/>
      </c>
      <c r="O79" s="29" t="str">
        <f t="shared" si="20"/>
        <v/>
      </c>
      <c r="P79" s="21" t="str">
        <f t="shared" si="21"/>
        <v/>
      </c>
      <c r="Q79" s="21" t="str">
        <f t="shared" si="22"/>
        <v/>
      </c>
      <c r="R79" s="21" t="str">
        <f t="shared" si="23"/>
        <v/>
      </c>
      <c r="S79" s="39"/>
      <c r="T79" s="43" t="str">
        <f t="shared" si="31"/>
        <v/>
      </c>
      <c r="U79" s="49" t="str">
        <f t="shared" si="32"/>
        <v/>
      </c>
      <c r="V79" s="48" t="str">
        <f t="shared" si="33"/>
        <v/>
      </c>
      <c r="W79" s="48" t="str">
        <f t="shared" si="24"/>
        <v/>
      </c>
      <c r="X79" s="50" t="str">
        <f>IF(W79="","",SUMIF($B$4:$B$1002,B79,$W$4:$W$1000))</f>
        <v/>
      </c>
      <c r="Y79" s="43" t="str">
        <f t="shared" si="25"/>
        <v/>
      </c>
      <c r="Z79" s="49" t="str">
        <f t="shared" si="26"/>
        <v/>
      </c>
      <c r="AA79" s="48" t="str">
        <f t="shared" si="27"/>
        <v/>
      </c>
      <c r="AB79" s="49" t="str">
        <f t="shared" si="28"/>
        <v/>
      </c>
      <c r="AC79" s="50" t="str">
        <f>IF(AB79="","",SUMIF($B$4:$B$1002,B79,$AB$4:$AB$1000))</f>
        <v/>
      </c>
      <c r="AD79" s="69"/>
      <c r="AE79" s="56"/>
      <c r="AF79" s="52"/>
      <c r="AG79" s="51"/>
      <c r="AH79" s="70"/>
      <c r="AI79" s="58"/>
      <c r="AJ79" s="55"/>
      <c r="AK79" s="51"/>
      <c r="AL79" s="69"/>
      <c r="AM79" s="56"/>
      <c r="AN79" s="52"/>
      <c r="AO79" s="51"/>
      <c r="AP79" s="70"/>
      <c r="AQ79" s="58"/>
      <c r="AR79" s="55"/>
      <c r="AS79" s="51"/>
      <c r="AT79" s="69"/>
      <c r="AU79" s="56"/>
      <c r="AV79" s="52"/>
      <c r="AW79" s="51"/>
      <c r="BR79" s="34" t="str">
        <f>IF(E79="","",CONCATENATE(E79," ",F79," noches"))</f>
        <v/>
      </c>
      <c r="BS79" s="28" t="str">
        <f t="shared" ca="1" si="29"/>
        <v/>
      </c>
      <c r="BT79" s="28" t="str">
        <f t="shared" ca="1" si="30"/>
        <v/>
      </c>
    </row>
    <row r="80" spans="1:72" x14ac:dyDescent="0.2">
      <c r="A80" s="18" t="str" cm="1">
        <f t="array" aca="1" ref="A80" ca="1">IF(B80="","","Grupo N˚"&amp;SUMPRODUCT(($B$4:B80&lt;&gt;"")*($B$4:B80&lt;&gt;OFFSET($B$4,-1,0,ROWS($B$4:B80),1))))</f>
        <v/>
      </c>
      <c r="B80" s="31"/>
      <c r="C80" s="31"/>
      <c r="D80" s="31"/>
      <c r="E80" s="31"/>
      <c r="F80" s="32"/>
      <c r="G80" s="33"/>
      <c r="H80" s="33"/>
      <c r="I80" s="20" t="str">
        <f t="shared" si="19"/>
        <v/>
      </c>
      <c r="J80" s="21" t="str">
        <f>IFERROR(VLOOKUP(BR80,Pricing!$D$3:$E$58,2,FALSE),"")</f>
        <v/>
      </c>
      <c r="K80" s="32"/>
      <c r="L80" s="32"/>
      <c r="M80" s="32"/>
      <c r="N80" s="36" t="str" cm="1">
        <f t="array" ref="N80">IFERROR(_xlfn.IFS((AND(K80="SI",M80="$")),J80*0.2,AND(K80="SI",M80="%"),20),"")</f>
        <v/>
      </c>
      <c r="O80" s="29" t="str">
        <f t="shared" si="20"/>
        <v/>
      </c>
      <c r="P80" s="21" t="str">
        <f t="shared" si="21"/>
        <v/>
      </c>
      <c r="Q80" s="21" t="str">
        <f t="shared" si="22"/>
        <v/>
      </c>
      <c r="R80" s="21" t="str">
        <f t="shared" si="23"/>
        <v/>
      </c>
      <c r="S80" s="39"/>
      <c r="T80" s="43" t="str">
        <f t="shared" si="31"/>
        <v/>
      </c>
      <c r="U80" s="49" t="str">
        <f t="shared" si="32"/>
        <v/>
      </c>
      <c r="V80" s="48" t="str">
        <f t="shared" si="33"/>
        <v/>
      </c>
      <c r="W80" s="48" t="str">
        <f t="shared" si="24"/>
        <v/>
      </c>
      <c r="X80" s="50" t="str">
        <f>IF(W80="","",SUMIF($B$4:$B$1002,B80,$W$4:$W$1000))</f>
        <v/>
      </c>
      <c r="Y80" s="43" t="str">
        <f t="shared" si="25"/>
        <v/>
      </c>
      <c r="Z80" s="49" t="str">
        <f t="shared" si="26"/>
        <v/>
      </c>
      <c r="AA80" s="48" t="str">
        <f t="shared" si="27"/>
        <v/>
      </c>
      <c r="AB80" s="49" t="str">
        <f t="shared" si="28"/>
        <v/>
      </c>
      <c r="AC80" s="50" t="str">
        <f>IF(AB80="","",SUMIF($B$4:$B$1002,B80,$AB$4:$AB$1000))</f>
        <v/>
      </c>
      <c r="AD80" s="69"/>
      <c r="AE80" s="56"/>
      <c r="AF80" s="52"/>
      <c r="AG80" s="51"/>
      <c r="AH80" s="70"/>
      <c r="AI80" s="58"/>
      <c r="AJ80" s="55"/>
      <c r="AK80" s="51"/>
      <c r="AL80" s="69"/>
      <c r="AM80" s="56"/>
      <c r="AN80" s="52"/>
      <c r="AO80" s="51"/>
      <c r="AP80" s="70"/>
      <c r="AQ80" s="58"/>
      <c r="AR80" s="55"/>
      <c r="AS80" s="51"/>
      <c r="AT80" s="69"/>
      <c r="AU80" s="56"/>
      <c r="AV80" s="52"/>
      <c r="AW80" s="51"/>
      <c r="BR80" s="34" t="str">
        <f>IF(E80="","",CONCATENATE(E80," ",F80," noches"))</f>
        <v/>
      </c>
      <c r="BS80" s="28" t="str">
        <f t="shared" ca="1" si="29"/>
        <v/>
      </c>
      <c r="BT80" s="28" t="str">
        <f t="shared" ca="1" si="30"/>
        <v/>
      </c>
    </row>
    <row r="81" spans="1:72" x14ac:dyDescent="0.2">
      <c r="A81" s="18" t="str" cm="1">
        <f t="array" aca="1" ref="A81" ca="1">IF(B81="","","Grupo N˚"&amp;SUMPRODUCT(($B$4:B81&lt;&gt;"")*($B$4:B81&lt;&gt;OFFSET($B$4,-1,0,ROWS($B$4:B81),1))))</f>
        <v/>
      </c>
      <c r="B81" s="31"/>
      <c r="C81" s="31"/>
      <c r="D81" s="31"/>
      <c r="E81" s="31"/>
      <c r="F81" s="32"/>
      <c r="G81" s="33"/>
      <c r="H81" s="33"/>
      <c r="I81" s="20" t="str">
        <f t="shared" si="19"/>
        <v/>
      </c>
      <c r="J81" s="21" t="str">
        <f>IFERROR(VLOOKUP(BR81,Pricing!$D$3:$E$58,2,FALSE),"")</f>
        <v/>
      </c>
      <c r="K81" s="32"/>
      <c r="L81" s="32"/>
      <c r="M81" s="32"/>
      <c r="N81" s="36" t="str" cm="1">
        <f t="array" ref="N81">IFERROR(_xlfn.IFS((AND(K81="SI",M81="$")),J81*0.2,AND(K81="SI",M81="%"),20),"")</f>
        <v/>
      </c>
      <c r="O81" s="29" t="str">
        <f t="shared" si="20"/>
        <v/>
      </c>
      <c r="P81" s="21" t="str">
        <f t="shared" si="21"/>
        <v/>
      </c>
      <c r="Q81" s="21" t="str">
        <f t="shared" si="22"/>
        <v/>
      </c>
      <c r="R81" s="21" t="str">
        <f t="shared" si="23"/>
        <v/>
      </c>
      <c r="S81" s="39"/>
      <c r="T81" s="43" t="str">
        <f t="shared" si="31"/>
        <v/>
      </c>
      <c r="U81" s="49" t="str">
        <f t="shared" si="32"/>
        <v/>
      </c>
      <c r="V81" s="48" t="str">
        <f t="shared" si="33"/>
        <v/>
      </c>
      <c r="W81" s="48" t="str">
        <f t="shared" si="24"/>
        <v/>
      </c>
      <c r="X81" s="50" t="str">
        <f>IF(W81="","",SUMIF($B$4:$B$1002,B81,$W$4:$W$1000))</f>
        <v/>
      </c>
      <c r="Y81" s="43" t="str">
        <f t="shared" si="25"/>
        <v/>
      </c>
      <c r="Z81" s="49" t="str">
        <f t="shared" si="26"/>
        <v/>
      </c>
      <c r="AA81" s="48" t="str">
        <f t="shared" si="27"/>
        <v/>
      </c>
      <c r="AB81" s="49" t="str">
        <f t="shared" si="28"/>
        <v/>
      </c>
      <c r="AC81" s="50" t="str">
        <f>IF(AB81="","",SUMIF($B$4:$B$1002,B81,$AB$4:$AB$1000))</f>
        <v/>
      </c>
      <c r="AD81" s="69"/>
      <c r="AE81" s="56"/>
      <c r="AF81" s="52"/>
      <c r="AG81" s="51"/>
      <c r="AH81" s="70"/>
      <c r="AI81" s="58"/>
      <c r="AJ81" s="55"/>
      <c r="AK81" s="51"/>
      <c r="AL81" s="69"/>
      <c r="AM81" s="56"/>
      <c r="AN81" s="52"/>
      <c r="AO81" s="51"/>
      <c r="AP81" s="70"/>
      <c r="AQ81" s="58"/>
      <c r="AR81" s="55"/>
      <c r="AS81" s="51"/>
      <c r="AT81" s="69"/>
      <c r="AU81" s="56"/>
      <c r="AV81" s="52"/>
      <c r="AW81" s="51"/>
      <c r="BR81" s="34" t="str">
        <f>IF(E81="","",CONCATENATE(E81," ",F81," noches"))</f>
        <v/>
      </c>
      <c r="BS81" s="28" t="str">
        <f t="shared" ca="1" si="29"/>
        <v/>
      </c>
      <c r="BT81" s="28" t="str">
        <f t="shared" ca="1" si="30"/>
        <v/>
      </c>
    </row>
    <row r="82" spans="1:72" x14ac:dyDescent="0.2">
      <c r="A82" s="18" t="str" cm="1">
        <f t="array" aca="1" ref="A82" ca="1">IF(B82="","","Grupo N˚"&amp;SUMPRODUCT(($B$4:B82&lt;&gt;"")*($B$4:B82&lt;&gt;OFFSET($B$4,-1,0,ROWS($B$4:B82),1))))</f>
        <v/>
      </c>
      <c r="B82" s="31"/>
      <c r="C82" s="31"/>
      <c r="D82" s="31"/>
      <c r="E82" s="31"/>
      <c r="F82" s="32"/>
      <c r="G82" s="33"/>
      <c r="H82" s="33"/>
      <c r="I82" s="20" t="str">
        <f t="shared" si="19"/>
        <v/>
      </c>
      <c r="J82" s="21" t="str">
        <f>IFERROR(VLOOKUP(BR82,Pricing!$D$3:$E$58,2,FALSE),"")</f>
        <v/>
      </c>
      <c r="K82" s="32"/>
      <c r="L82" s="32"/>
      <c r="M82" s="32"/>
      <c r="N82" s="36" t="str" cm="1">
        <f t="array" ref="N82">IFERROR(_xlfn.IFS((AND(K82="SI",M82="$")),J82*0.2,AND(K82="SI",M82="%"),20),"")</f>
        <v/>
      </c>
      <c r="O82" s="29" t="str">
        <f t="shared" si="20"/>
        <v/>
      </c>
      <c r="P82" s="21" t="str">
        <f t="shared" si="21"/>
        <v/>
      </c>
      <c r="Q82" s="21" t="str">
        <f t="shared" si="22"/>
        <v/>
      </c>
      <c r="R82" s="21" t="str">
        <f t="shared" si="23"/>
        <v/>
      </c>
      <c r="S82" s="39"/>
      <c r="T82" s="43" t="str">
        <f t="shared" si="31"/>
        <v/>
      </c>
      <c r="U82" s="49" t="str">
        <f t="shared" si="32"/>
        <v/>
      </c>
      <c r="V82" s="48" t="str">
        <f t="shared" si="33"/>
        <v/>
      </c>
      <c r="W82" s="48" t="str">
        <f t="shared" si="24"/>
        <v/>
      </c>
      <c r="X82" s="50" t="str">
        <f>IF(W82="","",SUMIF($B$4:$B$1002,B82,$W$4:$W$1000))</f>
        <v/>
      </c>
      <c r="Y82" s="43" t="str">
        <f t="shared" si="25"/>
        <v/>
      </c>
      <c r="Z82" s="49" t="str">
        <f t="shared" si="26"/>
        <v/>
      </c>
      <c r="AA82" s="48" t="str">
        <f t="shared" si="27"/>
        <v/>
      </c>
      <c r="AB82" s="49" t="str">
        <f t="shared" si="28"/>
        <v/>
      </c>
      <c r="AC82" s="50" t="str">
        <f>IF(AB82="","",SUMIF($B$4:$B$1002,B82,$AB$4:$AB$1000))</f>
        <v/>
      </c>
      <c r="AD82" s="69"/>
      <c r="AE82" s="56"/>
      <c r="AF82" s="52"/>
      <c r="AG82" s="51"/>
      <c r="AH82" s="70"/>
      <c r="AI82" s="58"/>
      <c r="AJ82" s="55"/>
      <c r="AK82" s="51"/>
      <c r="AL82" s="69"/>
      <c r="AM82" s="56"/>
      <c r="AN82" s="52"/>
      <c r="AO82" s="51"/>
      <c r="AP82" s="70"/>
      <c r="AQ82" s="58"/>
      <c r="AR82" s="55"/>
      <c r="AS82" s="51"/>
      <c r="AT82" s="69"/>
      <c r="AU82" s="56"/>
      <c r="AV82" s="52"/>
      <c r="AW82" s="51"/>
      <c r="BR82" s="34" t="str">
        <f>IF(E82="","",CONCATENATE(E82," ",F82," noches"))</f>
        <v/>
      </c>
      <c r="BS82" s="28" t="str">
        <f t="shared" ca="1" si="29"/>
        <v/>
      </c>
      <c r="BT82" s="28" t="str">
        <f t="shared" ca="1" si="30"/>
        <v/>
      </c>
    </row>
    <row r="83" spans="1:72" x14ac:dyDescent="0.2">
      <c r="A83" s="18" t="str" cm="1">
        <f t="array" aca="1" ref="A83" ca="1">IF(B83="","","Grupo N˚"&amp;SUMPRODUCT(($B$4:B83&lt;&gt;"")*($B$4:B83&lt;&gt;OFFSET($B$4,-1,0,ROWS($B$4:B83),1))))</f>
        <v/>
      </c>
      <c r="B83" s="31"/>
      <c r="C83" s="31"/>
      <c r="D83" s="31"/>
      <c r="E83" s="31"/>
      <c r="F83" s="32"/>
      <c r="G83" s="33"/>
      <c r="H83" s="33"/>
      <c r="I83" s="20" t="str">
        <f t="shared" si="19"/>
        <v/>
      </c>
      <c r="J83" s="21" t="str">
        <f>IFERROR(VLOOKUP(BR83,Pricing!$D$3:$E$58,2,FALSE),"")</f>
        <v/>
      </c>
      <c r="K83" s="32"/>
      <c r="L83" s="32"/>
      <c r="M83" s="32"/>
      <c r="N83" s="36" t="str" cm="1">
        <f t="array" ref="N83">IFERROR(_xlfn.IFS((AND(K83="SI",M83="$")),J83*0.2,AND(K83="SI",M83="%"),20),"")</f>
        <v/>
      </c>
      <c r="O83" s="29" t="str">
        <f t="shared" si="20"/>
        <v/>
      </c>
      <c r="P83" s="21" t="str">
        <f t="shared" si="21"/>
        <v/>
      </c>
      <c r="Q83" s="21" t="str">
        <f t="shared" si="22"/>
        <v/>
      </c>
      <c r="R83" s="21" t="str">
        <f t="shared" si="23"/>
        <v/>
      </c>
      <c r="S83" s="39"/>
      <c r="T83" s="43" t="str">
        <f t="shared" si="31"/>
        <v/>
      </c>
      <c r="U83" s="49" t="str">
        <f t="shared" si="32"/>
        <v/>
      </c>
      <c r="V83" s="48" t="str">
        <f t="shared" si="33"/>
        <v/>
      </c>
      <c r="W83" s="48" t="str">
        <f t="shared" si="24"/>
        <v/>
      </c>
      <c r="X83" s="50" t="str">
        <f>IF(W83="","",SUMIF($B$4:$B$1002,B83,$W$4:$W$1000))</f>
        <v/>
      </c>
      <c r="Y83" s="43" t="str">
        <f t="shared" si="25"/>
        <v/>
      </c>
      <c r="Z83" s="49" t="str">
        <f t="shared" si="26"/>
        <v/>
      </c>
      <c r="AA83" s="48" t="str">
        <f t="shared" si="27"/>
        <v/>
      </c>
      <c r="AB83" s="49" t="str">
        <f t="shared" si="28"/>
        <v/>
      </c>
      <c r="AC83" s="50" t="str">
        <f>IF(AB83="","",SUMIF($B$4:$B$1002,B83,$AB$4:$AB$1000))</f>
        <v/>
      </c>
      <c r="AD83" s="69"/>
      <c r="AE83" s="56"/>
      <c r="AF83" s="52"/>
      <c r="AG83" s="51"/>
      <c r="AH83" s="70"/>
      <c r="AI83" s="58"/>
      <c r="AJ83" s="55"/>
      <c r="AK83" s="51"/>
      <c r="AL83" s="69"/>
      <c r="AM83" s="56"/>
      <c r="AN83" s="52"/>
      <c r="AO83" s="51"/>
      <c r="AP83" s="70"/>
      <c r="AQ83" s="58"/>
      <c r="AR83" s="55"/>
      <c r="AS83" s="51"/>
      <c r="AT83" s="69"/>
      <c r="AU83" s="56"/>
      <c r="AV83" s="52"/>
      <c r="AW83" s="51"/>
      <c r="BR83" s="34" t="str">
        <f>IF(E83="","",CONCATENATE(E83," ",F83," noches"))</f>
        <v/>
      </c>
      <c r="BS83" s="28" t="str">
        <f t="shared" ca="1" si="29"/>
        <v/>
      </c>
      <c r="BT83" s="28" t="str">
        <f t="shared" ca="1" si="30"/>
        <v/>
      </c>
    </row>
    <row r="84" spans="1:72" x14ac:dyDescent="0.2">
      <c r="A84" s="18" t="str" cm="1">
        <f t="array" aca="1" ref="A84" ca="1">IF(B84="","","Grupo N˚"&amp;SUMPRODUCT(($B$4:B84&lt;&gt;"")*($B$4:B84&lt;&gt;OFFSET($B$4,-1,0,ROWS($B$4:B84),1))))</f>
        <v/>
      </c>
      <c r="B84" s="31"/>
      <c r="C84" s="31"/>
      <c r="D84" s="31"/>
      <c r="E84" s="31"/>
      <c r="F84" s="32"/>
      <c r="G84" s="33"/>
      <c r="H84" s="33"/>
      <c r="I84" s="20" t="str">
        <f t="shared" si="19"/>
        <v/>
      </c>
      <c r="J84" s="21" t="str">
        <f>IFERROR(VLOOKUP(BR84,Pricing!$D$3:$E$58,2,FALSE),"")</f>
        <v/>
      </c>
      <c r="K84" s="32"/>
      <c r="L84" s="32"/>
      <c r="M84" s="32"/>
      <c r="N84" s="36" t="str" cm="1">
        <f t="array" ref="N84">IFERROR(_xlfn.IFS((AND(K84="SI",M84="$")),J84*0.2,AND(K84="SI",M84="%"),20),"")</f>
        <v/>
      </c>
      <c r="O84" s="29" t="str">
        <f t="shared" si="20"/>
        <v/>
      </c>
      <c r="P84" s="21" t="str">
        <f t="shared" si="21"/>
        <v/>
      </c>
      <c r="Q84" s="21" t="str">
        <f t="shared" si="22"/>
        <v/>
      </c>
      <c r="R84" s="21" t="str">
        <f t="shared" si="23"/>
        <v/>
      </c>
      <c r="S84" s="39"/>
      <c r="T84" s="43" t="str">
        <f t="shared" si="31"/>
        <v/>
      </c>
      <c r="U84" s="49" t="str">
        <f t="shared" si="32"/>
        <v/>
      </c>
      <c r="V84" s="48" t="str">
        <f t="shared" si="33"/>
        <v/>
      </c>
      <c r="W84" s="48" t="str">
        <f t="shared" si="24"/>
        <v/>
      </c>
      <c r="X84" s="50" t="str">
        <f>IF(W84="","",SUMIF($B$4:$B$1002,B84,$W$4:$W$1000))</f>
        <v/>
      </c>
      <c r="Y84" s="43" t="str">
        <f t="shared" si="25"/>
        <v/>
      </c>
      <c r="Z84" s="49" t="str">
        <f t="shared" si="26"/>
        <v/>
      </c>
      <c r="AA84" s="48" t="str">
        <f t="shared" si="27"/>
        <v/>
      </c>
      <c r="AB84" s="49" t="str">
        <f t="shared" si="28"/>
        <v/>
      </c>
      <c r="AC84" s="50" t="str">
        <f>IF(AB84="","",SUMIF($B$4:$B$1002,B84,$AB$4:$AB$1000))</f>
        <v/>
      </c>
      <c r="AD84" s="69"/>
      <c r="AE84" s="56"/>
      <c r="AF84" s="52"/>
      <c r="AG84" s="51"/>
      <c r="AH84" s="70"/>
      <c r="AI84" s="58"/>
      <c r="AJ84" s="55"/>
      <c r="AK84" s="51"/>
      <c r="AL84" s="69"/>
      <c r="AM84" s="56"/>
      <c r="AN84" s="52"/>
      <c r="AO84" s="51"/>
      <c r="AP84" s="70"/>
      <c r="AQ84" s="58"/>
      <c r="AR84" s="55"/>
      <c r="AS84" s="51"/>
      <c r="AT84" s="69"/>
      <c r="AU84" s="56"/>
      <c r="AV84" s="52"/>
      <c r="AW84" s="51"/>
      <c r="BR84" s="34" t="str">
        <f>IF(E84="","",CONCATENATE(E84," ",F84," noches"))</f>
        <v/>
      </c>
      <c r="BS84" s="28" t="str">
        <f t="shared" ca="1" si="29"/>
        <v/>
      </c>
      <c r="BT84" s="28" t="str">
        <f t="shared" ca="1" si="30"/>
        <v/>
      </c>
    </row>
    <row r="85" spans="1:72" x14ac:dyDescent="0.2">
      <c r="A85" s="18" t="str" cm="1">
        <f t="array" aca="1" ref="A85" ca="1">IF(B85="","","Grupo N˚"&amp;SUMPRODUCT(($B$4:B85&lt;&gt;"")*($B$4:B85&lt;&gt;OFFSET($B$4,-1,0,ROWS($B$4:B85),1))))</f>
        <v/>
      </c>
      <c r="B85" s="31"/>
      <c r="C85" s="31"/>
      <c r="D85" s="31"/>
      <c r="E85" s="31"/>
      <c r="F85" s="32"/>
      <c r="G85" s="33"/>
      <c r="H85" s="33"/>
      <c r="I85" s="20" t="str">
        <f t="shared" si="19"/>
        <v/>
      </c>
      <c r="J85" s="21" t="str">
        <f>IFERROR(VLOOKUP(BR85,Pricing!$D$3:$E$58,2,FALSE),"")</f>
        <v/>
      </c>
      <c r="K85" s="32"/>
      <c r="L85" s="32"/>
      <c r="M85" s="32"/>
      <c r="N85" s="36" t="str" cm="1">
        <f t="array" ref="N85">IFERROR(_xlfn.IFS((AND(K85="SI",M85="$")),J85*0.2,AND(K85="SI",M85="%"),20),"")</f>
        <v/>
      </c>
      <c r="O85" s="29" t="str">
        <f t="shared" si="20"/>
        <v/>
      </c>
      <c r="P85" s="21" t="str">
        <f t="shared" si="21"/>
        <v/>
      </c>
      <c r="Q85" s="21" t="str">
        <f t="shared" si="22"/>
        <v/>
      </c>
      <c r="R85" s="21" t="str">
        <f t="shared" si="23"/>
        <v/>
      </c>
      <c r="S85" s="39"/>
      <c r="T85" s="43" t="str">
        <f t="shared" si="31"/>
        <v/>
      </c>
      <c r="U85" s="49" t="str">
        <f t="shared" si="32"/>
        <v/>
      </c>
      <c r="V85" s="48" t="str">
        <f t="shared" si="33"/>
        <v/>
      </c>
      <c r="W85" s="48" t="str">
        <f t="shared" si="24"/>
        <v/>
      </c>
      <c r="X85" s="50" t="str">
        <f>IF(W85="","",SUMIF($B$4:$B$1002,B85,$W$4:$W$1000))</f>
        <v/>
      </c>
      <c r="Y85" s="43" t="str">
        <f t="shared" si="25"/>
        <v/>
      </c>
      <c r="Z85" s="49" t="str">
        <f t="shared" si="26"/>
        <v/>
      </c>
      <c r="AA85" s="48" t="str">
        <f t="shared" si="27"/>
        <v/>
      </c>
      <c r="AB85" s="49" t="str">
        <f t="shared" si="28"/>
        <v/>
      </c>
      <c r="AC85" s="50" t="str">
        <f>IF(AB85="","",SUMIF($B$4:$B$1002,B85,$AB$4:$AB$1000))</f>
        <v/>
      </c>
      <c r="AD85" s="69"/>
      <c r="AE85" s="56"/>
      <c r="AF85" s="52"/>
      <c r="AG85" s="51"/>
      <c r="AH85" s="70"/>
      <c r="AI85" s="58"/>
      <c r="AJ85" s="55"/>
      <c r="AK85" s="51"/>
      <c r="AL85" s="69"/>
      <c r="AM85" s="56"/>
      <c r="AN85" s="52"/>
      <c r="AO85" s="51"/>
      <c r="AP85" s="70"/>
      <c r="AQ85" s="58"/>
      <c r="AR85" s="55"/>
      <c r="AS85" s="51"/>
      <c r="AT85" s="69"/>
      <c r="AU85" s="56"/>
      <c r="AV85" s="52"/>
      <c r="AW85" s="51"/>
      <c r="BR85" s="34" t="str">
        <f>IF(E85="","",CONCATENATE(E85," ",F85," noches"))</f>
        <v/>
      </c>
      <c r="BS85" s="28" t="str">
        <f t="shared" ca="1" si="29"/>
        <v/>
      </c>
      <c r="BT85" s="28" t="str">
        <f t="shared" ca="1" si="30"/>
        <v/>
      </c>
    </row>
    <row r="86" spans="1:72" x14ac:dyDescent="0.2">
      <c r="A86" s="18" t="str" cm="1">
        <f t="array" aca="1" ref="A86" ca="1">IF(B86="","","Grupo N˚"&amp;SUMPRODUCT(($B$4:B86&lt;&gt;"")*($B$4:B86&lt;&gt;OFFSET($B$4,-1,0,ROWS($B$4:B86),1))))</f>
        <v/>
      </c>
      <c r="B86" s="31"/>
      <c r="C86" s="31"/>
      <c r="D86" s="31"/>
      <c r="E86" s="31"/>
      <c r="F86" s="32"/>
      <c r="G86" s="33"/>
      <c r="H86" s="33"/>
      <c r="I86" s="20" t="str">
        <f t="shared" si="19"/>
        <v/>
      </c>
      <c r="J86" s="21" t="str">
        <f>IFERROR(VLOOKUP(BR86,Pricing!$D$3:$E$58,2,FALSE),"")</f>
        <v/>
      </c>
      <c r="K86" s="32"/>
      <c r="L86" s="32"/>
      <c r="M86" s="32"/>
      <c r="N86" s="36" t="str" cm="1">
        <f t="array" ref="N86">IFERROR(_xlfn.IFS((AND(K86="SI",M86="$")),J86*0.2,AND(K86="SI",M86="%"),20),"")</f>
        <v/>
      </c>
      <c r="O86" s="29" t="str">
        <f t="shared" si="20"/>
        <v/>
      </c>
      <c r="P86" s="21" t="str">
        <f t="shared" si="21"/>
        <v/>
      </c>
      <c r="Q86" s="21" t="str">
        <f t="shared" si="22"/>
        <v/>
      </c>
      <c r="R86" s="21" t="str">
        <f t="shared" si="23"/>
        <v/>
      </c>
      <c r="S86" s="39"/>
      <c r="T86" s="43" t="str">
        <f t="shared" si="31"/>
        <v/>
      </c>
      <c r="U86" s="49" t="str">
        <f t="shared" si="32"/>
        <v/>
      </c>
      <c r="V86" s="48" t="str">
        <f t="shared" si="33"/>
        <v/>
      </c>
      <c r="W86" s="48" t="str">
        <f t="shared" si="24"/>
        <v/>
      </c>
      <c r="X86" s="50" t="str">
        <f>IF(W86="","",SUMIF($B$4:$B$1002,B86,$W$4:$W$1000))</f>
        <v/>
      </c>
      <c r="Y86" s="43" t="str">
        <f t="shared" si="25"/>
        <v/>
      </c>
      <c r="Z86" s="49" t="str">
        <f t="shared" si="26"/>
        <v/>
      </c>
      <c r="AA86" s="48" t="str">
        <f t="shared" si="27"/>
        <v/>
      </c>
      <c r="AB86" s="49" t="str">
        <f t="shared" si="28"/>
        <v/>
      </c>
      <c r="AC86" s="50" t="str">
        <f>IF(AB86="","",SUMIF($B$4:$B$1002,B86,$AB$4:$AB$1000))</f>
        <v/>
      </c>
      <c r="AD86" s="69"/>
      <c r="AE86" s="56"/>
      <c r="AF86" s="52"/>
      <c r="AG86" s="51"/>
      <c r="AH86" s="70"/>
      <c r="AI86" s="58"/>
      <c r="AJ86" s="55"/>
      <c r="AK86" s="51"/>
      <c r="AL86" s="69"/>
      <c r="AM86" s="56"/>
      <c r="AN86" s="52"/>
      <c r="AO86" s="51"/>
      <c r="AP86" s="70"/>
      <c r="AQ86" s="58"/>
      <c r="AR86" s="55"/>
      <c r="AS86" s="51"/>
      <c r="AT86" s="69"/>
      <c r="AU86" s="56"/>
      <c r="AV86" s="52"/>
      <c r="AW86" s="51"/>
      <c r="BR86" s="34" t="str">
        <f>IF(E86="","",CONCATENATE(E86," ",F86," noches"))</f>
        <v/>
      </c>
      <c r="BS86" s="28" t="str">
        <f t="shared" ca="1" si="29"/>
        <v/>
      </c>
      <c r="BT86" s="28" t="str">
        <f t="shared" ca="1" si="30"/>
        <v/>
      </c>
    </row>
    <row r="87" spans="1:72" x14ac:dyDescent="0.2">
      <c r="A87" s="18" t="str" cm="1">
        <f t="array" aca="1" ref="A87" ca="1">IF(B87="","","Grupo N˚"&amp;SUMPRODUCT(($B$4:B87&lt;&gt;"")*($B$4:B87&lt;&gt;OFFSET($B$4,-1,0,ROWS($B$4:B87),1))))</f>
        <v/>
      </c>
      <c r="B87" s="31"/>
      <c r="C87" s="31"/>
      <c r="D87" s="31"/>
      <c r="E87" s="31"/>
      <c r="F87" s="32"/>
      <c r="G87" s="33"/>
      <c r="H87" s="33"/>
      <c r="I87" s="20" t="str">
        <f t="shared" si="19"/>
        <v/>
      </c>
      <c r="J87" s="21" t="str">
        <f>IFERROR(VLOOKUP(BR87,Pricing!$D$3:$E$58,2,FALSE),"")</f>
        <v/>
      </c>
      <c r="K87" s="32"/>
      <c r="L87" s="32"/>
      <c r="M87" s="32"/>
      <c r="N87" s="36" t="str" cm="1">
        <f t="array" ref="N87">IFERROR(_xlfn.IFS((AND(K87="SI",M87="$")),J87*0.2,AND(K87="SI",M87="%"),20),"")</f>
        <v/>
      </c>
      <c r="O87" s="29" t="str">
        <f t="shared" si="20"/>
        <v/>
      </c>
      <c r="P87" s="21" t="str">
        <f t="shared" si="21"/>
        <v/>
      </c>
      <c r="Q87" s="21" t="str">
        <f t="shared" si="22"/>
        <v/>
      </c>
      <c r="R87" s="21" t="str">
        <f t="shared" si="23"/>
        <v/>
      </c>
      <c r="S87" s="39"/>
      <c r="T87" s="43" t="str">
        <f t="shared" si="31"/>
        <v/>
      </c>
      <c r="U87" s="49" t="str">
        <f t="shared" si="32"/>
        <v/>
      </c>
      <c r="V87" s="48" t="str">
        <f t="shared" si="33"/>
        <v/>
      </c>
      <c r="W87" s="48" t="str">
        <f t="shared" si="24"/>
        <v/>
      </c>
      <c r="X87" s="50" t="str">
        <f>IF(W87="","",SUMIF($B$4:$B$1002,B87,$W$4:$W$1000))</f>
        <v/>
      </c>
      <c r="Y87" s="43" t="str">
        <f t="shared" si="25"/>
        <v/>
      </c>
      <c r="Z87" s="49" t="str">
        <f t="shared" si="26"/>
        <v/>
      </c>
      <c r="AA87" s="48" t="str">
        <f t="shared" si="27"/>
        <v/>
      </c>
      <c r="AB87" s="49" t="str">
        <f t="shared" si="28"/>
        <v/>
      </c>
      <c r="AC87" s="50" t="str">
        <f>IF(AB87="","",SUMIF($B$4:$B$1002,B87,$AB$4:$AB$1000))</f>
        <v/>
      </c>
      <c r="AD87" s="69"/>
      <c r="AE87" s="56"/>
      <c r="AF87" s="52"/>
      <c r="AG87" s="51"/>
      <c r="AH87" s="70"/>
      <c r="AI87" s="58"/>
      <c r="AJ87" s="55"/>
      <c r="AK87" s="51"/>
      <c r="AL87" s="69"/>
      <c r="AM87" s="56"/>
      <c r="AN87" s="52"/>
      <c r="AO87" s="51"/>
      <c r="AP87" s="70"/>
      <c r="AQ87" s="58"/>
      <c r="AR87" s="55"/>
      <c r="AS87" s="51"/>
      <c r="AT87" s="69"/>
      <c r="AU87" s="56"/>
      <c r="AV87" s="52"/>
      <c r="AW87" s="51"/>
      <c r="BR87" s="34" t="str">
        <f>IF(E87="","",CONCATENATE(E87," ",F87," noches"))</f>
        <v/>
      </c>
      <c r="BS87" s="28" t="str">
        <f t="shared" ca="1" si="29"/>
        <v/>
      </c>
      <c r="BT87" s="28" t="str">
        <f t="shared" ca="1" si="30"/>
        <v/>
      </c>
    </row>
    <row r="88" spans="1:72" x14ac:dyDescent="0.2">
      <c r="A88" s="18" t="str" cm="1">
        <f t="array" aca="1" ref="A88" ca="1">IF(B88="","","Grupo N˚"&amp;SUMPRODUCT(($B$4:B88&lt;&gt;"")*($B$4:B88&lt;&gt;OFFSET($B$4,-1,0,ROWS($B$4:B88),1))))</f>
        <v/>
      </c>
      <c r="B88" s="31"/>
      <c r="C88" s="31"/>
      <c r="D88" s="31"/>
      <c r="E88" s="31"/>
      <c r="F88" s="32"/>
      <c r="G88" s="33"/>
      <c r="H88" s="33"/>
      <c r="I88" s="20" t="str">
        <f t="shared" si="19"/>
        <v/>
      </c>
      <c r="J88" s="21" t="str">
        <f>IFERROR(VLOOKUP(BR88,Pricing!$D$3:$E$58,2,FALSE),"")</f>
        <v/>
      </c>
      <c r="K88" s="32"/>
      <c r="L88" s="32"/>
      <c r="M88" s="32"/>
      <c r="N88" s="36" t="str" cm="1">
        <f t="array" ref="N88">IFERROR(_xlfn.IFS((AND(K88="SI",M88="$")),J88*0.2,AND(K88="SI",M88="%"),20),"")</f>
        <v/>
      </c>
      <c r="O88" s="29" t="str">
        <f t="shared" si="20"/>
        <v/>
      </c>
      <c r="P88" s="21" t="str">
        <f t="shared" si="21"/>
        <v/>
      </c>
      <c r="Q88" s="21" t="str">
        <f t="shared" si="22"/>
        <v/>
      </c>
      <c r="R88" s="21" t="str">
        <f t="shared" si="23"/>
        <v/>
      </c>
      <c r="S88" s="39"/>
      <c r="T88" s="43" t="str">
        <f t="shared" si="31"/>
        <v/>
      </c>
      <c r="U88" s="49" t="str">
        <f t="shared" si="32"/>
        <v/>
      </c>
      <c r="V88" s="48" t="str">
        <f t="shared" si="33"/>
        <v/>
      </c>
      <c r="W88" s="48" t="str">
        <f t="shared" si="24"/>
        <v/>
      </c>
      <c r="X88" s="50" t="str">
        <f>IF(W88="","",SUMIF($B$4:$B$1002,B88,$W$4:$W$1000))</f>
        <v/>
      </c>
      <c r="Y88" s="43" t="str">
        <f t="shared" si="25"/>
        <v/>
      </c>
      <c r="Z88" s="49" t="str">
        <f t="shared" si="26"/>
        <v/>
      </c>
      <c r="AA88" s="48" t="str">
        <f t="shared" si="27"/>
        <v/>
      </c>
      <c r="AB88" s="49" t="str">
        <f t="shared" si="28"/>
        <v/>
      </c>
      <c r="AC88" s="50" t="str">
        <f>IF(AB88="","",SUMIF($B$4:$B$1002,B88,$AB$4:$AB$1000))</f>
        <v/>
      </c>
      <c r="AD88" s="69"/>
      <c r="AE88" s="56"/>
      <c r="AF88" s="52"/>
      <c r="AG88" s="51"/>
      <c r="AH88" s="70"/>
      <c r="AI88" s="58"/>
      <c r="AJ88" s="55"/>
      <c r="AK88" s="51"/>
      <c r="AL88" s="69"/>
      <c r="AM88" s="56"/>
      <c r="AN88" s="52"/>
      <c r="AO88" s="51"/>
      <c r="AP88" s="70"/>
      <c r="AQ88" s="58"/>
      <c r="AR88" s="55"/>
      <c r="AS88" s="51"/>
      <c r="AT88" s="69"/>
      <c r="AU88" s="56"/>
      <c r="AV88" s="52"/>
      <c r="AW88" s="51"/>
      <c r="BR88" s="34" t="str">
        <f>IF(E88="","",CONCATENATE(E88," ",F88," noches"))</f>
        <v/>
      </c>
      <c r="BS88" s="28" t="str">
        <f t="shared" ca="1" si="29"/>
        <v/>
      </c>
      <c r="BT88" s="28" t="str">
        <f t="shared" ca="1" si="30"/>
        <v/>
      </c>
    </row>
    <row r="89" spans="1:72" x14ac:dyDescent="0.2">
      <c r="A89" s="18" t="str" cm="1">
        <f t="array" aca="1" ref="A89" ca="1">IF(B89="","","Grupo N˚"&amp;SUMPRODUCT(($B$4:B89&lt;&gt;"")*($B$4:B89&lt;&gt;OFFSET($B$4,-1,0,ROWS($B$4:B89),1))))</f>
        <v/>
      </c>
      <c r="B89" s="31"/>
      <c r="C89" s="31"/>
      <c r="D89" s="31"/>
      <c r="E89" s="31"/>
      <c r="F89" s="32"/>
      <c r="G89" s="33"/>
      <c r="H89" s="33"/>
      <c r="I89" s="20" t="str">
        <f t="shared" si="19"/>
        <v/>
      </c>
      <c r="J89" s="21" t="str">
        <f>IFERROR(VLOOKUP(BR89,Pricing!$D$3:$E$58,2,FALSE),"")</f>
        <v/>
      </c>
      <c r="K89" s="32"/>
      <c r="L89" s="32"/>
      <c r="M89" s="32"/>
      <c r="N89" s="36" t="str" cm="1">
        <f t="array" ref="N89">IFERROR(_xlfn.IFS((AND(K89="SI",M89="$")),J89*0.2,AND(K89="SI",M89="%"),20),"")</f>
        <v/>
      </c>
      <c r="O89" s="29" t="str">
        <f t="shared" si="20"/>
        <v/>
      </c>
      <c r="P89" s="21" t="str">
        <f t="shared" si="21"/>
        <v/>
      </c>
      <c r="Q89" s="21" t="str">
        <f t="shared" si="22"/>
        <v/>
      </c>
      <c r="R89" s="21" t="str">
        <f t="shared" si="23"/>
        <v/>
      </c>
      <c r="S89" s="39"/>
      <c r="T89" s="43" t="str">
        <f t="shared" si="31"/>
        <v/>
      </c>
      <c r="U89" s="49" t="str">
        <f t="shared" si="32"/>
        <v/>
      </c>
      <c r="V89" s="48" t="str">
        <f t="shared" si="33"/>
        <v/>
      </c>
      <c r="W89" s="48" t="str">
        <f t="shared" si="24"/>
        <v/>
      </c>
      <c r="X89" s="50" t="str">
        <f>IF(W89="","",SUMIF($B$4:$B$1002,B89,$W$4:$W$1000))</f>
        <v/>
      </c>
      <c r="Y89" s="43" t="str">
        <f t="shared" si="25"/>
        <v/>
      </c>
      <c r="Z89" s="49" t="str">
        <f t="shared" si="26"/>
        <v/>
      </c>
      <c r="AA89" s="48" t="str">
        <f t="shared" si="27"/>
        <v/>
      </c>
      <c r="AB89" s="49" t="str">
        <f t="shared" si="28"/>
        <v/>
      </c>
      <c r="AC89" s="50" t="str">
        <f>IF(AB89="","",SUMIF($B$4:$B$1002,B89,$AB$4:$AB$1000))</f>
        <v/>
      </c>
      <c r="AD89" s="69"/>
      <c r="AE89" s="56"/>
      <c r="AF89" s="52"/>
      <c r="AG89" s="51"/>
      <c r="AH89" s="70"/>
      <c r="AI89" s="58"/>
      <c r="AJ89" s="55"/>
      <c r="AK89" s="51"/>
      <c r="AL89" s="69"/>
      <c r="AM89" s="56"/>
      <c r="AN89" s="52"/>
      <c r="AO89" s="51"/>
      <c r="AP89" s="70"/>
      <c r="AQ89" s="58"/>
      <c r="AR89" s="55"/>
      <c r="AS89" s="51"/>
      <c r="AT89" s="69"/>
      <c r="AU89" s="56"/>
      <c r="AV89" s="52"/>
      <c r="AW89" s="51"/>
      <c r="BR89" s="34" t="str">
        <f>IF(E89="","",CONCATENATE(E89," ",F89," noches"))</f>
        <v/>
      </c>
      <c r="BS89" s="28" t="str">
        <f t="shared" ca="1" si="29"/>
        <v/>
      </c>
      <c r="BT89" s="28" t="str">
        <f t="shared" ca="1" si="30"/>
        <v/>
      </c>
    </row>
    <row r="90" spans="1:72" x14ac:dyDescent="0.2">
      <c r="A90" s="18" t="str" cm="1">
        <f t="array" aca="1" ref="A90" ca="1">IF(B90="","","Grupo N˚"&amp;SUMPRODUCT(($B$4:B90&lt;&gt;"")*($B$4:B90&lt;&gt;OFFSET($B$4,-1,0,ROWS($B$4:B90),1))))</f>
        <v/>
      </c>
      <c r="B90" s="31"/>
      <c r="C90" s="31"/>
      <c r="D90" s="31"/>
      <c r="E90" s="31"/>
      <c r="F90" s="32"/>
      <c r="G90" s="33"/>
      <c r="H90" s="33"/>
      <c r="I90" s="20" t="str">
        <f t="shared" si="19"/>
        <v/>
      </c>
      <c r="J90" s="21" t="str">
        <f>IFERROR(VLOOKUP(BR90,Pricing!$D$3:$E$58,2,FALSE),"")</f>
        <v/>
      </c>
      <c r="K90" s="32"/>
      <c r="L90" s="32"/>
      <c r="M90" s="32"/>
      <c r="N90" s="36" t="str" cm="1">
        <f t="array" ref="N90">IFERROR(_xlfn.IFS((AND(K90="SI",M90="$")),J90*0.2,AND(K90="SI",M90="%"),20),"")</f>
        <v/>
      </c>
      <c r="O90" s="29" t="str">
        <f t="shared" si="20"/>
        <v/>
      </c>
      <c r="P90" s="21" t="str">
        <f t="shared" si="21"/>
        <v/>
      </c>
      <c r="Q90" s="21" t="str">
        <f t="shared" si="22"/>
        <v/>
      </c>
      <c r="R90" s="21" t="str">
        <f t="shared" si="23"/>
        <v/>
      </c>
      <c r="S90" s="39"/>
      <c r="T90" s="43" t="str">
        <f t="shared" si="31"/>
        <v/>
      </c>
      <c r="U90" s="49" t="str">
        <f t="shared" si="32"/>
        <v/>
      </c>
      <c r="V90" s="48" t="str">
        <f t="shared" si="33"/>
        <v/>
      </c>
      <c r="W90" s="48" t="str">
        <f t="shared" si="24"/>
        <v/>
      </c>
      <c r="X90" s="50" t="str">
        <f>IF(W90="","",SUMIF($B$4:$B$1002,B90,$W$4:$W$1000))</f>
        <v/>
      </c>
      <c r="Y90" s="43" t="str">
        <f t="shared" si="25"/>
        <v/>
      </c>
      <c r="Z90" s="49" t="str">
        <f t="shared" si="26"/>
        <v/>
      </c>
      <c r="AA90" s="48" t="str">
        <f t="shared" si="27"/>
        <v/>
      </c>
      <c r="AB90" s="49" t="str">
        <f t="shared" si="28"/>
        <v/>
      </c>
      <c r="AC90" s="50" t="str">
        <f>IF(AB90="","",SUMIF($B$4:$B$1002,B90,$AB$4:$AB$1000))</f>
        <v/>
      </c>
      <c r="AD90" s="69"/>
      <c r="AE90" s="56"/>
      <c r="AF90" s="52"/>
      <c r="AG90" s="51"/>
      <c r="AH90" s="70"/>
      <c r="AI90" s="58"/>
      <c r="AJ90" s="55"/>
      <c r="AK90" s="51"/>
      <c r="AL90" s="69"/>
      <c r="AM90" s="56"/>
      <c r="AN90" s="52"/>
      <c r="AO90" s="51"/>
      <c r="AP90" s="70"/>
      <c r="AQ90" s="58"/>
      <c r="AR90" s="55"/>
      <c r="AS90" s="51"/>
      <c r="AT90" s="69"/>
      <c r="AU90" s="56"/>
      <c r="AV90" s="52"/>
      <c r="AW90" s="51"/>
      <c r="BR90" s="34" t="str">
        <f>IF(E90="","",CONCATENATE(E90," ",F90," noches"))</f>
        <v/>
      </c>
      <c r="BS90" s="28" t="str">
        <f t="shared" ca="1" si="29"/>
        <v/>
      </c>
      <c r="BT90" s="28" t="str">
        <f t="shared" ca="1" si="30"/>
        <v/>
      </c>
    </row>
    <row r="91" spans="1:72" x14ac:dyDescent="0.2">
      <c r="A91" s="18" t="str" cm="1">
        <f t="array" aca="1" ref="A91" ca="1">IF(B91="","","Grupo N˚"&amp;SUMPRODUCT(($B$4:B91&lt;&gt;"")*($B$4:B91&lt;&gt;OFFSET($B$4,-1,0,ROWS($B$4:B91),1))))</f>
        <v/>
      </c>
      <c r="B91" s="31"/>
      <c r="C91" s="31"/>
      <c r="D91" s="31"/>
      <c r="E91" s="31"/>
      <c r="F91" s="32"/>
      <c r="G91" s="33"/>
      <c r="H91" s="33"/>
      <c r="I91" s="20" t="str">
        <f t="shared" si="19"/>
        <v/>
      </c>
      <c r="J91" s="21" t="str">
        <f>IFERROR(VLOOKUP(BR91,Pricing!$D$3:$E$58,2,FALSE),"")</f>
        <v/>
      </c>
      <c r="K91" s="32"/>
      <c r="L91" s="32"/>
      <c r="M91" s="32"/>
      <c r="N91" s="36" t="str" cm="1">
        <f t="array" ref="N91">IFERROR(_xlfn.IFS((AND(K91="SI",M91="$")),J91*0.2,AND(K91="SI",M91="%"),20),"")</f>
        <v/>
      </c>
      <c r="O91" s="29" t="str">
        <f t="shared" si="20"/>
        <v/>
      </c>
      <c r="P91" s="21" t="str">
        <f t="shared" si="21"/>
        <v/>
      </c>
      <c r="Q91" s="21" t="str">
        <f t="shared" si="22"/>
        <v/>
      </c>
      <c r="R91" s="21" t="str">
        <f t="shared" si="23"/>
        <v/>
      </c>
      <c r="S91" s="39"/>
      <c r="T91" s="43" t="str">
        <f t="shared" si="31"/>
        <v/>
      </c>
      <c r="U91" s="49" t="str">
        <f t="shared" si="32"/>
        <v/>
      </c>
      <c r="V91" s="48" t="str">
        <f t="shared" si="33"/>
        <v/>
      </c>
      <c r="W91" s="48" t="str">
        <f t="shared" si="24"/>
        <v/>
      </c>
      <c r="X91" s="50" t="str">
        <f>IF(W91="","",SUMIF($B$4:$B$1002,B91,$W$4:$W$1000))</f>
        <v/>
      </c>
      <c r="Y91" s="43" t="str">
        <f t="shared" si="25"/>
        <v/>
      </c>
      <c r="Z91" s="49" t="str">
        <f t="shared" si="26"/>
        <v/>
      </c>
      <c r="AA91" s="48" t="str">
        <f t="shared" si="27"/>
        <v/>
      </c>
      <c r="AB91" s="49" t="str">
        <f t="shared" si="28"/>
        <v/>
      </c>
      <c r="AC91" s="50" t="str">
        <f>IF(AB91="","",SUMIF($B$4:$B$1002,B91,$AB$4:$AB$1000))</f>
        <v/>
      </c>
      <c r="AD91" s="69"/>
      <c r="AE91" s="56"/>
      <c r="AF91" s="52"/>
      <c r="AG91" s="51"/>
      <c r="AH91" s="70"/>
      <c r="AI91" s="58"/>
      <c r="AJ91" s="55"/>
      <c r="AK91" s="51"/>
      <c r="AL91" s="69"/>
      <c r="AM91" s="56"/>
      <c r="AN91" s="52"/>
      <c r="AO91" s="51"/>
      <c r="AP91" s="70"/>
      <c r="AQ91" s="58"/>
      <c r="AR91" s="55"/>
      <c r="AS91" s="51"/>
      <c r="AT91" s="69"/>
      <c r="AU91" s="56"/>
      <c r="AV91" s="52"/>
      <c r="AW91" s="51"/>
      <c r="BR91" s="34" t="str">
        <f>IF(E91="","",CONCATENATE(E91," ",F91," noches"))</f>
        <v/>
      </c>
      <c r="BS91" s="28" t="str">
        <f t="shared" ca="1" si="29"/>
        <v/>
      </c>
      <c r="BT91" s="28" t="str">
        <f t="shared" ca="1" si="30"/>
        <v/>
      </c>
    </row>
    <row r="92" spans="1:72" x14ac:dyDescent="0.2">
      <c r="A92" s="18" t="str" cm="1">
        <f t="array" aca="1" ref="A92" ca="1">IF(B92="","","Grupo N˚"&amp;SUMPRODUCT(($B$4:B92&lt;&gt;"")*($B$4:B92&lt;&gt;OFFSET($B$4,-1,0,ROWS($B$4:B92),1))))</f>
        <v/>
      </c>
      <c r="B92" s="31"/>
      <c r="C92" s="31"/>
      <c r="D92" s="31"/>
      <c r="E92" s="31"/>
      <c r="F92" s="32"/>
      <c r="G92" s="33"/>
      <c r="H92" s="33"/>
      <c r="I92" s="20" t="str">
        <f t="shared" si="19"/>
        <v/>
      </c>
      <c r="J92" s="21" t="str">
        <f>IFERROR(VLOOKUP(BR92,Pricing!$D$3:$E$58,2,FALSE),"")</f>
        <v/>
      </c>
      <c r="K92" s="32"/>
      <c r="L92" s="32"/>
      <c r="M92" s="32"/>
      <c r="N92" s="36" t="str" cm="1">
        <f t="array" ref="N92">IFERROR(_xlfn.IFS((AND(K92="SI",M92="$")),J92*0.2,AND(K92="SI",M92="%"),20),"")</f>
        <v/>
      </c>
      <c r="O92" s="29" t="str">
        <f t="shared" si="20"/>
        <v/>
      </c>
      <c r="P92" s="21" t="str">
        <f t="shared" si="21"/>
        <v/>
      </c>
      <c r="Q92" s="21" t="str">
        <f t="shared" si="22"/>
        <v/>
      </c>
      <c r="R92" s="21" t="str">
        <f t="shared" si="23"/>
        <v/>
      </c>
      <c r="S92" s="39"/>
      <c r="T92" s="43" t="str">
        <f t="shared" si="31"/>
        <v/>
      </c>
      <c r="U92" s="49" t="str">
        <f t="shared" si="32"/>
        <v/>
      </c>
      <c r="V92" s="48" t="str">
        <f t="shared" si="33"/>
        <v/>
      </c>
      <c r="W92" s="48" t="str">
        <f t="shared" si="24"/>
        <v/>
      </c>
      <c r="X92" s="50" t="str">
        <f>IF(W92="","",SUMIF($B$4:$B$1002,B92,$W$4:$W$1000))</f>
        <v/>
      </c>
      <c r="Y92" s="43" t="str">
        <f t="shared" si="25"/>
        <v/>
      </c>
      <c r="Z92" s="49" t="str">
        <f t="shared" si="26"/>
        <v/>
      </c>
      <c r="AA92" s="48" t="str">
        <f t="shared" si="27"/>
        <v/>
      </c>
      <c r="AB92" s="49" t="str">
        <f t="shared" si="28"/>
        <v/>
      </c>
      <c r="AC92" s="50" t="str">
        <f>IF(AB92="","",SUMIF($B$4:$B$1002,B92,$AB$4:$AB$1000))</f>
        <v/>
      </c>
      <c r="AD92" s="69"/>
      <c r="AE92" s="56"/>
      <c r="AF92" s="52"/>
      <c r="AG92" s="51"/>
      <c r="AH92" s="70"/>
      <c r="AI92" s="58"/>
      <c r="AJ92" s="55"/>
      <c r="AK92" s="51"/>
      <c r="AL92" s="69"/>
      <c r="AM92" s="56"/>
      <c r="AN92" s="52"/>
      <c r="AO92" s="51"/>
      <c r="AP92" s="70"/>
      <c r="AQ92" s="58"/>
      <c r="AR92" s="55"/>
      <c r="AS92" s="51"/>
      <c r="AT92" s="69"/>
      <c r="AU92" s="56"/>
      <c r="AV92" s="52"/>
      <c r="AW92" s="51"/>
      <c r="BR92" s="34" t="str">
        <f>IF(E92="","",CONCATENATE(E92," ",F92," noches"))</f>
        <v/>
      </c>
      <c r="BS92" s="28" t="str">
        <f t="shared" ca="1" si="29"/>
        <v/>
      </c>
      <c r="BT92" s="28" t="str">
        <f t="shared" ca="1" si="30"/>
        <v/>
      </c>
    </row>
    <row r="93" spans="1:72" x14ac:dyDescent="0.2">
      <c r="A93" s="18" t="str" cm="1">
        <f t="array" aca="1" ref="A93" ca="1">IF(B93="","","Grupo N˚"&amp;SUMPRODUCT(($B$4:B93&lt;&gt;"")*($B$4:B93&lt;&gt;OFFSET($B$4,-1,0,ROWS($B$4:B93),1))))</f>
        <v/>
      </c>
      <c r="B93" s="31"/>
      <c r="C93" s="31"/>
      <c r="D93" s="31"/>
      <c r="E93" s="31"/>
      <c r="F93" s="32"/>
      <c r="G93" s="33"/>
      <c r="H93" s="33"/>
      <c r="I93" s="20" t="str">
        <f t="shared" si="19"/>
        <v/>
      </c>
      <c r="J93" s="21" t="str">
        <f>IFERROR(VLOOKUP(BR93,Pricing!$D$3:$E$58,2,FALSE),"")</f>
        <v/>
      </c>
      <c r="K93" s="32"/>
      <c r="L93" s="32"/>
      <c r="M93" s="32"/>
      <c r="N93" s="36" t="str" cm="1">
        <f t="array" ref="N93">IFERROR(_xlfn.IFS((AND(K93="SI",M93="$")),J93*0.2,AND(K93="SI",M93="%"),20),"")</f>
        <v/>
      </c>
      <c r="O93" s="29" t="str">
        <f t="shared" si="20"/>
        <v/>
      </c>
      <c r="P93" s="21" t="str">
        <f t="shared" si="21"/>
        <v/>
      </c>
      <c r="Q93" s="21" t="str">
        <f t="shared" si="22"/>
        <v/>
      </c>
      <c r="R93" s="21" t="str">
        <f t="shared" si="23"/>
        <v/>
      </c>
      <c r="S93" s="39"/>
      <c r="T93" s="43" t="str">
        <f t="shared" si="31"/>
        <v/>
      </c>
      <c r="U93" s="49" t="str">
        <f t="shared" si="32"/>
        <v/>
      </c>
      <c r="V93" s="48" t="str">
        <f t="shared" si="33"/>
        <v/>
      </c>
      <c r="W93" s="48" t="str">
        <f t="shared" si="24"/>
        <v/>
      </c>
      <c r="X93" s="50" t="str">
        <f>IF(W93="","",SUMIF($B$4:$B$1002,B93,$W$4:$W$1000))</f>
        <v/>
      </c>
      <c r="Y93" s="43" t="str">
        <f t="shared" si="25"/>
        <v/>
      </c>
      <c r="Z93" s="49" t="str">
        <f t="shared" si="26"/>
        <v/>
      </c>
      <c r="AA93" s="48" t="str">
        <f t="shared" si="27"/>
        <v/>
      </c>
      <c r="AB93" s="49" t="str">
        <f t="shared" si="28"/>
        <v/>
      </c>
      <c r="AC93" s="50" t="str">
        <f>IF(AB93="","",SUMIF($B$4:$B$1002,B93,$AB$4:$AB$1000))</f>
        <v/>
      </c>
      <c r="AD93" s="69"/>
      <c r="AE93" s="56"/>
      <c r="AF93" s="52"/>
      <c r="AG93" s="51"/>
      <c r="AH93" s="70"/>
      <c r="AI93" s="58"/>
      <c r="AJ93" s="55"/>
      <c r="AK93" s="51"/>
      <c r="AL93" s="69"/>
      <c r="AM93" s="56"/>
      <c r="AN93" s="52"/>
      <c r="AO93" s="51"/>
      <c r="AP93" s="70"/>
      <c r="AQ93" s="58"/>
      <c r="AR93" s="55"/>
      <c r="AS93" s="51"/>
      <c r="AT93" s="69"/>
      <c r="AU93" s="56"/>
      <c r="AV93" s="52"/>
      <c r="AW93" s="51"/>
      <c r="BR93" s="34" t="str">
        <f>IF(E93="","",CONCATENATE(E93," ",F93," noches"))</f>
        <v/>
      </c>
      <c r="BS93" s="28" t="str">
        <f t="shared" ca="1" si="29"/>
        <v/>
      </c>
      <c r="BT93" s="28" t="str">
        <f t="shared" ca="1" si="30"/>
        <v/>
      </c>
    </row>
    <row r="94" spans="1:72" x14ac:dyDescent="0.2">
      <c r="A94" s="18" t="str" cm="1">
        <f t="array" aca="1" ref="A94" ca="1">IF(B94="","","Grupo N˚"&amp;SUMPRODUCT(($B$4:B94&lt;&gt;"")*($B$4:B94&lt;&gt;OFFSET($B$4,-1,0,ROWS($B$4:B94),1))))</f>
        <v/>
      </c>
      <c r="B94" s="31"/>
      <c r="C94" s="31"/>
      <c r="D94" s="31"/>
      <c r="E94" s="31"/>
      <c r="F94" s="32"/>
      <c r="G94" s="33"/>
      <c r="H94" s="33"/>
      <c r="I94" s="20" t="str">
        <f t="shared" si="19"/>
        <v/>
      </c>
      <c r="J94" s="21" t="str">
        <f>IFERROR(VLOOKUP(BR94,Pricing!$D$3:$E$58,2,FALSE),"")</f>
        <v/>
      </c>
      <c r="K94" s="32"/>
      <c r="L94" s="32"/>
      <c r="M94" s="32"/>
      <c r="N94" s="36" t="str" cm="1">
        <f t="array" ref="N94">IFERROR(_xlfn.IFS((AND(K94="SI",M94="$")),J94*0.2,AND(K94="SI",M94="%"),20),"")</f>
        <v/>
      </c>
      <c r="O94" s="29" t="str">
        <f t="shared" si="20"/>
        <v/>
      </c>
      <c r="P94" s="21" t="str">
        <f t="shared" si="21"/>
        <v/>
      </c>
      <c r="Q94" s="21" t="str">
        <f t="shared" si="22"/>
        <v/>
      </c>
      <c r="R94" s="21" t="str">
        <f t="shared" si="23"/>
        <v/>
      </c>
      <c r="S94" s="39"/>
      <c r="T94" s="43" t="str">
        <f t="shared" si="31"/>
        <v/>
      </c>
      <c r="U94" s="49" t="str">
        <f t="shared" si="32"/>
        <v/>
      </c>
      <c r="V94" s="48" t="str">
        <f t="shared" si="33"/>
        <v/>
      </c>
      <c r="W94" s="48" t="str">
        <f t="shared" si="24"/>
        <v/>
      </c>
      <c r="X94" s="50" t="str">
        <f>IF(W94="","",SUMIF($B$4:$B$1002,B94,$W$4:$W$1000))</f>
        <v/>
      </c>
      <c r="Y94" s="43" t="str">
        <f t="shared" si="25"/>
        <v/>
      </c>
      <c r="Z94" s="49" t="str">
        <f t="shared" si="26"/>
        <v/>
      </c>
      <c r="AA94" s="48" t="str">
        <f t="shared" si="27"/>
        <v/>
      </c>
      <c r="AB94" s="49" t="str">
        <f t="shared" si="28"/>
        <v/>
      </c>
      <c r="AC94" s="50" t="str">
        <f>IF(AB94="","",SUMIF($B$4:$B$1002,B94,$AB$4:$AB$1000))</f>
        <v/>
      </c>
      <c r="AD94" s="69"/>
      <c r="AE94" s="56"/>
      <c r="AF94" s="52"/>
      <c r="AG94" s="51"/>
      <c r="AH94" s="70"/>
      <c r="AI94" s="58"/>
      <c r="AJ94" s="55"/>
      <c r="AK94" s="51"/>
      <c r="AL94" s="69"/>
      <c r="AM94" s="56"/>
      <c r="AN94" s="52"/>
      <c r="AO94" s="51"/>
      <c r="AP94" s="70"/>
      <c r="AQ94" s="58"/>
      <c r="AR94" s="55"/>
      <c r="AS94" s="51"/>
      <c r="AT94" s="69"/>
      <c r="AU94" s="56"/>
      <c r="AV94" s="52"/>
      <c r="AW94" s="51"/>
      <c r="BR94" s="34" t="str">
        <f>IF(E94="","",CONCATENATE(E94," ",F94," noches"))</f>
        <v/>
      </c>
      <c r="BS94" s="28" t="str">
        <f t="shared" ca="1" si="29"/>
        <v/>
      </c>
      <c r="BT94" s="28" t="str">
        <f t="shared" ca="1" si="30"/>
        <v/>
      </c>
    </row>
    <row r="95" spans="1:72" x14ac:dyDescent="0.2">
      <c r="A95" s="18" t="str" cm="1">
        <f t="array" aca="1" ref="A95" ca="1">IF(B95="","","Grupo N˚"&amp;SUMPRODUCT(($B$4:B95&lt;&gt;"")*($B$4:B95&lt;&gt;OFFSET($B$4,-1,0,ROWS($B$4:B95),1))))</f>
        <v/>
      </c>
      <c r="B95" s="31"/>
      <c r="C95" s="31"/>
      <c r="D95" s="31"/>
      <c r="E95" s="31"/>
      <c r="F95" s="32"/>
      <c r="G95" s="33"/>
      <c r="H95" s="33"/>
      <c r="I95" s="20" t="str">
        <f t="shared" si="19"/>
        <v/>
      </c>
      <c r="J95" s="21" t="str">
        <f>IFERROR(VLOOKUP(BR95,Pricing!$D$3:$E$58,2,FALSE),"")</f>
        <v/>
      </c>
      <c r="K95" s="32"/>
      <c r="L95" s="32"/>
      <c r="M95" s="32"/>
      <c r="N95" s="36" t="str" cm="1">
        <f t="array" ref="N95">IFERROR(_xlfn.IFS((AND(K95="SI",M95="$")),J95*0.2,AND(K95="SI",M95="%"),20),"")</f>
        <v/>
      </c>
      <c r="O95" s="29" t="str">
        <f t="shared" si="20"/>
        <v/>
      </c>
      <c r="P95" s="21" t="str">
        <f t="shared" si="21"/>
        <v/>
      </c>
      <c r="Q95" s="21" t="str">
        <f t="shared" si="22"/>
        <v/>
      </c>
      <c r="R95" s="21" t="str">
        <f t="shared" si="23"/>
        <v/>
      </c>
      <c r="S95" s="39"/>
      <c r="T95" s="43" t="str">
        <f t="shared" si="31"/>
        <v/>
      </c>
      <c r="U95" s="49" t="str">
        <f t="shared" si="32"/>
        <v/>
      </c>
      <c r="V95" s="48" t="str">
        <f t="shared" si="33"/>
        <v/>
      </c>
      <c r="W95" s="48" t="str">
        <f t="shared" si="24"/>
        <v/>
      </c>
      <c r="X95" s="50" t="str">
        <f>IF(W95="","",SUMIF($B$4:$B$1002,B95,$W$4:$W$1000))</f>
        <v/>
      </c>
      <c r="Y95" s="43" t="str">
        <f t="shared" si="25"/>
        <v/>
      </c>
      <c r="Z95" s="49" t="str">
        <f t="shared" si="26"/>
        <v/>
      </c>
      <c r="AA95" s="48" t="str">
        <f t="shared" si="27"/>
        <v/>
      </c>
      <c r="AB95" s="49" t="str">
        <f t="shared" si="28"/>
        <v/>
      </c>
      <c r="AC95" s="50" t="str">
        <f>IF(AB95="","",SUMIF($B$4:$B$1002,B95,$AB$4:$AB$1000))</f>
        <v/>
      </c>
      <c r="AD95" s="69"/>
      <c r="AE95" s="56"/>
      <c r="AF95" s="52"/>
      <c r="AG95" s="51"/>
      <c r="AH95" s="70"/>
      <c r="AI95" s="58"/>
      <c r="AJ95" s="55"/>
      <c r="AK95" s="51"/>
      <c r="AL95" s="69"/>
      <c r="AM95" s="56"/>
      <c r="AN95" s="52"/>
      <c r="AO95" s="51"/>
      <c r="AP95" s="70"/>
      <c r="AQ95" s="58"/>
      <c r="AR95" s="55"/>
      <c r="AS95" s="51"/>
      <c r="AT95" s="69"/>
      <c r="AU95" s="56"/>
      <c r="AV95" s="52"/>
      <c r="AW95" s="51"/>
      <c r="BR95" s="34" t="str">
        <f>IF(E95="","",CONCATENATE(E95," ",F95," noches"))</f>
        <v/>
      </c>
      <c r="BS95" s="28" t="str">
        <f t="shared" ca="1" si="29"/>
        <v/>
      </c>
      <c r="BT95" s="28" t="str">
        <f t="shared" ca="1" si="30"/>
        <v/>
      </c>
    </row>
    <row r="96" spans="1:72" x14ac:dyDescent="0.2">
      <c r="A96" s="18" t="str" cm="1">
        <f t="array" aca="1" ref="A96" ca="1">IF(B96="","","Grupo N˚"&amp;SUMPRODUCT(($B$4:B96&lt;&gt;"")*($B$4:B96&lt;&gt;OFFSET($B$4,-1,0,ROWS($B$4:B96),1))))</f>
        <v/>
      </c>
      <c r="B96" s="31"/>
      <c r="C96" s="31"/>
      <c r="D96" s="31"/>
      <c r="E96" s="31"/>
      <c r="F96" s="32"/>
      <c r="G96" s="33"/>
      <c r="H96" s="33"/>
      <c r="I96" s="20" t="str">
        <f t="shared" si="19"/>
        <v/>
      </c>
      <c r="J96" s="21" t="str">
        <f>IFERROR(VLOOKUP(BR96,Pricing!$D$3:$E$58,2,FALSE),"")</f>
        <v/>
      </c>
      <c r="K96" s="32"/>
      <c r="L96" s="32"/>
      <c r="M96" s="32"/>
      <c r="N96" s="36" t="str" cm="1">
        <f t="array" ref="N96">IFERROR(_xlfn.IFS((AND(K96="SI",M96="$")),J96*0.2,AND(K96="SI",M96="%"),20),"")</f>
        <v/>
      </c>
      <c r="O96" s="29" t="str">
        <f t="shared" si="20"/>
        <v/>
      </c>
      <c r="P96" s="21" t="str">
        <f t="shared" si="21"/>
        <v/>
      </c>
      <c r="Q96" s="21" t="str">
        <f t="shared" si="22"/>
        <v/>
      </c>
      <c r="R96" s="21" t="str">
        <f t="shared" si="23"/>
        <v/>
      </c>
      <c r="S96" s="39"/>
      <c r="T96" s="43" t="str">
        <f t="shared" si="31"/>
        <v/>
      </c>
      <c r="U96" s="49" t="str">
        <f t="shared" si="32"/>
        <v/>
      </c>
      <c r="V96" s="48" t="str">
        <f t="shared" si="33"/>
        <v/>
      </c>
      <c r="W96" s="48" t="str">
        <f t="shared" si="24"/>
        <v/>
      </c>
      <c r="X96" s="50" t="str">
        <f>IF(W96="","",SUMIF($B$4:$B$1002,B96,$W$4:$W$1000))</f>
        <v/>
      </c>
      <c r="Y96" s="43" t="str">
        <f t="shared" si="25"/>
        <v/>
      </c>
      <c r="Z96" s="49" t="str">
        <f t="shared" si="26"/>
        <v/>
      </c>
      <c r="AA96" s="48" t="str">
        <f t="shared" si="27"/>
        <v/>
      </c>
      <c r="AB96" s="49" t="str">
        <f t="shared" si="28"/>
        <v/>
      </c>
      <c r="AC96" s="50" t="str">
        <f>IF(AB96="","",SUMIF($B$4:$B$1002,B96,$AB$4:$AB$1000))</f>
        <v/>
      </c>
      <c r="AD96" s="69"/>
      <c r="AE96" s="56"/>
      <c r="AF96" s="52"/>
      <c r="AG96" s="51"/>
      <c r="AH96" s="70"/>
      <c r="AI96" s="58"/>
      <c r="AJ96" s="55"/>
      <c r="AK96" s="51"/>
      <c r="AL96" s="69"/>
      <c r="AM96" s="56"/>
      <c r="AN96" s="52"/>
      <c r="AO96" s="51"/>
      <c r="AP96" s="70"/>
      <c r="AQ96" s="58"/>
      <c r="AR96" s="55"/>
      <c r="AS96" s="51"/>
      <c r="AT96" s="69"/>
      <c r="AU96" s="56"/>
      <c r="AV96" s="52"/>
      <c r="AW96" s="51"/>
      <c r="BR96" s="34" t="str">
        <f>IF(E96="","",CONCATENATE(E96," ",F96," noches"))</f>
        <v/>
      </c>
      <c r="BS96" s="28" t="str">
        <f t="shared" ca="1" si="29"/>
        <v/>
      </c>
      <c r="BT96" s="28" t="str">
        <f t="shared" ca="1" si="30"/>
        <v/>
      </c>
    </row>
    <row r="97" spans="1:72" x14ac:dyDescent="0.2">
      <c r="A97" s="18" t="str" cm="1">
        <f t="array" aca="1" ref="A97" ca="1">IF(B97="","","Grupo N˚"&amp;SUMPRODUCT(($B$4:B97&lt;&gt;"")*($B$4:B97&lt;&gt;OFFSET($B$4,-1,0,ROWS($B$4:B97),1))))</f>
        <v/>
      </c>
      <c r="B97" s="31"/>
      <c r="C97" s="31"/>
      <c r="D97" s="31"/>
      <c r="E97" s="31"/>
      <c r="F97" s="32"/>
      <c r="G97" s="33"/>
      <c r="H97" s="33"/>
      <c r="I97" s="20" t="str">
        <f t="shared" si="19"/>
        <v/>
      </c>
      <c r="J97" s="21" t="str">
        <f>IFERROR(VLOOKUP(BR97,Pricing!$D$3:$E$58,2,FALSE),"")</f>
        <v/>
      </c>
      <c r="K97" s="32"/>
      <c r="L97" s="32"/>
      <c r="M97" s="32"/>
      <c r="N97" s="36" t="str" cm="1">
        <f t="array" ref="N97">IFERROR(_xlfn.IFS((AND(K97="SI",M97="$")),J97*0.2,AND(K97="SI",M97="%"),20),"")</f>
        <v/>
      </c>
      <c r="O97" s="29" t="str">
        <f t="shared" si="20"/>
        <v/>
      </c>
      <c r="P97" s="21" t="str">
        <f t="shared" si="21"/>
        <v/>
      </c>
      <c r="Q97" s="21" t="str">
        <f t="shared" si="22"/>
        <v/>
      </c>
      <c r="R97" s="21" t="str">
        <f t="shared" si="23"/>
        <v/>
      </c>
      <c r="S97" s="39"/>
      <c r="T97" s="43" t="str">
        <f t="shared" si="31"/>
        <v/>
      </c>
      <c r="U97" s="49" t="str">
        <f t="shared" si="32"/>
        <v/>
      </c>
      <c r="V97" s="48" t="str">
        <f t="shared" si="33"/>
        <v/>
      </c>
      <c r="W97" s="48" t="str">
        <f t="shared" si="24"/>
        <v/>
      </c>
      <c r="X97" s="50" t="str">
        <f>IF(W97="","",SUMIF($B$4:$B$1002,B97,$W$4:$W$1000))</f>
        <v/>
      </c>
      <c r="Y97" s="43" t="str">
        <f t="shared" si="25"/>
        <v/>
      </c>
      <c r="Z97" s="49" t="str">
        <f t="shared" si="26"/>
        <v/>
      </c>
      <c r="AA97" s="48" t="str">
        <f t="shared" si="27"/>
        <v/>
      </c>
      <c r="AB97" s="49" t="str">
        <f t="shared" si="28"/>
        <v/>
      </c>
      <c r="AC97" s="50" t="str">
        <f>IF(AB97="","",SUMIF($B$4:$B$1002,B97,$AB$4:$AB$1000))</f>
        <v/>
      </c>
      <c r="AD97" s="69"/>
      <c r="AE97" s="56"/>
      <c r="AF97" s="52"/>
      <c r="AG97" s="51"/>
      <c r="AH97" s="70"/>
      <c r="AI97" s="58"/>
      <c r="AJ97" s="55"/>
      <c r="AK97" s="51"/>
      <c r="AL97" s="69"/>
      <c r="AM97" s="56"/>
      <c r="AN97" s="52"/>
      <c r="AO97" s="51"/>
      <c r="AP97" s="70"/>
      <c r="AQ97" s="58"/>
      <c r="AR97" s="55"/>
      <c r="AS97" s="51"/>
      <c r="AT97" s="69"/>
      <c r="AU97" s="56"/>
      <c r="AV97" s="52"/>
      <c r="AW97" s="51"/>
      <c r="BR97" s="34" t="str">
        <f>IF(E97="","",CONCATENATE(E97," ",F97," noches"))</f>
        <v/>
      </c>
      <c r="BS97" s="28" t="str">
        <f t="shared" ca="1" si="29"/>
        <v/>
      </c>
      <c r="BT97" s="28" t="str">
        <f t="shared" ca="1" si="30"/>
        <v/>
      </c>
    </row>
    <row r="98" spans="1:72" x14ac:dyDescent="0.2">
      <c r="A98" s="18" t="str" cm="1">
        <f t="array" aca="1" ref="A98" ca="1">IF(B98="","","Grupo N˚"&amp;SUMPRODUCT(($B$4:B98&lt;&gt;"")*($B$4:B98&lt;&gt;OFFSET($B$4,-1,0,ROWS($B$4:B98),1))))</f>
        <v/>
      </c>
      <c r="B98" s="31"/>
      <c r="C98" s="31"/>
      <c r="D98" s="31"/>
      <c r="E98" s="31"/>
      <c r="F98" s="32"/>
      <c r="G98" s="33"/>
      <c r="H98" s="33"/>
      <c r="I98" s="20" t="str">
        <f t="shared" si="19"/>
        <v/>
      </c>
      <c r="J98" s="21" t="str">
        <f>IFERROR(VLOOKUP(BR98,Pricing!$D$3:$E$58,2,FALSE),"")</f>
        <v/>
      </c>
      <c r="K98" s="32"/>
      <c r="L98" s="32"/>
      <c r="M98" s="32"/>
      <c r="N98" s="36" t="str" cm="1">
        <f t="array" ref="N98">IFERROR(_xlfn.IFS((AND(K98="SI",M98="$")),J98*0.2,AND(K98="SI",M98="%"),20),"")</f>
        <v/>
      </c>
      <c r="O98" s="29" t="str">
        <f t="shared" si="20"/>
        <v/>
      </c>
      <c r="P98" s="21" t="str">
        <f t="shared" si="21"/>
        <v/>
      </c>
      <c r="Q98" s="21" t="str">
        <f t="shared" si="22"/>
        <v/>
      </c>
      <c r="R98" s="21" t="str">
        <f t="shared" si="23"/>
        <v/>
      </c>
      <c r="S98" s="39"/>
      <c r="T98" s="43" t="str">
        <f t="shared" si="31"/>
        <v/>
      </c>
      <c r="U98" s="49" t="str">
        <f t="shared" si="32"/>
        <v/>
      </c>
      <c r="V98" s="48" t="str">
        <f t="shared" si="33"/>
        <v/>
      </c>
      <c r="W98" s="48" t="str">
        <f t="shared" si="24"/>
        <v/>
      </c>
      <c r="X98" s="50" t="str">
        <f>IF(W98="","",SUMIF($B$4:$B$1002,B98,$W$4:$W$1000))</f>
        <v/>
      </c>
      <c r="Y98" s="43" t="str">
        <f t="shared" si="25"/>
        <v/>
      </c>
      <c r="Z98" s="49" t="str">
        <f t="shared" si="26"/>
        <v/>
      </c>
      <c r="AA98" s="48" t="str">
        <f t="shared" si="27"/>
        <v/>
      </c>
      <c r="AB98" s="49" t="str">
        <f t="shared" si="28"/>
        <v/>
      </c>
      <c r="AC98" s="50" t="str">
        <f>IF(AB98="","",SUMIF($B$4:$B$1002,B98,$AB$4:$AB$1000))</f>
        <v/>
      </c>
      <c r="AD98" s="69"/>
      <c r="AE98" s="56"/>
      <c r="AF98" s="52"/>
      <c r="AG98" s="51"/>
      <c r="AH98" s="70"/>
      <c r="AI98" s="58"/>
      <c r="AJ98" s="55"/>
      <c r="AK98" s="51"/>
      <c r="AL98" s="69"/>
      <c r="AM98" s="56"/>
      <c r="AN98" s="52"/>
      <c r="AO98" s="51"/>
      <c r="AP98" s="70"/>
      <c r="AQ98" s="58"/>
      <c r="AR98" s="55"/>
      <c r="AS98" s="51"/>
      <c r="AT98" s="69"/>
      <c r="AU98" s="56"/>
      <c r="AV98" s="52"/>
      <c r="AW98" s="51"/>
      <c r="BR98" s="34" t="str">
        <f>IF(E98="","",CONCATENATE(E98," ",F98," noches"))</f>
        <v/>
      </c>
      <c r="BS98" s="28" t="str">
        <f t="shared" ca="1" si="29"/>
        <v/>
      </c>
      <c r="BT98" s="28" t="str">
        <f t="shared" ca="1" si="30"/>
        <v/>
      </c>
    </row>
    <row r="99" spans="1:72" x14ac:dyDescent="0.2">
      <c r="A99" s="18" t="str" cm="1">
        <f t="array" aca="1" ref="A99" ca="1">IF(B99="","","Grupo N˚"&amp;SUMPRODUCT(($B$4:B99&lt;&gt;"")*($B$4:B99&lt;&gt;OFFSET($B$4,-1,0,ROWS($B$4:B99),1))))</f>
        <v/>
      </c>
      <c r="B99" s="31"/>
      <c r="C99" s="31"/>
      <c r="D99" s="31"/>
      <c r="E99" s="31"/>
      <c r="F99" s="32"/>
      <c r="G99" s="33"/>
      <c r="H99" s="33"/>
      <c r="I99" s="20" t="str">
        <f t="shared" si="19"/>
        <v/>
      </c>
      <c r="J99" s="21" t="str">
        <f>IFERROR(VLOOKUP(BR99,Pricing!$D$3:$E$58,2,FALSE),"")</f>
        <v/>
      </c>
      <c r="K99" s="32"/>
      <c r="L99" s="32"/>
      <c r="M99" s="32"/>
      <c r="N99" s="36" t="str" cm="1">
        <f t="array" ref="N99">IFERROR(_xlfn.IFS((AND(K99="SI",M99="$")),J99*0.2,AND(K99="SI",M99="%"),20),"")</f>
        <v/>
      </c>
      <c r="O99" s="29" t="str">
        <f t="shared" si="20"/>
        <v/>
      </c>
      <c r="P99" s="21" t="str">
        <f t="shared" si="21"/>
        <v/>
      </c>
      <c r="Q99" s="21" t="str">
        <f t="shared" si="22"/>
        <v/>
      </c>
      <c r="R99" s="21" t="str">
        <f t="shared" si="23"/>
        <v/>
      </c>
      <c r="S99" s="39"/>
      <c r="T99" s="43" t="str">
        <f t="shared" si="31"/>
        <v/>
      </c>
      <c r="U99" s="49" t="str">
        <f t="shared" si="32"/>
        <v/>
      </c>
      <c r="V99" s="48" t="str">
        <f t="shared" si="33"/>
        <v/>
      </c>
      <c r="W99" s="48" t="str">
        <f t="shared" si="24"/>
        <v/>
      </c>
      <c r="X99" s="50" t="str">
        <f>IF(W99="","",SUMIF($B$4:$B$1002,B99,$W$4:$W$1000))</f>
        <v/>
      </c>
      <c r="Y99" s="43" t="str">
        <f t="shared" si="25"/>
        <v/>
      </c>
      <c r="Z99" s="49" t="str">
        <f t="shared" si="26"/>
        <v/>
      </c>
      <c r="AA99" s="48" t="str">
        <f t="shared" si="27"/>
        <v/>
      </c>
      <c r="AB99" s="49" t="str">
        <f t="shared" si="28"/>
        <v/>
      </c>
      <c r="AC99" s="50" t="str">
        <f>IF(AB99="","",SUMIF($B$4:$B$1002,B99,$AB$4:$AB$1000))</f>
        <v/>
      </c>
      <c r="AD99" s="69"/>
      <c r="AE99" s="56"/>
      <c r="AF99" s="52"/>
      <c r="AG99" s="51"/>
      <c r="AH99" s="70"/>
      <c r="AI99" s="58"/>
      <c r="AJ99" s="55"/>
      <c r="AK99" s="51"/>
      <c r="AL99" s="69"/>
      <c r="AM99" s="56"/>
      <c r="AN99" s="52"/>
      <c r="AO99" s="51"/>
      <c r="AP99" s="70"/>
      <c r="AQ99" s="58"/>
      <c r="AR99" s="55"/>
      <c r="AS99" s="51"/>
      <c r="AT99" s="69"/>
      <c r="AU99" s="56"/>
      <c r="AV99" s="52"/>
      <c r="AW99" s="51"/>
      <c r="BR99" s="34" t="str">
        <f>IF(E99="","",CONCATENATE(E99," ",F99," noches"))</f>
        <v/>
      </c>
      <c r="BS99" s="28" t="str">
        <f t="shared" ca="1" si="29"/>
        <v/>
      </c>
      <c r="BT99" s="28" t="str">
        <f t="shared" ca="1" si="30"/>
        <v/>
      </c>
    </row>
    <row r="100" spans="1:72" x14ac:dyDescent="0.2">
      <c r="A100" s="18" t="str" cm="1">
        <f t="array" aca="1" ref="A100" ca="1">IF(B100="","","Grupo N˚"&amp;SUMPRODUCT(($B$4:B100&lt;&gt;"")*($B$4:B100&lt;&gt;OFFSET($B$4,-1,0,ROWS($B$4:B100),1))))</f>
        <v/>
      </c>
      <c r="B100" s="31"/>
      <c r="C100" s="31"/>
      <c r="D100" s="31"/>
      <c r="E100" s="31"/>
      <c r="F100" s="32"/>
      <c r="G100" s="33"/>
      <c r="H100" s="33"/>
      <c r="I100" s="20" t="str">
        <f t="shared" si="19"/>
        <v/>
      </c>
      <c r="J100" s="21" t="str">
        <f>IFERROR(VLOOKUP(BR100,Pricing!$D$3:$E$58,2,FALSE),"")</f>
        <v/>
      </c>
      <c r="K100" s="32"/>
      <c r="L100" s="32"/>
      <c r="M100" s="32"/>
      <c r="N100" s="36" t="str" cm="1">
        <f t="array" ref="N100">IFERROR(_xlfn.IFS((AND(K100="SI",M100="$")),J100*0.2,AND(K100="SI",M100="%"),20),"")</f>
        <v/>
      </c>
      <c r="O100" s="29" t="str">
        <f t="shared" si="20"/>
        <v/>
      </c>
      <c r="P100" s="21" t="str">
        <f t="shared" si="21"/>
        <v/>
      </c>
      <c r="Q100" s="21" t="str">
        <f t="shared" si="22"/>
        <v/>
      </c>
      <c r="R100" s="21" t="str">
        <f t="shared" si="23"/>
        <v/>
      </c>
      <c r="S100" s="39"/>
      <c r="T100" s="43" t="str">
        <f t="shared" si="31"/>
        <v/>
      </c>
      <c r="U100" s="49" t="str">
        <f t="shared" si="32"/>
        <v/>
      </c>
      <c r="V100" s="48" t="str">
        <f t="shared" si="33"/>
        <v/>
      </c>
      <c r="W100" s="48" t="str">
        <f t="shared" si="24"/>
        <v/>
      </c>
      <c r="X100" s="50" t="str">
        <f>IF(W100="","",SUMIF($B$4:$B$1002,B100,$W$4:$W$1000))</f>
        <v/>
      </c>
      <c r="Y100" s="43" t="str">
        <f t="shared" si="25"/>
        <v/>
      </c>
      <c r="Z100" s="49" t="str">
        <f t="shared" si="26"/>
        <v/>
      </c>
      <c r="AA100" s="48" t="str">
        <f t="shared" si="27"/>
        <v/>
      </c>
      <c r="AB100" s="49" t="str">
        <f t="shared" si="28"/>
        <v/>
      </c>
      <c r="AC100" s="50" t="str">
        <f>IF(AB100="","",SUMIF($B$4:$B$1002,B100,$AB$4:$AB$1000))</f>
        <v/>
      </c>
      <c r="AD100" s="69"/>
      <c r="AE100" s="56"/>
      <c r="AF100" s="52"/>
      <c r="AG100" s="51"/>
      <c r="AH100" s="70"/>
      <c r="AI100" s="58"/>
      <c r="AJ100" s="55"/>
      <c r="AK100" s="51"/>
      <c r="AL100" s="69"/>
      <c r="AM100" s="56"/>
      <c r="AN100" s="52"/>
      <c r="AO100" s="51"/>
      <c r="AP100" s="70"/>
      <c r="AQ100" s="58"/>
      <c r="AR100" s="55"/>
      <c r="AS100" s="51"/>
      <c r="AT100" s="69"/>
      <c r="AU100" s="56"/>
      <c r="AV100" s="52"/>
      <c r="AW100" s="51"/>
      <c r="BR100" s="34" t="str">
        <f>IF(E100="","",CONCATENATE(E100," ",F100," noches"))</f>
        <v/>
      </c>
      <c r="BS100" s="28" t="str">
        <f t="shared" ca="1" si="29"/>
        <v/>
      </c>
      <c r="BT100" s="28" t="str">
        <f t="shared" ca="1" si="30"/>
        <v/>
      </c>
    </row>
    <row r="101" spans="1:72" x14ac:dyDescent="0.2">
      <c r="A101" s="18" t="str" cm="1">
        <f t="array" aca="1" ref="A101" ca="1">IF(B101="","","Grupo N˚"&amp;SUMPRODUCT(($B$4:B101&lt;&gt;"")*($B$4:B101&lt;&gt;OFFSET($B$4,-1,0,ROWS($B$4:B101),1))))</f>
        <v/>
      </c>
      <c r="B101" s="31"/>
      <c r="C101" s="31"/>
      <c r="D101" s="31"/>
      <c r="E101" s="31"/>
      <c r="F101" s="32"/>
      <c r="G101" s="33"/>
      <c r="H101" s="33"/>
      <c r="I101" s="20" t="str">
        <f t="shared" si="19"/>
        <v/>
      </c>
      <c r="J101" s="21" t="str">
        <f>IFERROR(VLOOKUP(BR101,Pricing!$D$3:$E$58,2,FALSE),"")</f>
        <v/>
      </c>
      <c r="K101" s="32"/>
      <c r="L101" s="32"/>
      <c r="M101" s="32"/>
      <c r="N101" s="36" t="str" cm="1">
        <f t="array" ref="N101">IFERROR(_xlfn.IFS((AND(K101="SI",M101="$")),J101*0.2,AND(K101="SI",M101="%"),20),"")</f>
        <v/>
      </c>
      <c r="O101" s="29" t="str">
        <f t="shared" si="20"/>
        <v/>
      </c>
      <c r="P101" s="21" t="str">
        <f t="shared" si="21"/>
        <v/>
      </c>
      <c r="Q101" s="21" t="str">
        <f t="shared" si="22"/>
        <v/>
      </c>
      <c r="R101" s="21" t="str">
        <f t="shared" si="23"/>
        <v/>
      </c>
      <c r="S101" s="39"/>
      <c r="T101" s="43" t="str">
        <f t="shared" si="31"/>
        <v/>
      </c>
      <c r="U101" s="49" t="str">
        <f t="shared" si="32"/>
        <v/>
      </c>
      <c r="V101" s="48" t="str">
        <f t="shared" si="33"/>
        <v/>
      </c>
      <c r="W101" s="48" t="str">
        <f t="shared" si="24"/>
        <v/>
      </c>
      <c r="X101" s="50" t="str">
        <f>IF(W101="","",SUMIF($B$4:$B$1002,B101,$W$4:$W$1000))</f>
        <v/>
      </c>
      <c r="Y101" s="43" t="str">
        <f t="shared" si="25"/>
        <v/>
      </c>
      <c r="Z101" s="49" t="str">
        <f t="shared" si="26"/>
        <v/>
      </c>
      <c r="AA101" s="48" t="str">
        <f t="shared" si="27"/>
        <v/>
      </c>
      <c r="AB101" s="49" t="str">
        <f t="shared" si="28"/>
        <v/>
      </c>
      <c r="AC101" s="50" t="str">
        <f>IF(AB101="","",SUMIF($B$4:$B$1002,B101,$AB$4:$AB$1000))</f>
        <v/>
      </c>
      <c r="AD101" s="69"/>
      <c r="AE101" s="56"/>
      <c r="AF101" s="52"/>
      <c r="AG101" s="51"/>
      <c r="AH101" s="70"/>
      <c r="AI101" s="58"/>
      <c r="AJ101" s="55"/>
      <c r="AK101" s="51"/>
      <c r="AL101" s="69"/>
      <c r="AM101" s="56"/>
      <c r="AN101" s="52"/>
      <c r="AO101" s="51"/>
      <c r="AP101" s="70"/>
      <c r="AQ101" s="58"/>
      <c r="AR101" s="55"/>
      <c r="AS101" s="51"/>
      <c r="AT101" s="69"/>
      <c r="AU101" s="56"/>
      <c r="AV101" s="52"/>
      <c r="AW101" s="51"/>
      <c r="BR101" s="34" t="str">
        <f>IF(E101="","",CONCATENATE(E101," ",F101," noches"))</f>
        <v/>
      </c>
      <c r="BS101" s="28" t="str">
        <f t="shared" ca="1" si="29"/>
        <v/>
      </c>
      <c r="BT101" s="28" t="str">
        <f t="shared" ca="1" si="30"/>
        <v/>
      </c>
    </row>
    <row r="102" spans="1:72" x14ac:dyDescent="0.2">
      <c r="A102" s="18" t="str" cm="1">
        <f t="array" aca="1" ref="A102" ca="1">IF(B102="","","Grupo N˚"&amp;SUMPRODUCT(($B$4:B102&lt;&gt;"")*($B$4:B102&lt;&gt;OFFSET($B$4,-1,0,ROWS($B$4:B102),1))))</f>
        <v/>
      </c>
      <c r="B102" s="31"/>
      <c r="C102" s="31"/>
      <c r="D102" s="31"/>
      <c r="E102" s="31"/>
      <c r="F102" s="32"/>
      <c r="G102" s="33"/>
      <c r="H102" s="33"/>
      <c r="I102" s="20" t="str">
        <f t="shared" si="19"/>
        <v/>
      </c>
      <c r="J102" s="21" t="str">
        <f>IFERROR(VLOOKUP(BR102,Pricing!$D$3:$E$58,2,FALSE),"")</f>
        <v/>
      </c>
      <c r="K102" s="32"/>
      <c r="L102" s="32"/>
      <c r="M102" s="32"/>
      <c r="N102" s="36" t="str" cm="1">
        <f t="array" ref="N102">IFERROR(_xlfn.IFS((AND(K102="SI",M102="$")),J102*0.2,AND(K102="SI",M102="%"),20),"")</f>
        <v/>
      </c>
      <c r="O102" s="29" t="str">
        <f t="shared" si="20"/>
        <v/>
      </c>
      <c r="P102" s="21" t="str">
        <f t="shared" si="21"/>
        <v/>
      </c>
      <c r="Q102" s="21" t="str">
        <f t="shared" si="22"/>
        <v/>
      </c>
      <c r="R102" s="21" t="str">
        <f t="shared" si="23"/>
        <v/>
      </c>
      <c r="S102" s="39"/>
      <c r="T102" s="43" t="str">
        <f t="shared" si="31"/>
        <v/>
      </c>
      <c r="U102" s="49" t="str">
        <f t="shared" si="32"/>
        <v/>
      </c>
      <c r="V102" s="48" t="str">
        <f t="shared" si="33"/>
        <v/>
      </c>
      <c r="W102" s="48" t="str">
        <f t="shared" si="24"/>
        <v/>
      </c>
      <c r="X102" s="50" t="str">
        <f>IF(W102="","",SUMIF($B$4:$B$1002,B102,$W$4:$W$1000))</f>
        <v/>
      </c>
      <c r="Y102" s="43" t="str">
        <f t="shared" si="25"/>
        <v/>
      </c>
      <c r="Z102" s="49" t="str">
        <f t="shared" si="26"/>
        <v/>
      </c>
      <c r="AA102" s="48" t="str">
        <f t="shared" si="27"/>
        <v/>
      </c>
      <c r="AB102" s="49" t="str">
        <f t="shared" si="28"/>
        <v/>
      </c>
      <c r="AC102" s="50" t="str">
        <f>IF(AB102="","",SUMIF($B$4:$B$1002,B102,$AB$4:$AB$1000))</f>
        <v/>
      </c>
      <c r="AD102" s="69"/>
      <c r="AE102" s="56"/>
      <c r="AF102" s="52"/>
      <c r="AG102" s="51"/>
      <c r="AH102" s="70"/>
      <c r="AI102" s="58"/>
      <c r="AJ102" s="55"/>
      <c r="AK102" s="51"/>
      <c r="AL102" s="69"/>
      <c r="AM102" s="56"/>
      <c r="AN102" s="52"/>
      <c r="AO102" s="51"/>
      <c r="AP102" s="70"/>
      <c r="AQ102" s="58"/>
      <c r="AR102" s="55"/>
      <c r="AS102" s="51"/>
      <c r="AT102" s="69"/>
      <c r="AU102" s="56"/>
      <c r="AV102" s="52"/>
      <c r="AW102" s="51"/>
      <c r="BR102" s="34" t="str">
        <f>IF(E102="","",CONCATENATE(E102," ",F102," noches"))</f>
        <v/>
      </c>
      <c r="BS102" s="28" t="str">
        <f t="shared" ca="1" si="29"/>
        <v/>
      </c>
      <c r="BT102" s="28" t="str">
        <f t="shared" ca="1" si="30"/>
        <v/>
      </c>
    </row>
    <row r="103" spans="1:72" x14ac:dyDescent="0.2">
      <c r="A103" s="18" t="str" cm="1">
        <f t="array" aca="1" ref="A103" ca="1">IF(B103="","","Grupo N˚"&amp;SUMPRODUCT(($B$4:B103&lt;&gt;"")*($B$4:B103&lt;&gt;OFFSET($B$4,-1,0,ROWS($B$4:B103),1))))</f>
        <v/>
      </c>
      <c r="B103" s="31"/>
      <c r="C103" s="31"/>
      <c r="D103" s="31"/>
      <c r="E103" s="31"/>
      <c r="F103" s="32"/>
      <c r="G103" s="33"/>
      <c r="H103" s="33"/>
      <c r="I103" s="20" t="str">
        <f t="shared" si="19"/>
        <v/>
      </c>
      <c r="J103" s="21" t="str">
        <f>IFERROR(VLOOKUP(BR103,Pricing!$D$3:$E$58,2,FALSE),"")</f>
        <v/>
      </c>
      <c r="K103" s="32"/>
      <c r="L103" s="32"/>
      <c r="M103" s="32"/>
      <c r="N103" s="36" t="str" cm="1">
        <f t="array" ref="N103">IFERROR(_xlfn.IFS((AND(K103="SI",M103="$")),J103*0.2,AND(K103="SI",M103="%"),20),"")</f>
        <v/>
      </c>
      <c r="O103" s="29" t="str">
        <f t="shared" si="20"/>
        <v/>
      </c>
      <c r="P103" s="21" t="str">
        <f t="shared" si="21"/>
        <v/>
      </c>
      <c r="Q103" s="21" t="str">
        <f t="shared" si="22"/>
        <v/>
      </c>
      <c r="R103" s="21" t="str">
        <f t="shared" si="23"/>
        <v/>
      </c>
      <c r="S103" s="39"/>
      <c r="T103" s="43" t="str">
        <f t="shared" si="31"/>
        <v/>
      </c>
      <c r="U103" s="49" t="str">
        <f t="shared" si="32"/>
        <v/>
      </c>
      <c r="V103" s="48" t="str">
        <f t="shared" si="33"/>
        <v/>
      </c>
      <c r="W103" s="48" t="str">
        <f t="shared" si="24"/>
        <v/>
      </c>
      <c r="X103" s="50" t="str">
        <f>IF(W103="","",SUMIF($B$4:$B$1002,B103,$W$4:$W$1000))</f>
        <v/>
      </c>
      <c r="Y103" s="43" t="str">
        <f t="shared" si="25"/>
        <v/>
      </c>
      <c r="Z103" s="49" t="str">
        <f t="shared" si="26"/>
        <v/>
      </c>
      <c r="AA103" s="48" t="str">
        <f t="shared" si="27"/>
        <v/>
      </c>
      <c r="AB103" s="49" t="str">
        <f t="shared" si="28"/>
        <v/>
      </c>
      <c r="AC103" s="50" t="str">
        <f>IF(AB103="","",SUMIF($B$4:$B$1002,B103,$AB$4:$AB$1000))</f>
        <v/>
      </c>
      <c r="AD103" s="69"/>
      <c r="AE103" s="56"/>
      <c r="AF103" s="52"/>
      <c r="AG103" s="51"/>
      <c r="AH103" s="70"/>
      <c r="AI103" s="58"/>
      <c r="AJ103" s="55"/>
      <c r="AK103" s="51"/>
      <c r="AL103" s="69"/>
      <c r="AM103" s="56"/>
      <c r="AN103" s="52"/>
      <c r="AO103" s="51"/>
      <c r="AP103" s="70"/>
      <c r="AQ103" s="58"/>
      <c r="AR103" s="55"/>
      <c r="AS103" s="51"/>
      <c r="AT103" s="69"/>
      <c r="AU103" s="56"/>
      <c r="AV103" s="52"/>
      <c r="AW103" s="51"/>
      <c r="BR103" s="34" t="str">
        <f>IF(E103="","",CONCATENATE(E103," ",F103," noches"))</f>
        <v/>
      </c>
      <c r="BS103" s="28" t="str">
        <f t="shared" ca="1" si="29"/>
        <v/>
      </c>
      <c r="BT103" s="28" t="str">
        <f t="shared" ca="1" si="30"/>
        <v/>
      </c>
    </row>
    <row r="104" spans="1:72" x14ac:dyDescent="0.2">
      <c r="A104" s="18" t="str" cm="1">
        <f t="array" aca="1" ref="A104" ca="1">IF(B104="","","Grupo N˚"&amp;SUMPRODUCT(($B$4:B104&lt;&gt;"")*($B$4:B104&lt;&gt;OFFSET($B$4,-1,0,ROWS($B$4:B104),1))))</f>
        <v/>
      </c>
      <c r="B104" s="31"/>
      <c r="C104" s="31"/>
      <c r="D104" s="31"/>
      <c r="E104" s="31"/>
      <c r="F104" s="32"/>
      <c r="G104" s="33"/>
      <c r="H104" s="33"/>
      <c r="I104" s="20" t="str">
        <f t="shared" si="19"/>
        <v/>
      </c>
      <c r="J104" s="21" t="str">
        <f>IFERROR(VLOOKUP(BR104,Pricing!$D$3:$E$58,2,FALSE),"")</f>
        <v/>
      </c>
      <c r="K104" s="32"/>
      <c r="L104" s="32"/>
      <c r="M104" s="32"/>
      <c r="N104" s="36" t="str" cm="1">
        <f t="array" ref="N104">IFERROR(_xlfn.IFS((AND(K104="SI",M104="$")),J104*0.2,AND(K104="SI",M104="%"),20),"")</f>
        <v/>
      </c>
      <c r="O104" s="29" t="str">
        <f t="shared" si="20"/>
        <v/>
      </c>
      <c r="P104" s="21" t="str">
        <f t="shared" si="21"/>
        <v/>
      </c>
      <c r="Q104" s="21" t="str">
        <f t="shared" si="22"/>
        <v/>
      </c>
      <c r="R104" s="21" t="str">
        <f t="shared" si="23"/>
        <v/>
      </c>
      <c r="S104" s="39"/>
      <c r="T104" s="43" t="str">
        <f t="shared" si="31"/>
        <v/>
      </c>
      <c r="U104" s="49" t="str">
        <f t="shared" si="32"/>
        <v/>
      </c>
      <c r="V104" s="48" t="str">
        <f t="shared" si="33"/>
        <v/>
      </c>
      <c r="W104" s="48" t="str">
        <f t="shared" si="24"/>
        <v/>
      </c>
      <c r="X104" s="50" t="str">
        <f>IF(W104="","",SUMIF($B$4:$B$1002,B104,$W$4:$W$1000))</f>
        <v/>
      </c>
      <c r="Y104" s="43" t="str">
        <f t="shared" si="25"/>
        <v/>
      </c>
      <c r="Z104" s="49" t="str">
        <f t="shared" si="26"/>
        <v/>
      </c>
      <c r="AA104" s="48" t="str">
        <f t="shared" si="27"/>
        <v/>
      </c>
      <c r="AB104" s="49" t="str">
        <f t="shared" si="28"/>
        <v/>
      </c>
      <c r="AC104" s="50" t="str">
        <f>IF(AB104="","",SUMIF($B$4:$B$1002,B104,$AB$4:$AB$1000))</f>
        <v/>
      </c>
      <c r="AD104" s="69"/>
      <c r="AE104" s="56"/>
      <c r="AF104" s="52"/>
      <c r="AG104" s="51"/>
      <c r="AH104" s="70"/>
      <c r="AI104" s="58"/>
      <c r="AJ104" s="55"/>
      <c r="AK104" s="51"/>
      <c r="AL104" s="69"/>
      <c r="AM104" s="56"/>
      <c r="AN104" s="52"/>
      <c r="AO104" s="51"/>
      <c r="AP104" s="70"/>
      <c r="AQ104" s="58"/>
      <c r="AR104" s="55"/>
      <c r="AS104" s="51"/>
      <c r="AT104" s="69"/>
      <c r="AU104" s="56"/>
      <c r="AV104" s="52"/>
      <c r="AW104" s="51"/>
      <c r="BR104" s="34" t="str">
        <f>IF(E104="","",CONCATENATE(E104," ",F104," noches"))</f>
        <v/>
      </c>
      <c r="BS104" s="28" t="str">
        <f t="shared" ca="1" si="29"/>
        <v/>
      </c>
      <c r="BT104" s="28" t="str">
        <f t="shared" ca="1" si="30"/>
        <v/>
      </c>
    </row>
    <row r="105" spans="1:72" x14ac:dyDescent="0.2">
      <c r="A105" s="18" t="str" cm="1">
        <f t="array" aca="1" ref="A105" ca="1">IF(B105="","","Grupo N˚"&amp;SUMPRODUCT(($B$4:B105&lt;&gt;"")*($B$4:B105&lt;&gt;OFFSET($B$4,-1,0,ROWS($B$4:B105),1))))</f>
        <v/>
      </c>
      <c r="B105" s="31"/>
      <c r="C105" s="31"/>
      <c r="D105" s="31"/>
      <c r="E105" s="31"/>
      <c r="F105" s="32"/>
      <c r="G105" s="33"/>
      <c r="H105" s="33"/>
      <c r="I105" s="20" t="str">
        <f t="shared" si="19"/>
        <v/>
      </c>
      <c r="J105" s="21" t="str">
        <f>IFERROR(VLOOKUP(BR105,Pricing!$D$3:$E$58,2,FALSE),"")</f>
        <v/>
      </c>
      <c r="K105" s="32"/>
      <c r="L105" s="32"/>
      <c r="M105" s="32"/>
      <c r="N105" s="36" t="str" cm="1">
        <f t="array" ref="N105">IFERROR(_xlfn.IFS((AND(K105="SI",M105="$")),J105*0.2,AND(K105="SI",M105="%"),20),"")</f>
        <v/>
      </c>
      <c r="O105" s="29" t="str">
        <f t="shared" si="20"/>
        <v/>
      </c>
      <c r="P105" s="21" t="str">
        <f t="shared" si="21"/>
        <v/>
      </c>
      <c r="Q105" s="21" t="str">
        <f t="shared" si="22"/>
        <v/>
      </c>
      <c r="R105" s="21" t="str">
        <f t="shared" si="23"/>
        <v/>
      </c>
      <c r="S105" s="39"/>
      <c r="T105" s="43" t="str">
        <f t="shared" si="31"/>
        <v/>
      </c>
      <c r="U105" s="49" t="str">
        <f t="shared" si="32"/>
        <v/>
      </c>
      <c r="V105" s="48" t="str">
        <f t="shared" si="33"/>
        <v/>
      </c>
      <c r="W105" s="48" t="str">
        <f t="shared" si="24"/>
        <v/>
      </c>
      <c r="X105" s="50" t="str">
        <f>IF(W105="","",SUMIF($B$4:$B$1002,B105,$W$4:$W$1000))</f>
        <v/>
      </c>
      <c r="Y105" s="43" t="str">
        <f t="shared" si="25"/>
        <v/>
      </c>
      <c r="Z105" s="49" t="str">
        <f t="shared" si="26"/>
        <v/>
      </c>
      <c r="AA105" s="48" t="str">
        <f t="shared" si="27"/>
        <v/>
      </c>
      <c r="AB105" s="49" t="str">
        <f t="shared" si="28"/>
        <v/>
      </c>
      <c r="AC105" s="50" t="str">
        <f>IF(AB105="","",SUMIF($B$4:$B$1002,B105,$AB$4:$AB$1000))</f>
        <v/>
      </c>
      <c r="AD105" s="69"/>
      <c r="AE105" s="56"/>
      <c r="AF105" s="52"/>
      <c r="AG105" s="51"/>
      <c r="AH105" s="70"/>
      <c r="AI105" s="58"/>
      <c r="AJ105" s="55"/>
      <c r="AK105" s="51"/>
      <c r="AL105" s="69"/>
      <c r="AM105" s="56"/>
      <c r="AN105" s="52"/>
      <c r="AO105" s="51"/>
      <c r="AP105" s="70"/>
      <c r="AQ105" s="58"/>
      <c r="AR105" s="55"/>
      <c r="AS105" s="51"/>
      <c r="AT105" s="69"/>
      <c r="AU105" s="56"/>
      <c r="AV105" s="52"/>
      <c r="AW105" s="51"/>
      <c r="BR105" s="34" t="str">
        <f>IF(E105="","",CONCATENATE(E105," ",F105," noches"))</f>
        <v/>
      </c>
      <c r="BS105" s="28" t="str">
        <f t="shared" ca="1" si="29"/>
        <v/>
      </c>
      <c r="BT105" s="28" t="str">
        <f t="shared" ca="1" si="30"/>
        <v/>
      </c>
    </row>
    <row r="106" spans="1:72" x14ac:dyDescent="0.2">
      <c r="A106" s="18" t="str" cm="1">
        <f t="array" aca="1" ref="A106" ca="1">IF(B106="","","Grupo N˚"&amp;SUMPRODUCT(($B$4:B106&lt;&gt;"")*($B$4:B106&lt;&gt;OFFSET($B$4,-1,0,ROWS($B$4:B106),1))))</f>
        <v/>
      </c>
      <c r="B106" s="31"/>
      <c r="C106" s="31"/>
      <c r="D106" s="31"/>
      <c r="E106" s="31"/>
      <c r="F106" s="32"/>
      <c r="G106" s="33"/>
      <c r="H106" s="33"/>
      <c r="I106" s="20" t="str">
        <f t="shared" si="19"/>
        <v/>
      </c>
      <c r="J106" s="21" t="str">
        <f>IFERROR(VLOOKUP(BR106,Pricing!$D$3:$E$58,2,FALSE),"")</f>
        <v/>
      </c>
      <c r="K106" s="32"/>
      <c r="L106" s="32"/>
      <c r="M106" s="32"/>
      <c r="N106" s="36" t="str" cm="1">
        <f t="array" ref="N106">IFERROR(_xlfn.IFS((AND(K106="SI",M106="$")),J106*0.2,AND(K106="SI",M106="%"),20),"")</f>
        <v/>
      </c>
      <c r="O106" s="29" t="str">
        <f t="shared" si="20"/>
        <v/>
      </c>
      <c r="P106" s="21" t="str">
        <f t="shared" si="21"/>
        <v/>
      </c>
      <c r="Q106" s="21" t="str">
        <f t="shared" si="22"/>
        <v/>
      </c>
      <c r="R106" s="21" t="str">
        <f t="shared" si="23"/>
        <v/>
      </c>
      <c r="S106" s="39"/>
      <c r="T106" s="43" t="str">
        <f t="shared" si="31"/>
        <v/>
      </c>
      <c r="U106" s="49" t="str">
        <f t="shared" si="32"/>
        <v/>
      </c>
      <c r="V106" s="48" t="str">
        <f t="shared" si="33"/>
        <v/>
      </c>
      <c r="W106" s="48" t="str">
        <f t="shared" si="24"/>
        <v/>
      </c>
      <c r="X106" s="50" t="str">
        <f>IF(W106="","",SUMIF($B$4:$B$1002,B106,$W$4:$W$1000))</f>
        <v/>
      </c>
      <c r="Y106" s="43" t="str">
        <f t="shared" si="25"/>
        <v/>
      </c>
      <c r="Z106" s="49" t="str">
        <f t="shared" si="26"/>
        <v/>
      </c>
      <c r="AA106" s="48" t="str">
        <f t="shared" si="27"/>
        <v/>
      </c>
      <c r="AB106" s="49" t="str">
        <f t="shared" si="28"/>
        <v/>
      </c>
      <c r="AC106" s="50" t="str">
        <f>IF(AB106="","",SUMIF($B$4:$B$1002,B106,$AB$4:$AB$1000))</f>
        <v/>
      </c>
      <c r="AD106" s="69"/>
      <c r="AE106" s="56"/>
      <c r="AF106" s="52"/>
      <c r="AG106" s="51"/>
      <c r="AH106" s="70"/>
      <c r="AI106" s="58"/>
      <c r="AJ106" s="55"/>
      <c r="AK106" s="51"/>
      <c r="AL106" s="69"/>
      <c r="AM106" s="56"/>
      <c r="AN106" s="52"/>
      <c r="AO106" s="51"/>
      <c r="AP106" s="70"/>
      <c r="AQ106" s="58"/>
      <c r="AR106" s="55"/>
      <c r="AS106" s="51"/>
      <c r="AT106" s="69"/>
      <c r="AU106" s="56"/>
      <c r="AV106" s="52"/>
      <c r="AW106" s="51"/>
      <c r="BR106" s="34" t="str">
        <f>IF(E106="","",CONCATENATE(E106," ",F106," noches"))</f>
        <v/>
      </c>
      <c r="BS106" s="28" t="str">
        <f t="shared" ca="1" si="29"/>
        <v/>
      </c>
      <c r="BT106" s="28" t="str">
        <f t="shared" ca="1" si="30"/>
        <v/>
      </c>
    </row>
    <row r="107" spans="1:72" x14ac:dyDescent="0.2">
      <c r="A107" s="18" t="str" cm="1">
        <f t="array" aca="1" ref="A107" ca="1">IF(B107="","","Grupo N˚"&amp;SUMPRODUCT(($B$4:B107&lt;&gt;"")*($B$4:B107&lt;&gt;OFFSET($B$4,-1,0,ROWS($B$4:B107),1))))</f>
        <v/>
      </c>
      <c r="B107" s="31"/>
      <c r="C107" s="31"/>
      <c r="D107" s="31"/>
      <c r="E107" s="31"/>
      <c r="F107" s="32"/>
      <c r="G107" s="33"/>
      <c r="H107" s="33"/>
      <c r="I107" s="20" t="str">
        <f t="shared" si="19"/>
        <v/>
      </c>
      <c r="J107" s="21" t="str">
        <f>IFERROR(VLOOKUP(BR107,Pricing!$D$3:$E$58,2,FALSE),"")</f>
        <v/>
      </c>
      <c r="K107" s="32"/>
      <c r="L107" s="32"/>
      <c r="M107" s="32"/>
      <c r="N107" s="36" t="str" cm="1">
        <f t="array" ref="N107">IFERROR(_xlfn.IFS((AND(K107="SI",M107="$")),J107*0.2,AND(K107="SI",M107="%"),20),"")</f>
        <v/>
      </c>
      <c r="O107" s="29" t="str">
        <f t="shared" si="20"/>
        <v/>
      </c>
      <c r="P107" s="21" t="str">
        <f t="shared" si="21"/>
        <v/>
      </c>
      <c r="Q107" s="21" t="str">
        <f t="shared" si="22"/>
        <v/>
      </c>
      <c r="R107" s="21" t="str">
        <f t="shared" si="23"/>
        <v/>
      </c>
      <c r="S107" s="39"/>
      <c r="T107" s="43" t="str">
        <f t="shared" si="31"/>
        <v/>
      </c>
      <c r="U107" s="49" t="str">
        <f t="shared" si="32"/>
        <v/>
      </c>
      <c r="V107" s="48" t="str">
        <f t="shared" si="33"/>
        <v/>
      </c>
      <c r="W107" s="48" t="str">
        <f t="shared" si="24"/>
        <v/>
      </c>
      <c r="X107" s="50" t="str">
        <f>IF(W107="","",SUMIF($B$4:$B$1002,B107,$W$4:$W$1000))</f>
        <v/>
      </c>
      <c r="Y107" s="43" t="str">
        <f t="shared" si="25"/>
        <v/>
      </c>
      <c r="Z107" s="49" t="str">
        <f t="shared" si="26"/>
        <v/>
      </c>
      <c r="AA107" s="48" t="str">
        <f t="shared" si="27"/>
        <v/>
      </c>
      <c r="AB107" s="49" t="str">
        <f t="shared" si="28"/>
        <v/>
      </c>
      <c r="AC107" s="50" t="str">
        <f>IF(AB107="","",SUMIF($B$4:$B$1002,B107,$AB$4:$AB$1000))</f>
        <v/>
      </c>
      <c r="AD107" s="69"/>
      <c r="AE107" s="56"/>
      <c r="AF107" s="52"/>
      <c r="AG107" s="51"/>
      <c r="AH107" s="70"/>
      <c r="AI107" s="58"/>
      <c r="AJ107" s="55"/>
      <c r="AK107" s="51"/>
      <c r="AL107" s="69"/>
      <c r="AM107" s="56"/>
      <c r="AN107" s="52"/>
      <c r="AO107" s="51"/>
      <c r="AP107" s="70"/>
      <c r="AQ107" s="58"/>
      <c r="AR107" s="55"/>
      <c r="AS107" s="51"/>
      <c r="AT107" s="69"/>
      <c r="AU107" s="56"/>
      <c r="AV107" s="52"/>
      <c r="AW107" s="51"/>
      <c r="BR107" s="34" t="str">
        <f>IF(E107="","",CONCATENATE(E107," ",F107," noches"))</f>
        <v/>
      </c>
      <c r="BS107" s="28" t="str">
        <f t="shared" ca="1" si="29"/>
        <v/>
      </c>
      <c r="BT107" s="28" t="str">
        <f t="shared" ca="1" si="30"/>
        <v/>
      </c>
    </row>
    <row r="108" spans="1:72" x14ac:dyDescent="0.2">
      <c r="A108" s="18" t="str" cm="1">
        <f t="array" aca="1" ref="A108" ca="1">IF(B108="","","Grupo N˚"&amp;SUMPRODUCT(($B$4:B108&lt;&gt;"")*($B$4:B108&lt;&gt;OFFSET($B$4,-1,0,ROWS($B$4:B108),1))))</f>
        <v/>
      </c>
      <c r="B108" s="31"/>
      <c r="C108" s="31"/>
      <c r="D108" s="31"/>
      <c r="E108" s="31"/>
      <c r="F108" s="32"/>
      <c r="G108" s="33"/>
      <c r="H108" s="33"/>
      <c r="I108" s="20" t="str">
        <f t="shared" si="19"/>
        <v/>
      </c>
      <c r="J108" s="21" t="str">
        <f>IFERROR(VLOOKUP(BR108,Pricing!$D$3:$E$58,2,FALSE),"")</f>
        <v/>
      </c>
      <c r="K108" s="32"/>
      <c r="L108" s="32"/>
      <c r="M108" s="32"/>
      <c r="N108" s="36" t="str" cm="1">
        <f t="array" ref="N108">IFERROR(_xlfn.IFS((AND(K108="SI",M108="$")),J108*0.2,AND(K108="SI",M108="%"),20),"")</f>
        <v/>
      </c>
      <c r="O108" s="29" t="str">
        <f t="shared" si="20"/>
        <v/>
      </c>
      <c r="P108" s="21" t="str">
        <f t="shared" si="21"/>
        <v/>
      </c>
      <c r="Q108" s="21" t="str">
        <f t="shared" si="22"/>
        <v/>
      </c>
      <c r="R108" s="21" t="str">
        <f t="shared" si="23"/>
        <v/>
      </c>
      <c r="S108" s="39"/>
      <c r="T108" s="43" t="str">
        <f t="shared" si="31"/>
        <v/>
      </c>
      <c r="U108" s="49" t="str">
        <f t="shared" si="32"/>
        <v/>
      </c>
      <c r="V108" s="48" t="str">
        <f t="shared" si="33"/>
        <v/>
      </c>
      <c r="W108" s="48" t="str">
        <f t="shared" si="24"/>
        <v/>
      </c>
      <c r="X108" s="50" t="str">
        <f>IF(W108="","",SUMIF($B$4:$B$1002,B108,$W$4:$W$1000))</f>
        <v/>
      </c>
      <c r="Y108" s="43" t="str">
        <f t="shared" si="25"/>
        <v/>
      </c>
      <c r="Z108" s="49" t="str">
        <f t="shared" si="26"/>
        <v/>
      </c>
      <c r="AA108" s="48" t="str">
        <f t="shared" si="27"/>
        <v/>
      </c>
      <c r="AB108" s="49" t="str">
        <f t="shared" si="28"/>
        <v/>
      </c>
      <c r="AC108" s="50" t="str">
        <f>IF(AB108="","",SUMIF($B$4:$B$1002,B108,$AB$4:$AB$1000))</f>
        <v/>
      </c>
      <c r="AD108" s="69"/>
      <c r="AE108" s="56"/>
      <c r="AF108" s="52"/>
      <c r="AG108" s="51"/>
      <c r="AH108" s="70"/>
      <c r="AI108" s="58"/>
      <c r="AJ108" s="55"/>
      <c r="AK108" s="51"/>
      <c r="AL108" s="69"/>
      <c r="AM108" s="56"/>
      <c r="AN108" s="52"/>
      <c r="AO108" s="51"/>
      <c r="AP108" s="70"/>
      <c r="AQ108" s="58"/>
      <c r="AR108" s="55"/>
      <c r="AS108" s="51"/>
      <c r="AT108" s="69"/>
      <c r="AU108" s="56"/>
      <c r="AV108" s="52"/>
      <c r="AW108" s="51"/>
      <c r="BR108" s="34" t="str">
        <f>IF(E108="","",CONCATENATE(E108," ",F108," noches"))</f>
        <v/>
      </c>
      <c r="BS108" s="28" t="str">
        <f t="shared" ca="1" si="29"/>
        <v/>
      </c>
      <c r="BT108" s="28" t="str">
        <f t="shared" ca="1" si="30"/>
        <v/>
      </c>
    </row>
    <row r="109" spans="1:72" x14ac:dyDescent="0.2">
      <c r="A109" s="18" t="str" cm="1">
        <f t="array" aca="1" ref="A109" ca="1">IF(B109="","","Grupo N˚"&amp;SUMPRODUCT(($B$4:B109&lt;&gt;"")*($B$4:B109&lt;&gt;OFFSET($B$4,-1,0,ROWS($B$4:B109),1))))</f>
        <v/>
      </c>
      <c r="B109" s="31"/>
      <c r="C109" s="31"/>
      <c r="D109" s="31"/>
      <c r="E109" s="31"/>
      <c r="F109" s="32"/>
      <c r="G109" s="33"/>
      <c r="H109" s="33"/>
      <c r="I109" s="20" t="str">
        <f t="shared" si="19"/>
        <v/>
      </c>
      <c r="J109" s="21" t="str">
        <f>IFERROR(VLOOKUP(BR109,Pricing!$D$3:$E$58,2,FALSE),"")</f>
        <v/>
      </c>
      <c r="K109" s="32"/>
      <c r="L109" s="32"/>
      <c r="M109" s="32"/>
      <c r="N109" s="36" t="str" cm="1">
        <f t="array" ref="N109">IFERROR(_xlfn.IFS((AND(K109="SI",M109="$")),J109*0.2,AND(K109="SI",M109="%"),20),"")</f>
        <v/>
      </c>
      <c r="O109" s="29" t="str">
        <f t="shared" si="20"/>
        <v/>
      </c>
      <c r="P109" s="21" t="str">
        <f t="shared" si="21"/>
        <v/>
      </c>
      <c r="Q109" s="21" t="str">
        <f t="shared" si="22"/>
        <v/>
      </c>
      <c r="R109" s="21" t="str">
        <f t="shared" si="23"/>
        <v/>
      </c>
      <c r="S109" s="39"/>
      <c r="T109" s="43" t="str">
        <f t="shared" si="31"/>
        <v/>
      </c>
      <c r="U109" s="49" t="str">
        <f t="shared" si="32"/>
        <v/>
      </c>
      <c r="V109" s="48" t="str">
        <f t="shared" si="33"/>
        <v/>
      </c>
      <c r="W109" s="48" t="str">
        <f t="shared" si="24"/>
        <v/>
      </c>
      <c r="X109" s="50" t="str">
        <f>IF(W109="","",SUMIF($B$4:$B$1002,B109,$W$4:$W$1000))</f>
        <v/>
      </c>
      <c r="Y109" s="43" t="str">
        <f t="shared" si="25"/>
        <v/>
      </c>
      <c r="Z109" s="49" t="str">
        <f t="shared" si="26"/>
        <v/>
      </c>
      <c r="AA109" s="48" t="str">
        <f t="shared" si="27"/>
        <v/>
      </c>
      <c r="AB109" s="49" t="str">
        <f t="shared" si="28"/>
        <v/>
      </c>
      <c r="AC109" s="50" t="str">
        <f>IF(AB109="","",SUMIF($B$4:$B$1002,B109,$AB$4:$AB$1000))</f>
        <v/>
      </c>
      <c r="AD109" s="69"/>
      <c r="AE109" s="56"/>
      <c r="AF109" s="52"/>
      <c r="AG109" s="51"/>
      <c r="AH109" s="70"/>
      <c r="AI109" s="58"/>
      <c r="AJ109" s="55"/>
      <c r="AK109" s="51"/>
      <c r="AL109" s="69"/>
      <c r="AM109" s="56"/>
      <c r="AN109" s="52"/>
      <c r="AO109" s="51"/>
      <c r="AP109" s="70"/>
      <c r="AQ109" s="58"/>
      <c r="AR109" s="55"/>
      <c r="AS109" s="51"/>
      <c r="AT109" s="69"/>
      <c r="AU109" s="56"/>
      <c r="AV109" s="52"/>
      <c r="AW109" s="51"/>
      <c r="BR109" s="34" t="str">
        <f>IF(E109="","",CONCATENATE(E109," ",F109," noches"))</f>
        <v/>
      </c>
      <c r="BS109" s="28" t="str">
        <f t="shared" ca="1" si="29"/>
        <v/>
      </c>
      <c r="BT109" s="28" t="str">
        <f t="shared" ca="1" si="30"/>
        <v/>
      </c>
    </row>
    <row r="110" spans="1:72" x14ac:dyDescent="0.2">
      <c r="A110" s="18" t="str" cm="1">
        <f t="array" aca="1" ref="A110" ca="1">IF(B110="","","Grupo N˚"&amp;SUMPRODUCT(($B$4:B110&lt;&gt;"")*($B$4:B110&lt;&gt;OFFSET($B$4,-1,0,ROWS($B$4:B110),1))))</f>
        <v/>
      </c>
      <c r="B110" s="31"/>
      <c r="C110" s="31"/>
      <c r="D110" s="31"/>
      <c r="E110" s="31"/>
      <c r="F110" s="32"/>
      <c r="G110" s="33"/>
      <c r="H110" s="33"/>
      <c r="I110" s="20" t="str">
        <f t="shared" si="19"/>
        <v/>
      </c>
      <c r="J110" s="21" t="str">
        <f>IFERROR(VLOOKUP(BR110,Pricing!$D$3:$E$58,2,FALSE),"")</f>
        <v/>
      </c>
      <c r="K110" s="32"/>
      <c r="L110" s="32"/>
      <c r="M110" s="32"/>
      <c r="N110" s="36" t="str" cm="1">
        <f t="array" ref="N110">IFERROR(_xlfn.IFS((AND(K110="SI",M110="$")),J110*0.2,AND(K110="SI",M110="%"),20),"")</f>
        <v/>
      </c>
      <c r="O110" s="29" t="str">
        <f t="shared" si="20"/>
        <v/>
      </c>
      <c r="P110" s="21" t="str">
        <f t="shared" si="21"/>
        <v/>
      </c>
      <c r="Q110" s="21" t="str">
        <f t="shared" si="22"/>
        <v/>
      </c>
      <c r="R110" s="21" t="str">
        <f t="shared" si="23"/>
        <v/>
      </c>
      <c r="S110" s="39"/>
      <c r="T110" s="43" t="str">
        <f t="shared" si="31"/>
        <v/>
      </c>
      <c r="U110" s="49" t="str">
        <f t="shared" si="32"/>
        <v/>
      </c>
      <c r="V110" s="48" t="str">
        <f t="shared" si="33"/>
        <v/>
      </c>
      <c r="W110" s="48" t="str">
        <f t="shared" si="24"/>
        <v/>
      </c>
      <c r="X110" s="50" t="str">
        <f>IF(W110="","",SUMIF($B$4:$B$1002,B110,$W$4:$W$1000))</f>
        <v/>
      </c>
      <c r="Y110" s="43" t="str">
        <f t="shared" si="25"/>
        <v/>
      </c>
      <c r="Z110" s="49" t="str">
        <f t="shared" si="26"/>
        <v/>
      </c>
      <c r="AA110" s="48" t="str">
        <f t="shared" si="27"/>
        <v/>
      </c>
      <c r="AB110" s="49" t="str">
        <f t="shared" si="28"/>
        <v/>
      </c>
      <c r="AC110" s="50" t="str">
        <f>IF(AB110="","",SUMIF($B$4:$B$1002,B110,$AB$4:$AB$1000))</f>
        <v/>
      </c>
      <c r="AD110" s="69"/>
      <c r="AE110" s="56"/>
      <c r="AF110" s="52"/>
      <c r="AG110" s="51"/>
      <c r="AH110" s="70"/>
      <c r="AI110" s="58"/>
      <c r="AJ110" s="55"/>
      <c r="AK110" s="51"/>
      <c r="AL110" s="69"/>
      <c r="AM110" s="56"/>
      <c r="AN110" s="52"/>
      <c r="AO110" s="51"/>
      <c r="AP110" s="70"/>
      <c r="AQ110" s="58"/>
      <c r="AR110" s="55"/>
      <c r="AS110" s="51"/>
      <c r="AT110" s="69"/>
      <c r="AU110" s="56"/>
      <c r="AV110" s="52"/>
      <c r="AW110" s="51"/>
      <c r="BR110" s="34" t="str">
        <f>IF(E110="","",CONCATENATE(E110," ",F110," noches"))</f>
        <v/>
      </c>
      <c r="BS110" s="28" t="str">
        <f t="shared" ca="1" si="29"/>
        <v/>
      </c>
      <c r="BT110" s="28" t="str">
        <f t="shared" ca="1" si="30"/>
        <v/>
      </c>
    </row>
    <row r="111" spans="1:72" x14ac:dyDescent="0.2">
      <c r="A111" s="18" t="str" cm="1">
        <f t="array" aca="1" ref="A111" ca="1">IF(B111="","","Grupo N˚"&amp;SUMPRODUCT(($B$4:B111&lt;&gt;"")*($B$4:B111&lt;&gt;OFFSET($B$4,-1,0,ROWS($B$4:B111),1))))</f>
        <v/>
      </c>
      <c r="B111" s="31"/>
      <c r="C111" s="31"/>
      <c r="D111" s="31"/>
      <c r="E111" s="31"/>
      <c r="F111" s="32"/>
      <c r="G111" s="33"/>
      <c r="H111" s="33"/>
      <c r="I111" s="20" t="str">
        <f t="shared" si="19"/>
        <v/>
      </c>
      <c r="J111" s="21" t="str">
        <f>IFERROR(VLOOKUP(BR111,Pricing!$D$3:$E$58,2,FALSE),"")</f>
        <v/>
      </c>
      <c r="K111" s="32"/>
      <c r="L111" s="32"/>
      <c r="M111" s="32"/>
      <c r="N111" s="36" t="str" cm="1">
        <f t="array" ref="N111">IFERROR(_xlfn.IFS((AND(K111="SI",M111="$")),J111*0.2,AND(K111="SI",M111="%"),20),"")</f>
        <v/>
      </c>
      <c r="O111" s="29" t="str">
        <f t="shared" si="20"/>
        <v/>
      </c>
      <c r="P111" s="21" t="str">
        <f t="shared" si="21"/>
        <v/>
      </c>
      <c r="Q111" s="21" t="str">
        <f t="shared" si="22"/>
        <v/>
      </c>
      <c r="R111" s="21" t="str">
        <f t="shared" si="23"/>
        <v/>
      </c>
      <c r="S111" s="39"/>
      <c r="T111" s="43" t="str">
        <f t="shared" si="31"/>
        <v/>
      </c>
      <c r="U111" s="49" t="str">
        <f t="shared" si="32"/>
        <v/>
      </c>
      <c r="V111" s="48" t="str">
        <f t="shared" si="33"/>
        <v/>
      </c>
      <c r="W111" s="48" t="str">
        <f t="shared" si="24"/>
        <v/>
      </c>
      <c r="X111" s="50" t="str">
        <f>IF(W111="","",SUMIF($B$4:$B$1002,B111,$W$4:$W$1000))</f>
        <v/>
      </c>
      <c r="Y111" s="43" t="str">
        <f t="shared" si="25"/>
        <v/>
      </c>
      <c r="Z111" s="49" t="str">
        <f t="shared" si="26"/>
        <v/>
      </c>
      <c r="AA111" s="48" t="str">
        <f t="shared" si="27"/>
        <v/>
      </c>
      <c r="AB111" s="49" t="str">
        <f t="shared" si="28"/>
        <v/>
      </c>
      <c r="AC111" s="50" t="str">
        <f>IF(AB111="","",SUMIF($B$4:$B$1002,B111,$AB$4:$AB$1000))</f>
        <v/>
      </c>
      <c r="AD111" s="69"/>
      <c r="AE111" s="56"/>
      <c r="AF111" s="52"/>
      <c r="AG111" s="51"/>
      <c r="AH111" s="70"/>
      <c r="AI111" s="58"/>
      <c r="AJ111" s="55"/>
      <c r="AK111" s="51"/>
      <c r="AL111" s="69"/>
      <c r="AM111" s="56"/>
      <c r="AN111" s="52"/>
      <c r="AO111" s="51"/>
      <c r="AP111" s="70"/>
      <c r="AQ111" s="58"/>
      <c r="AR111" s="55"/>
      <c r="AS111" s="51"/>
      <c r="AT111" s="69"/>
      <c r="AU111" s="56"/>
      <c r="AV111" s="52"/>
      <c r="AW111" s="51"/>
      <c r="BR111" s="34" t="str">
        <f>IF(E111="","",CONCATENATE(E111," ",F111," noches"))</f>
        <v/>
      </c>
      <c r="BS111" s="28" t="str">
        <f t="shared" ca="1" si="29"/>
        <v/>
      </c>
      <c r="BT111" s="28" t="str">
        <f t="shared" ca="1" si="30"/>
        <v/>
      </c>
    </row>
    <row r="112" spans="1:72" x14ac:dyDescent="0.2">
      <c r="A112" s="18" t="str" cm="1">
        <f t="array" aca="1" ref="A112" ca="1">IF(B112="","","Grupo N˚"&amp;SUMPRODUCT(($B$4:B112&lt;&gt;"")*($B$4:B112&lt;&gt;OFFSET($B$4,-1,0,ROWS($B$4:B112),1))))</f>
        <v/>
      </c>
      <c r="B112" s="31"/>
      <c r="C112" s="31"/>
      <c r="D112" s="31"/>
      <c r="E112" s="31"/>
      <c r="F112" s="32"/>
      <c r="G112" s="33"/>
      <c r="H112" s="33"/>
      <c r="I112" s="20" t="str">
        <f t="shared" si="19"/>
        <v/>
      </c>
      <c r="J112" s="21" t="str">
        <f>IFERROR(VLOOKUP(BR112,Pricing!$D$3:$E$58,2,FALSE),"")</f>
        <v/>
      </c>
      <c r="K112" s="32"/>
      <c r="L112" s="32"/>
      <c r="M112" s="32"/>
      <c r="N112" s="36" t="str" cm="1">
        <f t="array" ref="N112">IFERROR(_xlfn.IFS((AND(K112="SI",M112="$")),J112*0.2,AND(K112="SI",M112="%"),20),"")</f>
        <v/>
      </c>
      <c r="O112" s="29" t="str">
        <f t="shared" si="20"/>
        <v/>
      </c>
      <c r="P112" s="21" t="str">
        <f t="shared" si="21"/>
        <v/>
      </c>
      <c r="Q112" s="21" t="str">
        <f t="shared" si="22"/>
        <v/>
      </c>
      <c r="R112" s="21" t="str">
        <f t="shared" si="23"/>
        <v/>
      </c>
      <c r="S112" s="39"/>
      <c r="T112" s="43" t="str">
        <f t="shared" si="31"/>
        <v/>
      </c>
      <c r="U112" s="49" t="str">
        <f t="shared" si="32"/>
        <v/>
      </c>
      <c r="V112" s="48" t="str">
        <f t="shared" si="33"/>
        <v/>
      </c>
      <c r="W112" s="48" t="str">
        <f t="shared" si="24"/>
        <v/>
      </c>
      <c r="X112" s="50" t="str">
        <f>IF(W112="","",SUMIF($B$4:$B$1002,B112,$W$4:$W$1000))</f>
        <v/>
      </c>
      <c r="Y112" s="43" t="str">
        <f t="shared" si="25"/>
        <v/>
      </c>
      <c r="Z112" s="49" t="str">
        <f t="shared" si="26"/>
        <v/>
      </c>
      <c r="AA112" s="48" t="str">
        <f t="shared" si="27"/>
        <v/>
      </c>
      <c r="AB112" s="49" t="str">
        <f t="shared" si="28"/>
        <v/>
      </c>
      <c r="AC112" s="50" t="str">
        <f>IF(AB112="","",SUMIF($B$4:$B$1002,B112,$AB$4:$AB$1000))</f>
        <v/>
      </c>
      <c r="AD112" s="69"/>
      <c r="AE112" s="56"/>
      <c r="AF112" s="52"/>
      <c r="AG112" s="51"/>
      <c r="AH112" s="70"/>
      <c r="AI112" s="58"/>
      <c r="AJ112" s="55"/>
      <c r="AK112" s="51"/>
      <c r="AL112" s="69"/>
      <c r="AM112" s="56"/>
      <c r="AN112" s="52"/>
      <c r="AO112" s="51"/>
      <c r="AP112" s="70"/>
      <c r="AQ112" s="58"/>
      <c r="AR112" s="55"/>
      <c r="AS112" s="51"/>
      <c r="AT112" s="69"/>
      <c r="AU112" s="56"/>
      <c r="AV112" s="52"/>
      <c r="AW112" s="51"/>
      <c r="BR112" s="34" t="str">
        <f>IF(E112="","",CONCATENATE(E112," ",F112," noches"))</f>
        <v/>
      </c>
      <c r="BS112" s="28" t="str">
        <f t="shared" ca="1" si="29"/>
        <v/>
      </c>
      <c r="BT112" s="28" t="str">
        <f t="shared" ca="1" si="30"/>
        <v/>
      </c>
    </row>
    <row r="113" spans="1:72" x14ac:dyDescent="0.2">
      <c r="A113" s="18" t="str" cm="1">
        <f t="array" aca="1" ref="A113" ca="1">IF(B113="","","Grupo N˚"&amp;SUMPRODUCT(($B$4:B113&lt;&gt;"")*($B$4:B113&lt;&gt;OFFSET($B$4,-1,0,ROWS($B$4:B113),1))))</f>
        <v/>
      </c>
      <c r="B113" s="31"/>
      <c r="C113" s="31"/>
      <c r="D113" s="31"/>
      <c r="E113" s="31"/>
      <c r="F113" s="32"/>
      <c r="G113" s="33"/>
      <c r="H113" s="33"/>
      <c r="I113" s="20" t="str">
        <f t="shared" si="19"/>
        <v/>
      </c>
      <c r="J113" s="21" t="str">
        <f>IFERROR(VLOOKUP(BR113,Pricing!$D$3:$E$58,2,FALSE),"")</f>
        <v/>
      </c>
      <c r="K113" s="32"/>
      <c r="L113" s="32"/>
      <c r="M113" s="32"/>
      <c r="N113" s="36" t="str" cm="1">
        <f t="array" ref="N113">IFERROR(_xlfn.IFS((AND(K113="SI",M113="$")),J113*0.2,AND(K113="SI",M113="%"),20),"")</f>
        <v/>
      </c>
      <c r="O113" s="29" t="str">
        <f t="shared" si="20"/>
        <v/>
      </c>
      <c r="P113" s="21" t="str">
        <f t="shared" si="21"/>
        <v/>
      </c>
      <c r="Q113" s="21" t="str">
        <f t="shared" si="22"/>
        <v/>
      </c>
      <c r="R113" s="21" t="str">
        <f t="shared" si="23"/>
        <v/>
      </c>
      <c r="S113" s="39"/>
      <c r="T113" s="43" t="str">
        <f t="shared" si="31"/>
        <v/>
      </c>
      <c r="U113" s="49" t="str">
        <f t="shared" si="32"/>
        <v/>
      </c>
      <c r="V113" s="48" t="str">
        <f t="shared" si="33"/>
        <v/>
      </c>
      <c r="W113" s="48" t="str">
        <f t="shared" si="24"/>
        <v/>
      </c>
      <c r="X113" s="50" t="str">
        <f>IF(W113="","",SUMIF($B$4:$B$1002,B113,$W$4:$W$1000))</f>
        <v/>
      </c>
      <c r="Y113" s="43" t="str">
        <f t="shared" si="25"/>
        <v/>
      </c>
      <c r="Z113" s="49" t="str">
        <f t="shared" si="26"/>
        <v/>
      </c>
      <c r="AA113" s="48" t="str">
        <f t="shared" si="27"/>
        <v/>
      </c>
      <c r="AB113" s="49" t="str">
        <f t="shared" si="28"/>
        <v/>
      </c>
      <c r="AC113" s="50" t="str">
        <f>IF(AB113="","",SUMIF($B$4:$B$1002,B113,$AB$4:$AB$1000))</f>
        <v/>
      </c>
      <c r="AD113" s="69"/>
      <c r="AE113" s="56"/>
      <c r="AF113" s="52"/>
      <c r="AG113" s="51"/>
      <c r="AH113" s="70"/>
      <c r="AI113" s="58"/>
      <c r="AJ113" s="55"/>
      <c r="AK113" s="51"/>
      <c r="AL113" s="69"/>
      <c r="AM113" s="56"/>
      <c r="AN113" s="52"/>
      <c r="AO113" s="51"/>
      <c r="AP113" s="70"/>
      <c r="AQ113" s="58"/>
      <c r="AR113" s="55"/>
      <c r="AS113" s="51"/>
      <c r="AT113" s="69"/>
      <c r="AU113" s="56"/>
      <c r="AV113" s="52"/>
      <c r="AW113" s="51"/>
      <c r="BR113" s="34" t="str">
        <f>IF(E113="","",CONCATENATE(E113," ",F113," noches"))</f>
        <v/>
      </c>
      <c r="BS113" s="28" t="str">
        <f t="shared" ca="1" si="29"/>
        <v/>
      </c>
      <c r="BT113" s="28" t="str">
        <f t="shared" ca="1" si="30"/>
        <v/>
      </c>
    </row>
    <row r="114" spans="1:72" x14ac:dyDescent="0.2">
      <c r="A114" s="18" t="str" cm="1">
        <f t="array" aca="1" ref="A114" ca="1">IF(B114="","","Grupo N˚"&amp;SUMPRODUCT(($B$4:B114&lt;&gt;"")*($B$4:B114&lt;&gt;OFFSET($B$4,-1,0,ROWS($B$4:B114),1))))</f>
        <v/>
      </c>
      <c r="B114" s="31"/>
      <c r="C114" s="31"/>
      <c r="D114" s="31"/>
      <c r="E114" s="31"/>
      <c r="F114" s="32"/>
      <c r="G114" s="33"/>
      <c r="H114" s="33"/>
      <c r="I114" s="20" t="str">
        <f t="shared" si="19"/>
        <v/>
      </c>
      <c r="J114" s="21" t="str">
        <f>IFERROR(VLOOKUP(BR114,Pricing!$D$3:$E$58,2,FALSE),"")</f>
        <v/>
      </c>
      <c r="K114" s="32"/>
      <c r="L114" s="32"/>
      <c r="M114" s="32"/>
      <c r="N114" s="36" t="str" cm="1">
        <f t="array" ref="N114">IFERROR(_xlfn.IFS((AND(K114="SI",M114="$")),J114*0.2,AND(K114="SI",M114="%"),20),"")</f>
        <v/>
      </c>
      <c r="O114" s="29" t="str">
        <f t="shared" si="20"/>
        <v/>
      </c>
      <c r="P114" s="21" t="str">
        <f t="shared" si="21"/>
        <v/>
      </c>
      <c r="Q114" s="21" t="str">
        <f t="shared" si="22"/>
        <v/>
      </c>
      <c r="R114" s="21" t="str">
        <f t="shared" si="23"/>
        <v/>
      </c>
      <c r="S114" s="39"/>
      <c r="T114" s="43" t="str">
        <f t="shared" si="31"/>
        <v/>
      </c>
      <c r="U114" s="49" t="str">
        <f t="shared" si="32"/>
        <v/>
      </c>
      <c r="V114" s="48" t="str">
        <f t="shared" si="33"/>
        <v/>
      </c>
      <c r="W114" s="48" t="str">
        <f t="shared" si="24"/>
        <v/>
      </c>
      <c r="X114" s="50" t="str">
        <f>IF(W114="","",SUMIF($B$4:$B$1002,B114,$W$4:$W$1000))</f>
        <v/>
      </c>
      <c r="Y114" s="43" t="str">
        <f t="shared" si="25"/>
        <v/>
      </c>
      <c r="Z114" s="49" t="str">
        <f t="shared" si="26"/>
        <v/>
      </c>
      <c r="AA114" s="48" t="str">
        <f t="shared" si="27"/>
        <v/>
      </c>
      <c r="AB114" s="49" t="str">
        <f t="shared" si="28"/>
        <v/>
      </c>
      <c r="AC114" s="50" t="str">
        <f>IF(AB114="","",SUMIF($B$4:$B$1002,B114,$AB$4:$AB$1000))</f>
        <v/>
      </c>
      <c r="AD114" s="69"/>
      <c r="AE114" s="56"/>
      <c r="AF114" s="52"/>
      <c r="AG114" s="51"/>
      <c r="AH114" s="70"/>
      <c r="AI114" s="58"/>
      <c r="AJ114" s="55"/>
      <c r="AK114" s="51"/>
      <c r="AL114" s="69"/>
      <c r="AM114" s="56"/>
      <c r="AN114" s="52"/>
      <c r="AO114" s="51"/>
      <c r="AP114" s="70"/>
      <c r="AQ114" s="58"/>
      <c r="AR114" s="55"/>
      <c r="AS114" s="51"/>
      <c r="AT114" s="69"/>
      <c r="AU114" s="56"/>
      <c r="AV114" s="52"/>
      <c r="AW114" s="51"/>
      <c r="BR114" s="34" t="str">
        <f>IF(E114="","",CONCATENATE(E114," ",F114," noches"))</f>
        <v/>
      </c>
      <c r="BS114" s="28" t="str">
        <f t="shared" ca="1" si="29"/>
        <v/>
      </c>
      <c r="BT114" s="28" t="str">
        <f t="shared" ca="1" si="30"/>
        <v/>
      </c>
    </row>
    <row r="115" spans="1:72" x14ac:dyDescent="0.2">
      <c r="A115" s="18" t="str" cm="1">
        <f t="array" aca="1" ref="A115" ca="1">IF(B115="","","Grupo N˚"&amp;SUMPRODUCT(($B$4:B115&lt;&gt;"")*($B$4:B115&lt;&gt;OFFSET($B$4,-1,0,ROWS($B$4:B115),1))))</f>
        <v/>
      </c>
      <c r="B115" s="31"/>
      <c r="C115" s="31"/>
      <c r="D115" s="31"/>
      <c r="E115" s="31"/>
      <c r="F115" s="32"/>
      <c r="G115" s="33"/>
      <c r="H115" s="33"/>
      <c r="I115" s="20" t="str">
        <f t="shared" si="19"/>
        <v/>
      </c>
      <c r="J115" s="21" t="str">
        <f>IFERROR(VLOOKUP(BR115,Pricing!$D$3:$E$58,2,FALSE),"")</f>
        <v/>
      </c>
      <c r="K115" s="32"/>
      <c r="L115" s="32"/>
      <c r="M115" s="32"/>
      <c r="N115" s="36" t="str" cm="1">
        <f t="array" ref="N115">IFERROR(_xlfn.IFS((AND(K115="SI",M115="$")),J115*0.2,AND(K115="SI",M115="%"),20),"")</f>
        <v/>
      </c>
      <c r="O115" s="29" t="str">
        <f t="shared" si="20"/>
        <v/>
      </c>
      <c r="P115" s="21" t="str">
        <f t="shared" si="21"/>
        <v/>
      </c>
      <c r="Q115" s="21" t="str">
        <f t="shared" si="22"/>
        <v/>
      </c>
      <c r="R115" s="21" t="str">
        <f t="shared" si="23"/>
        <v/>
      </c>
      <c r="S115" s="39"/>
      <c r="T115" s="43" t="str">
        <f t="shared" si="31"/>
        <v/>
      </c>
      <c r="U115" s="49" t="str">
        <f t="shared" si="32"/>
        <v/>
      </c>
      <c r="V115" s="48" t="str">
        <f t="shared" si="33"/>
        <v/>
      </c>
      <c r="W115" s="48" t="str">
        <f t="shared" si="24"/>
        <v/>
      </c>
      <c r="X115" s="50" t="str">
        <f>IF(W115="","",SUMIF($B$4:$B$1002,B115,$W$4:$W$1000))</f>
        <v/>
      </c>
      <c r="Y115" s="43" t="str">
        <f t="shared" si="25"/>
        <v/>
      </c>
      <c r="Z115" s="49" t="str">
        <f t="shared" si="26"/>
        <v/>
      </c>
      <c r="AA115" s="48" t="str">
        <f t="shared" si="27"/>
        <v/>
      </c>
      <c r="AB115" s="49" t="str">
        <f t="shared" si="28"/>
        <v/>
      </c>
      <c r="AC115" s="50" t="str">
        <f>IF(AB115="","",SUMIF($B$4:$B$1002,B115,$AB$4:$AB$1000))</f>
        <v/>
      </c>
      <c r="AD115" s="69"/>
      <c r="AE115" s="56"/>
      <c r="AF115" s="52"/>
      <c r="AG115" s="51"/>
      <c r="AH115" s="70"/>
      <c r="AI115" s="58"/>
      <c r="AJ115" s="55"/>
      <c r="AK115" s="51"/>
      <c r="AL115" s="69"/>
      <c r="AM115" s="56"/>
      <c r="AN115" s="52"/>
      <c r="AO115" s="51"/>
      <c r="AP115" s="70"/>
      <c r="AQ115" s="58"/>
      <c r="AR115" s="55"/>
      <c r="AS115" s="51"/>
      <c r="AT115" s="69"/>
      <c r="AU115" s="56"/>
      <c r="AV115" s="52"/>
      <c r="AW115" s="51"/>
      <c r="BR115" s="34" t="str">
        <f>IF(E115="","",CONCATENATE(E115," ",F115," noches"))</f>
        <v/>
      </c>
      <c r="BS115" s="28" t="str">
        <f t="shared" ca="1" si="29"/>
        <v/>
      </c>
      <c r="BT115" s="28" t="str">
        <f t="shared" ca="1" si="30"/>
        <v/>
      </c>
    </row>
    <row r="116" spans="1:72" x14ac:dyDescent="0.2">
      <c r="A116" s="18" t="str" cm="1">
        <f t="array" aca="1" ref="A116" ca="1">IF(B116="","","Grupo N˚"&amp;SUMPRODUCT(($B$4:B116&lt;&gt;"")*($B$4:B116&lt;&gt;OFFSET($B$4,-1,0,ROWS($B$4:B116),1))))</f>
        <v/>
      </c>
      <c r="B116" s="31"/>
      <c r="C116" s="31"/>
      <c r="D116" s="31"/>
      <c r="E116" s="31"/>
      <c r="F116" s="32"/>
      <c r="G116" s="33"/>
      <c r="H116" s="33"/>
      <c r="I116" s="20" t="str">
        <f t="shared" si="19"/>
        <v/>
      </c>
      <c r="J116" s="21" t="str">
        <f>IFERROR(VLOOKUP(BR116,Pricing!$D$3:$E$58,2,FALSE),"")</f>
        <v/>
      </c>
      <c r="K116" s="32"/>
      <c r="L116" s="32"/>
      <c r="M116" s="32"/>
      <c r="N116" s="36" t="str" cm="1">
        <f t="array" ref="N116">IFERROR(_xlfn.IFS((AND(K116="SI",M116="$")),J116*0.2,AND(K116="SI",M116="%"),20),"")</f>
        <v/>
      </c>
      <c r="O116" s="29" t="str">
        <f t="shared" si="20"/>
        <v/>
      </c>
      <c r="P116" s="21" t="str">
        <f t="shared" si="21"/>
        <v/>
      </c>
      <c r="Q116" s="21" t="str">
        <f t="shared" si="22"/>
        <v/>
      </c>
      <c r="R116" s="21" t="str">
        <f t="shared" si="23"/>
        <v/>
      </c>
      <c r="S116" s="39"/>
      <c r="T116" s="43" t="str">
        <f t="shared" si="31"/>
        <v/>
      </c>
      <c r="U116" s="49" t="str">
        <f t="shared" si="32"/>
        <v/>
      </c>
      <c r="V116" s="48" t="str">
        <f t="shared" si="33"/>
        <v/>
      </c>
      <c r="W116" s="48" t="str">
        <f t="shared" si="24"/>
        <v/>
      </c>
      <c r="X116" s="50" t="str">
        <f>IF(W116="","",SUMIF($B$4:$B$1002,B116,$W$4:$W$1000))</f>
        <v/>
      </c>
      <c r="Y116" s="43" t="str">
        <f t="shared" si="25"/>
        <v/>
      </c>
      <c r="Z116" s="49" t="str">
        <f t="shared" si="26"/>
        <v/>
      </c>
      <c r="AA116" s="48" t="str">
        <f t="shared" si="27"/>
        <v/>
      </c>
      <c r="AB116" s="49" t="str">
        <f t="shared" si="28"/>
        <v/>
      </c>
      <c r="AC116" s="50" t="str">
        <f>IF(AB116="","",SUMIF($B$4:$B$1002,B116,$AB$4:$AB$1000))</f>
        <v/>
      </c>
      <c r="AD116" s="69"/>
      <c r="AE116" s="56"/>
      <c r="AF116" s="52"/>
      <c r="AG116" s="51"/>
      <c r="AH116" s="70"/>
      <c r="AI116" s="58"/>
      <c r="AJ116" s="55"/>
      <c r="AK116" s="51"/>
      <c r="AL116" s="69"/>
      <c r="AM116" s="56"/>
      <c r="AN116" s="52"/>
      <c r="AO116" s="51"/>
      <c r="AP116" s="70"/>
      <c r="AQ116" s="58"/>
      <c r="AR116" s="55"/>
      <c r="AS116" s="51"/>
      <c r="AT116" s="69"/>
      <c r="AU116" s="56"/>
      <c r="AV116" s="52"/>
      <c r="AW116" s="51"/>
      <c r="BR116" s="34" t="str">
        <f>IF(E116="","",CONCATENATE(E116," ",F116," noches"))</f>
        <v/>
      </c>
      <c r="BS116" s="28" t="str">
        <f t="shared" ca="1" si="29"/>
        <v/>
      </c>
      <c r="BT116" s="28" t="str">
        <f t="shared" ca="1" si="30"/>
        <v/>
      </c>
    </row>
    <row r="117" spans="1:72" x14ac:dyDescent="0.2">
      <c r="A117" s="18" t="str" cm="1">
        <f t="array" aca="1" ref="A117" ca="1">IF(B117="","","Grupo N˚"&amp;SUMPRODUCT(($B$4:B117&lt;&gt;"")*($B$4:B117&lt;&gt;OFFSET($B$4,-1,0,ROWS($B$4:B117),1))))</f>
        <v/>
      </c>
      <c r="B117" s="31"/>
      <c r="C117" s="31"/>
      <c r="D117" s="31"/>
      <c r="E117" s="31"/>
      <c r="F117" s="32"/>
      <c r="G117" s="33"/>
      <c r="H117" s="33"/>
      <c r="I117" s="20" t="str">
        <f t="shared" si="19"/>
        <v/>
      </c>
      <c r="J117" s="21" t="str">
        <f>IFERROR(VLOOKUP(BR117,Pricing!$D$3:$E$58,2,FALSE),"")</f>
        <v/>
      </c>
      <c r="K117" s="32"/>
      <c r="L117" s="32"/>
      <c r="M117" s="32"/>
      <c r="N117" s="36" t="str" cm="1">
        <f t="array" ref="N117">IFERROR(_xlfn.IFS((AND(K117="SI",M117="$")),J117*0.2,AND(K117="SI",M117="%"),20),"")</f>
        <v/>
      </c>
      <c r="O117" s="29" t="str">
        <f t="shared" si="20"/>
        <v/>
      </c>
      <c r="P117" s="21" t="str">
        <f t="shared" si="21"/>
        <v/>
      </c>
      <c r="Q117" s="21" t="str">
        <f t="shared" si="22"/>
        <v/>
      </c>
      <c r="R117" s="21" t="str">
        <f t="shared" si="23"/>
        <v/>
      </c>
      <c r="S117" s="39"/>
      <c r="T117" s="43" t="str">
        <f t="shared" si="31"/>
        <v/>
      </c>
      <c r="U117" s="49" t="str">
        <f t="shared" si="32"/>
        <v/>
      </c>
      <c r="V117" s="48" t="str">
        <f t="shared" si="33"/>
        <v/>
      </c>
      <c r="W117" s="48" t="str">
        <f t="shared" si="24"/>
        <v/>
      </c>
      <c r="X117" s="50" t="str">
        <f>IF(W117="","",SUMIF($B$4:$B$1002,B117,$W$4:$W$1000))</f>
        <v/>
      </c>
      <c r="Y117" s="43" t="str">
        <f t="shared" si="25"/>
        <v/>
      </c>
      <c r="Z117" s="49" t="str">
        <f t="shared" si="26"/>
        <v/>
      </c>
      <c r="AA117" s="48" t="str">
        <f t="shared" si="27"/>
        <v/>
      </c>
      <c r="AB117" s="49" t="str">
        <f t="shared" si="28"/>
        <v/>
      </c>
      <c r="AC117" s="50" t="str">
        <f>IF(AB117="","",SUMIF($B$4:$B$1002,B117,$AB$4:$AB$1000))</f>
        <v/>
      </c>
      <c r="AD117" s="69"/>
      <c r="AE117" s="56"/>
      <c r="AF117" s="52"/>
      <c r="AG117" s="51"/>
      <c r="AH117" s="70"/>
      <c r="AI117" s="58"/>
      <c r="AJ117" s="55"/>
      <c r="AK117" s="51"/>
      <c r="AL117" s="69"/>
      <c r="AM117" s="56"/>
      <c r="AN117" s="52"/>
      <c r="AO117" s="51"/>
      <c r="AP117" s="70"/>
      <c r="AQ117" s="58"/>
      <c r="AR117" s="55"/>
      <c r="AS117" s="51"/>
      <c r="AT117" s="69"/>
      <c r="AU117" s="56"/>
      <c r="AV117" s="52"/>
      <c r="AW117" s="51"/>
      <c r="BR117" s="34" t="str">
        <f>IF(E117="","",CONCATENATE(E117," ",F117," noches"))</f>
        <v/>
      </c>
      <c r="BS117" s="28" t="str">
        <f t="shared" ca="1" si="29"/>
        <v/>
      </c>
      <c r="BT117" s="28" t="str">
        <f t="shared" ca="1" si="30"/>
        <v/>
      </c>
    </row>
    <row r="118" spans="1:72" x14ac:dyDescent="0.2">
      <c r="A118" s="18" t="str" cm="1">
        <f t="array" aca="1" ref="A118" ca="1">IF(B118="","","Grupo N˚"&amp;SUMPRODUCT(($B$4:B118&lt;&gt;"")*($B$4:B118&lt;&gt;OFFSET($B$4,-1,0,ROWS($B$4:B118),1))))</f>
        <v/>
      </c>
      <c r="B118" s="31"/>
      <c r="C118" s="31"/>
      <c r="D118" s="31"/>
      <c r="E118" s="31"/>
      <c r="F118" s="32"/>
      <c r="G118" s="33"/>
      <c r="H118" s="33"/>
      <c r="I118" s="20" t="str">
        <f t="shared" si="19"/>
        <v/>
      </c>
      <c r="J118" s="21" t="str">
        <f>IFERROR(VLOOKUP(BR118,Pricing!$D$3:$E$58,2,FALSE),"")</f>
        <v/>
      </c>
      <c r="K118" s="32"/>
      <c r="L118" s="32"/>
      <c r="M118" s="32"/>
      <c r="N118" s="36" t="str" cm="1">
        <f t="array" ref="N118">IFERROR(_xlfn.IFS((AND(K118="SI",M118="$")),J118*0.2,AND(K118="SI",M118="%"),20),"")</f>
        <v/>
      </c>
      <c r="O118" s="29" t="str">
        <f t="shared" si="20"/>
        <v/>
      </c>
      <c r="P118" s="21" t="str">
        <f t="shared" si="21"/>
        <v/>
      </c>
      <c r="Q118" s="21" t="str">
        <f t="shared" si="22"/>
        <v/>
      </c>
      <c r="R118" s="21" t="str">
        <f t="shared" si="23"/>
        <v/>
      </c>
      <c r="S118" s="39"/>
      <c r="T118" s="43" t="str">
        <f t="shared" si="31"/>
        <v/>
      </c>
      <c r="U118" s="49" t="str">
        <f t="shared" si="32"/>
        <v/>
      </c>
      <c r="V118" s="48" t="str">
        <f t="shared" si="33"/>
        <v/>
      </c>
      <c r="W118" s="48" t="str">
        <f t="shared" si="24"/>
        <v/>
      </c>
      <c r="X118" s="50" t="str">
        <f>IF(W118="","",SUMIF($B$4:$B$1002,B118,$W$4:$W$1000))</f>
        <v/>
      </c>
      <c r="Y118" s="43" t="str">
        <f t="shared" si="25"/>
        <v/>
      </c>
      <c r="Z118" s="49" t="str">
        <f t="shared" si="26"/>
        <v/>
      </c>
      <c r="AA118" s="48" t="str">
        <f t="shared" si="27"/>
        <v/>
      </c>
      <c r="AB118" s="49" t="str">
        <f t="shared" si="28"/>
        <v/>
      </c>
      <c r="AC118" s="50" t="str">
        <f>IF(AB118="","",SUMIF($B$4:$B$1002,B118,$AB$4:$AB$1000))</f>
        <v/>
      </c>
      <c r="AD118" s="69"/>
      <c r="AE118" s="56"/>
      <c r="AF118" s="52"/>
      <c r="AG118" s="51"/>
      <c r="AH118" s="70"/>
      <c r="AI118" s="58"/>
      <c r="AJ118" s="55"/>
      <c r="AK118" s="51"/>
      <c r="AL118" s="69"/>
      <c r="AM118" s="56"/>
      <c r="AN118" s="52"/>
      <c r="AO118" s="51"/>
      <c r="AP118" s="70"/>
      <c r="AQ118" s="58"/>
      <c r="AR118" s="55"/>
      <c r="AS118" s="51"/>
      <c r="AT118" s="69"/>
      <c r="AU118" s="56"/>
      <c r="AV118" s="52"/>
      <c r="AW118" s="51"/>
      <c r="BR118" s="34" t="str">
        <f>IF(E118="","",CONCATENATE(E118," ",F118," noches"))</f>
        <v/>
      </c>
      <c r="BS118" s="28" t="str">
        <f t="shared" ca="1" si="29"/>
        <v/>
      </c>
      <c r="BT118" s="28" t="str">
        <f t="shared" ca="1" si="30"/>
        <v/>
      </c>
    </row>
    <row r="119" spans="1:72" x14ac:dyDescent="0.2">
      <c r="A119" s="18" t="str" cm="1">
        <f t="array" aca="1" ref="A119" ca="1">IF(B119="","","Grupo N˚"&amp;SUMPRODUCT(($B$4:B119&lt;&gt;"")*($B$4:B119&lt;&gt;OFFSET($B$4,-1,0,ROWS($B$4:B119),1))))</f>
        <v/>
      </c>
      <c r="B119" s="31"/>
      <c r="C119" s="31"/>
      <c r="D119" s="31"/>
      <c r="E119" s="31"/>
      <c r="F119" s="32"/>
      <c r="G119" s="33"/>
      <c r="H119" s="33"/>
      <c r="I119" s="20" t="str">
        <f t="shared" si="19"/>
        <v/>
      </c>
      <c r="J119" s="21" t="str">
        <f>IFERROR(VLOOKUP(BR119,Pricing!$D$3:$E$58,2,FALSE),"")</f>
        <v/>
      </c>
      <c r="K119" s="32"/>
      <c r="L119" s="32"/>
      <c r="M119" s="32"/>
      <c r="N119" s="36" t="str" cm="1">
        <f t="array" ref="N119">IFERROR(_xlfn.IFS((AND(K119="SI",M119="$")),J119*0.2,AND(K119="SI",M119="%"),20),"")</f>
        <v/>
      </c>
      <c r="O119" s="29" t="str">
        <f t="shared" si="20"/>
        <v/>
      </c>
      <c r="P119" s="21" t="str">
        <f t="shared" si="21"/>
        <v/>
      </c>
      <c r="Q119" s="21" t="str">
        <f t="shared" si="22"/>
        <v/>
      </c>
      <c r="R119" s="21" t="str">
        <f t="shared" si="23"/>
        <v/>
      </c>
      <c r="S119" s="39"/>
      <c r="T119" s="43" t="str">
        <f t="shared" si="31"/>
        <v/>
      </c>
      <c r="U119" s="49" t="str">
        <f t="shared" si="32"/>
        <v/>
      </c>
      <c r="V119" s="48" t="str">
        <f t="shared" si="33"/>
        <v/>
      </c>
      <c r="W119" s="48" t="str">
        <f t="shared" si="24"/>
        <v/>
      </c>
      <c r="X119" s="50" t="str">
        <f>IF(W119="","",SUMIF($B$4:$B$1002,B119,$W$4:$W$1000))</f>
        <v/>
      </c>
      <c r="Y119" s="43" t="str">
        <f t="shared" si="25"/>
        <v/>
      </c>
      <c r="Z119" s="49" t="str">
        <f t="shared" si="26"/>
        <v/>
      </c>
      <c r="AA119" s="48" t="str">
        <f t="shared" si="27"/>
        <v/>
      </c>
      <c r="AB119" s="49" t="str">
        <f t="shared" si="28"/>
        <v/>
      </c>
      <c r="AC119" s="50" t="str">
        <f>IF(AB119="","",SUMIF($B$4:$B$1002,B119,$AB$4:$AB$1000))</f>
        <v/>
      </c>
      <c r="AD119" s="69"/>
      <c r="AE119" s="56"/>
      <c r="AF119" s="52"/>
      <c r="AG119" s="51"/>
      <c r="AH119" s="70"/>
      <c r="AI119" s="58"/>
      <c r="AJ119" s="55"/>
      <c r="AK119" s="51"/>
      <c r="AL119" s="69"/>
      <c r="AM119" s="56"/>
      <c r="AN119" s="52"/>
      <c r="AO119" s="51"/>
      <c r="AP119" s="70"/>
      <c r="AQ119" s="58"/>
      <c r="AR119" s="55"/>
      <c r="AS119" s="51"/>
      <c r="AT119" s="69"/>
      <c r="AU119" s="56"/>
      <c r="AV119" s="52"/>
      <c r="AW119" s="51"/>
      <c r="BR119" s="34" t="str">
        <f>IF(E119="","",CONCATENATE(E119," ",F119," noches"))</f>
        <v/>
      </c>
      <c r="BS119" s="28" t="str">
        <f t="shared" ca="1" si="29"/>
        <v/>
      </c>
      <c r="BT119" s="28" t="str">
        <f t="shared" ca="1" si="30"/>
        <v/>
      </c>
    </row>
    <row r="120" spans="1:72" x14ac:dyDescent="0.2">
      <c r="A120" s="18" t="str" cm="1">
        <f t="array" aca="1" ref="A120" ca="1">IF(B120="","","Grupo N˚"&amp;SUMPRODUCT(($B$4:B120&lt;&gt;"")*($B$4:B120&lt;&gt;OFFSET($B$4,-1,0,ROWS($B$4:B120),1))))</f>
        <v/>
      </c>
      <c r="B120" s="31"/>
      <c r="C120" s="31"/>
      <c r="D120" s="31"/>
      <c r="E120" s="31"/>
      <c r="F120" s="32"/>
      <c r="G120" s="33"/>
      <c r="H120" s="33"/>
      <c r="I120" s="20" t="str">
        <f t="shared" si="19"/>
        <v/>
      </c>
      <c r="J120" s="21" t="str">
        <f>IFERROR(VLOOKUP(BR120,Pricing!$D$3:$E$58,2,FALSE),"")</f>
        <v/>
      </c>
      <c r="K120" s="32"/>
      <c r="L120" s="32"/>
      <c r="M120" s="32"/>
      <c r="N120" s="36" t="str" cm="1">
        <f t="array" ref="N120">IFERROR(_xlfn.IFS((AND(K120="SI",M120="$")),J120*0.2,AND(K120="SI",M120="%"),20),"")</f>
        <v/>
      </c>
      <c r="O120" s="29" t="str">
        <f t="shared" si="20"/>
        <v/>
      </c>
      <c r="P120" s="21" t="str">
        <f t="shared" si="21"/>
        <v/>
      </c>
      <c r="Q120" s="21" t="str">
        <f t="shared" si="22"/>
        <v/>
      </c>
      <c r="R120" s="21" t="str">
        <f t="shared" si="23"/>
        <v/>
      </c>
      <c r="S120" s="39"/>
      <c r="T120" s="43" t="str">
        <f t="shared" si="31"/>
        <v/>
      </c>
      <c r="U120" s="49" t="str">
        <f t="shared" si="32"/>
        <v/>
      </c>
      <c r="V120" s="48" t="str">
        <f t="shared" si="33"/>
        <v/>
      </c>
      <c r="W120" s="48" t="str">
        <f t="shared" si="24"/>
        <v/>
      </c>
      <c r="X120" s="50" t="str">
        <f>IF(W120="","",SUMIF($B$4:$B$1002,B120,$W$4:$W$1000))</f>
        <v/>
      </c>
      <c r="Y120" s="43" t="str">
        <f t="shared" si="25"/>
        <v/>
      </c>
      <c r="Z120" s="49" t="str">
        <f t="shared" si="26"/>
        <v/>
      </c>
      <c r="AA120" s="48" t="str">
        <f t="shared" si="27"/>
        <v/>
      </c>
      <c r="AB120" s="49" t="str">
        <f t="shared" si="28"/>
        <v/>
      </c>
      <c r="AC120" s="50" t="str">
        <f>IF(AB120="","",SUMIF($B$4:$B$1002,B120,$AB$4:$AB$1000))</f>
        <v/>
      </c>
      <c r="AD120" s="69"/>
      <c r="AE120" s="56"/>
      <c r="AF120" s="52"/>
      <c r="AG120" s="51"/>
      <c r="AH120" s="70"/>
      <c r="AI120" s="58"/>
      <c r="AJ120" s="55"/>
      <c r="AK120" s="51"/>
      <c r="AL120" s="69"/>
      <c r="AM120" s="56"/>
      <c r="AN120" s="52"/>
      <c r="AO120" s="51"/>
      <c r="AP120" s="70"/>
      <c r="AQ120" s="58"/>
      <c r="AR120" s="55"/>
      <c r="AS120" s="51"/>
      <c r="AT120" s="69"/>
      <c r="AU120" s="56"/>
      <c r="AV120" s="52"/>
      <c r="AW120" s="51"/>
      <c r="BR120" s="34" t="str">
        <f>IF(E120="","",CONCATENATE(E120," ",F120," noches"))</f>
        <v/>
      </c>
      <c r="BS120" s="28" t="str">
        <f t="shared" ca="1" si="29"/>
        <v/>
      </c>
      <c r="BT120" s="28" t="str">
        <f t="shared" ca="1" si="30"/>
        <v/>
      </c>
    </row>
    <row r="121" spans="1:72" x14ac:dyDescent="0.2">
      <c r="A121" s="18" t="str" cm="1">
        <f t="array" aca="1" ref="A121" ca="1">IF(B121="","","Grupo N˚"&amp;SUMPRODUCT(($B$4:B121&lt;&gt;"")*($B$4:B121&lt;&gt;OFFSET($B$4,-1,0,ROWS($B$4:B121),1))))</f>
        <v/>
      </c>
      <c r="B121" s="31"/>
      <c r="C121" s="31"/>
      <c r="D121" s="31"/>
      <c r="E121" s="31"/>
      <c r="F121" s="32"/>
      <c r="G121" s="33"/>
      <c r="H121" s="33"/>
      <c r="I121" s="20" t="str">
        <f t="shared" si="19"/>
        <v/>
      </c>
      <c r="J121" s="21" t="str">
        <f>IFERROR(VLOOKUP(BR121,Pricing!$D$3:$E$58,2,FALSE),"")</f>
        <v/>
      </c>
      <c r="K121" s="32"/>
      <c r="L121" s="32"/>
      <c r="M121" s="32"/>
      <c r="N121" s="36" t="str" cm="1">
        <f t="array" ref="N121">IFERROR(_xlfn.IFS((AND(K121="SI",M121="$")),J121*0.2,AND(K121="SI",M121="%"),20),"")</f>
        <v/>
      </c>
      <c r="O121" s="29" t="str">
        <f t="shared" si="20"/>
        <v/>
      </c>
      <c r="P121" s="21" t="str">
        <f t="shared" si="21"/>
        <v/>
      </c>
      <c r="Q121" s="21" t="str">
        <f t="shared" si="22"/>
        <v/>
      </c>
      <c r="R121" s="21" t="str">
        <f t="shared" si="23"/>
        <v/>
      </c>
      <c r="S121" s="39"/>
      <c r="T121" s="43" t="str">
        <f t="shared" si="31"/>
        <v/>
      </c>
      <c r="U121" s="49" t="str">
        <f t="shared" si="32"/>
        <v/>
      </c>
      <c r="V121" s="48" t="str">
        <f t="shared" si="33"/>
        <v/>
      </c>
      <c r="W121" s="48" t="str">
        <f t="shared" si="24"/>
        <v/>
      </c>
      <c r="X121" s="50" t="str">
        <f>IF(W121="","",SUMIF($B$4:$B$1002,B121,$W$4:$W$1000))</f>
        <v/>
      </c>
      <c r="Y121" s="43" t="str">
        <f t="shared" si="25"/>
        <v/>
      </c>
      <c r="Z121" s="49" t="str">
        <f t="shared" si="26"/>
        <v/>
      </c>
      <c r="AA121" s="48" t="str">
        <f t="shared" si="27"/>
        <v/>
      </c>
      <c r="AB121" s="49" t="str">
        <f t="shared" si="28"/>
        <v/>
      </c>
      <c r="AC121" s="50" t="str">
        <f>IF(AB121="","",SUMIF($B$4:$B$1002,B121,$AB$4:$AB$1000))</f>
        <v/>
      </c>
      <c r="AD121" s="69"/>
      <c r="AE121" s="56"/>
      <c r="AF121" s="52"/>
      <c r="AG121" s="51"/>
      <c r="AH121" s="70"/>
      <c r="AI121" s="58"/>
      <c r="AJ121" s="55"/>
      <c r="AK121" s="51"/>
      <c r="AL121" s="69"/>
      <c r="AM121" s="56"/>
      <c r="AN121" s="52"/>
      <c r="AO121" s="51"/>
      <c r="AP121" s="70"/>
      <c r="AQ121" s="58"/>
      <c r="AR121" s="55"/>
      <c r="AS121" s="51"/>
      <c r="AT121" s="69"/>
      <c r="AU121" s="56"/>
      <c r="AV121" s="52"/>
      <c r="AW121" s="51"/>
      <c r="BR121" s="34" t="str">
        <f>IF(E121="","",CONCATENATE(E121," ",F121," noches"))</f>
        <v/>
      </c>
      <c r="BS121" s="28" t="str">
        <f t="shared" ca="1" si="29"/>
        <v/>
      </c>
      <c r="BT121" s="28" t="str">
        <f t="shared" ca="1" si="30"/>
        <v/>
      </c>
    </row>
    <row r="122" spans="1:72" x14ac:dyDescent="0.2">
      <c r="A122" s="18" t="str" cm="1">
        <f t="array" aca="1" ref="A122" ca="1">IF(B122="","","Grupo N˚"&amp;SUMPRODUCT(($B$4:B122&lt;&gt;"")*($B$4:B122&lt;&gt;OFFSET($B$4,-1,0,ROWS($B$4:B122),1))))</f>
        <v/>
      </c>
      <c r="B122" s="31"/>
      <c r="C122" s="31"/>
      <c r="D122" s="31"/>
      <c r="E122" s="31"/>
      <c r="F122" s="32"/>
      <c r="G122" s="33"/>
      <c r="H122" s="33"/>
      <c r="I122" s="20" t="str">
        <f t="shared" si="19"/>
        <v/>
      </c>
      <c r="J122" s="21" t="str">
        <f>IFERROR(VLOOKUP(BR122,Pricing!$D$3:$E$58,2,FALSE),"")</f>
        <v/>
      </c>
      <c r="K122" s="32"/>
      <c r="L122" s="32"/>
      <c r="M122" s="32"/>
      <c r="N122" s="36" t="str" cm="1">
        <f t="array" ref="N122">IFERROR(_xlfn.IFS((AND(K122="SI",M122="$")),J122*0.2,AND(K122="SI",M122="%"),20),"")</f>
        <v/>
      </c>
      <c r="O122" s="29" t="str">
        <f t="shared" si="20"/>
        <v/>
      </c>
      <c r="P122" s="21" t="str">
        <f t="shared" si="21"/>
        <v/>
      </c>
      <c r="Q122" s="21" t="str">
        <f t="shared" si="22"/>
        <v/>
      </c>
      <c r="R122" s="21" t="str">
        <f t="shared" si="23"/>
        <v/>
      </c>
      <c r="S122" s="39"/>
      <c r="T122" s="43" t="str">
        <f t="shared" si="31"/>
        <v/>
      </c>
      <c r="U122" s="49" t="str">
        <f t="shared" si="32"/>
        <v/>
      </c>
      <c r="V122" s="48" t="str">
        <f t="shared" si="33"/>
        <v/>
      </c>
      <c r="W122" s="48" t="str">
        <f t="shared" si="24"/>
        <v/>
      </c>
      <c r="X122" s="50" t="str">
        <f>IF(W122="","",SUMIF($B$4:$B$1002,B122,$W$4:$W$1000))</f>
        <v/>
      </c>
      <c r="Y122" s="43" t="str">
        <f t="shared" si="25"/>
        <v/>
      </c>
      <c r="Z122" s="49" t="str">
        <f t="shared" si="26"/>
        <v/>
      </c>
      <c r="AA122" s="48" t="str">
        <f t="shared" si="27"/>
        <v/>
      </c>
      <c r="AB122" s="49" t="str">
        <f t="shared" si="28"/>
        <v/>
      </c>
      <c r="AC122" s="50" t="str">
        <f>IF(AB122="","",SUMIF($B$4:$B$1002,B122,$AB$4:$AB$1000))</f>
        <v/>
      </c>
      <c r="AD122" s="69"/>
      <c r="AE122" s="56"/>
      <c r="AF122" s="52"/>
      <c r="AG122" s="51"/>
      <c r="AH122" s="70"/>
      <c r="AI122" s="58"/>
      <c r="AJ122" s="55"/>
      <c r="AK122" s="51"/>
      <c r="AL122" s="69"/>
      <c r="AM122" s="56"/>
      <c r="AN122" s="52"/>
      <c r="AO122" s="51"/>
      <c r="AP122" s="70"/>
      <c r="AQ122" s="58"/>
      <c r="AR122" s="55"/>
      <c r="AS122" s="51"/>
      <c r="AT122" s="69"/>
      <c r="AU122" s="56"/>
      <c r="AV122" s="52"/>
      <c r="AW122" s="51"/>
      <c r="BR122" s="34" t="str">
        <f>IF(E122="","",CONCATENATE(E122," ",F122," noches"))</f>
        <v/>
      </c>
      <c r="BS122" s="28" t="str">
        <f t="shared" ca="1" si="29"/>
        <v/>
      </c>
      <c r="BT122" s="28" t="str">
        <f t="shared" ca="1" si="30"/>
        <v/>
      </c>
    </row>
    <row r="123" spans="1:72" x14ac:dyDescent="0.2">
      <c r="A123" s="18" t="str" cm="1">
        <f t="array" aca="1" ref="A123" ca="1">IF(B123="","","Grupo N˚"&amp;SUMPRODUCT(($B$4:B123&lt;&gt;"")*($B$4:B123&lt;&gt;OFFSET($B$4,-1,0,ROWS($B$4:B123),1))))</f>
        <v/>
      </c>
      <c r="B123" s="31"/>
      <c r="C123" s="31"/>
      <c r="D123" s="31"/>
      <c r="E123" s="31"/>
      <c r="F123" s="32"/>
      <c r="G123" s="33"/>
      <c r="H123" s="33"/>
      <c r="I123" s="20" t="str">
        <f t="shared" si="19"/>
        <v/>
      </c>
      <c r="J123" s="21" t="str">
        <f>IFERROR(VLOOKUP(BR123,Pricing!$D$3:$E$58,2,FALSE),"")</f>
        <v/>
      </c>
      <c r="K123" s="32"/>
      <c r="L123" s="32"/>
      <c r="M123" s="32"/>
      <c r="N123" s="36" t="str" cm="1">
        <f t="array" ref="N123">IFERROR(_xlfn.IFS((AND(K123="SI",M123="$")),J123*0.2,AND(K123="SI",M123="%"),20),"")</f>
        <v/>
      </c>
      <c r="O123" s="29" t="str">
        <f t="shared" si="20"/>
        <v/>
      </c>
      <c r="P123" s="21" t="str">
        <f t="shared" si="21"/>
        <v/>
      </c>
      <c r="Q123" s="21" t="str">
        <f t="shared" si="22"/>
        <v/>
      </c>
      <c r="R123" s="21" t="str">
        <f t="shared" si="23"/>
        <v/>
      </c>
      <c r="S123" s="39"/>
      <c r="T123" s="43" t="str">
        <f t="shared" si="31"/>
        <v/>
      </c>
      <c r="U123" s="49" t="str">
        <f t="shared" si="32"/>
        <v/>
      </c>
      <c r="V123" s="48" t="str">
        <f t="shared" si="33"/>
        <v/>
      </c>
      <c r="W123" s="48" t="str">
        <f t="shared" si="24"/>
        <v/>
      </c>
      <c r="X123" s="50" t="str">
        <f>IF(W123="","",SUMIF($B$4:$B$1002,B123,$W$4:$W$1000))</f>
        <v/>
      </c>
      <c r="Y123" s="43" t="str">
        <f t="shared" si="25"/>
        <v/>
      </c>
      <c r="Z123" s="49" t="str">
        <f t="shared" si="26"/>
        <v/>
      </c>
      <c r="AA123" s="48" t="str">
        <f t="shared" si="27"/>
        <v/>
      </c>
      <c r="AB123" s="49" t="str">
        <f t="shared" si="28"/>
        <v/>
      </c>
      <c r="AC123" s="50" t="str">
        <f>IF(AB123="","",SUMIF($B$4:$B$1002,B123,$AB$4:$AB$1000))</f>
        <v/>
      </c>
      <c r="AD123" s="69"/>
      <c r="AE123" s="56"/>
      <c r="AF123" s="52"/>
      <c r="AG123" s="51"/>
      <c r="AH123" s="70"/>
      <c r="AI123" s="58"/>
      <c r="AJ123" s="55"/>
      <c r="AK123" s="51"/>
      <c r="AL123" s="69"/>
      <c r="AM123" s="56"/>
      <c r="AN123" s="52"/>
      <c r="AO123" s="51"/>
      <c r="AP123" s="70"/>
      <c r="AQ123" s="58"/>
      <c r="AR123" s="55"/>
      <c r="AS123" s="51"/>
      <c r="AT123" s="69"/>
      <c r="AU123" s="56"/>
      <c r="AV123" s="52"/>
      <c r="AW123" s="51"/>
      <c r="BR123" s="34" t="str">
        <f>IF(E123="","",CONCATENATE(E123," ",F123," noches"))</f>
        <v/>
      </c>
      <c r="BS123" s="28" t="str">
        <f t="shared" ca="1" si="29"/>
        <v/>
      </c>
      <c r="BT123" s="28" t="str">
        <f t="shared" ca="1" si="30"/>
        <v/>
      </c>
    </row>
    <row r="124" spans="1:72" x14ac:dyDescent="0.2">
      <c r="A124" s="18" t="str" cm="1">
        <f t="array" aca="1" ref="A124" ca="1">IF(B124="","","Grupo N˚"&amp;SUMPRODUCT(($B$4:B124&lt;&gt;"")*($B$4:B124&lt;&gt;OFFSET($B$4,-1,0,ROWS($B$4:B124),1))))</f>
        <v/>
      </c>
      <c r="B124" s="31"/>
      <c r="C124" s="31"/>
      <c r="D124" s="31"/>
      <c r="E124" s="31"/>
      <c r="F124" s="32"/>
      <c r="G124" s="33"/>
      <c r="H124" s="33"/>
      <c r="I124" s="20" t="str">
        <f t="shared" si="19"/>
        <v/>
      </c>
      <c r="J124" s="21" t="str">
        <f>IFERROR(VLOOKUP(BR124,Pricing!$D$3:$E$58,2,FALSE),"")</f>
        <v/>
      </c>
      <c r="K124" s="32"/>
      <c r="L124" s="32"/>
      <c r="M124" s="32"/>
      <c r="N124" s="36" t="str" cm="1">
        <f t="array" ref="N124">IFERROR(_xlfn.IFS((AND(K124="SI",M124="$")),J124*0.2,AND(K124="SI",M124="%"),20),"")</f>
        <v/>
      </c>
      <c r="O124" s="29" t="str">
        <f t="shared" si="20"/>
        <v/>
      </c>
      <c r="P124" s="21" t="str">
        <f t="shared" si="21"/>
        <v/>
      </c>
      <c r="Q124" s="21" t="str">
        <f t="shared" si="22"/>
        <v/>
      </c>
      <c r="R124" s="21" t="str">
        <f t="shared" si="23"/>
        <v/>
      </c>
      <c r="S124" s="39"/>
      <c r="T124" s="43" t="str">
        <f t="shared" si="31"/>
        <v/>
      </c>
      <c r="U124" s="49" t="str">
        <f t="shared" si="32"/>
        <v/>
      </c>
      <c r="V124" s="48" t="str">
        <f t="shared" si="33"/>
        <v/>
      </c>
      <c r="W124" s="48" t="str">
        <f t="shared" si="24"/>
        <v/>
      </c>
      <c r="X124" s="50" t="str">
        <f>IF(W124="","",SUMIF($B$4:$B$1002,B124,$W$4:$W$1000))</f>
        <v/>
      </c>
      <c r="Y124" s="43" t="str">
        <f t="shared" si="25"/>
        <v/>
      </c>
      <c r="Z124" s="49" t="str">
        <f t="shared" si="26"/>
        <v/>
      </c>
      <c r="AA124" s="48" t="str">
        <f t="shared" si="27"/>
        <v/>
      </c>
      <c r="AB124" s="49" t="str">
        <f t="shared" si="28"/>
        <v/>
      </c>
      <c r="AC124" s="50" t="str">
        <f>IF(AB124="","",SUMIF($B$4:$B$1002,B124,$AB$4:$AB$1000))</f>
        <v/>
      </c>
      <c r="AD124" s="69"/>
      <c r="AE124" s="56"/>
      <c r="AF124" s="52"/>
      <c r="AG124" s="51"/>
      <c r="AH124" s="70"/>
      <c r="AI124" s="58"/>
      <c r="AJ124" s="55"/>
      <c r="AK124" s="51"/>
      <c r="AL124" s="69"/>
      <c r="AM124" s="56"/>
      <c r="AN124" s="52"/>
      <c r="AO124" s="51"/>
      <c r="AP124" s="70"/>
      <c r="AQ124" s="58"/>
      <c r="AR124" s="55"/>
      <c r="AS124" s="51"/>
      <c r="AT124" s="69"/>
      <c r="AU124" s="56"/>
      <c r="AV124" s="52"/>
      <c r="AW124" s="51"/>
      <c r="BR124" s="34" t="str">
        <f>IF(E124="","",CONCATENATE(E124," ",F124," noches"))</f>
        <v/>
      </c>
      <c r="BS124" s="28" t="str">
        <f t="shared" ca="1" si="29"/>
        <v/>
      </c>
      <c r="BT124" s="28" t="str">
        <f t="shared" ca="1" si="30"/>
        <v/>
      </c>
    </row>
    <row r="125" spans="1:72" x14ac:dyDescent="0.2">
      <c r="A125" s="18" t="str" cm="1">
        <f t="array" aca="1" ref="A125" ca="1">IF(B125="","","Grupo N˚"&amp;SUMPRODUCT(($B$4:B125&lt;&gt;"")*($B$4:B125&lt;&gt;OFFSET($B$4,-1,0,ROWS($B$4:B125),1))))</f>
        <v/>
      </c>
      <c r="B125" s="31"/>
      <c r="C125" s="31"/>
      <c r="D125" s="31"/>
      <c r="E125" s="31"/>
      <c r="F125" s="32"/>
      <c r="G125" s="33"/>
      <c r="H125" s="33"/>
      <c r="I125" s="20" t="str">
        <f t="shared" si="19"/>
        <v/>
      </c>
      <c r="J125" s="21" t="str">
        <f>IFERROR(VLOOKUP(BR125,Pricing!$D$3:$E$58,2,FALSE),"")</f>
        <v/>
      </c>
      <c r="K125" s="32"/>
      <c r="L125" s="32"/>
      <c r="M125" s="32"/>
      <c r="N125" s="36" t="str" cm="1">
        <f t="array" ref="N125">IFERROR(_xlfn.IFS((AND(K125="SI",M125="$")),J125*0.2,AND(K125="SI",M125="%"),20),"")</f>
        <v/>
      </c>
      <c r="O125" s="29" t="str">
        <f t="shared" si="20"/>
        <v/>
      </c>
      <c r="P125" s="21" t="str">
        <f t="shared" si="21"/>
        <v/>
      </c>
      <c r="Q125" s="21" t="str">
        <f t="shared" si="22"/>
        <v/>
      </c>
      <c r="R125" s="21" t="str">
        <f t="shared" si="23"/>
        <v/>
      </c>
      <c r="S125" s="39"/>
      <c r="T125" s="43" t="str">
        <f t="shared" si="31"/>
        <v/>
      </c>
      <c r="U125" s="49" t="str">
        <f t="shared" si="32"/>
        <v/>
      </c>
      <c r="V125" s="48" t="str">
        <f t="shared" si="33"/>
        <v/>
      </c>
      <c r="W125" s="48" t="str">
        <f t="shared" si="24"/>
        <v/>
      </c>
      <c r="X125" s="50" t="str">
        <f>IF(W125="","",SUMIF($B$4:$B$1002,B125,$W$4:$W$1000))</f>
        <v/>
      </c>
      <c r="Y125" s="43" t="str">
        <f t="shared" si="25"/>
        <v/>
      </c>
      <c r="Z125" s="49" t="str">
        <f t="shared" si="26"/>
        <v/>
      </c>
      <c r="AA125" s="48" t="str">
        <f t="shared" si="27"/>
        <v/>
      </c>
      <c r="AB125" s="49" t="str">
        <f t="shared" si="28"/>
        <v/>
      </c>
      <c r="AC125" s="50" t="str">
        <f>IF(AB125="","",SUMIF($B$4:$B$1002,B125,$AB$4:$AB$1000))</f>
        <v/>
      </c>
      <c r="AD125" s="69"/>
      <c r="AE125" s="56"/>
      <c r="AF125" s="52"/>
      <c r="AG125" s="51"/>
      <c r="AH125" s="70"/>
      <c r="AI125" s="58"/>
      <c r="AJ125" s="55"/>
      <c r="AK125" s="51"/>
      <c r="AL125" s="69"/>
      <c r="AM125" s="56"/>
      <c r="AN125" s="52"/>
      <c r="AO125" s="51"/>
      <c r="AP125" s="70"/>
      <c r="AQ125" s="58"/>
      <c r="AR125" s="55"/>
      <c r="AS125" s="51"/>
      <c r="AT125" s="69"/>
      <c r="AU125" s="56"/>
      <c r="AV125" s="52"/>
      <c r="AW125" s="51"/>
      <c r="BR125" s="34" t="str">
        <f>IF(E125="","",CONCATENATE(E125," ",F125," noches"))</f>
        <v/>
      </c>
      <c r="BS125" s="28" t="str">
        <f t="shared" ca="1" si="29"/>
        <v/>
      </c>
      <c r="BT125" s="28" t="str">
        <f t="shared" ca="1" si="30"/>
        <v/>
      </c>
    </row>
    <row r="126" spans="1:72" x14ac:dyDescent="0.2">
      <c r="A126" s="18" t="str" cm="1">
        <f t="array" aca="1" ref="A126" ca="1">IF(B126="","","Grupo N˚"&amp;SUMPRODUCT(($B$4:B126&lt;&gt;"")*($B$4:B126&lt;&gt;OFFSET($B$4,-1,0,ROWS($B$4:B126),1))))</f>
        <v/>
      </c>
      <c r="B126" s="31"/>
      <c r="C126" s="31"/>
      <c r="D126" s="31"/>
      <c r="E126" s="31"/>
      <c r="F126" s="32"/>
      <c r="G126" s="33"/>
      <c r="H126" s="33"/>
      <c r="I126" s="20" t="str">
        <f t="shared" si="19"/>
        <v/>
      </c>
      <c r="J126" s="21" t="str">
        <f>IFERROR(VLOOKUP(BR126,Pricing!$D$3:$E$58,2,FALSE),"")</f>
        <v/>
      </c>
      <c r="K126" s="32"/>
      <c r="L126" s="32"/>
      <c r="M126" s="32"/>
      <c r="N126" s="36" t="str" cm="1">
        <f t="array" ref="N126">IFERROR(_xlfn.IFS((AND(K126="SI",M126="$")),J126*0.2,AND(K126="SI",M126="%"),20),"")</f>
        <v/>
      </c>
      <c r="O126" s="29" t="str">
        <f t="shared" si="20"/>
        <v/>
      </c>
      <c r="P126" s="21" t="str">
        <f t="shared" si="21"/>
        <v/>
      </c>
      <c r="Q126" s="21" t="str">
        <f t="shared" si="22"/>
        <v/>
      </c>
      <c r="R126" s="21" t="str">
        <f t="shared" si="23"/>
        <v/>
      </c>
      <c r="S126" s="39"/>
      <c r="T126" s="43" t="str">
        <f t="shared" si="31"/>
        <v/>
      </c>
      <c r="U126" s="49" t="str">
        <f t="shared" si="32"/>
        <v/>
      </c>
      <c r="V126" s="48" t="str">
        <f t="shared" si="33"/>
        <v/>
      </c>
      <c r="W126" s="48" t="str">
        <f t="shared" si="24"/>
        <v/>
      </c>
      <c r="X126" s="50" t="str">
        <f>IF(W126="","",SUMIF($B$4:$B$1002,B126,$W$4:$W$1000))</f>
        <v/>
      </c>
      <c r="Y126" s="43" t="str">
        <f t="shared" si="25"/>
        <v/>
      </c>
      <c r="Z126" s="49" t="str">
        <f t="shared" si="26"/>
        <v/>
      </c>
      <c r="AA126" s="48" t="str">
        <f t="shared" si="27"/>
        <v/>
      </c>
      <c r="AB126" s="49" t="str">
        <f t="shared" si="28"/>
        <v/>
      </c>
      <c r="AC126" s="50" t="str">
        <f>IF(AB126="","",SUMIF($B$4:$B$1002,B126,$AB$4:$AB$1000))</f>
        <v/>
      </c>
      <c r="AD126" s="69"/>
      <c r="AE126" s="56"/>
      <c r="AF126" s="52"/>
      <c r="AG126" s="51"/>
      <c r="AH126" s="70"/>
      <c r="AI126" s="58"/>
      <c r="AJ126" s="55"/>
      <c r="AK126" s="51"/>
      <c r="AL126" s="69"/>
      <c r="AM126" s="56"/>
      <c r="AN126" s="52"/>
      <c r="AO126" s="51"/>
      <c r="AP126" s="70"/>
      <c r="AQ126" s="58"/>
      <c r="AR126" s="55"/>
      <c r="AS126" s="51"/>
      <c r="AT126" s="69"/>
      <c r="AU126" s="56"/>
      <c r="AV126" s="52"/>
      <c r="AW126" s="51"/>
      <c r="BR126" s="34" t="str">
        <f>IF(E126="","",CONCATENATE(E126," ",F126," noches"))</f>
        <v/>
      </c>
      <c r="BS126" s="28" t="str">
        <f t="shared" ca="1" si="29"/>
        <v/>
      </c>
      <c r="BT126" s="28" t="str">
        <f t="shared" ca="1" si="30"/>
        <v/>
      </c>
    </row>
    <row r="127" spans="1:72" x14ac:dyDescent="0.2">
      <c r="A127" s="18" t="str" cm="1">
        <f t="array" aca="1" ref="A127" ca="1">IF(B127="","","Grupo N˚"&amp;SUMPRODUCT(($B$4:B127&lt;&gt;"")*($B$4:B127&lt;&gt;OFFSET($B$4,-1,0,ROWS($B$4:B127),1))))</f>
        <v/>
      </c>
      <c r="B127" s="31"/>
      <c r="C127" s="31"/>
      <c r="D127" s="31"/>
      <c r="E127" s="31"/>
      <c r="F127" s="32"/>
      <c r="G127" s="33"/>
      <c r="H127" s="33"/>
      <c r="I127" s="20" t="str">
        <f t="shared" si="19"/>
        <v/>
      </c>
      <c r="J127" s="21" t="str">
        <f>IFERROR(VLOOKUP(BR127,Pricing!$D$3:$E$58,2,FALSE),"")</f>
        <v/>
      </c>
      <c r="K127" s="32"/>
      <c r="L127" s="32"/>
      <c r="M127" s="32"/>
      <c r="N127" s="36" t="str" cm="1">
        <f t="array" ref="N127">IFERROR(_xlfn.IFS((AND(K127="SI",M127="$")),J127*0.2,AND(K127="SI",M127="%"),20),"")</f>
        <v/>
      </c>
      <c r="O127" s="29" t="str">
        <f t="shared" si="20"/>
        <v/>
      </c>
      <c r="P127" s="21" t="str">
        <f t="shared" si="21"/>
        <v/>
      </c>
      <c r="Q127" s="21" t="str">
        <f t="shared" si="22"/>
        <v/>
      </c>
      <c r="R127" s="21" t="str">
        <f t="shared" si="23"/>
        <v/>
      </c>
      <c r="S127" s="39"/>
      <c r="T127" s="43" t="str">
        <f t="shared" si="31"/>
        <v/>
      </c>
      <c r="U127" s="49" t="str">
        <f t="shared" si="32"/>
        <v/>
      </c>
      <c r="V127" s="48" t="str">
        <f t="shared" si="33"/>
        <v/>
      </c>
      <c r="W127" s="48" t="str">
        <f t="shared" si="24"/>
        <v/>
      </c>
      <c r="X127" s="50" t="str">
        <f>IF(W127="","",SUMIF($B$4:$B$1002,B127,$W$4:$W$1000))</f>
        <v/>
      </c>
      <c r="Y127" s="43" t="str">
        <f t="shared" si="25"/>
        <v/>
      </c>
      <c r="Z127" s="49" t="str">
        <f t="shared" si="26"/>
        <v/>
      </c>
      <c r="AA127" s="48" t="str">
        <f t="shared" si="27"/>
        <v/>
      </c>
      <c r="AB127" s="49" t="str">
        <f t="shared" si="28"/>
        <v/>
      </c>
      <c r="AC127" s="50" t="str">
        <f>IF(AB127="","",SUMIF($B$4:$B$1002,B127,$AB$4:$AB$1000))</f>
        <v/>
      </c>
      <c r="AD127" s="69"/>
      <c r="AE127" s="56"/>
      <c r="AF127" s="52"/>
      <c r="AG127" s="51"/>
      <c r="AH127" s="70"/>
      <c r="AI127" s="58"/>
      <c r="AJ127" s="55"/>
      <c r="AK127" s="51"/>
      <c r="AL127" s="69"/>
      <c r="AM127" s="56"/>
      <c r="AN127" s="52"/>
      <c r="AO127" s="51"/>
      <c r="AP127" s="70"/>
      <c r="AQ127" s="58"/>
      <c r="AR127" s="55"/>
      <c r="AS127" s="51"/>
      <c r="AT127" s="69"/>
      <c r="AU127" s="56"/>
      <c r="AV127" s="52"/>
      <c r="AW127" s="51"/>
      <c r="BR127" s="34" t="str">
        <f>IF(E127="","",CONCATENATE(E127," ",F127," noches"))</f>
        <v/>
      </c>
      <c r="BS127" s="28" t="str">
        <f t="shared" ca="1" si="29"/>
        <v/>
      </c>
      <c r="BT127" s="28" t="str">
        <f t="shared" ca="1" si="30"/>
        <v/>
      </c>
    </row>
    <row r="128" spans="1:72" x14ac:dyDescent="0.2">
      <c r="A128" s="18" t="str" cm="1">
        <f t="array" aca="1" ref="A128" ca="1">IF(B128="","","Grupo N˚"&amp;SUMPRODUCT(($B$4:B128&lt;&gt;"")*($B$4:B128&lt;&gt;OFFSET($B$4,-1,0,ROWS($B$4:B128),1))))</f>
        <v/>
      </c>
      <c r="B128" s="31"/>
      <c r="C128" s="31"/>
      <c r="D128" s="31"/>
      <c r="E128" s="31"/>
      <c r="F128" s="32"/>
      <c r="G128" s="33"/>
      <c r="H128" s="33"/>
      <c r="I128" s="20" t="str">
        <f t="shared" si="19"/>
        <v/>
      </c>
      <c r="J128" s="21" t="str">
        <f>IFERROR(VLOOKUP(BR128,Pricing!$D$3:$E$58,2,FALSE),"")</f>
        <v/>
      </c>
      <c r="K128" s="32"/>
      <c r="L128" s="32"/>
      <c r="M128" s="32"/>
      <c r="N128" s="36" t="str" cm="1">
        <f t="array" ref="N128">IFERROR(_xlfn.IFS((AND(K128="SI",M128="$")),J128*0.2,AND(K128="SI",M128="%"),20),"")</f>
        <v/>
      </c>
      <c r="O128" s="29" t="str">
        <f t="shared" si="20"/>
        <v/>
      </c>
      <c r="P128" s="21" t="str">
        <f t="shared" si="21"/>
        <v/>
      </c>
      <c r="Q128" s="21" t="str">
        <f t="shared" si="22"/>
        <v/>
      </c>
      <c r="R128" s="21" t="str">
        <f t="shared" si="23"/>
        <v/>
      </c>
      <c r="S128" s="39"/>
      <c r="T128" s="43" t="str">
        <f t="shared" si="31"/>
        <v/>
      </c>
      <c r="U128" s="49" t="str">
        <f t="shared" si="32"/>
        <v/>
      </c>
      <c r="V128" s="48" t="str">
        <f t="shared" si="33"/>
        <v/>
      </c>
      <c r="W128" s="48" t="str">
        <f t="shared" si="24"/>
        <v/>
      </c>
      <c r="X128" s="50" t="str">
        <f>IF(W128="","",SUMIF($B$4:$B$1002,B128,$W$4:$W$1000))</f>
        <v/>
      </c>
      <c r="Y128" s="43" t="str">
        <f t="shared" si="25"/>
        <v/>
      </c>
      <c r="Z128" s="49" t="str">
        <f t="shared" si="26"/>
        <v/>
      </c>
      <c r="AA128" s="48" t="str">
        <f t="shared" si="27"/>
        <v/>
      </c>
      <c r="AB128" s="49" t="str">
        <f t="shared" si="28"/>
        <v/>
      </c>
      <c r="AC128" s="50" t="str">
        <f>IF(AB128="","",SUMIF($B$4:$B$1002,B128,$AB$4:$AB$1000))</f>
        <v/>
      </c>
      <c r="AD128" s="69"/>
      <c r="AE128" s="56"/>
      <c r="AF128" s="52"/>
      <c r="AG128" s="51"/>
      <c r="AH128" s="70"/>
      <c r="AI128" s="58"/>
      <c r="AJ128" s="55"/>
      <c r="AK128" s="51"/>
      <c r="AL128" s="69"/>
      <c r="AM128" s="56"/>
      <c r="AN128" s="52"/>
      <c r="AO128" s="51"/>
      <c r="AP128" s="70"/>
      <c r="AQ128" s="58"/>
      <c r="AR128" s="55"/>
      <c r="AS128" s="51"/>
      <c r="AT128" s="69"/>
      <c r="AU128" s="56"/>
      <c r="AV128" s="52"/>
      <c r="AW128" s="51"/>
      <c r="BR128" s="34" t="str">
        <f>IF(E128="","",CONCATENATE(E128," ",F128," noches"))</f>
        <v/>
      </c>
      <c r="BS128" s="28" t="str">
        <f t="shared" ca="1" si="29"/>
        <v/>
      </c>
      <c r="BT128" s="28" t="str">
        <f t="shared" ca="1" si="30"/>
        <v/>
      </c>
    </row>
    <row r="129" spans="1:72" x14ac:dyDescent="0.2">
      <c r="A129" s="18" t="str" cm="1">
        <f t="array" aca="1" ref="A129" ca="1">IF(B129="","","Grupo N˚"&amp;SUMPRODUCT(($B$4:B129&lt;&gt;"")*($B$4:B129&lt;&gt;OFFSET($B$4,-1,0,ROWS($B$4:B129),1))))</f>
        <v/>
      </c>
      <c r="B129" s="31"/>
      <c r="C129" s="31"/>
      <c r="D129" s="31"/>
      <c r="E129" s="31"/>
      <c r="F129" s="32"/>
      <c r="G129" s="33"/>
      <c r="H129" s="33"/>
      <c r="I129" s="20" t="str">
        <f t="shared" si="19"/>
        <v/>
      </c>
      <c r="J129" s="21" t="str">
        <f>IFERROR(VLOOKUP(BR129,Pricing!$D$3:$E$58,2,FALSE),"")</f>
        <v/>
      </c>
      <c r="K129" s="32"/>
      <c r="L129" s="32"/>
      <c r="M129" s="32"/>
      <c r="N129" s="36" t="str" cm="1">
        <f t="array" ref="N129">IFERROR(_xlfn.IFS((AND(K129="SI",M129="$")),J129*0.2,AND(K129="SI",M129="%"),20),"")</f>
        <v/>
      </c>
      <c r="O129" s="29" t="str">
        <f t="shared" si="20"/>
        <v/>
      </c>
      <c r="P129" s="21" t="str">
        <f t="shared" si="21"/>
        <v/>
      </c>
      <c r="Q129" s="21" t="str">
        <f t="shared" si="22"/>
        <v/>
      </c>
      <c r="R129" s="21" t="str">
        <f t="shared" si="23"/>
        <v/>
      </c>
      <c r="S129" s="39"/>
      <c r="T129" s="43" t="str">
        <f t="shared" si="31"/>
        <v/>
      </c>
      <c r="U129" s="49" t="str">
        <f t="shared" si="32"/>
        <v/>
      </c>
      <c r="V129" s="48" t="str">
        <f t="shared" si="33"/>
        <v/>
      </c>
      <c r="W129" s="48" t="str">
        <f t="shared" si="24"/>
        <v/>
      </c>
      <c r="X129" s="50" t="str">
        <f>IF(W129="","",SUMIF($B$4:$B$1002,B129,$W$4:$W$1000))</f>
        <v/>
      </c>
      <c r="Y129" s="43" t="str">
        <f t="shared" si="25"/>
        <v/>
      </c>
      <c r="Z129" s="49" t="str">
        <f t="shared" si="26"/>
        <v/>
      </c>
      <c r="AA129" s="48" t="str">
        <f t="shared" si="27"/>
        <v/>
      </c>
      <c r="AB129" s="49" t="str">
        <f t="shared" si="28"/>
        <v/>
      </c>
      <c r="AC129" s="50" t="str">
        <f>IF(AB129="","",SUMIF($B$4:$B$1002,B129,$AB$4:$AB$1000))</f>
        <v/>
      </c>
      <c r="AD129" s="69"/>
      <c r="AE129" s="56"/>
      <c r="AF129" s="52"/>
      <c r="AG129" s="51"/>
      <c r="AH129" s="70"/>
      <c r="AI129" s="58"/>
      <c r="AJ129" s="55"/>
      <c r="AK129" s="51"/>
      <c r="AL129" s="69"/>
      <c r="AM129" s="56"/>
      <c r="AN129" s="52"/>
      <c r="AO129" s="51"/>
      <c r="AP129" s="70"/>
      <c r="AQ129" s="58"/>
      <c r="AR129" s="55"/>
      <c r="AS129" s="51"/>
      <c r="AT129" s="69"/>
      <c r="AU129" s="56"/>
      <c r="AV129" s="52"/>
      <c r="AW129" s="51"/>
      <c r="BR129" s="34" t="str">
        <f>IF(E129="","",CONCATENATE(E129," ",F129," noches"))</f>
        <v/>
      </c>
      <c r="BS129" s="28" t="str">
        <f t="shared" ca="1" si="29"/>
        <v/>
      </c>
      <c r="BT129" s="28" t="str">
        <f t="shared" ca="1" si="30"/>
        <v/>
      </c>
    </row>
    <row r="130" spans="1:72" x14ac:dyDescent="0.2">
      <c r="A130" s="18" t="str" cm="1">
        <f t="array" aca="1" ref="A130" ca="1">IF(B130="","","Grupo N˚"&amp;SUMPRODUCT(($B$4:B130&lt;&gt;"")*($B$4:B130&lt;&gt;OFFSET($B$4,-1,0,ROWS($B$4:B130),1))))</f>
        <v/>
      </c>
      <c r="B130" s="31"/>
      <c r="C130" s="31"/>
      <c r="D130" s="31"/>
      <c r="E130" s="31"/>
      <c r="F130" s="32"/>
      <c r="G130" s="33"/>
      <c r="H130" s="33"/>
      <c r="I130" s="20" t="str">
        <f t="shared" si="19"/>
        <v/>
      </c>
      <c r="J130" s="21" t="str">
        <f>IFERROR(VLOOKUP(BR130,Pricing!$D$3:$E$58,2,FALSE),"")</f>
        <v/>
      </c>
      <c r="K130" s="32"/>
      <c r="L130" s="32"/>
      <c r="M130" s="32"/>
      <c r="N130" s="36" t="str" cm="1">
        <f t="array" ref="N130">IFERROR(_xlfn.IFS((AND(K130="SI",M130="$")),J130*0.2,AND(K130="SI",M130="%"),20),"")</f>
        <v/>
      </c>
      <c r="O130" s="29" t="str">
        <f t="shared" si="20"/>
        <v/>
      </c>
      <c r="P130" s="21" t="str">
        <f t="shared" si="21"/>
        <v/>
      </c>
      <c r="Q130" s="21" t="str">
        <f t="shared" si="22"/>
        <v/>
      </c>
      <c r="R130" s="21" t="str">
        <f t="shared" si="23"/>
        <v/>
      </c>
      <c r="S130" s="39"/>
      <c r="T130" s="43" t="str">
        <f t="shared" si="31"/>
        <v/>
      </c>
      <c r="U130" s="49" t="str">
        <f t="shared" si="32"/>
        <v/>
      </c>
      <c r="V130" s="48" t="str">
        <f t="shared" si="33"/>
        <v/>
      </c>
      <c r="W130" s="48" t="str">
        <f t="shared" si="24"/>
        <v/>
      </c>
      <c r="X130" s="50" t="str">
        <f>IF(W130="","",SUMIF($B$4:$B$1002,B130,$W$4:$W$1000))</f>
        <v/>
      </c>
      <c r="Y130" s="43" t="str">
        <f t="shared" si="25"/>
        <v/>
      </c>
      <c r="Z130" s="49" t="str">
        <f t="shared" si="26"/>
        <v/>
      </c>
      <c r="AA130" s="48" t="str">
        <f t="shared" si="27"/>
        <v/>
      </c>
      <c r="AB130" s="49" t="str">
        <f t="shared" si="28"/>
        <v/>
      </c>
      <c r="AC130" s="50" t="str">
        <f>IF(AB130="","",SUMIF($B$4:$B$1002,B130,$AB$4:$AB$1000))</f>
        <v/>
      </c>
      <c r="AD130" s="69"/>
      <c r="AE130" s="56"/>
      <c r="AF130" s="52"/>
      <c r="AG130" s="51"/>
      <c r="AH130" s="70"/>
      <c r="AI130" s="58"/>
      <c r="AJ130" s="55"/>
      <c r="AK130" s="51"/>
      <c r="AL130" s="69"/>
      <c r="AM130" s="56"/>
      <c r="AN130" s="52"/>
      <c r="AO130" s="51"/>
      <c r="AP130" s="70"/>
      <c r="AQ130" s="58"/>
      <c r="AR130" s="55"/>
      <c r="AS130" s="51"/>
      <c r="AT130" s="69"/>
      <c r="AU130" s="56"/>
      <c r="AV130" s="52"/>
      <c r="AW130" s="51"/>
      <c r="BR130" s="34" t="str">
        <f>IF(E130="","",CONCATENATE(E130," ",F130," noches"))</f>
        <v/>
      </c>
      <c r="BS130" s="28" t="str">
        <f t="shared" ca="1" si="29"/>
        <v/>
      </c>
      <c r="BT130" s="28" t="str">
        <f t="shared" ca="1" si="30"/>
        <v/>
      </c>
    </row>
    <row r="131" spans="1:72" x14ac:dyDescent="0.2">
      <c r="A131" s="18" t="str" cm="1">
        <f t="array" aca="1" ref="A131" ca="1">IF(B131="","","Grupo N˚"&amp;SUMPRODUCT(($B$4:B131&lt;&gt;"")*($B$4:B131&lt;&gt;OFFSET($B$4,-1,0,ROWS($B$4:B131),1))))</f>
        <v/>
      </c>
      <c r="B131" s="31"/>
      <c r="C131" s="31"/>
      <c r="D131" s="31"/>
      <c r="E131" s="31"/>
      <c r="F131" s="32"/>
      <c r="G131" s="33"/>
      <c r="H131" s="33"/>
      <c r="I131" s="20" t="str">
        <f t="shared" si="19"/>
        <v/>
      </c>
      <c r="J131" s="21" t="str">
        <f>IFERROR(VLOOKUP(BR131,Pricing!$D$3:$E$58,2,FALSE),"")</f>
        <v/>
      </c>
      <c r="K131" s="32"/>
      <c r="L131" s="32"/>
      <c r="M131" s="32"/>
      <c r="N131" s="36" t="str" cm="1">
        <f t="array" ref="N131">IFERROR(_xlfn.IFS((AND(K131="SI",M131="$")),J131*0.2,AND(K131="SI",M131="%"),20),"")</f>
        <v/>
      </c>
      <c r="O131" s="29" t="str">
        <f t="shared" si="20"/>
        <v/>
      </c>
      <c r="P131" s="21" t="str">
        <f t="shared" si="21"/>
        <v/>
      </c>
      <c r="Q131" s="21" t="str">
        <f t="shared" si="22"/>
        <v/>
      </c>
      <c r="R131" s="21" t="str">
        <f t="shared" si="23"/>
        <v/>
      </c>
      <c r="S131" s="39"/>
      <c r="T131" s="43" t="str">
        <f t="shared" si="31"/>
        <v/>
      </c>
      <c r="U131" s="49" t="str">
        <f t="shared" si="32"/>
        <v/>
      </c>
      <c r="V131" s="48" t="str">
        <f t="shared" si="33"/>
        <v/>
      </c>
      <c r="W131" s="48" t="str">
        <f t="shared" si="24"/>
        <v/>
      </c>
      <c r="X131" s="50" t="str">
        <f>IF(W131="","",SUMIF($B$4:$B$1002,B131,$W$4:$W$1000))</f>
        <v/>
      </c>
      <c r="Y131" s="43" t="str">
        <f t="shared" si="25"/>
        <v/>
      </c>
      <c r="Z131" s="49" t="str">
        <f t="shared" si="26"/>
        <v/>
      </c>
      <c r="AA131" s="48" t="str">
        <f t="shared" si="27"/>
        <v/>
      </c>
      <c r="AB131" s="49" t="str">
        <f t="shared" si="28"/>
        <v/>
      </c>
      <c r="AC131" s="50" t="str">
        <f>IF(AB131="","",SUMIF($B$4:$B$1002,B131,$AB$4:$AB$1000))</f>
        <v/>
      </c>
      <c r="AD131" s="69"/>
      <c r="AE131" s="56"/>
      <c r="AF131" s="52"/>
      <c r="AG131" s="51"/>
      <c r="AH131" s="70"/>
      <c r="AI131" s="58"/>
      <c r="AJ131" s="55"/>
      <c r="AK131" s="51"/>
      <c r="AL131" s="69"/>
      <c r="AM131" s="56"/>
      <c r="AN131" s="52"/>
      <c r="AO131" s="51"/>
      <c r="AP131" s="70"/>
      <c r="AQ131" s="58"/>
      <c r="AR131" s="55"/>
      <c r="AS131" s="51"/>
      <c r="AT131" s="69"/>
      <c r="AU131" s="56"/>
      <c r="AV131" s="52"/>
      <c r="AW131" s="51"/>
      <c r="BR131" s="34" t="str">
        <f>IF(E131="","",CONCATENATE(E131," ",F131," noches"))</f>
        <v/>
      </c>
      <c r="BS131" s="28" t="str">
        <f t="shared" ca="1" si="29"/>
        <v/>
      </c>
      <c r="BT131" s="28" t="str">
        <f t="shared" ca="1" si="30"/>
        <v/>
      </c>
    </row>
    <row r="132" spans="1:72" x14ac:dyDescent="0.2">
      <c r="A132" s="18" t="str" cm="1">
        <f t="array" aca="1" ref="A132" ca="1">IF(B132="","","Grupo N˚"&amp;SUMPRODUCT(($B$4:B132&lt;&gt;"")*($B$4:B132&lt;&gt;OFFSET($B$4,-1,0,ROWS($B$4:B132),1))))</f>
        <v/>
      </c>
      <c r="B132" s="31"/>
      <c r="C132" s="31"/>
      <c r="D132" s="31"/>
      <c r="E132" s="31"/>
      <c r="F132" s="32"/>
      <c r="G132" s="33"/>
      <c r="H132" s="33"/>
      <c r="I132" s="20" t="str">
        <f t="shared" si="19"/>
        <v/>
      </c>
      <c r="J132" s="21" t="str">
        <f>IFERROR(VLOOKUP(BR132,Pricing!$D$3:$E$58,2,FALSE),"")</f>
        <v/>
      </c>
      <c r="K132" s="32"/>
      <c r="L132" s="32"/>
      <c r="M132" s="32"/>
      <c r="N132" s="36" t="str" cm="1">
        <f t="array" ref="N132">IFERROR(_xlfn.IFS((AND(K132="SI",M132="$")),J132*0.2,AND(K132="SI",M132="%"),20),"")</f>
        <v/>
      </c>
      <c r="O132" s="29" t="str">
        <f t="shared" si="20"/>
        <v/>
      </c>
      <c r="P132" s="21" t="str">
        <f t="shared" si="21"/>
        <v/>
      </c>
      <c r="Q132" s="21" t="str">
        <f t="shared" si="22"/>
        <v/>
      </c>
      <c r="R132" s="21" t="str">
        <f t="shared" si="23"/>
        <v/>
      </c>
      <c r="S132" s="39"/>
      <c r="T132" s="43" t="str">
        <f t="shared" si="31"/>
        <v/>
      </c>
      <c r="U132" s="49" t="str">
        <f t="shared" si="32"/>
        <v/>
      </c>
      <c r="V132" s="48" t="str">
        <f t="shared" si="33"/>
        <v/>
      </c>
      <c r="W132" s="48" t="str">
        <f t="shared" si="24"/>
        <v/>
      </c>
      <c r="X132" s="50" t="str">
        <f>IF(W132="","",SUMIF($B$4:$B$1002,B132,$W$4:$W$1000))</f>
        <v/>
      </c>
      <c r="Y132" s="43" t="str">
        <f t="shared" si="25"/>
        <v/>
      </c>
      <c r="Z132" s="49" t="str">
        <f t="shared" si="26"/>
        <v/>
      </c>
      <c r="AA132" s="48" t="str">
        <f t="shared" si="27"/>
        <v/>
      </c>
      <c r="AB132" s="49" t="str">
        <f t="shared" si="28"/>
        <v/>
      </c>
      <c r="AC132" s="50" t="str">
        <f>IF(AB132="","",SUMIF($B$4:$B$1002,B132,$AB$4:$AB$1000))</f>
        <v/>
      </c>
      <c r="AD132" s="69"/>
      <c r="AE132" s="56"/>
      <c r="AF132" s="52"/>
      <c r="AG132" s="51"/>
      <c r="AH132" s="70"/>
      <c r="AI132" s="58"/>
      <c r="AJ132" s="55"/>
      <c r="AK132" s="51"/>
      <c r="AL132" s="69"/>
      <c r="AM132" s="56"/>
      <c r="AN132" s="52"/>
      <c r="AO132" s="51"/>
      <c r="AP132" s="70"/>
      <c r="AQ132" s="58"/>
      <c r="AR132" s="55"/>
      <c r="AS132" s="51"/>
      <c r="AT132" s="69"/>
      <c r="AU132" s="56"/>
      <c r="AV132" s="52"/>
      <c r="AW132" s="51"/>
      <c r="BR132" s="34" t="str">
        <f>IF(E132="","",CONCATENATE(E132," ",F132," noches"))</f>
        <v/>
      </c>
      <c r="BS132" s="28" t="str">
        <f t="shared" ca="1" si="29"/>
        <v/>
      </c>
      <c r="BT132" s="28" t="str">
        <f t="shared" ca="1" si="30"/>
        <v/>
      </c>
    </row>
    <row r="133" spans="1:72" x14ac:dyDescent="0.2">
      <c r="A133" s="18" t="str" cm="1">
        <f t="array" aca="1" ref="A133" ca="1">IF(B133="","","Grupo N˚"&amp;SUMPRODUCT(($B$4:B133&lt;&gt;"")*($B$4:B133&lt;&gt;OFFSET($B$4,-1,0,ROWS($B$4:B133),1))))</f>
        <v/>
      </c>
      <c r="B133" s="31"/>
      <c r="C133" s="31"/>
      <c r="D133" s="31"/>
      <c r="E133" s="31"/>
      <c r="F133" s="32"/>
      <c r="G133" s="33"/>
      <c r="H133" s="33"/>
      <c r="I133" s="20" t="str">
        <f t="shared" ref="I133:I196" si="34">+IF(H133="","",G133+H133)</f>
        <v/>
      </c>
      <c r="J133" s="21" t="str">
        <f>IFERROR(VLOOKUP(BR133,Pricing!$D$3:$E$58,2,FALSE),"")</f>
        <v/>
      </c>
      <c r="K133" s="32"/>
      <c r="L133" s="32"/>
      <c r="M133" s="32"/>
      <c r="N133" s="36" t="str" cm="1">
        <f t="array" ref="N133">IFERROR(_xlfn.IFS((AND(K133="SI",M133="$")),J133*0.2,AND(K133="SI",M133="%"),20),"")</f>
        <v/>
      </c>
      <c r="O133" s="29" t="str">
        <f t="shared" ref="O133:O196" si="35">IFERROR(IF($M133="%",
             IF(N(N133)&gt;1, N(N133)/100, N(N133)),
             IF(AND($J133&gt;0,$M133="$"), N(N133)/$J133, "")
            ),"")</f>
        <v/>
      </c>
      <c r="P133" s="21" t="str">
        <f t="shared" ref="P133:P196" si="36">IFERROR(IF(M133="$", N(N133), IF(M133="%", J133*N(N133/100), "")), "")</f>
        <v/>
      </c>
      <c r="Q133" s="21" t="str">
        <f t="shared" ref="Q133:Q196" si="37">IF(J133="","",J133*(1-N(O133)))</f>
        <v/>
      </c>
      <c r="R133" s="21" t="str">
        <f t="shared" ref="R133:R196" si="38">IF(Q133="","",Q133/1.19)</f>
        <v/>
      </c>
      <c r="S133" s="39"/>
      <c r="T133" s="43" t="str">
        <f t="shared" si="31"/>
        <v/>
      </c>
      <c r="U133" s="49" t="str">
        <f t="shared" si="32"/>
        <v/>
      </c>
      <c r="V133" s="48" t="str">
        <f t="shared" si="33"/>
        <v/>
      </c>
      <c r="W133" s="48" t="str">
        <f t="shared" ref="W133:W196" si="39">IFERROR(U133-N(V133),"")</f>
        <v/>
      </c>
      <c r="X133" s="50" t="str">
        <f>IF(W133="","",SUMIF($B$4:$B$1002,B133,$W$4:$W$1000))</f>
        <v/>
      </c>
      <c r="Y133" s="43" t="str">
        <f t="shared" ref="Y133:Y196" si="40">IF(AB133="","",IFERROR(
 IF(AND(ABS(N(AB133))&lt;0.5, BT133&gt;=23), "Sin deuda",
  IF(AND(N(AB133)&gt;0, BT133&gt;=23), "Con deuda",
   IF(AND(N(AB133)&gt;0, BT133&lt;23), "Moroso", "")
  )
),""))</f>
        <v/>
      </c>
      <c r="Z133" s="49" t="str">
        <f t="shared" ref="Z133:Z196" si="41">IF(R133="","",R133/2)</f>
        <v/>
      </c>
      <c r="AA133" s="48" t="str">
        <f t="shared" ref="AA133:AA196" si="42">IF(AD133="","",SUM(
 IF(ISNUMBER(SEARCH("saldo",AD133)),AF133,0),
 IF(ISNUMBER(SEARCH("saldo",AH133)),AJ133,0),
 IF(ISNUMBER(SEARCH("saldo",AL133)),AN133,0),
 IF(ISNUMBER(SEARCH("saldo",AP133)),AR133,0),
 IF(ISNUMBER(SEARCH("saldo",AT133)),AV133,0)
))</f>
        <v/>
      </c>
      <c r="AB133" s="49" t="str">
        <f t="shared" ref="AB133:AB196" si="43">IFERROR(Z133-N(AA133),"")</f>
        <v/>
      </c>
      <c r="AC133" s="50" t="str">
        <f>IF(AB133="","",SUMIF($B$4:$B$1002,B133,$AB$4:$AB$1000))</f>
        <v/>
      </c>
      <c r="AD133" s="69"/>
      <c r="AE133" s="56"/>
      <c r="AF133" s="52"/>
      <c r="AG133" s="51"/>
      <c r="AH133" s="70"/>
      <c r="AI133" s="58"/>
      <c r="AJ133" s="55"/>
      <c r="AK133" s="51"/>
      <c r="AL133" s="69"/>
      <c r="AM133" s="56"/>
      <c r="AN133" s="52"/>
      <c r="AO133" s="51"/>
      <c r="AP133" s="70"/>
      <c r="AQ133" s="58"/>
      <c r="AR133" s="55"/>
      <c r="AS133" s="51"/>
      <c r="AT133" s="69"/>
      <c r="AU133" s="56"/>
      <c r="AV133" s="52"/>
      <c r="AW133" s="51"/>
      <c r="BR133" s="34" t="str">
        <f>IF(E133="","",CONCATENATE(E133," ",F133," noches"))</f>
        <v/>
      </c>
      <c r="BS133" s="28" t="str">
        <f t="shared" ref="BS133:BS196" ca="1" si="44">IF(G133="","",+TODAY()-G133)</f>
        <v/>
      </c>
      <c r="BT133" s="28" t="str">
        <f t="shared" ref="BT133:BT196" ca="1" si="45">IF(H133="","",H133-TODAY())</f>
        <v/>
      </c>
    </row>
    <row r="134" spans="1:72" x14ac:dyDescent="0.2">
      <c r="A134" s="18" t="str" cm="1">
        <f t="array" aca="1" ref="A134" ca="1">IF(B134="","","Grupo N˚"&amp;SUMPRODUCT(($B$4:B134&lt;&gt;"")*($B$4:B134&lt;&gt;OFFSET($B$4,-1,0,ROWS($B$4:B134),1))))</f>
        <v/>
      </c>
      <c r="B134" s="31"/>
      <c r="C134" s="31"/>
      <c r="D134" s="31"/>
      <c r="E134" s="31"/>
      <c r="F134" s="32"/>
      <c r="G134" s="33"/>
      <c r="H134" s="33"/>
      <c r="I134" s="20" t="str">
        <f t="shared" si="34"/>
        <v/>
      </c>
      <c r="J134" s="21" t="str">
        <f>IFERROR(VLOOKUP(BR134,Pricing!$D$3:$E$58,2,FALSE),"")</f>
        <v/>
      </c>
      <c r="K134" s="32"/>
      <c r="L134" s="32"/>
      <c r="M134" s="32"/>
      <c r="N134" s="36" t="str" cm="1">
        <f t="array" ref="N134">IFERROR(_xlfn.IFS((AND(K134="SI",M134="$")),J134*0.2,AND(K134="SI",M134="%"),20),"")</f>
        <v/>
      </c>
      <c r="O134" s="29" t="str">
        <f t="shared" si="35"/>
        <v/>
      </c>
      <c r="P134" s="21" t="str">
        <f t="shared" si="36"/>
        <v/>
      </c>
      <c r="Q134" s="21" t="str">
        <f t="shared" si="37"/>
        <v/>
      </c>
      <c r="R134" s="21" t="str">
        <f t="shared" si="38"/>
        <v/>
      </c>
      <c r="S134" s="39"/>
      <c r="T134" s="43" t="str">
        <f t="shared" si="31"/>
        <v/>
      </c>
      <c r="U134" s="49" t="str">
        <f t="shared" si="32"/>
        <v/>
      </c>
      <c r="V134" s="48" t="str">
        <f t="shared" si="33"/>
        <v/>
      </c>
      <c r="W134" s="48" t="str">
        <f t="shared" si="39"/>
        <v/>
      </c>
      <c r="X134" s="50" t="str">
        <f>IF(W134="","",SUMIF($B$4:$B$1002,B134,$W$4:$W$1000))</f>
        <v/>
      </c>
      <c r="Y134" s="43" t="str">
        <f t="shared" si="40"/>
        <v/>
      </c>
      <c r="Z134" s="49" t="str">
        <f t="shared" si="41"/>
        <v/>
      </c>
      <c r="AA134" s="48" t="str">
        <f t="shared" si="42"/>
        <v/>
      </c>
      <c r="AB134" s="49" t="str">
        <f t="shared" si="43"/>
        <v/>
      </c>
      <c r="AC134" s="50" t="str">
        <f>IF(AB134="","",SUMIF($B$4:$B$1002,B134,$AB$4:$AB$1000))</f>
        <v/>
      </c>
      <c r="AD134" s="69"/>
      <c r="AE134" s="56"/>
      <c r="AF134" s="52"/>
      <c r="AG134" s="51"/>
      <c r="AH134" s="70"/>
      <c r="AI134" s="58"/>
      <c r="AJ134" s="55"/>
      <c r="AK134" s="51"/>
      <c r="AL134" s="69"/>
      <c r="AM134" s="56"/>
      <c r="AN134" s="52"/>
      <c r="AO134" s="51"/>
      <c r="AP134" s="70"/>
      <c r="AQ134" s="58"/>
      <c r="AR134" s="55"/>
      <c r="AS134" s="51"/>
      <c r="AT134" s="69"/>
      <c r="AU134" s="56"/>
      <c r="AV134" s="52"/>
      <c r="AW134" s="51"/>
      <c r="BR134" s="34" t="str">
        <f>IF(E134="","",CONCATENATE(E134," ",F134," noches"))</f>
        <v/>
      </c>
      <c r="BS134" s="28" t="str">
        <f t="shared" ca="1" si="44"/>
        <v/>
      </c>
      <c r="BT134" s="28" t="str">
        <f t="shared" ca="1" si="45"/>
        <v/>
      </c>
    </row>
    <row r="135" spans="1:72" x14ac:dyDescent="0.2">
      <c r="A135" s="18" t="str" cm="1">
        <f t="array" aca="1" ref="A135" ca="1">IF(B135="","","Grupo N˚"&amp;SUMPRODUCT(($B$4:B135&lt;&gt;"")*($B$4:B135&lt;&gt;OFFSET($B$4,-1,0,ROWS($B$4:B135),1))))</f>
        <v/>
      </c>
      <c r="B135" s="31"/>
      <c r="C135" s="31"/>
      <c r="D135" s="31"/>
      <c r="E135" s="31"/>
      <c r="F135" s="32"/>
      <c r="G135" s="33"/>
      <c r="H135" s="33"/>
      <c r="I135" s="20" t="str">
        <f t="shared" si="34"/>
        <v/>
      </c>
      <c r="J135" s="21" t="str">
        <f>IFERROR(VLOOKUP(BR135,Pricing!$D$3:$E$58,2,FALSE),"")</f>
        <v/>
      </c>
      <c r="K135" s="32"/>
      <c r="L135" s="32"/>
      <c r="M135" s="32"/>
      <c r="N135" s="36" t="str" cm="1">
        <f t="array" ref="N135">IFERROR(_xlfn.IFS((AND(K135="SI",M135="$")),J135*0.2,AND(K135="SI",M135="%"),20),"")</f>
        <v/>
      </c>
      <c r="O135" s="29" t="str">
        <f t="shared" si="35"/>
        <v/>
      </c>
      <c r="P135" s="21" t="str">
        <f t="shared" si="36"/>
        <v/>
      </c>
      <c r="Q135" s="21" t="str">
        <f t="shared" si="37"/>
        <v/>
      </c>
      <c r="R135" s="21" t="str">
        <f t="shared" si="38"/>
        <v/>
      </c>
      <c r="S135" s="39"/>
      <c r="T135" s="43" t="str">
        <f t="shared" si="31"/>
        <v/>
      </c>
      <c r="U135" s="49" t="str">
        <f t="shared" si="32"/>
        <v/>
      </c>
      <c r="V135" s="48" t="str">
        <f t="shared" si="33"/>
        <v/>
      </c>
      <c r="W135" s="48" t="str">
        <f t="shared" si="39"/>
        <v/>
      </c>
      <c r="X135" s="50" t="str">
        <f>IF(W135="","",SUMIF($B$4:$B$1002,B135,$W$4:$W$1000))</f>
        <v/>
      </c>
      <c r="Y135" s="43" t="str">
        <f t="shared" si="40"/>
        <v/>
      </c>
      <c r="Z135" s="49" t="str">
        <f t="shared" si="41"/>
        <v/>
      </c>
      <c r="AA135" s="48" t="str">
        <f t="shared" si="42"/>
        <v/>
      </c>
      <c r="AB135" s="49" t="str">
        <f t="shared" si="43"/>
        <v/>
      </c>
      <c r="AC135" s="50" t="str">
        <f>IF(AB135="","",SUMIF($B$4:$B$1002,B135,$AB$4:$AB$1000))</f>
        <v/>
      </c>
      <c r="AD135" s="69"/>
      <c r="AE135" s="56"/>
      <c r="AF135" s="52"/>
      <c r="AG135" s="51"/>
      <c r="AH135" s="70"/>
      <c r="AI135" s="58"/>
      <c r="AJ135" s="55"/>
      <c r="AK135" s="51"/>
      <c r="AL135" s="69"/>
      <c r="AM135" s="56"/>
      <c r="AN135" s="52"/>
      <c r="AO135" s="51"/>
      <c r="AP135" s="70"/>
      <c r="AQ135" s="58"/>
      <c r="AR135" s="55"/>
      <c r="AS135" s="51"/>
      <c r="AT135" s="69"/>
      <c r="AU135" s="56"/>
      <c r="AV135" s="52"/>
      <c r="AW135" s="51"/>
      <c r="BR135" s="34" t="str">
        <f>IF(E135="","",CONCATENATE(E135," ",F135," noches"))</f>
        <v/>
      </c>
      <c r="BS135" s="28" t="str">
        <f t="shared" ca="1" si="44"/>
        <v/>
      </c>
      <c r="BT135" s="28" t="str">
        <f t="shared" ca="1" si="45"/>
        <v/>
      </c>
    </row>
    <row r="136" spans="1:72" x14ac:dyDescent="0.2">
      <c r="A136" s="18" t="str" cm="1">
        <f t="array" aca="1" ref="A136" ca="1">IF(B136="","","Grupo N˚"&amp;SUMPRODUCT(($B$4:B136&lt;&gt;"")*($B$4:B136&lt;&gt;OFFSET($B$4,-1,0,ROWS($B$4:B136),1))))</f>
        <v/>
      </c>
      <c r="B136" s="31"/>
      <c r="C136" s="31"/>
      <c r="D136" s="31"/>
      <c r="E136" s="31"/>
      <c r="F136" s="32"/>
      <c r="G136" s="33"/>
      <c r="H136" s="33"/>
      <c r="I136" s="20" t="str">
        <f t="shared" si="34"/>
        <v/>
      </c>
      <c r="J136" s="21" t="str">
        <f>IFERROR(VLOOKUP(BR136,Pricing!$D$3:$E$58,2,FALSE),"")</f>
        <v/>
      </c>
      <c r="K136" s="32"/>
      <c r="L136" s="32"/>
      <c r="M136" s="32"/>
      <c r="N136" s="36" t="str" cm="1">
        <f t="array" ref="N136">IFERROR(_xlfn.IFS((AND(K136="SI",M136="$")),J136*0.2,AND(K136="SI",M136="%"),20),"")</f>
        <v/>
      </c>
      <c r="O136" s="29" t="str">
        <f t="shared" si="35"/>
        <v/>
      </c>
      <c r="P136" s="21" t="str">
        <f t="shared" si="36"/>
        <v/>
      </c>
      <c r="Q136" s="21" t="str">
        <f t="shared" si="37"/>
        <v/>
      </c>
      <c r="R136" s="21" t="str">
        <f t="shared" si="38"/>
        <v/>
      </c>
      <c r="S136" s="39"/>
      <c r="T136" s="43" t="str">
        <f t="shared" si="31"/>
        <v/>
      </c>
      <c r="U136" s="49" t="str">
        <f t="shared" si="32"/>
        <v/>
      </c>
      <c r="V136" s="48" t="str">
        <f t="shared" si="33"/>
        <v/>
      </c>
      <c r="W136" s="48" t="str">
        <f t="shared" si="39"/>
        <v/>
      </c>
      <c r="X136" s="50" t="str">
        <f>IF(W136="","",SUMIF($B$4:$B$1002,B136,$W$4:$W$1000))</f>
        <v/>
      </c>
      <c r="Y136" s="43" t="str">
        <f t="shared" si="40"/>
        <v/>
      </c>
      <c r="Z136" s="49" t="str">
        <f t="shared" si="41"/>
        <v/>
      </c>
      <c r="AA136" s="48" t="str">
        <f t="shared" si="42"/>
        <v/>
      </c>
      <c r="AB136" s="49" t="str">
        <f t="shared" si="43"/>
        <v/>
      </c>
      <c r="AC136" s="50" t="str">
        <f>IF(AB136="","",SUMIF($B$4:$B$1002,B136,$AB$4:$AB$1000))</f>
        <v/>
      </c>
      <c r="AD136" s="69"/>
      <c r="AE136" s="56"/>
      <c r="AF136" s="52"/>
      <c r="AG136" s="51"/>
      <c r="AH136" s="70"/>
      <c r="AI136" s="58"/>
      <c r="AJ136" s="55"/>
      <c r="AK136" s="51"/>
      <c r="AL136" s="69"/>
      <c r="AM136" s="56"/>
      <c r="AN136" s="52"/>
      <c r="AO136" s="51"/>
      <c r="AP136" s="70"/>
      <c r="AQ136" s="58"/>
      <c r="AR136" s="55"/>
      <c r="AS136" s="51"/>
      <c r="AT136" s="69"/>
      <c r="AU136" s="56"/>
      <c r="AV136" s="52"/>
      <c r="AW136" s="51"/>
      <c r="BR136" s="34" t="str">
        <f>IF(E136="","",CONCATENATE(E136," ",F136," noches"))</f>
        <v/>
      </c>
      <c r="BS136" s="28" t="str">
        <f t="shared" ca="1" si="44"/>
        <v/>
      </c>
      <c r="BT136" s="28" t="str">
        <f t="shared" ca="1" si="45"/>
        <v/>
      </c>
    </row>
    <row r="137" spans="1:72" x14ac:dyDescent="0.2">
      <c r="A137" s="18" t="str" cm="1">
        <f t="array" aca="1" ref="A137" ca="1">IF(B137="","","Grupo N˚"&amp;SUMPRODUCT(($B$4:B137&lt;&gt;"")*($B$4:B137&lt;&gt;OFFSET($B$4,-1,0,ROWS($B$4:B137),1))))</f>
        <v/>
      </c>
      <c r="B137" s="31"/>
      <c r="C137" s="31"/>
      <c r="D137" s="31"/>
      <c r="E137" s="31"/>
      <c r="F137" s="32"/>
      <c r="G137" s="33"/>
      <c r="H137" s="33"/>
      <c r="I137" s="20" t="str">
        <f t="shared" si="34"/>
        <v/>
      </c>
      <c r="J137" s="21" t="str">
        <f>IFERROR(VLOOKUP(BR137,Pricing!$D$3:$E$58,2,FALSE),"")</f>
        <v/>
      </c>
      <c r="K137" s="32"/>
      <c r="L137" s="32"/>
      <c r="M137" s="32"/>
      <c r="N137" s="36" t="str" cm="1">
        <f t="array" ref="N137">IFERROR(_xlfn.IFS((AND(K137="SI",M137="$")),J137*0.2,AND(K137="SI",M137="%"),20),"")</f>
        <v/>
      </c>
      <c r="O137" s="29" t="str">
        <f t="shared" si="35"/>
        <v/>
      </c>
      <c r="P137" s="21" t="str">
        <f t="shared" si="36"/>
        <v/>
      </c>
      <c r="Q137" s="21" t="str">
        <f t="shared" si="37"/>
        <v/>
      </c>
      <c r="R137" s="21" t="str">
        <f t="shared" si="38"/>
        <v/>
      </c>
      <c r="S137" s="39"/>
      <c r="T137" s="43" t="str">
        <f t="shared" ref="T137:T200" si="46">IF(W137="","",IFERROR(
 IF(AND(ABS(N(W137))&lt;0.5, BS137&lt;=7), "Sin deuda",
  IF(AND(N(W137)&gt;0, BS137&lt;=7), "Con deuda",
   IF(AND(N(W137)&gt;0, BS137&gt;7), "Moroso", "")
  )
)," "))</f>
        <v/>
      </c>
      <c r="U137" s="49" t="str">
        <f t="shared" si="32"/>
        <v/>
      </c>
      <c r="V137" s="48" t="str">
        <f t="shared" si="33"/>
        <v/>
      </c>
      <c r="W137" s="48" t="str">
        <f t="shared" si="39"/>
        <v/>
      </c>
      <c r="X137" s="50" t="str">
        <f>IF(W137="","",SUMIF($B$4:$B$1002,B137,$W$4:$W$1000))</f>
        <v/>
      </c>
      <c r="Y137" s="43" t="str">
        <f t="shared" si="40"/>
        <v/>
      </c>
      <c r="Z137" s="49" t="str">
        <f t="shared" si="41"/>
        <v/>
      </c>
      <c r="AA137" s="48" t="str">
        <f t="shared" si="42"/>
        <v/>
      </c>
      <c r="AB137" s="49" t="str">
        <f t="shared" si="43"/>
        <v/>
      </c>
      <c r="AC137" s="50" t="str">
        <f>IF(AB137="","",SUMIF($B$4:$B$1002,B137,$AB$4:$AB$1000))</f>
        <v/>
      </c>
      <c r="AD137" s="69"/>
      <c r="AE137" s="56"/>
      <c r="AF137" s="52"/>
      <c r="AG137" s="51"/>
      <c r="AH137" s="70"/>
      <c r="AI137" s="58"/>
      <c r="AJ137" s="55"/>
      <c r="AK137" s="51"/>
      <c r="AL137" s="69"/>
      <c r="AM137" s="56"/>
      <c r="AN137" s="52"/>
      <c r="AO137" s="51"/>
      <c r="AP137" s="70"/>
      <c r="AQ137" s="58"/>
      <c r="AR137" s="55"/>
      <c r="AS137" s="51"/>
      <c r="AT137" s="69"/>
      <c r="AU137" s="56"/>
      <c r="AV137" s="52"/>
      <c r="AW137" s="51"/>
      <c r="BR137" s="34" t="str">
        <f>IF(E137="","",CONCATENATE(E137," ",F137," noches"))</f>
        <v/>
      </c>
      <c r="BS137" s="28" t="str">
        <f t="shared" ca="1" si="44"/>
        <v/>
      </c>
      <c r="BT137" s="28" t="str">
        <f t="shared" ca="1" si="45"/>
        <v/>
      </c>
    </row>
    <row r="138" spans="1:72" x14ac:dyDescent="0.2">
      <c r="A138" s="18" t="str" cm="1">
        <f t="array" aca="1" ref="A138" ca="1">IF(B138="","","Grupo N˚"&amp;SUMPRODUCT(($B$4:B138&lt;&gt;"")*($B$4:B138&lt;&gt;OFFSET($B$4,-1,0,ROWS($B$4:B138),1))))</f>
        <v/>
      </c>
      <c r="B138" s="31"/>
      <c r="C138" s="31"/>
      <c r="D138" s="31"/>
      <c r="E138" s="31"/>
      <c r="F138" s="32"/>
      <c r="G138" s="33"/>
      <c r="H138" s="33"/>
      <c r="I138" s="20" t="str">
        <f t="shared" si="34"/>
        <v/>
      </c>
      <c r="J138" s="21" t="str">
        <f>IFERROR(VLOOKUP(BR138,Pricing!$D$3:$E$58,2,FALSE),"")</f>
        <v/>
      </c>
      <c r="K138" s="32"/>
      <c r="L138" s="32"/>
      <c r="M138" s="32"/>
      <c r="N138" s="36" t="str" cm="1">
        <f t="array" ref="N138">IFERROR(_xlfn.IFS((AND(K138="SI",M138="$")),J138*0.2,AND(K138="SI",M138="%"),20),"")</f>
        <v/>
      </c>
      <c r="O138" s="29" t="str">
        <f t="shared" si="35"/>
        <v/>
      </c>
      <c r="P138" s="21" t="str">
        <f t="shared" si="36"/>
        <v/>
      </c>
      <c r="Q138" s="21" t="str">
        <f t="shared" si="37"/>
        <v/>
      </c>
      <c r="R138" s="21" t="str">
        <f t="shared" si="38"/>
        <v/>
      </c>
      <c r="S138" s="39"/>
      <c r="T138" s="43" t="str">
        <f t="shared" si="46"/>
        <v/>
      </c>
      <c r="U138" s="49" t="str">
        <f t="shared" si="32"/>
        <v/>
      </c>
      <c r="V138" s="48" t="str">
        <f t="shared" si="33"/>
        <v/>
      </c>
      <c r="W138" s="48" t="str">
        <f t="shared" si="39"/>
        <v/>
      </c>
      <c r="X138" s="50" t="str">
        <f>IF(W138="","",SUMIF($B$4:$B$1002,B138,$W$4:$W$1000))</f>
        <v/>
      </c>
      <c r="Y138" s="43" t="str">
        <f t="shared" si="40"/>
        <v/>
      </c>
      <c r="Z138" s="49" t="str">
        <f t="shared" si="41"/>
        <v/>
      </c>
      <c r="AA138" s="48" t="str">
        <f t="shared" si="42"/>
        <v/>
      </c>
      <c r="AB138" s="49" t="str">
        <f t="shared" si="43"/>
        <v/>
      </c>
      <c r="AC138" s="50" t="str">
        <f>IF(AB138="","",SUMIF($B$4:$B$1002,B138,$AB$4:$AB$1000))</f>
        <v/>
      </c>
      <c r="AD138" s="69"/>
      <c r="AE138" s="56"/>
      <c r="AF138" s="52"/>
      <c r="AG138" s="51"/>
      <c r="AH138" s="70"/>
      <c r="AI138" s="58"/>
      <c r="AJ138" s="55"/>
      <c r="AK138" s="51"/>
      <c r="AL138" s="69"/>
      <c r="AM138" s="56"/>
      <c r="AN138" s="52"/>
      <c r="AO138" s="51"/>
      <c r="AP138" s="70"/>
      <c r="AQ138" s="58"/>
      <c r="AR138" s="55"/>
      <c r="AS138" s="51"/>
      <c r="AT138" s="69"/>
      <c r="AU138" s="56"/>
      <c r="AV138" s="52"/>
      <c r="AW138" s="51"/>
      <c r="BR138" s="34" t="str">
        <f>IF(E138="","",CONCATENATE(E138," ",F138," noches"))</f>
        <v/>
      </c>
      <c r="BS138" s="28" t="str">
        <f t="shared" ca="1" si="44"/>
        <v/>
      </c>
      <c r="BT138" s="28" t="str">
        <f t="shared" ca="1" si="45"/>
        <v/>
      </c>
    </row>
    <row r="139" spans="1:72" x14ac:dyDescent="0.2">
      <c r="A139" s="18" t="str" cm="1">
        <f t="array" aca="1" ref="A139" ca="1">IF(B139="","","Grupo N˚"&amp;SUMPRODUCT(($B$4:B139&lt;&gt;"")*($B$4:B139&lt;&gt;OFFSET($B$4,-1,0,ROWS($B$4:B139),1))))</f>
        <v/>
      </c>
      <c r="B139" s="31"/>
      <c r="C139" s="31"/>
      <c r="D139" s="31"/>
      <c r="E139" s="31"/>
      <c r="F139" s="32"/>
      <c r="G139" s="33"/>
      <c r="H139" s="33"/>
      <c r="I139" s="20" t="str">
        <f t="shared" si="34"/>
        <v/>
      </c>
      <c r="J139" s="21" t="str">
        <f>IFERROR(VLOOKUP(BR139,Pricing!$D$3:$E$58,2,FALSE),"")</f>
        <v/>
      </c>
      <c r="K139" s="32"/>
      <c r="L139" s="32"/>
      <c r="M139" s="32"/>
      <c r="N139" s="36" t="str" cm="1">
        <f t="array" ref="N139">IFERROR(_xlfn.IFS((AND(K139="SI",M139="$")),J139*0.2,AND(K139="SI",M139="%"),20),"")</f>
        <v/>
      </c>
      <c r="O139" s="29" t="str">
        <f t="shared" si="35"/>
        <v/>
      </c>
      <c r="P139" s="21" t="str">
        <f t="shared" si="36"/>
        <v/>
      </c>
      <c r="Q139" s="21" t="str">
        <f t="shared" si="37"/>
        <v/>
      </c>
      <c r="R139" s="21" t="str">
        <f t="shared" si="38"/>
        <v/>
      </c>
      <c r="S139" s="39"/>
      <c r="T139" s="43" t="str">
        <f t="shared" si="46"/>
        <v/>
      </c>
      <c r="U139" s="49" t="str">
        <f t="shared" si="32"/>
        <v/>
      </c>
      <c r="V139" s="48" t="str">
        <f t="shared" si="33"/>
        <v/>
      </c>
      <c r="W139" s="48" t="str">
        <f t="shared" si="39"/>
        <v/>
      </c>
      <c r="X139" s="50" t="str">
        <f>IF(W139="","",SUMIF($B$4:$B$1002,B139,$W$4:$W$1000))</f>
        <v/>
      </c>
      <c r="Y139" s="43" t="str">
        <f t="shared" si="40"/>
        <v/>
      </c>
      <c r="Z139" s="49" t="str">
        <f t="shared" si="41"/>
        <v/>
      </c>
      <c r="AA139" s="48" t="str">
        <f t="shared" si="42"/>
        <v/>
      </c>
      <c r="AB139" s="49" t="str">
        <f t="shared" si="43"/>
        <v/>
      </c>
      <c r="AC139" s="50" t="str">
        <f>IF(AB139="","",SUMIF($B$4:$B$1002,B139,$AB$4:$AB$1000))</f>
        <v/>
      </c>
      <c r="AD139" s="69"/>
      <c r="AE139" s="56"/>
      <c r="AF139" s="52"/>
      <c r="AG139" s="51"/>
      <c r="AH139" s="70"/>
      <c r="AI139" s="58"/>
      <c r="AJ139" s="55"/>
      <c r="AK139" s="51"/>
      <c r="AL139" s="69"/>
      <c r="AM139" s="56"/>
      <c r="AN139" s="52"/>
      <c r="AO139" s="51"/>
      <c r="AP139" s="70"/>
      <c r="AQ139" s="58"/>
      <c r="AR139" s="55"/>
      <c r="AS139" s="51"/>
      <c r="AT139" s="69"/>
      <c r="AU139" s="56"/>
      <c r="AV139" s="52"/>
      <c r="AW139" s="51"/>
      <c r="BR139" s="34" t="str">
        <f>IF(E139="","",CONCATENATE(E139," ",F139," noches"))</f>
        <v/>
      </c>
      <c r="BS139" s="28" t="str">
        <f t="shared" ca="1" si="44"/>
        <v/>
      </c>
      <c r="BT139" s="28" t="str">
        <f t="shared" ca="1" si="45"/>
        <v/>
      </c>
    </row>
    <row r="140" spans="1:72" x14ac:dyDescent="0.2">
      <c r="A140" s="18" t="str" cm="1">
        <f t="array" aca="1" ref="A140" ca="1">IF(B140="","","Grupo N˚"&amp;SUMPRODUCT(($B$4:B140&lt;&gt;"")*($B$4:B140&lt;&gt;OFFSET($B$4,-1,0,ROWS($B$4:B140),1))))</f>
        <v/>
      </c>
      <c r="B140" s="31"/>
      <c r="C140" s="31"/>
      <c r="D140" s="31"/>
      <c r="E140" s="31"/>
      <c r="F140" s="32"/>
      <c r="G140" s="33"/>
      <c r="H140" s="33"/>
      <c r="I140" s="20" t="str">
        <f t="shared" si="34"/>
        <v/>
      </c>
      <c r="J140" s="21" t="str">
        <f>IFERROR(VLOOKUP(BR140,Pricing!$D$3:$E$58,2,FALSE),"")</f>
        <v/>
      </c>
      <c r="K140" s="32"/>
      <c r="L140" s="32"/>
      <c r="M140" s="32"/>
      <c r="N140" s="36" t="str" cm="1">
        <f t="array" ref="N140">IFERROR(_xlfn.IFS((AND(K140="SI",M140="$")),J140*0.2,AND(K140="SI",M140="%"),20),"")</f>
        <v/>
      </c>
      <c r="O140" s="29" t="str">
        <f t="shared" si="35"/>
        <v/>
      </c>
      <c r="P140" s="21" t="str">
        <f t="shared" si="36"/>
        <v/>
      </c>
      <c r="Q140" s="21" t="str">
        <f t="shared" si="37"/>
        <v/>
      </c>
      <c r="R140" s="21" t="str">
        <f t="shared" si="38"/>
        <v/>
      </c>
      <c r="S140" s="39"/>
      <c r="T140" s="43" t="str">
        <f t="shared" si="46"/>
        <v/>
      </c>
      <c r="U140" s="49" t="str">
        <f t="shared" si="32"/>
        <v/>
      </c>
      <c r="V140" s="48" t="str">
        <f t="shared" si="33"/>
        <v/>
      </c>
      <c r="W140" s="48" t="str">
        <f t="shared" si="39"/>
        <v/>
      </c>
      <c r="X140" s="50" t="str">
        <f>IF(W140="","",SUMIF($B$4:$B$1002,B140,$W$4:$W$1000))</f>
        <v/>
      </c>
      <c r="Y140" s="43" t="str">
        <f t="shared" si="40"/>
        <v/>
      </c>
      <c r="Z140" s="49" t="str">
        <f t="shared" si="41"/>
        <v/>
      </c>
      <c r="AA140" s="48" t="str">
        <f t="shared" si="42"/>
        <v/>
      </c>
      <c r="AB140" s="49" t="str">
        <f t="shared" si="43"/>
        <v/>
      </c>
      <c r="AC140" s="50" t="str">
        <f>IF(AB140="","",SUMIF($B$4:$B$1002,B140,$AB$4:$AB$1000))</f>
        <v/>
      </c>
      <c r="AD140" s="69"/>
      <c r="AE140" s="56"/>
      <c r="AF140" s="52"/>
      <c r="AG140" s="51"/>
      <c r="AH140" s="70"/>
      <c r="AI140" s="58"/>
      <c r="AJ140" s="55"/>
      <c r="AK140" s="51"/>
      <c r="AL140" s="69"/>
      <c r="AM140" s="56"/>
      <c r="AN140" s="52"/>
      <c r="AO140" s="51"/>
      <c r="AP140" s="70"/>
      <c r="AQ140" s="58"/>
      <c r="AR140" s="55"/>
      <c r="AS140" s="51"/>
      <c r="AT140" s="69"/>
      <c r="AU140" s="56"/>
      <c r="AV140" s="52"/>
      <c r="AW140" s="51"/>
      <c r="BR140" s="34" t="str">
        <f>IF(E140="","",CONCATENATE(E140," ",F140," noches"))</f>
        <v/>
      </c>
      <c r="BS140" s="28" t="str">
        <f t="shared" ca="1" si="44"/>
        <v/>
      </c>
      <c r="BT140" s="28" t="str">
        <f t="shared" ca="1" si="45"/>
        <v/>
      </c>
    </row>
    <row r="141" spans="1:72" x14ac:dyDescent="0.2">
      <c r="A141" s="18" t="str" cm="1">
        <f t="array" aca="1" ref="A141" ca="1">IF(B141="","","Grupo N˚"&amp;SUMPRODUCT(($B$4:B141&lt;&gt;"")*($B$4:B141&lt;&gt;OFFSET($B$4,-1,0,ROWS($B$4:B141),1))))</f>
        <v/>
      </c>
      <c r="B141" s="31"/>
      <c r="C141" s="31"/>
      <c r="D141" s="31"/>
      <c r="E141" s="31"/>
      <c r="F141" s="32"/>
      <c r="G141" s="33"/>
      <c r="H141" s="33"/>
      <c r="I141" s="20" t="str">
        <f t="shared" si="34"/>
        <v/>
      </c>
      <c r="J141" s="21" t="str">
        <f>IFERROR(VLOOKUP(BR141,Pricing!$D$3:$E$58,2,FALSE),"")</f>
        <v/>
      </c>
      <c r="K141" s="32"/>
      <c r="L141" s="32"/>
      <c r="M141" s="32"/>
      <c r="N141" s="36" t="str" cm="1">
        <f t="array" ref="N141">IFERROR(_xlfn.IFS((AND(K141="SI",M141="$")),J141*0.2,AND(K141="SI",M141="%"),20),"")</f>
        <v/>
      </c>
      <c r="O141" s="29" t="str">
        <f t="shared" si="35"/>
        <v/>
      </c>
      <c r="P141" s="21" t="str">
        <f t="shared" si="36"/>
        <v/>
      </c>
      <c r="Q141" s="21" t="str">
        <f t="shared" si="37"/>
        <v/>
      </c>
      <c r="R141" s="21" t="str">
        <f t="shared" si="38"/>
        <v/>
      </c>
      <c r="S141" s="39"/>
      <c r="T141" s="43" t="str">
        <f t="shared" si="46"/>
        <v/>
      </c>
      <c r="U141" s="49" t="str">
        <f t="shared" ref="U141:U204" si="47">IF(R141="","",R141/2)</f>
        <v/>
      </c>
      <c r="V141" s="48" t="str">
        <f t="shared" ref="V141:V204" si="48">IF(AD141="","",SUM(
 IF(ISNUMBER(SEARCH("reserva",AD141)),AF141,0),
 IF(ISNUMBER(SEARCH("reserva",AH141)),AJ141,0),
 IF(ISNUMBER(SEARCH("reserva",AL141)),AN141,0),
 IF(ISNUMBER(SEARCH("reserva",AP141)),AR141,0),
 IF(ISNUMBER(SEARCH("reserva",AT141)),AV141,0)
))</f>
        <v/>
      </c>
      <c r="W141" s="48" t="str">
        <f t="shared" si="39"/>
        <v/>
      </c>
      <c r="X141" s="50" t="str">
        <f>IF(W141="","",SUMIF($B$4:$B$1002,B141,$W$4:$W$1000))</f>
        <v/>
      </c>
      <c r="Y141" s="43" t="str">
        <f t="shared" si="40"/>
        <v/>
      </c>
      <c r="Z141" s="49" t="str">
        <f t="shared" si="41"/>
        <v/>
      </c>
      <c r="AA141" s="48" t="str">
        <f t="shared" si="42"/>
        <v/>
      </c>
      <c r="AB141" s="49" t="str">
        <f t="shared" si="43"/>
        <v/>
      </c>
      <c r="AC141" s="50" t="str">
        <f>IF(AB141="","",SUMIF($B$4:$B$1002,B141,$AB$4:$AB$1000))</f>
        <v/>
      </c>
      <c r="AD141" s="69"/>
      <c r="AE141" s="56"/>
      <c r="AF141" s="52"/>
      <c r="AG141" s="51"/>
      <c r="AH141" s="70"/>
      <c r="AI141" s="58"/>
      <c r="AJ141" s="55"/>
      <c r="AK141" s="51"/>
      <c r="AL141" s="69"/>
      <c r="AM141" s="56"/>
      <c r="AN141" s="52"/>
      <c r="AO141" s="51"/>
      <c r="AP141" s="70"/>
      <c r="AQ141" s="58"/>
      <c r="AR141" s="55"/>
      <c r="AS141" s="51"/>
      <c r="AT141" s="69"/>
      <c r="AU141" s="56"/>
      <c r="AV141" s="52"/>
      <c r="AW141" s="51"/>
      <c r="BR141" s="34" t="str">
        <f>IF(E141="","",CONCATENATE(E141," ",F141," noches"))</f>
        <v/>
      </c>
      <c r="BS141" s="28" t="str">
        <f t="shared" ca="1" si="44"/>
        <v/>
      </c>
      <c r="BT141" s="28" t="str">
        <f t="shared" ca="1" si="45"/>
        <v/>
      </c>
    </row>
    <row r="142" spans="1:72" x14ac:dyDescent="0.2">
      <c r="A142" s="18" t="str" cm="1">
        <f t="array" aca="1" ref="A142" ca="1">IF(B142="","","Grupo N˚"&amp;SUMPRODUCT(($B$4:B142&lt;&gt;"")*($B$4:B142&lt;&gt;OFFSET($B$4,-1,0,ROWS($B$4:B142),1))))</f>
        <v/>
      </c>
      <c r="B142" s="31"/>
      <c r="C142" s="31"/>
      <c r="D142" s="31"/>
      <c r="E142" s="31"/>
      <c r="F142" s="32"/>
      <c r="G142" s="33"/>
      <c r="H142" s="33"/>
      <c r="I142" s="20" t="str">
        <f t="shared" si="34"/>
        <v/>
      </c>
      <c r="J142" s="21" t="str">
        <f>IFERROR(VLOOKUP(BR142,Pricing!$D$3:$E$58,2,FALSE),"")</f>
        <v/>
      </c>
      <c r="K142" s="32"/>
      <c r="L142" s="32"/>
      <c r="M142" s="32"/>
      <c r="N142" s="36" t="str" cm="1">
        <f t="array" ref="N142">IFERROR(_xlfn.IFS((AND(K142="SI",M142="$")),J142*0.2,AND(K142="SI",M142="%"),20),"")</f>
        <v/>
      </c>
      <c r="O142" s="29" t="str">
        <f t="shared" si="35"/>
        <v/>
      </c>
      <c r="P142" s="21" t="str">
        <f t="shared" si="36"/>
        <v/>
      </c>
      <c r="Q142" s="21" t="str">
        <f t="shared" si="37"/>
        <v/>
      </c>
      <c r="R142" s="21" t="str">
        <f t="shared" si="38"/>
        <v/>
      </c>
      <c r="S142" s="39"/>
      <c r="T142" s="43" t="str">
        <f t="shared" si="46"/>
        <v/>
      </c>
      <c r="U142" s="49" t="str">
        <f t="shared" si="47"/>
        <v/>
      </c>
      <c r="V142" s="48" t="str">
        <f t="shared" si="48"/>
        <v/>
      </c>
      <c r="W142" s="48" t="str">
        <f t="shared" si="39"/>
        <v/>
      </c>
      <c r="X142" s="50" t="str">
        <f>IF(W142="","",SUMIF($B$4:$B$1002,B142,$W$4:$W$1000))</f>
        <v/>
      </c>
      <c r="Y142" s="43" t="str">
        <f t="shared" si="40"/>
        <v/>
      </c>
      <c r="Z142" s="49" t="str">
        <f t="shared" si="41"/>
        <v/>
      </c>
      <c r="AA142" s="48" t="str">
        <f t="shared" si="42"/>
        <v/>
      </c>
      <c r="AB142" s="49" t="str">
        <f t="shared" si="43"/>
        <v/>
      </c>
      <c r="AC142" s="50" t="str">
        <f>IF(AB142="","",SUMIF($B$4:$B$1002,B142,$AB$4:$AB$1000))</f>
        <v/>
      </c>
      <c r="AD142" s="69"/>
      <c r="AE142" s="56"/>
      <c r="AF142" s="52"/>
      <c r="AG142" s="51"/>
      <c r="AH142" s="70"/>
      <c r="AI142" s="58"/>
      <c r="AJ142" s="55"/>
      <c r="AK142" s="51"/>
      <c r="AL142" s="69"/>
      <c r="AM142" s="56"/>
      <c r="AN142" s="52"/>
      <c r="AO142" s="51"/>
      <c r="AP142" s="70"/>
      <c r="AQ142" s="58"/>
      <c r="AR142" s="55"/>
      <c r="AS142" s="51"/>
      <c r="AT142" s="69"/>
      <c r="AU142" s="56"/>
      <c r="AV142" s="52"/>
      <c r="AW142" s="51"/>
      <c r="BR142" s="34" t="str">
        <f>IF(E142="","",CONCATENATE(E142," ",F142," noches"))</f>
        <v/>
      </c>
      <c r="BS142" s="28" t="str">
        <f t="shared" ca="1" si="44"/>
        <v/>
      </c>
      <c r="BT142" s="28" t="str">
        <f t="shared" ca="1" si="45"/>
        <v/>
      </c>
    </row>
    <row r="143" spans="1:72" x14ac:dyDescent="0.2">
      <c r="A143" s="18" t="str" cm="1">
        <f t="array" aca="1" ref="A143" ca="1">IF(B143="","","Grupo N˚"&amp;SUMPRODUCT(($B$4:B143&lt;&gt;"")*($B$4:B143&lt;&gt;OFFSET($B$4,-1,0,ROWS($B$4:B143),1))))</f>
        <v/>
      </c>
      <c r="B143" s="31"/>
      <c r="C143" s="31"/>
      <c r="D143" s="31"/>
      <c r="E143" s="31"/>
      <c r="F143" s="32"/>
      <c r="G143" s="33"/>
      <c r="H143" s="33"/>
      <c r="I143" s="20" t="str">
        <f t="shared" si="34"/>
        <v/>
      </c>
      <c r="J143" s="21" t="str">
        <f>IFERROR(VLOOKUP(BR143,Pricing!$D$3:$E$58,2,FALSE),"")</f>
        <v/>
      </c>
      <c r="K143" s="32"/>
      <c r="L143" s="32"/>
      <c r="M143" s="32"/>
      <c r="N143" s="36" t="str" cm="1">
        <f t="array" ref="N143">IFERROR(_xlfn.IFS((AND(K143="SI",M143="$")),J143*0.2,AND(K143="SI",M143="%"),20),"")</f>
        <v/>
      </c>
      <c r="O143" s="29" t="str">
        <f t="shared" si="35"/>
        <v/>
      </c>
      <c r="P143" s="21" t="str">
        <f t="shared" si="36"/>
        <v/>
      </c>
      <c r="Q143" s="21" t="str">
        <f t="shared" si="37"/>
        <v/>
      </c>
      <c r="R143" s="21" t="str">
        <f t="shared" si="38"/>
        <v/>
      </c>
      <c r="S143" s="39"/>
      <c r="T143" s="43" t="str">
        <f t="shared" si="46"/>
        <v/>
      </c>
      <c r="U143" s="49" t="str">
        <f t="shared" si="47"/>
        <v/>
      </c>
      <c r="V143" s="48" t="str">
        <f t="shared" si="48"/>
        <v/>
      </c>
      <c r="W143" s="48" t="str">
        <f t="shared" si="39"/>
        <v/>
      </c>
      <c r="X143" s="50" t="str">
        <f>IF(W143="","",SUMIF($B$4:$B$1002,B143,$W$4:$W$1000))</f>
        <v/>
      </c>
      <c r="Y143" s="43" t="str">
        <f t="shared" si="40"/>
        <v/>
      </c>
      <c r="Z143" s="49" t="str">
        <f t="shared" si="41"/>
        <v/>
      </c>
      <c r="AA143" s="48" t="str">
        <f t="shared" si="42"/>
        <v/>
      </c>
      <c r="AB143" s="49" t="str">
        <f t="shared" si="43"/>
        <v/>
      </c>
      <c r="AC143" s="50" t="str">
        <f>IF(AB143="","",SUMIF($B$4:$B$1002,B143,$AB$4:$AB$1000))</f>
        <v/>
      </c>
      <c r="AD143" s="69"/>
      <c r="AE143" s="56"/>
      <c r="AF143" s="52"/>
      <c r="AG143" s="51"/>
      <c r="AH143" s="70"/>
      <c r="AI143" s="58"/>
      <c r="AJ143" s="55"/>
      <c r="AK143" s="51"/>
      <c r="AL143" s="69"/>
      <c r="AM143" s="56"/>
      <c r="AN143" s="52"/>
      <c r="AO143" s="51"/>
      <c r="AP143" s="70"/>
      <c r="AQ143" s="58"/>
      <c r="AR143" s="55"/>
      <c r="AS143" s="51"/>
      <c r="AT143" s="69"/>
      <c r="AU143" s="56"/>
      <c r="AV143" s="52"/>
      <c r="AW143" s="51"/>
      <c r="BR143" s="34" t="str">
        <f>IF(E143="","",CONCATENATE(E143," ",F143," noches"))</f>
        <v/>
      </c>
      <c r="BS143" s="28" t="str">
        <f t="shared" ca="1" si="44"/>
        <v/>
      </c>
      <c r="BT143" s="28" t="str">
        <f t="shared" ca="1" si="45"/>
        <v/>
      </c>
    </row>
    <row r="144" spans="1:72" x14ac:dyDescent="0.2">
      <c r="A144" s="18" t="str" cm="1">
        <f t="array" aca="1" ref="A144" ca="1">IF(B144="","","Grupo N˚"&amp;SUMPRODUCT(($B$4:B144&lt;&gt;"")*($B$4:B144&lt;&gt;OFFSET($B$4,-1,0,ROWS($B$4:B144),1))))</f>
        <v/>
      </c>
      <c r="B144" s="31"/>
      <c r="C144" s="31"/>
      <c r="D144" s="31"/>
      <c r="E144" s="31"/>
      <c r="F144" s="32"/>
      <c r="G144" s="33"/>
      <c r="H144" s="33"/>
      <c r="I144" s="20" t="str">
        <f t="shared" si="34"/>
        <v/>
      </c>
      <c r="J144" s="21" t="str">
        <f>IFERROR(VLOOKUP(BR144,Pricing!$D$3:$E$58,2,FALSE),"")</f>
        <v/>
      </c>
      <c r="K144" s="32"/>
      <c r="L144" s="32"/>
      <c r="M144" s="32"/>
      <c r="N144" s="36" t="str" cm="1">
        <f t="array" ref="N144">IFERROR(_xlfn.IFS((AND(K144="SI",M144="$")),J144*0.2,AND(K144="SI",M144="%"),20),"")</f>
        <v/>
      </c>
      <c r="O144" s="29" t="str">
        <f t="shared" si="35"/>
        <v/>
      </c>
      <c r="P144" s="21" t="str">
        <f t="shared" si="36"/>
        <v/>
      </c>
      <c r="Q144" s="21" t="str">
        <f t="shared" si="37"/>
        <v/>
      </c>
      <c r="R144" s="21" t="str">
        <f t="shared" si="38"/>
        <v/>
      </c>
      <c r="S144" s="39"/>
      <c r="T144" s="43" t="str">
        <f t="shared" si="46"/>
        <v/>
      </c>
      <c r="U144" s="49" t="str">
        <f t="shared" si="47"/>
        <v/>
      </c>
      <c r="V144" s="48" t="str">
        <f t="shared" si="48"/>
        <v/>
      </c>
      <c r="W144" s="48" t="str">
        <f t="shared" si="39"/>
        <v/>
      </c>
      <c r="X144" s="50" t="str">
        <f>IF(W144="","",SUMIF($B$4:$B$1002,B144,$W$4:$W$1000))</f>
        <v/>
      </c>
      <c r="Y144" s="43" t="str">
        <f t="shared" si="40"/>
        <v/>
      </c>
      <c r="Z144" s="49" t="str">
        <f t="shared" si="41"/>
        <v/>
      </c>
      <c r="AA144" s="48" t="str">
        <f t="shared" si="42"/>
        <v/>
      </c>
      <c r="AB144" s="49" t="str">
        <f t="shared" si="43"/>
        <v/>
      </c>
      <c r="AC144" s="50" t="str">
        <f>IF(AB144="","",SUMIF($B$4:$B$1002,B144,$AB$4:$AB$1000))</f>
        <v/>
      </c>
      <c r="AD144" s="69"/>
      <c r="AE144" s="56"/>
      <c r="AF144" s="52"/>
      <c r="AG144" s="51"/>
      <c r="AH144" s="70"/>
      <c r="AI144" s="58"/>
      <c r="AJ144" s="55"/>
      <c r="AK144" s="51"/>
      <c r="AL144" s="69"/>
      <c r="AM144" s="56"/>
      <c r="AN144" s="52"/>
      <c r="AO144" s="51"/>
      <c r="AP144" s="70"/>
      <c r="AQ144" s="58"/>
      <c r="AR144" s="55"/>
      <c r="AS144" s="51"/>
      <c r="AT144" s="69"/>
      <c r="AU144" s="56"/>
      <c r="AV144" s="52"/>
      <c r="AW144" s="51"/>
      <c r="BR144" s="34" t="str">
        <f>IF(E144="","",CONCATENATE(E144," ",F144," noches"))</f>
        <v/>
      </c>
      <c r="BS144" s="28" t="str">
        <f t="shared" ca="1" si="44"/>
        <v/>
      </c>
      <c r="BT144" s="28" t="str">
        <f t="shared" ca="1" si="45"/>
        <v/>
      </c>
    </row>
    <row r="145" spans="1:72" x14ac:dyDescent="0.2">
      <c r="A145" s="18" t="str" cm="1">
        <f t="array" aca="1" ref="A145" ca="1">IF(B145="","","Grupo N˚"&amp;SUMPRODUCT(($B$4:B145&lt;&gt;"")*($B$4:B145&lt;&gt;OFFSET($B$4,-1,0,ROWS($B$4:B145),1))))</f>
        <v/>
      </c>
      <c r="B145" s="31"/>
      <c r="C145" s="31"/>
      <c r="D145" s="31"/>
      <c r="E145" s="31"/>
      <c r="F145" s="32"/>
      <c r="G145" s="33"/>
      <c r="H145" s="33"/>
      <c r="I145" s="20" t="str">
        <f t="shared" si="34"/>
        <v/>
      </c>
      <c r="J145" s="21" t="str">
        <f>IFERROR(VLOOKUP(BR145,Pricing!$D$3:$E$58,2,FALSE),"")</f>
        <v/>
      </c>
      <c r="K145" s="32"/>
      <c r="L145" s="32"/>
      <c r="M145" s="32"/>
      <c r="N145" s="36" t="str" cm="1">
        <f t="array" ref="N145">IFERROR(_xlfn.IFS((AND(K145="SI",M145="$")),J145*0.2,AND(K145="SI",M145="%"),20),"")</f>
        <v/>
      </c>
      <c r="O145" s="29" t="str">
        <f t="shared" si="35"/>
        <v/>
      </c>
      <c r="P145" s="21" t="str">
        <f t="shared" si="36"/>
        <v/>
      </c>
      <c r="Q145" s="21" t="str">
        <f t="shared" si="37"/>
        <v/>
      </c>
      <c r="R145" s="21" t="str">
        <f t="shared" si="38"/>
        <v/>
      </c>
      <c r="S145" s="39"/>
      <c r="T145" s="43" t="str">
        <f t="shared" si="46"/>
        <v/>
      </c>
      <c r="U145" s="49" t="str">
        <f t="shared" si="47"/>
        <v/>
      </c>
      <c r="V145" s="48" t="str">
        <f t="shared" si="48"/>
        <v/>
      </c>
      <c r="W145" s="48" t="str">
        <f t="shared" si="39"/>
        <v/>
      </c>
      <c r="X145" s="50" t="str">
        <f>IF(W145="","",SUMIF($B$4:$B$1002,B145,$W$4:$W$1000))</f>
        <v/>
      </c>
      <c r="Y145" s="43" t="str">
        <f t="shared" si="40"/>
        <v/>
      </c>
      <c r="Z145" s="49" t="str">
        <f t="shared" si="41"/>
        <v/>
      </c>
      <c r="AA145" s="48" t="str">
        <f t="shared" si="42"/>
        <v/>
      </c>
      <c r="AB145" s="49" t="str">
        <f t="shared" si="43"/>
        <v/>
      </c>
      <c r="AC145" s="50" t="str">
        <f>IF(AB145="","",SUMIF($B$4:$B$1002,B145,$AB$4:$AB$1000))</f>
        <v/>
      </c>
      <c r="AD145" s="69"/>
      <c r="AE145" s="56"/>
      <c r="AF145" s="52"/>
      <c r="AG145" s="51"/>
      <c r="AH145" s="70"/>
      <c r="AI145" s="58"/>
      <c r="AJ145" s="55"/>
      <c r="AK145" s="51"/>
      <c r="AL145" s="69"/>
      <c r="AM145" s="56"/>
      <c r="AN145" s="52"/>
      <c r="AO145" s="51"/>
      <c r="AP145" s="70"/>
      <c r="AQ145" s="58"/>
      <c r="AR145" s="55"/>
      <c r="AS145" s="51"/>
      <c r="AT145" s="69"/>
      <c r="AU145" s="56"/>
      <c r="AV145" s="52"/>
      <c r="AW145" s="51"/>
      <c r="BR145" s="34" t="str">
        <f>IF(E145="","",CONCATENATE(E145," ",F145," noches"))</f>
        <v/>
      </c>
      <c r="BS145" s="28" t="str">
        <f t="shared" ca="1" si="44"/>
        <v/>
      </c>
      <c r="BT145" s="28" t="str">
        <f t="shared" ca="1" si="45"/>
        <v/>
      </c>
    </row>
    <row r="146" spans="1:72" x14ac:dyDescent="0.2">
      <c r="A146" s="18" t="str" cm="1">
        <f t="array" aca="1" ref="A146" ca="1">IF(B146="","","Grupo N˚"&amp;SUMPRODUCT(($B$4:B146&lt;&gt;"")*($B$4:B146&lt;&gt;OFFSET($B$4,-1,0,ROWS($B$4:B146),1))))</f>
        <v/>
      </c>
      <c r="B146" s="31"/>
      <c r="C146" s="31"/>
      <c r="D146" s="31"/>
      <c r="E146" s="31"/>
      <c r="F146" s="32"/>
      <c r="G146" s="33"/>
      <c r="H146" s="33"/>
      <c r="I146" s="20" t="str">
        <f t="shared" si="34"/>
        <v/>
      </c>
      <c r="J146" s="21" t="str">
        <f>IFERROR(VLOOKUP(BR146,Pricing!$D$3:$E$58,2,FALSE),"")</f>
        <v/>
      </c>
      <c r="K146" s="32"/>
      <c r="L146" s="32"/>
      <c r="M146" s="32"/>
      <c r="N146" s="36" t="str" cm="1">
        <f t="array" ref="N146">IFERROR(_xlfn.IFS((AND(K146="SI",M146="$")),J146*0.2,AND(K146="SI",M146="%"),20),"")</f>
        <v/>
      </c>
      <c r="O146" s="29" t="str">
        <f t="shared" si="35"/>
        <v/>
      </c>
      <c r="P146" s="21" t="str">
        <f t="shared" si="36"/>
        <v/>
      </c>
      <c r="Q146" s="21" t="str">
        <f t="shared" si="37"/>
        <v/>
      </c>
      <c r="R146" s="21" t="str">
        <f t="shared" si="38"/>
        <v/>
      </c>
      <c r="S146" s="39"/>
      <c r="T146" s="43" t="str">
        <f t="shared" si="46"/>
        <v/>
      </c>
      <c r="U146" s="49" t="str">
        <f t="shared" si="47"/>
        <v/>
      </c>
      <c r="V146" s="48" t="str">
        <f t="shared" si="48"/>
        <v/>
      </c>
      <c r="W146" s="48" t="str">
        <f t="shared" si="39"/>
        <v/>
      </c>
      <c r="X146" s="50" t="str">
        <f>IF(W146="","",SUMIF($B$4:$B$1002,B146,$W$4:$W$1000))</f>
        <v/>
      </c>
      <c r="Y146" s="43" t="str">
        <f t="shared" si="40"/>
        <v/>
      </c>
      <c r="Z146" s="49" t="str">
        <f t="shared" si="41"/>
        <v/>
      </c>
      <c r="AA146" s="48" t="str">
        <f t="shared" si="42"/>
        <v/>
      </c>
      <c r="AB146" s="49" t="str">
        <f t="shared" si="43"/>
        <v/>
      </c>
      <c r="AC146" s="50" t="str">
        <f>IF(AB146="","",SUMIF($B$4:$B$1002,B146,$AB$4:$AB$1000))</f>
        <v/>
      </c>
      <c r="AD146" s="69"/>
      <c r="AE146" s="56"/>
      <c r="AF146" s="52"/>
      <c r="AG146" s="51"/>
      <c r="AH146" s="70"/>
      <c r="AI146" s="58"/>
      <c r="AJ146" s="55"/>
      <c r="AK146" s="51"/>
      <c r="AL146" s="69"/>
      <c r="AM146" s="56"/>
      <c r="AN146" s="52"/>
      <c r="AO146" s="51"/>
      <c r="AP146" s="70"/>
      <c r="AQ146" s="58"/>
      <c r="AR146" s="55"/>
      <c r="AS146" s="51"/>
      <c r="AT146" s="69"/>
      <c r="AU146" s="56"/>
      <c r="AV146" s="52"/>
      <c r="AW146" s="51"/>
      <c r="BR146" s="34" t="str">
        <f>IF(E146="","",CONCATENATE(E146," ",F146," noches"))</f>
        <v/>
      </c>
      <c r="BS146" s="28" t="str">
        <f t="shared" ca="1" si="44"/>
        <v/>
      </c>
      <c r="BT146" s="28" t="str">
        <f t="shared" ca="1" si="45"/>
        <v/>
      </c>
    </row>
    <row r="147" spans="1:72" x14ac:dyDescent="0.2">
      <c r="A147" s="18" t="str" cm="1">
        <f t="array" aca="1" ref="A147" ca="1">IF(B147="","","Grupo N˚"&amp;SUMPRODUCT(($B$4:B147&lt;&gt;"")*($B$4:B147&lt;&gt;OFFSET($B$4,-1,0,ROWS($B$4:B147),1))))</f>
        <v/>
      </c>
      <c r="B147" s="31"/>
      <c r="C147" s="31"/>
      <c r="D147" s="31"/>
      <c r="E147" s="31"/>
      <c r="F147" s="32"/>
      <c r="G147" s="33"/>
      <c r="H147" s="33"/>
      <c r="I147" s="20" t="str">
        <f t="shared" si="34"/>
        <v/>
      </c>
      <c r="J147" s="21" t="str">
        <f>IFERROR(VLOOKUP(BR147,Pricing!$D$3:$E$58,2,FALSE),"")</f>
        <v/>
      </c>
      <c r="K147" s="32"/>
      <c r="L147" s="32"/>
      <c r="M147" s="32"/>
      <c r="N147" s="36" t="str" cm="1">
        <f t="array" ref="N147">IFERROR(_xlfn.IFS((AND(K147="SI",M147="$")),J147*0.2,AND(K147="SI",M147="%"),20),"")</f>
        <v/>
      </c>
      <c r="O147" s="29" t="str">
        <f t="shared" si="35"/>
        <v/>
      </c>
      <c r="P147" s="21" t="str">
        <f t="shared" si="36"/>
        <v/>
      </c>
      <c r="Q147" s="21" t="str">
        <f t="shared" si="37"/>
        <v/>
      </c>
      <c r="R147" s="21" t="str">
        <f t="shared" si="38"/>
        <v/>
      </c>
      <c r="S147" s="39"/>
      <c r="T147" s="43" t="str">
        <f t="shared" si="46"/>
        <v/>
      </c>
      <c r="U147" s="49" t="str">
        <f t="shared" si="47"/>
        <v/>
      </c>
      <c r="V147" s="48" t="str">
        <f t="shared" si="48"/>
        <v/>
      </c>
      <c r="W147" s="48" t="str">
        <f t="shared" si="39"/>
        <v/>
      </c>
      <c r="X147" s="50" t="str">
        <f>IF(W147="","",SUMIF($B$4:$B$1002,B147,$W$4:$W$1000))</f>
        <v/>
      </c>
      <c r="Y147" s="43" t="str">
        <f t="shared" si="40"/>
        <v/>
      </c>
      <c r="Z147" s="49" t="str">
        <f t="shared" si="41"/>
        <v/>
      </c>
      <c r="AA147" s="48" t="str">
        <f t="shared" si="42"/>
        <v/>
      </c>
      <c r="AB147" s="49" t="str">
        <f t="shared" si="43"/>
        <v/>
      </c>
      <c r="AC147" s="50" t="str">
        <f>IF(AB147="","",SUMIF($B$4:$B$1002,B147,$AB$4:$AB$1000))</f>
        <v/>
      </c>
      <c r="AD147" s="69"/>
      <c r="AE147" s="56"/>
      <c r="AF147" s="52"/>
      <c r="AG147" s="51"/>
      <c r="AH147" s="70"/>
      <c r="AI147" s="58"/>
      <c r="AJ147" s="55"/>
      <c r="AK147" s="51"/>
      <c r="AL147" s="69"/>
      <c r="AM147" s="56"/>
      <c r="AN147" s="52"/>
      <c r="AO147" s="51"/>
      <c r="AP147" s="70"/>
      <c r="AQ147" s="58"/>
      <c r="AR147" s="55"/>
      <c r="AS147" s="51"/>
      <c r="AT147" s="69"/>
      <c r="AU147" s="56"/>
      <c r="AV147" s="52"/>
      <c r="AW147" s="51"/>
      <c r="BR147" s="34" t="str">
        <f>IF(E147="","",CONCATENATE(E147," ",F147," noches"))</f>
        <v/>
      </c>
      <c r="BS147" s="28" t="str">
        <f t="shared" ca="1" si="44"/>
        <v/>
      </c>
      <c r="BT147" s="28" t="str">
        <f t="shared" ca="1" si="45"/>
        <v/>
      </c>
    </row>
    <row r="148" spans="1:72" x14ac:dyDescent="0.2">
      <c r="A148" s="18" t="str" cm="1">
        <f t="array" aca="1" ref="A148" ca="1">IF(B148="","","Grupo N˚"&amp;SUMPRODUCT(($B$4:B148&lt;&gt;"")*($B$4:B148&lt;&gt;OFFSET($B$4,-1,0,ROWS($B$4:B148),1))))</f>
        <v/>
      </c>
      <c r="B148" s="31"/>
      <c r="C148" s="31"/>
      <c r="D148" s="31"/>
      <c r="E148" s="31"/>
      <c r="F148" s="32"/>
      <c r="G148" s="33"/>
      <c r="H148" s="33"/>
      <c r="I148" s="20" t="str">
        <f t="shared" si="34"/>
        <v/>
      </c>
      <c r="J148" s="21" t="str">
        <f>IFERROR(VLOOKUP(BR148,Pricing!$D$3:$E$58,2,FALSE),"")</f>
        <v/>
      </c>
      <c r="K148" s="32"/>
      <c r="L148" s="32"/>
      <c r="M148" s="32"/>
      <c r="N148" s="36" t="str" cm="1">
        <f t="array" ref="N148">IFERROR(_xlfn.IFS((AND(K148="SI",M148="$")),J148*0.2,AND(K148="SI",M148="%"),20),"")</f>
        <v/>
      </c>
      <c r="O148" s="29" t="str">
        <f t="shared" si="35"/>
        <v/>
      </c>
      <c r="P148" s="21" t="str">
        <f t="shared" si="36"/>
        <v/>
      </c>
      <c r="Q148" s="21" t="str">
        <f t="shared" si="37"/>
        <v/>
      </c>
      <c r="R148" s="21" t="str">
        <f t="shared" si="38"/>
        <v/>
      </c>
      <c r="S148" s="39"/>
      <c r="T148" s="43" t="str">
        <f t="shared" si="46"/>
        <v/>
      </c>
      <c r="U148" s="49" t="str">
        <f t="shared" si="47"/>
        <v/>
      </c>
      <c r="V148" s="48" t="str">
        <f t="shared" si="48"/>
        <v/>
      </c>
      <c r="W148" s="48" t="str">
        <f t="shared" si="39"/>
        <v/>
      </c>
      <c r="X148" s="50" t="str">
        <f>IF(W148="","",SUMIF($B$4:$B$1002,B148,$W$4:$W$1000))</f>
        <v/>
      </c>
      <c r="Y148" s="43" t="str">
        <f t="shared" si="40"/>
        <v/>
      </c>
      <c r="Z148" s="49" t="str">
        <f t="shared" si="41"/>
        <v/>
      </c>
      <c r="AA148" s="48" t="str">
        <f t="shared" si="42"/>
        <v/>
      </c>
      <c r="AB148" s="49" t="str">
        <f t="shared" si="43"/>
        <v/>
      </c>
      <c r="AC148" s="50" t="str">
        <f>IF(AB148="","",SUMIF($B$4:$B$1002,B148,$AB$4:$AB$1000))</f>
        <v/>
      </c>
      <c r="AD148" s="69"/>
      <c r="AE148" s="56"/>
      <c r="AF148" s="52"/>
      <c r="AG148" s="51"/>
      <c r="AH148" s="70"/>
      <c r="AI148" s="58"/>
      <c r="AJ148" s="55"/>
      <c r="AK148" s="51"/>
      <c r="AL148" s="69"/>
      <c r="AM148" s="56"/>
      <c r="AN148" s="52"/>
      <c r="AO148" s="51"/>
      <c r="AP148" s="70"/>
      <c r="AQ148" s="58"/>
      <c r="AR148" s="55"/>
      <c r="AS148" s="51"/>
      <c r="AT148" s="69"/>
      <c r="AU148" s="56"/>
      <c r="AV148" s="52"/>
      <c r="AW148" s="51"/>
      <c r="BR148" s="34" t="str">
        <f>IF(E148="","",CONCATENATE(E148," ",F148," noches"))</f>
        <v/>
      </c>
      <c r="BS148" s="28" t="str">
        <f t="shared" ca="1" si="44"/>
        <v/>
      </c>
      <c r="BT148" s="28" t="str">
        <f t="shared" ca="1" si="45"/>
        <v/>
      </c>
    </row>
    <row r="149" spans="1:72" x14ac:dyDescent="0.2">
      <c r="A149" s="18" t="str" cm="1">
        <f t="array" aca="1" ref="A149" ca="1">IF(B149="","","Grupo N˚"&amp;SUMPRODUCT(($B$4:B149&lt;&gt;"")*($B$4:B149&lt;&gt;OFFSET($B$4,-1,0,ROWS($B$4:B149),1))))</f>
        <v/>
      </c>
      <c r="B149" s="31"/>
      <c r="C149" s="31"/>
      <c r="D149" s="31"/>
      <c r="E149" s="31"/>
      <c r="F149" s="32"/>
      <c r="G149" s="33"/>
      <c r="H149" s="33"/>
      <c r="I149" s="20" t="str">
        <f t="shared" si="34"/>
        <v/>
      </c>
      <c r="J149" s="21" t="str">
        <f>IFERROR(VLOOKUP(BR149,Pricing!$D$3:$E$58,2,FALSE),"")</f>
        <v/>
      </c>
      <c r="K149" s="32"/>
      <c r="L149" s="32"/>
      <c r="M149" s="32"/>
      <c r="N149" s="36" t="str" cm="1">
        <f t="array" ref="N149">IFERROR(_xlfn.IFS((AND(K149="SI",M149="$")),J149*0.2,AND(K149="SI",M149="%"),20),"")</f>
        <v/>
      </c>
      <c r="O149" s="29" t="str">
        <f t="shared" si="35"/>
        <v/>
      </c>
      <c r="P149" s="21" t="str">
        <f t="shared" si="36"/>
        <v/>
      </c>
      <c r="Q149" s="21" t="str">
        <f t="shared" si="37"/>
        <v/>
      </c>
      <c r="R149" s="21" t="str">
        <f t="shared" si="38"/>
        <v/>
      </c>
      <c r="S149" s="39"/>
      <c r="T149" s="43" t="str">
        <f t="shared" si="46"/>
        <v/>
      </c>
      <c r="U149" s="49" t="str">
        <f t="shared" si="47"/>
        <v/>
      </c>
      <c r="V149" s="48" t="str">
        <f t="shared" si="48"/>
        <v/>
      </c>
      <c r="W149" s="48" t="str">
        <f t="shared" si="39"/>
        <v/>
      </c>
      <c r="X149" s="50" t="str">
        <f>IF(W149="","",SUMIF($B$4:$B$1002,B149,$W$4:$W$1000))</f>
        <v/>
      </c>
      <c r="Y149" s="43" t="str">
        <f t="shared" si="40"/>
        <v/>
      </c>
      <c r="Z149" s="49" t="str">
        <f t="shared" si="41"/>
        <v/>
      </c>
      <c r="AA149" s="48" t="str">
        <f t="shared" si="42"/>
        <v/>
      </c>
      <c r="AB149" s="49" t="str">
        <f t="shared" si="43"/>
        <v/>
      </c>
      <c r="AC149" s="50" t="str">
        <f>IF(AB149="","",SUMIF($B$4:$B$1002,B149,$AB$4:$AB$1000))</f>
        <v/>
      </c>
      <c r="AD149" s="69"/>
      <c r="AE149" s="56"/>
      <c r="AF149" s="52"/>
      <c r="AG149" s="51"/>
      <c r="AH149" s="70"/>
      <c r="AI149" s="58"/>
      <c r="AJ149" s="55"/>
      <c r="AK149" s="51"/>
      <c r="AL149" s="69"/>
      <c r="AM149" s="56"/>
      <c r="AN149" s="52"/>
      <c r="AO149" s="51"/>
      <c r="AP149" s="70"/>
      <c r="AQ149" s="58"/>
      <c r="AR149" s="55"/>
      <c r="AS149" s="51"/>
      <c r="AT149" s="69"/>
      <c r="AU149" s="56"/>
      <c r="AV149" s="52"/>
      <c r="AW149" s="51"/>
      <c r="BR149" s="34" t="str">
        <f>IF(E149="","",CONCATENATE(E149," ",F149," noches"))</f>
        <v/>
      </c>
      <c r="BS149" s="28" t="str">
        <f t="shared" ca="1" si="44"/>
        <v/>
      </c>
      <c r="BT149" s="28" t="str">
        <f t="shared" ca="1" si="45"/>
        <v/>
      </c>
    </row>
    <row r="150" spans="1:72" x14ac:dyDescent="0.2">
      <c r="A150" s="18" t="str" cm="1">
        <f t="array" aca="1" ref="A150" ca="1">IF(B150="","","Grupo N˚"&amp;SUMPRODUCT(($B$4:B150&lt;&gt;"")*($B$4:B150&lt;&gt;OFFSET($B$4,-1,0,ROWS($B$4:B150),1))))</f>
        <v/>
      </c>
      <c r="B150" s="31"/>
      <c r="C150" s="31"/>
      <c r="D150" s="31"/>
      <c r="E150" s="31"/>
      <c r="F150" s="32"/>
      <c r="G150" s="33"/>
      <c r="H150" s="33"/>
      <c r="I150" s="20" t="str">
        <f t="shared" si="34"/>
        <v/>
      </c>
      <c r="J150" s="21" t="str">
        <f>IFERROR(VLOOKUP(BR150,Pricing!$D$3:$E$58,2,FALSE),"")</f>
        <v/>
      </c>
      <c r="K150" s="32"/>
      <c r="L150" s="32"/>
      <c r="M150" s="32"/>
      <c r="N150" s="36" t="str" cm="1">
        <f t="array" ref="N150">IFERROR(_xlfn.IFS((AND(K150="SI",M150="$")),J150*0.2,AND(K150="SI",M150="%"),20),"")</f>
        <v/>
      </c>
      <c r="O150" s="29" t="str">
        <f t="shared" si="35"/>
        <v/>
      </c>
      <c r="P150" s="21" t="str">
        <f t="shared" si="36"/>
        <v/>
      </c>
      <c r="Q150" s="21" t="str">
        <f t="shared" si="37"/>
        <v/>
      </c>
      <c r="R150" s="21" t="str">
        <f t="shared" si="38"/>
        <v/>
      </c>
      <c r="S150" s="39"/>
      <c r="T150" s="43" t="str">
        <f t="shared" si="46"/>
        <v/>
      </c>
      <c r="U150" s="49" t="str">
        <f t="shared" si="47"/>
        <v/>
      </c>
      <c r="V150" s="48" t="str">
        <f t="shared" si="48"/>
        <v/>
      </c>
      <c r="W150" s="48" t="str">
        <f t="shared" si="39"/>
        <v/>
      </c>
      <c r="X150" s="50" t="str">
        <f>IF(W150="","",SUMIF($B$4:$B$1002,B150,$W$4:$W$1000))</f>
        <v/>
      </c>
      <c r="Y150" s="43" t="str">
        <f t="shared" si="40"/>
        <v/>
      </c>
      <c r="Z150" s="49" t="str">
        <f t="shared" si="41"/>
        <v/>
      </c>
      <c r="AA150" s="48" t="str">
        <f t="shared" si="42"/>
        <v/>
      </c>
      <c r="AB150" s="49" t="str">
        <f t="shared" si="43"/>
        <v/>
      </c>
      <c r="AC150" s="50" t="str">
        <f>IF(AB150="","",SUMIF($B$4:$B$1002,B150,$AB$4:$AB$1000))</f>
        <v/>
      </c>
      <c r="AD150" s="69"/>
      <c r="AE150" s="56"/>
      <c r="AF150" s="52"/>
      <c r="AG150" s="51"/>
      <c r="AH150" s="70"/>
      <c r="AI150" s="58"/>
      <c r="AJ150" s="55"/>
      <c r="AK150" s="51"/>
      <c r="AL150" s="69"/>
      <c r="AM150" s="56"/>
      <c r="AN150" s="52"/>
      <c r="AO150" s="51"/>
      <c r="AP150" s="70"/>
      <c r="AQ150" s="58"/>
      <c r="AR150" s="55"/>
      <c r="AS150" s="51"/>
      <c r="AT150" s="69"/>
      <c r="AU150" s="56"/>
      <c r="AV150" s="52"/>
      <c r="AW150" s="51"/>
      <c r="BR150" s="34" t="str">
        <f>IF(E150="","",CONCATENATE(E150," ",F150," noches"))</f>
        <v/>
      </c>
      <c r="BS150" s="28" t="str">
        <f t="shared" ca="1" si="44"/>
        <v/>
      </c>
      <c r="BT150" s="28" t="str">
        <f t="shared" ca="1" si="45"/>
        <v/>
      </c>
    </row>
    <row r="151" spans="1:72" x14ac:dyDescent="0.2">
      <c r="A151" s="18" t="str" cm="1">
        <f t="array" aca="1" ref="A151" ca="1">IF(B151="","","Grupo N˚"&amp;SUMPRODUCT(($B$4:B151&lt;&gt;"")*($B$4:B151&lt;&gt;OFFSET($B$4,-1,0,ROWS($B$4:B151),1))))</f>
        <v/>
      </c>
      <c r="B151" s="31"/>
      <c r="C151" s="31"/>
      <c r="D151" s="31"/>
      <c r="E151" s="31"/>
      <c r="F151" s="32"/>
      <c r="G151" s="33"/>
      <c r="H151" s="33"/>
      <c r="I151" s="20" t="str">
        <f t="shared" si="34"/>
        <v/>
      </c>
      <c r="J151" s="21" t="str">
        <f>IFERROR(VLOOKUP(BR151,Pricing!$D$3:$E$58,2,FALSE),"")</f>
        <v/>
      </c>
      <c r="K151" s="32"/>
      <c r="L151" s="32"/>
      <c r="M151" s="32"/>
      <c r="N151" s="36" t="str" cm="1">
        <f t="array" ref="N151">IFERROR(_xlfn.IFS((AND(K151="SI",M151="$")),J151*0.2,AND(K151="SI",M151="%"),20),"")</f>
        <v/>
      </c>
      <c r="O151" s="29" t="str">
        <f t="shared" si="35"/>
        <v/>
      </c>
      <c r="P151" s="21" t="str">
        <f t="shared" si="36"/>
        <v/>
      </c>
      <c r="Q151" s="21" t="str">
        <f t="shared" si="37"/>
        <v/>
      </c>
      <c r="R151" s="21" t="str">
        <f t="shared" si="38"/>
        <v/>
      </c>
      <c r="S151" s="39"/>
      <c r="T151" s="43" t="str">
        <f t="shared" si="46"/>
        <v/>
      </c>
      <c r="U151" s="49" t="str">
        <f t="shared" si="47"/>
        <v/>
      </c>
      <c r="V151" s="48" t="str">
        <f t="shared" si="48"/>
        <v/>
      </c>
      <c r="W151" s="48" t="str">
        <f t="shared" si="39"/>
        <v/>
      </c>
      <c r="X151" s="50" t="str">
        <f>IF(W151="","",SUMIF($B$4:$B$1002,B151,$W$4:$W$1000))</f>
        <v/>
      </c>
      <c r="Y151" s="43" t="str">
        <f t="shared" si="40"/>
        <v/>
      </c>
      <c r="Z151" s="49" t="str">
        <f t="shared" si="41"/>
        <v/>
      </c>
      <c r="AA151" s="48" t="str">
        <f t="shared" si="42"/>
        <v/>
      </c>
      <c r="AB151" s="49" t="str">
        <f t="shared" si="43"/>
        <v/>
      </c>
      <c r="AC151" s="50" t="str">
        <f>IF(AB151="","",SUMIF($B$4:$B$1002,B151,$AB$4:$AB$1000))</f>
        <v/>
      </c>
      <c r="AD151" s="69"/>
      <c r="AE151" s="56"/>
      <c r="AF151" s="52"/>
      <c r="AG151" s="51"/>
      <c r="AH151" s="70"/>
      <c r="AI151" s="58"/>
      <c r="AJ151" s="55"/>
      <c r="AK151" s="51"/>
      <c r="AL151" s="69"/>
      <c r="AM151" s="56"/>
      <c r="AN151" s="52"/>
      <c r="AO151" s="51"/>
      <c r="AP151" s="70"/>
      <c r="AQ151" s="58"/>
      <c r="AR151" s="55"/>
      <c r="AS151" s="51"/>
      <c r="AT151" s="69"/>
      <c r="AU151" s="56"/>
      <c r="AV151" s="52"/>
      <c r="AW151" s="51"/>
      <c r="BR151" s="34" t="str">
        <f>IF(E151="","",CONCATENATE(E151," ",F151," noches"))</f>
        <v/>
      </c>
      <c r="BS151" s="28" t="str">
        <f t="shared" ca="1" si="44"/>
        <v/>
      </c>
      <c r="BT151" s="28" t="str">
        <f t="shared" ca="1" si="45"/>
        <v/>
      </c>
    </row>
    <row r="152" spans="1:72" x14ac:dyDescent="0.2">
      <c r="A152" s="18" t="str" cm="1">
        <f t="array" aca="1" ref="A152" ca="1">IF(B152="","","Grupo N˚"&amp;SUMPRODUCT(($B$4:B152&lt;&gt;"")*($B$4:B152&lt;&gt;OFFSET($B$4,-1,0,ROWS($B$4:B152),1))))</f>
        <v/>
      </c>
      <c r="B152" s="31"/>
      <c r="C152" s="31"/>
      <c r="D152" s="31"/>
      <c r="E152" s="31"/>
      <c r="F152" s="32"/>
      <c r="G152" s="33"/>
      <c r="H152" s="33"/>
      <c r="I152" s="20" t="str">
        <f t="shared" si="34"/>
        <v/>
      </c>
      <c r="J152" s="21" t="str">
        <f>IFERROR(VLOOKUP(BR152,Pricing!$D$3:$E$58,2,FALSE),"")</f>
        <v/>
      </c>
      <c r="K152" s="32"/>
      <c r="L152" s="32"/>
      <c r="M152" s="32"/>
      <c r="N152" s="36" t="str" cm="1">
        <f t="array" ref="N152">IFERROR(_xlfn.IFS((AND(K152="SI",M152="$")),J152*0.2,AND(K152="SI",M152="%"),20),"")</f>
        <v/>
      </c>
      <c r="O152" s="29" t="str">
        <f t="shared" si="35"/>
        <v/>
      </c>
      <c r="P152" s="21" t="str">
        <f t="shared" si="36"/>
        <v/>
      </c>
      <c r="Q152" s="21" t="str">
        <f t="shared" si="37"/>
        <v/>
      </c>
      <c r="R152" s="21" t="str">
        <f t="shared" si="38"/>
        <v/>
      </c>
      <c r="S152" s="39"/>
      <c r="T152" s="43" t="str">
        <f t="shared" si="46"/>
        <v/>
      </c>
      <c r="U152" s="49" t="str">
        <f t="shared" si="47"/>
        <v/>
      </c>
      <c r="V152" s="48" t="str">
        <f t="shared" si="48"/>
        <v/>
      </c>
      <c r="W152" s="48" t="str">
        <f t="shared" si="39"/>
        <v/>
      </c>
      <c r="X152" s="50" t="str">
        <f>IF(W152="","",SUMIF($B$4:$B$1002,B152,$W$4:$W$1000))</f>
        <v/>
      </c>
      <c r="Y152" s="43" t="str">
        <f t="shared" si="40"/>
        <v/>
      </c>
      <c r="Z152" s="49" t="str">
        <f t="shared" si="41"/>
        <v/>
      </c>
      <c r="AA152" s="48" t="str">
        <f t="shared" si="42"/>
        <v/>
      </c>
      <c r="AB152" s="49" t="str">
        <f t="shared" si="43"/>
        <v/>
      </c>
      <c r="AC152" s="50" t="str">
        <f>IF(AB152="","",SUMIF($B$4:$B$1002,B152,$AB$4:$AB$1000))</f>
        <v/>
      </c>
      <c r="AD152" s="69"/>
      <c r="AE152" s="56"/>
      <c r="AF152" s="52"/>
      <c r="AG152" s="51"/>
      <c r="AH152" s="70"/>
      <c r="AI152" s="58"/>
      <c r="AJ152" s="55"/>
      <c r="AK152" s="51"/>
      <c r="AL152" s="69"/>
      <c r="AM152" s="56"/>
      <c r="AN152" s="52"/>
      <c r="AO152" s="51"/>
      <c r="AP152" s="70"/>
      <c r="AQ152" s="58"/>
      <c r="AR152" s="55"/>
      <c r="AS152" s="51"/>
      <c r="AT152" s="69"/>
      <c r="AU152" s="56"/>
      <c r="AV152" s="52"/>
      <c r="AW152" s="51"/>
      <c r="BR152" s="34" t="str">
        <f>IF(E152="","",CONCATENATE(E152," ",F152," noches"))</f>
        <v/>
      </c>
      <c r="BS152" s="28" t="str">
        <f t="shared" ca="1" si="44"/>
        <v/>
      </c>
      <c r="BT152" s="28" t="str">
        <f t="shared" ca="1" si="45"/>
        <v/>
      </c>
    </row>
    <row r="153" spans="1:72" x14ac:dyDescent="0.2">
      <c r="A153" s="18" t="str" cm="1">
        <f t="array" aca="1" ref="A153" ca="1">IF(B153="","","Grupo N˚"&amp;SUMPRODUCT(($B$4:B153&lt;&gt;"")*($B$4:B153&lt;&gt;OFFSET($B$4,-1,0,ROWS($B$4:B153),1))))</f>
        <v/>
      </c>
      <c r="B153" s="31"/>
      <c r="C153" s="31"/>
      <c r="D153" s="31"/>
      <c r="E153" s="31"/>
      <c r="F153" s="32"/>
      <c r="G153" s="33"/>
      <c r="H153" s="33"/>
      <c r="I153" s="20" t="str">
        <f t="shared" si="34"/>
        <v/>
      </c>
      <c r="J153" s="21" t="str">
        <f>IFERROR(VLOOKUP(BR153,Pricing!$D$3:$E$58,2,FALSE),"")</f>
        <v/>
      </c>
      <c r="K153" s="32"/>
      <c r="L153" s="32"/>
      <c r="M153" s="32"/>
      <c r="N153" s="36" t="str" cm="1">
        <f t="array" ref="N153">IFERROR(_xlfn.IFS((AND(K153="SI",M153="$")),J153*0.2,AND(K153="SI",M153="%"),20),"")</f>
        <v/>
      </c>
      <c r="O153" s="29" t="str">
        <f t="shared" si="35"/>
        <v/>
      </c>
      <c r="P153" s="21" t="str">
        <f t="shared" si="36"/>
        <v/>
      </c>
      <c r="Q153" s="21" t="str">
        <f t="shared" si="37"/>
        <v/>
      </c>
      <c r="R153" s="21" t="str">
        <f t="shared" si="38"/>
        <v/>
      </c>
      <c r="S153" s="39"/>
      <c r="T153" s="43" t="str">
        <f t="shared" si="46"/>
        <v/>
      </c>
      <c r="U153" s="49" t="str">
        <f t="shared" si="47"/>
        <v/>
      </c>
      <c r="V153" s="48" t="str">
        <f t="shared" si="48"/>
        <v/>
      </c>
      <c r="W153" s="48" t="str">
        <f t="shared" si="39"/>
        <v/>
      </c>
      <c r="X153" s="50" t="str">
        <f>IF(W153="","",SUMIF($B$4:$B$1002,B153,$W$4:$W$1000))</f>
        <v/>
      </c>
      <c r="Y153" s="43" t="str">
        <f t="shared" si="40"/>
        <v/>
      </c>
      <c r="Z153" s="49" t="str">
        <f t="shared" si="41"/>
        <v/>
      </c>
      <c r="AA153" s="48" t="str">
        <f t="shared" si="42"/>
        <v/>
      </c>
      <c r="AB153" s="49" t="str">
        <f t="shared" si="43"/>
        <v/>
      </c>
      <c r="AC153" s="50" t="str">
        <f>IF(AB153="","",SUMIF($B$4:$B$1002,B153,$AB$4:$AB$1000))</f>
        <v/>
      </c>
      <c r="AD153" s="69"/>
      <c r="AE153" s="56"/>
      <c r="AF153" s="52"/>
      <c r="AG153" s="51"/>
      <c r="AH153" s="70"/>
      <c r="AI153" s="58"/>
      <c r="AJ153" s="55"/>
      <c r="AK153" s="51"/>
      <c r="AL153" s="69"/>
      <c r="AM153" s="56"/>
      <c r="AN153" s="52"/>
      <c r="AO153" s="51"/>
      <c r="AP153" s="70"/>
      <c r="AQ153" s="58"/>
      <c r="AR153" s="55"/>
      <c r="AS153" s="51"/>
      <c r="AT153" s="69"/>
      <c r="AU153" s="56"/>
      <c r="AV153" s="52"/>
      <c r="AW153" s="51"/>
      <c r="BR153" s="34" t="str">
        <f>IF(E153="","",CONCATENATE(E153," ",F153," noches"))</f>
        <v/>
      </c>
      <c r="BS153" s="28" t="str">
        <f t="shared" ca="1" si="44"/>
        <v/>
      </c>
      <c r="BT153" s="28" t="str">
        <f t="shared" ca="1" si="45"/>
        <v/>
      </c>
    </row>
    <row r="154" spans="1:72" x14ac:dyDescent="0.2">
      <c r="A154" s="18" t="str" cm="1">
        <f t="array" aca="1" ref="A154" ca="1">IF(B154="","","Grupo N˚"&amp;SUMPRODUCT(($B$4:B154&lt;&gt;"")*($B$4:B154&lt;&gt;OFFSET($B$4,-1,0,ROWS($B$4:B154),1))))</f>
        <v/>
      </c>
      <c r="B154" s="31"/>
      <c r="C154" s="31"/>
      <c r="D154" s="31"/>
      <c r="E154" s="31"/>
      <c r="F154" s="32"/>
      <c r="G154" s="33"/>
      <c r="H154" s="33"/>
      <c r="I154" s="20" t="str">
        <f t="shared" si="34"/>
        <v/>
      </c>
      <c r="J154" s="21" t="str">
        <f>IFERROR(VLOOKUP(BR154,Pricing!$D$3:$E$58,2,FALSE),"")</f>
        <v/>
      </c>
      <c r="K154" s="32"/>
      <c r="L154" s="32"/>
      <c r="M154" s="32"/>
      <c r="N154" s="36" t="str" cm="1">
        <f t="array" ref="N154">IFERROR(_xlfn.IFS((AND(K154="SI",M154="$")),J154*0.2,AND(K154="SI",M154="%"),20),"")</f>
        <v/>
      </c>
      <c r="O154" s="29" t="str">
        <f t="shared" si="35"/>
        <v/>
      </c>
      <c r="P154" s="21" t="str">
        <f t="shared" si="36"/>
        <v/>
      </c>
      <c r="Q154" s="21" t="str">
        <f t="shared" si="37"/>
        <v/>
      </c>
      <c r="R154" s="21" t="str">
        <f t="shared" si="38"/>
        <v/>
      </c>
      <c r="S154" s="39"/>
      <c r="T154" s="43" t="str">
        <f t="shared" si="46"/>
        <v/>
      </c>
      <c r="U154" s="49" t="str">
        <f t="shared" si="47"/>
        <v/>
      </c>
      <c r="V154" s="48" t="str">
        <f t="shared" si="48"/>
        <v/>
      </c>
      <c r="W154" s="48" t="str">
        <f t="shared" si="39"/>
        <v/>
      </c>
      <c r="X154" s="50" t="str">
        <f>IF(W154="","",SUMIF($B$4:$B$1002,B154,$W$4:$W$1000))</f>
        <v/>
      </c>
      <c r="Y154" s="43" t="str">
        <f t="shared" si="40"/>
        <v/>
      </c>
      <c r="Z154" s="49" t="str">
        <f t="shared" si="41"/>
        <v/>
      </c>
      <c r="AA154" s="48" t="str">
        <f t="shared" si="42"/>
        <v/>
      </c>
      <c r="AB154" s="49" t="str">
        <f t="shared" si="43"/>
        <v/>
      </c>
      <c r="AC154" s="50" t="str">
        <f>IF(AB154="","",SUMIF($B$4:$B$1002,B154,$AB$4:$AB$1000))</f>
        <v/>
      </c>
      <c r="AD154" s="69"/>
      <c r="AE154" s="56"/>
      <c r="AF154" s="52"/>
      <c r="AG154" s="51"/>
      <c r="AH154" s="70"/>
      <c r="AI154" s="58"/>
      <c r="AJ154" s="55"/>
      <c r="AK154" s="51"/>
      <c r="AL154" s="69"/>
      <c r="AM154" s="56"/>
      <c r="AN154" s="52"/>
      <c r="AO154" s="51"/>
      <c r="AP154" s="70"/>
      <c r="AQ154" s="58"/>
      <c r="AR154" s="55"/>
      <c r="AS154" s="51"/>
      <c r="AT154" s="69"/>
      <c r="AU154" s="56"/>
      <c r="AV154" s="52"/>
      <c r="AW154" s="51"/>
      <c r="BR154" s="34" t="str">
        <f>IF(E154="","",CONCATENATE(E154," ",F154," noches"))</f>
        <v/>
      </c>
      <c r="BS154" s="28" t="str">
        <f t="shared" ca="1" si="44"/>
        <v/>
      </c>
      <c r="BT154" s="28" t="str">
        <f t="shared" ca="1" si="45"/>
        <v/>
      </c>
    </row>
    <row r="155" spans="1:72" x14ac:dyDescent="0.2">
      <c r="A155" s="18" t="str" cm="1">
        <f t="array" aca="1" ref="A155" ca="1">IF(B155="","","Grupo N˚"&amp;SUMPRODUCT(($B$4:B155&lt;&gt;"")*($B$4:B155&lt;&gt;OFFSET($B$4,-1,0,ROWS($B$4:B155),1))))</f>
        <v/>
      </c>
      <c r="B155" s="31"/>
      <c r="C155" s="31"/>
      <c r="D155" s="31"/>
      <c r="E155" s="31"/>
      <c r="F155" s="32"/>
      <c r="G155" s="33"/>
      <c r="H155" s="33"/>
      <c r="I155" s="20" t="str">
        <f t="shared" si="34"/>
        <v/>
      </c>
      <c r="J155" s="21" t="str">
        <f>IFERROR(VLOOKUP(BR155,Pricing!$D$3:$E$58,2,FALSE),"")</f>
        <v/>
      </c>
      <c r="K155" s="32"/>
      <c r="L155" s="32"/>
      <c r="M155" s="32"/>
      <c r="N155" s="36" t="str" cm="1">
        <f t="array" ref="N155">IFERROR(_xlfn.IFS((AND(K155="SI",M155="$")),J155*0.2,AND(K155="SI",M155="%"),20),"")</f>
        <v/>
      </c>
      <c r="O155" s="29" t="str">
        <f t="shared" si="35"/>
        <v/>
      </c>
      <c r="P155" s="21" t="str">
        <f t="shared" si="36"/>
        <v/>
      </c>
      <c r="Q155" s="21" t="str">
        <f t="shared" si="37"/>
        <v/>
      </c>
      <c r="R155" s="21" t="str">
        <f t="shared" si="38"/>
        <v/>
      </c>
      <c r="S155" s="39"/>
      <c r="T155" s="43" t="str">
        <f t="shared" si="46"/>
        <v/>
      </c>
      <c r="U155" s="49" t="str">
        <f t="shared" si="47"/>
        <v/>
      </c>
      <c r="V155" s="48" t="str">
        <f t="shared" si="48"/>
        <v/>
      </c>
      <c r="W155" s="48" t="str">
        <f t="shared" si="39"/>
        <v/>
      </c>
      <c r="X155" s="50" t="str">
        <f>IF(W155="","",SUMIF($B$4:$B$1002,B155,$W$4:$W$1000))</f>
        <v/>
      </c>
      <c r="Y155" s="43" t="str">
        <f t="shared" si="40"/>
        <v/>
      </c>
      <c r="Z155" s="49" t="str">
        <f t="shared" si="41"/>
        <v/>
      </c>
      <c r="AA155" s="48" t="str">
        <f t="shared" si="42"/>
        <v/>
      </c>
      <c r="AB155" s="49" t="str">
        <f t="shared" si="43"/>
        <v/>
      </c>
      <c r="AC155" s="50" t="str">
        <f>IF(AB155="","",SUMIF($B$4:$B$1002,B155,$AB$4:$AB$1000))</f>
        <v/>
      </c>
      <c r="AD155" s="69"/>
      <c r="AE155" s="56"/>
      <c r="AF155" s="52"/>
      <c r="AG155" s="51"/>
      <c r="AH155" s="70"/>
      <c r="AI155" s="58"/>
      <c r="AJ155" s="55"/>
      <c r="AK155" s="51"/>
      <c r="AL155" s="69"/>
      <c r="AM155" s="56"/>
      <c r="AN155" s="52"/>
      <c r="AO155" s="51"/>
      <c r="AP155" s="70"/>
      <c r="AQ155" s="58"/>
      <c r="AR155" s="55"/>
      <c r="AS155" s="51"/>
      <c r="AT155" s="69"/>
      <c r="AU155" s="56"/>
      <c r="AV155" s="52"/>
      <c r="AW155" s="51"/>
      <c r="BR155" s="34" t="str">
        <f>IF(E155="","",CONCATENATE(E155," ",F155," noches"))</f>
        <v/>
      </c>
      <c r="BS155" s="28" t="str">
        <f t="shared" ca="1" si="44"/>
        <v/>
      </c>
      <c r="BT155" s="28" t="str">
        <f t="shared" ca="1" si="45"/>
        <v/>
      </c>
    </row>
    <row r="156" spans="1:72" x14ac:dyDescent="0.2">
      <c r="A156" s="18" t="str" cm="1">
        <f t="array" aca="1" ref="A156" ca="1">IF(B156="","","Grupo N˚"&amp;SUMPRODUCT(($B$4:B156&lt;&gt;"")*($B$4:B156&lt;&gt;OFFSET($B$4,-1,0,ROWS($B$4:B156),1))))</f>
        <v/>
      </c>
      <c r="B156" s="31"/>
      <c r="C156" s="31"/>
      <c r="D156" s="31"/>
      <c r="E156" s="31"/>
      <c r="F156" s="32"/>
      <c r="G156" s="33"/>
      <c r="H156" s="33"/>
      <c r="I156" s="20" t="str">
        <f t="shared" si="34"/>
        <v/>
      </c>
      <c r="J156" s="21" t="str">
        <f>IFERROR(VLOOKUP(BR156,Pricing!$D$3:$E$58,2,FALSE),"")</f>
        <v/>
      </c>
      <c r="K156" s="32"/>
      <c r="L156" s="32"/>
      <c r="M156" s="32"/>
      <c r="N156" s="36" t="str" cm="1">
        <f t="array" ref="N156">IFERROR(_xlfn.IFS((AND(K156="SI",M156="$")),J156*0.2,AND(K156="SI",M156="%"),20),"")</f>
        <v/>
      </c>
      <c r="O156" s="29" t="str">
        <f t="shared" si="35"/>
        <v/>
      </c>
      <c r="P156" s="21" t="str">
        <f t="shared" si="36"/>
        <v/>
      </c>
      <c r="Q156" s="21" t="str">
        <f t="shared" si="37"/>
        <v/>
      </c>
      <c r="R156" s="21" t="str">
        <f t="shared" si="38"/>
        <v/>
      </c>
      <c r="S156" s="39"/>
      <c r="T156" s="43" t="str">
        <f t="shared" si="46"/>
        <v/>
      </c>
      <c r="U156" s="49" t="str">
        <f t="shared" si="47"/>
        <v/>
      </c>
      <c r="V156" s="48" t="str">
        <f t="shared" si="48"/>
        <v/>
      </c>
      <c r="W156" s="48" t="str">
        <f t="shared" si="39"/>
        <v/>
      </c>
      <c r="X156" s="50" t="str">
        <f>IF(W156="","",SUMIF($B$4:$B$1002,B156,$W$4:$W$1000))</f>
        <v/>
      </c>
      <c r="Y156" s="43" t="str">
        <f t="shared" si="40"/>
        <v/>
      </c>
      <c r="Z156" s="49" t="str">
        <f t="shared" si="41"/>
        <v/>
      </c>
      <c r="AA156" s="48" t="str">
        <f t="shared" si="42"/>
        <v/>
      </c>
      <c r="AB156" s="49" t="str">
        <f t="shared" si="43"/>
        <v/>
      </c>
      <c r="AC156" s="50" t="str">
        <f>IF(AB156="","",SUMIF($B$4:$B$1002,B156,$AB$4:$AB$1000))</f>
        <v/>
      </c>
      <c r="AD156" s="69"/>
      <c r="AE156" s="56"/>
      <c r="AF156" s="52"/>
      <c r="AG156" s="51"/>
      <c r="AH156" s="70"/>
      <c r="AI156" s="58"/>
      <c r="AJ156" s="55"/>
      <c r="AK156" s="51"/>
      <c r="AL156" s="69"/>
      <c r="AM156" s="56"/>
      <c r="AN156" s="52"/>
      <c r="AO156" s="51"/>
      <c r="AP156" s="70"/>
      <c r="AQ156" s="58"/>
      <c r="AR156" s="55"/>
      <c r="AS156" s="51"/>
      <c r="AT156" s="69"/>
      <c r="AU156" s="56"/>
      <c r="AV156" s="52"/>
      <c r="AW156" s="51"/>
      <c r="BR156" s="34" t="str">
        <f>IF(E156="","",CONCATENATE(E156," ",F156," noches"))</f>
        <v/>
      </c>
      <c r="BS156" s="28" t="str">
        <f t="shared" ca="1" si="44"/>
        <v/>
      </c>
      <c r="BT156" s="28" t="str">
        <f t="shared" ca="1" si="45"/>
        <v/>
      </c>
    </row>
    <row r="157" spans="1:72" x14ac:dyDescent="0.2">
      <c r="A157" s="18" t="str" cm="1">
        <f t="array" aca="1" ref="A157" ca="1">IF(B157="","","Grupo N˚"&amp;SUMPRODUCT(($B$4:B157&lt;&gt;"")*($B$4:B157&lt;&gt;OFFSET($B$4,-1,0,ROWS($B$4:B157),1))))</f>
        <v/>
      </c>
      <c r="B157" s="31"/>
      <c r="C157" s="31"/>
      <c r="D157" s="31"/>
      <c r="E157" s="31"/>
      <c r="F157" s="32"/>
      <c r="G157" s="33"/>
      <c r="H157" s="33"/>
      <c r="I157" s="20" t="str">
        <f t="shared" si="34"/>
        <v/>
      </c>
      <c r="J157" s="21" t="str">
        <f>IFERROR(VLOOKUP(BR157,Pricing!$D$3:$E$58,2,FALSE),"")</f>
        <v/>
      </c>
      <c r="K157" s="32"/>
      <c r="L157" s="32"/>
      <c r="M157" s="32"/>
      <c r="N157" s="36" t="str" cm="1">
        <f t="array" ref="N157">IFERROR(_xlfn.IFS((AND(K157="SI",M157="$")),J157*0.2,AND(K157="SI",M157="%"),20),"")</f>
        <v/>
      </c>
      <c r="O157" s="29" t="str">
        <f t="shared" si="35"/>
        <v/>
      </c>
      <c r="P157" s="21" t="str">
        <f t="shared" si="36"/>
        <v/>
      </c>
      <c r="Q157" s="21" t="str">
        <f t="shared" si="37"/>
        <v/>
      </c>
      <c r="R157" s="21" t="str">
        <f t="shared" si="38"/>
        <v/>
      </c>
      <c r="S157" s="39"/>
      <c r="T157" s="43" t="str">
        <f t="shared" si="46"/>
        <v/>
      </c>
      <c r="U157" s="49" t="str">
        <f t="shared" si="47"/>
        <v/>
      </c>
      <c r="V157" s="48" t="str">
        <f t="shared" si="48"/>
        <v/>
      </c>
      <c r="W157" s="48" t="str">
        <f t="shared" si="39"/>
        <v/>
      </c>
      <c r="X157" s="50" t="str">
        <f>IF(W157="","",SUMIF($B$4:$B$1002,B157,$W$4:$W$1000))</f>
        <v/>
      </c>
      <c r="Y157" s="43" t="str">
        <f t="shared" si="40"/>
        <v/>
      </c>
      <c r="Z157" s="49" t="str">
        <f t="shared" si="41"/>
        <v/>
      </c>
      <c r="AA157" s="48" t="str">
        <f t="shared" si="42"/>
        <v/>
      </c>
      <c r="AB157" s="49" t="str">
        <f t="shared" si="43"/>
        <v/>
      </c>
      <c r="AC157" s="50" t="str">
        <f>IF(AB157="","",SUMIF($B$4:$B$1002,B157,$AB$4:$AB$1000))</f>
        <v/>
      </c>
      <c r="AD157" s="69"/>
      <c r="AE157" s="56"/>
      <c r="AF157" s="52"/>
      <c r="AG157" s="51"/>
      <c r="AH157" s="70"/>
      <c r="AI157" s="58"/>
      <c r="AJ157" s="55"/>
      <c r="AK157" s="51"/>
      <c r="AL157" s="69"/>
      <c r="AM157" s="56"/>
      <c r="AN157" s="52"/>
      <c r="AO157" s="51"/>
      <c r="AP157" s="70"/>
      <c r="AQ157" s="58"/>
      <c r="AR157" s="55"/>
      <c r="AS157" s="51"/>
      <c r="AT157" s="69"/>
      <c r="AU157" s="56"/>
      <c r="AV157" s="52"/>
      <c r="AW157" s="51"/>
      <c r="BR157" s="34" t="str">
        <f>IF(E157="","",CONCATENATE(E157," ",F157," noches"))</f>
        <v/>
      </c>
      <c r="BS157" s="28" t="str">
        <f t="shared" ca="1" si="44"/>
        <v/>
      </c>
      <c r="BT157" s="28" t="str">
        <f t="shared" ca="1" si="45"/>
        <v/>
      </c>
    </row>
    <row r="158" spans="1:72" x14ac:dyDescent="0.2">
      <c r="A158" s="18" t="str" cm="1">
        <f t="array" aca="1" ref="A158" ca="1">IF(B158="","","Grupo N˚"&amp;SUMPRODUCT(($B$4:B158&lt;&gt;"")*($B$4:B158&lt;&gt;OFFSET($B$4,-1,0,ROWS($B$4:B158),1))))</f>
        <v/>
      </c>
      <c r="B158" s="31"/>
      <c r="C158" s="31"/>
      <c r="D158" s="31"/>
      <c r="E158" s="31"/>
      <c r="F158" s="32"/>
      <c r="G158" s="33"/>
      <c r="H158" s="33"/>
      <c r="I158" s="20" t="str">
        <f t="shared" si="34"/>
        <v/>
      </c>
      <c r="J158" s="21" t="str">
        <f>IFERROR(VLOOKUP(BR158,Pricing!$D$3:$E$58,2,FALSE),"")</f>
        <v/>
      </c>
      <c r="K158" s="32"/>
      <c r="L158" s="32"/>
      <c r="M158" s="32"/>
      <c r="N158" s="36" t="str" cm="1">
        <f t="array" ref="N158">IFERROR(_xlfn.IFS((AND(K158="SI",M158="$")),J158*0.2,AND(K158="SI",M158="%"),20),"")</f>
        <v/>
      </c>
      <c r="O158" s="29" t="str">
        <f t="shared" si="35"/>
        <v/>
      </c>
      <c r="P158" s="21" t="str">
        <f t="shared" si="36"/>
        <v/>
      </c>
      <c r="Q158" s="21" t="str">
        <f t="shared" si="37"/>
        <v/>
      </c>
      <c r="R158" s="21" t="str">
        <f t="shared" si="38"/>
        <v/>
      </c>
      <c r="S158" s="39"/>
      <c r="T158" s="43" t="str">
        <f t="shared" si="46"/>
        <v/>
      </c>
      <c r="U158" s="49" t="str">
        <f t="shared" si="47"/>
        <v/>
      </c>
      <c r="V158" s="48" t="str">
        <f t="shared" si="48"/>
        <v/>
      </c>
      <c r="W158" s="48" t="str">
        <f t="shared" si="39"/>
        <v/>
      </c>
      <c r="X158" s="50" t="str">
        <f>IF(W158="","",SUMIF($B$4:$B$1002,B158,$W$4:$W$1000))</f>
        <v/>
      </c>
      <c r="Y158" s="43" t="str">
        <f t="shared" si="40"/>
        <v/>
      </c>
      <c r="Z158" s="49" t="str">
        <f t="shared" si="41"/>
        <v/>
      </c>
      <c r="AA158" s="48" t="str">
        <f t="shared" si="42"/>
        <v/>
      </c>
      <c r="AB158" s="49" t="str">
        <f t="shared" si="43"/>
        <v/>
      </c>
      <c r="AC158" s="50" t="str">
        <f>IF(AB158="","",SUMIF($B$4:$B$1002,B158,$AB$4:$AB$1000))</f>
        <v/>
      </c>
      <c r="AD158" s="69"/>
      <c r="AE158" s="56"/>
      <c r="AF158" s="52"/>
      <c r="AG158" s="51"/>
      <c r="AH158" s="70"/>
      <c r="AI158" s="58"/>
      <c r="AJ158" s="55"/>
      <c r="AK158" s="51"/>
      <c r="AL158" s="69"/>
      <c r="AM158" s="56"/>
      <c r="AN158" s="52"/>
      <c r="AO158" s="51"/>
      <c r="AP158" s="70"/>
      <c r="AQ158" s="58"/>
      <c r="AR158" s="55"/>
      <c r="AS158" s="51"/>
      <c r="AT158" s="69"/>
      <c r="AU158" s="56"/>
      <c r="AV158" s="52"/>
      <c r="AW158" s="51"/>
      <c r="BR158" s="34" t="str">
        <f>IF(E158="","",CONCATENATE(E158," ",F158," noches"))</f>
        <v/>
      </c>
      <c r="BS158" s="28" t="str">
        <f t="shared" ca="1" si="44"/>
        <v/>
      </c>
      <c r="BT158" s="28" t="str">
        <f t="shared" ca="1" si="45"/>
        <v/>
      </c>
    </row>
    <row r="159" spans="1:72" x14ac:dyDescent="0.2">
      <c r="A159" s="18" t="str" cm="1">
        <f t="array" aca="1" ref="A159" ca="1">IF(B159="","","Grupo N˚"&amp;SUMPRODUCT(($B$4:B159&lt;&gt;"")*($B$4:B159&lt;&gt;OFFSET($B$4,-1,0,ROWS($B$4:B159),1))))</f>
        <v/>
      </c>
      <c r="B159" s="31"/>
      <c r="C159" s="31"/>
      <c r="D159" s="31"/>
      <c r="E159" s="31"/>
      <c r="F159" s="32"/>
      <c r="G159" s="33"/>
      <c r="H159" s="33"/>
      <c r="I159" s="20" t="str">
        <f t="shared" si="34"/>
        <v/>
      </c>
      <c r="J159" s="21" t="str">
        <f>IFERROR(VLOOKUP(BR159,Pricing!$D$3:$E$58,2,FALSE),"")</f>
        <v/>
      </c>
      <c r="K159" s="32"/>
      <c r="L159" s="32"/>
      <c r="M159" s="32"/>
      <c r="N159" s="36" t="str" cm="1">
        <f t="array" ref="N159">IFERROR(_xlfn.IFS((AND(K159="SI",M159="$")),J159*0.2,AND(K159="SI",M159="%"),20),"")</f>
        <v/>
      </c>
      <c r="O159" s="29" t="str">
        <f t="shared" si="35"/>
        <v/>
      </c>
      <c r="P159" s="21" t="str">
        <f t="shared" si="36"/>
        <v/>
      </c>
      <c r="Q159" s="21" t="str">
        <f t="shared" si="37"/>
        <v/>
      </c>
      <c r="R159" s="21" t="str">
        <f t="shared" si="38"/>
        <v/>
      </c>
      <c r="S159" s="39"/>
      <c r="T159" s="43" t="str">
        <f t="shared" si="46"/>
        <v/>
      </c>
      <c r="U159" s="49" t="str">
        <f t="shared" si="47"/>
        <v/>
      </c>
      <c r="V159" s="48" t="str">
        <f t="shared" si="48"/>
        <v/>
      </c>
      <c r="W159" s="48" t="str">
        <f t="shared" si="39"/>
        <v/>
      </c>
      <c r="X159" s="50" t="str">
        <f>IF(W159="","",SUMIF($B$4:$B$1002,B159,$W$4:$W$1000))</f>
        <v/>
      </c>
      <c r="Y159" s="43" t="str">
        <f t="shared" si="40"/>
        <v/>
      </c>
      <c r="Z159" s="49" t="str">
        <f t="shared" si="41"/>
        <v/>
      </c>
      <c r="AA159" s="48" t="str">
        <f t="shared" si="42"/>
        <v/>
      </c>
      <c r="AB159" s="49" t="str">
        <f t="shared" si="43"/>
        <v/>
      </c>
      <c r="AC159" s="50" t="str">
        <f>IF(AB159="","",SUMIF($B$4:$B$1002,B159,$AB$4:$AB$1000))</f>
        <v/>
      </c>
      <c r="AD159" s="69"/>
      <c r="AE159" s="56"/>
      <c r="AF159" s="52"/>
      <c r="AG159" s="51"/>
      <c r="AH159" s="70"/>
      <c r="AI159" s="58"/>
      <c r="AJ159" s="55"/>
      <c r="AK159" s="51"/>
      <c r="AL159" s="69"/>
      <c r="AM159" s="56"/>
      <c r="AN159" s="52"/>
      <c r="AO159" s="51"/>
      <c r="AP159" s="70"/>
      <c r="AQ159" s="58"/>
      <c r="AR159" s="55"/>
      <c r="AS159" s="51"/>
      <c r="AT159" s="69"/>
      <c r="AU159" s="56"/>
      <c r="AV159" s="52"/>
      <c r="AW159" s="51"/>
      <c r="BR159" s="34" t="str">
        <f>IF(E159="","",CONCATENATE(E159," ",F159," noches"))</f>
        <v/>
      </c>
      <c r="BS159" s="28" t="str">
        <f t="shared" ca="1" si="44"/>
        <v/>
      </c>
      <c r="BT159" s="28" t="str">
        <f t="shared" ca="1" si="45"/>
        <v/>
      </c>
    </row>
    <row r="160" spans="1:72" x14ac:dyDescent="0.2">
      <c r="A160" s="18" t="str" cm="1">
        <f t="array" aca="1" ref="A160" ca="1">IF(B160="","","Grupo N˚"&amp;SUMPRODUCT(($B$4:B160&lt;&gt;"")*($B$4:B160&lt;&gt;OFFSET($B$4,-1,0,ROWS($B$4:B160),1))))</f>
        <v/>
      </c>
      <c r="B160" s="31"/>
      <c r="C160" s="31"/>
      <c r="D160" s="31"/>
      <c r="E160" s="31"/>
      <c r="F160" s="32"/>
      <c r="G160" s="33"/>
      <c r="H160" s="33"/>
      <c r="I160" s="20" t="str">
        <f t="shared" si="34"/>
        <v/>
      </c>
      <c r="J160" s="21" t="str">
        <f>IFERROR(VLOOKUP(BR160,Pricing!$D$3:$E$58,2,FALSE),"")</f>
        <v/>
      </c>
      <c r="K160" s="32"/>
      <c r="L160" s="32"/>
      <c r="M160" s="32"/>
      <c r="N160" s="36" t="str" cm="1">
        <f t="array" ref="N160">IFERROR(_xlfn.IFS((AND(K160="SI",M160="$")),J160*0.2,AND(K160="SI",M160="%"),20),"")</f>
        <v/>
      </c>
      <c r="O160" s="29" t="str">
        <f t="shared" si="35"/>
        <v/>
      </c>
      <c r="P160" s="21" t="str">
        <f t="shared" si="36"/>
        <v/>
      </c>
      <c r="Q160" s="21" t="str">
        <f t="shared" si="37"/>
        <v/>
      </c>
      <c r="R160" s="21" t="str">
        <f t="shared" si="38"/>
        <v/>
      </c>
      <c r="S160" s="39"/>
      <c r="T160" s="43" t="str">
        <f t="shared" si="46"/>
        <v/>
      </c>
      <c r="U160" s="49" t="str">
        <f t="shared" si="47"/>
        <v/>
      </c>
      <c r="V160" s="48" t="str">
        <f t="shared" si="48"/>
        <v/>
      </c>
      <c r="W160" s="48" t="str">
        <f t="shared" si="39"/>
        <v/>
      </c>
      <c r="X160" s="50" t="str">
        <f>IF(W160="","",SUMIF($B$4:$B$1002,B160,$W$4:$W$1000))</f>
        <v/>
      </c>
      <c r="Y160" s="43" t="str">
        <f t="shared" si="40"/>
        <v/>
      </c>
      <c r="Z160" s="49" t="str">
        <f t="shared" si="41"/>
        <v/>
      </c>
      <c r="AA160" s="48" t="str">
        <f t="shared" si="42"/>
        <v/>
      </c>
      <c r="AB160" s="49" t="str">
        <f t="shared" si="43"/>
        <v/>
      </c>
      <c r="AC160" s="50" t="str">
        <f>IF(AB160="","",SUMIF($B$4:$B$1002,B160,$AB$4:$AB$1000))</f>
        <v/>
      </c>
      <c r="AD160" s="69"/>
      <c r="AE160" s="56"/>
      <c r="AF160" s="52"/>
      <c r="AG160" s="51"/>
      <c r="AH160" s="70"/>
      <c r="AI160" s="58"/>
      <c r="AJ160" s="55"/>
      <c r="AK160" s="51"/>
      <c r="AL160" s="69"/>
      <c r="AM160" s="56"/>
      <c r="AN160" s="52"/>
      <c r="AO160" s="51"/>
      <c r="AP160" s="70"/>
      <c r="AQ160" s="58"/>
      <c r="AR160" s="55"/>
      <c r="AS160" s="51"/>
      <c r="AT160" s="69"/>
      <c r="AU160" s="56"/>
      <c r="AV160" s="52"/>
      <c r="AW160" s="51"/>
      <c r="BR160" s="34" t="str">
        <f>IF(E160="","",CONCATENATE(E160," ",F160," noches"))</f>
        <v/>
      </c>
      <c r="BS160" s="28" t="str">
        <f t="shared" ca="1" si="44"/>
        <v/>
      </c>
      <c r="BT160" s="28" t="str">
        <f t="shared" ca="1" si="45"/>
        <v/>
      </c>
    </row>
    <row r="161" spans="1:72" x14ac:dyDescent="0.2">
      <c r="A161" s="18" t="str" cm="1">
        <f t="array" aca="1" ref="A161" ca="1">IF(B161="","","Grupo N˚"&amp;SUMPRODUCT(($B$4:B161&lt;&gt;"")*($B$4:B161&lt;&gt;OFFSET($B$4,-1,0,ROWS($B$4:B161),1))))</f>
        <v/>
      </c>
      <c r="B161" s="31"/>
      <c r="C161" s="31"/>
      <c r="D161" s="31"/>
      <c r="E161" s="31"/>
      <c r="F161" s="32"/>
      <c r="G161" s="33"/>
      <c r="H161" s="33"/>
      <c r="I161" s="20" t="str">
        <f t="shared" si="34"/>
        <v/>
      </c>
      <c r="J161" s="21" t="str">
        <f>IFERROR(VLOOKUP(BR161,Pricing!$D$3:$E$58,2,FALSE),"")</f>
        <v/>
      </c>
      <c r="K161" s="32"/>
      <c r="L161" s="32"/>
      <c r="M161" s="32"/>
      <c r="N161" s="36" t="str" cm="1">
        <f t="array" ref="N161">IFERROR(_xlfn.IFS((AND(K161="SI",M161="$")),J161*0.2,AND(K161="SI",M161="%"),20),"")</f>
        <v/>
      </c>
      <c r="O161" s="29" t="str">
        <f t="shared" si="35"/>
        <v/>
      </c>
      <c r="P161" s="21" t="str">
        <f t="shared" si="36"/>
        <v/>
      </c>
      <c r="Q161" s="21" t="str">
        <f t="shared" si="37"/>
        <v/>
      </c>
      <c r="R161" s="21" t="str">
        <f t="shared" si="38"/>
        <v/>
      </c>
      <c r="S161" s="39"/>
      <c r="T161" s="43" t="str">
        <f t="shared" si="46"/>
        <v/>
      </c>
      <c r="U161" s="49" t="str">
        <f t="shared" si="47"/>
        <v/>
      </c>
      <c r="V161" s="48" t="str">
        <f t="shared" si="48"/>
        <v/>
      </c>
      <c r="W161" s="48" t="str">
        <f t="shared" si="39"/>
        <v/>
      </c>
      <c r="X161" s="50" t="str">
        <f>IF(W161="","",SUMIF($B$4:$B$1002,B161,$W$4:$W$1000))</f>
        <v/>
      </c>
      <c r="Y161" s="43" t="str">
        <f t="shared" si="40"/>
        <v/>
      </c>
      <c r="Z161" s="49" t="str">
        <f t="shared" si="41"/>
        <v/>
      </c>
      <c r="AA161" s="48" t="str">
        <f t="shared" si="42"/>
        <v/>
      </c>
      <c r="AB161" s="49" t="str">
        <f t="shared" si="43"/>
        <v/>
      </c>
      <c r="AC161" s="50" t="str">
        <f>IF(AB161="","",SUMIF($B$4:$B$1002,B161,$AB$4:$AB$1000))</f>
        <v/>
      </c>
      <c r="AD161" s="69"/>
      <c r="AE161" s="56"/>
      <c r="AF161" s="52"/>
      <c r="AG161" s="51"/>
      <c r="AH161" s="70"/>
      <c r="AI161" s="58"/>
      <c r="AJ161" s="55"/>
      <c r="AK161" s="51"/>
      <c r="AL161" s="69"/>
      <c r="AM161" s="56"/>
      <c r="AN161" s="52"/>
      <c r="AO161" s="51"/>
      <c r="AP161" s="70"/>
      <c r="AQ161" s="58"/>
      <c r="AR161" s="55"/>
      <c r="AS161" s="51"/>
      <c r="AT161" s="69"/>
      <c r="AU161" s="56"/>
      <c r="AV161" s="52"/>
      <c r="AW161" s="51"/>
      <c r="BR161" s="34" t="str">
        <f>IF(E161="","",CONCATENATE(E161," ",F161," noches"))</f>
        <v/>
      </c>
      <c r="BS161" s="28" t="str">
        <f t="shared" ca="1" si="44"/>
        <v/>
      </c>
      <c r="BT161" s="28" t="str">
        <f t="shared" ca="1" si="45"/>
        <v/>
      </c>
    </row>
    <row r="162" spans="1:72" x14ac:dyDescent="0.2">
      <c r="A162" s="18" t="str" cm="1">
        <f t="array" aca="1" ref="A162" ca="1">IF(B162="","","Grupo N˚"&amp;SUMPRODUCT(($B$4:B162&lt;&gt;"")*($B$4:B162&lt;&gt;OFFSET($B$4,-1,0,ROWS($B$4:B162),1))))</f>
        <v/>
      </c>
      <c r="B162" s="31"/>
      <c r="C162" s="31"/>
      <c r="D162" s="31"/>
      <c r="E162" s="31"/>
      <c r="F162" s="32"/>
      <c r="G162" s="33"/>
      <c r="H162" s="33"/>
      <c r="I162" s="20" t="str">
        <f t="shared" si="34"/>
        <v/>
      </c>
      <c r="J162" s="21" t="str">
        <f>IFERROR(VLOOKUP(BR162,Pricing!$D$3:$E$58,2,FALSE),"")</f>
        <v/>
      </c>
      <c r="K162" s="32"/>
      <c r="L162" s="32"/>
      <c r="M162" s="32"/>
      <c r="N162" s="36" t="str" cm="1">
        <f t="array" ref="N162">IFERROR(_xlfn.IFS((AND(K162="SI",M162="$")),J162*0.2,AND(K162="SI",M162="%"),20),"")</f>
        <v/>
      </c>
      <c r="O162" s="29" t="str">
        <f t="shared" si="35"/>
        <v/>
      </c>
      <c r="P162" s="21" t="str">
        <f t="shared" si="36"/>
        <v/>
      </c>
      <c r="Q162" s="21" t="str">
        <f t="shared" si="37"/>
        <v/>
      </c>
      <c r="R162" s="21" t="str">
        <f t="shared" si="38"/>
        <v/>
      </c>
      <c r="S162" s="39"/>
      <c r="T162" s="43" t="str">
        <f t="shared" si="46"/>
        <v/>
      </c>
      <c r="U162" s="49" t="str">
        <f t="shared" si="47"/>
        <v/>
      </c>
      <c r="V162" s="48" t="str">
        <f t="shared" si="48"/>
        <v/>
      </c>
      <c r="W162" s="48" t="str">
        <f t="shared" si="39"/>
        <v/>
      </c>
      <c r="X162" s="50" t="str">
        <f>IF(W162="","",SUMIF($B$4:$B$1002,B162,$W$4:$W$1000))</f>
        <v/>
      </c>
      <c r="Y162" s="43" t="str">
        <f t="shared" si="40"/>
        <v/>
      </c>
      <c r="Z162" s="49" t="str">
        <f t="shared" si="41"/>
        <v/>
      </c>
      <c r="AA162" s="48" t="str">
        <f t="shared" si="42"/>
        <v/>
      </c>
      <c r="AB162" s="49" t="str">
        <f t="shared" si="43"/>
        <v/>
      </c>
      <c r="AC162" s="50" t="str">
        <f>IF(AB162="","",SUMIF($B$4:$B$1002,B162,$AB$4:$AB$1000))</f>
        <v/>
      </c>
      <c r="AD162" s="69"/>
      <c r="AE162" s="56"/>
      <c r="AF162" s="52"/>
      <c r="AG162" s="51"/>
      <c r="AH162" s="70"/>
      <c r="AI162" s="58"/>
      <c r="AJ162" s="55"/>
      <c r="AK162" s="51"/>
      <c r="AL162" s="69"/>
      <c r="AM162" s="56"/>
      <c r="AN162" s="52"/>
      <c r="AO162" s="51"/>
      <c r="AP162" s="70"/>
      <c r="AQ162" s="58"/>
      <c r="AR162" s="55"/>
      <c r="AS162" s="51"/>
      <c r="AT162" s="69"/>
      <c r="AU162" s="56"/>
      <c r="AV162" s="52"/>
      <c r="AW162" s="51"/>
      <c r="BR162" s="34" t="str">
        <f>IF(E162="","",CONCATENATE(E162," ",F162," noches"))</f>
        <v/>
      </c>
      <c r="BS162" s="28" t="str">
        <f t="shared" ca="1" si="44"/>
        <v/>
      </c>
      <c r="BT162" s="28" t="str">
        <f t="shared" ca="1" si="45"/>
        <v/>
      </c>
    </row>
    <row r="163" spans="1:72" x14ac:dyDescent="0.2">
      <c r="A163" s="18" t="str" cm="1">
        <f t="array" aca="1" ref="A163" ca="1">IF(B163="","","Grupo N˚"&amp;SUMPRODUCT(($B$4:B163&lt;&gt;"")*($B$4:B163&lt;&gt;OFFSET($B$4,-1,0,ROWS($B$4:B163),1))))</f>
        <v/>
      </c>
      <c r="B163" s="31"/>
      <c r="C163" s="31"/>
      <c r="D163" s="31"/>
      <c r="E163" s="31"/>
      <c r="F163" s="32"/>
      <c r="G163" s="33"/>
      <c r="H163" s="33"/>
      <c r="I163" s="20" t="str">
        <f t="shared" si="34"/>
        <v/>
      </c>
      <c r="J163" s="21" t="str">
        <f>IFERROR(VLOOKUP(BR163,Pricing!$D$3:$E$58,2,FALSE),"")</f>
        <v/>
      </c>
      <c r="K163" s="32"/>
      <c r="L163" s="32"/>
      <c r="M163" s="32"/>
      <c r="N163" s="36" t="str" cm="1">
        <f t="array" ref="N163">IFERROR(_xlfn.IFS((AND(K163="SI",M163="$")),J163*0.2,AND(K163="SI",M163="%"),20),"")</f>
        <v/>
      </c>
      <c r="O163" s="29" t="str">
        <f t="shared" si="35"/>
        <v/>
      </c>
      <c r="P163" s="21" t="str">
        <f t="shared" si="36"/>
        <v/>
      </c>
      <c r="Q163" s="21" t="str">
        <f t="shared" si="37"/>
        <v/>
      </c>
      <c r="R163" s="21" t="str">
        <f t="shared" si="38"/>
        <v/>
      </c>
      <c r="S163" s="39"/>
      <c r="T163" s="43" t="str">
        <f t="shared" si="46"/>
        <v/>
      </c>
      <c r="U163" s="49" t="str">
        <f t="shared" si="47"/>
        <v/>
      </c>
      <c r="V163" s="48" t="str">
        <f t="shared" si="48"/>
        <v/>
      </c>
      <c r="W163" s="48" t="str">
        <f t="shared" si="39"/>
        <v/>
      </c>
      <c r="X163" s="50" t="str">
        <f>IF(W163="","",SUMIF($B$4:$B$1002,B163,$W$4:$W$1000))</f>
        <v/>
      </c>
      <c r="Y163" s="43" t="str">
        <f t="shared" si="40"/>
        <v/>
      </c>
      <c r="Z163" s="49" t="str">
        <f t="shared" si="41"/>
        <v/>
      </c>
      <c r="AA163" s="48" t="str">
        <f t="shared" si="42"/>
        <v/>
      </c>
      <c r="AB163" s="49" t="str">
        <f t="shared" si="43"/>
        <v/>
      </c>
      <c r="AC163" s="50" t="str">
        <f>IF(AB163="","",SUMIF($B$4:$B$1002,B163,$AB$4:$AB$1000))</f>
        <v/>
      </c>
      <c r="AD163" s="69"/>
      <c r="AE163" s="56"/>
      <c r="AF163" s="52"/>
      <c r="AG163" s="51"/>
      <c r="AH163" s="70"/>
      <c r="AI163" s="58"/>
      <c r="AJ163" s="55"/>
      <c r="AK163" s="51"/>
      <c r="AL163" s="69"/>
      <c r="AM163" s="56"/>
      <c r="AN163" s="52"/>
      <c r="AO163" s="51"/>
      <c r="AP163" s="70"/>
      <c r="AQ163" s="58"/>
      <c r="AR163" s="55"/>
      <c r="AS163" s="51"/>
      <c r="AT163" s="69"/>
      <c r="AU163" s="56"/>
      <c r="AV163" s="52"/>
      <c r="AW163" s="51"/>
      <c r="BR163" s="34" t="str">
        <f>IF(E163="","",CONCATENATE(E163," ",F163," noches"))</f>
        <v/>
      </c>
      <c r="BS163" s="28" t="str">
        <f t="shared" ca="1" si="44"/>
        <v/>
      </c>
      <c r="BT163" s="28" t="str">
        <f t="shared" ca="1" si="45"/>
        <v/>
      </c>
    </row>
    <row r="164" spans="1:72" x14ac:dyDescent="0.2">
      <c r="A164" s="18" t="str" cm="1">
        <f t="array" aca="1" ref="A164" ca="1">IF(B164="","","Grupo N˚"&amp;SUMPRODUCT(($B$4:B164&lt;&gt;"")*($B$4:B164&lt;&gt;OFFSET($B$4,-1,0,ROWS($B$4:B164),1))))</f>
        <v/>
      </c>
      <c r="B164" s="31"/>
      <c r="C164" s="31"/>
      <c r="D164" s="31"/>
      <c r="E164" s="31"/>
      <c r="F164" s="32"/>
      <c r="G164" s="33"/>
      <c r="H164" s="33"/>
      <c r="I164" s="20" t="str">
        <f t="shared" si="34"/>
        <v/>
      </c>
      <c r="J164" s="21" t="str">
        <f>IFERROR(VLOOKUP(BR164,Pricing!$D$3:$E$58,2,FALSE),"")</f>
        <v/>
      </c>
      <c r="K164" s="32"/>
      <c r="L164" s="32"/>
      <c r="M164" s="32"/>
      <c r="N164" s="36" t="str" cm="1">
        <f t="array" ref="N164">IFERROR(_xlfn.IFS((AND(K164="SI",M164="$")),J164*0.2,AND(K164="SI",M164="%"),20),"")</f>
        <v/>
      </c>
      <c r="O164" s="29" t="str">
        <f t="shared" si="35"/>
        <v/>
      </c>
      <c r="P164" s="21" t="str">
        <f t="shared" si="36"/>
        <v/>
      </c>
      <c r="Q164" s="21" t="str">
        <f t="shared" si="37"/>
        <v/>
      </c>
      <c r="R164" s="21" t="str">
        <f t="shared" si="38"/>
        <v/>
      </c>
      <c r="S164" s="39"/>
      <c r="T164" s="43" t="str">
        <f t="shared" si="46"/>
        <v/>
      </c>
      <c r="U164" s="49" t="str">
        <f t="shared" si="47"/>
        <v/>
      </c>
      <c r="V164" s="48" t="str">
        <f t="shared" si="48"/>
        <v/>
      </c>
      <c r="W164" s="48" t="str">
        <f t="shared" si="39"/>
        <v/>
      </c>
      <c r="X164" s="50" t="str">
        <f>IF(W164="","",SUMIF($B$4:$B$1002,B164,$W$4:$W$1000))</f>
        <v/>
      </c>
      <c r="Y164" s="43" t="str">
        <f t="shared" si="40"/>
        <v/>
      </c>
      <c r="Z164" s="49" t="str">
        <f t="shared" si="41"/>
        <v/>
      </c>
      <c r="AA164" s="48" t="str">
        <f t="shared" si="42"/>
        <v/>
      </c>
      <c r="AB164" s="49" t="str">
        <f t="shared" si="43"/>
        <v/>
      </c>
      <c r="AC164" s="50" t="str">
        <f>IF(AB164="","",SUMIF($B$4:$B$1002,B164,$AB$4:$AB$1000))</f>
        <v/>
      </c>
      <c r="AD164" s="69"/>
      <c r="AE164" s="56"/>
      <c r="AF164" s="52"/>
      <c r="AG164" s="51"/>
      <c r="AH164" s="70"/>
      <c r="AI164" s="58"/>
      <c r="AJ164" s="55"/>
      <c r="AK164" s="51"/>
      <c r="AL164" s="69"/>
      <c r="AM164" s="56"/>
      <c r="AN164" s="52"/>
      <c r="AO164" s="51"/>
      <c r="AP164" s="70"/>
      <c r="AQ164" s="58"/>
      <c r="AR164" s="55"/>
      <c r="AS164" s="51"/>
      <c r="AT164" s="69"/>
      <c r="AU164" s="56"/>
      <c r="AV164" s="52"/>
      <c r="AW164" s="51"/>
      <c r="BR164" s="34" t="str">
        <f>IF(E164="","",CONCATENATE(E164," ",F164," noches"))</f>
        <v/>
      </c>
      <c r="BS164" s="28" t="str">
        <f t="shared" ca="1" si="44"/>
        <v/>
      </c>
      <c r="BT164" s="28" t="str">
        <f t="shared" ca="1" si="45"/>
        <v/>
      </c>
    </row>
    <row r="165" spans="1:72" x14ac:dyDescent="0.2">
      <c r="A165" s="18" t="str" cm="1">
        <f t="array" aca="1" ref="A165" ca="1">IF(B165="","","Grupo N˚"&amp;SUMPRODUCT(($B$4:B165&lt;&gt;"")*($B$4:B165&lt;&gt;OFFSET($B$4,-1,0,ROWS($B$4:B165),1))))</f>
        <v/>
      </c>
      <c r="B165" s="31"/>
      <c r="C165" s="31"/>
      <c r="D165" s="31"/>
      <c r="E165" s="31"/>
      <c r="F165" s="32"/>
      <c r="G165" s="33"/>
      <c r="H165" s="33"/>
      <c r="I165" s="20" t="str">
        <f t="shared" si="34"/>
        <v/>
      </c>
      <c r="J165" s="21" t="str">
        <f>IFERROR(VLOOKUP(BR165,Pricing!$D$3:$E$58,2,FALSE),"")</f>
        <v/>
      </c>
      <c r="K165" s="32"/>
      <c r="L165" s="32"/>
      <c r="M165" s="32"/>
      <c r="N165" s="36" t="str" cm="1">
        <f t="array" ref="N165">IFERROR(_xlfn.IFS((AND(K165="SI",M165="$")),J165*0.2,AND(K165="SI",M165="%"),20),"")</f>
        <v/>
      </c>
      <c r="O165" s="29" t="str">
        <f t="shared" si="35"/>
        <v/>
      </c>
      <c r="P165" s="21" t="str">
        <f t="shared" si="36"/>
        <v/>
      </c>
      <c r="Q165" s="21" t="str">
        <f t="shared" si="37"/>
        <v/>
      </c>
      <c r="R165" s="21" t="str">
        <f t="shared" si="38"/>
        <v/>
      </c>
      <c r="S165" s="39"/>
      <c r="T165" s="43" t="str">
        <f t="shared" si="46"/>
        <v/>
      </c>
      <c r="U165" s="49" t="str">
        <f t="shared" si="47"/>
        <v/>
      </c>
      <c r="V165" s="48" t="str">
        <f t="shared" si="48"/>
        <v/>
      </c>
      <c r="W165" s="48" t="str">
        <f t="shared" si="39"/>
        <v/>
      </c>
      <c r="X165" s="50" t="str">
        <f>IF(W165="","",SUMIF($B$4:$B$1002,B165,$W$4:$W$1000))</f>
        <v/>
      </c>
      <c r="Y165" s="43" t="str">
        <f t="shared" si="40"/>
        <v/>
      </c>
      <c r="Z165" s="49" t="str">
        <f t="shared" si="41"/>
        <v/>
      </c>
      <c r="AA165" s="48" t="str">
        <f t="shared" si="42"/>
        <v/>
      </c>
      <c r="AB165" s="49" t="str">
        <f t="shared" si="43"/>
        <v/>
      </c>
      <c r="AC165" s="50" t="str">
        <f>IF(AB165="","",SUMIF($B$4:$B$1002,B165,$AB$4:$AB$1000))</f>
        <v/>
      </c>
      <c r="AD165" s="69"/>
      <c r="AE165" s="56"/>
      <c r="AF165" s="52"/>
      <c r="AG165" s="51"/>
      <c r="AH165" s="70"/>
      <c r="AI165" s="58"/>
      <c r="AJ165" s="55"/>
      <c r="AK165" s="51"/>
      <c r="AL165" s="69"/>
      <c r="AM165" s="56"/>
      <c r="AN165" s="52"/>
      <c r="AO165" s="51"/>
      <c r="AP165" s="70"/>
      <c r="AQ165" s="58"/>
      <c r="AR165" s="55"/>
      <c r="AS165" s="51"/>
      <c r="AT165" s="69"/>
      <c r="AU165" s="56"/>
      <c r="AV165" s="52"/>
      <c r="AW165" s="51"/>
      <c r="BR165" s="34" t="str">
        <f>IF(E165="","",CONCATENATE(E165," ",F165," noches"))</f>
        <v/>
      </c>
      <c r="BS165" s="28" t="str">
        <f t="shared" ca="1" si="44"/>
        <v/>
      </c>
      <c r="BT165" s="28" t="str">
        <f t="shared" ca="1" si="45"/>
        <v/>
      </c>
    </row>
    <row r="166" spans="1:72" x14ac:dyDescent="0.2">
      <c r="A166" s="18" t="str" cm="1">
        <f t="array" aca="1" ref="A166" ca="1">IF(B166="","","Grupo N˚"&amp;SUMPRODUCT(($B$4:B166&lt;&gt;"")*($B$4:B166&lt;&gt;OFFSET($B$4,-1,0,ROWS($B$4:B166),1))))</f>
        <v/>
      </c>
      <c r="B166" s="31"/>
      <c r="C166" s="31"/>
      <c r="D166" s="31"/>
      <c r="E166" s="31"/>
      <c r="F166" s="32"/>
      <c r="G166" s="33"/>
      <c r="H166" s="33"/>
      <c r="I166" s="20" t="str">
        <f t="shared" si="34"/>
        <v/>
      </c>
      <c r="J166" s="21" t="str">
        <f>IFERROR(VLOOKUP(BR166,Pricing!$D$3:$E$58,2,FALSE),"")</f>
        <v/>
      </c>
      <c r="K166" s="32"/>
      <c r="L166" s="32"/>
      <c r="M166" s="32"/>
      <c r="N166" s="36" t="str" cm="1">
        <f t="array" ref="N166">IFERROR(_xlfn.IFS((AND(K166="SI",M166="$")),J166*0.2,AND(K166="SI",M166="%"),20),"")</f>
        <v/>
      </c>
      <c r="O166" s="29" t="str">
        <f t="shared" si="35"/>
        <v/>
      </c>
      <c r="P166" s="21" t="str">
        <f t="shared" si="36"/>
        <v/>
      </c>
      <c r="Q166" s="21" t="str">
        <f t="shared" si="37"/>
        <v/>
      </c>
      <c r="R166" s="21" t="str">
        <f t="shared" si="38"/>
        <v/>
      </c>
      <c r="S166" s="39"/>
      <c r="T166" s="43" t="str">
        <f t="shared" si="46"/>
        <v/>
      </c>
      <c r="U166" s="49" t="str">
        <f t="shared" si="47"/>
        <v/>
      </c>
      <c r="V166" s="48" t="str">
        <f t="shared" si="48"/>
        <v/>
      </c>
      <c r="W166" s="48" t="str">
        <f t="shared" si="39"/>
        <v/>
      </c>
      <c r="X166" s="50" t="str">
        <f>IF(W166="","",SUMIF($B$4:$B$1002,B166,$W$4:$W$1000))</f>
        <v/>
      </c>
      <c r="Y166" s="43" t="str">
        <f t="shared" si="40"/>
        <v/>
      </c>
      <c r="Z166" s="49" t="str">
        <f t="shared" si="41"/>
        <v/>
      </c>
      <c r="AA166" s="48" t="str">
        <f t="shared" si="42"/>
        <v/>
      </c>
      <c r="AB166" s="49" t="str">
        <f t="shared" si="43"/>
        <v/>
      </c>
      <c r="AC166" s="50" t="str">
        <f>IF(AB166="","",SUMIF($B$4:$B$1002,B166,$AB$4:$AB$1000))</f>
        <v/>
      </c>
      <c r="AD166" s="69"/>
      <c r="AE166" s="56"/>
      <c r="AF166" s="52"/>
      <c r="AG166" s="51"/>
      <c r="AH166" s="70"/>
      <c r="AI166" s="58"/>
      <c r="AJ166" s="55"/>
      <c r="AK166" s="51"/>
      <c r="AL166" s="69"/>
      <c r="AM166" s="56"/>
      <c r="AN166" s="52"/>
      <c r="AO166" s="51"/>
      <c r="AP166" s="70"/>
      <c r="AQ166" s="58"/>
      <c r="AR166" s="55"/>
      <c r="AS166" s="51"/>
      <c r="AT166" s="69"/>
      <c r="AU166" s="56"/>
      <c r="AV166" s="52"/>
      <c r="AW166" s="51"/>
      <c r="BR166" s="34" t="str">
        <f>IF(E166="","",CONCATENATE(E166," ",F166," noches"))</f>
        <v/>
      </c>
      <c r="BS166" s="28" t="str">
        <f t="shared" ca="1" si="44"/>
        <v/>
      </c>
      <c r="BT166" s="28" t="str">
        <f t="shared" ca="1" si="45"/>
        <v/>
      </c>
    </row>
    <row r="167" spans="1:72" x14ac:dyDescent="0.2">
      <c r="A167" s="18" t="str" cm="1">
        <f t="array" aca="1" ref="A167" ca="1">IF(B167="","","Grupo N˚"&amp;SUMPRODUCT(($B$4:B167&lt;&gt;"")*($B$4:B167&lt;&gt;OFFSET($B$4,-1,0,ROWS($B$4:B167),1))))</f>
        <v/>
      </c>
      <c r="B167" s="31"/>
      <c r="C167" s="31"/>
      <c r="D167" s="31"/>
      <c r="E167" s="31"/>
      <c r="F167" s="32"/>
      <c r="G167" s="33"/>
      <c r="H167" s="33"/>
      <c r="I167" s="20" t="str">
        <f t="shared" si="34"/>
        <v/>
      </c>
      <c r="J167" s="21" t="str">
        <f>IFERROR(VLOOKUP(BR167,Pricing!$D$3:$E$58,2,FALSE),"")</f>
        <v/>
      </c>
      <c r="K167" s="32"/>
      <c r="L167" s="32"/>
      <c r="M167" s="32"/>
      <c r="N167" s="36" t="str" cm="1">
        <f t="array" ref="N167">IFERROR(_xlfn.IFS((AND(K167="SI",M167="$")),J167*0.2,AND(K167="SI",M167="%"),20),"")</f>
        <v/>
      </c>
      <c r="O167" s="29" t="str">
        <f t="shared" si="35"/>
        <v/>
      </c>
      <c r="P167" s="21" t="str">
        <f t="shared" si="36"/>
        <v/>
      </c>
      <c r="Q167" s="21" t="str">
        <f t="shared" si="37"/>
        <v/>
      </c>
      <c r="R167" s="21" t="str">
        <f t="shared" si="38"/>
        <v/>
      </c>
      <c r="S167" s="39"/>
      <c r="T167" s="43" t="str">
        <f t="shared" si="46"/>
        <v/>
      </c>
      <c r="U167" s="49" t="str">
        <f t="shared" si="47"/>
        <v/>
      </c>
      <c r="V167" s="48" t="str">
        <f t="shared" si="48"/>
        <v/>
      </c>
      <c r="W167" s="48" t="str">
        <f t="shared" si="39"/>
        <v/>
      </c>
      <c r="X167" s="50" t="str">
        <f>IF(W167="","",SUMIF($B$4:$B$1002,B167,$W$4:$W$1000))</f>
        <v/>
      </c>
      <c r="Y167" s="43" t="str">
        <f t="shared" si="40"/>
        <v/>
      </c>
      <c r="Z167" s="49" t="str">
        <f t="shared" si="41"/>
        <v/>
      </c>
      <c r="AA167" s="48" t="str">
        <f t="shared" si="42"/>
        <v/>
      </c>
      <c r="AB167" s="49" t="str">
        <f t="shared" si="43"/>
        <v/>
      </c>
      <c r="AC167" s="50" t="str">
        <f>IF(AB167="","",SUMIF($B$4:$B$1002,B167,$AB$4:$AB$1000))</f>
        <v/>
      </c>
      <c r="AD167" s="69"/>
      <c r="AE167" s="56"/>
      <c r="AF167" s="52"/>
      <c r="AG167" s="51"/>
      <c r="AH167" s="70"/>
      <c r="AI167" s="58"/>
      <c r="AJ167" s="55"/>
      <c r="AK167" s="51"/>
      <c r="AL167" s="69"/>
      <c r="AM167" s="56"/>
      <c r="AN167" s="52"/>
      <c r="AO167" s="51"/>
      <c r="AP167" s="70"/>
      <c r="AQ167" s="58"/>
      <c r="AR167" s="55"/>
      <c r="AS167" s="51"/>
      <c r="AT167" s="69"/>
      <c r="AU167" s="56"/>
      <c r="AV167" s="52"/>
      <c r="AW167" s="51"/>
      <c r="BR167" s="34" t="str">
        <f>IF(E167="","",CONCATENATE(E167," ",F167," noches"))</f>
        <v/>
      </c>
      <c r="BS167" s="28" t="str">
        <f t="shared" ca="1" si="44"/>
        <v/>
      </c>
      <c r="BT167" s="28" t="str">
        <f t="shared" ca="1" si="45"/>
        <v/>
      </c>
    </row>
    <row r="168" spans="1:72" x14ac:dyDescent="0.2">
      <c r="A168" s="18" t="str" cm="1">
        <f t="array" aca="1" ref="A168" ca="1">IF(B168="","","Grupo N˚"&amp;SUMPRODUCT(($B$4:B168&lt;&gt;"")*($B$4:B168&lt;&gt;OFFSET($B$4,-1,0,ROWS($B$4:B168),1))))</f>
        <v/>
      </c>
      <c r="B168" s="31"/>
      <c r="C168" s="31"/>
      <c r="D168" s="31"/>
      <c r="E168" s="31"/>
      <c r="F168" s="32"/>
      <c r="G168" s="33"/>
      <c r="H168" s="33"/>
      <c r="I168" s="20" t="str">
        <f t="shared" si="34"/>
        <v/>
      </c>
      <c r="J168" s="21" t="str">
        <f>IFERROR(VLOOKUP(BR168,Pricing!$D$3:$E$58,2,FALSE),"")</f>
        <v/>
      </c>
      <c r="K168" s="32"/>
      <c r="L168" s="32"/>
      <c r="M168" s="32"/>
      <c r="N168" s="36" t="str" cm="1">
        <f t="array" ref="N168">IFERROR(_xlfn.IFS((AND(K168="SI",M168="$")),J168*0.2,AND(K168="SI",M168="%"),20),"")</f>
        <v/>
      </c>
      <c r="O168" s="29" t="str">
        <f t="shared" si="35"/>
        <v/>
      </c>
      <c r="P168" s="21" t="str">
        <f t="shared" si="36"/>
        <v/>
      </c>
      <c r="Q168" s="21" t="str">
        <f t="shared" si="37"/>
        <v/>
      </c>
      <c r="R168" s="21" t="str">
        <f t="shared" si="38"/>
        <v/>
      </c>
      <c r="S168" s="39"/>
      <c r="T168" s="43" t="str">
        <f t="shared" si="46"/>
        <v/>
      </c>
      <c r="U168" s="49" t="str">
        <f t="shared" si="47"/>
        <v/>
      </c>
      <c r="V168" s="48" t="str">
        <f t="shared" si="48"/>
        <v/>
      </c>
      <c r="W168" s="48" t="str">
        <f t="shared" si="39"/>
        <v/>
      </c>
      <c r="X168" s="50" t="str">
        <f>IF(W168="","",SUMIF($B$4:$B$1002,B168,$W$4:$W$1000))</f>
        <v/>
      </c>
      <c r="Y168" s="43" t="str">
        <f t="shared" si="40"/>
        <v/>
      </c>
      <c r="Z168" s="49" t="str">
        <f t="shared" si="41"/>
        <v/>
      </c>
      <c r="AA168" s="48" t="str">
        <f t="shared" si="42"/>
        <v/>
      </c>
      <c r="AB168" s="49" t="str">
        <f t="shared" si="43"/>
        <v/>
      </c>
      <c r="AC168" s="50" t="str">
        <f>IF(AB168="","",SUMIF($B$4:$B$1002,B168,$AB$4:$AB$1000))</f>
        <v/>
      </c>
      <c r="AD168" s="69"/>
      <c r="AE168" s="56"/>
      <c r="AF168" s="52"/>
      <c r="AG168" s="51"/>
      <c r="AH168" s="70"/>
      <c r="AI168" s="58"/>
      <c r="AJ168" s="55"/>
      <c r="AK168" s="51"/>
      <c r="AL168" s="69"/>
      <c r="AM168" s="56"/>
      <c r="AN168" s="52"/>
      <c r="AO168" s="51"/>
      <c r="AP168" s="70"/>
      <c r="AQ168" s="58"/>
      <c r="AR168" s="55"/>
      <c r="AS168" s="51"/>
      <c r="AT168" s="69"/>
      <c r="AU168" s="56"/>
      <c r="AV168" s="52"/>
      <c r="AW168" s="51"/>
      <c r="BR168" s="34" t="str">
        <f>IF(E168="","",CONCATENATE(E168," ",F168," noches"))</f>
        <v/>
      </c>
      <c r="BS168" s="28" t="str">
        <f t="shared" ca="1" si="44"/>
        <v/>
      </c>
      <c r="BT168" s="28" t="str">
        <f t="shared" ca="1" si="45"/>
        <v/>
      </c>
    </row>
    <row r="169" spans="1:72" x14ac:dyDescent="0.2">
      <c r="A169" s="18" t="str" cm="1">
        <f t="array" aca="1" ref="A169" ca="1">IF(B169="","","Grupo N˚"&amp;SUMPRODUCT(($B$4:B169&lt;&gt;"")*($B$4:B169&lt;&gt;OFFSET($B$4,-1,0,ROWS($B$4:B169),1))))</f>
        <v/>
      </c>
      <c r="B169" s="31"/>
      <c r="C169" s="31"/>
      <c r="D169" s="31"/>
      <c r="E169" s="31"/>
      <c r="F169" s="32"/>
      <c r="G169" s="33"/>
      <c r="H169" s="33"/>
      <c r="I169" s="20" t="str">
        <f t="shared" si="34"/>
        <v/>
      </c>
      <c r="J169" s="21" t="str">
        <f>IFERROR(VLOOKUP(BR169,Pricing!$D$3:$E$58,2,FALSE),"")</f>
        <v/>
      </c>
      <c r="K169" s="32"/>
      <c r="L169" s="32"/>
      <c r="M169" s="32"/>
      <c r="N169" s="36" t="str" cm="1">
        <f t="array" ref="N169">IFERROR(_xlfn.IFS((AND(K169="SI",M169="$")),J169*0.2,AND(K169="SI",M169="%"),20),"")</f>
        <v/>
      </c>
      <c r="O169" s="29" t="str">
        <f t="shared" si="35"/>
        <v/>
      </c>
      <c r="P169" s="21" t="str">
        <f t="shared" si="36"/>
        <v/>
      </c>
      <c r="Q169" s="21" t="str">
        <f t="shared" si="37"/>
        <v/>
      </c>
      <c r="R169" s="21" t="str">
        <f t="shared" si="38"/>
        <v/>
      </c>
      <c r="S169" s="39"/>
      <c r="T169" s="43" t="str">
        <f t="shared" si="46"/>
        <v/>
      </c>
      <c r="U169" s="49" t="str">
        <f t="shared" si="47"/>
        <v/>
      </c>
      <c r="V169" s="48" t="str">
        <f t="shared" si="48"/>
        <v/>
      </c>
      <c r="W169" s="48" t="str">
        <f t="shared" si="39"/>
        <v/>
      </c>
      <c r="X169" s="50" t="str">
        <f>IF(W169="","",SUMIF($B$4:$B$1002,B169,$W$4:$W$1000))</f>
        <v/>
      </c>
      <c r="Y169" s="43" t="str">
        <f t="shared" si="40"/>
        <v/>
      </c>
      <c r="Z169" s="49" t="str">
        <f t="shared" si="41"/>
        <v/>
      </c>
      <c r="AA169" s="48" t="str">
        <f t="shared" si="42"/>
        <v/>
      </c>
      <c r="AB169" s="49" t="str">
        <f t="shared" si="43"/>
        <v/>
      </c>
      <c r="AC169" s="50" t="str">
        <f>IF(AB169="","",SUMIF($B$4:$B$1002,B169,$AB$4:$AB$1000))</f>
        <v/>
      </c>
      <c r="AD169" s="69"/>
      <c r="AE169" s="56"/>
      <c r="AF169" s="52"/>
      <c r="AG169" s="51"/>
      <c r="AH169" s="70"/>
      <c r="AI169" s="58"/>
      <c r="AJ169" s="55"/>
      <c r="AK169" s="51"/>
      <c r="AL169" s="69"/>
      <c r="AM169" s="56"/>
      <c r="AN169" s="52"/>
      <c r="AO169" s="51"/>
      <c r="AP169" s="70"/>
      <c r="AQ169" s="58"/>
      <c r="AR169" s="55"/>
      <c r="AS169" s="51"/>
      <c r="AT169" s="69"/>
      <c r="AU169" s="56"/>
      <c r="AV169" s="52"/>
      <c r="AW169" s="51"/>
      <c r="BR169" s="34" t="str">
        <f>IF(E169="","",CONCATENATE(E169," ",F169," noches"))</f>
        <v/>
      </c>
      <c r="BS169" s="28" t="str">
        <f t="shared" ca="1" si="44"/>
        <v/>
      </c>
      <c r="BT169" s="28" t="str">
        <f t="shared" ca="1" si="45"/>
        <v/>
      </c>
    </row>
    <row r="170" spans="1:72" x14ac:dyDescent="0.2">
      <c r="A170" s="18" t="str" cm="1">
        <f t="array" aca="1" ref="A170" ca="1">IF(B170="","","Grupo N˚"&amp;SUMPRODUCT(($B$4:B170&lt;&gt;"")*($B$4:B170&lt;&gt;OFFSET($B$4,-1,0,ROWS($B$4:B170),1))))</f>
        <v/>
      </c>
      <c r="B170" s="31"/>
      <c r="C170" s="31"/>
      <c r="D170" s="31"/>
      <c r="E170" s="31"/>
      <c r="F170" s="32"/>
      <c r="G170" s="33"/>
      <c r="H170" s="33"/>
      <c r="I170" s="20" t="str">
        <f t="shared" si="34"/>
        <v/>
      </c>
      <c r="J170" s="21" t="str">
        <f>IFERROR(VLOOKUP(BR170,Pricing!$D$3:$E$58,2,FALSE),"")</f>
        <v/>
      </c>
      <c r="K170" s="32"/>
      <c r="L170" s="32"/>
      <c r="M170" s="32"/>
      <c r="N170" s="36" t="str" cm="1">
        <f t="array" ref="N170">IFERROR(_xlfn.IFS((AND(K170="SI",M170="$")),J170*0.2,AND(K170="SI",M170="%"),20),"")</f>
        <v/>
      </c>
      <c r="O170" s="29" t="str">
        <f t="shared" si="35"/>
        <v/>
      </c>
      <c r="P170" s="21" t="str">
        <f t="shared" si="36"/>
        <v/>
      </c>
      <c r="Q170" s="21" t="str">
        <f t="shared" si="37"/>
        <v/>
      </c>
      <c r="R170" s="21" t="str">
        <f t="shared" si="38"/>
        <v/>
      </c>
      <c r="S170" s="39"/>
      <c r="T170" s="43" t="str">
        <f t="shared" si="46"/>
        <v/>
      </c>
      <c r="U170" s="49" t="str">
        <f t="shared" si="47"/>
        <v/>
      </c>
      <c r="V170" s="48" t="str">
        <f t="shared" si="48"/>
        <v/>
      </c>
      <c r="W170" s="48" t="str">
        <f t="shared" si="39"/>
        <v/>
      </c>
      <c r="X170" s="50" t="str">
        <f>IF(W170="","",SUMIF($B$4:$B$1002,B170,$W$4:$W$1000))</f>
        <v/>
      </c>
      <c r="Y170" s="43" t="str">
        <f t="shared" si="40"/>
        <v/>
      </c>
      <c r="Z170" s="49" t="str">
        <f t="shared" si="41"/>
        <v/>
      </c>
      <c r="AA170" s="48" t="str">
        <f t="shared" si="42"/>
        <v/>
      </c>
      <c r="AB170" s="49" t="str">
        <f t="shared" si="43"/>
        <v/>
      </c>
      <c r="AC170" s="50" t="str">
        <f>IF(AB170="","",SUMIF($B$4:$B$1002,B170,$AB$4:$AB$1000))</f>
        <v/>
      </c>
      <c r="AD170" s="69"/>
      <c r="AE170" s="56"/>
      <c r="AF170" s="52"/>
      <c r="AG170" s="51"/>
      <c r="AH170" s="70"/>
      <c r="AI170" s="58"/>
      <c r="AJ170" s="55"/>
      <c r="AK170" s="51"/>
      <c r="AL170" s="69"/>
      <c r="AM170" s="56"/>
      <c r="AN170" s="52"/>
      <c r="AO170" s="51"/>
      <c r="AP170" s="70"/>
      <c r="AQ170" s="58"/>
      <c r="AR170" s="55"/>
      <c r="AS170" s="51"/>
      <c r="AT170" s="69"/>
      <c r="AU170" s="56"/>
      <c r="AV170" s="52"/>
      <c r="AW170" s="51"/>
      <c r="BR170" s="34" t="str">
        <f>IF(E170="","",CONCATENATE(E170," ",F170," noches"))</f>
        <v/>
      </c>
      <c r="BS170" s="28" t="str">
        <f t="shared" ca="1" si="44"/>
        <v/>
      </c>
      <c r="BT170" s="28" t="str">
        <f t="shared" ca="1" si="45"/>
        <v/>
      </c>
    </row>
    <row r="171" spans="1:72" x14ac:dyDescent="0.2">
      <c r="A171" s="18" t="str" cm="1">
        <f t="array" aca="1" ref="A171" ca="1">IF(B171="","","Grupo N˚"&amp;SUMPRODUCT(($B$4:B171&lt;&gt;"")*($B$4:B171&lt;&gt;OFFSET($B$4,-1,0,ROWS($B$4:B171),1))))</f>
        <v/>
      </c>
      <c r="B171" s="31"/>
      <c r="C171" s="31"/>
      <c r="D171" s="31"/>
      <c r="E171" s="31"/>
      <c r="F171" s="32"/>
      <c r="G171" s="33"/>
      <c r="H171" s="33"/>
      <c r="I171" s="20" t="str">
        <f t="shared" si="34"/>
        <v/>
      </c>
      <c r="J171" s="21" t="str">
        <f>IFERROR(VLOOKUP(BR171,Pricing!$D$3:$E$58,2,FALSE),"")</f>
        <v/>
      </c>
      <c r="K171" s="32"/>
      <c r="L171" s="32"/>
      <c r="M171" s="32"/>
      <c r="N171" s="36" t="str" cm="1">
        <f t="array" ref="N171">IFERROR(_xlfn.IFS((AND(K171="SI",M171="$")),J171*0.2,AND(K171="SI",M171="%"),20),"")</f>
        <v/>
      </c>
      <c r="O171" s="29" t="str">
        <f t="shared" si="35"/>
        <v/>
      </c>
      <c r="P171" s="21" t="str">
        <f t="shared" si="36"/>
        <v/>
      </c>
      <c r="Q171" s="21" t="str">
        <f t="shared" si="37"/>
        <v/>
      </c>
      <c r="R171" s="21" t="str">
        <f t="shared" si="38"/>
        <v/>
      </c>
      <c r="S171" s="39"/>
      <c r="T171" s="43" t="str">
        <f t="shared" si="46"/>
        <v/>
      </c>
      <c r="U171" s="49" t="str">
        <f t="shared" si="47"/>
        <v/>
      </c>
      <c r="V171" s="48" t="str">
        <f t="shared" si="48"/>
        <v/>
      </c>
      <c r="W171" s="48" t="str">
        <f t="shared" si="39"/>
        <v/>
      </c>
      <c r="X171" s="50" t="str">
        <f>IF(W171="","",SUMIF($B$4:$B$1002,B171,$W$4:$W$1000))</f>
        <v/>
      </c>
      <c r="Y171" s="43" t="str">
        <f t="shared" si="40"/>
        <v/>
      </c>
      <c r="Z171" s="49" t="str">
        <f t="shared" si="41"/>
        <v/>
      </c>
      <c r="AA171" s="48" t="str">
        <f t="shared" si="42"/>
        <v/>
      </c>
      <c r="AB171" s="49" t="str">
        <f t="shared" si="43"/>
        <v/>
      </c>
      <c r="AC171" s="50" t="str">
        <f>IF(AB171="","",SUMIF($B$4:$B$1002,B171,$AB$4:$AB$1000))</f>
        <v/>
      </c>
      <c r="AD171" s="69"/>
      <c r="AE171" s="56"/>
      <c r="AF171" s="52"/>
      <c r="AG171" s="51"/>
      <c r="AH171" s="70"/>
      <c r="AI171" s="58"/>
      <c r="AJ171" s="55"/>
      <c r="AK171" s="51"/>
      <c r="AL171" s="69"/>
      <c r="AM171" s="56"/>
      <c r="AN171" s="52"/>
      <c r="AO171" s="51"/>
      <c r="AP171" s="70"/>
      <c r="AQ171" s="58"/>
      <c r="AR171" s="55"/>
      <c r="AS171" s="51"/>
      <c r="AT171" s="69"/>
      <c r="AU171" s="56"/>
      <c r="AV171" s="52"/>
      <c r="AW171" s="51"/>
      <c r="BR171" s="34" t="str">
        <f>IF(E171="","",CONCATENATE(E171," ",F171," noches"))</f>
        <v/>
      </c>
      <c r="BS171" s="28" t="str">
        <f t="shared" ca="1" si="44"/>
        <v/>
      </c>
      <c r="BT171" s="28" t="str">
        <f t="shared" ca="1" si="45"/>
        <v/>
      </c>
    </row>
    <row r="172" spans="1:72" x14ac:dyDescent="0.2">
      <c r="A172" s="18" t="str" cm="1">
        <f t="array" aca="1" ref="A172" ca="1">IF(B172="","","Grupo N˚"&amp;SUMPRODUCT(($B$4:B172&lt;&gt;"")*($B$4:B172&lt;&gt;OFFSET($B$4,-1,0,ROWS($B$4:B172),1))))</f>
        <v/>
      </c>
      <c r="B172" s="31"/>
      <c r="C172" s="31"/>
      <c r="D172" s="31"/>
      <c r="E172" s="31"/>
      <c r="F172" s="32"/>
      <c r="G172" s="33"/>
      <c r="H172" s="33"/>
      <c r="I172" s="20" t="str">
        <f t="shared" si="34"/>
        <v/>
      </c>
      <c r="J172" s="21" t="str">
        <f>IFERROR(VLOOKUP(BR172,Pricing!$D$3:$E$58,2,FALSE),"")</f>
        <v/>
      </c>
      <c r="K172" s="32"/>
      <c r="L172" s="32"/>
      <c r="M172" s="32"/>
      <c r="N172" s="36" t="str" cm="1">
        <f t="array" ref="N172">IFERROR(_xlfn.IFS((AND(K172="SI",M172="$")),J172*0.2,AND(K172="SI",M172="%"),20),"")</f>
        <v/>
      </c>
      <c r="O172" s="29" t="str">
        <f t="shared" si="35"/>
        <v/>
      </c>
      <c r="P172" s="21" t="str">
        <f t="shared" si="36"/>
        <v/>
      </c>
      <c r="Q172" s="21" t="str">
        <f t="shared" si="37"/>
        <v/>
      </c>
      <c r="R172" s="21" t="str">
        <f t="shared" si="38"/>
        <v/>
      </c>
      <c r="S172" s="39"/>
      <c r="T172" s="43" t="str">
        <f t="shared" si="46"/>
        <v/>
      </c>
      <c r="U172" s="49" t="str">
        <f t="shared" si="47"/>
        <v/>
      </c>
      <c r="V172" s="48" t="str">
        <f t="shared" si="48"/>
        <v/>
      </c>
      <c r="W172" s="48" t="str">
        <f t="shared" si="39"/>
        <v/>
      </c>
      <c r="X172" s="50" t="str">
        <f>IF(W172="","",SUMIF($B$4:$B$1002,B172,$W$4:$W$1000))</f>
        <v/>
      </c>
      <c r="Y172" s="43" t="str">
        <f t="shared" si="40"/>
        <v/>
      </c>
      <c r="Z172" s="49" t="str">
        <f t="shared" si="41"/>
        <v/>
      </c>
      <c r="AA172" s="48" t="str">
        <f t="shared" si="42"/>
        <v/>
      </c>
      <c r="AB172" s="49" t="str">
        <f t="shared" si="43"/>
        <v/>
      </c>
      <c r="AC172" s="50" t="str">
        <f>IF(AB172="","",SUMIF($B$4:$B$1002,B172,$AB$4:$AB$1000))</f>
        <v/>
      </c>
      <c r="AD172" s="69"/>
      <c r="AE172" s="56"/>
      <c r="AF172" s="52"/>
      <c r="AG172" s="51"/>
      <c r="AH172" s="70"/>
      <c r="AI172" s="58"/>
      <c r="AJ172" s="55"/>
      <c r="AK172" s="51"/>
      <c r="AL172" s="69"/>
      <c r="AM172" s="56"/>
      <c r="AN172" s="52"/>
      <c r="AO172" s="51"/>
      <c r="AP172" s="70"/>
      <c r="AQ172" s="58"/>
      <c r="AR172" s="55"/>
      <c r="AS172" s="51"/>
      <c r="AT172" s="69"/>
      <c r="AU172" s="56"/>
      <c r="AV172" s="52"/>
      <c r="AW172" s="51"/>
      <c r="BR172" s="34" t="str">
        <f>IF(E172="","",CONCATENATE(E172," ",F172," noches"))</f>
        <v/>
      </c>
      <c r="BS172" s="28" t="str">
        <f t="shared" ca="1" si="44"/>
        <v/>
      </c>
      <c r="BT172" s="28" t="str">
        <f t="shared" ca="1" si="45"/>
        <v/>
      </c>
    </row>
    <row r="173" spans="1:72" x14ac:dyDescent="0.2">
      <c r="A173" s="18" t="str" cm="1">
        <f t="array" aca="1" ref="A173" ca="1">IF(B173="","","Grupo N˚"&amp;SUMPRODUCT(($B$4:B173&lt;&gt;"")*($B$4:B173&lt;&gt;OFFSET($B$4,-1,0,ROWS($B$4:B173),1))))</f>
        <v/>
      </c>
      <c r="B173" s="31"/>
      <c r="C173" s="31"/>
      <c r="D173" s="31"/>
      <c r="E173" s="31"/>
      <c r="F173" s="32"/>
      <c r="G173" s="33"/>
      <c r="H173" s="33"/>
      <c r="I173" s="20" t="str">
        <f t="shared" si="34"/>
        <v/>
      </c>
      <c r="J173" s="21" t="str">
        <f>IFERROR(VLOOKUP(BR173,Pricing!$D$3:$E$58,2,FALSE),"")</f>
        <v/>
      </c>
      <c r="K173" s="32"/>
      <c r="L173" s="32"/>
      <c r="M173" s="32"/>
      <c r="N173" s="36" t="str" cm="1">
        <f t="array" ref="N173">IFERROR(_xlfn.IFS((AND(K173="SI",M173="$")),J173*0.2,AND(K173="SI",M173="%"),20),"")</f>
        <v/>
      </c>
      <c r="O173" s="29" t="str">
        <f t="shared" si="35"/>
        <v/>
      </c>
      <c r="P173" s="21" t="str">
        <f t="shared" si="36"/>
        <v/>
      </c>
      <c r="Q173" s="21" t="str">
        <f t="shared" si="37"/>
        <v/>
      </c>
      <c r="R173" s="21" t="str">
        <f t="shared" si="38"/>
        <v/>
      </c>
      <c r="S173" s="39"/>
      <c r="T173" s="43" t="str">
        <f t="shared" si="46"/>
        <v/>
      </c>
      <c r="U173" s="49" t="str">
        <f t="shared" si="47"/>
        <v/>
      </c>
      <c r="V173" s="48" t="str">
        <f t="shared" si="48"/>
        <v/>
      </c>
      <c r="W173" s="48" t="str">
        <f t="shared" si="39"/>
        <v/>
      </c>
      <c r="X173" s="50" t="str">
        <f>IF(W173="","",SUMIF($B$4:$B$1002,B173,$W$4:$W$1000))</f>
        <v/>
      </c>
      <c r="Y173" s="43" t="str">
        <f t="shared" si="40"/>
        <v/>
      </c>
      <c r="Z173" s="49" t="str">
        <f t="shared" si="41"/>
        <v/>
      </c>
      <c r="AA173" s="48" t="str">
        <f t="shared" si="42"/>
        <v/>
      </c>
      <c r="AB173" s="49" t="str">
        <f t="shared" si="43"/>
        <v/>
      </c>
      <c r="AC173" s="50" t="str">
        <f>IF(AB173="","",SUMIF($B$4:$B$1002,B173,$AB$4:$AB$1000))</f>
        <v/>
      </c>
      <c r="AD173" s="69"/>
      <c r="AE173" s="56"/>
      <c r="AF173" s="52"/>
      <c r="AG173" s="51"/>
      <c r="AH173" s="70"/>
      <c r="AI173" s="58"/>
      <c r="AJ173" s="55"/>
      <c r="AK173" s="51"/>
      <c r="AL173" s="69"/>
      <c r="AM173" s="56"/>
      <c r="AN173" s="52"/>
      <c r="AO173" s="51"/>
      <c r="AP173" s="70"/>
      <c r="AQ173" s="58"/>
      <c r="AR173" s="55"/>
      <c r="AS173" s="51"/>
      <c r="AT173" s="69"/>
      <c r="AU173" s="56"/>
      <c r="AV173" s="52"/>
      <c r="AW173" s="51"/>
      <c r="BR173" s="34" t="str">
        <f>IF(E173="","",CONCATENATE(E173," ",F173," noches"))</f>
        <v/>
      </c>
      <c r="BS173" s="28" t="str">
        <f t="shared" ca="1" si="44"/>
        <v/>
      </c>
      <c r="BT173" s="28" t="str">
        <f t="shared" ca="1" si="45"/>
        <v/>
      </c>
    </row>
    <row r="174" spans="1:72" x14ac:dyDescent="0.2">
      <c r="A174" s="18" t="str" cm="1">
        <f t="array" aca="1" ref="A174" ca="1">IF(B174="","","Grupo N˚"&amp;SUMPRODUCT(($B$4:B174&lt;&gt;"")*($B$4:B174&lt;&gt;OFFSET($B$4,-1,0,ROWS($B$4:B174),1))))</f>
        <v/>
      </c>
      <c r="B174" s="31"/>
      <c r="C174" s="31"/>
      <c r="D174" s="31"/>
      <c r="E174" s="31"/>
      <c r="F174" s="32"/>
      <c r="G174" s="33"/>
      <c r="H174" s="33"/>
      <c r="I174" s="20" t="str">
        <f t="shared" si="34"/>
        <v/>
      </c>
      <c r="J174" s="21" t="str">
        <f>IFERROR(VLOOKUP(BR174,Pricing!$D$3:$E$58,2,FALSE),"")</f>
        <v/>
      </c>
      <c r="K174" s="32"/>
      <c r="L174" s="32"/>
      <c r="M174" s="32"/>
      <c r="N174" s="36" t="str" cm="1">
        <f t="array" ref="N174">IFERROR(_xlfn.IFS((AND(K174="SI",M174="$")),J174*0.2,AND(K174="SI",M174="%"),20),"")</f>
        <v/>
      </c>
      <c r="O174" s="29" t="str">
        <f t="shared" si="35"/>
        <v/>
      </c>
      <c r="P174" s="21" t="str">
        <f t="shared" si="36"/>
        <v/>
      </c>
      <c r="Q174" s="21" t="str">
        <f t="shared" si="37"/>
        <v/>
      </c>
      <c r="R174" s="21" t="str">
        <f t="shared" si="38"/>
        <v/>
      </c>
      <c r="S174" s="39"/>
      <c r="T174" s="43" t="str">
        <f t="shared" si="46"/>
        <v/>
      </c>
      <c r="U174" s="49" t="str">
        <f t="shared" si="47"/>
        <v/>
      </c>
      <c r="V174" s="48" t="str">
        <f t="shared" si="48"/>
        <v/>
      </c>
      <c r="W174" s="48" t="str">
        <f t="shared" si="39"/>
        <v/>
      </c>
      <c r="X174" s="50" t="str">
        <f>IF(W174="","",SUMIF($B$4:$B$1002,B174,$W$4:$W$1000))</f>
        <v/>
      </c>
      <c r="Y174" s="43" t="str">
        <f t="shared" si="40"/>
        <v/>
      </c>
      <c r="Z174" s="49" t="str">
        <f t="shared" si="41"/>
        <v/>
      </c>
      <c r="AA174" s="48" t="str">
        <f t="shared" si="42"/>
        <v/>
      </c>
      <c r="AB174" s="49" t="str">
        <f t="shared" si="43"/>
        <v/>
      </c>
      <c r="AC174" s="50" t="str">
        <f>IF(AB174="","",SUMIF($B$4:$B$1002,B174,$AB$4:$AB$1000))</f>
        <v/>
      </c>
      <c r="AD174" s="69"/>
      <c r="AE174" s="56"/>
      <c r="AF174" s="52"/>
      <c r="AG174" s="51"/>
      <c r="AH174" s="70"/>
      <c r="AI174" s="58"/>
      <c r="AJ174" s="55"/>
      <c r="AK174" s="51"/>
      <c r="AL174" s="69"/>
      <c r="AM174" s="56"/>
      <c r="AN174" s="52"/>
      <c r="AO174" s="51"/>
      <c r="AP174" s="70"/>
      <c r="AQ174" s="58"/>
      <c r="AR174" s="55"/>
      <c r="AS174" s="51"/>
      <c r="AT174" s="69"/>
      <c r="AU174" s="56"/>
      <c r="AV174" s="52"/>
      <c r="AW174" s="51"/>
      <c r="BR174" s="34" t="str">
        <f>IF(E174="","",CONCATENATE(E174," ",F174," noches"))</f>
        <v/>
      </c>
      <c r="BS174" s="28" t="str">
        <f t="shared" ca="1" si="44"/>
        <v/>
      </c>
      <c r="BT174" s="28" t="str">
        <f t="shared" ca="1" si="45"/>
        <v/>
      </c>
    </row>
    <row r="175" spans="1:72" x14ac:dyDescent="0.2">
      <c r="A175" s="18" t="str" cm="1">
        <f t="array" aca="1" ref="A175" ca="1">IF(B175="","","Grupo N˚"&amp;SUMPRODUCT(($B$4:B175&lt;&gt;"")*($B$4:B175&lt;&gt;OFFSET($B$4,-1,0,ROWS($B$4:B175),1))))</f>
        <v/>
      </c>
      <c r="B175" s="31"/>
      <c r="C175" s="31"/>
      <c r="D175" s="31"/>
      <c r="E175" s="31"/>
      <c r="F175" s="32"/>
      <c r="G175" s="33"/>
      <c r="H175" s="33"/>
      <c r="I175" s="20" t="str">
        <f t="shared" si="34"/>
        <v/>
      </c>
      <c r="J175" s="21" t="str">
        <f>IFERROR(VLOOKUP(BR175,Pricing!$D$3:$E$58,2,FALSE),"")</f>
        <v/>
      </c>
      <c r="K175" s="32"/>
      <c r="L175" s="32"/>
      <c r="M175" s="32"/>
      <c r="N175" s="36" t="str" cm="1">
        <f t="array" ref="N175">IFERROR(_xlfn.IFS((AND(K175="SI",M175="$")),J175*0.2,AND(K175="SI",M175="%"),20),"")</f>
        <v/>
      </c>
      <c r="O175" s="29" t="str">
        <f t="shared" si="35"/>
        <v/>
      </c>
      <c r="P175" s="21" t="str">
        <f t="shared" si="36"/>
        <v/>
      </c>
      <c r="Q175" s="21" t="str">
        <f t="shared" si="37"/>
        <v/>
      </c>
      <c r="R175" s="21" t="str">
        <f t="shared" si="38"/>
        <v/>
      </c>
      <c r="S175" s="39"/>
      <c r="T175" s="43" t="str">
        <f t="shared" si="46"/>
        <v/>
      </c>
      <c r="U175" s="49" t="str">
        <f t="shared" si="47"/>
        <v/>
      </c>
      <c r="V175" s="48" t="str">
        <f t="shared" si="48"/>
        <v/>
      </c>
      <c r="W175" s="48" t="str">
        <f t="shared" si="39"/>
        <v/>
      </c>
      <c r="X175" s="50" t="str">
        <f>IF(W175="","",SUMIF($B$4:$B$1002,B175,$W$4:$W$1000))</f>
        <v/>
      </c>
      <c r="Y175" s="43" t="str">
        <f t="shared" si="40"/>
        <v/>
      </c>
      <c r="Z175" s="49" t="str">
        <f t="shared" si="41"/>
        <v/>
      </c>
      <c r="AA175" s="48" t="str">
        <f t="shared" si="42"/>
        <v/>
      </c>
      <c r="AB175" s="49" t="str">
        <f t="shared" si="43"/>
        <v/>
      </c>
      <c r="AC175" s="50" t="str">
        <f>IF(AB175="","",SUMIF($B$4:$B$1002,B175,$AB$4:$AB$1000))</f>
        <v/>
      </c>
      <c r="AD175" s="69"/>
      <c r="AE175" s="56"/>
      <c r="AF175" s="52"/>
      <c r="AG175" s="51"/>
      <c r="AH175" s="70"/>
      <c r="AI175" s="58"/>
      <c r="AJ175" s="55"/>
      <c r="AK175" s="51"/>
      <c r="AL175" s="69"/>
      <c r="AM175" s="56"/>
      <c r="AN175" s="52"/>
      <c r="AO175" s="51"/>
      <c r="AP175" s="70"/>
      <c r="AQ175" s="58"/>
      <c r="AR175" s="55"/>
      <c r="AS175" s="51"/>
      <c r="AT175" s="69"/>
      <c r="AU175" s="56"/>
      <c r="AV175" s="52"/>
      <c r="AW175" s="51"/>
      <c r="BR175" s="34" t="str">
        <f>IF(E175="","",CONCATENATE(E175," ",F175," noches"))</f>
        <v/>
      </c>
      <c r="BS175" s="28" t="str">
        <f t="shared" ca="1" si="44"/>
        <v/>
      </c>
      <c r="BT175" s="28" t="str">
        <f t="shared" ca="1" si="45"/>
        <v/>
      </c>
    </row>
    <row r="176" spans="1:72" x14ac:dyDescent="0.2">
      <c r="A176" s="18" t="str" cm="1">
        <f t="array" aca="1" ref="A176" ca="1">IF(B176="","","Grupo N˚"&amp;SUMPRODUCT(($B$4:B176&lt;&gt;"")*($B$4:B176&lt;&gt;OFFSET($B$4,-1,0,ROWS($B$4:B176),1))))</f>
        <v/>
      </c>
      <c r="B176" s="31"/>
      <c r="C176" s="31"/>
      <c r="D176" s="31"/>
      <c r="E176" s="31"/>
      <c r="F176" s="32"/>
      <c r="G176" s="33"/>
      <c r="H176" s="33"/>
      <c r="I176" s="20" t="str">
        <f t="shared" si="34"/>
        <v/>
      </c>
      <c r="J176" s="21" t="str">
        <f>IFERROR(VLOOKUP(BR176,Pricing!$D$3:$E$58,2,FALSE),"")</f>
        <v/>
      </c>
      <c r="K176" s="32"/>
      <c r="L176" s="32"/>
      <c r="M176" s="32"/>
      <c r="N176" s="36" t="str" cm="1">
        <f t="array" ref="N176">IFERROR(_xlfn.IFS((AND(K176="SI",M176="$")),J176*0.2,AND(K176="SI",M176="%"),20),"")</f>
        <v/>
      </c>
      <c r="O176" s="29" t="str">
        <f t="shared" si="35"/>
        <v/>
      </c>
      <c r="P176" s="21" t="str">
        <f t="shared" si="36"/>
        <v/>
      </c>
      <c r="Q176" s="21" t="str">
        <f t="shared" si="37"/>
        <v/>
      </c>
      <c r="R176" s="21" t="str">
        <f t="shared" si="38"/>
        <v/>
      </c>
      <c r="S176" s="39"/>
      <c r="T176" s="43" t="str">
        <f t="shared" si="46"/>
        <v/>
      </c>
      <c r="U176" s="49" t="str">
        <f t="shared" si="47"/>
        <v/>
      </c>
      <c r="V176" s="48" t="str">
        <f t="shared" si="48"/>
        <v/>
      </c>
      <c r="W176" s="48" t="str">
        <f t="shared" si="39"/>
        <v/>
      </c>
      <c r="X176" s="50" t="str">
        <f>IF(W176="","",SUMIF($B$4:$B$1002,B176,$W$4:$W$1000))</f>
        <v/>
      </c>
      <c r="Y176" s="43" t="str">
        <f t="shared" si="40"/>
        <v/>
      </c>
      <c r="Z176" s="49" t="str">
        <f t="shared" si="41"/>
        <v/>
      </c>
      <c r="AA176" s="48" t="str">
        <f t="shared" si="42"/>
        <v/>
      </c>
      <c r="AB176" s="49" t="str">
        <f t="shared" si="43"/>
        <v/>
      </c>
      <c r="AC176" s="50" t="str">
        <f>IF(AB176="","",SUMIF($B$4:$B$1002,B176,$AB$4:$AB$1000))</f>
        <v/>
      </c>
      <c r="AD176" s="69"/>
      <c r="AE176" s="56"/>
      <c r="AF176" s="52"/>
      <c r="AG176" s="51"/>
      <c r="AH176" s="70"/>
      <c r="AI176" s="58"/>
      <c r="AJ176" s="55"/>
      <c r="AK176" s="51"/>
      <c r="AL176" s="69"/>
      <c r="AM176" s="56"/>
      <c r="AN176" s="52"/>
      <c r="AO176" s="51"/>
      <c r="AP176" s="70"/>
      <c r="AQ176" s="58"/>
      <c r="AR176" s="55"/>
      <c r="AS176" s="51"/>
      <c r="AT176" s="69"/>
      <c r="AU176" s="56"/>
      <c r="AV176" s="52"/>
      <c r="AW176" s="51"/>
      <c r="BR176" s="34" t="str">
        <f>IF(E176="","",CONCATENATE(E176," ",F176," noches"))</f>
        <v/>
      </c>
      <c r="BS176" s="28" t="str">
        <f t="shared" ca="1" si="44"/>
        <v/>
      </c>
      <c r="BT176" s="28" t="str">
        <f t="shared" ca="1" si="45"/>
        <v/>
      </c>
    </row>
    <row r="177" spans="1:72" x14ac:dyDescent="0.2">
      <c r="A177" s="18" t="str" cm="1">
        <f t="array" aca="1" ref="A177" ca="1">IF(B177="","","Grupo N˚"&amp;SUMPRODUCT(($B$4:B177&lt;&gt;"")*($B$4:B177&lt;&gt;OFFSET($B$4,-1,0,ROWS($B$4:B177),1))))</f>
        <v/>
      </c>
      <c r="B177" s="31"/>
      <c r="C177" s="31"/>
      <c r="D177" s="31"/>
      <c r="E177" s="31"/>
      <c r="F177" s="32"/>
      <c r="G177" s="33"/>
      <c r="H177" s="33"/>
      <c r="I177" s="20" t="str">
        <f t="shared" si="34"/>
        <v/>
      </c>
      <c r="J177" s="21" t="str">
        <f>IFERROR(VLOOKUP(BR177,Pricing!$D$3:$E$58,2,FALSE),"")</f>
        <v/>
      </c>
      <c r="K177" s="32"/>
      <c r="L177" s="32"/>
      <c r="M177" s="32"/>
      <c r="N177" s="36" t="str" cm="1">
        <f t="array" ref="N177">IFERROR(_xlfn.IFS((AND(K177="SI",M177="$")),J177*0.2,AND(K177="SI",M177="%"),20),"")</f>
        <v/>
      </c>
      <c r="O177" s="29" t="str">
        <f t="shared" si="35"/>
        <v/>
      </c>
      <c r="P177" s="21" t="str">
        <f t="shared" si="36"/>
        <v/>
      </c>
      <c r="Q177" s="21" t="str">
        <f t="shared" si="37"/>
        <v/>
      </c>
      <c r="R177" s="21" t="str">
        <f t="shared" si="38"/>
        <v/>
      </c>
      <c r="S177" s="39"/>
      <c r="T177" s="43" t="str">
        <f t="shared" si="46"/>
        <v/>
      </c>
      <c r="U177" s="49" t="str">
        <f t="shared" si="47"/>
        <v/>
      </c>
      <c r="V177" s="48" t="str">
        <f t="shared" si="48"/>
        <v/>
      </c>
      <c r="W177" s="48" t="str">
        <f t="shared" si="39"/>
        <v/>
      </c>
      <c r="X177" s="50" t="str">
        <f>IF(W177="","",SUMIF($B$4:$B$1002,B177,$W$4:$W$1000))</f>
        <v/>
      </c>
      <c r="Y177" s="43" t="str">
        <f t="shared" si="40"/>
        <v/>
      </c>
      <c r="Z177" s="49" t="str">
        <f t="shared" si="41"/>
        <v/>
      </c>
      <c r="AA177" s="48" t="str">
        <f t="shared" si="42"/>
        <v/>
      </c>
      <c r="AB177" s="49" t="str">
        <f t="shared" si="43"/>
        <v/>
      </c>
      <c r="AC177" s="50" t="str">
        <f>IF(AB177="","",SUMIF($B$4:$B$1002,B177,$AB$4:$AB$1000))</f>
        <v/>
      </c>
      <c r="AD177" s="69"/>
      <c r="AE177" s="56"/>
      <c r="AF177" s="52"/>
      <c r="AG177" s="51"/>
      <c r="AH177" s="70"/>
      <c r="AI177" s="58"/>
      <c r="AJ177" s="55"/>
      <c r="AK177" s="51"/>
      <c r="AL177" s="69"/>
      <c r="AM177" s="56"/>
      <c r="AN177" s="52"/>
      <c r="AO177" s="51"/>
      <c r="AP177" s="70"/>
      <c r="AQ177" s="58"/>
      <c r="AR177" s="55"/>
      <c r="AS177" s="51"/>
      <c r="AT177" s="69"/>
      <c r="AU177" s="56"/>
      <c r="AV177" s="52"/>
      <c r="AW177" s="51"/>
      <c r="BR177" s="34" t="str">
        <f>IF(E177="","",CONCATENATE(E177," ",F177," noches"))</f>
        <v/>
      </c>
      <c r="BS177" s="28" t="str">
        <f t="shared" ca="1" si="44"/>
        <v/>
      </c>
      <c r="BT177" s="28" t="str">
        <f t="shared" ca="1" si="45"/>
        <v/>
      </c>
    </row>
    <row r="178" spans="1:72" x14ac:dyDescent="0.2">
      <c r="A178" s="18" t="str" cm="1">
        <f t="array" aca="1" ref="A178" ca="1">IF(B178="","","Grupo N˚"&amp;SUMPRODUCT(($B$4:B178&lt;&gt;"")*($B$4:B178&lt;&gt;OFFSET($B$4,-1,0,ROWS($B$4:B178),1))))</f>
        <v/>
      </c>
      <c r="B178" s="31"/>
      <c r="C178" s="31"/>
      <c r="D178" s="31"/>
      <c r="E178" s="31"/>
      <c r="F178" s="32"/>
      <c r="G178" s="33"/>
      <c r="H178" s="33"/>
      <c r="I178" s="20" t="str">
        <f t="shared" si="34"/>
        <v/>
      </c>
      <c r="J178" s="21" t="str">
        <f>IFERROR(VLOOKUP(BR178,Pricing!$D$3:$E$58,2,FALSE),"")</f>
        <v/>
      </c>
      <c r="K178" s="32"/>
      <c r="L178" s="32"/>
      <c r="M178" s="32"/>
      <c r="N178" s="36" t="str" cm="1">
        <f t="array" ref="N178">IFERROR(_xlfn.IFS((AND(K178="SI",M178="$")),J178*0.2,AND(K178="SI",M178="%"),20),"")</f>
        <v/>
      </c>
      <c r="O178" s="29" t="str">
        <f t="shared" si="35"/>
        <v/>
      </c>
      <c r="P178" s="21" t="str">
        <f t="shared" si="36"/>
        <v/>
      </c>
      <c r="Q178" s="21" t="str">
        <f t="shared" si="37"/>
        <v/>
      </c>
      <c r="R178" s="21" t="str">
        <f t="shared" si="38"/>
        <v/>
      </c>
      <c r="S178" s="39"/>
      <c r="T178" s="43" t="str">
        <f t="shared" si="46"/>
        <v/>
      </c>
      <c r="U178" s="49" t="str">
        <f t="shared" si="47"/>
        <v/>
      </c>
      <c r="V178" s="48" t="str">
        <f t="shared" si="48"/>
        <v/>
      </c>
      <c r="W178" s="48" t="str">
        <f t="shared" si="39"/>
        <v/>
      </c>
      <c r="X178" s="50" t="str">
        <f>IF(W178="","",SUMIF($B$4:$B$1002,B178,$W$4:$W$1000))</f>
        <v/>
      </c>
      <c r="Y178" s="43" t="str">
        <f t="shared" si="40"/>
        <v/>
      </c>
      <c r="Z178" s="49" t="str">
        <f t="shared" si="41"/>
        <v/>
      </c>
      <c r="AA178" s="48" t="str">
        <f t="shared" si="42"/>
        <v/>
      </c>
      <c r="AB178" s="49" t="str">
        <f t="shared" si="43"/>
        <v/>
      </c>
      <c r="AC178" s="50" t="str">
        <f>IF(AB178="","",SUMIF($B$4:$B$1002,B178,$AB$4:$AB$1000))</f>
        <v/>
      </c>
      <c r="AD178" s="69"/>
      <c r="AE178" s="56"/>
      <c r="AF178" s="52"/>
      <c r="AG178" s="51"/>
      <c r="AH178" s="70"/>
      <c r="AI178" s="58"/>
      <c r="AJ178" s="55"/>
      <c r="AK178" s="51"/>
      <c r="AL178" s="69"/>
      <c r="AM178" s="56"/>
      <c r="AN178" s="52"/>
      <c r="AO178" s="51"/>
      <c r="AP178" s="70"/>
      <c r="AQ178" s="58"/>
      <c r="AR178" s="55"/>
      <c r="AS178" s="51"/>
      <c r="AT178" s="69"/>
      <c r="AU178" s="56"/>
      <c r="AV178" s="52"/>
      <c r="AW178" s="51"/>
      <c r="BR178" s="34" t="str">
        <f>IF(E178="","",CONCATENATE(E178," ",F178," noches"))</f>
        <v/>
      </c>
      <c r="BS178" s="28" t="str">
        <f t="shared" ca="1" si="44"/>
        <v/>
      </c>
      <c r="BT178" s="28" t="str">
        <f t="shared" ca="1" si="45"/>
        <v/>
      </c>
    </row>
    <row r="179" spans="1:72" x14ac:dyDescent="0.2">
      <c r="A179" s="18" t="str" cm="1">
        <f t="array" aca="1" ref="A179" ca="1">IF(B179="","","Grupo N˚"&amp;SUMPRODUCT(($B$4:B179&lt;&gt;"")*($B$4:B179&lt;&gt;OFFSET($B$4,-1,0,ROWS($B$4:B179),1))))</f>
        <v/>
      </c>
      <c r="B179" s="31"/>
      <c r="C179" s="31"/>
      <c r="D179" s="31"/>
      <c r="E179" s="31"/>
      <c r="F179" s="32"/>
      <c r="G179" s="33"/>
      <c r="H179" s="33"/>
      <c r="I179" s="20" t="str">
        <f t="shared" si="34"/>
        <v/>
      </c>
      <c r="J179" s="21" t="str">
        <f>IFERROR(VLOOKUP(BR179,Pricing!$D$3:$E$58,2,FALSE),"")</f>
        <v/>
      </c>
      <c r="K179" s="32"/>
      <c r="L179" s="32"/>
      <c r="M179" s="32"/>
      <c r="N179" s="36" t="str" cm="1">
        <f t="array" ref="N179">IFERROR(_xlfn.IFS((AND(K179="SI",M179="$")),J179*0.2,AND(K179="SI",M179="%"),20),"")</f>
        <v/>
      </c>
      <c r="O179" s="29" t="str">
        <f t="shared" si="35"/>
        <v/>
      </c>
      <c r="P179" s="21" t="str">
        <f t="shared" si="36"/>
        <v/>
      </c>
      <c r="Q179" s="21" t="str">
        <f t="shared" si="37"/>
        <v/>
      </c>
      <c r="R179" s="21" t="str">
        <f t="shared" si="38"/>
        <v/>
      </c>
      <c r="S179" s="39"/>
      <c r="T179" s="43" t="str">
        <f t="shared" si="46"/>
        <v/>
      </c>
      <c r="U179" s="49" t="str">
        <f t="shared" si="47"/>
        <v/>
      </c>
      <c r="V179" s="48" t="str">
        <f t="shared" si="48"/>
        <v/>
      </c>
      <c r="W179" s="48" t="str">
        <f t="shared" si="39"/>
        <v/>
      </c>
      <c r="X179" s="50" t="str">
        <f>IF(W179="","",SUMIF($B$4:$B$1002,B179,$W$4:$W$1000))</f>
        <v/>
      </c>
      <c r="Y179" s="43" t="str">
        <f t="shared" si="40"/>
        <v/>
      </c>
      <c r="Z179" s="49" t="str">
        <f t="shared" si="41"/>
        <v/>
      </c>
      <c r="AA179" s="48" t="str">
        <f t="shared" si="42"/>
        <v/>
      </c>
      <c r="AB179" s="49" t="str">
        <f t="shared" si="43"/>
        <v/>
      </c>
      <c r="AC179" s="50" t="str">
        <f>IF(AB179="","",SUMIF($B$4:$B$1002,B179,$AB$4:$AB$1000))</f>
        <v/>
      </c>
      <c r="AD179" s="69"/>
      <c r="AE179" s="56"/>
      <c r="AF179" s="52"/>
      <c r="AG179" s="51"/>
      <c r="AH179" s="70"/>
      <c r="AI179" s="58"/>
      <c r="AJ179" s="55"/>
      <c r="AK179" s="51"/>
      <c r="AL179" s="69"/>
      <c r="AM179" s="56"/>
      <c r="AN179" s="52"/>
      <c r="AO179" s="51"/>
      <c r="AP179" s="70"/>
      <c r="AQ179" s="58"/>
      <c r="AR179" s="55"/>
      <c r="AS179" s="51"/>
      <c r="AT179" s="69"/>
      <c r="AU179" s="56"/>
      <c r="AV179" s="52"/>
      <c r="AW179" s="51"/>
      <c r="BR179" s="34" t="str">
        <f>IF(E179="","",CONCATENATE(E179," ",F179," noches"))</f>
        <v/>
      </c>
      <c r="BS179" s="28" t="str">
        <f t="shared" ca="1" si="44"/>
        <v/>
      </c>
      <c r="BT179" s="28" t="str">
        <f t="shared" ca="1" si="45"/>
        <v/>
      </c>
    </row>
    <row r="180" spans="1:72" x14ac:dyDescent="0.2">
      <c r="A180" s="18" t="str" cm="1">
        <f t="array" aca="1" ref="A180" ca="1">IF(B180="","","Grupo N˚"&amp;SUMPRODUCT(($B$4:B180&lt;&gt;"")*($B$4:B180&lt;&gt;OFFSET($B$4,-1,0,ROWS($B$4:B180),1))))</f>
        <v/>
      </c>
      <c r="B180" s="31"/>
      <c r="C180" s="31"/>
      <c r="D180" s="31"/>
      <c r="E180" s="31"/>
      <c r="F180" s="32"/>
      <c r="G180" s="33"/>
      <c r="H180" s="33"/>
      <c r="I180" s="20" t="str">
        <f t="shared" si="34"/>
        <v/>
      </c>
      <c r="J180" s="21" t="str">
        <f>IFERROR(VLOOKUP(BR180,Pricing!$D$3:$E$58,2,FALSE),"")</f>
        <v/>
      </c>
      <c r="K180" s="32"/>
      <c r="L180" s="32"/>
      <c r="M180" s="32"/>
      <c r="N180" s="36" t="str" cm="1">
        <f t="array" ref="N180">IFERROR(_xlfn.IFS((AND(K180="SI",M180="$")),J180*0.2,AND(K180="SI",M180="%"),20),"")</f>
        <v/>
      </c>
      <c r="O180" s="29" t="str">
        <f t="shared" si="35"/>
        <v/>
      </c>
      <c r="P180" s="21" t="str">
        <f t="shared" si="36"/>
        <v/>
      </c>
      <c r="Q180" s="21" t="str">
        <f t="shared" si="37"/>
        <v/>
      </c>
      <c r="R180" s="21" t="str">
        <f t="shared" si="38"/>
        <v/>
      </c>
      <c r="S180" s="39"/>
      <c r="T180" s="43" t="str">
        <f t="shared" si="46"/>
        <v/>
      </c>
      <c r="U180" s="49" t="str">
        <f t="shared" si="47"/>
        <v/>
      </c>
      <c r="V180" s="48" t="str">
        <f t="shared" si="48"/>
        <v/>
      </c>
      <c r="W180" s="48" t="str">
        <f t="shared" si="39"/>
        <v/>
      </c>
      <c r="X180" s="50" t="str">
        <f>IF(W180="","",SUMIF($B$4:$B$1002,B180,$W$4:$W$1000))</f>
        <v/>
      </c>
      <c r="Y180" s="43" t="str">
        <f t="shared" si="40"/>
        <v/>
      </c>
      <c r="Z180" s="49" t="str">
        <f t="shared" si="41"/>
        <v/>
      </c>
      <c r="AA180" s="48" t="str">
        <f t="shared" si="42"/>
        <v/>
      </c>
      <c r="AB180" s="49" t="str">
        <f t="shared" si="43"/>
        <v/>
      </c>
      <c r="AC180" s="50" t="str">
        <f>IF(AB180="","",SUMIF($B$4:$B$1002,B180,$AB$4:$AB$1000))</f>
        <v/>
      </c>
      <c r="AD180" s="69"/>
      <c r="AE180" s="56"/>
      <c r="AF180" s="52"/>
      <c r="AG180" s="51"/>
      <c r="AH180" s="70"/>
      <c r="AI180" s="58"/>
      <c r="AJ180" s="55"/>
      <c r="AK180" s="51"/>
      <c r="AL180" s="69"/>
      <c r="AM180" s="56"/>
      <c r="AN180" s="52"/>
      <c r="AO180" s="51"/>
      <c r="AP180" s="70"/>
      <c r="AQ180" s="58"/>
      <c r="AR180" s="55"/>
      <c r="AS180" s="51"/>
      <c r="AT180" s="69"/>
      <c r="AU180" s="56"/>
      <c r="AV180" s="52"/>
      <c r="AW180" s="51"/>
      <c r="BR180" s="34" t="str">
        <f>IF(E180="","",CONCATENATE(E180," ",F180," noches"))</f>
        <v/>
      </c>
      <c r="BS180" s="28" t="str">
        <f t="shared" ca="1" si="44"/>
        <v/>
      </c>
      <c r="BT180" s="28" t="str">
        <f t="shared" ca="1" si="45"/>
        <v/>
      </c>
    </row>
    <row r="181" spans="1:72" x14ac:dyDescent="0.2">
      <c r="A181" s="18" t="str" cm="1">
        <f t="array" aca="1" ref="A181" ca="1">IF(B181="","","Grupo N˚"&amp;SUMPRODUCT(($B$4:B181&lt;&gt;"")*($B$4:B181&lt;&gt;OFFSET($B$4,-1,0,ROWS($B$4:B181),1))))</f>
        <v/>
      </c>
      <c r="B181" s="31"/>
      <c r="C181" s="31"/>
      <c r="D181" s="31"/>
      <c r="E181" s="31"/>
      <c r="F181" s="32"/>
      <c r="G181" s="33"/>
      <c r="H181" s="33"/>
      <c r="I181" s="20" t="str">
        <f t="shared" si="34"/>
        <v/>
      </c>
      <c r="J181" s="21" t="str">
        <f>IFERROR(VLOOKUP(BR181,Pricing!$D$3:$E$58,2,FALSE),"")</f>
        <v/>
      </c>
      <c r="K181" s="32"/>
      <c r="L181" s="32"/>
      <c r="M181" s="32"/>
      <c r="N181" s="36" t="str" cm="1">
        <f t="array" ref="N181">IFERROR(_xlfn.IFS((AND(K181="SI",M181="$")),J181*0.2,AND(K181="SI",M181="%"),20),"")</f>
        <v/>
      </c>
      <c r="O181" s="29" t="str">
        <f t="shared" si="35"/>
        <v/>
      </c>
      <c r="P181" s="21" t="str">
        <f t="shared" si="36"/>
        <v/>
      </c>
      <c r="Q181" s="21" t="str">
        <f t="shared" si="37"/>
        <v/>
      </c>
      <c r="R181" s="21" t="str">
        <f t="shared" si="38"/>
        <v/>
      </c>
      <c r="S181" s="39"/>
      <c r="T181" s="43" t="str">
        <f t="shared" si="46"/>
        <v/>
      </c>
      <c r="U181" s="49" t="str">
        <f t="shared" si="47"/>
        <v/>
      </c>
      <c r="V181" s="48" t="str">
        <f t="shared" si="48"/>
        <v/>
      </c>
      <c r="W181" s="48" t="str">
        <f t="shared" si="39"/>
        <v/>
      </c>
      <c r="X181" s="50" t="str">
        <f>IF(W181="","",SUMIF($B$4:$B$1002,B181,$W$4:$W$1000))</f>
        <v/>
      </c>
      <c r="Y181" s="43" t="str">
        <f t="shared" si="40"/>
        <v/>
      </c>
      <c r="Z181" s="49" t="str">
        <f t="shared" si="41"/>
        <v/>
      </c>
      <c r="AA181" s="48" t="str">
        <f t="shared" si="42"/>
        <v/>
      </c>
      <c r="AB181" s="49" t="str">
        <f t="shared" si="43"/>
        <v/>
      </c>
      <c r="AC181" s="50" t="str">
        <f>IF(AB181="","",SUMIF($B$4:$B$1002,B181,$AB$4:$AB$1000))</f>
        <v/>
      </c>
      <c r="AD181" s="69"/>
      <c r="AE181" s="56"/>
      <c r="AF181" s="52"/>
      <c r="AG181" s="51"/>
      <c r="AH181" s="70"/>
      <c r="AI181" s="58"/>
      <c r="AJ181" s="55"/>
      <c r="AK181" s="51"/>
      <c r="AL181" s="69"/>
      <c r="AM181" s="56"/>
      <c r="AN181" s="52"/>
      <c r="AO181" s="51"/>
      <c r="AP181" s="70"/>
      <c r="AQ181" s="58"/>
      <c r="AR181" s="55"/>
      <c r="AS181" s="51"/>
      <c r="AT181" s="69"/>
      <c r="AU181" s="56"/>
      <c r="AV181" s="52"/>
      <c r="AW181" s="51"/>
      <c r="BR181" s="34" t="str">
        <f>IF(E181="","",CONCATENATE(E181," ",F181," noches"))</f>
        <v/>
      </c>
      <c r="BS181" s="28" t="str">
        <f t="shared" ca="1" si="44"/>
        <v/>
      </c>
      <c r="BT181" s="28" t="str">
        <f t="shared" ca="1" si="45"/>
        <v/>
      </c>
    </row>
    <row r="182" spans="1:72" x14ac:dyDescent="0.2">
      <c r="A182" s="18" t="str" cm="1">
        <f t="array" aca="1" ref="A182" ca="1">IF(B182="","","Grupo N˚"&amp;SUMPRODUCT(($B$4:B182&lt;&gt;"")*($B$4:B182&lt;&gt;OFFSET($B$4,-1,0,ROWS($B$4:B182),1))))</f>
        <v/>
      </c>
      <c r="B182" s="31"/>
      <c r="C182" s="31"/>
      <c r="D182" s="31"/>
      <c r="E182" s="31"/>
      <c r="F182" s="32"/>
      <c r="G182" s="33"/>
      <c r="H182" s="33"/>
      <c r="I182" s="20" t="str">
        <f t="shared" si="34"/>
        <v/>
      </c>
      <c r="J182" s="21" t="str">
        <f>IFERROR(VLOOKUP(BR182,Pricing!$D$3:$E$58,2,FALSE),"")</f>
        <v/>
      </c>
      <c r="K182" s="32"/>
      <c r="L182" s="32"/>
      <c r="M182" s="32"/>
      <c r="N182" s="36" t="str" cm="1">
        <f t="array" ref="N182">IFERROR(_xlfn.IFS((AND(K182="SI",M182="$")),J182*0.2,AND(K182="SI",M182="%"),20),"")</f>
        <v/>
      </c>
      <c r="O182" s="29" t="str">
        <f t="shared" si="35"/>
        <v/>
      </c>
      <c r="P182" s="21" t="str">
        <f t="shared" si="36"/>
        <v/>
      </c>
      <c r="Q182" s="21" t="str">
        <f t="shared" si="37"/>
        <v/>
      </c>
      <c r="R182" s="21" t="str">
        <f t="shared" si="38"/>
        <v/>
      </c>
      <c r="S182" s="39"/>
      <c r="T182" s="43" t="str">
        <f t="shared" si="46"/>
        <v/>
      </c>
      <c r="U182" s="49" t="str">
        <f t="shared" si="47"/>
        <v/>
      </c>
      <c r="V182" s="48" t="str">
        <f t="shared" si="48"/>
        <v/>
      </c>
      <c r="W182" s="48" t="str">
        <f t="shared" si="39"/>
        <v/>
      </c>
      <c r="X182" s="50" t="str">
        <f>IF(W182="","",SUMIF($B$4:$B$1002,B182,$W$4:$W$1000))</f>
        <v/>
      </c>
      <c r="Y182" s="43" t="str">
        <f t="shared" si="40"/>
        <v/>
      </c>
      <c r="Z182" s="49" t="str">
        <f t="shared" si="41"/>
        <v/>
      </c>
      <c r="AA182" s="48" t="str">
        <f t="shared" si="42"/>
        <v/>
      </c>
      <c r="AB182" s="49" t="str">
        <f t="shared" si="43"/>
        <v/>
      </c>
      <c r="AC182" s="50" t="str">
        <f>IF(AB182="","",SUMIF($B$4:$B$1002,B182,$AB$4:$AB$1000))</f>
        <v/>
      </c>
      <c r="AD182" s="69"/>
      <c r="AE182" s="56"/>
      <c r="AF182" s="52"/>
      <c r="AG182" s="51"/>
      <c r="AH182" s="70"/>
      <c r="AI182" s="58"/>
      <c r="AJ182" s="55"/>
      <c r="AK182" s="51"/>
      <c r="AL182" s="69"/>
      <c r="AM182" s="56"/>
      <c r="AN182" s="52"/>
      <c r="AO182" s="51"/>
      <c r="AP182" s="70"/>
      <c r="AQ182" s="58"/>
      <c r="AR182" s="55"/>
      <c r="AS182" s="51"/>
      <c r="AT182" s="69"/>
      <c r="AU182" s="56"/>
      <c r="AV182" s="52"/>
      <c r="AW182" s="51"/>
      <c r="BR182" s="34" t="str">
        <f>IF(E182="","",CONCATENATE(E182," ",F182," noches"))</f>
        <v/>
      </c>
      <c r="BS182" s="28" t="str">
        <f t="shared" ca="1" si="44"/>
        <v/>
      </c>
      <c r="BT182" s="28" t="str">
        <f t="shared" ca="1" si="45"/>
        <v/>
      </c>
    </row>
    <row r="183" spans="1:72" x14ac:dyDescent="0.2">
      <c r="A183" s="18" t="str" cm="1">
        <f t="array" aca="1" ref="A183" ca="1">IF(B183="","","Grupo N˚"&amp;SUMPRODUCT(($B$4:B183&lt;&gt;"")*($B$4:B183&lt;&gt;OFFSET($B$4,-1,0,ROWS($B$4:B183),1))))</f>
        <v/>
      </c>
      <c r="B183" s="31"/>
      <c r="C183" s="31"/>
      <c r="D183" s="31"/>
      <c r="E183" s="31"/>
      <c r="F183" s="32"/>
      <c r="G183" s="33"/>
      <c r="H183" s="33"/>
      <c r="I183" s="20" t="str">
        <f t="shared" si="34"/>
        <v/>
      </c>
      <c r="J183" s="21" t="str">
        <f>IFERROR(VLOOKUP(BR183,Pricing!$D$3:$E$58,2,FALSE),"")</f>
        <v/>
      </c>
      <c r="K183" s="32"/>
      <c r="L183" s="32"/>
      <c r="M183" s="32"/>
      <c r="N183" s="36" t="str" cm="1">
        <f t="array" ref="N183">IFERROR(_xlfn.IFS((AND(K183="SI",M183="$")),J183*0.2,AND(K183="SI",M183="%"),20),"")</f>
        <v/>
      </c>
      <c r="O183" s="29" t="str">
        <f t="shared" si="35"/>
        <v/>
      </c>
      <c r="P183" s="21" t="str">
        <f t="shared" si="36"/>
        <v/>
      </c>
      <c r="Q183" s="21" t="str">
        <f t="shared" si="37"/>
        <v/>
      </c>
      <c r="R183" s="21" t="str">
        <f t="shared" si="38"/>
        <v/>
      </c>
      <c r="S183" s="39"/>
      <c r="T183" s="43" t="str">
        <f t="shared" si="46"/>
        <v/>
      </c>
      <c r="U183" s="49" t="str">
        <f t="shared" si="47"/>
        <v/>
      </c>
      <c r="V183" s="48" t="str">
        <f t="shared" si="48"/>
        <v/>
      </c>
      <c r="W183" s="48" t="str">
        <f t="shared" si="39"/>
        <v/>
      </c>
      <c r="X183" s="50" t="str">
        <f>IF(W183="","",SUMIF($B$4:$B$1002,B183,$W$4:$W$1000))</f>
        <v/>
      </c>
      <c r="Y183" s="43" t="str">
        <f t="shared" si="40"/>
        <v/>
      </c>
      <c r="Z183" s="49" t="str">
        <f t="shared" si="41"/>
        <v/>
      </c>
      <c r="AA183" s="48" t="str">
        <f t="shared" si="42"/>
        <v/>
      </c>
      <c r="AB183" s="49" t="str">
        <f t="shared" si="43"/>
        <v/>
      </c>
      <c r="AC183" s="50" t="str">
        <f>IF(AB183="","",SUMIF($B$4:$B$1002,B183,$AB$4:$AB$1000))</f>
        <v/>
      </c>
      <c r="AD183" s="69"/>
      <c r="AE183" s="56"/>
      <c r="AF183" s="52"/>
      <c r="AG183" s="51"/>
      <c r="AH183" s="70"/>
      <c r="AI183" s="58"/>
      <c r="AJ183" s="55"/>
      <c r="AK183" s="51"/>
      <c r="AL183" s="69"/>
      <c r="AM183" s="56"/>
      <c r="AN183" s="52"/>
      <c r="AO183" s="51"/>
      <c r="AP183" s="70"/>
      <c r="AQ183" s="58"/>
      <c r="AR183" s="55"/>
      <c r="AS183" s="51"/>
      <c r="AT183" s="69"/>
      <c r="AU183" s="56"/>
      <c r="AV183" s="52"/>
      <c r="AW183" s="51"/>
      <c r="BR183" s="34" t="str">
        <f>IF(E183="","",CONCATENATE(E183," ",F183," noches"))</f>
        <v/>
      </c>
      <c r="BS183" s="28" t="str">
        <f t="shared" ca="1" si="44"/>
        <v/>
      </c>
      <c r="BT183" s="28" t="str">
        <f t="shared" ca="1" si="45"/>
        <v/>
      </c>
    </row>
    <row r="184" spans="1:72" x14ac:dyDescent="0.2">
      <c r="A184" s="18" t="str" cm="1">
        <f t="array" aca="1" ref="A184" ca="1">IF(B184="","","Grupo N˚"&amp;SUMPRODUCT(($B$4:B184&lt;&gt;"")*($B$4:B184&lt;&gt;OFFSET($B$4,-1,0,ROWS($B$4:B184),1))))</f>
        <v/>
      </c>
      <c r="B184" s="31"/>
      <c r="C184" s="31"/>
      <c r="D184" s="31"/>
      <c r="E184" s="31"/>
      <c r="F184" s="32"/>
      <c r="G184" s="33"/>
      <c r="H184" s="33"/>
      <c r="I184" s="20" t="str">
        <f t="shared" si="34"/>
        <v/>
      </c>
      <c r="J184" s="21" t="str">
        <f>IFERROR(VLOOKUP(BR184,Pricing!$D$3:$E$58,2,FALSE),"")</f>
        <v/>
      </c>
      <c r="K184" s="32"/>
      <c r="L184" s="32"/>
      <c r="M184" s="32"/>
      <c r="N184" s="36" t="str" cm="1">
        <f t="array" ref="N184">IFERROR(_xlfn.IFS((AND(K184="SI",M184="$")),J184*0.2,AND(K184="SI",M184="%"),20),"")</f>
        <v/>
      </c>
      <c r="O184" s="29" t="str">
        <f t="shared" si="35"/>
        <v/>
      </c>
      <c r="P184" s="21" t="str">
        <f t="shared" si="36"/>
        <v/>
      </c>
      <c r="Q184" s="21" t="str">
        <f t="shared" si="37"/>
        <v/>
      </c>
      <c r="R184" s="21" t="str">
        <f t="shared" si="38"/>
        <v/>
      </c>
      <c r="S184" s="39"/>
      <c r="T184" s="43" t="str">
        <f t="shared" si="46"/>
        <v/>
      </c>
      <c r="U184" s="49" t="str">
        <f t="shared" si="47"/>
        <v/>
      </c>
      <c r="V184" s="48" t="str">
        <f t="shared" si="48"/>
        <v/>
      </c>
      <c r="W184" s="48" t="str">
        <f t="shared" si="39"/>
        <v/>
      </c>
      <c r="X184" s="50" t="str">
        <f>IF(W184="","",SUMIF($B$4:$B$1002,B184,$W$4:$W$1000))</f>
        <v/>
      </c>
      <c r="Y184" s="43" t="str">
        <f t="shared" si="40"/>
        <v/>
      </c>
      <c r="Z184" s="49" t="str">
        <f t="shared" si="41"/>
        <v/>
      </c>
      <c r="AA184" s="48" t="str">
        <f t="shared" si="42"/>
        <v/>
      </c>
      <c r="AB184" s="49" t="str">
        <f t="shared" si="43"/>
        <v/>
      </c>
      <c r="AC184" s="50" t="str">
        <f>IF(AB184="","",SUMIF($B$4:$B$1002,B184,$AB$4:$AB$1000))</f>
        <v/>
      </c>
      <c r="AD184" s="69"/>
      <c r="AE184" s="56"/>
      <c r="AF184" s="52"/>
      <c r="AG184" s="51"/>
      <c r="AH184" s="70"/>
      <c r="AI184" s="58"/>
      <c r="AJ184" s="55"/>
      <c r="AK184" s="51"/>
      <c r="AL184" s="69"/>
      <c r="AM184" s="56"/>
      <c r="AN184" s="52"/>
      <c r="AO184" s="51"/>
      <c r="AP184" s="70"/>
      <c r="AQ184" s="58"/>
      <c r="AR184" s="55"/>
      <c r="AS184" s="51"/>
      <c r="AT184" s="69"/>
      <c r="AU184" s="56"/>
      <c r="AV184" s="52"/>
      <c r="AW184" s="51"/>
      <c r="BR184" s="34" t="str">
        <f>IF(E184="","",CONCATENATE(E184," ",F184," noches"))</f>
        <v/>
      </c>
      <c r="BS184" s="28" t="str">
        <f t="shared" ca="1" si="44"/>
        <v/>
      </c>
      <c r="BT184" s="28" t="str">
        <f t="shared" ca="1" si="45"/>
        <v/>
      </c>
    </row>
    <row r="185" spans="1:72" x14ac:dyDescent="0.2">
      <c r="A185" s="18" t="str" cm="1">
        <f t="array" aca="1" ref="A185" ca="1">IF(B185="","","Grupo N˚"&amp;SUMPRODUCT(($B$4:B185&lt;&gt;"")*($B$4:B185&lt;&gt;OFFSET($B$4,-1,0,ROWS($B$4:B185),1))))</f>
        <v/>
      </c>
      <c r="B185" s="31"/>
      <c r="C185" s="31"/>
      <c r="D185" s="31"/>
      <c r="E185" s="31"/>
      <c r="F185" s="32"/>
      <c r="G185" s="33"/>
      <c r="H185" s="33"/>
      <c r="I185" s="20" t="str">
        <f t="shared" si="34"/>
        <v/>
      </c>
      <c r="J185" s="21" t="str">
        <f>IFERROR(VLOOKUP(BR185,Pricing!$D$3:$E$58,2,FALSE),"")</f>
        <v/>
      </c>
      <c r="K185" s="32"/>
      <c r="L185" s="32"/>
      <c r="M185" s="32"/>
      <c r="N185" s="36" t="str" cm="1">
        <f t="array" ref="N185">IFERROR(_xlfn.IFS((AND(K185="SI",M185="$")),J185*0.2,AND(K185="SI",M185="%"),20),"")</f>
        <v/>
      </c>
      <c r="O185" s="29" t="str">
        <f t="shared" si="35"/>
        <v/>
      </c>
      <c r="P185" s="21" t="str">
        <f t="shared" si="36"/>
        <v/>
      </c>
      <c r="Q185" s="21" t="str">
        <f t="shared" si="37"/>
        <v/>
      </c>
      <c r="R185" s="21" t="str">
        <f t="shared" si="38"/>
        <v/>
      </c>
      <c r="S185" s="39"/>
      <c r="T185" s="43" t="str">
        <f t="shared" si="46"/>
        <v/>
      </c>
      <c r="U185" s="49" t="str">
        <f t="shared" si="47"/>
        <v/>
      </c>
      <c r="V185" s="48" t="str">
        <f t="shared" si="48"/>
        <v/>
      </c>
      <c r="W185" s="48" t="str">
        <f t="shared" si="39"/>
        <v/>
      </c>
      <c r="X185" s="50" t="str">
        <f>IF(W185="","",SUMIF($B$4:$B$1002,B185,$W$4:$W$1000))</f>
        <v/>
      </c>
      <c r="Y185" s="43" t="str">
        <f t="shared" si="40"/>
        <v/>
      </c>
      <c r="Z185" s="49" t="str">
        <f t="shared" si="41"/>
        <v/>
      </c>
      <c r="AA185" s="48" t="str">
        <f t="shared" si="42"/>
        <v/>
      </c>
      <c r="AB185" s="49" t="str">
        <f t="shared" si="43"/>
        <v/>
      </c>
      <c r="AC185" s="50" t="str">
        <f>IF(AB185="","",SUMIF($B$4:$B$1002,B185,$AB$4:$AB$1000))</f>
        <v/>
      </c>
      <c r="AD185" s="69"/>
      <c r="AE185" s="56"/>
      <c r="AF185" s="52"/>
      <c r="AG185" s="51"/>
      <c r="AH185" s="70"/>
      <c r="AI185" s="58"/>
      <c r="AJ185" s="55"/>
      <c r="AK185" s="51"/>
      <c r="AL185" s="69"/>
      <c r="AM185" s="56"/>
      <c r="AN185" s="52"/>
      <c r="AO185" s="51"/>
      <c r="AP185" s="70"/>
      <c r="AQ185" s="58"/>
      <c r="AR185" s="55"/>
      <c r="AS185" s="51"/>
      <c r="AT185" s="69"/>
      <c r="AU185" s="56"/>
      <c r="AV185" s="52"/>
      <c r="AW185" s="51"/>
      <c r="BR185" s="34" t="str">
        <f>IF(E185="","",CONCATENATE(E185," ",F185," noches"))</f>
        <v/>
      </c>
      <c r="BS185" s="28" t="str">
        <f t="shared" ca="1" si="44"/>
        <v/>
      </c>
      <c r="BT185" s="28" t="str">
        <f t="shared" ca="1" si="45"/>
        <v/>
      </c>
    </row>
    <row r="186" spans="1:72" x14ac:dyDescent="0.2">
      <c r="A186" s="18" t="str" cm="1">
        <f t="array" aca="1" ref="A186" ca="1">IF(B186="","","Grupo N˚"&amp;SUMPRODUCT(($B$4:B186&lt;&gt;"")*($B$4:B186&lt;&gt;OFFSET($B$4,-1,0,ROWS($B$4:B186),1))))</f>
        <v/>
      </c>
      <c r="B186" s="31"/>
      <c r="C186" s="31"/>
      <c r="D186" s="31"/>
      <c r="E186" s="31"/>
      <c r="F186" s="32"/>
      <c r="G186" s="33"/>
      <c r="H186" s="33"/>
      <c r="I186" s="20" t="str">
        <f t="shared" si="34"/>
        <v/>
      </c>
      <c r="J186" s="21" t="str">
        <f>IFERROR(VLOOKUP(BR186,Pricing!$D$3:$E$58,2,FALSE),"")</f>
        <v/>
      </c>
      <c r="K186" s="32"/>
      <c r="L186" s="32"/>
      <c r="M186" s="32"/>
      <c r="N186" s="36" t="str" cm="1">
        <f t="array" ref="N186">IFERROR(_xlfn.IFS((AND(K186="SI",M186="$")),J186*0.2,AND(K186="SI",M186="%"),20),"")</f>
        <v/>
      </c>
      <c r="O186" s="29" t="str">
        <f t="shared" si="35"/>
        <v/>
      </c>
      <c r="P186" s="21" t="str">
        <f t="shared" si="36"/>
        <v/>
      </c>
      <c r="Q186" s="21" t="str">
        <f t="shared" si="37"/>
        <v/>
      </c>
      <c r="R186" s="21" t="str">
        <f t="shared" si="38"/>
        <v/>
      </c>
      <c r="S186" s="39"/>
      <c r="T186" s="43" t="str">
        <f t="shared" si="46"/>
        <v/>
      </c>
      <c r="U186" s="49" t="str">
        <f t="shared" si="47"/>
        <v/>
      </c>
      <c r="V186" s="48" t="str">
        <f t="shared" si="48"/>
        <v/>
      </c>
      <c r="W186" s="48" t="str">
        <f t="shared" si="39"/>
        <v/>
      </c>
      <c r="X186" s="50" t="str">
        <f>IF(W186="","",SUMIF($B$4:$B$1002,B186,$W$4:$W$1000))</f>
        <v/>
      </c>
      <c r="Y186" s="43" t="str">
        <f t="shared" si="40"/>
        <v/>
      </c>
      <c r="Z186" s="49" t="str">
        <f t="shared" si="41"/>
        <v/>
      </c>
      <c r="AA186" s="48" t="str">
        <f t="shared" si="42"/>
        <v/>
      </c>
      <c r="AB186" s="49" t="str">
        <f t="shared" si="43"/>
        <v/>
      </c>
      <c r="AC186" s="50" t="str">
        <f>IF(AB186="","",SUMIF($B$4:$B$1002,B186,$AB$4:$AB$1000))</f>
        <v/>
      </c>
      <c r="AD186" s="69"/>
      <c r="AE186" s="56"/>
      <c r="AF186" s="52"/>
      <c r="AG186" s="51"/>
      <c r="AH186" s="70"/>
      <c r="AI186" s="58"/>
      <c r="AJ186" s="55"/>
      <c r="AK186" s="51"/>
      <c r="AL186" s="69"/>
      <c r="AM186" s="56"/>
      <c r="AN186" s="52"/>
      <c r="AO186" s="51"/>
      <c r="AP186" s="70"/>
      <c r="AQ186" s="58"/>
      <c r="AR186" s="55"/>
      <c r="AS186" s="51"/>
      <c r="AT186" s="69"/>
      <c r="AU186" s="56"/>
      <c r="AV186" s="52"/>
      <c r="AW186" s="51"/>
      <c r="BR186" s="34" t="str">
        <f>IF(E186="","",CONCATENATE(E186," ",F186," noches"))</f>
        <v/>
      </c>
      <c r="BS186" s="28" t="str">
        <f t="shared" ca="1" si="44"/>
        <v/>
      </c>
      <c r="BT186" s="28" t="str">
        <f t="shared" ca="1" si="45"/>
        <v/>
      </c>
    </row>
    <row r="187" spans="1:72" x14ac:dyDescent="0.2">
      <c r="A187" s="18" t="str" cm="1">
        <f t="array" aca="1" ref="A187" ca="1">IF(B187="","","Grupo N˚"&amp;SUMPRODUCT(($B$4:B187&lt;&gt;"")*($B$4:B187&lt;&gt;OFFSET($B$4,-1,0,ROWS($B$4:B187),1))))</f>
        <v/>
      </c>
      <c r="B187" s="31"/>
      <c r="C187" s="31"/>
      <c r="D187" s="31"/>
      <c r="E187" s="31"/>
      <c r="F187" s="32"/>
      <c r="G187" s="33"/>
      <c r="H187" s="33"/>
      <c r="I187" s="20" t="str">
        <f t="shared" si="34"/>
        <v/>
      </c>
      <c r="J187" s="21" t="str">
        <f>IFERROR(VLOOKUP(BR187,Pricing!$D$3:$E$58,2,FALSE),"")</f>
        <v/>
      </c>
      <c r="K187" s="32"/>
      <c r="L187" s="32"/>
      <c r="M187" s="32"/>
      <c r="N187" s="36" t="str" cm="1">
        <f t="array" ref="N187">IFERROR(_xlfn.IFS((AND(K187="SI",M187="$")),J187*0.2,AND(K187="SI",M187="%"),20),"")</f>
        <v/>
      </c>
      <c r="O187" s="29" t="str">
        <f t="shared" si="35"/>
        <v/>
      </c>
      <c r="P187" s="21" t="str">
        <f t="shared" si="36"/>
        <v/>
      </c>
      <c r="Q187" s="21" t="str">
        <f t="shared" si="37"/>
        <v/>
      </c>
      <c r="R187" s="21" t="str">
        <f t="shared" si="38"/>
        <v/>
      </c>
      <c r="S187" s="39"/>
      <c r="T187" s="43" t="str">
        <f t="shared" si="46"/>
        <v/>
      </c>
      <c r="U187" s="49" t="str">
        <f t="shared" si="47"/>
        <v/>
      </c>
      <c r="V187" s="48" t="str">
        <f t="shared" si="48"/>
        <v/>
      </c>
      <c r="W187" s="48" t="str">
        <f t="shared" si="39"/>
        <v/>
      </c>
      <c r="X187" s="50" t="str">
        <f>IF(W187="","",SUMIF($B$4:$B$1002,B187,$W$4:$W$1000))</f>
        <v/>
      </c>
      <c r="Y187" s="43" t="str">
        <f t="shared" si="40"/>
        <v/>
      </c>
      <c r="Z187" s="49" t="str">
        <f t="shared" si="41"/>
        <v/>
      </c>
      <c r="AA187" s="48" t="str">
        <f t="shared" si="42"/>
        <v/>
      </c>
      <c r="AB187" s="49" t="str">
        <f t="shared" si="43"/>
        <v/>
      </c>
      <c r="AC187" s="50" t="str">
        <f>IF(AB187="","",SUMIF($B$4:$B$1002,B187,$AB$4:$AB$1000))</f>
        <v/>
      </c>
      <c r="AD187" s="69"/>
      <c r="AE187" s="56"/>
      <c r="AF187" s="52"/>
      <c r="AG187" s="51"/>
      <c r="AH187" s="70"/>
      <c r="AI187" s="58"/>
      <c r="AJ187" s="55"/>
      <c r="AK187" s="51"/>
      <c r="AL187" s="69"/>
      <c r="AM187" s="56"/>
      <c r="AN187" s="52"/>
      <c r="AO187" s="51"/>
      <c r="AP187" s="70"/>
      <c r="AQ187" s="58"/>
      <c r="AR187" s="55"/>
      <c r="AS187" s="51"/>
      <c r="AT187" s="69"/>
      <c r="AU187" s="56"/>
      <c r="AV187" s="52"/>
      <c r="AW187" s="51"/>
      <c r="BR187" s="34" t="str">
        <f>IF(E187="","",CONCATENATE(E187," ",F187," noches"))</f>
        <v/>
      </c>
      <c r="BS187" s="28" t="str">
        <f t="shared" ca="1" si="44"/>
        <v/>
      </c>
      <c r="BT187" s="28" t="str">
        <f t="shared" ca="1" si="45"/>
        <v/>
      </c>
    </row>
    <row r="188" spans="1:72" x14ac:dyDescent="0.2">
      <c r="A188" s="18" t="str" cm="1">
        <f t="array" aca="1" ref="A188" ca="1">IF(B188="","","Grupo N˚"&amp;SUMPRODUCT(($B$4:B188&lt;&gt;"")*($B$4:B188&lt;&gt;OFFSET($B$4,-1,0,ROWS($B$4:B188),1))))</f>
        <v/>
      </c>
      <c r="B188" s="31"/>
      <c r="C188" s="31"/>
      <c r="D188" s="31"/>
      <c r="E188" s="31"/>
      <c r="F188" s="32"/>
      <c r="G188" s="33"/>
      <c r="H188" s="33"/>
      <c r="I188" s="20" t="str">
        <f t="shared" si="34"/>
        <v/>
      </c>
      <c r="J188" s="21" t="str">
        <f>IFERROR(VLOOKUP(BR188,Pricing!$D$3:$E$58,2,FALSE),"")</f>
        <v/>
      </c>
      <c r="K188" s="32"/>
      <c r="L188" s="32"/>
      <c r="M188" s="32"/>
      <c r="N188" s="36" t="str" cm="1">
        <f t="array" ref="N188">IFERROR(_xlfn.IFS((AND(K188="SI",M188="$")),J188*0.2,AND(K188="SI",M188="%"),20),"")</f>
        <v/>
      </c>
      <c r="O188" s="29" t="str">
        <f t="shared" si="35"/>
        <v/>
      </c>
      <c r="P188" s="21" t="str">
        <f t="shared" si="36"/>
        <v/>
      </c>
      <c r="Q188" s="21" t="str">
        <f t="shared" si="37"/>
        <v/>
      </c>
      <c r="R188" s="21" t="str">
        <f t="shared" si="38"/>
        <v/>
      </c>
      <c r="S188" s="39"/>
      <c r="T188" s="43" t="str">
        <f t="shared" si="46"/>
        <v/>
      </c>
      <c r="U188" s="49" t="str">
        <f t="shared" si="47"/>
        <v/>
      </c>
      <c r="V188" s="48" t="str">
        <f t="shared" si="48"/>
        <v/>
      </c>
      <c r="W188" s="48" t="str">
        <f t="shared" si="39"/>
        <v/>
      </c>
      <c r="X188" s="50" t="str">
        <f>IF(W188="","",SUMIF($B$4:$B$1002,B188,$W$4:$W$1000))</f>
        <v/>
      </c>
      <c r="Y188" s="43" t="str">
        <f t="shared" si="40"/>
        <v/>
      </c>
      <c r="Z188" s="49" t="str">
        <f t="shared" si="41"/>
        <v/>
      </c>
      <c r="AA188" s="48" t="str">
        <f t="shared" si="42"/>
        <v/>
      </c>
      <c r="AB188" s="49" t="str">
        <f t="shared" si="43"/>
        <v/>
      </c>
      <c r="AC188" s="50" t="str">
        <f>IF(AB188="","",SUMIF($B$4:$B$1002,B188,$AB$4:$AB$1000))</f>
        <v/>
      </c>
      <c r="AD188" s="69"/>
      <c r="AE188" s="56"/>
      <c r="AF188" s="52"/>
      <c r="AG188" s="51"/>
      <c r="AH188" s="70"/>
      <c r="AI188" s="58"/>
      <c r="AJ188" s="55"/>
      <c r="AK188" s="51"/>
      <c r="AL188" s="69"/>
      <c r="AM188" s="56"/>
      <c r="AN188" s="52"/>
      <c r="AO188" s="51"/>
      <c r="AP188" s="70"/>
      <c r="AQ188" s="58"/>
      <c r="AR188" s="55"/>
      <c r="AS188" s="51"/>
      <c r="AT188" s="69"/>
      <c r="AU188" s="56"/>
      <c r="AV188" s="52"/>
      <c r="AW188" s="51"/>
      <c r="BR188" s="34" t="str">
        <f>IF(E188="","",CONCATENATE(E188," ",F188," noches"))</f>
        <v/>
      </c>
      <c r="BS188" s="28" t="str">
        <f t="shared" ca="1" si="44"/>
        <v/>
      </c>
      <c r="BT188" s="28" t="str">
        <f t="shared" ca="1" si="45"/>
        <v/>
      </c>
    </row>
    <row r="189" spans="1:72" x14ac:dyDescent="0.2">
      <c r="A189" s="18" t="str" cm="1">
        <f t="array" aca="1" ref="A189" ca="1">IF(B189="","","Grupo N˚"&amp;SUMPRODUCT(($B$4:B189&lt;&gt;"")*($B$4:B189&lt;&gt;OFFSET($B$4,-1,0,ROWS($B$4:B189),1))))</f>
        <v/>
      </c>
      <c r="B189" s="31"/>
      <c r="C189" s="31"/>
      <c r="D189" s="31"/>
      <c r="E189" s="31"/>
      <c r="F189" s="32"/>
      <c r="G189" s="33"/>
      <c r="H189" s="33"/>
      <c r="I189" s="20" t="str">
        <f t="shared" si="34"/>
        <v/>
      </c>
      <c r="J189" s="21" t="str">
        <f>IFERROR(VLOOKUP(BR189,Pricing!$D$3:$E$58,2,FALSE),"")</f>
        <v/>
      </c>
      <c r="K189" s="32"/>
      <c r="L189" s="32"/>
      <c r="M189" s="32"/>
      <c r="N189" s="36" t="str" cm="1">
        <f t="array" ref="N189">IFERROR(_xlfn.IFS((AND(K189="SI",M189="$")),J189*0.2,AND(K189="SI",M189="%"),20),"")</f>
        <v/>
      </c>
      <c r="O189" s="29" t="str">
        <f t="shared" si="35"/>
        <v/>
      </c>
      <c r="P189" s="21" t="str">
        <f t="shared" si="36"/>
        <v/>
      </c>
      <c r="Q189" s="21" t="str">
        <f t="shared" si="37"/>
        <v/>
      </c>
      <c r="R189" s="21" t="str">
        <f t="shared" si="38"/>
        <v/>
      </c>
      <c r="S189" s="39"/>
      <c r="T189" s="43" t="str">
        <f t="shared" si="46"/>
        <v/>
      </c>
      <c r="U189" s="49" t="str">
        <f t="shared" si="47"/>
        <v/>
      </c>
      <c r="V189" s="48" t="str">
        <f t="shared" si="48"/>
        <v/>
      </c>
      <c r="W189" s="48" t="str">
        <f t="shared" si="39"/>
        <v/>
      </c>
      <c r="X189" s="50" t="str">
        <f>IF(W189="","",SUMIF($B$4:$B$1002,B189,$W$4:$W$1000))</f>
        <v/>
      </c>
      <c r="Y189" s="43" t="str">
        <f t="shared" si="40"/>
        <v/>
      </c>
      <c r="Z189" s="49" t="str">
        <f t="shared" si="41"/>
        <v/>
      </c>
      <c r="AA189" s="48" t="str">
        <f t="shared" si="42"/>
        <v/>
      </c>
      <c r="AB189" s="49" t="str">
        <f t="shared" si="43"/>
        <v/>
      </c>
      <c r="AC189" s="50" t="str">
        <f>IF(AB189="","",SUMIF($B$4:$B$1002,B189,$AB$4:$AB$1000))</f>
        <v/>
      </c>
      <c r="AD189" s="69"/>
      <c r="AE189" s="56"/>
      <c r="AF189" s="52"/>
      <c r="AG189" s="51"/>
      <c r="AH189" s="70"/>
      <c r="AI189" s="58"/>
      <c r="AJ189" s="55"/>
      <c r="AK189" s="51"/>
      <c r="AL189" s="69"/>
      <c r="AM189" s="56"/>
      <c r="AN189" s="52"/>
      <c r="AO189" s="51"/>
      <c r="AP189" s="70"/>
      <c r="AQ189" s="58"/>
      <c r="AR189" s="55"/>
      <c r="AS189" s="51"/>
      <c r="AT189" s="69"/>
      <c r="AU189" s="56"/>
      <c r="AV189" s="52"/>
      <c r="AW189" s="51"/>
      <c r="BR189" s="34" t="str">
        <f>IF(E189="","",CONCATENATE(E189," ",F189," noches"))</f>
        <v/>
      </c>
      <c r="BS189" s="28" t="str">
        <f t="shared" ca="1" si="44"/>
        <v/>
      </c>
      <c r="BT189" s="28" t="str">
        <f t="shared" ca="1" si="45"/>
        <v/>
      </c>
    </row>
    <row r="190" spans="1:72" x14ac:dyDescent="0.2">
      <c r="A190" s="18" t="str" cm="1">
        <f t="array" aca="1" ref="A190" ca="1">IF(B190="","","Grupo N˚"&amp;SUMPRODUCT(($B$4:B190&lt;&gt;"")*($B$4:B190&lt;&gt;OFFSET($B$4,-1,0,ROWS($B$4:B190),1))))</f>
        <v/>
      </c>
      <c r="B190" s="31"/>
      <c r="C190" s="31"/>
      <c r="D190" s="31"/>
      <c r="E190" s="31"/>
      <c r="F190" s="32"/>
      <c r="G190" s="33"/>
      <c r="H190" s="33"/>
      <c r="I190" s="20" t="str">
        <f t="shared" si="34"/>
        <v/>
      </c>
      <c r="J190" s="21" t="str">
        <f>IFERROR(VLOOKUP(BR190,Pricing!$D$3:$E$58,2,FALSE),"")</f>
        <v/>
      </c>
      <c r="K190" s="32"/>
      <c r="L190" s="32"/>
      <c r="M190" s="32"/>
      <c r="N190" s="36" t="str" cm="1">
        <f t="array" ref="N190">IFERROR(_xlfn.IFS((AND(K190="SI",M190="$")),J190*0.2,AND(K190="SI",M190="%"),20),"")</f>
        <v/>
      </c>
      <c r="O190" s="29" t="str">
        <f t="shared" si="35"/>
        <v/>
      </c>
      <c r="P190" s="21" t="str">
        <f t="shared" si="36"/>
        <v/>
      </c>
      <c r="Q190" s="21" t="str">
        <f t="shared" si="37"/>
        <v/>
      </c>
      <c r="R190" s="21" t="str">
        <f t="shared" si="38"/>
        <v/>
      </c>
      <c r="S190" s="39"/>
      <c r="T190" s="43" t="str">
        <f t="shared" si="46"/>
        <v/>
      </c>
      <c r="U190" s="49" t="str">
        <f t="shared" si="47"/>
        <v/>
      </c>
      <c r="V190" s="48" t="str">
        <f t="shared" si="48"/>
        <v/>
      </c>
      <c r="W190" s="48" t="str">
        <f t="shared" si="39"/>
        <v/>
      </c>
      <c r="X190" s="50" t="str">
        <f>IF(W190="","",SUMIF($B$4:$B$1002,B190,$W$4:$W$1000))</f>
        <v/>
      </c>
      <c r="Y190" s="43" t="str">
        <f t="shared" si="40"/>
        <v/>
      </c>
      <c r="Z190" s="49" t="str">
        <f t="shared" si="41"/>
        <v/>
      </c>
      <c r="AA190" s="48" t="str">
        <f t="shared" si="42"/>
        <v/>
      </c>
      <c r="AB190" s="49" t="str">
        <f t="shared" si="43"/>
        <v/>
      </c>
      <c r="AC190" s="50" t="str">
        <f>IF(AB190="","",SUMIF($B$4:$B$1002,B190,$AB$4:$AB$1000))</f>
        <v/>
      </c>
      <c r="AD190" s="69"/>
      <c r="AE190" s="56"/>
      <c r="AF190" s="52"/>
      <c r="AG190" s="51"/>
      <c r="AH190" s="70"/>
      <c r="AI190" s="58"/>
      <c r="AJ190" s="55"/>
      <c r="AK190" s="51"/>
      <c r="AL190" s="69"/>
      <c r="AM190" s="56"/>
      <c r="AN190" s="52"/>
      <c r="AO190" s="51"/>
      <c r="AP190" s="70"/>
      <c r="AQ190" s="58"/>
      <c r="AR190" s="55"/>
      <c r="AS190" s="51"/>
      <c r="AT190" s="69"/>
      <c r="AU190" s="56"/>
      <c r="AV190" s="52"/>
      <c r="AW190" s="51"/>
      <c r="BR190" s="34" t="str">
        <f>IF(E190="","",CONCATENATE(E190," ",F190," noches"))</f>
        <v/>
      </c>
      <c r="BS190" s="28" t="str">
        <f t="shared" ca="1" si="44"/>
        <v/>
      </c>
      <c r="BT190" s="28" t="str">
        <f t="shared" ca="1" si="45"/>
        <v/>
      </c>
    </row>
    <row r="191" spans="1:72" x14ac:dyDescent="0.2">
      <c r="A191" s="18" t="str" cm="1">
        <f t="array" aca="1" ref="A191" ca="1">IF(B191="","","Grupo N˚"&amp;SUMPRODUCT(($B$4:B191&lt;&gt;"")*($B$4:B191&lt;&gt;OFFSET($B$4,-1,0,ROWS($B$4:B191),1))))</f>
        <v/>
      </c>
      <c r="B191" s="31"/>
      <c r="C191" s="31"/>
      <c r="D191" s="31"/>
      <c r="E191" s="31"/>
      <c r="F191" s="32"/>
      <c r="G191" s="33"/>
      <c r="H191" s="33"/>
      <c r="I191" s="20" t="str">
        <f t="shared" si="34"/>
        <v/>
      </c>
      <c r="J191" s="21" t="str">
        <f>IFERROR(VLOOKUP(BR191,Pricing!$D$3:$E$58,2,FALSE),"")</f>
        <v/>
      </c>
      <c r="K191" s="32"/>
      <c r="L191" s="32"/>
      <c r="M191" s="32"/>
      <c r="N191" s="36" t="str" cm="1">
        <f t="array" ref="N191">IFERROR(_xlfn.IFS((AND(K191="SI",M191="$")),J191*0.2,AND(K191="SI",M191="%"),20),"")</f>
        <v/>
      </c>
      <c r="O191" s="29" t="str">
        <f t="shared" si="35"/>
        <v/>
      </c>
      <c r="P191" s="21" t="str">
        <f t="shared" si="36"/>
        <v/>
      </c>
      <c r="Q191" s="21" t="str">
        <f t="shared" si="37"/>
        <v/>
      </c>
      <c r="R191" s="21" t="str">
        <f t="shared" si="38"/>
        <v/>
      </c>
      <c r="S191" s="39"/>
      <c r="T191" s="43" t="str">
        <f t="shared" si="46"/>
        <v/>
      </c>
      <c r="U191" s="49" t="str">
        <f t="shared" si="47"/>
        <v/>
      </c>
      <c r="V191" s="48" t="str">
        <f t="shared" si="48"/>
        <v/>
      </c>
      <c r="W191" s="48" t="str">
        <f t="shared" si="39"/>
        <v/>
      </c>
      <c r="X191" s="50" t="str">
        <f>IF(W191="","",SUMIF($B$4:$B$1002,B191,$W$4:$W$1000))</f>
        <v/>
      </c>
      <c r="Y191" s="43" t="str">
        <f t="shared" si="40"/>
        <v/>
      </c>
      <c r="Z191" s="49" t="str">
        <f t="shared" si="41"/>
        <v/>
      </c>
      <c r="AA191" s="48" t="str">
        <f t="shared" si="42"/>
        <v/>
      </c>
      <c r="AB191" s="49" t="str">
        <f t="shared" si="43"/>
        <v/>
      </c>
      <c r="AC191" s="50" t="str">
        <f>IF(AB191="","",SUMIF($B$4:$B$1002,B191,$AB$4:$AB$1000))</f>
        <v/>
      </c>
      <c r="AD191" s="69"/>
      <c r="AE191" s="56"/>
      <c r="AF191" s="52"/>
      <c r="AG191" s="51"/>
      <c r="AH191" s="70"/>
      <c r="AI191" s="58"/>
      <c r="AJ191" s="55"/>
      <c r="AK191" s="51"/>
      <c r="AL191" s="69"/>
      <c r="AM191" s="56"/>
      <c r="AN191" s="52"/>
      <c r="AO191" s="51"/>
      <c r="AP191" s="70"/>
      <c r="AQ191" s="58"/>
      <c r="AR191" s="55"/>
      <c r="AS191" s="51"/>
      <c r="AT191" s="69"/>
      <c r="AU191" s="56"/>
      <c r="AV191" s="52"/>
      <c r="AW191" s="51"/>
      <c r="BR191" s="34" t="str">
        <f>IF(E191="","",CONCATENATE(E191," ",F191," noches"))</f>
        <v/>
      </c>
      <c r="BS191" s="28" t="str">
        <f t="shared" ca="1" si="44"/>
        <v/>
      </c>
      <c r="BT191" s="28" t="str">
        <f t="shared" ca="1" si="45"/>
        <v/>
      </c>
    </row>
    <row r="192" spans="1:72" x14ac:dyDescent="0.2">
      <c r="A192" s="18" t="str" cm="1">
        <f t="array" aca="1" ref="A192" ca="1">IF(B192="","","Grupo N˚"&amp;SUMPRODUCT(($B$4:B192&lt;&gt;"")*($B$4:B192&lt;&gt;OFFSET($B$4,-1,0,ROWS($B$4:B192),1))))</f>
        <v/>
      </c>
      <c r="B192" s="31"/>
      <c r="C192" s="31"/>
      <c r="D192" s="31"/>
      <c r="E192" s="31"/>
      <c r="F192" s="32"/>
      <c r="G192" s="33"/>
      <c r="H192" s="33"/>
      <c r="I192" s="20" t="str">
        <f t="shared" si="34"/>
        <v/>
      </c>
      <c r="J192" s="21" t="str">
        <f>IFERROR(VLOOKUP(BR192,Pricing!$D$3:$E$58,2,FALSE),"")</f>
        <v/>
      </c>
      <c r="K192" s="32"/>
      <c r="L192" s="32"/>
      <c r="M192" s="32"/>
      <c r="N192" s="36" t="str" cm="1">
        <f t="array" ref="N192">IFERROR(_xlfn.IFS((AND(K192="SI",M192="$")),J192*0.2,AND(K192="SI",M192="%"),20),"")</f>
        <v/>
      </c>
      <c r="O192" s="29" t="str">
        <f t="shared" si="35"/>
        <v/>
      </c>
      <c r="P192" s="21" t="str">
        <f t="shared" si="36"/>
        <v/>
      </c>
      <c r="Q192" s="21" t="str">
        <f t="shared" si="37"/>
        <v/>
      </c>
      <c r="R192" s="21" t="str">
        <f t="shared" si="38"/>
        <v/>
      </c>
      <c r="S192" s="39"/>
      <c r="T192" s="43" t="str">
        <f t="shared" si="46"/>
        <v/>
      </c>
      <c r="U192" s="49" t="str">
        <f t="shared" si="47"/>
        <v/>
      </c>
      <c r="V192" s="48" t="str">
        <f t="shared" si="48"/>
        <v/>
      </c>
      <c r="W192" s="48" t="str">
        <f t="shared" si="39"/>
        <v/>
      </c>
      <c r="X192" s="50" t="str">
        <f>IF(W192="","",SUMIF($B$4:$B$1002,B192,$W$4:$W$1000))</f>
        <v/>
      </c>
      <c r="Y192" s="43" t="str">
        <f t="shared" si="40"/>
        <v/>
      </c>
      <c r="Z192" s="49" t="str">
        <f t="shared" si="41"/>
        <v/>
      </c>
      <c r="AA192" s="48" t="str">
        <f t="shared" si="42"/>
        <v/>
      </c>
      <c r="AB192" s="49" t="str">
        <f t="shared" si="43"/>
        <v/>
      </c>
      <c r="AC192" s="50" t="str">
        <f>IF(AB192="","",SUMIF($B$4:$B$1002,B192,$AB$4:$AB$1000))</f>
        <v/>
      </c>
      <c r="AD192" s="69"/>
      <c r="AE192" s="56"/>
      <c r="AF192" s="52"/>
      <c r="AG192" s="51"/>
      <c r="AH192" s="70"/>
      <c r="AI192" s="58"/>
      <c r="AJ192" s="55"/>
      <c r="AK192" s="51"/>
      <c r="AL192" s="69"/>
      <c r="AM192" s="56"/>
      <c r="AN192" s="52"/>
      <c r="AO192" s="51"/>
      <c r="AP192" s="70"/>
      <c r="AQ192" s="58"/>
      <c r="AR192" s="55"/>
      <c r="AS192" s="51"/>
      <c r="AT192" s="69"/>
      <c r="AU192" s="56"/>
      <c r="AV192" s="52"/>
      <c r="AW192" s="51"/>
      <c r="BR192" s="34" t="str">
        <f>IF(E192="","",CONCATENATE(E192," ",F192," noches"))</f>
        <v/>
      </c>
      <c r="BS192" s="28" t="str">
        <f t="shared" ca="1" si="44"/>
        <v/>
      </c>
      <c r="BT192" s="28" t="str">
        <f t="shared" ca="1" si="45"/>
        <v/>
      </c>
    </row>
    <row r="193" spans="1:72" x14ac:dyDescent="0.2">
      <c r="A193" s="18" t="str" cm="1">
        <f t="array" aca="1" ref="A193" ca="1">IF(B193="","","Grupo N˚"&amp;SUMPRODUCT(($B$4:B193&lt;&gt;"")*($B$4:B193&lt;&gt;OFFSET($B$4,-1,0,ROWS($B$4:B193),1))))</f>
        <v/>
      </c>
      <c r="B193" s="31"/>
      <c r="C193" s="31"/>
      <c r="D193" s="31"/>
      <c r="E193" s="31"/>
      <c r="F193" s="32"/>
      <c r="G193" s="33"/>
      <c r="H193" s="33"/>
      <c r="I193" s="20" t="str">
        <f t="shared" si="34"/>
        <v/>
      </c>
      <c r="J193" s="21" t="str">
        <f>IFERROR(VLOOKUP(BR193,Pricing!$D$3:$E$58,2,FALSE),"")</f>
        <v/>
      </c>
      <c r="K193" s="32"/>
      <c r="L193" s="32"/>
      <c r="M193" s="32"/>
      <c r="N193" s="36" t="str" cm="1">
        <f t="array" ref="N193">IFERROR(_xlfn.IFS((AND(K193="SI",M193="$")),J193*0.2,AND(K193="SI",M193="%"),20),"")</f>
        <v/>
      </c>
      <c r="O193" s="29" t="str">
        <f t="shared" si="35"/>
        <v/>
      </c>
      <c r="P193" s="21" t="str">
        <f t="shared" si="36"/>
        <v/>
      </c>
      <c r="Q193" s="21" t="str">
        <f t="shared" si="37"/>
        <v/>
      </c>
      <c r="R193" s="21" t="str">
        <f t="shared" si="38"/>
        <v/>
      </c>
      <c r="S193" s="39"/>
      <c r="T193" s="43" t="str">
        <f t="shared" si="46"/>
        <v/>
      </c>
      <c r="U193" s="49" t="str">
        <f t="shared" si="47"/>
        <v/>
      </c>
      <c r="V193" s="48" t="str">
        <f t="shared" si="48"/>
        <v/>
      </c>
      <c r="W193" s="48" t="str">
        <f t="shared" si="39"/>
        <v/>
      </c>
      <c r="X193" s="50" t="str">
        <f>IF(W193="","",SUMIF($B$4:$B$1002,B193,$W$4:$W$1000))</f>
        <v/>
      </c>
      <c r="Y193" s="43" t="str">
        <f t="shared" si="40"/>
        <v/>
      </c>
      <c r="Z193" s="49" t="str">
        <f t="shared" si="41"/>
        <v/>
      </c>
      <c r="AA193" s="48" t="str">
        <f t="shared" si="42"/>
        <v/>
      </c>
      <c r="AB193" s="49" t="str">
        <f t="shared" si="43"/>
        <v/>
      </c>
      <c r="AC193" s="50" t="str">
        <f>IF(AB193="","",SUMIF($B$4:$B$1002,B193,$AB$4:$AB$1000))</f>
        <v/>
      </c>
      <c r="AD193" s="69"/>
      <c r="AE193" s="56"/>
      <c r="AF193" s="52"/>
      <c r="AG193" s="51"/>
      <c r="AH193" s="70"/>
      <c r="AI193" s="58"/>
      <c r="AJ193" s="55"/>
      <c r="AK193" s="51"/>
      <c r="AL193" s="69"/>
      <c r="AM193" s="56"/>
      <c r="AN193" s="52"/>
      <c r="AO193" s="51"/>
      <c r="AP193" s="70"/>
      <c r="AQ193" s="58"/>
      <c r="AR193" s="55"/>
      <c r="AS193" s="51"/>
      <c r="AT193" s="69"/>
      <c r="AU193" s="56"/>
      <c r="AV193" s="52"/>
      <c r="AW193" s="51"/>
      <c r="BR193" s="34" t="str">
        <f>IF(E193="","",CONCATENATE(E193," ",F193," noches"))</f>
        <v/>
      </c>
      <c r="BS193" s="28" t="str">
        <f t="shared" ca="1" si="44"/>
        <v/>
      </c>
      <c r="BT193" s="28" t="str">
        <f t="shared" ca="1" si="45"/>
        <v/>
      </c>
    </row>
    <row r="194" spans="1:72" x14ac:dyDescent="0.2">
      <c r="A194" s="18" t="str" cm="1">
        <f t="array" aca="1" ref="A194" ca="1">IF(B194="","","Grupo N˚"&amp;SUMPRODUCT(($B$4:B194&lt;&gt;"")*($B$4:B194&lt;&gt;OFFSET($B$4,-1,0,ROWS($B$4:B194),1))))</f>
        <v/>
      </c>
      <c r="B194" s="31"/>
      <c r="C194" s="31"/>
      <c r="D194" s="31"/>
      <c r="E194" s="31"/>
      <c r="F194" s="32"/>
      <c r="G194" s="33"/>
      <c r="H194" s="33"/>
      <c r="I194" s="20" t="str">
        <f t="shared" si="34"/>
        <v/>
      </c>
      <c r="J194" s="21" t="str">
        <f>IFERROR(VLOOKUP(BR194,Pricing!$D$3:$E$58,2,FALSE),"")</f>
        <v/>
      </c>
      <c r="K194" s="32"/>
      <c r="L194" s="32"/>
      <c r="M194" s="32"/>
      <c r="N194" s="36" t="str" cm="1">
        <f t="array" ref="N194">IFERROR(_xlfn.IFS((AND(K194="SI",M194="$")),J194*0.2,AND(K194="SI",M194="%"),20),"")</f>
        <v/>
      </c>
      <c r="O194" s="29" t="str">
        <f t="shared" si="35"/>
        <v/>
      </c>
      <c r="P194" s="21" t="str">
        <f t="shared" si="36"/>
        <v/>
      </c>
      <c r="Q194" s="21" t="str">
        <f t="shared" si="37"/>
        <v/>
      </c>
      <c r="R194" s="21" t="str">
        <f t="shared" si="38"/>
        <v/>
      </c>
      <c r="S194" s="39"/>
      <c r="T194" s="43" t="str">
        <f t="shared" si="46"/>
        <v/>
      </c>
      <c r="U194" s="49" t="str">
        <f t="shared" si="47"/>
        <v/>
      </c>
      <c r="V194" s="48" t="str">
        <f t="shared" si="48"/>
        <v/>
      </c>
      <c r="W194" s="48" t="str">
        <f t="shared" si="39"/>
        <v/>
      </c>
      <c r="X194" s="50" t="str">
        <f>IF(W194="","",SUMIF($B$4:$B$1002,B194,$W$4:$W$1000))</f>
        <v/>
      </c>
      <c r="Y194" s="43" t="str">
        <f t="shared" si="40"/>
        <v/>
      </c>
      <c r="Z194" s="49" t="str">
        <f t="shared" si="41"/>
        <v/>
      </c>
      <c r="AA194" s="48" t="str">
        <f t="shared" si="42"/>
        <v/>
      </c>
      <c r="AB194" s="49" t="str">
        <f t="shared" si="43"/>
        <v/>
      </c>
      <c r="AC194" s="50" t="str">
        <f>IF(AB194="","",SUMIF($B$4:$B$1002,B194,$AB$4:$AB$1000))</f>
        <v/>
      </c>
      <c r="AD194" s="69"/>
      <c r="AE194" s="56"/>
      <c r="AF194" s="52"/>
      <c r="AG194" s="51"/>
      <c r="AH194" s="70"/>
      <c r="AI194" s="58"/>
      <c r="AJ194" s="55"/>
      <c r="AK194" s="51"/>
      <c r="AL194" s="69"/>
      <c r="AM194" s="56"/>
      <c r="AN194" s="52"/>
      <c r="AO194" s="51"/>
      <c r="AP194" s="70"/>
      <c r="AQ194" s="58"/>
      <c r="AR194" s="55"/>
      <c r="AS194" s="51"/>
      <c r="AT194" s="69"/>
      <c r="AU194" s="56"/>
      <c r="AV194" s="52"/>
      <c r="AW194" s="51"/>
      <c r="BR194" s="34" t="str">
        <f>IF(E194="","",CONCATENATE(E194," ",F194," noches"))</f>
        <v/>
      </c>
      <c r="BS194" s="28" t="str">
        <f t="shared" ca="1" si="44"/>
        <v/>
      </c>
      <c r="BT194" s="28" t="str">
        <f t="shared" ca="1" si="45"/>
        <v/>
      </c>
    </row>
    <row r="195" spans="1:72" x14ac:dyDescent="0.2">
      <c r="A195" s="18" t="str" cm="1">
        <f t="array" aca="1" ref="A195" ca="1">IF(B195="","","Grupo N˚"&amp;SUMPRODUCT(($B$4:B195&lt;&gt;"")*($B$4:B195&lt;&gt;OFFSET($B$4,-1,0,ROWS($B$4:B195),1))))</f>
        <v/>
      </c>
      <c r="B195" s="31"/>
      <c r="C195" s="31"/>
      <c r="D195" s="31"/>
      <c r="E195" s="31"/>
      <c r="F195" s="32"/>
      <c r="G195" s="33"/>
      <c r="H195" s="33"/>
      <c r="I195" s="20" t="str">
        <f t="shared" si="34"/>
        <v/>
      </c>
      <c r="J195" s="21" t="str">
        <f>IFERROR(VLOOKUP(BR195,Pricing!$D$3:$E$58,2,FALSE),"")</f>
        <v/>
      </c>
      <c r="K195" s="32"/>
      <c r="L195" s="32"/>
      <c r="M195" s="32"/>
      <c r="N195" s="36" t="str" cm="1">
        <f t="array" ref="N195">IFERROR(_xlfn.IFS((AND(K195="SI",M195="$")),J195*0.2,AND(K195="SI",M195="%"),20),"")</f>
        <v/>
      </c>
      <c r="O195" s="29" t="str">
        <f t="shared" si="35"/>
        <v/>
      </c>
      <c r="P195" s="21" t="str">
        <f t="shared" si="36"/>
        <v/>
      </c>
      <c r="Q195" s="21" t="str">
        <f t="shared" si="37"/>
        <v/>
      </c>
      <c r="R195" s="21" t="str">
        <f t="shared" si="38"/>
        <v/>
      </c>
      <c r="S195" s="39"/>
      <c r="T195" s="43" t="str">
        <f t="shared" si="46"/>
        <v/>
      </c>
      <c r="U195" s="49" t="str">
        <f t="shared" si="47"/>
        <v/>
      </c>
      <c r="V195" s="48" t="str">
        <f t="shared" si="48"/>
        <v/>
      </c>
      <c r="W195" s="48" t="str">
        <f t="shared" si="39"/>
        <v/>
      </c>
      <c r="X195" s="50" t="str">
        <f>IF(W195="","",SUMIF($B$4:$B$1002,B195,$W$4:$W$1000))</f>
        <v/>
      </c>
      <c r="Y195" s="43" t="str">
        <f t="shared" si="40"/>
        <v/>
      </c>
      <c r="Z195" s="49" t="str">
        <f t="shared" si="41"/>
        <v/>
      </c>
      <c r="AA195" s="48" t="str">
        <f t="shared" si="42"/>
        <v/>
      </c>
      <c r="AB195" s="49" t="str">
        <f t="shared" si="43"/>
        <v/>
      </c>
      <c r="AC195" s="50" t="str">
        <f>IF(AB195="","",SUMIF($B$4:$B$1002,B195,$AB$4:$AB$1000))</f>
        <v/>
      </c>
      <c r="AD195" s="69"/>
      <c r="AE195" s="56"/>
      <c r="AF195" s="52"/>
      <c r="AG195" s="51"/>
      <c r="AH195" s="70"/>
      <c r="AI195" s="58"/>
      <c r="AJ195" s="55"/>
      <c r="AK195" s="51"/>
      <c r="AL195" s="69"/>
      <c r="AM195" s="56"/>
      <c r="AN195" s="52"/>
      <c r="AO195" s="51"/>
      <c r="AP195" s="70"/>
      <c r="AQ195" s="58"/>
      <c r="AR195" s="55"/>
      <c r="AS195" s="51"/>
      <c r="AT195" s="69"/>
      <c r="AU195" s="56"/>
      <c r="AV195" s="52"/>
      <c r="AW195" s="51"/>
      <c r="BR195" s="34" t="str">
        <f>IF(E195="","",CONCATENATE(E195," ",F195," noches"))</f>
        <v/>
      </c>
      <c r="BS195" s="28" t="str">
        <f t="shared" ca="1" si="44"/>
        <v/>
      </c>
      <c r="BT195" s="28" t="str">
        <f t="shared" ca="1" si="45"/>
        <v/>
      </c>
    </row>
    <row r="196" spans="1:72" x14ac:dyDescent="0.2">
      <c r="A196" s="18" t="str" cm="1">
        <f t="array" aca="1" ref="A196" ca="1">IF(B196="","","Grupo N˚"&amp;SUMPRODUCT(($B$4:B196&lt;&gt;"")*($B$4:B196&lt;&gt;OFFSET($B$4,-1,0,ROWS($B$4:B196),1))))</f>
        <v/>
      </c>
      <c r="B196" s="31"/>
      <c r="C196" s="31"/>
      <c r="D196" s="31"/>
      <c r="E196" s="31"/>
      <c r="F196" s="32"/>
      <c r="G196" s="33"/>
      <c r="H196" s="33"/>
      <c r="I196" s="20" t="str">
        <f t="shared" si="34"/>
        <v/>
      </c>
      <c r="J196" s="21" t="str">
        <f>IFERROR(VLOOKUP(BR196,Pricing!$D$3:$E$58,2,FALSE),"")</f>
        <v/>
      </c>
      <c r="K196" s="32"/>
      <c r="L196" s="32"/>
      <c r="M196" s="32"/>
      <c r="N196" s="36" t="str" cm="1">
        <f t="array" ref="N196">IFERROR(_xlfn.IFS((AND(K196="SI",M196="$")),J196*0.2,AND(K196="SI",M196="%"),20),"")</f>
        <v/>
      </c>
      <c r="O196" s="29" t="str">
        <f t="shared" si="35"/>
        <v/>
      </c>
      <c r="P196" s="21" t="str">
        <f t="shared" si="36"/>
        <v/>
      </c>
      <c r="Q196" s="21" t="str">
        <f t="shared" si="37"/>
        <v/>
      </c>
      <c r="R196" s="21" t="str">
        <f t="shared" si="38"/>
        <v/>
      </c>
      <c r="S196" s="39"/>
      <c r="T196" s="43" t="str">
        <f t="shared" si="46"/>
        <v/>
      </c>
      <c r="U196" s="49" t="str">
        <f t="shared" si="47"/>
        <v/>
      </c>
      <c r="V196" s="48" t="str">
        <f t="shared" si="48"/>
        <v/>
      </c>
      <c r="W196" s="48" t="str">
        <f t="shared" si="39"/>
        <v/>
      </c>
      <c r="X196" s="50" t="str">
        <f>IF(W196="","",SUMIF($B$4:$B$1002,B196,$W$4:$W$1000))</f>
        <v/>
      </c>
      <c r="Y196" s="43" t="str">
        <f t="shared" si="40"/>
        <v/>
      </c>
      <c r="Z196" s="49" t="str">
        <f t="shared" si="41"/>
        <v/>
      </c>
      <c r="AA196" s="48" t="str">
        <f t="shared" si="42"/>
        <v/>
      </c>
      <c r="AB196" s="49" t="str">
        <f t="shared" si="43"/>
        <v/>
      </c>
      <c r="AC196" s="50" t="str">
        <f>IF(AB196="","",SUMIF($B$4:$B$1002,B196,$AB$4:$AB$1000))</f>
        <v/>
      </c>
      <c r="AD196" s="69"/>
      <c r="AE196" s="56"/>
      <c r="AF196" s="52"/>
      <c r="AG196" s="51"/>
      <c r="AH196" s="70"/>
      <c r="AI196" s="58"/>
      <c r="AJ196" s="55"/>
      <c r="AK196" s="51"/>
      <c r="AL196" s="69"/>
      <c r="AM196" s="56"/>
      <c r="AN196" s="52"/>
      <c r="AO196" s="51"/>
      <c r="AP196" s="70"/>
      <c r="AQ196" s="58"/>
      <c r="AR196" s="55"/>
      <c r="AS196" s="51"/>
      <c r="AT196" s="69"/>
      <c r="AU196" s="56"/>
      <c r="AV196" s="52"/>
      <c r="AW196" s="51"/>
      <c r="BR196" s="34" t="str">
        <f>IF(E196="","",CONCATENATE(E196," ",F196," noches"))</f>
        <v/>
      </c>
      <c r="BS196" s="28" t="str">
        <f t="shared" ca="1" si="44"/>
        <v/>
      </c>
      <c r="BT196" s="28" t="str">
        <f t="shared" ca="1" si="45"/>
        <v/>
      </c>
    </row>
    <row r="197" spans="1:72" x14ac:dyDescent="0.2">
      <c r="A197" s="18" t="str" cm="1">
        <f t="array" aca="1" ref="A197" ca="1">IF(B197="","","Grupo N˚"&amp;SUMPRODUCT(($B$4:B197&lt;&gt;"")*($B$4:B197&lt;&gt;OFFSET($B$4,-1,0,ROWS($B$4:B197),1))))</f>
        <v/>
      </c>
      <c r="B197" s="31"/>
      <c r="C197" s="31"/>
      <c r="D197" s="31"/>
      <c r="E197" s="31"/>
      <c r="F197" s="32"/>
      <c r="G197" s="33"/>
      <c r="H197" s="33"/>
      <c r="I197" s="20" t="str">
        <f t="shared" ref="I197:I260" si="49">+IF(H197="","",G197+H197)</f>
        <v/>
      </c>
      <c r="J197" s="21" t="str">
        <f>IFERROR(VLOOKUP(BR197,Pricing!$D$3:$E$58,2,FALSE),"")</f>
        <v/>
      </c>
      <c r="K197" s="32"/>
      <c r="L197" s="32"/>
      <c r="M197" s="32"/>
      <c r="N197" s="36" t="str" cm="1">
        <f t="array" ref="N197">IFERROR(_xlfn.IFS((AND(K197="SI",M197="$")),J197*0.2,AND(K197="SI",M197="%"),20),"")</f>
        <v/>
      </c>
      <c r="O197" s="29" t="str">
        <f t="shared" ref="O197:O260" si="50">IFERROR(IF($M197="%",
             IF(N(N197)&gt;1, N(N197)/100, N(N197)),
             IF(AND($J197&gt;0,$M197="$"), N(N197)/$J197, "")
            ),"")</f>
        <v/>
      </c>
      <c r="P197" s="21" t="str">
        <f t="shared" ref="P197:P260" si="51">IFERROR(IF(M197="$", N(N197), IF(M197="%", J197*N(N197/100), "")), "")</f>
        <v/>
      </c>
      <c r="Q197" s="21" t="str">
        <f t="shared" ref="Q197:Q260" si="52">IF(J197="","",J197*(1-N(O197)))</f>
        <v/>
      </c>
      <c r="R197" s="21" t="str">
        <f t="shared" ref="R197:R260" si="53">IF(Q197="","",Q197/1.19)</f>
        <v/>
      </c>
      <c r="S197" s="39"/>
      <c r="T197" s="43" t="str">
        <f t="shared" si="46"/>
        <v/>
      </c>
      <c r="U197" s="49" t="str">
        <f t="shared" si="47"/>
        <v/>
      </c>
      <c r="V197" s="48" t="str">
        <f t="shared" si="48"/>
        <v/>
      </c>
      <c r="W197" s="48" t="str">
        <f t="shared" ref="W197:W260" si="54">IFERROR(U197-N(V197),"")</f>
        <v/>
      </c>
      <c r="X197" s="50" t="str">
        <f>IF(W197="","",SUMIF($B$4:$B$1002,B197,$W$4:$W$1000))</f>
        <v/>
      </c>
      <c r="Y197" s="43" t="str">
        <f t="shared" ref="Y197:Y260" si="55">IF(AB197="","",IFERROR(
 IF(AND(ABS(N(AB197))&lt;0.5, BT197&gt;=23), "Sin deuda",
  IF(AND(N(AB197)&gt;0, BT197&gt;=23), "Con deuda",
   IF(AND(N(AB197)&gt;0, BT197&lt;23), "Moroso", "")
  )
),""))</f>
        <v/>
      </c>
      <c r="Z197" s="49" t="str">
        <f t="shared" ref="Z197:Z260" si="56">IF(R197="","",R197/2)</f>
        <v/>
      </c>
      <c r="AA197" s="48" t="str">
        <f t="shared" ref="AA197:AA260" si="57">IF(AD197="","",SUM(
 IF(ISNUMBER(SEARCH("saldo",AD197)),AF197,0),
 IF(ISNUMBER(SEARCH("saldo",AH197)),AJ197,0),
 IF(ISNUMBER(SEARCH("saldo",AL197)),AN197,0),
 IF(ISNUMBER(SEARCH("saldo",AP197)),AR197,0),
 IF(ISNUMBER(SEARCH("saldo",AT197)),AV197,0)
))</f>
        <v/>
      </c>
      <c r="AB197" s="49" t="str">
        <f t="shared" ref="AB197:AB260" si="58">IFERROR(Z197-N(AA197),"")</f>
        <v/>
      </c>
      <c r="AC197" s="50" t="str">
        <f>IF(AB197="","",SUMIF($B$4:$B$1002,B197,$AB$4:$AB$1000))</f>
        <v/>
      </c>
      <c r="AD197" s="69"/>
      <c r="AE197" s="56"/>
      <c r="AF197" s="52"/>
      <c r="AG197" s="51"/>
      <c r="AH197" s="70"/>
      <c r="AI197" s="58"/>
      <c r="AJ197" s="55"/>
      <c r="AK197" s="51"/>
      <c r="AL197" s="69"/>
      <c r="AM197" s="56"/>
      <c r="AN197" s="52"/>
      <c r="AO197" s="51"/>
      <c r="AP197" s="70"/>
      <c r="AQ197" s="58"/>
      <c r="AR197" s="55"/>
      <c r="AS197" s="51"/>
      <c r="AT197" s="69"/>
      <c r="AU197" s="56"/>
      <c r="AV197" s="52"/>
      <c r="AW197" s="51"/>
      <c r="BR197" s="34" t="str">
        <f>IF(E197="","",CONCATENATE(E197," ",F197," noches"))</f>
        <v/>
      </c>
      <c r="BS197" s="28" t="str">
        <f t="shared" ref="BS197:BS260" ca="1" si="59">IF(G197="","",+TODAY()-G197)</f>
        <v/>
      </c>
      <c r="BT197" s="28" t="str">
        <f t="shared" ref="BT197:BT260" ca="1" si="60">IF(H197="","",H197-TODAY())</f>
        <v/>
      </c>
    </row>
    <row r="198" spans="1:72" x14ac:dyDescent="0.2">
      <c r="A198" s="18" t="str" cm="1">
        <f t="array" aca="1" ref="A198" ca="1">IF(B198="","","Grupo N˚"&amp;SUMPRODUCT(($B$4:B198&lt;&gt;"")*($B$4:B198&lt;&gt;OFFSET($B$4,-1,0,ROWS($B$4:B198),1))))</f>
        <v/>
      </c>
      <c r="B198" s="31"/>
      <c r="C198" s="31"/>
      <c r="D198" s="31"/>
      <c r="E198" s="31"/>
      <c r="F198" s="32"/>
      <c r="G198" s="33"/>
      <c r="H198" s="33"/>
      <c r="I198" s="20" t="str">
        <f t="shared" si="49"/>
        <v/>
      </c>
      <c r="J198" s="21" t="str">
        <f>IFERROR(VLOOKUP(BR198,Pricing!$D$3:$E$58,2,FALSE),"")</f>
        <v/>
      </c>
      <c r="K198" s="32"/>
      <c r="L198" s="32"/>
      <c r="M198" s="32"/>
      <c r="N198" s="36" t="str" cm="1">
        <f t="array" ref="N198">IFERROR(_xlfn.IFS((AND(K198="SI",M198="$")),J198*0.2,AND(K198="SI",M198="%"),20),"")</f>
        <v/>
      </c>
      <c r="O198" s="29" t="str">
        <f t="shared" si="50"/>
        <v/>
      </c>
      <c r="P198" s="21" t="str">
        <f t="shared" si="51"/>
        <v/>
      </c>
      <c r="Q198" s="21" t="str">
        <f t="shared" si="52"/>
        <v/>
      </c>
      <c r="R198" s="21" t="str">
        <f t="shared" si="53"/>
        <v/>
      </c>
      <c r="S198" s="39"/>
      <c r="T198" s="43" t="str">
        <f t="shared" si="46"/>
        <v/>
      </c>
      <c r="U198" s="49" t="str">
        <f t="shared" si="47"/>
        <v/>
      </c>
      <c r="V198" s="48" t="str">
        <f t="shared" si="48"/>
        <v/>
      </c>
      <c r="W198" s="48" t="str">
        <f t="shared" si="54"/>
        <v/>
      </c>
      <c r="X198" s="50" t="str">
        <f>IF(W198="","",SUMIF($B$4:$B$1002,B198,$W$4:$W$1000))</f>
        <v/>
      </c>
      <c r="Y198" s="43" t="str">
        <f t="shared" si="55"/>
        <v/>
      </c>
      <c r="Z198" s="49" t="str">
        <f t="shared" si="56"/>
        <v/>
      </c>
      <c r="AA198" s="48" t="str">
        <f t="shared" si="57"/>
        <v/>
      </c>
      <c r="AB198" s="49" t="str">
        <f t="shared" si="58"/>
        <v/>
      </c>
      <c r="AC198" s="50" t="str">
        <f>IF(AB198="","",SUMIF($B$4:$B$1002,B198,$AB$4:$AB$1000))</f>
        <v/>
      </c>
      <c r="AD198" s="69"/>
      <c r="AE198" s="56"/>
      <c r="AF198" s="52"/>
      <c r="AG198" s="51"/>
      <c r="AH198" s="70"/>
      <c r="AI198" s="58"/>
      <c r="AJ198" s="55"/>
      <c r="AK198" s="51"/>
      <c r="AL198" s="69"/>
      <c r="AM198" s="56"/>
      <c r="AN198" s="52"/>
      <c r="AO198" s="51"/>
      <c r="AP198" s="70"/>
      <c r="AQ198" s="58"/>
      <c r="AR198" s="55"/>
      <c r="AS198" s="51"/>
      <c r="AT198" s="69"/>
      <c r="AU198" s="56"/>
      <c r="AV198" s="52"/>
      <c r="AW198" s="51"/>
      <c r="BR198" s="34" t="str">
        <f>IF(E198="","",CONCATENATE(E198," ",F198," noches"))</f>
        <v/>
      </c>
      <c r="BS198" s="28" t="str">
        <f t="shared" ca="1" si="59"/>
        <v/>
      </c>
      <c r="BT198" s="28" t="str">
        <f t="shared" ca="1" si="60"/>
        <v/>
      </c>
    </row>
    <row r="199" spans="1:72" x14ac:dyDescent="0.2">
      <c r="A199" s="18" t="str" cm="1">
        <f t="array" aca="1" ref="A199" ca="1">IF(B199="","","Grupo N˚"&amp;SUMPRODUCT(($B$4:B199&lt;&gt;"")*($B$4:B199&lt;&gt;OFFSET($B$4,-1,0,ROWS($B$4:B199),1))))</f>
        <v/>
      </c>
      <c r="B199" s="31"/>
      <c r="C199" s="31"/>
      <c r="D199" s="31"/>
      <c r="E199" s="31"/>
      <c r="F199" s="32"/>
      <c r="G199" s="33"/>
      <c r="H199" s="33"/>
      <c r="I199" s="20" t="str">
        <f t="shared" si="49"/>
        <v/>
      </c>
      <c r="J199" s="21" t="str">
        <f>IFERROR(VLOOKUP(BR199,Pricing!$D$3:$E$58,2,FALSE),"")</f>
        <v/>
      </c>
      <c r="K199" s="32"/>
      <c r="L199" s="32"/>
      <c r="M199" s="32"/>
      <c r="N199" s="36" t="str" cm="1">
        <f t="array" ref="N199">IFERROR(_xlfn.IFS((AND(K199="SI",M199="$")),J199*0.2,AND(K199="SI",M199="%"),20),"")</f>
        <v/>
      </c>
      <c r="O199" s="29" t="str">
        <f t="shared" si="50"/>
        <v/>
      </c>
      <c r="P199" s="21" t="str">
        <f t="shared" si="51"/>
        <v/>
      </c>
      <c r="Q199" s="21" t="str">
        <f t="shared" si="52"/>
        <v/>
      </c>
      <c r="R199" s="21" t="str">
        <f t="shared" si="53"/>
        <v/>
      </c>
      <c r="S199" s="39"/>
      <c r="T199" s="43" t="str">
        <f t="shared" si="46"/>
        <v/>
      </c>
      <c r="U199" s="49" t="str">
        <f t="shared" si="47"/>
        <v/>
      </c>
      <c r="V199" s="48" t="str">
        <f t="shared" si="48"/>
        <v/>
      </c>
      <c r="W199" s="48" t="str">
        <f t="shared" si="54"/>
        <v/>
      </c>
      <c r="X199" s="50" t="str">
        <f>IF(W199="","",SUMIF($B$4:$B$1002,B199,$W$4:$W$1000))</f>
        <v/>
      </c>
      <c r="Y199" s="43" t="str">
        <f t="shared" si="55"/>
        <v/>
      </c>
      <c r="Z199" s="49" t="str">
        <f t="shared" si="56"/>
        <v/>
      </c>
      <c r="AA199" s="48" t="str">
        <f t="shared" si="57"/>
        <v/>
      </c>
      <c r="AB199" s="49" t="str">
        <f t="shared" si="58"/>
        <v/>
      </c>
      <c r="AC199" s="50" t="str">
        <f>IF(AB199="","",SUMIF($B$4:$B$1002,B199,$AB$4:$AB$1000))</f>
        <v/>
      </c>
      <c r="AD199" s="69"/>
      <c r="AE199" s="56"/>
      <c r="AF199" s="52"/>
      <c r="AG199" s="51"/>
      <c r="AH199" s="70"/>
      <c r="AI199" s="58"/>
      <c r="AJ199" s="55"/>
      <c r="AK199" s="51"/>
      <c r="AL199" s="69"/>
      <c r="AM199" s="56"/>
      <c r="AN199" s="52"/>
      <c r="AO199" s="51"/>
      <c r="AP199" s="70"/>
      <c r="AQ199" s="58"/>
      <c r="AR199" s="55"/>
      <c r="AS199" s="51"/>
      <c r="AT199" s="69"/>
      <c r="AU199" s="56"/>
      <c r="AV199" s="52"/>
      <c r="AW199" s="51"/>
      <c r="BR199" s="34" t="str">
        <f>IF(E199="","",CONCATENATE(E199," ",F199," noches"))</f>
        <v/>
      </c>
      <c r="BS199" s="28" t="str">
        <f t="shared" ca="1" si="59"/>
        <v/>
      </c>
      <c r="BT199" s="28" t="str">
        <f t="shared" ca="1" si="60"/>
        <v/>
      </c>
    </row>
    <row r="200" spans="1:72" x14ac:dyDescent="0.2">
      <c r="A200" s="18" t="str" cm="1">
        <f t="array" aca="1" ref="A200" ca="1">IF(B200="","","Grupo N˚"&amp;SUMPRODUCT(($B$4:B200&lt;&gt;"")*($B$4:B200&lt;&gt;OFFSET($B$4,-1,0,ROWS($B$4:B200),1))))</f>
        <v/>
      </c>
      <c r="B200" s="31"/>
      <c r="C200" s="31"/>
      <c r="D200" s="31"/>
      <c r="E200" s="31"/>
      <c r="F200" s="32"/>
      <c r="G200" s="33"/>
      <c r="H200" s="33"/>
      <c r="I200" s="20" t="str">
        <f t="shared" si="49"/>
        <v/>
      </c>
      <c r="J200" s="21" t="str">
        <f>IFERROR(VLOOKUP(BR200,Pricing!$D$3:$E$58,2,FALSE),"")</f>
        <v/>
      </c>
      <c r="K200" s="32"/>
      <c r="L200" s="32"/>
      <c r="M200" s="32"/>
      <c r="N200" s="36" t="str" cm="1">
        <f t="array" ref="N200">IFERROR(_xlfn.IFS((AND(K200="SI",M200="$")),J200*0.2,AND(K200="SI",M200="%"),20),"")</f>
        <v/>
      </c>
      <c r="O200" s="29" t="str">
        <f t="shared" si="50"/>
        <v/>
      </c>
      <c r="P200" s="21" t="str">
        <f t="shared" si="51"/>
        <v/>
      </c>
      <c r="Q200" s="21" t="str">
        <f t="shared" si="52"/>
        <v/>
      </c>
      <c r="R200" s="21" t="str">
        <f t="shared" si="53"/>
        <v/>
      </c>
      <c r="S200" s="39"/>
      <c r="T200" s="43" t="str">
        <f t="shared" si="46"/>
        <v/>
      </c>
      <c r="U200" s="49" t="str">
        <f t="shared" si="47"/>
        <v/>
      </c>
      <c r="V200" s="48" t="str">
        <f t="shared" si="48"/>
        <v/>
      </c>
      <c r="W200" s="48" t="str">
        <f t="shared" si="54"/>
        <v/>
      </c>
      <c r="X200" s="50" t="str">
        <f>IF(W200="","",SUMIF($B$4:$B$1002,B200,$W$4:$W$1000))</f>
        <v/>
      </c>
      <c r="Y200" s="43" t="str">
        <f t="shared" si="55"/>
        <v/>
      </c>
      <c r="Z200" s="49" t="str">
        <f t="shared" si="56"/>
        <v/>
      </c>
      <c r="AA200" s="48" t="str">
        <f t="shared" si="57"/>
        <v/>
      </c>
      <c r="AB200" s="49" t="str">
        <f t="shared" si="58"/>
        <v/>
      </c>
      <c r="AC200" s="50" t="str">
        <f>IF(AB200="","",SUMIF($B$4:$B$1002,B200,$AB$4:$AB$1000))</f>
        <v/>
      </c>
      <c r="AD200" s="69"/>
      <c r="AE200" s="56"/>
      <c r="AF200" s="52"/>
      <c r="AG200" s="51"/>
      <c r="AH200" s="70"/>
      <c r="AI200" s="58"/>
      <c r="AJ200" s="55"/>
      <c r="AK200" s="51"/>
      <c r="AL200" s="69"/>
      <c r="AM200" s="56"/>
      <c r="AN200" s="52"/>
      <c r="AO200" s="51"/>
      <c r="AP200" s="70"/>
      <c r="AQ200" s="58"/>
      <c r="AR200" s="55"/>
      <c r="AS200" s="51"/>
      <c r="AT200" s="69"/>
      <c r="AU200" s="56"/>
      <c r="AV200" s="52"/>
      <c r="AW200" s="51"/>
      <c r="BR200" s="34" t="str">
        <f>IF(E200="","",CONCATENATE(E200," ",F200," noches"))</f>
        <v/>
      </c>
      <c r="BS200" s="28" t="str">
        <f t="shared" ca="1" si="59"/>
        <v/>
      </c>
      <c r="BT200" s="28" t="str">
        <f t="shared" ca="1" si="60"/>
        <v/>
      </c>
    </row>
    <row r="201" spans="1:72" x14ac:dyDescent="0.2">
      <c r="A201" s="18" t="str" cm="1">
        <f t="array" aca="1" ref="A201" ca="1">IF(B201="","","Grupo N˚"&amp;SUMPRODUCT(($B$4:B201&lt;&gt;"")*($B$4:B201&lt;&gt;OFFSET($B$4,-1,0,ROWS($B$4:B201),1))))</f>
        <v/>
      </c>
      <c r="B201" s="31"/>
      <c r="C201" s="31"/>
      <c r="D201" s="31"/>
      <c r="E201" s="31"/>
      <c r="F201" s="32"/>
      <c r="G201" s="33"/>
      <c r="H201" s="33"/>
      <c r="I201" s="20" t="str">
        <f t="shared" si="49"/>
        <v/>
      </c>
      <c r="J201" s="21" t="str">
        <f>IFERROR(VLOOKUP(BR201,Pricing!$D$3:$E$58,2,FALSE),"")</f>
        <v/>
      </c>
      <c r="K201" s="32"/>
      <c r="L201" s="32"/>
      <c r="M201" s="32"/>
      <c r="N201" s="36" t="str" cm="1">
        <f t="array" ref="N201">IFERROR(_xlfn.IFS((AND(K201="SI",M201="$")),J201*0.2,AND(K201="SI",M201="%"),20),"")</f>
        <v/>
      </c>
      <c r="O201" s="29" t="str">
        <f t="shared" si="50"/>
        <v/>
      </c>
      <c r="P201" s="21" t="str">
        <f t="shared" si="51"/>
        <v/>
      </c>
      <c r="Q201" s="21" t="str">
        <f t="shared" si="52"/>
        <v/>
      </c>
      <c r="R201" s="21" t="str">
        <f t="shared" si="53"/>
        <v/>
      </c>
      <c r="S201" s="39"/>
      <c r="T201" s="43" t="str">
        <f t="shared" ref="T201:T264" si="61">IF(W201="","",IFERROR(
 IF(AND(ABS(N(W201))&lt;0.5, BS201&lt;=7), "Sin deuda",
  IF(AND(N(W201)&gt;0, BS201&lt;=7), "Con deuda",
   IF(AND(N(W201)&gt;0, BS201&gt;7), "Moroso", "")
  )
)," "))</f>
        <v/>
      </c>
      <c r="U201" s="49" t="str">
        <f t="shared" si="47"/>
        <v/>
      </c>
      <c r="V201" s="48" t="str">
        <f t="shared" si="48"/>
        <v/>
      </c>
      <c r="W201" s="48" t="str">
        <f t="shared" si="54"/>
        <v/>
      </c>
      <c r="X201" s="50" t="str">
        <f>IF(W201="","",SUMIF($B$4:$B$1002,B201,$W$4:$W$1000))</f>
        <v/>
      </c>
      <c r="Y201" s="43" t="str">
        <f t="shared" si="55"/>
        <v/>
      </c>
      <c r="Z201" s="49" t="str">
        <f t="shared" si="56"/>
        <v/>
      </c>
      <c r="AA201" s="48" t="str">
        <f t="shared" si="57"/>
        <v/>
      </c>
      <c r="AB201" s="49" t="str">
        <f t="shared" si="58"/>
        <v/>
      </c>
      <c r="AC201" s="50" t="str">
        <f>IF(AB201="","",SUMIF($B$4:$B$1002,B201,$AB$4:$AB$1000))</f>
        <v/>
      </c>
      <c r="AD201" s="69"/>
      <c r="AE201" s="56"/>
      <c r="AF201" s="52"/>
      <c r="AG201" s="51"/>
      <c r="AH201" s="70"/>
      <c r="AI201" s="58"/>
      <c r="AJ201" s="55"/>
      <c r="AK201" s="51"/>
      <c r="AL201" s="69"/>
      <c r="AM201" s="56"/>
      <c r="AN201" s="52"/>
      <c r="AO201" s="51"/>
      <c r="AP201" s="70"/>
      <c r="AQ201" s="58"/>
      <c r="AR201" s="55"/>
      <c r="AS201" s="51"/>
      <c r="AT201" s="69"/>
      <c r="AU201" s="56"/>
      <c r="AV201" s="52"/>
      <c r="AW201" s="51"/>
      <c r="BR201" s="34" t="str">
        <f>IF(E201="","",CONCATENATE(E201," ",F201," noches"))</f>
        <v/>
      </c>
      <c r="BS201" s="28" t="str">
        <f t="shared" ca="1" si="59"/>
        <v/>
      </c>
      <c r="BT201" s="28" t="str">
        <f t="shared" ca="1" si="60"/>
        <v/>
      </c>
    </row>
    <row r="202" spans="1:72" x14ac:dyDescent="0.2">
      <c r="A202" s="18" t="str" cm="1">
        <f t="array" aca="1" ref="A202" ca="1">IF(B202="","","Grupo N˚"&amp;SUMPRODUCT(($B$4:B202&lt;&gt;"")*($B$4:B202&lt;&gt;OFFSET($B$4,-1,0,ROWS($B$4:B202),1))))</f>
        <v/>
      </c>
      <c r="B202" s="31"/>
      <c r="C202" s="31"/>
      <c r="D202" s="31"/>
      <c r="E202" s="31"/>
      <c r="F202" s="32"/>
      <c r="G202" s="33"/>
      <c r="H202" s="33"/>
      <c r="I202" s="20" t="str">
        <f t="shared" si="49"/>
        <v/>
      </c>
      <c r="J202" s="21" t="str">
        <f>IFERROR(VLOOKUP(BR202,Pricing!$D$3:$E$58,2,FALSE),"")</f>
        <v/>
      </c>
      <c r="K202" s="32"/>
      <c r="L202" s="32"/>
      <c r="M202" s="32"/>
      <c r="N202" s="36" t="str" cm="1">
        <f t="array" ref="N202">IFERROR(_xlfn.IFS((AND(K202="SI",M202="$")),J202*0.2,AND(K202="SI",M202="%"),20),"")</f>
        <v/>
      </c>
      <c r="O202" s="29" t="str">
        <f t="shared" si="50"/>
        <v/>
      </c>
      <c r="P202" s="21" t="str">
        <f t="shared" si="51"/>
        <v/>
      </c>
      <c r="Q202" s="21" t="str">
        <f t="shared" si="52"/>
        <v/>
      </c>
      <c r="R202" s="21" t="str">
        <f t="shared" si="53"/>
        <v/>
      </c>
      <c r="S202" s="39"/>
      <c r="T202" s="43" t="str">
        <f t="shared" si="61"/>
        <v/>
      </c>
      <c r="U202" s="49" t="str">
        <f t="shared" si="47"/>
        <v/>
      </c>
      <c r="V202" s="48" t="str">
        <f t="shared" si="48"/>
        <v/>
      </c>
      <c r="W202" s="48" t="str">
        <f t="shared" si="54"/>
        <v/>
      </c>
      <c r="X202" s="50" t="str">
        <f>IF(W202="","",SUMIF($B$4:$B$1002,B202,$W$4:$W$1000))</f>
        <v/>
      </c>
      <c r="Y202" s="43" t="str">
        <f t="shared" si="55"/>
        <v/>
      </c>
      <c r="Z202" s="49" t="str">
        <f t="shared" si="56"/>
        <v/>
      </c>
      <c r="AA202" s="48" t="str">
        <f t="shared" si="57"/>
        <v/>
      </c>
      <c r="AB202" s="49" t="str">
        <f t="shared" si="58"/>
        <v/>
      </c>
      <c r="AC202" s="50" t="str">
        <f>IF(AB202="","",SUMIF($B$4:$B$1002,B202,$AB$4:$AB$1000))</f>
        <v/>
      </c>
      <c r="AD202" s="69"/>
      <c r="AE202" s="56"/>
      <c r="AF202" s="52"/>
      <c r="AG202" s="51"/>
      <c r="AH202" s="70"/>
      <c r="AI202" s="58"/>
      <c r="AJ202" s="55"/>
      <c r="AK202" s="51"/>
      <c r="AL202" s="69"/>
      <c r="AM202" s="56"/>
      <c r="AN202" s="52"/>
      <c r="AO202" s="51"/>
      <c r="AP202" s="70"/>
      <c r="AQ202" s="58"/>
      <c r="AR202" s="55"/>
      <c r="AS202" s="51"/>
      <c r="AT202" s="69"/>
      <c r="AU202" s="56"/>
      <c r="AV202" s="52"/>
      <c r="AW202" s="51"/>
      <c r="BR202" s="34" t="str">
        <f>IF(E202="","",CONCATENATE(E202," ",F202," noches"))</f>
        <v/>
      </c>
      <c r="BS202" s="28" t="str">
        <f t="shared" ca="1" si="59"/>
        <v/>
      </c>
      <c r="BT202" s="28" t="str">
        <f t="shared" ca="1" si="60"/>
        <v/>
      </c>
    </row>
    <row r="203" spans="1:72" x14ac:dyDescent="0.2">
      <c r="A203" s="18" t="str" cm="1">
        <f t="array" aca="1" ref="A203" ca="1">IF(B203="","","Grupo N˚"&amp;SUMPRODUCT(($B$4:B203&lt;&gt;"")*($B$4:B203&lt;&gt;OFFSET($B$4,-1,0,ROWS($B$4:B203),1))))</f>
        <v/>
      </c>
      <c r="B203" s="31"/>
      <c r="C203" s="31"/>
      <c r="D203" s="31"/>
      <c r="E203" s="31"/>
      <c r="F203" s="32"/>
      <c r="G203" s="33"/>
      <c r="H203" s="33"/>
      <c r="I203" s="20" t="str">
        <f t="shared" si="49"/>
        <v/>
      </c>
      <c r="J203" s="21" t="str">
        <f>IFERROR(VLOOKUP(BR203,Pricing!$D$3:$E$58,2,FALSE),"")</f>
        <v/>
      </c>
      <c r="K203" s="32"/>
      <c r="L203" s="32"/>
      <c r="M203" s="32"/>
      <c r="N203" s="36" t="str" cm="1">
        <f t="array" ref="N203">IFERROR(_xlfn.IFS((AND(K203="SI",M203="$")),J203*0.2,AND(K203="SI",M203="%"),20),"")</f>
        <v/>
      </c>
      <c r="O203" s="29" t="str">
        <f t="shared" si="50"/>
        <v/>
      </c>
      <c r="P203" s="21" t="str">
        <f t="shared" si="51"/>
        <v/>
      </c>
      <c r="Q203" s="21" t="str">
        <f t="shared" si="52"/>
        <v/>
      </c>
      <c r="R203" s="21" t="str">
        <f t="shared" si="53"/>
        <v/>
      </c>
      <c r="S203" s="39"/>
      <c r="T203" s="43" t="str">
        <f t="shared" si="61"/>
        <v/>
      </c>
      <c r="U203" s="49" t="str">
        <f t="shared" si="47"/>
        <v/>
      </c>
      <c r="V203" s="48" t="str">
        <f t="shared" si="48"/>
        <v/>
      </c>
      <c r="W203" s="48" t="str">
        <f t="shared" si="54"/>
        <v/>
      </c>
      <c r="X203" s="50" t="str">
        <f>IF(W203="","",SUMIF($B$4:$B$1002,B203,$W$4:$W$1000))</f>
        <v/>
      </c>
      <c r="Y203" s="43" t="str">
        <f t="shared" si="55"/>
        <v/>
      </c>
      <c r="Z203" s="49" t="str">
        <f t="shared" si="56"/>
        <v/>
      </c>
      <c r="AA203" s="48" t="str">
        <f t="shared" si="57"/>
        <v/>
      </c>
      <c r="AB203" s="49" t="str">
        <f t="shared" si="58"/>
        <v/>
      </c>
      <c r="AC203" s="50" t="str">
        <f>IF(AB203="","",SUMIF($B$4:$B$1002,B203,$AB$4:$AB$1000))</f>
        <v/>
      </c>
      <c r="AD203" s="69"/>
      <c r="AE203" s="56"/>
      <c r="AF203" s="52"/>
      <c r="AG203" s="51"/>
      <c r="AH203" s="70"/>
      <c r="AI203" s="58"/>
      <c r="AJ203" s="55"/>
      <c r="AK203" s="51"/>
      <c r="AL203" s="69"/>
      <c r="AM203" s="56"/>
      <c r="AN203" s="52"/>
      <c r="AO203" s="51"/>
      <c r="AP203" s="70"/>
      <c r="AQ203" s="58"/>
      <c r="AR203" s="55"/>
      <c r="AS203" s="51"/>
      <c r="AT203" s="69"/>
      <c r="AU203" s="56"/>
      <c r="AV203" s="52"/>
      <c r="AW203" s="51"/>
      <c r="BR203" s="34" t="str">
        <f>IF(E203="","",CONCATENATE(E203," ",F203," noches"))</f>
        <v/>
      </c>
      <c r="BS203" s="28" t="str">
        <f t="shared" ca="1" si="59"/>
        <v/>
      </c>
      <c r="BT203" s="28" t="str">
        <f t="shared" ca="1" si="60"/>
        <v/>
      </c>
    </row>
    <row r="204" spans="1:72" x14ac:dyDescent="0.2">
      <c r="A204" s="18" t="str" cm="1">
        <f t="array" aca="1" ref="A204" ca="1">IF(B204="","","Grupo N˚"&amp;SUMPRODUCT(($B$4:B204&lt;&gt;"")*($B$4:B204&lt;&gt;OFFSET($B$4,-1,0,ROWS($B$4:B204),1))))</f>
        <v/>
      </c>
      <c r="B204" s="31"/>
      <c r="C204" s="31"/>
      <c r="D204" s="31"/>
      <c r="E204" s="31"/>
      <c r="F204" s="32"/>
      <c r="G204" s="33"/>
      <c r="H204" s="33"/>
      <c r="I204" s="20" t="str">
        <f t="shared" si="49"/>
        <v/>
      </c>
      <c r="J204" s="21" t="str">
        <f>IFERROR(VLOOKUP(BR204,Pricing!$D$3:$E$58,2,FALSE),"")</f>
        <v/>
      </c>
      <c r="K204" s="32"/>
      <c r="L204" s="32"/>
      <c r="M204" s="32"/>
      <c r="N204" s="36" t="str" cm="1">
        <f t="array" ref="N204">IFERROR(_xlfn.IFS((AND(K204="SI",M204="$")),J204*0.2,AND(K204="SI",M204="%"),20),"")</f>
        <v/>
      </c>
      <c r="O204" s="29" t="str">
        <f t="shared" si="50"/>
        <v/>
      </c>
      <c r="P204" s="21" t="str">
        <f t="shared" si="51"/>
        <v/>
      </c>
      <c r="Q204" s="21" t="str">
        <f t="shared" si="52"/>
        <v/>
      </c>
      <c r="R204" s="21" t="str">
        <f t="shared" si="53"/>
        <v/>
      </c>
      <c r="S204" s="39"/>
      <c r="T204" s="43" t="str">
        <f t="shared" si="61"/>
        <v/>
      </c>
      <c r="U204" s="49" t="str">
        <f t="shared" si="47"/>
        <v/>
      </c>
      <c r="V204" s="48" t="str">
        <f t="shared" si="48"/>
        <v/>
      </c>
      <c r="W204" s="48" t="str">
        <f t="shared" si="54"/>
        <v/>
      </c>
      <c r="X204" s="50" t="str">
        <f>IF(W204="","",SUMIF($B$4:$B$1002,B204,$W$4:$W$1000))</f>
        <v/>
      </c>
      <c r="Y204" s="43" t="str">
        <f t="shared" si="55"/>
        <v/>
      </c>
      <c r="Z204" s="49" t="str">
        <f t="shared" si="56"/>
        <v/>
      </c>
      <c r="AA204" s="48" t="str">
        <f t="shared" si="57"/>
        <v/>
      </c>
      <c r="AB204" s="49" t="str">
        <f t="shared" si="58"/>
        <v/>
      </c>
      <c r="AC204" s="50" t="str">
        <f>IF(AB204="","",SUMIF($B$4:$B$1002,B204,$AB$4:$AB$1000))</f>
        <v/>
      </c>
      <c r="AD204" s="69"/>
      <c r="AE204" s="56"/>
      <c r="AF204" s="52"/>
      <c r="AG204" s="51"/>
      <c r="AH204" s="70"/>
      <c r="AI204" s="58"/>
      <c r="AJ204" s="55"/>
      <c r="AK204" s="51"/>
      <c r="AL204" s="69"/>
      <c r="AM204" s="56"/>
      <c r="AN204" s="52"/>
      <c r="AO204" s="51"/>
      <c r="AP204" s="70"/>
      <c r="AQ204" s="58"/>
      <c r="AR204" s="55"/>
      <c r="AS204" s="51"/>
      <c r="AT204" s="69"/>
      <c r="AU204" s="56"/>
      <c r="AV204" s="52"/>
      <c r="AW204" s="51"/>
      <c r="BR204" s="34" t="str">
        <f>IF(E204="","",CONCATENATE(E204," ",F204," noches"))</f>
        <v/>
      </c>
      <c r="BS204" s="28" t="str">
        <f t="shared" ca="1" si="59"/>
        <v/>
      </c>
      <c r="BT204" s="28" t="str">
        <f t="shared" ca="1" si="60"/>
        <v/>
      </c>
    </row>
    <row r="205" spans="1:72" x14ac:dyDescent="0.2">
      <c r="A205" s="18" t="str" cm="1">
        <f t="array" aca="1" ref="A205" ca="1">IF(B205="","","Grupo N˚"&amp;SUMPRODUCT(($B$4:B205&lt;&gt;"")*($B$4:B205&lt;&gt;OFFSET($B$4,-1,0,ROWS($B$4:B205),1))))</f>
        <v/>
      </c>
      <c r="B205" s="31"/>
      <c r="C205" s="31"/>
      <c r="D205" s="31"/>
      <c r="E205" s="31"/>
      <c r="F205" s="32"/>
      <c r="G205" s="33"/>
      <c r="H205" s="33"/>
      <c r="I205" s="20" t="str">
        <f t="shared" si="49"/>
        <v/>
      </c>
      <c r="J205" s="21" t="str">
        <f>IFERROR(VLOOKUP(BR205,Pricing!$D$3:$E$58,2,FALSE),"")</f>
        <v/>
      </c>
      <c r="K205" s="32"/>
      <c r="L205" s="32"/>
      <c r="M205" s="32"/>
      <c r="N205" s="36" t="str" cm="1">
        <f t="array" ref="N205">IFERROR(_xlfn.IFS((AND(K205="SI",M205="$")),J205*0.2,AND(K205="SI",M205="%"),20),"")</f>
        <v/>
      </c>
      <c r="O205" s="29" t="str">
        <f t="shared" si="50"/>
        <v/>
      </c>
      <c r="P205" s="21" t="str">
        <f t="shared" si="51"/>
        <v/>
      </c>
      <c r="Q205" s="21" t="str">
        <f t="shared" si="52"/>
        <v/>
      </c>
      <c r="R205" s="21" t="str">
        <f t="shared" si="53"/>
        <v/>
      </c>
      <c r="S205" s="39"/>
      <c r="T205" s="43" t="str">
        <f t="shared" si="61"/>
        <v/>
      </c>
      <c r="U205" s="49" t="str">
        <f t="shared" ref="U205:U268" si="62">IF(R205="","",R205/2)</f>
        <v/>
      </c>
      <c r="V205" s="48" t="str">
        <f t="shared" ref="V205:V268" si="63">IF(AD205="","",SUM(
 IF(ISNUMBER(SEARCH("reserva",AD205)),AF205,0),
 IF(ISNUMBER(SEARCH("reserva",AH205)),AJ205,0),
 IF(ISNUMBER(SEARCH("reserva",AL205)),AN205,0),
 IF(ISNUMBER(SEARCH("reserva",AP205)),AR205,0),
 IF(ISNUMBER(SEARCH("reserva",AT205)),AV205,0)
))</f>
        <v/>
      </c>
      <c r="W205" s="48" t="str">
        <f t="shared" si="54"/>
        <v/>
      </c>
      <c r="X205" s="50" t="str">
        <f>IF(W205="","",SUMIF($B$4:$B$1002,B205,$W$4:$W$1000))</f>
        <v/>
      </c>
      <c r="Y205" s="43" t="str">
        <f t="shared" si="55"/>
        <v/>
      </c>
      <c r="Z205" s="49" t="str">
        <f t="shared" si="56"/>
        <v/>
      </c>
      <c r="AA205" s="48" t="str">
        <f t="shared" si="57"/>
        <v/>
      </c>
      <c r="AB205" s="49" t="str">
        <f t="shared" si="58"/>
        <v/>
      </c>
      <c r="AC205" s="50" t="str">
        <f>IF(AB205="","",SUMIF($B$4:$B$1002,B205,$AB$4:$AB$1000))</f>
        <v/>
      </c>
      <c r="AD205" s="69"/>
      <c r="AE205" s="56"/>
      <c r="AF205" s="52"/>
      <c r="AG205" s="51"/>
      <c r="AH205" s="70"/>
      <c r="AI205" s="58"/>
      <c r="AJ205" s="55"/>
      <c r="AK205" s="51"/>
      <c r="AL205" s="69"/>
      <c r="AM205" s="56"/>
      <c r="AN205" s="52"/>
      <c r="AO205" s="51"/>
      <c r="AP205" s="70"/>
      <c r="AQ205" s="58"/>
      <c r="AR205" s="55"/>
      <c r="AS205" s="51"/>
      <c r="AT205" s="69"/>
      <c r="AU205" s="56"/>
      <c r="AV205" s="52"/>
      <c r="AW205" s="51"/>
      <c r="BR205" s="34" t="str">
        <f>IF(E205="","",CONCATENATE(E205," ",F205," noches"))</f>
        <v/>
      </c>
      <c r="BS205" s="28" t="str">
        <f t="shared" ca="1" si="59"/>
        <v/>
      </c>
      <c r="BT205" s="28" t="str">
        <f t="shared" ca="1" si="60"/>
        <v/>
      </c>
    </row>
    <row r="206" spans="1:72" x14ac:dyDescent="0.2">
      <c r="A206" s="18" t="str" cm="1">
        <f t="array" aca="1" ref="A206" ca="1">IF(B206="","","Grupo N˚"&amp;SUMPRODUCT(($B$4:B206&lt;&gt;"")*($B$4:B206&lt;&gt;OFFSET($B$4,-1,0,ROWS($B$4:B206),1))))</f>
        <v/>
      </c>
      <c r="B206" s="31"/>
      <c r="C206" s="31"/>
      <c r="D206" s="31"/>
      <c r="E206" s="31"/>
      <c r="F206" s="32"/>
      <c r="G206" s="33"/>
      <c r="H206" s="33"/>
      <c r="I206" s="20" t="str">
        <f t="shared" si="49"/>
        <v/>
      </c>
      <c r="J206" s="21" t="str">
        <f>IFERROR(VLOOKUP(BR206,Pricing!$D$3:$E$58,2,FALSE),"")</f>
        <v/>
      </c>
      <c r="K206" s="32"/>
      <c r="L206" s="32"/>
      <c r="M206" s="32"/>
      <c r="N206" s="36" t="str" cm="1">
        <f t="array" ref="N206">IFERROR(_xlfn.IFS((AND(K206="SI",M206="$")),J206*0.2,AND(K206="SI",M206="%"),20),"")</f>
        <v/>
      </c>
      <c r="O206" s="29" t="str">
        <f t="shared" si="50"/>
        <v/>
      </c>
      <c r="P206" s="21" t="str">
        <f t="shared" si="51"/>
        <v/>
      </c>
      <c r="Q206" s="21" t="str">
        <f t="shared" si="52"/>
        <v/>
      </c>
      <c r="R206" s="21" t="str">
        <f t="shared" si="53"/>
        <v/>
      </c>
      <c r="S206" s="39"/>
      <c r="T206" s="43" t="str">
        <f t="shared" si="61"/>
        <v/>
      </c>
      <c r="U206" s="49" t="str">
        <f t="shared" si="62"/>
        <v/>
      </c>
      <c r="V206" s="48" t="str">
        <f t="shared" si="63"/>
        <v/>
      </c>
      <c r="W206" s="48" t="str">
        <f t="shared" si="54"/>
        <v/>
      </c>
      <c r="X206" s="50" t="str">
        <f>IF(W206="","",SUMIF($B$4:$B$1002,B206,$W$4:$W$1000))</f>
        <v/>
      </c>
      <c r="Y206" s="43" t="str">
        <f t="shared" si="55"/>
        <v/>
      </c>
      <c r="Z206" s="49" t="str">
        <f t="shared" si="56"/>
        <v/>
      </c>
      <c r="AA206" s="48" t="str">
        <f t="shared" si="57"/>
        <v/>
      </c>
      <c r="AB206" s="49" t="str">
        <f t="shared" si="58"/>
        <v/>
      </c>
      <c r="AC206" s="50" t="str">
        <f>IF(AB206="","",SUMIF($B$4:$B$1002,B206,$AB$4:$AB$1000))</f>
        <v/>
      </c>
      <c r="AD206" s="69"/>
      <c r="AE206" s="56"/>
      <c r="AF206" s="52"/>
      <c r="AG206" s="51"/>
      <c r="AH206" s="70"/>
      <c r="AI206" s="58"/>
      <c r="AJ206" s="55"/>
      <c r="AK206" s="51"/>
      <c r="AL206" s="69"/>
      <c r="AM206" s="56"/>
      <c r="AN206" s="52"/>
      <c r="AO206" s="51"/>
      <c r="AP206" s="70"/>
      <c r="AQ206" s="58"/>
      <c r="AR206" s="55"/>
      <c r="AS206" s="51"/>
      <c r="AT206" s="69"/>
      <c r="AU206" s="56"/>
      <c r="AV206" s="52"/>
      <c r="AW206" s="51"/>
      <c r="BR206" s="34" t="str">
        <f>IF(E206="","",CONCATENATE(E206," ",F206," noches"))</f>
        <v/>
      </c>
      <c r="BS206" s="28" t="str">
        <f t="shared" ca="1" si="59"/>
        <v/>
      </c>
      <c r="BT206" s="28" t="str">
        <f t="shared" ca="1" si="60"/>
        <v/>
      </c>
    </row>
    <row r="207" spans="1:72" x14ac:dyDescent="0.2">
      <c r="A207" s="18" t="str" cm="1">
        <f t="array" aca="1" ref="A207" ca="1">IF(B207="","","Grupo N˚"&amp;SUMPRODUCT(($B$4:B207&lt;&gt;"")*($B$4:B207&lt;&gt;OFFSET($B$4,-1,0,ROWS($B$4:B207),1))))</f>
        <v/>
      </c>
      <c r="B207" s="31"/>
      <c r="C207" s="31"/>
      <c r="D207" s="31"/>
      <c r="E207" s="31"/>
      <c r="F207" s="32"/>
      <c r="G207" s="33"/>
      <c r="H207" s="33"/>
      <c r="I207" s="20" t="str">
        <f t="shared" si="49"/>
        <v/>
      </c>
      <c r="J207" s="21" t="str">
        <f>IFERROR(VLOOKUP(BR207,Pricing!$D$3:$E$58,2,FALSE),"")</f>
        <v/>
      </c>
      <c r="K207" s="32"/>
      <c r="L207" s="32"/>
      <c r="M207" s="32"/>
      <c r="N207" s="36" t="str" cm="1">
        <f t="array" ref="N207">IFERROR(_xlfn.IFS((AND(K207="SI",M207="$")),J207*0.2,AND(K207="SI",M207="%"),20),"")</f>
        <v/>
      </c>
      <c r="O207" s="29" t="str">
        <f t="shared" si="50"/>
        <v/>
      </c>
      <c r="P207" s="21" t="str">
        <f t="shared" si="51"/>
        <v/>
      </c>
      <c r="Q207" s="21" t="str">
        <f t="shared" si="52"/>
        <v/>
      </c>
      <c r="R207" s="21" t="str">
        <f t="shared" si="53"/>
        <v/>
      </c>
      <c r="S207" s="39"/>
      <c r="T207" s="43" t="str">
        <f t="shared" si="61"/>
        <v/>
      </c>
      <c r="U207" s="49" t="str">
        <f t="shared" si="62"/>
        <v/>
      </c>
      <c r="V207" s="48" t="str">
        <f t="shared" si="63"/>
        <v/>
      </c>
      <c r="W207" s="48" t="str">
        <f t="shared" si="54"/>
        <v/>
      </c>
      <c r="X207" s="50" t="str">
        <f>IF(W207="","",SUMIF($B$4:$B$1002,B207,$W$4:$W$1000))</f>
        <v/>
      </c>
      <c r="Y207" s="43" t="str">
        <f t="shared" si="55"/>
        <v/>
      </c>
      <c r="Z207" s="49" t="str">
        <f t="shared" si="56"/>
        <v/>
      </c>
      <c r="AA207" s="48" t="str">
        <f t="shared" si="57"/>
        <v/>
      </c>
      <c r="AB207" s="49" t="str">
        <f t="shared" si="58"/>
        <v/>
      </c>
      <c r="AC207" s="50" t="str">
        <f>IF(AB207="","",SUMIF($B$4:$B$1002,B207,$AB$4:$AB$1000))</f>
        <v/>
      </c>
      <c r="AD207" s="69"/>
      <c r="AE207" s="56"/>
      <c r="AF207" s="52"/>
      <c r="AG207" s="51"/>
      <c r="AH207" s="70"/>
      <c r="AI207" s="58"/>
      <c r="AJ207" s="55"/>
      <c r="AK207" s="51"/>
      <c r="AL207" s="69"/>
      <c r="AM207" s="56"/>
      <c r="AN207" s="52"/>
      <c r="AO207" s="51"/>
      <c r="AP207" s="70"/>
      <c r="AQ207" s="58"/>
      <c r="AR207" s="55"/>
      <c r="AS207" s="51"/>
      <c r="AT207" s="69"/>
      <c r="AU207" s="56"/>
      <c r="AV207" s="52"/>
      <c r="AW207" s="51"/>
      <c r="BR207" s="34" t="str">
        <f>IF(E207="","",CONCATENATE(E207," ",F207," noches"))</f>
        <v/>
      </c>
      <c r="BS207" s="28" t="str">
        <f t="shared" ca="1" si="59"/>
        <v/>
      </c>
      <c r="BT207" s="28" t="str">
        <f t="shared" ca="1" si="60"/>
        <v/>
      </c>
    </row>
    <row r="208" spans="1:72" x14ac:dyDescent="0.2">
      <c r="A208" s="18" t="str" cm="1">
        <f t="array" aca="1" ref="A208" ca="1">IF(B208="","","Grupo N˚"&amp;SUMPRODUCT(($B$4:B208&lt;&gt;"")*($B$4:B208&lt;&gt;OFFSET($B$4,-1,0,ROWS($B$4:B208),1))))</f>
        <v/>
      </c>
      <c r="B208" s="31"/>
      <c r="C208" s="31"/>
      <c r="D208" s="31"/>
      <c r="E208" s="31"/>
      <c r="F208" s="32"/>
      <c r="G208" s="33"/>
      <c r="H208" s="33"/>
      <c r="I208" s="20" t="str">
        <f t="shared" si="49"/>
        <v/>
      </c>
      <c r="J208" s="21" t="str">
        <f>IFERROR(VLOOKUP(BR208,Pricing!$D$3:$E$58,2,FALSE),"")</f>
        <v/>
      </c>
      <c r="K208" s="32"/>
      <c r="L208" s="32"/>
      <c r="M208" s="32"/>
      <c r="N208" s="36" t="str" cm="1">
        <f t="array" ref="N208">IFERROR(_xlfn.IFS((AND(K208="SI",M208="$")),J208*0.2,AND(K208="SI",M208="%"),20),"")</f>
        <v/>
      </c>
      <c r="O208" s="29" t="str">
        <f t="shared" si="50"/>
        <v/>
      </c>
      <c r="P208" s="21" t="str">
        <f t="shared" si="51"/>
        <v/>
      </c>
      <c r="Q208" s="21" t="str">
        <f t="shared" si="52"/>
        <v/>
      </c>
      <c r="R208" s="21" t="str">
        <f t="shared" si="53"/>
        <v/>
      </c>
      <c r="S208" s="39"/>
      <c r="T208" s="43" t="str">
        <f t="shared" si="61"/>
        <v/>
      </c>
      <c r="U208" s="49" t="str">
        <f t="shared" si="62"/>
        <v/>
      </c>
      <c r="V208" s="48" t="str">
        <f t="shared" si="63"/>
        <v/>
      </c>
      <c r="W208" s="48" t="str">
        <f t="shared" si="54"/>
        <v/>
      </c>
      <c r="X208" s="50" t="str">
        <f>IF(W208="","",SUMIF($B$4:$B$1002,B208,$W$4:$W$1000))</f>
        <v/>
      </c>
      <c r="Y208" s="43" t="str">
        <f t="shared" si="55"/>
        <v/>
      </c>
      <c r="Z208" s="49" t="str">
        <f t="shared" si="56"/>
        <v/>
      </c>
      <c r="AA208" s="48" t="str">
        <f t="shared" si="57"/>
        <v/>
      </c>
      <c r="AB208" s="49" t="str">
        <f t="shared" si="58"/>
        <v/>
      </c>
      <c r="AC208" s="50" t="str">
        <f>IF(AB208="","",SUMIF($B$4:$B$1002,B208,$AB$4:$AB$1000))</f>
        <v/>
      </c>
      <c r="AD208" s="69"/>
      <c r="AE208" s="56"/>
      <c r="AF208" s="52"/>
      <c r="AG208" s="51"/>
      <c r="AH208" s="70"/>
      <c r="AI208" s="58"/>
      <c r="AJ208" s="55"/>
      <c r="AK208" s="51"/>
      <c r="AL208" s="69"/>
      <c r="AM208" s="56"/>
      <c r="AN208" s="52"/>
      <c r="AO208" s="51"/>
      <c r="AP208" s="70"/>
      <c r="AQ208" s="58"/>
      <c r="AR208" s="55"/>
      <c r="AS208" s="51"/>
      <c r="AT208" s="69"/>
      <c r="AU208" s="56"/>
      <c r="AV208" s="52"/>
      <c r="AW208" s="51"/>
      <c r="BR208" s="34" t="str">
        <f>IF(E208="","",CONCATENATE(E208," ",F208," noches"))</f>
        <v/>
      </c>
      <c r="BS208" s="28" t="str">
        <f t="shared" ca="1" si="59"/>
        <v/>
      </c>
      <c r="BT208" s="28" t="str">
        <f t="shared" ca="1" si="60"/>
        <v/>
      </c>
    </row>
    <row r="209" spans="1:72" x14ac:dyDescent="0.2">
      <c r="A209" s="18" t="str" cm="1">
        <f t="array" aca="1" ref="A209" ca="1">IF(B209="","","Grupo N˚"&amp;SUMPRODUCT(($B$4:B209&lt;&gt;"")*($B$4:B209&lt;&gt;OFFSET($B$4,-1,0,ROWS($B$4:B209),1))))</f>
        <v/>
      </c>
      <c r="B209" s="31"/>
      <c r="C209" s="31"/>
      <c r="D209" s="31"/>
      <c r="E209" s="31"/>
      <c r="F209" s="32"/>
      <c r="G209" s="33"/>
      <c r="H209" s="33"/>
      <c r="I209" s="20" t="str">
        <f t="shared" si="49"/>
        <v/>
      </c>
      <c r="J209" s="21" t="str">
        <f>IFERROR(VLOOKUP(BR209,Pricing!$D$3:$E$58,2,FALSE),"")</f>
        <v/>
      </c>
      <c r="K209" s="32"/>
      <c r="L209" s="32"/>
      <c r="M209" s="32"/>
      <c r="N209" s="36" t="str" cm="1">
        <f t="array" ref="N209">IFERROR(_xlfn.IFS((AND(K209="SI",M209="$")),J209*0.2,AND(K209="SI",M209="%"),20),"")</f>
        <v/>
      </c>
      <c r="O209" s="29" t="str">
        <f t="shared" si="50"/>
        <v/>
      </c>
      <c r="P209" s="21" t="str">
        <f t="shared" si="51"/>
        <v/>
      </c>
      <c r="Q209" s="21" t="str">
        <f t="shared" si="52"/>
        <v/>
      </c>
      <c r="R209" s="21" t="str">
        <f t="shared" si="53"/>
        <v/>
      </c>
      <c r="S209" s="39"/>
      <c r="T209" s="43" t="str">
        <f t="shared" si="61"/>
        <v/>
      </c>
      <c r="U209" s="49" t="str">
        <f t="shared" si="62"/>
        <v/>
      </c>
      <c r="V209" s="48" t="str">
        <f t="shared" si="63"/>
        <v/>
      </c>
      <c r="W209" s="48" t="str">
        <f t="shared" si="54"/>
        <v/>
      </c>
      <c r="X209" s="50" t="str">
        <f>IF(W209="","",SUMIF($B$4:$B$1002,B209,$W$4:$W$1000))</f>
        <v/>
      </c>
      <c r="Y209" s="43" t="str">
        <f t="shared" si="55"/>
        <v/>
      </c>
      <c r="Z209" s="49" t="str">
        <f t="shared" si="56"/>
        <v/>
      </c>
      <c r="AA209" s="48" t="str">
        <f t="shared" si="57"/>
        <v/>
      </c>
      <c r="AB209" s="49" t="str">
        <f t="shared" si="58"/>
        <v/>
      </c>
      <c r="AC209" s="50" t="str">
        <f>IF(AB209="","",SUMIF($B$4:$B$1002,B209,$AB$4:$AB$1000))</f>
        <v/>
      </c>
      <c r="AD209" s="69"/>
      <c r="AE209" s="56"/>
      <c r="AF209" s="52"/>
      <c r="AG209" s="51"/>
      <c r="AH209" s="70"/>
      <c r="AI209" s="58"/>
      <c r="AJ209" s="55"/>
      <c r="AK209" s="51"/>
      <c r="AL209" s="69"/>
      <c r="AM209" s="56"/>
      <c r="AN209" s="52"/>
      <c r="AO209" s="51"/>
      <c r="AP209" s="70"/>
      <c r="AQ209" s="58"/>
      <c r="AR209" s="55"/>
      <c r="AS209" s="51"/>
      <c r="AT209" s="69"/>
      <c r="AU209" s="56"/>
      <c r="AV209" s="52"/>
      <c r="AW209" s="51"/>
      <c r="BR209" s="34" t="str">
        <f>IF(E209="","",CONCATENATE(E209," ",F209," noches"))</f>
        <v/>
      </c>
      <c r="BS209" s="28" t="str">
        <f t="shared" ca="1" si="59"/>
        <v/>
      </c>
      <c r="BT209" s="28" t="str">
        <f t="shared" ca="1" si="60"/>
        <v/>
      </c>
    </row>
    <row r="210" spans="1:72" x14ac:dyDescent="0.2">
      <c r="A210" s="18" t="str" cm="1">
        <f t="array" aca="1" ref="A210" ca="1">IF(B210="","","Grupo N˚"&amp;SUMPRODUCT(($B$4:B210&lt;&gt;"")*($B$4:B210&lt;&gt;OFFSET($B$4,-1,0,ROWS($B$4:B210),1))))</f>
        <v/>
      </c>
      <c r="B210" s="31"/>
      <c r="C210" s="31"/>
      <c r="D210" s="31"/>
      <c r="E210" s="31"/>
      <c r="F210" s="32"/>
      <c r="G210" s="33"/>
      <c r="H210" s="33"/>
      <c r="I210" s="20" t="str">
        <f t="shared" si="49"/>
        <v/>
      </c>
      <c r="J210" s="21" t="str">
        <f>IFERROR(VLOOKUP(BR210,Pricing!$D$3:$E$58,2,FALSE),"")</f>
        <v/>
      </c>
      <c r="K210" s="32"/>
      <c r="L210" s="32"/>
      <c r="M210" s="32"/>
      <c r="N210" s="36" t="str" cm="1">
        <f t="array" ref="N210">IFERROR(_xlfn.IFS((AND(K210="SI",M210="$")),J210*0.2,AND(K210="SI",M210="%"),20),"")</f>
        <v/>
      </c>
      <c r="O210" s="29" t="str">
        <f t="shared" si="50"/>
        <v/>
      </c>
      <c r="P210" s="21" t="str">
        <f t="shared" si="51"/>
        <v/>
      </c>
      <c r="Q210" s="21" t="str">
        <f t="shared" si="52"/>
        <v/>
      </c>
      <c r="R210" s="21" t="str">
        <f t="shared" si="53"/>
        <v/>
      </c>
      <c r="S210" s="39"/>
      <c r="T210" s="43" t="str">
        <f t="shared" si="61"/>
        <v/>
      </c>
      <c r="U210" s="49" t="str">
        <f t="shared" si="62"/>
        <v/>
      </c>
      <c r="V210" s="48" t="str">
        <f t="shared" si="63"/>
        <v/>
      </c>
      <c r="W210" s="48" t="str">
        <f t="shared" si="54"/>
        <v/>
      </c>
      <c r="X210" s="50" t="str">
        <f>IF(W210="","",SUMIF($B$4:$B$1002,B210,$W$4:$W$1000))</f>
        <v/>
      </c>
      <c r="Y210" s="43" t="str">
        <f t="shared" si="55"/>
        <v/>
      </c>
      <c r="Z210" s="49" t="str">
        <f t="shared" si="56"/>
        <v/>
      </c>
      <c r="AA210" s="48" t="str">
        <f t="shared" si="57"/>
        <v/>
      </c>
      <c r="AB210" s="49" t="str">
        <f t="shared" si="58"/>
        <v/>
      </c>
      <c r="AC210" s="50" t="str">
        <f>IF(AB210="","",SUMIF($B$4:$B$1002,B210,$AB$4:$AB$1000))</f>
        <v/>
      </c>
      <c r="AD210" s="69"/>
      <c r="AE210" s="56"/>
      <c r="AF210" s="52"/>
      <c r="AG210" s="51"/>
      <c r="AH210" s="70"/>
      <c r="AI210" s="58"/>
      <c r="AJ210" s="55"/>
      <c r="AK210" s="51"/>
      <c r="AL210" s="69"/>
      <c r="AM210" s="56"/>
      <c r="AN210" s="52"/>
      <c r="AO210" s="51"/>
      <c r="AP210" s="70"/>
      <c r="AQ210" s="58"/>
      <c r="AR210" s="55"/>
      <c r="AS210" s="51"/>
      <c r="AT210" s="69"/>
      <c r="AU210" s="56"/>
      <c r="AV210" s="52"/>
      <c r="AW210" s="51"/>
      <c r="BR210" s="34" t="str">
        <f>IF(E210="","",CONCATENATE(E210," ",F210," noches"))</f>
        <v/>
      </c>
      <c r="BS210" s="28" t="str">
        <f t="shared" ca="1" si="59"/>
        <v/>
      </c>
      <c r="BT210" s="28" t="str">
        <f t="shared" ca="1" si="60"/>
        <v/>
      </c>
    </row>
    <row r="211" spans="1:72" x14ac:dyDescent="0.2">
      <c r="A211" s="18" t="str" cm="1">
        <f t="array" aca="1" ref="A211" ca="1">IF(B211="","","Grupo N˚"&amp;SUMPRODUCT(($B$4:B211&lt;&gt;"")*($B$4:B211&lt;&gt;OFFSET($B$4,-1,0,ROWS($B$4:B211),1))))</f>
        <v/>
      </c>
      <c r="B211" s="31"/>
      <c r="C211" s="31"/>
      <c r="D211" s="31"/>
      <c r="E211" s="31"/>
      <c r="F211" s="32"/>
      <c r="G211" s="33"/>
      <c r="H211" s="33"/>
      <c r="I211" s="20" t="str">
        <f t="shared" si="49"/>
        <v/>
      </c>
      <c r="J211" s="21" t="str">
        <f>IFERROR(VLOOKUP(BR211,Pricing!$D$3:$E$58,2,FALSE),"")</f>
        <v/>
      </c>
      <c r="K211" s="32"/>
      <c r="L211" s="32"/>
      <c r="M211" s="32"/>
      <c r="N211" s="36" t="str" cm="1">
        <f t="array" ref="N211">IFERROR(_xlfn.IFS((AND(K211="SI",M211="$")),J211*0.2,AND(K211="SI",M211="%"),20),"")</f>
        <v/>
      </c>
      <c r="O211" s="29" t="str">
        <f t="shared" si="50"/>
        <v/>
      </c>
      <c r="P211" s="21" t="str">
        <f t="shared" si="51"/>
        <v/>
      </c>
      <c r="Q211" s="21" t="str">
        <f t="shared" si="52"/>
        <v/>
      </c>
      <c r="R211" s="21" t="str">
        <f t="shared" si="53"/>
        <v/>
      </c>
      <c r="S211" s="39"/>
      <c r="T211" s="43" t="str">
        <f t="shared" si="61"/>
        <v/>
      </c>
      <c r="U211" s="49" t="str">
        <f t="shared" si="62"/>
        <v/>
      </c>
      <c r="V211" s="48" t="str">
        <f t="shared" si="63"/>
        <v/>
      </c>
      <c r="W211" s="48" t="str">
        <f t="shared" si="54"/>
        <v/>
      </c>
      <c r="X211" s="50" t="str">
        <f>IF(W211="","",SUMIF($B$4:$B$1002,B211,$W$4:$W$1000))</f>
        <v/>
      </c>
      <c r="Y211" s="43" t="str">
        <f t="shared" si="55"/>
        <v/>
      </c>
      <c r="Z211" s="49" t="str">
        <f t="shared" si="56"/>
        <v/>
      </c>
      <c r="AA211" s="48" t="str">
        <f t="shared" si="57"/>
        <v/>
      </c>
      <c r="AB211" s="49" t="str">
        <f t="shared" si="58"/>
        <v/>
      </c>
      <c r="AC211" s="50" t="str">
        <f>IF(AB211="","",SUMIF($B$4:$B$1002,B211,$AB$4:$AB$1000))</f>
        <v/>
      </c>
      <c r="AD211" s="69"/>
      <c r="AE211" s="56"/>
      <c r="AF211" s="52"/>
      <c r="AG211" s="51"/>
      <c r="AH211" s="70"/>
      <c r="AI211" s="58"/>
      <c r="AJ211" s="55"/>
      <c r="AK211" s="51"/>
      <c r="AL211" s="69"/>
      <c r="AM211" s="56"/>
      <c r="AN211" s="52"/>
      <c r="AO211" s="51"/>
      <c r="AP211" s="70"/>
      <c r="AQ211" s="58"/>
      <c r="AR211" s="55"/>
      <c r="AS211" s="51"/>
      <c r="AT211" s="69"/>
      <c r="AU211" s="56"/>
      <c r="AV211" s="52"/>
      <c r="AW211" s="51"/>
      <c r="BR211" s="34" t="str">
        <f>IF(E211="","",CONCATENATE(E211," ",F211," noches"))</f>
        <v/>
      </c>
      <c r="BS211" s="28" t="str">
        <f t="shared" ca="1" si="59"/>
        <v/>
      </c>
      <c r="BT211" s="28" t="str">
        <f t="shared" ca="1" si="60"/>
        <v/>
      </c>
    </row>
    <row r="212" spans="1:72" x14ac:dyDescent="0.2">
      <c r="A212" s="18" t="str" cm="1">
        <f t="array" aca="1" ref="A212" ca="1">IF(B212="","","Grupo N˚"&amp;SUMPRODUCT(($B$4:B212&lt;&gt;"")*($B$4:B212&lt;&gt;OFFSET($B$4,-1,0,ROWS($B$4:B212),1))))</f>
        <v/>
      </c>
      <c r="B212" s="31"/>
      <c r="C212" s="31"/>
      <c r="D212" s="31"/>
      <c r="E212" s="31"/>
      <c r="F212" s="32"/>
      <c r="G212" s="33"/>
      <c r="H212" s="33"/>
      <c r="I212" s="20" t="str">
        <f t="shared" si="49"/>
        <v/>
      </c>
      <c r="J212" s="21" t="str">
        <f>IFERROR(VLOOKUP(BR212,Pricing!$D$3:$E$58,2,FALSE),"")</f>
        <v/>
      </c>
      <c r="K212" s="32"/>
      <c r="L212" s="32"/>
      <c r="M212" s="32"/>
      <c r="N212" s="36" t="str" cm="1">
        <f t="array" ref="N212">IFERROR(_xlfn.IFS((AND(K212="SI",M212="$")),J212*0.2,AND(K212="SI",M212="%"),20),"")</f>
        <v/>
      </c>
      <c r="O212" s="29" t="str">
        <f t="shared" si="50"/>
        <v/>
      </c>
      <c r="P212" s="21" t="str">
        <f t="shared" si="51"/>
        <v/>
      </c>
      <c r="Q212" s="21" t="str">
        <f t="shared" si="52"/>
        <v/>
      </c>
      <c r="R212" s="21" t="str">
        <f t="shared" si="53"/>
        <v/>
      </c>
      <c r="S212" s="39"/>
      <c r="T212" s="43" t="str">
        <f t="shared" si="61"/>
        <v/>
      </c>
      <c r="U212" s="49" t="str">
        <f t="shared" si="62"/>
        <v/>
      </c>
      <c r="V212" s="48" t="str">
        <f t="shared" si="63"/>
        <v/>
      </c>
      <c r="W212" s="48" t="str">
        <f t="shared" si="54"/>
        <v/>
      </c>
      <c r="X212" s="50" t="str">
        <f>IF(W212="","",SUMIF($B$4:$B$1002,B212,$W$4:$W$1000))</f>
        <v/>
      </c>
      <c r="Y212" s="43" t="str">
        <f t="shared" si="55"/>
        <v/>
      </c>
      <c r="Z212" s="49" t="str">
        <f t="shared" si="56"/>
        <v/>
      </c>
      <c r="AA212" s="48" t="str">
        <f t="shared" si="57"/>
        <v/>
      </c>
      <c r="AB212" s="49" t="str">
        <f t="shared" si="58"/>
        <v/>
      </c>
      <c r="AC212" s="50" t="str">
        <f>IF(AB212="","",SUMIF($B$4:$B$1002,B212,$AB$4:$AB$1000))</f>
        <v/>
      </c>
      <c r="AD212" s="69"/>
      <c r="AE212" s="56"/>
      <c r="AF212" s="52"/>
      <c r="AG212" s="51"/>
      <c r="AH212" s="70"/>
      <c r="AI212" s="58"/>
      <c r="AJ212" s="55"/>
      <c r="AK212" s="51"/>
      <c r="AL212" s="69"/>
      <c r="AM212" s="56"/>
      <c r="AN212" s="52"/>
      <c r="AO212" s="51"/>
      <c r="AP212" s="70"/>
      <c r="AQ212" s="58"/>
      <c r="AR212" s="55"/>
      <c r="AS212" s="51"/>
      <c r="AT212" s="69"/>
      <c r="AU212" s="56"/>
      <c r="AV212" s="52"/>
      <c r="AW212" s="51"/>
      <c r="BR212" s="34" t="str">
        <f>IF(E212="","",CONCATENATE(E212," ",F212," noches"))</f>
        <v/>
      </c>
      <c r="BS212" s="28" t="str">
        <f t="shared" ca="1" si="59"/>
        <v/>
      </c>
      <c r="BT212" s="28" t="str">
        <f t="shared" ca="1" si="60"/>
        <v/>
      </c>
    </row>
    <row r="213" spans="1:72" x14ac:dyDescent="0.2">
      <c r="A213" s="18" t="str" cm="1">
        <f t="array" aca="1" ref="A213" ca="1">IF(B213="","","Grupo N˚"&amp;SUMPRODUCT(($B$4:B213&lt;&gt;"")*($B$4:B213&lt;&gt;OFFSET($B$4,-1,0,ROWS($B$4:B213),1))))</f>
        <v/>
      </c>
      <c r="B213" s="31"/>
      <c r="C213" s="31"/>
      <c r="D213" s="31"/>
      <c r="E213" s="31"/>
      <c r="F213" s="32"/>
      <c r="G213" s="33"/>
      <c r="H213" s="33"/>
      <c r="I213" s="20" t="str">
        <f t="shared" si="49"/>
        <v/>
      </c>
      <c r="J213" s="21" t="str">
        <f>IFERROR(VLOOKUP(BR213,Pricing!$D$3:$E$58,2,FALSE),"")</f>
        <v/>
      </c>
      <c r="K213" s="32"/>
      <c r="L213" s="32"/>
      <c r="M213" s="32"/>
      <c r="N213" s="36" t="str" cm="1">
        <f t="array" ref="N213">IFERROR(_xlfn.IFS((AND(K213="SI",M213="$")),J213*0.2,AND(K213="SI",M213="%"),20),"")</f>
        <v/>
      </c>
      <c r="O213" s="29" t="str">
        <f t="shared" si="50"/>
        <v/>
      </c>
      <c r="P213" s="21" t="str">
        <f t="shared" si="51"/>
        <v/>
      </c>
      <c r="Q213" s="21" t="str">
        <f t="shared" si="52"/>
        <v/>
      </c>
      <c r="R213" s="21" t="str">
        <f t="shared" si="53"/>
        <v/>
      </c>
      <c r="S213" s="39"/>
      <c r="T213" s="43" t="str">
        <f t="shared" si="61"/>
        <v/>
      </c>
      <c r="U213" s="49" t="str">
        <f t="shared" si="62"/>
        <v/>
      </c>
      <c r="V213" s="48" t="str">
        <f t="shared" si="63"/>
        <v/>
      </c>
      <c r="W213" s="48" t="str">
        <f t="shared" si="54"/>
        <v/>
      </c>
      <c r="X213" s="50" t="str">
        <f>IF(W213="","",SUMIF($B$4:$B$1002,B213,$W$4:$W$1000))</f>
        <v/>
      </c>
      <c r="Y213" s="43" t="str">
        <f t="shared" si="55"/>
        <v/>
      </c>
      <c r="Z213" s="49" t="str">
        <f t="shared" si="56"/>
        <v/>
      </c>
      <c r="AA213" s="48" t="str">
        <f t="shared" si="57"/>
        <v/>
      </c>
      <c r="AB213" s="49" t="str">
        <f t="shared" si="58"/>
        <v/>
      </c>
      <c r="AC213" s="50" t="str">
        <f>IF(AB213="","",SUMIF($B$4:$B$1002,B213,$AB$4:$AB$1000))</f>
        <v/>
      </c>
      <c r="AD213" s="69"/>
      <c r="AE213" s="56"/>
      <c r="AF213" s="52"/>
      <c r="AG213" s="51"/>
      <c r="AH213" s="70"/>
      <c r="AI213" s="58"/>
      <c r="AJ213" s="55"/>
      <c r="AK213" s="51"/>
      <c r="AL213" s="69"/>
      <c r="AM213" s="56"/>
      <c r="AN213" s="52"/>
      <c r="AO213" s="51"/>
      <c r="AP213" s="70"/>
      <c r="AQ213" s="58"/>
      <c r="AR213" s="55"/>
      <c r="AS213" s="51"/>
      <c r="AT213" s="69"/>
      <c r="AU213" s="56"/>
      <c r="AV213" s="52"/>
      <c r="AW213" s="51"/>
      <c r="BR213" s="34" t="str">
        <f>IF(E213="","",CONCATENATE(E213," ",F213," noches"))</f>
        <v/>
      </c>
      <c r="BS213" s="28" t="str">
        <f t="shared" ca="1" si="59"/>
        <v/>
      </c>
      <c r="BT213" s="28" t="str">
        <f t="shared" ca="1" si="60"/>
        <v/>
      </c>
    </row>
    <row r="214" spans="1:72" x14ac:dyDescent="0.2">
      <c r="A214" s="18" t="str" cm="1">
        <f t="array" aca="1" ref="A214" ca="1">IF(B214="","","Grupo N˚"&amp;SUMPRODUCT(($B$4:B214&lt;&gt;"")*($B$4:B214&lt;&gt;OFFSET($B$4,-1,0,ROWS($B$4:B214),1))))</f>
        <v/>
      </c>
      <c r="B214" s="31"/>
      <c r="C214" s="31"/>
      <c r="D214" s="31"/>
      <c r="E214" s="31"/>
      <c r="F214" s="32"/>
      <c r="G214" s="33"/>
      <c r="H214" s="33"/>
      <c r="I214" s="20" t="str">
        <f t="shared" si="49"/>
        <v/>
      </c>
      <c r="J214" s="21" t="str">
        <f>IFERROR(VLOOKUP(BR214,Pricing!$D$3:$E$58,2,FALSE),"")</f>
        <v/>
      </c>
      <c r="K214" s="32"/>
      <c r="L214" s="32"/>
      <c r="M214" s="32"/>
      <c r="N214" s="36" t="str" cm="1">
        <f t="array" ref="N214">IFERROR(_xlfn.IFS((AND(K214="SI",M214="$")),J214*0.2,AND(K214="SI",M214="%"),20),"")</f>
        <v/>
      </c>
      <c r="O214" s="29" t="str">
        <f t="shared" si="50"/>
        <v/>
      </c>
      <c r="P214" s="21" t="str">
        <f t="shared" si="51"/>
        <v/>
      </c>
      <c r="Q214" s="21" t="str">
        <f t="shared" si="52"/>
        <v/>
      </c>
      <c r="R214" s="21" t="str">
        <f t="shared" si="53"/>
        <v/>
      </c>
      <c r="S214" s="39"/>
      <c r="T214" s="43" t="str">
        <f t="shared" si="61"/>
        <v/>
      </c>
      <c r="U214" s="49" t="str">
        <f t="shared" si="62"/>
        <v/>
      </c>
      <c r="V214" s="48" t="str">
        <f t="shared" si="63"/>
        <v/>
      </c>
      <c r="W214" s="48" t="str">
        <f t="shared" si="54"/>
        <v/>
      </c>
      <c r="X214" s="50" t="str">
        <f>IF(W214="","",SUMIF($B$4:$B$1002,B214,$W$4:$W$1000))</f>
        <v/>
      </c>
      <c r="Y214" s="43" t="str">
        <f t="shared" si="55"/>
        <v/>
      </c>
      <c r="Z214" s="49" t="str">
        <f t="shared" si="56"/>
        <v/>
      </c>
      <c r="AA214" s="48" t="str">
        <f t="shared" si="57"/>
        <v/>
      </c>
      <c r="AB214" s="49" t="str">
        <f t="shared" si="58"/>
        <v/>
      </c>
      <c r="AC214" s="50" t="str">
        <f>IF(AB214="","",SUMIF($B$4:$B$1002,B214,$AB$4:$AB$1000))</f>
        <v/>
      </c>
      <c r="AD214" s="69"/>
      <c r="AE214" s="56"/>
      <c r="AF214" s="52"/>
      <c r="AG214" s="51"/>
      <c r="AH214" s="70"/>
      <c r="AI214" s="58"/>
      <c r="AJ214" s="55"/>
      <c r="AK214" s="51"/>
      <c r="AL214" s="69"/>
      <c r="AM214" s="56"/>
      <c r="AN214" s="52"/>
      <c r="AO214" s="51"/>
      <c r="AP214" s="70"/>
      <c r="AQ214" s="58"/>
      <c r="AR214" s="55"/>
      <c r="AS214" s="51"/>
      <c r="AT214" s="69"/>
      <c r="AU214" s="56"/>
      <c r="AV214" s="52"/>
      <c r="AW214" s="51"/>
      <c r="BR214" s="34" t="str">
        <f>IF(E214="","",CONCATENATE(E214," ",F214," noches"))</f>
        <v/>
      </c>
      <c r="BS214" s="28" t="str">
        <f t="shared" ca="1" si="59"/>
        <v/>
      </c>
      <c r="BT214" s="28" t="str">
        <f t="shared" ca="1" si="60"/>
        <v/>
      </c>
    </row>
    <row r="215" spans="1:72" x14ac:dyDescent="0.2">
      <c r="A215" s="18" t="str" cm="1">
        <f t="array" aca="1" ref="A215" ca="1">IF(B215="","","Grupo N˚"&amp;SUMPRODUCT(($B$4:B215&lt;&gt;"")*($B$4:B215&lt;&gt;OFFSET($B$4,-1,0,ROWS($B$4:B215),1))))</f>
        <v/>
      </c>
      <c r="B215" s="31"/>
      <c r="C215" s="31"/>
      <c r="D215" s="31"/>
      <c r="E215" s="31"/>
      <c r="F215" s="32"/>
      <c r="G215" s="33"/>
      <c r="H215" s="33"/>
      <c r="I215" s="20" t="str">
        <f t="shared" si="49"/>
        <v/>
      </c>
      <c r="J215" s="21" t="str">
        <f>IFERROR(VLOOKUP(BR215,Pricing!$D$3:$E$58,2,FALSE),"")</f>
        <v/>
      </c>
      <c r="K215" s="32"/>
      <c r="L215" s="32"/>
      <c r="M215" s="32"/>
      <c r="N215" s="36" t="str" cm="1">
        <f t="array" ref="N215">IFERROR(_xlfn.IFS((AND(K215="SI",M215="$")),J215*0.2,AND(K215="SI",M215="%"),20),"")</f>
        <v/>
      </c>
      <c r="O215" s="29" t="str">
        <f t="shared" si="50"/>
        <v/>
      </c>
      <c r="P215" s="21" t="str">
        <f t="shared" si="51"/>
        <v/>
      </c>
      <c r="Q215" s="21" t="str">
        <f t="shared" si="52"/>
        <v/>
      </c>
      <c r="R215" s="21" t="str">
        <f t="shared" si="53"/>
        <v/>
      </c>
      <c r="S215" s="39"/>
      <c r="T215" s="43" t="str">
        <f t="shared" si="61"/>
        <v/>
      </c>
      <c r="U215" s="49" t="str">
        <f t="shared" si="62"/>
        <v/>
      </c>
      <c r="V215" s="48" t="str">
        <f t="shared" si="63"/>
        <v/>
      </c>
      <c r="W215" s="48" t="str">
        <f t="shared" si="54"/>
        <v/>
      </c>
      <c r="X215" s="50" t="str">
        <f>IF(W215="","",SUMIF($B$4:$B$1002,B215,$W$4:$W$1000))</f>
        <v/>
      </c>
      <c r="Y215" s="43" t="str">
        <f t="shared" si="55"/>
        <v/>
      </c>
      <c r="Z215" s="49" t="str">
        <f t="shared" si="56"/>
        <v/>
      </c>
      <c r="AA215" s="48" t="str">
        <f t="shared" si="57"/>
        <v/>
      </c>
      <c r="AB215" s="49" t="str">
        <f t="shared" si="58"/>
        <v/>
      </c>
      <c r="AC215" s="50" t="str">
        <f>IF(AB215="","",SUMIF($B$4:$B$1002,B215,$AB$4:$AB$1000))</f>
        <v/>
      </c>
      <c r="AD215" s="69"/>
      <c r="AE215" s="56"/>
      <c r="AF215" s="52"/>
      <c r="AG215" s="51"/>
      <c r="AH215" s="70"/>
      <c r="AI215" s="58"/>
      <c r="AJ215" s="55"/>
      <c r="AK215" s="51"/>
      <c r="AL215" s="69"/>
      <c r="AM215" s="56"/>
      <c r="AN215" s="52"/>
      <c r="AO215" s="51"/>
      <c r="AP215" s="70"/>
      <c r="AQ215" s="58"/>
      <c r="AR215" s="55"/>
      <c r="AS215" s="51"/>
      <c r="AT215" s="69"/>
      <c r="AU215" s="56"/>
      <c r="AV215" s="52"/>
      <c r="AW215" s="51"/>
      <c r="BR215" s="34" t="str">
        <f>IF(E215="","",CONCATENATE(E215," ",F215," noches"))</f>
        <v/>
      </c>
      <c r="BS215" s="28" t="str">
        <f t="shared" ca="1" si="59"/>
        <v/>
      </c>
      <c r="BT215" s="28" t="str">
        <f t="shared" ca="1" si="60"/>
        <v/>
      </c>
    </row>
    <row r="216" spans="1:72" x14ac:dyDescent="0.2">
      <c r="A216" s="18" t="str" cm="1">
        <f t="array" aca="1" ref="A216" ca="1">IF(B216="","","Grupo N˚"&amp;SUMPRODUCT(($B$4:B216&lt;&gt;"")*($B$4:B216&lt;&gt;OFFSET($B$4,-1,0,ROWS($B$4:B216),1))))</f>
        <v/>
      </c>
      <c r="B216" s="31"/>
      <c r="C216" s="31"/>
      <c r="D216" s="31"/>
      <c r="E216" s="31"/>
      <c r="F216" s="32"/>
      <c r="G216" s="33"/>
      <c r="H216" s="33"/>
      <c r="I216" s="20" t="str">
        <f t="shared" si="49"/>
        <v/>
      </c>
      <c r="J216" s="21" t="str">
        <f>IFERROR(VLOOKUP(BR216,Pricing!$D$3:$E$58,2,FALSE),"")</f>
        <v/>
      </c>
      <c r="K216" s="32"/>
      <c r="L216" s="32"/>
      <c r="M216" s="32"/>
      <c r="N216" s="36" t="str" cm="1">
        <f t="array" ref="N216">IFERROR(_xlfn.IFS((AND(K216="SI",M216="$")),J216*0.2,AND(K216="SI",M216="%"),20),"")</f>
        <v/>
      </c>
      <c r="O216" s="29" t="str">
        <f t="shared" si="50"/>
        <v/>
      </c>
      <c r="P216" s="21" t="str">
        <f t="shared" si="51"/>
        <v/>
      </c>
      <c r="Q216" s="21" t="str">
        <f t="shared" si="52"/>
        <v/>
      </c>
      <c r="R216" s="21" t="str">
        <f t="shared" si="53"/>
        <v/>
      </c>
      <c r="S216" s="39"/>
      <c r="T216" s="43" t="str">
        <f t="shared" si="61"/>
        <v/>
      </c>
      <c r="U216" s="49" t="str">
        <f t="shared" si="62"/>
        <v/>
      </c>
      <c r="V216" s="48" t="str">
        <f t="shared" si="63"/>
        <v/>
      </c>
      <c r="W216" s="48" t="str">
        <f t="shared" si="54"/>
        <v/>
      </c>
      <c r="X216" s="50" t="str">
        <f>IF(W216="","",SUMIF($B$4:$B$1002,B216,$W$4:$W$1000))</f>
        <v/>
      </c>
      <c r="Y216" s="43" t="str">
        <f t="shared" si="55"/>
        <v/>
      </c>
      <c r="Z216" s="49" t="str">
        <f t="shared" si="56"/>
        <v/>
      </c>
      <c r="AA216" s="48" t="str">
        <f t="shared" si="57"/>
        <v/>
      </c>
      <c r="AB216" s="49" t="str">
        <f t="shared" si="58"/>
        <v/>
      </c>
      <c r="AC216" s="50" t="str">
        <f>IF(AB216="","",SUMIF($B$4:$B$1002,B216,$AB$4:$AB$1000))</f>
        <v/>
      </c>
      <c r="AD216" s="69"/>
      <c r="AE216" s="56"/>
      <c r="AF216" s="52"/>
      <c r="AG216" s="51"/>
      <c r="AH216" s="70"/>
      <c r="AI216" s="58"/>
      <c r="AJ216" s="55"/>
      <c r="AK216" s="51"/>
      <c r="AL216" s="69"/>
      <c r="AM216" s="56"/>
      <c r="AN216" s="52"/>
      <c r="AO216" s="51"/>
      <c r="AP216" s="70"/>
      <c r="AQ216" s="58"/>
      <c r="AR216" s="55"/>
      <c r="AS216" s="51"/>
      <c r="AT216" s="69"/>
      <c r="AU216" s="56"/>
      <c r="AV216" s="52"/>
      <c r="AW216" s="51"/>
      <c r="BR216" s="34" t="str">
        <f>IF(E216="","",CONCATENATE(E216," ",F216," noches"))</f>
        <v/>
      </c>
      <c r="BS216" s="28" t="str">
        <f t="shared" ca="1" si="59"/>
        <v/>
      </c>
      <c r="BT216" s="28" t="str">
        <f t="shared" ca="1" si="60"/>
        <v/>
      </c>
    </row>
    <row r="217" spans="1:72" x14ac:dyDescent="0.2">
      <c r="A217" s="18" t="str" cm="1">
        <f t="array" aca="1" ref="A217" ca="1">IF(B217="","","Grupo N˚"&amp;SUMPRODUCT(($B$4:B217&lt;&gt;"")*($B$4:B217&lt;&gt;OFFSET($B$4,-1,0,ROWS($B$4:B217),1))))</f>
        <v/>
      </c>
      <c r="B217" s="31"/>
      <c r="C217" s="31"/>
      <c r="D217" s="31"/>
      <c r="E217" s="31"/>
      <c r="F217" s="32"/>
      <c r="G217" s="33"/>
      <c r="H217" s="33"/>
      <c r="I217" s="20" t="str">
        <f t="shared" si="49"/>
        <v/>
      </c>
      <c r="J217" s="21" t="str">
        <f>IFERROR(VLOOKUP(BR217,Pricing!$D$3:$E$58,2,FALSE),"")</f>
        <v/>
      </c>
      <c r="K217" s="32"/>
      <c r="L217" s="32"/>
      <c r="M217" s="32"/>
      <c r="N217" s="36" t="str" cm="1">
        <f t="array" ref="N217">IFERROR(_xlfn.IFS((AND(K217="SI",M217="$")),J217*0.2,AND(K217="SI",M217="%"),20),"")</f>
        <v/>
      </c>
      <c r="O217" s="29" t="str">
        <f t="shared" si="50"/>
        <v/>
      </c>
      <c r="P217" s="21" t="str">
        <f t="shared" si="51"/>
        <v/>
      </c>
      <c r="Q217" s="21" t="str">
        <f t="shared" si="52"/>
        <v/>
      </c>
      <c r="R217" s="21" t="str">
        <f t="shared" si="53"/>
        <v/>
      </c>
      <c r="S217" s="39"/>
      <c r="T217" s="43" t="str">
        <f t="shared" si="61"/>
        <v/>
      </c>
      <c r="U217" s="49" t="str">
        <f t="shared" si="62"/>
        <v/>
      </c>
      <c r="V217" s="48" t="str">
        <f t="shared" si="63"/>
        <v/>
      </c>
      <c r="W217" s="48" t="str">
        <f t="shared" si="54"/>
        <v/>
      </c>
      <c r="X217" s="50" t="str">
        <f>IF(W217="","",SUMIF($B$4:$B$1002,B217,$W$4:$W$1000))</f>
        <v/>
      </c>
      <c r="Y217" s="43" t="str">
        <f t="shared" si="55"/>
        <v/>
      </c>
      <c r="Z217" s="49" t="str">
        <f t="shared" si="56"/>
        <v/>
      </c>
      <c r="AA217" s="48" t="str">
        <f t="shared" si="57"/>
        <v/>
      </c>
      <c r="AB217" s="49" t="str">
        <f t="shared" si="58"/>
        <v/>
      </c>
      <c r="AC217" s="50" t="str">
        <f>IF(AB217="","",SUMIF($B$4:$B$1002,B217,$AB$4:$AB$1000))</f>
        <v/>
      </c>
      <c r="AD217" s="69"/>
      <c r="AE217" s="56"/>
      <c r="AF217" s="52"/>
      <c r="AG217" s="51"/>
      <c r="AH217" s="70"/>
      <c r="AI217" s="58"/>
      <c r="AJ217" s="55"/>
      <c r="AK217" s="51"/>
      <c r="AL217" s="69"/>
      <c r="AM217" s="56"/>
      <c r="AN217" s="52"/>
      <c r="AO217" s="51"/>
      <c r="AP217" s="70"/>
      <c r="AQ217" s="58"/>
      <c r="AR217" s="55"/>
      <c r="AS217" s="51"/>
      <c r="AT217" s="69"/>
      <c r="AU217" s="56"/>
      <c r="AV217" s="52"/>
      <c r="AW217" s="51"/>
      <c r="BR217" s="34" t="str">
        <f>IF(E217="","",CONCATENATE(E217," ",F217," noches"))</f>
        <v/>
      </c>
      <c r="BS217" s="28" t="str">
        <f t="shared" ca="1" si="59"/>
        <v/>
      </c>
      <c r="BT217" s="28" t="str">
        <f t="shared" ca="1" si="60"/>
        <v/>
      </c>
    </row>
    <row r="218" spans="1:72" x14ac:dyDescent="0.2">
      <c r="A218" s="18" t="str" cm="1">
        <f t="array" aca="1" ref="A218" ca="1">IF(B218="","","Grupo N˚"&amp;SUMPRODUCT(($B$4:B218&lt;&gt;"")*($B$4:B218&lt;&gt;OFFSET($B$4,-1,0,ROWS($B$4:B218),1))))</f>
        <v/>
      </c>
      <c r="B218" s="31"/>
      <c r="C218" s="31"/>
      <c r="D218" s="31"/>
      <c r="E218" s="31"/>
      <c r="F218" s="32"/>
      <c r="G218" s="33"/>
      <c r="H218" s="33"/>
      <c r="I218" s="20" t="str">
        <f t="shared" si="49"/>
        <v/>
      </c>
      <c r="J218" s="21" t="str">
        <f>IFERROR(VLOOKUP(BR218,Pricing!$D$3:$E$58,2,FALSE),"")</f>
        <v/>
      </c>
      <c r="K218" s="32"/>
      <c r="L218" s="32"/>
      <c r="M218" s="32"/>
      <c r="N218" s="36" t="str" cm="1">
        <f t="array" ref="N218">IFERROR(_xlfn.IFS((AND(K218="SI",M218="$")),J218*0.2,AND(K218="SI",M218="%"),20),"")</f>
        <v/>
      </c>
      <c r="O218" s="29" t="str">
        <f t="shared" si="50"/>
        <v/>
      </c>
      <c r="P218" s="21" t="str">
        <f t="shared" si="51"/>
        <v/>
      </c>
      <c r="Q218" s="21" t="str">
        <f t="shared" si="52"/>
        <v/>
      </c>
      <c r="R218" s="21" t="str">
        <f t="shared" si="53"/>
        <v/>
      </c>
      <c r="S218" s="39"/>
      <c r="T218" s="43" t="str">
        <f t="shared" si="61"/>
        <v/>
      </c>
      <c r="U218" s="49" t="str">
        <f t="shared" si="62"/>
        <v/>
      </c>
      <c r="V218" s="48" t="str">
        <f t="shared" si="63"/>
        <v/>
      </c>
      <c r="W218" s="48" t="str">
        <f t="shared" si="54"/>
        <v/>
      </c>
      <c r="X218" s="50" t="str">
        <f>IF(W218="","",SUMIF($B$4:$B$1002,B218,$W$4:$W$1000))</f>
        <v/>
      </c>
      <c r="Y218" s="43" t="str">
        <f t="shared" si="55"/>
        <v/>
      </c>
      <c r="Z218" s="49" t="str">
        <f t="shared" si="56"/>
        <v/>
      </c>
      <c r="AA218" s="48" t="str">
        <f t="shared" si="57"/>
        <v/>
      </c>
      <c r="AB218" s="49" t="str">
        <f t="shared" si="58"/>
        <v/>
      </c>
      <c r="AC218" s="50" t="str">
        <f>IF(AB218="","",SUMIF($B$4:$B$1002,B218,$AB$4:$AB$1000))</f>
        <v/>
      </c>
      <c r="AD218" s="69"/>
      <c r="AE218" s="56"/>
      <c r="AF218" s="52"/>
      <c r="AG218" s="51"/>
      <c r="AH218" s="70"/>
      <c r="AI218" s="58"/>
      <c r="AJ218" s="55"/>
      <c r="AK218" s="51"/>
      <c r="AL218" s="69"/>
      <c r="AM218" s="56"/>
      <c r="AN218" s="52"/>
      <c r="AO218" s="51"/>
      <c r="AP218" s="70"/>
      <c r="AQ218" s="58"/>
      <c r="AR218" s="55"/>
      <c r="AS218" s="51"/>
      <c r="AT218" s="69"/>
      <c r="AU218" s="56"/>
      <c r="AV218" s="52"/>
      <c r="AW218" s="51"/>
      <c r="BR218" s="34" t="str">
        <f>IF(E218="","",CONCATENATE(E218," ",F218," noches"))</f>
        <v/>
      </c>
      <c r="BS218" s="28" t="str">
        <f t="shared" ca="1" si="59"/>
        <v/>
      </c>
      <c r="BT218" s="28" t="str">
        <f t="shared" ca="1" si="60"/>
        <v/>
      </c>
    </row>
    <row r="219" spans="1:72" x14ac:dyDescent="0.2">
      <c r="A219" s="18" t="str" cm="1">
        <f t="array" aca="1" ref="A219" ca="1">IF(B219="","","Grupo N˚"&amp;SUMPRODUCT(($B$4:B219&lt;&gt;"")*($B$4:B219&lt;&gt;OFFSET($B$4,-1,0,ROWS($B$4:B219),1))))</f>
        <v/>
      </c>
      <c r="B219" s="31"/>
      <c r="C219" s="31"/>
      <c r="D219" s="31"/>
      <c r="E219" s="31"/>
      <c r="F219" s="32"/>
      <c r="G219" s="33"/>
      <c r="H219" s="33"/>
      <c r="I219" s="20" t="str">
        <f t="shared" si="49"/>
        <v/>
      </c>
      <c r="J219" s="21" t="str">
        <f>IFERROR(VLOOKUP(BR219,Pricing!$D$3:$E$58,2,FALSE),"")</f>
        <v/>
      </c>
      <c r="K219" s="32"/>
      <c r="L219" s="32"/>
      <c r="M219" s="32"/>
      <c r="N219" s="36" t="str" cm="1">
        <f t="array" ref="N219">IFERROR(_xlfn.IFS((AND(K219="SI",M219="$")),J219*0.2,AND(K219="SI",M219="%"),20),"")</f>
        <v/>
      </c>
      <c r="O219" s="29" t="str">
        <f t="shared" si="50"/>
        <v/>
      </c>
      <c r="P219" s="21" t="str">
        <f t="shared" si="51"/>
        <v/>
      </c>
      <c r="Q219" s="21" t="str">
        <f t="shared" si="52"/>
        <v/>
      </c>
      <c r="R219" s="21" t="str">
        <f t="shared" si="53"/>
        <v/>
      </c>
      <c r="S219" s="39"/>
      <c r="T219" s="43" t="str">
        <f t="shared" si="61"/>
        <v/>
      </c>
      <c r="U219" s="49" t="str">
        <f t="shared" si="62"/>
        <v/>
      </c>
      <c r="V219" s="48" t="str">
        <f t="shared" si="63"/>
        <v/>
      </c>
      <c r="W219" s="48" t="str">
        <f t="shared" si="54"/>
        <v/>
      </c>
      <c r="X219" s="50" t="str">
        <f>IF(W219="","",SUMIF($B$4:$B$1002,B219,$W$4:$W$1000))</f>
        <v/>
      </c>
      <c r="Y219" s="43" t="str">
        <f t="shared" si="55"/>
        <v/>
      </c>
      <c r="Z219" s="49" t="str">
        <f t="shared" si="56"/>
        <v/>
      </c>
      <c r="AA219" s="48" t="str">
        <f t="shared" si="57"/>
        <v/>
      </c>
      <c r="AB219" s="49" t="str">
        <f t="shared" si="58"/>
        <v/>
      </c>
      <c r="AC219" s="50" t="str">
        <f>IF(AB219="","",SUMIF($B$4:$B$1002,B219,$AB$4:$AB$1000))</f>
        <v/>
      </c>
      <c r="AD219" s="69"/>
      <c r="AE219" s="56"/>
      <c r="AF219" s="52"/>
      <c r="AG219" s="51"/>
      <c r="AH219" s="70"/>
      <c r="AI219" s="58"/>
      <c r="AJ219" s="55"/>
      <c r="AK219" s="51"/>
      <c r="AL219" s="69"/>
      <c r="AM219" s="56"/>
      <c r="AN219" s="52"/>
      <c r="AO219" s="51"/>
      <c r="AP219" s="70"/>
      <c r="AQ219" s="58"/>
      <c r="AR219" s="55"/>
      <c r="AS219" s="51"/>
      <c r="AT219" s="69"/>
      <c r="AU219" s="56"/>
      <c r="AV219" s="52"/>
      <c r="AW219" s="51"/>
      <c r="BR219" s="34" t="str">
        <f>IF(E219="","",CONCATENATE(E219," ",F219," noches"))</f>
        <v/>
      </c>
      <c r="BS219" s="28" t="str">
        <f t="shared" ca="1" si="59"/>
        <v/>
      </c>
      <c r="BT219" s="28" t="str">
        <f t="shared" ca="1" si="60"/>
        <v/>
      </c>
    </row>
    <row r="220" spans="1:72" x14ac:dyDescent="0.2">
      <c r="A220" s="18" t="str" cm="1">
        <f t="array" aca="1" ref="A220" ca="1">IF(B220="","","Grupo N˚"&amp;SUMPRODUCT(($B$4:B220&lt;&gt;"")*($B$4:B220&lt;&gt;OFFSET($B$4,-1,0,ROWS($B$4:B220),1))))</f>
        <v/>
      </c>
      <c r="B220" s="31"/>
      <c r="C220" s="31"/>
      <c r="D220" s="31"/>
      <c r="E220" s="31"/>
      <c r="F220" s="32"/>
      <c r="G220" s="33"/>
      <c r="H220" s="33"/>
      <c r="I220" s="20" t="str">
        <f t="shared" si="49"/>
        <v/>
      </c>
      <c r="J220" s="21" t="str">
        <f>IFERROR(VLOOKUP(BR220,Pricing!$D$3:$E$58,2,FALSE),"")</f>
        <v/>
      </c>
      <c r="K220" s="32"/>
      <c r="L220" s="32"/>
      <c r="M220" s="32"/>
      <c r="N220" s="36" t="str" cm="1">
        <f t="array" ref="N220">IFERROR(_xlfn.IFS((AND(K220="SI",M220="$")),J220*0.2,AND(K220="SI",M220="%"),20),"")</f>
        <v/>
      </c>
      <c r="O220" s="29" t="str">
        <f t="shared" si="50"/>
        <v/>
      </c>
      <c r="P220" s="21" t="str">
        <f t="shared" si="51"/>
        <v/>
      </c>
      <c r="Q220" s="21" t="str">
        <f t="shared" si="52"/>
        <v/>
      </c>
      <c r="R220" s="21" t="str">
        <f t="shared" si="53"/>
        <v/>
      </c>
      <c r="S220" s="39"/>
      <c r="T220" s="43" t="str">
        <f t="shared" si="61"/>
        <v/>
      </c>
      <c r="U220" s="49" t="str">
        <f t="shared" si="62"/>
        <v/>
      </c>
      <c r="V220" s="48" t="str">
        <f t="shared" si="63"/>
        <v/>
      </c>
      <c r="W220" s="48" t="str">
        <f t="shared" si="54"/>
        <v/>
      </c>
      <c r="X220" s="50" t="str">
        <f>IF(W220="","",SUMIF($B$4:$B$1002,B220,$W$4:$W$1000))</f>
        <v/>
      </c>
      <c r="Y220" s="43" t="str">
        <f t="shared" si="55"/>
        <v/>
      </c>
      <c r="Z220" s="49" t="str">
        <f t="shared" si="56"/>
        <v/>
      </c>
      <c r="AA220" s="48" t="str">
        <f t="shared" si="57"/>
        <v/>
      </c>
      <c r="AB220" s="49" t="str">
        <f t="shared" si="58"/>
        <v/>
      </c>
      <c r="AC220" s="50" t="str">
        <f>IF(AB220="","",SUMIF($B$4:$B$1002,B220,$AB$4:$AB$1000))</f>
        <v/>
      </c>
      <c r="AD220" s="69"/>
      <c r="AE220" s="56"/>
      <c r="AF220" s="52"/>
      <c r="AG220" s="51"/>
      <c r="AH220" s="70"/>
      <c r="AI220" s="58"/>
      <c r="AJ220" s="55"/>
      <c r="AK220" s="51"/>
      <c r="AL220" s="69"/>
      <c r="AM220" s="56"/>
      <c r="AN220" s="52"/>
      <c r="AO220" s="51"/>
      <c r="AP220" s="70"/>
      <c r="AQ220" s="58"/>
      <c r="AR220" s="55"/>
      <c r="AS220" s="51"/>
      <c r="AT220" s="69"/>
      <c r="AU220" s="56"/>
      <c r="AV220" s="52"/>
      <c r="AW220" s="51"/>
      <c r="BR220" s="34" t="str">
        <f>IF(E220="","",CONCATENATE(E220," ",F220," noches"))</f>
        <v/>
      </c>
      <c r="BS220" s="28" t="str">
        <f t="shared" ca="1" si="59"/>
        <v/>
      </c>
      <c r="BT220" s="28" t="str">
        <f t="shared" ca="1" si="60"/>
        <v/>
      </c>
    </row>
    <row r="221" spans="1:72" x14ac:dyDescent="0.2">
      <c r="A221" s="18" t="str" cm="1">
        <f t="array" aca="1" ref="A221" ca="1">IF(B221="","","Grupo N˚"&amp;SUMPRODUCT(($B$4:B221&lt;&gt;"")*($B$4:B221&lt;&gt;OFFSET($B$4,-1,0,ROWS($B$4:B221),1))))</f>
        <v/>
      </c>
      <c r="B221" s="31"/>
      <c r="C221" s="31"/>
      <c r="D221" s="31"/>
      <c r="E221" s="31"/>
      <c r="F221" s="32"/>
      <c r="G221" s="33"/>
      <c r="H221" s="33"/>
      <c r="I221" s="20" t="str">
        <f t="shared" si="49"/>
        <v/>
      </c>
      <c r="J221" s="21" t="str">
        <f>IFERROR(VLOOKUP(BR221,Pricing!$D$3:$E$58,2,FALSE),"")</f>
        <v/>
      </c>
      <c r="K221" s="32"/>
      <c r="L221" s="32"/>
      <c r="M221" s="32"/>
      <c r="N221" s="36" t="str" cm="1">
        <f t="array" ref="N221">IFERROR(_xlfn.IFS((AND(K221="SI",M221="$")),J221*0.2,AND(K221="SI",M221="%"),20),"")</f>
        <v/>
      </c>
      <c r="O221" s="29" t="str">
        <f t="shared" si="50"/>
        <v/>
      </c>
      <c r="P221" s="21" t="str">
        <f t="shared" si="51"/>
        <v/>
      </c>
      <c r="Q221" s="21" t="str">
        <f t="shared" si="52"/>
        <v/>
      </c>
      <c r="R221" s="21" t="str">
        <f t="shared" si="53"/>
        <v/>
      </c>
      <c r="S221" s="39"/>
      <c r="T221" s="43" t="str">
        <f t="shared" si="61"/>
        <v/>
      </c>
      <c r="U221" s="49" t="str">
        <f t="shared" si="62"/>
        <v/>
      </c>
      <c r="V221" s="48" t="str">
        <f t="shared" si="63"/>
        <v/>
      </c>
      <c r="W221" s="48" t="str">
        <f t="shared" si="54"/>
        <v/>
      </c>
      <c r="X221" s="50" t="str">
        <f>IF(W221="","",SUMIF($B$4:$B$1002,B221,$W$4:$W$1000))</f>
        <v/>
      </c>
      <c r="Y221" s="43" t="str">
        <f t="shared" si="55"/>
        <v/>
      </c>
      <c r="Z221" s="49" t="str">
        <f t="shared" si="56"/>
        <v/>
      </c>
      <c r="AA221" s="48" t="str">
        <f t="shared" si="57"/>
        <v/>
      </c>
      <c r="AB221" s="49" t="str">
        <f t="shared" si="58"/>
        <v/>
      </c>
      <c r="AC221" s="50" t="str">
        <f>IF(AB221="","",SUMIF($B$4:$B$1002,B221,$AB$4:$AB$1000))</f>
        <v/>
      </c>
      <c r="AD221" s="69"/>
      <c r="AE221" s="56"/>
      <c r="AF221" s="52"/>
      <c r="AG221" s="51"/>
      <c r="AH221" s="70"/>
      <c r="AI221" s="58"/>
      <c r="AJ221" s="55"/>
      <c r="AK221" s="51"/>
      <c r="AL221" s="69"/>
      <c r="AM221" s="56"/>
      <c r="AN221" s="52"/>
      <c r="AO221" s="51"/>
      <c r="AP221" s="70"/>
      <c r="AQ221" s="58"/>
      <c r="AR221" s="55"/>
      <c r="AS221" s="51"/>
      <c r="AT221" s="69"/>
      <c r="AU221" s="56"/>
      <c r="AV221" s="52"/>
      <c r="AW221" s="51"/>
      <c r="BR221" s="34" t="str">
        <f>IF(E221="","",CONCATENATE(E221," ",F221," noches"))</f>
        <v/>
      </c>
      <c r="BS221" s="28" t="str">
        <f t="shared" ca="1" si="59"/>
        <v/>
      </c>
      <c r="BT221" s="28" t="str">
        <f t="shared" ca="1" si="60"/>
        <v/>
      </c>
    </row>
    <row r="222" spans="1:72" x14ac:dyDescent="0.2">
      <c r="A222" s="18" t="str" cm="1">
        <f t="array" aca="1" ref="A222" ca="1">IF(B222="","","Grupo N˚"&amp;SUMPRODUCT(($B$4:B222&lt;&gt;"")*($B$4:B222&lt;&gt;OFFSET($B$4,-1,0,ROWS($B$4:B222),1))))</f>
        <v/>
      </c>
      <c r="B222" s="31"/>
      <c r="C222" s="31"/>
      <c r="D222" s="31"/>
      <c r="E222" s="31"/>
      <c r="F222" s="32"/>
      <c r="G222" s="33"/>
      <c r="H222" s="33"/>
      <c r="I222" s="20" t="str">
        <f t="shared" si="49"/>
        <v/>
      </c>
      <c r="J222" s="21" t="str">
        <f>IFERROR(VLOOKUP(BR222,Pricing!$D$3:$E$58,2,FALSE),"")</f>
        <v/>
      </c>
      <c r="K222" s="32"/>
      <c r="L222" s="32"/>
      <c r="M222" s="32"/>
      <c r="N222" s="36" t="str" cm="1">
        <f t="array" ref="N222">IFERROR(_xlfn.IFS((AND(K222="SI",M222="$")),J222*0.2,AND(K222="SI",M222="%"),20),"")</f>
        <v/>
      </c>
      <c r="O222" s="29" t="str">
        <f t="shared" si="50"/>
        <v/>
      </c>
      <c r="P222" s="21" t="str">
        <f t="shared" si="51"/>
        <v/>
      </c>
      <c r="Q222" s="21" t="str">
        <f t="shared" si="52"/>
        <v/>
      </c>
      <c r="R222" s="21" t="str">
        <f t="shared" si="53"/>
        <v/>
      </c>
      <c r="S222" s="39"/>
      <c r="T222" s="43" t="str">
        <f t="shared" si="61"/>
        <v/>
      </c>
      <c r="U222" s="49" t="str">
        <f t="shared" si="62"/>
        <v/>
      </c>
      <c r="V222" s="48" t="str">
        <f t="shared" si="63"/>
        <v/>
      </c>
      <c r="W222" s="48" t="str">
        <f t="shared" si="54"/>
        <v/>
      </c>
      <c r="X222" s="50" t="str">
        <f>IF(W222="","",SUMIF($B$4:$B$1002,B222,$W$4:$W$1000))</f>
        <v/>
      </c>
      <c r="Y222" s="43" t="str">
        <f t="shared" si="55"/>
        <v/>
      </c>
      <c r="Z222" s="49" t="str">
        <f t="shared" si="56"/>
        <v/>
      </c>
      <c r="AA222" s="48" t="str">
        <f t="shared" si="57"/>
        <v/>
      </c>
      <c r="AB222" s="49" t="str">
        <f t="shared" si="58"/>
        <v/>
      </c>
      <c r="AC222" s="50" t="str">
        <f>IF(AB222="","",SUMIF($B$4:$B$1002,B222,$AB$4:$AB$1000))</f>
        <v/>
      </c>
      <c r="AD222" s="69"/>
      <c r="AE222" s="56"/>
      <c r="AF222" s="52"/>
      <c r="AG222" s="51"/>
      <c r="AH222" s="70"/>
      <c r="AI222" s="58"/>
      <c r="AJ222" s="55"/>
      <c r="AK222" s="51"/>
      <c r="AL222" s="69"/>
      <c r="AM222" s="56"/>
      <c r="AN222" s="52"/>
      <c r="AO222" s="51"/>
      <c r="AP222" s="70"/>
      <c r="AQ222" s="58"/>
      <c r="AR222" s="55"/>
      <c r="AS222" s="51"/>
      <c r="AT222" s="69"/>
      <c r="AU222" s="56"/>
      <c r="AV222" s="52"/>
      <c r="AW222" s="51"/>
      <c r="BR222" s="34" t="str">
        <f>IF(E222="","",CONCATENATE(E222," ",F222," noches"))</f>
        <v/>
      </c>
      <c r="BS222" s="28" t="str">
        <f t="shared" ca="1" si="59"/>
        <v/>
      </c>
      <c r="BT222" s="28" t="str">
        <f t="shared" ca="1" si="60"/>
        <v/>
      </c>
    </row>
    <row r="223" spans="1:72" x14ac:dyDescent="0.2">
      <c r="A223" s="18" t="str" cm="1">
        <f t="array" aca="1" ref="A223" ca="1">IF(B223="","","Grupo N˚"&amp;SUMPRODUCT(($B$4:B223&lt;&gt;"")*($B$4:B223&lt;&gt;OFFSET($B$4,-1,0,ROWS($B$4:B223),1))))</f>
        <v/>
      </c>
      <c r="B223" s="31"/>
      <c r="C223" s="31"/>
      <c r="D223" s="31"/>
      <c r="E223" s="31"/>
      <c r="F223" s="32"/>
      <c r="G223" s="33"/>
      <c r="H223" s="33"/>
      <c r="I223" s="20" t="str">
        <f t="shared" si="49"/>
        <v/>
      </c>
      <c r="J223" s="21" t="str">
        <f>IFERROR(VLOOKUP(BR223,Pricing!$D$3:$E$58,2,FALSE),"")</f>
        <v/>
      </c>
      <c r="K223" s="32"/>
      <c r="L223" s="32"/>
      <c r="M223" s="32"/>
      <c r="N223" s="36" t="str" cm="1">
        <f t="array" ref="N223">IFERROR(_xlfn.IFS((AND(K223="SI",M223="$")),J223*0.2,AND(K223="SI",M223="%"),20),"")</f>
        <v/>
      </c>
      <c r="O223" s="29" t="str">
        <f t="shared" si="50"/>
        <v/>
      </c>
      <c r="P223" s="21" t="str">
        <f t="shared" si="51"/>
        <v/>
      </c>
      <c r="Q223" s="21" t="str">
        <f t="shared" si="52"/>
        <v/>
      </c>
      <c r="R223" s="21" t="str">
        <f t="shared" si="53"/>
        <v/>
      </c>
      <c r="S223" s="39"/>
      <c r="T223" s="43" t="str">
        <f t="shared" si="61"/>
        <v/>
      </c>
      <c r="U223" s="49" t="str">
        <f t="shared" si="62"/>
        <v/>
      </c>
      <c r="V223" s="48" t="str">
        <f t="shared" si="63"/>
        <v/>
      </c>
      <c r="W223" s="48" t="str">
        <f t="shared" si="54"/>
        <v/>
      </c>
      <c r="X223" s="50" t="str">
        <f>IF(W223="","",SUMIF($B$4:$B$1002,B223,$W$4:$W$1000))</f>
        <v/>
      </c>
      <c r="Y223" s="43" t="str">
        <f t="shared" si="55"/>
        <v/>
      </c>
      <c r="Z223" s="49" t="str">
        <f t="shared" si="56"/>
        <v/>
      </c>
      <c r="AA223" s="48" t="str">
        <f t="shared" si="57"/>
        <v/>
      </c>
      <c r="AB223" s="49" t="str">
        <f t="shared" si="58"/>
        <v/>
      </c>
      <c r="AC223" s="50" t="str">
        <f>IF(AB223="","",SUMIF($B$4:$B$1002,B223,$AB$4:$AB$1000))</f>
        <v/>
      </c>
      <c r="AD223" s="69"/>
      <c r="AE223" s="56"/>
      <c r="AF223" s="52"/>
      <c r="AG223" s="51"/>
      <c r="AH223" s="70"/>
      <c r="AI223" s="58"/>
      <c r="AJ223" s="55"/>
      <c r="AK223" s="51"/>
      <c r="AL223" s="69"/>
      <c r="AM223" s="56"/>
      <c r="AN223" s="52"/>
      <c r="AO223" s="51"/>
      <c r="AP223" s="70"/>
      <c r="AQ223" s="58"/>
      <c r="AR223" s="55"/>
      <c r="AS223" s="51"/>
      <c r="AT223" s="69"/>
      <c r="AU223" s="56"/>
      <c r="AV223" s="52"/>
      <c r="AW223" s="51"/>
      <c r="BR223" s="34" t="str">
        <f>IF(E223="","",CONCATENATE(E223," ",F223," noches"))</f>
        <v/>
      </c>
      <c r="BS223" s="28" t="str">
        <f t="shared" ca="1" si="59"/>
        <v/>
      </c>
      <c r="BT223" s="28" t="str">
        <f t="shared" ca="1" si="60"/>
        <v/>
      </c>
    </row>
    <row r="224" spans="1:72" x14ac:dyDescent="0.2">
      <c r="A224" s="18" t="str" cm="1">
        <f t="array" aca="1" ref="A224" ca="1">IF(B224="","","Grupo N˚"&amp;SUMPRODUCT(($B$4:B224&lt;&gt;"")*($B$4:B224&lt;&gt;OFFSET($B$4,-1,0,ROWS($B$4:B224),1))))</f>
        <v/>
      </c>
      <c r="B224" s="31"/>
      <c r="C224" s="31"/>
      <c r="D224" s="31"/>
      <c r="E224" s="31"/>
      <c r="F224" s="32"/>
      <c r="G224" s="33"/>
      <c r="H224" s="33"/>
      <c r="I224" s="20" t="str">
        <f t="shared" si="49"/>
        <v/>
      </c>
      <c r="J224" s="21" t="str">
        <f>IFERROR(VLOOKUP(BR224,Pricing!$D$3:$E$58,2,FALSE),"")</f>
        <v/>
      </c>
      <c r="K224" s="32"/>
      <c r="L224" s="32"/>
      <c r="M224" s="32"/>
      <c r="N224" s="36" t="str" cm="1">
        <f t="array" ref="N224">IFERROR(_xlfn.IFS((AND(K224="SI",M224="$")),J224*0.2,AND(K224="SI",M224="%"),20),"")</f>
        <v/>
      </c>
      <c r="O224" s="29" t="str">
        <f t="shared" si="50"/>
        <v/>
      </c>
      <c r="P224" s="21" t="str">
        <f t="shared" si="51"/>
        <v/>
      </c>
      <c r="Q224" s="21" t="str">
        <f t="shared" si="52"/>
        <v/>
      </c>
      <c r="R224" s="21" t="str">
        <f t="shared" si="53"/>
        <v/>
      </c>
      <c r="S224" s="39"/>
      <c r="T224" s="43" t="str">
        <f t="shared" si="61"/>
        <v/>
      </c>
      <c r="U224" s="49" t="str">
        <f t="shared" si="62"/>
        <v/>
      </c>
      <c r="V224" s="48" t="str">
        <f t="shared" si="63"/>
        <v/>
      </c>
      <c r="W224" s="48" t="str">
        <f t="shared" si="54"/>
        <v/>
      </c>
      <c r="X224" s="50" t="str">
        <f>IF(W224="","",SUMIF($B$4:$B$1002,B224,$W$4:$W$1000))</f>
        <v/>
      </c>
      <c r="Y224" s="43" t="str">
        <f t="shared" si="55"/>
        <v/>
      </c>
      <c r="Z224" s="49" t="str">
        <f t="shared" si="56"/>
        <v/>
      </c>
      <c r="AA224" s="48" t="str">
        <f t="shared" si="57"/>
        <v/>
      </c>
      <c r="AB224" s="49" t="str">
        <f t="shared" si="58"/>
        <v/>
      </c>
      <c r="AC224" s="50" t="str">
        <f>IF(AB224="","",SUMIF($B$4:$B$1002,B224,$AB$4:$AB$1000))</f>
        <v/>
      </c>
      <c r="AD224" s="69"/>
      <c r="AE224" s="56"/>
      <c r="AF224" s="52"/>
      <c r="AG224" s="51"/>
      <c r="AH224" s="70"/>
      <c r="AI224" s="58"/>
      <c r="AJ224" s="55"/>
      <c r="AK224" s="51"/>
      <c r="AL224" s="69"/>
      <c r="AM224" s="56"/>
      <c r="AN224" s="52"/>
      <c r="AO224" s="51"/>
      <c r="AP224" s="70"/>
      <c r="AQ224" s="58"/>
      <c r="AR224" s="55"/>
      <c r="AS224" s="51"/>
      <c r="AT224" s="69"/>
      <c r="AU224" s="56"/>
      <c r="AV224" s="52"/>
      <c r="AW224" s="51"/>
      <c r="BR224" s="34" t="str">
        <f>IF(E224="","",CONCATENATE(E224," ",F224," noches"))</f>
        <v/>
      </c>
      <c r="BS224" s="28" t="str">
        <f t="shared" ca="1" si="59"/>
        <v/>
      </c>
      <c r="BT224" s="28" t="str">
        <f t="shared" ca="1" si="60"/>
        <v/>
      </c>
    </row>
    <row r="225" spans="1:72" x14ac:dyDescent="0.2">
      <c r="A225" s="18" t="str" cm="1">
        <f t="array" aca="1" ref="A225" ca="1">IF(B225="","","Grupo N˚"&amp;SUMPRODUCT(($B$4:B225&lt;&gt;"")*($B$4:B225&lt;&gt;OFFSET($B$4,-1,0,ROWS($B$4:B225),1))))</f>
        <v/>
      </c>
      <c r="B225" s="31"/>
      <c r="C225" s="31"/>
      <c r="D225" s="31"/>
      <c r="E225" s="31"/>
      <c r="F225" s="32"/>
      <c r="G225" s="33"/>
      <c r="H225" s="33"/>
      <c r="I225" s="20" t="str">
        <f t="shared" si="49"/>
        <v/>
      </c>
      <c r="J225" s="21" t="str">
        <f>IFERROR(VLOOKUP(BR225,Pricing!$D$3:$E$58,2,FALSE),"")</f>
        <v/>
      </c>
      <c r="K225" s="32"/>
      <c r="L225" s="32"/>
      <c r="M225" s="32"/>
      <c r="N225" s="36" t="str" cm="1">
        <f t="array" ref="N225">IFERROR(_xlfn.IFS((AND(K225="SI",M225="$")),J225*0.2,AND(K225="SI",M225="%"),20),"")</f>
        <v/>
      </c>
      <c r="O225" s="29" t="str">
        <f t="shared" si="50"/>
        <v/>
      </c>
      <c r="P225" s="21" t="str">
        <f t="shared" si="51"/>
        <v/>
      </c>
      <c r="Q225" s="21" t="str">
        <f t="shared" si="52"/>
        <v/>
      </c>
      <c r="R225" s="21" t="str">
        <f t="shared" si="53"/>
        <v/>
      </c>
      <c r="S225" s="39"/>
      <c r="T225" s="43" t="str">
        <f t="shared" si="61"/>
        <v/>
      </c>
      <c r="U225" s="49" t="str">
        <f t="shared" si="62"/>
        <v/>
      </c>
      <c r="V225" s="48" t="str">
        <f t="shared" si="63"/>
        <v/>
      </c>
      <c r="W225" s="48" t="str">
        <f t="shared" si="54"/>
        <v/>
      </c>
      <c r="X225" s="50" t="str">
        <f>IF(W225="","",SUMIF($B$4:$B$1002,B225,$W$4:$W$1000))</f>
        <v/>
      </c>
      <c r="Y225" s="43" t="str">
        <f t="shared" si="55"/>
        <v/>
      </c>
      <c r="Z225" s="49" t="str">
        <f t="shared" si="56"/>
        <v/>
      </c>
      <c r="AA225" s="48" t="str">
        <f t="shared" si="57"/>
        <v/>
      </c>
      <c r="AB225" s="49" t="str">
        <f t="shared" si="58"/>
        <v/>
      </c>
      <c r="AC225" s="50" t="str">
        <f>IF(AB225="","",SUMIF($B$4:$B$1002,B225,$AB$4:$AB$1000))</f>
        <v/>
      </c>
      <c r="AD225" s="69"/>
      <c r="AE225" s="56"/>
      <c r="AF225" s="52"/>
      <c r="AG225" s="51"/>
      <c r="AH225" s="70"/>
      <c r="AI225" s="58"/>
      <c r="AJ225" s="55"/>
      <c r="AK225" s="51"/>
      <c r="AL225" s="69"/>
      <c r="AM225" s="56"/>
      <c r="AN225" s="52"/>
      <c r="AO225" s="51"/>
      <c r="AP225" s="70"/>
      <c r="AQ225" s="58"/>
      <c r="AR225" s="55"/>
      <c r="AS225" s="51"/>
      <c r="AT225" s="69"/>
      <c r="AU225" s="56"/>
      <c r="AV225" s="52"/>
      <c r="AW225" s="51"/>
      <c r="BR225" s="34" t="str">
        <f>IF(E225="","",CONCATENATE(E225," ",F225," noches"))</f>
        <v/>
      </c>
      <c r="BS225" s="28" t="str">
        <f t="shared" ca="1" si="59"/>
        <v/>
      </c>
      <c r="BT225" s="28" t="str">
        <f t="shared" ca="1" si="60"/>
        <v/>
      </c>
    </row>
    <row r="226" spans="1:72" x14ac:dyDescent="0.2">
      <c r="A226" s="18" t="str" cm="1">
        <f t="array" aca="1" ref="A226" ca="1">IF(B226="","","Grupo N˚"&amp;SUMPRODUCT(($B$4:B226&lt;&gt;"")*($B$4:B226&lt;&gt;OFFSET($B$4,-1,0,ROWS($B$4:B226),1))))</f>
        <v/>
      </c>
      <c r="B226" s="31"/>
      <c r="C226" s="31"/>
      <c r="D226" s="31"/>
      <c r="E226" s="31"/>
      <c r="F226" s="32"/>
      <c r="G226" s="33"/>
      <c r="H226" s="33"/>
      <c r="I226" s="20" t="str">
        <f t="shared" si="49"/>
        <v/>
      </c>
      <c r="J226" s="21" t="str">
        <f>IFERROR(VLOOKUP(BR226,Pricing!$D$3:$E$58,2,FALSE),"")</f>
        <v/>
      </c>
      <c r="K226" s="32"/>
      <c r="L226" s="32"/>
      <c r="M226" s="32"/>
      <c r="N226" s="36" t="str" cm="1">
        <f t="array" ref="N226">IFERROR(_xlfn.IFS((AND(K226="SI",M226="$")),J226*0.2,AND(K226="SI",M226="%"),20),"")</f>
        <v/>
      </c>
      <c r="O226" s="29" t="str">
        <f t="shared" si="50"/>
        <v/>
      </c>
      <c r="P226" s="21" t="str">
        <f t="shared" si="51"/>
        <v/>
      </c>
      <c r="Q226" s="21" t="str">
        <f t="shared" si="52"/>
        <v/>
      </c>
      <c r="R226" s="21" t="str">
        <f t="shared" si="53"/>
        <v/>
      </c>
      <c r="S226" s="39"/>
      <c r="T226" s="43" t="str">
        <f t="shared" si="61"/>
        <v/>
      </c>
      <c r="U226" s="49" t="str">
        <f t="shared" si="62"/>
        <v/>
      </c>
      <c r="V226" s="48" t="str">
        <f t="shared" si="63"/>
        <v/>
      </c>
      <c r="W226" s="48" t="str">
        <f t="shared" si="54"/>
        <v/>
      </c>
      <c r="X226" s="50" t="str">
        <f>IF(W226="","",SUMIF($B$4:$B$1002,B226,$W$4:$W$1000))</f>
        <v/>
      </c>
      <c r="Y226" s="43" t="str">
        <f t="shared" si="55"/>
        <v/>
      </c>
      <c r="Z226" s="49" t="str">
        <f t="shared" si="56"/>
        <v/>
      </c>
      <c r="AA226" s="48" t="str">
        <f t="shared" si="57"/>
        <v/>
      </c>
      <c r="AB226" s="49" t="str">
        <f t="shared" si="58"/>
        <v/>
      </c>
      <c r="AC226" s="50" t="str">
        <f>IF(AB226="","",SUMIF($B$4:$B$1002,B226,$AB$4:$AB$1000))</f>
        <v/>
      </c>
      <c r="AD226" s="69"/>
      <c r="AE226" s="56"/>
      <c r="AF226" s="52"/>
      <c r="AG226" s="51"/>
      <c r="AH226" s="70"/>
      <c r="AI226" s="58"/>
      <c r="AJ226" s="55"/>
      <c r="AK226" s="51"/>
      <c r="AL226" s="69"/>
      <c r="AM226" s="56"/>
      <c r="AN226" s="52"/>
      <c r="AO226" s="51"/>
      <c r="AP226" s="70"/>
      <c r="AQ226" s="58"/>
      <c r="AR226" s="55"/>
      <c r="AS226" s="51"/>
      <c r="AT226" s="69"/>
      <c r="AU226" s="56"/>
      <c r="AV226" s="52"/>
      <c r="AW226" s="51"/>
      <c r="BR226" s="34" t="str">
        <f>IF(E226="","",CONCATENATE(E226," ",F226," noches"))</f>
        <v/>
      </c>
      <c r="BS226" s="28" t="str">
        <f t="shared" ca="1" si="59"/>
        <v/>
      </c>
      <c r="BT226" s="28" t="str">
        <f t="shared" ca="1" si="60"/>
        <v/>
      </c>
    </row>
    <row r="227" spans="1:72" x14ac:dyDescent="0.2">
      <c r="A227" s="18" t="str" cm="1">
        <f t="array" aca="1" ref="A227" ca="1">IF(B227="","","Grupo N˚"&amp;SUMPRODUCT(($B$4:B227&lt;&gt;"")*($B$4:B227&lt;&gt;OFFSET($B$4,-1,0,ROWS($B$4:B227),1))))</f>
        <v/>
      </c>
      <c r="B227" s="31"/>
      <c r="C227" s="31"/>
      <c r="D227" s="31"/>
      <c r="E227" s="31"/>
      <c r="F227" s="32"/>
      <c r="G227" s="33"/>
      <c r="H227" s="33"/>
      <c r="I227" s="20" t="str">
        <f t="shared" si="49"/>
        <v/>
      </c>
      <c r="J227" s="21" t="str">
        <f>IFERROR(VLOOKUP(BR227,Pricing!$D$3:$E$58,2,FALSE),"")</f>
        <v/>
      </c>
      <c r="K227" s="32"/>
      <c r="L227" s="32"/>
      <c r="M227" s="32"/>
      <c r="N227" s="36" t="str" cm="1">
        <f t="array" ref="N227">IFERROR(_xlfn.IFS((AND(K227="SI",M227="$")),J227*0.2,AND(K227="SI",M227="%"),20),"")</f>
        <v/>
      </c>
      <c r="O227" s="29" t="str">
        <f t="shared" si="50"/>
        <v/>
      </c>
      <c r="P227" s="21" t="str">
        <f t="shared" si="51"/>
        <v/>
      </c>
      <c r="Q227" s="21" t="str">
        <f t="shared" si="52"/>
        <v/>
      </c>
      <c r="R227" s="21" t="str">
        <f t="shared" si="53"/>
        <v/>
      </c>
      <c r="S227" s="39"/>
      <c r="T227" s="43" t="str">
        <f t="shared" si="61"/>
        <v/>
      </c>
      <c r="U227" s="49" t="str">
        <f t="shared" si="62"/>
        <v/>
      </c>
      <c r="V227" s="48" t="str">
        <f t="shared" si="63"/>
        <v/>
      </c>
      <c r="W227" s="48" t="str">
        <f t="shared" si="54"/>
        <v/>
      </c>
      <c r="X227" s="50" t="str">
        <f>IF(W227="","",SUMIF($B$4:$B$1002,B227,$W$4:$W$1000))</f>
        <v/>
      </c>
      <c r="Y227" s="43" t="str">
        <f t="shared" si="55"/>
        <v/>
      </c>
      <c r="Z227" s="49" t="str">
        <f t="shared" si="56"/>
        <v/>
      </c>
      <c r="AA227" s="48" t="str">
        <f t="shared" si="57"/>
        <v/>
      </c>
      <c r="AB227" s="49" t="str">
        <f t="shared" si="58"/>
        <v/>
      </c>
      <c r="AC227" s="50" t="str">
        <f>IF(AB227="","",SUMIF($B$4:$B$1002,B227,$AB$4:$AB$1000))</f>
        <v/>
      </c>
      <c r="AD227" s="69"/>
      <c r="AE227" s="56"/>
      <c r="AF227" s="52"/>
      <c r="AG227" s="51"/>
      <c r="AH227" s="70"/>
      <c r="AI227" s="58"/>
      <c r="AJ227" s="55"/>
      <c r="AK227" s="51"/>
      <c r="AL227" s="69"/>
      <c r="AM227" s="56"/>
      <c r="AN227" s="52"/>
      <c r="AO227" s="51"/>
      <c r="AP227" s="70"/>
      <c r="AQ227" s="58"/>
      <c r="AR227" s="55"/>
      <c r="AS227" s="51"/>
      <c r="AT227" s="69"/>
      <c r="AU227" s="56"/>
      <c r="AV227" s="52"/>
      <c r="AW227" s="51"/>
      <c r="BR227" s="34" t="str">
        <f>IF(E227="","",CONCATENATE(E227," ",F227," noches"))</f>
        <v/>
      </c>
      <c r="BS227" s="28" t="str">
        <f t="shared" ca="1" si="59"/>
        <v/>
      </c>
      <c r="BT227" s="28" t="str">
        <f t="shared" ca="1" si="60"/>
        <v/>
      </c>
    </row>
    <row r="228" spans="1:72" x14ac:dyDescent="0.2">
      <c r="A228" s="18" t="str" cm="1">
        <f t="array" aca="1" ref="A228" ca="1">IF(B228="","","Grupo N˚"&amp;SUMPRODUCT(($B$4:B228&lt;&gt;"")*($B$4:B228&lt;&gt;OFFSET($B$4,-1,0,ROWS($B$4:B228),1))))</f>
        <v/>
      </c>
      <c r="B228" s="31"/>
      <c r="C228" s="31"/>
      <c r="D228" s="31"/>
      <c r="E228" s="31"/>
      <c r="F228" s="32"/>
      <c r="G228" s="33"/>
      <c r="H228" s="33"/>
      <c r="I228" s="20" t="str">
        <f t="shared" si="49"/>
        <v/>
      </c>
      <c r="J228" s="21" t="str">
        <f>IFERROR(VLOOKUP(BR228,Pricing!$D$3:$E$58,2,FALSE),"")</f>
        <v/>
      </c>
      <c r="K228" s="32"/>
      <c r="L228" s="32"/>
      <c r="M228" s="32"/>
      <c r="N228" s="36" t="str" cm="1">
        <f t="array" ref="N228">IFERROR(_xlfn.IFS((AND(K228="SI",M228="$")),J228*0.2,AND(K228="SI",M228="%"),20),"")</f>
        <v/>
      </c>
      <c r="O228" s="29" t="str">
        <f t="shared" si="50"/>
        <v/>
      </c>
      <c r="P228" s="21" t="str">
        <f t="shared" si="51"/>
        <v/>
      </c>
      <c r="Q228" s="21" t="str">
        <f t="shared" si="52"/>
        <v/>
      </c>
      <c r="R228" s="21" t="str">
        <f t="shared" si="53"/>
        <v/>
      </c>
      <c r="S228" s="39"/>
      <c r="T228" s="43" t="str">
        <f t="shared" si="61"/>
        <v/>
      </c>
      <c r="U228" s="49" t="str">
        <f t="shared" si="62"/>
        <v/>
      </c>
      <c r="V228" s="48" t="str">
        <f t="shared" si="63"/>
        <v/>
      </c>
      <c r="W228" s="48" t="str">
        <f t="shared" si="54"/>
        <v/>
      </c>
      <c r="X228" s="50" t="str">
        <f>IF(W228="","",SUMIF($B$4:$B$1002,B228,$W$4:$W$1000))</f>
        <v/>
      </c>
      <c r="Y228" s="43" t="str">
        <f t="shared" si="55"/>
        <v/>
      </c>
      <c r="Z228" s="49" t="str">
        <f t="shared" si="56"/>
        <v/>
      </c>
      <c r="AA228" s="48" t="str">
        <f t="shared" si="57"/>
        <v/>
      </c>
      <c r="AB228" s="49" t="str">
        <f t="shared" si="58"/>
        <v/>
      </c>
      <c r="AC228" s="50" t="str">
        <f>IF(AB228="","",SUMIF($B$4:$B$1002,B228,$AB$4:$AB$1000))</f>
        <v/>
      </c>
      <c r="AD228" s="69"/>
      <c r="AE228" s="56"/>
      <c r="AF228" s="52"/>
      <c r="AG228" s="51"/>
      <c r="AH228" s="70"/>
      <c r="AI228" s="58"/>
      <c r="AJ228" s="55"/>
      <c r="AK228" s="51"/>
      <c r="AL228" s="69"/>
      <c r="AM228" s="56"/>
      <c r="AN228" s="52"/>
      <c r="AO228" s="51"/>
      <c r="AP228" s="70"/>
      <c r="AQ228" s="58"/>
      <c r="AR228" s="55"/>
      <c r="AS228" s="51"/>
      <c r="AT228" s="69"/>
      <c r="AU228" s="56"/>
      <c r="AV228" s="52"/>
      <c r="AW228" s="51"/>
      <c r="BR228" s="34" t="str">
        <f>IF(E228="","",CONCATENATE(E228," ",F228," noches"))</f>
        <v/>
      </c>
      <c r="BS228" s="28" t="str">
        <f t="shared" ca="1" si="59"/>
        <v/>
      </c>
      <c r="BT228" s="28" t="str">
        <f t="shared" ca="1" si="60"/>
        <v/>
      </c>
    </row>
    <row r="229" spans="1:72" x14ac:dyDescent="0.2">
      <c r="A229" s="18" t="str" cm="1">
        <f t="array" aca="1" ref="A229" ca="1">IF(B229="","","Grupo N˚"&amp;SUMPRODUCT(($B$4:B229&lt;&gt;"")*($B$4:B229&lt;&gt;OFFSET($B$4,-1,0,ROWS($B$4:B229),1))))</f>
        <v/>
      </c>
      <c r="B229" s="31"/>
      <c r="C229" s="31"/>
      <c r="D229" s="31"/>
      <c r="E229" s="31"/>
      <c r="F229" s="32"/>
      <c r="G229" s="33"/>
      <c r="H229" s="33"/>
      <c r="I229" s="20" t="str">
        <f t="shared" si="49"/>
        <v/>
      </c>
      <c r="J229" s="21" t="str">
        <f>IFERROR(VLOOKUP(BR229,Pricing!$D$3:$E$58,2,FALSE),"")</f>
        <v/>
      </c>
      <c r="K229" s="32"/>
      <c r="L229" s="32"/>
      <c r="M229" s="32"/>
      <c r="N229" s="36" t="str" cm="1">
        <f t="array" ref="N229">IFERROR(_xlfn.IFS((AND(K229="SI",M229="$")),J229*0.2,AND(K229="SI",M229="%"),20),"")</f>
        <v/>
      </c>
      <c r="O229" s="29" t="str">
        <f t="shared" si="50"/>
        <v/>
      </c>
      <c r="P229" s="21" t="str">
        <f t="shared" si="51"/>
        <v/>
      </c>
      <c r="Q229" s="21" t="str">
        <f t="shared" si="52"/>
        <v/>
      </c>
      <c r="R229" s="21" t="str">
        <f t="shared" si="53"/>
        <v/>
      </c>
      <c r="S229" s="39"/>
      <c r="T229" s="43" t="str">
        <f t="shared" si="61"/>
        <v/>
      </c>
      <c r="U229" s="49" t="str">
        <f t="shared" si="62"/>
        <v/>
      </c>
      <c r="V229" s="48" t="str">
        <f t="shared" si="63"/>
        <v/>
      </c>
      <c r="W229" s="48" t="str">
        <f t="shared" si="54"/>
        <v/>
      </c>
      <c r="X229" s="50" t="str">
        <f>IF(W229="","",SUMIF($B$4:$B$1002,B229,$W$4:$W$1000))</f>
        <v/>
      </c>
      <c r="Y229" s="43" t="str">
        <f t="shared" si="55"/>
        <v/>
      </c>
      <c r="Z229" s="49" t="str">
        <f t="shared" si="56"/>
        <v/>
      </c>
      <c r="AA229" s="48" t="str">
        <f t="shared" si="57"/>
        <v/>
      </c>
      <c r="AB229" s="49" t="str">
        <f t="shared" si="58"/>
        <v/>
      </c>
      <c r="AC229" s="50" t="str">
        <f>IF(AB229="","",SUMIF($B$4:$B$1002,B229,$AB$4:$AB$1000))</f>
        <v/>
      </c>
      <c r="AD229" s="69"/>
      <c r="AE229" s="56"/>
      <c r="AF229" s="52"/>
      <c r="AG229" s="51"/>
      <c r="AH229" s="70"/>
      <c r="AI229" s="58"/>
      <c r="AJ229" s="55"/>
      <c r="AK229" s="51"/>
      <c r="AL229" s="69"/>
      <c r="AM229" s="56"/>
      <c r="AN229" s="52"/>
      <c r="AO229" s="51"/>
      <c r="AP229" s="70"/>
      <c r="AQ229" s="58"/>
      <c r="AR229" s="55"/>
      <c r="AS229" s="51"/>
      <c r="AT229" s="69"/>
      <c r="AU229" s="56"/>
      <c r="AV229" s="52"/>
      <c r="AW229" s="51"/>
      <c r="BR229" s="34" t="str">
        <f>IF(E229="","",CONCATENATE(E229," ",F229," noches"))</f>
        <v/>
      </c>
      <c r="BS229" s="28" t="str">
        <f t="shared" ca="1" si="59"/>
        <v/>
      </c>
      <c r="BT229" s="28" t="str">
        <f t="shared" ca="1" si="60"/>
        <v/>
      </c>
    </row>
    <row r="230" spans="1:72" x14ac:dyDescent="0.2">
      <c r="A230" s="18" t="str" cm="1">
        <f t="array" aca="1" ref="A230" ca="1">IF(B230="","","Grupo N˚"&amp;SUMPRODUCT(($B$4:B230&lt;&gt;"")*($B$4:B230&lt;&gt;OFFSET($B$4,-1,0,ROWS($B$4:B230),1))))</f>
        <v/>
      </c>
      <c r="B230" s="31"/>
      <c r="C230" s="31"/>
      <c r="D230" s="31"/>
      <c r="E230" s="31"/>
      <c r="F230" s="32"/>
      <c r="G230" s="33"/>
      <c r="H230" s="33"/>
      <c r="I230" s="20" t="str">
        <f t="shared" si="49"/>
        <v/>
      </c>
      <c r="J230" s="21" t="str">
        <f>IFERROR(VLOOKUP(BR230,Pricing!$D$3:$E$58,2,FALSE),"")</f>
        <v/>
      </c>
      <c r="K230" s="32"/>
      <c r="L230" s="32"/>
      <c r="M230" s="32"/>
      <c r="N230" s="36" t="str" cm="1">
        <f t="array" ref="N230">IFERROR(_xlfn.IFS((AND(K230="SI",M230="$")),J230*0.2,AND(K230="SI",M230="%"),20),"")</f>
        <v/>
      </c>
      <c r="O230" s="29" t="str">
        <f t="shared" si="50"/>
        <v/>
      </c>
      <c r="P230" s="21" t="str">
        <f t="shared" si="51"/>
        <v/>
      </c>
      <c r="Q230" s="21" t="str">
        <f t="shared" si="52"/>
        <v/>
      </c>
      <c r="R230" s="21" t="str">
        <f t="shared" si="53"/>
        <v/>
      </c>
      <c r="S230" s="39"/>
      <c r="T230" s="43" t="str">
        <f t="shared" si="61"/>
        <v/>
      </c>
      <c r="U230" s="49" t="str">
        <f t="shared" si="62"/>
        <v/>
      </c>
      <c r="V230" s="48" t="str">
        <f t="shared" si="63"/>
        <v/>
      </c>
      <c r="W230" s="48" t="str">
        <f t="shared" si="54"/>
        <v/>
      </c>
      <c r="X230" s="50" t="str">
        <f>IF(W230="","",SUMIF($B$4:$B$1002,B230,$W$4:$W$1000))</f>
        <v/>
      </c>
      <c r="Y230" s="43" t="str">
        <f t="shared" si="55"/>
        <v/>
      </c>
      <c r="Z230" s="49" t="str">
        <f t="shared" si="56"/>
        <v/>
      </c>
      <c r="AA230" s="48" t="str">
        <f t="shared" si="57"/>
        <v/>
      </c>
      <c r="AB230" s="49" t="str">
        <f t="shared" si="58"/>
        <v/>
      </c>
      <c r="AC230" s="50" t="str">
        <f>IF(AB230="","",SUMIF($B$4:$B$1002,B230,$AB$4:$AB$1000))</f>
        <v/>
      </c>
      <c r="AD230" s="69"/>
      <c r="AE230" s="56"/>
      <c r="AF230" s="52"/>
      <c r="AG230" s="51"/>
      <c r="AH230" s="70"/>
      <c r="AI230" s="58"/>
      <c r="AJ230" s="55"/>
      <c r="AK230" s="51"/>
      <c r="AL230" s="69"/>
      <c r="AM230" s="56"/>
      <c r="AN230" s="52"/>
      <c r="AO230" s="51"/>
      <c r="AP230" s="70"/>
      <c r="AQ230" s="58"/>
      <c r="AR230" s="55"/>
      <c r="AS230" s="51"/>
      <c r="AT230" s="69"/>
      <c r="AU230" s="56"/>
      <c r="AV230" s="52"/>
      <c r="AW230" s="51"/>
      <c r="BR230" s="34" t="str">
        <f>IF(E230="","",CONCATENATE(E230," ",F230," noches"))</f>
        <v/>
      </c>
      <c r="BS230" s="28" t="str">
        <f t="shared" ca="1" si="59"/>
        <v/>
      </c>
      <c r="BT230" s="28" t="str">
        <f t="shared" ca="1" si="60"/>
        <v/>
      </c>
    </row>
    <row r="231" spans="1:72" x14ac:dyDescent="0.2">
      <c r="A231" s="18" t="str" cm="1">
        <f t="array" aca="1" ref="A231" ca="1">IF(B231="","","Grupo N˚"&amp;SUMPRODUCT(($B$4:B231&lt;&gt;"")*($B$4:B231&lt;&gt;OFFSET($B$4,-1,0,ROWS($B$4:B231),1))))</f>
        <v/>
      </c>
      <c r="B231" s="31"/>
      <c r="C231" s="31"/>
      <c r="D231" s="31"/>
      <c r="E231" s="31"/>
      <c r="F231" s="32"/>
      <c r="G231" s="33"/>
      <c r="H231" s="33"/>
      <c r="I231" s="20" t="str">
        <f t="shared" si="49"/>
        <v/>
      </c>
      <c r="J231" s="21" t="str">
        <f>IFERROR(VLOOKUP(BR231,Pricing!$D$3:$E$58,2,FALSE),"")</f>
        <v/>
      </c>
      <c r="K231" s="32"/>
      <c r="L231" s="32"/>
      <c r="M231" s="32"/>
      <c r="N231" s="36" t="str" cm="1">
        <f t="array" ref="N231">IFERROR(_xlfn.IFS((AND(K231="SI",M231="$")),J231*0.2,AND(K231="SI",M231="%"),20),"")</f>
        <v/>
      </c>
      <c r="O231" s="29" t="str">
        <f t="shared" si="50"/>
        <v/>
      </c>
      <c r="P231" s="21" t="str">
        <f t="shared" si="51"/>
        <v/>
      </c>
      <c r="Q231" s="21" t="str">
        <f t="shared" si="52"/>
        <v/>
      </c>
      <c r="R231" s="21" t="str">
        <f t="shared" si="53"/>
        <v/>
      </c>
      <c r="S231" s="39"/>
      <c r="T231" s="43" t="str">
        <f t="shared" si="61"/>
        <v/>
      </c>
      <c r="U231" s="49" t="str">
        <f t="shared" si="62"/>
        <v/>
      </c>
      <c r="V231" s="48" t="str">
        <f t="shared" si="63"/>
        <v/>
      </c>
      <c r="W231" s="48" t="str">
        <f t="shared" si="54"/>
        <v/>
      </c>
      <c r="X231" s="50" t="str">
        <f>IF(W231="","",SUMIF($B$4:$B$1002,B231,$W$4:$W$1000))</f>
        <v/>
      </c>
      <c r="Y231" s="43" t="str">
        <f t="shared" si="55"/>
        <v/>
      </c>
      <c r="Z231" s="49" t="str">
        <f t="shared" si="56"/>
        <v/>
      </c>
      <c r="AA231" s="48" t="str">
        <f t="shared" si="57"/>
        <v/>
      </c>
      <c r="AB231" s="49" t="str">
        <f t="shared" si="58"/>
        <v/>
      </c>
      <c r="AC231" s="50" t="str">
        <f>IF(AB231="","",SUMIF($B$4:$B$1002,B231,$AB$4:$AB$1000))</f>
        <v/>
      </c>
      <c r="AD231" s="69"/>
      <c r="AE231" s="56"/>
      <c r="AF231" s="52"/>
      <c r="AG231" s="51"/>
      <c r="AH231" s="70"/>
      <c r="AI231" s="58"/>
      <c r="AJ231" s="55"/>
      <c r="AK231" s="51"/>
      <c r="AL231" s="69"/>
      <c r="AM231" s="56"/>
      <c r="AN231" s="52"/>
      <c r="AO231" s="51"/>
      <c r="AP231" s="70"/>
      <c r="AQ231" s="58"/>
      <c r="AR231" s="55"/>
      <c r="AS231" s="51"/>
      <c r="AT231" s="69"/>
      <c r="AU231" s="56"/>
      <c r="AV231" s="52"/>
      <c r="AW231" s="51"/>
      <c r="BR231" s="34" t="str">
        <f>IF(E231="","",CONCATENATE(E231," ",F231," noches"))</f>
        <v/>
      </c>
      <c r="BS231" s="28" t="str">
        <f t="shared" ca="1" si="59"/>
        <v/>
      </c>
      <c r="BT231" s="28" t="str">
        <f t="shared" ca="1" si="60"/>
        <v/>
      </c>
    </row>
    <row r="232" spans="1:72" x14ac:dyDescent="0.2">
      <c r="A232" s="18" t="str" cm="1">
        <f t="array" aca="1" ref="A232" ca="1">IF(B232="","","Grupo N˚"&amp;SUMPRODUCT(($B$4:B232&lt;&gt;"")*($B$4:B232&lt;&gt;OFFSET($B$4,-1,0,ROWS($B$4:B232),1))))</f>
        <v/>
      </c>
      <c r="B232" s="31"/>
      <c r="C232" s="31"/>
      <c r="D232" s="31"/>
      <c r="E232" s="31"/>
      <c r="F232" s="32"/>
      <c r="G232" s="33"/>
      <c r="H232" s="33"/>
      <c r="I232" s="20" t="str">
        <f t="shared" si="49"/>
        <v/>
      </c>
      <c r="J232" s="21" t="str">
        <f>IFERROR(VLOOKUP(BR232,Pricing!$D$3:$E$58,2,FALSE),"")</f>
        <v/>
      </c>
      <c r="K232" s="32"/>
      <c r="L232" s="32"/>
      <c r="M232" s="32"/>
      <c r="N232" s="36" t="str" cm="1">
        <f t="array" ref="N232">IFERROR(_xlfn.IFS((AND(K232="SI",M232="$")),J232*0.2,AND(K232="SI",M232="%"),20),"")</f>
        <v/>
      </c>
      <c r="O232" s="29" t="str">
        <f t="shared" si="50"/>
        <v/>
      </c>
      <c r="P232" s="21" t="str">
        <f t="shared" si="51"/>
        <v/>
      </c>
      <c r="Q232" s="21" t="str">
        <f t="shared" si="52"/>
        <v/>
      </c>
      <c r="R232" s="21" t="str">
        <f t="shared" si="53"/>
        <v/>
      </c>
      <c r="S232" s="39"/>
      <c r="T232" s="43" t="str">
        <f t="shared" si="61"/>
        <v/>
      </c>
      <c r="U232" s="49" t="str">
        <f t="shared" si="62"/>
        <v/>
      </c>
      <c r="V232" s="48" t="str">
        <f t="shared" si="63"/>
        <v/>
      </c>
      <c r="W232" s="48" t="str">
        <f t="shared" si="54"/>
        <v/>
      </c>
      <c r="X232" s="50" t="str">
        <f>IF(W232="","",SUMIF($B$4:$B$1002,B232,$W$4:$W$1000))</f>
        <v/>
      </c>
      <c r="Y232" s="43" t="str">
        <f t="shared" si="55"/>
        <v/>
      </c>
      <c r="Z232" s="49" t="str">
        <f t="shared" si="56"/>
        <v/>
      </c>
      <c r="AA232" s="48" t="str">
        <f t="shared" si="57"/>
        <v/>
      </c>
      <c r="AB232" s="49" t="str">
        <f t="shared" si="58"/>
        <v/>
      </c>
      <c r="AC232" s="50" t="str">
        <f>IF(AB232="","",SUMIF($B$4:$B$1002,B232,$AB$4:$AB$1000))</f>
        <v/>
      </c>
      <c r="AD232" s="69"/>
      <c r="AE232" s="56"/>
      <c r="AF232" s="52"/>
      <c r="AG232" s="51"/>
      <c r="AH232" s="70"/>
      <c r="AI232" s="58"/>
      <c r="AJ232" s="55"/>
      <c r="AK232" s="51"/>
      <c r="AL232" s="69"/>
      <c r="AM232" s="56"/>
      <c r="AN232" s="52"/>
      <c r="AO232" s="51"/>
      <c r="AP232" s="70"/>
      <c r="AQ232" s="58"/>
      <c r="AR232" s="55"/>
      <c r="AS232" s="51"/>
      <c r="AT232" s="69"/>
      <c r="AU232" s="56"/>
      <c r="AV232" s="52"/>
      <c r="AW232" s="51"/>
      <c r="BR232" s="34" t="str">
        <f>IF(E232="","",CONCATENATE(E232," ",F232," noches"))</f>
        <v/>
      </c>
      <c r="BS232" s="28" t="str">
        <f t="shared" ca="1" si="59"/>
        <v/>
      </c>
      <c r="BT232" s="28" t="str">
        <f t="shared" ca="1" si="60"/>
        <v/>
      </c>
    </row>
    <row r="233" spans="1:72" x14ac:dyDescent="0.2">
      <c r="A233" s="18" t="str" cm="1">
        <f t="array" aca="1" ref="A233" ca="1">IF(B233="","","Grupo N˚"&amp;SUMPRODUCT(($B$4:B233&lt;&gt;"")*($B$4:B233&lt;&gt;OFFSET($B$4,-1,0,ROWS($B$4:B233),1))))</f>
        <v/>
      </c>
      <c r="B233" s="31"/>
      <c r="C233" s="31"/>
      <c r="D233" s="31"/>
      <c r="E233" s="31"/>
      <c r="F233" s="32"/>
      <c r="G233" s="33"/>
      <c r="H233" s="33"/>
      <c r="I233" s="20" t="str">
        <f t="shared" si="49"/>
        <v/>
      </c>
      <c r="J233" s="21" t="str">
        <f>IFERROR(VLOOKUP(BR233,Pricing!$D$3:$E$58,2,FALSE),"")</f>
        <v/>
      </c>
      <c r="K233" s="32"/>
      <c r="L233" s="32"/>
      <c r="M233" s="32"/>
      <c r="N233" s="36" t="str" cm="1">
        <f t="array" ref="N233">IFERROR(_xlfn.IFS((AND(K233="SI",M233="$")),J233*0.2,AND(K233="SI",M233="%"),20),"")</f>
        <v/>
      </c>
      <c r="O233" s="29" t="str">
        <f t="shared" si="50"/>
        <v/>
      </c>
      <c r="P233" s="21" t="str">
        <f t="shared" si="51"/>
        <v/>
      </c>
      <c r="Q233" s="21" t="str">
        <f t="shared" si="52"/>
        <v/>
      </c>
      <c r="R233" s="21" t="str">
        <f t="shared" si="53"/>
        <v/>
      </c>
      <c r="S233" s="39"/>
      <c r="T233" s="43" t="str">
        <f t="shared" si="61"/>
        <v/>
      </c>
      <c r="U233" s="49" t="str">
        <f t="shared" si="62"/>
        <v/>
      </c>
      <c r="V233" s="48" t="str">
        <f t="shared" si="63"/>
        <v/>
      </c>
      <c r="W233" s="48" t="str">
        <f t="shared" si="54"/>
        <v/>
      </c>
      <c r="X233" s="50" t="str">
        <f>IF(W233="","",SUMIF($B$4:$B$1002,B233,$W$4:$W$1000))</f>
        <v/>
      </c>
      <c r="Y233" s="43" t="str">
        <f t="shared" si="55"/>
        <v/>
      </c>
      <c r="Z233" s="49" t="str">
        <f t="shared" si="56"/>
        <v/>
      </c>
      <c r="AA233" s="48" t="str">
        <f t="shared" si="57"/>
        <v/>
      </c>
      <c r="AB233" s="49" t="str">
        <f t="shared" si="58"/>
        <v/>
      </c>
      <c r="AC233" s="50" t="str">
        <f>IF(AB233="","",SUMIF($B$4:$B$1002,B233,$AB$4:$AB$1000))</f>
        <v/>
      </c>
      <c r="AD233" s="69"/>
      <c r="AE233" s="56"/>
      <c r="AF233" s="52"/>
      <c r="AG233" s="51"/>
      <c r="AH233" s="70"/>
      <c r="AI233" s="58"/>
      <c r="AJ233" s="55"/>
      <c r="AK233" s="51"/>
      <c r="AL233" s="69"/>
      <c r="AM233" s="56"/>
      <c r="AN233" s="52"/>
      <c r="AO233" s="51"/>
      <c r="AP233" s="70"/>
      <c r="AQ233" s="58"/>
      <c r="AR233" s="55"/>
      <c r="AS233" s="51"/>
      <c r="AT233" s="69"/>
      <c r="AU233" s="56"/>
      <c r="AV233" s="52"/>
      <c r="AW233" s="51"/>
      <c r="BR233" s="34" t="str">
        <f>IF(E233="","",CONCATENATE(E233," ",F233," noches"))</f>
        <v/>
      </c>
      <c r="BS233" s="28" t="str">
        <f t="shared" ca="1" si="59"/>
        <v/>
      </c>
      <c r="BT233" s="28" t="str">
        <f t="shared" ca="1" si="60"/>
        <v/>
      </c>
    </row>
    <row r="234" spans="1:72" x14ac:dyDescent="0.2">
      <c r="A234" s="18" t="str" cm="1">
        <f t="array" aca="1" ref="A234" ca="1">IF(B234="","","Grupo N˚"&amp;SUMPRODUCT(($B$4:B234&lt;&gt;"")*($B$4:B234&lt;&gt;OFFSET($B$4,-1,0,ROWS($B$4:B234),1))))</f>
        <v/>
      </c>
      <c r="B234" s="31"/>
      <c r="C234" s="31"/>
      <c r="D234" s="31"/>
      <c r="E234" s="31"/>
      <c r="F234" s="32"/>
      <c r="G234" s="33"/>
      <c r="H234" s="33"/>
      <c r="I234" s="20" t="str">
        <f t="shared" si="49"/>
        <v/>
      </c>
      <c r="J234" s="21" t="str">
        <f>IFERROR(VLOOKUP(BR234,Pricing!$D$3:$E$58,2,FALSE),"")</f>
        <v/>
      </c>
      <c r="K234" s="32"/>
      <c r="L234" s="32"/>
      <c r="M234" s="32"/>
      <c r="N234" s="36" t="str" cm="1">
        <f t="array" ref="N234">IFERROR(_xlfn.IFS((AND(K234="SI",M234="$")),J234*0.2,AND(K234="SI",M234="%"),20),"")</f>
        <v/>
      </c>
      <c r="O234" s="29" t="str">
        <f t="shared" si="50"/>
        <v/>
      </c>
      <c r="P234" s="21" t="str">
        <f t="shared" si="51"/>
        <v/>
      </c>
      <c r="Q234" s="21" t="str">
        <f t="shared" si="52"/>
        <v/>
      </c>
      <c r="R234" s="21" t="str">
        <f t="shared" si="53"/>
        <v/>
      </c>
      <c r="S234" s="39"/>
      <c r="T234" s="43" t="str">
        <f t="shared" si="61"/>
        <v/>
      </c>
      <c r="U234" s="49" t="str">
        <f t="shared" si="62"/>
        <v/>
      </c>
      <c r="V234" s="48" t="str">
        <f t="shared" si="63"/>
        <v/>
      </c>
      <c r="W234" s="48" t="str">
        <f t="shared" si="54"/>
        <v/>
      </c>
      <c r="X234" s="50" t="str">
        <f>IF(W234="","",SUMIF($B$4:$B$1002,B234,$W$4:$W$1000))</f>
        <v/>
      </c>
      <c r="Y234" s="43" t="str">
        <f t="shared" si="55"/>
        <v/>
      </c>
      <c r="Z234" s="49" t="str">
        <f t="shared" si="56"/>
        <v/>
      </c>
      <c r="AA234" s="48" t="str">
        <f t="shared" si="57"/>
        <v/>
      </c>
      <c r="AB234" s="49" t="str">
        <f t="shared" si="58"/>
        <v/>
      </c>
      <c r="AC234" s="50" t="str">
        <f>IF(AB234="","",SUMIF($B$4:$B$1002,B234,$AB$4:$AB$1000))</f>
        <v/>
      </c>
      <c r="AD234" s="69"/>
      <c r="AE234" s="56"/>
      <c r="AF234" s="52"/>
      <c r="AG234" s="51"/>
      <c r="AH234" s="70"/>
      <c r="AI234" s="58"/>
      <c r="AJ234" s="55"/>
      <c r="AK234" s="51"/>
      <c r="AL234" s="69"/>
      <c r="AM234" s="56"/>
      <c r="AN234" s="52"/>
      <c r="AO234" s="51"/>
      <c r="AP234" s="70"/>
      <c r="AQ234" s="58"/>
      <c r="AR234" s="55"/>
      <c r="AS234" s="51"/>
      <c r="AT234" s="69"/>
      <c r="AU234" s="56"/>
      <c r="AV234" s="52"/>
      <c r="AW234" s="51"/>
      <c r="BR234" s="34" t="str">
        <f>IF(E234="","",CONCATENATE(E234," ",F234," noches"))</f>
        <v/>
      </c>
      <c r="BS234" s="28" t="str">
        <f t="shared" ca="1" si="59"/>
        <v/>
      </c>
      <c r="BT234" s="28" t="str">
        <f t="shared" ca="1" si="60"/>
        <v/>
      </c>
    </row>
    <row r="235" spans="1:72" x14ac:dyDescent="0.2">
      <c r="A235" s="18" t="str" cm="1">
        <f t="array" aca="1" ref="A235" ca="1">IF(B235="","","Grupo N˚"&amp;SUMPRODUCT(($B$4:B235&lt;&gt;"")*($B$4:B235&lt;&gt;OFFSET($B$4,-1,0,ROWS($B$4:B235),1))))</f>
        <v/>
      </c>
      <c r="B235" s="31"/>
      <c r="C235" s="31"/>
      <c r="D235" s="31"/>
      <c r="E235" s="31"/>
      <c r="F235" s="32"/>
      <c r="G235" s="33"/>
      <c r="H235" s="33"/>
      <c r="I235" s="20" t="str">
        <f t="shared" si="49"/>
        <v/>
      </c>
      <c r="J235" s="21" t="str">
        <f>IFERROR(VLOOKUP(BR235,Pricing!$D$3:$E$58,2,FALSE),"")</f>
        <v/>
      </c>
      <c r="K235" s="32"/>
      <c r="L235" s="32"/>
      <c r="M235" s="32"/>
      <c r="N235" s="36" t="str" cm="1">
        <f t="array" ref="N235">IFERROR(_xlfn.IFS((AND(K235="SI",M235="$")),J235*0.2,AND(K235="SI",M235="%"),20),"")</f>
        <v/>
      </c>
      <c r="O235" s="29" t="str">
        <f t="shared" si="50"/>
        <v/>
      </c>
      <c r="P235" s="21" t="str">
        <f t="shared" si="51"/>
        <v/>
      </c>
      <c r="Q235" s="21" t="str">
        <f t="shared" si="52"/>
        <v/>
      </c>
      <c r="R235" s="21" t="str">
        <f t="shared" si="53"/>
        <v/>
      </c>
      <c r="S235" s="39"/>
      <c r="T235" s="43" t="str">
        <f t="shared" si="61"/>
        <v/>
      </c>
      <c r="U235" s="49" t="str">
        <f t="shared" si="62"/>
        <v/>
      </c>
      <c r="V235" s="48" t="str">
        <f t="shared" si="63"/>
        <v/>
      </c>
      <c r="W235" s="48" t="str">
        <f t="shared" si="54"/>
        <v/>
      </c>
      <c r="X235" s="50" t="str">
        <f>IF(W235="","",SUMIF($B$4:$B$1002,B235,$W$4:$W$1000))</f>
        <v/>
      </c>
      <c r="Y235" s="43" t="str">
        <f t="shared" si="55"/>
        <v/>
      </c>
      <c r="Z235" s="49" t="str">
        <f t="shared" si="56"/>
        <v/>
      </c>
      <c r="AA235" s="48" t="str">
        <f t="shared" si="57"/>
        <v/>
      </c>
      <c r="AB235" s="49" t="str">
        <f t="shared" si="58"/>
        <v/>
      </c>
      <c r="AC235" s="50" t="str">
        <f>IF(AB235="","",SUMIF($B$4:$B$1002,B235,$AB$4:$AB$1000))</f>
        <v/>
      </c>
      <c r="AD235" s="69"/>
      <c r="AE235" s="56"/>
      <c r="AF235" s="52"/>
      <c r="AG235" s="51"/>
      <c r="AH235" s="70"/>
      <c r="AI235" s="58"/>
      <c r="AJ235" s="55"/>
      <c r="AK235" s="51"/>
      <c r="AL235" s="69"/>
      <c r="AM235" s="56"/>
      <c r="AN235" s="52"/>
      <c r="AO235" s="51"/>
      <c r="AP235" s="70"/>
      <c r="AQ235" s="58"/>
      <c r="AR235" s="55"/>
      <c r="AS235" s="51"/>
      <c r="AT235" s="69"/>
      <c r="AU235" s="56"/>
      <c r="AV235" s="52"/>
      <c r="AW235" s="51"/>
      <c r="BR235" s="34" t="str">
        <f>IF(E235="","",CONCATENATE(E235," ",F235," noches"))</f>
        <v/>
      </c>
      <c r="BS235" s="28" t="str">
        <f t="shared" ca="1" si="59"/>
        <v/>
      </c>
      <c r="BT235" s="28" t="str">
        <f t="shared" ca="1" si="60"/>
        <v/>
      </c>
    </row>
    <row r="236" spans="1:72" x14ac:dyDescent="0.2">
      <c r="A236" s="18" t="str" cm="1">
        <f t="array" aca="1" ref="A236" ca="1">IF(B236="","","Grupo N˚"&amp;SUMPRODUCT(($B$4:B236&lt;&gt;"")*($B$4:B236&lt;&gt;OFFSET($B$4,-1,0,ROWS($B$4:B236),1))))</f>
        <v/>
      </c>
      <c r="B236" s="31"/>
      <c r="C236" s="31"/>
      <c r="D236" s="31"/>
      <c r="E236" s="31"/>
      <c r="F236" s="32"/>
      <c r="G236" s="33"/>
      <c r="H236" s="33"/>
      <c r="I236" s="20" t="str">
        <f t="shared" si="49"/>
        <v/>
      </c>
      <c r="J236" s="21" t="str">
        <f>IFERROR(VLOOKUP(BR236,Pricing!$D$3:$E$58,2,FALSE),"")</f>
        <v/>
      </c>
      <c r="K236" s="32"/>
      <c r="L236" s="32"/>
      <c r="M236" s="32"/>
      <c r="N236" s="36" t="str" cm="1">
        <f t="array" ref="N236">IFERROR(_xlfn.IFS((AND(K236="SI",M236="$")),J236*0.2,AND(K236="SI",M236="%"),20),"")</f>
        <v/>
      </c>
      <c r="O236" s="29" t="str">
        <f t="shared" si="50"/>
        <v/>
      </c>
      <c r="P236" s="21" t="str">
        <f t="shared" si="51"/>
        <v/>
      </c>
      <c r="Q236" s="21" t="str">
        <f t="shared" si="52"/>
        <v/>
      </c>
      <c r="R236" s="21" t="str">
        <f t="shared" si="53"/>
        <v/>
      </c>
      <c r="S236" s="39"/>
      <c r="T236" s="43" t="str">
        <f t="shared" si="61"/>
        <v/>
      </c>
      <c r="U236" s="49" t="str">
        <f t="shared" si="62"/>
        <v/>
      </c>
      <c r="V236" s="48" t="str">
        <f t="shared" si="63"/>
        <v/>
      </c>
      <c r="W236" s="48" t="str">
        <f t="shared" si="54"/>
        <v/>
      </c>
      <c r="X236" s="50" t="str">
        <f>IF(W236="","",SUMIF($B$4:$B$1002,B236,$W$4:$W$1000))</f>
        <v/>
      </c>
      <c r="Y236" s="43" t="str">
        <f t="shared" si="55"/>
        <v/>
      </c>
      <c r="Z236" s="49" t="str">
        <f t="shared" si="56"/>
        <v/>
      </c>
      <c r="AA236" s="48" t="str">
        <f t="shared" si="57"/>
        <v/>
      </c>
      <c r="AB236" s="49" t="str">
        <f t="shared" si="58"/>
        <v/>
      </c>
      <c r="AC236" s="50" t="str">
        <f>IF(AB236="","",SUMIF($B$4:$B$1002,B236,$AB$4:$AB$1000))</f>
        <v/>
      </c>
      <c r="AD236" s="69"/>
      <c r="AE236" s="56"/>
      <c r="AF236" s="52"/>
      <c r="AG236" s="51"/>
      <c r="AH236" s="70"/>
      <c r="AI236" s="58"/>
      <c r="AJ236" s="55"/>
      <c r="AK236" s="51"/>
      <c r="AL236" s="69"/>
      <c r="AM236" s="56"/>
      <c r="AN236" s="52"/>
      <c r="AO236" s="51"/>
      <c r="AP236" s="70"/>
      <c r="AQ236" s="58"/>
      <c r="AR236" s="55"/>
      <c r="AS236" s="51"/>
      <c r="AT236" s="69"/>
      <c r="AU236" s="56"/>
      <c r="AV236" s="52"/>
      <c r="AW236" s="51"/>
      <c r="BR236" s="34" t="str">
        <f>IF(E236="","",CONCATENATE(E236," ",F236," noches"))</f>
        <v/>
      </c>
      <c r="BS236" s="28" t="str">
        <f t="shared" ca="1" si="59"/>
        <v/>
      </c>
      <c r="BT236" s="28" t="str">
        <f t="shared" ca="1" si="60"/>
        <v/>
      </c>
    </row>
    <row r="237" spans="1:72" x14ac:dyDescent="0.2">
      <c r="A237" s="18" t="str" cm="1">
        <f t="array" aca="1" ref="A237" ca="1">IF(B237="","","Grupo N˚"&amp;SUMPRODUCT(($B$4:B237&lt;&gt;"")*($B$4:B237&lt;&gt;OFFSET($B$4,-1,0,ROWS($B$4:B237),1))))</f>
        <v/>
      </c>
      <c r="B237" s="31"/>
      <c r="C237" s="31"/>
      <c r="D237" s="31"/>
      <c r="E237" s="31"/>
      <c r="F237" s="32"/>
      <c r="G237" s="33"/>
      <c r="H237" s="33"/>
      <c r="I237" s="20" t="str">
        <f t="shared" si="49"/>
        <v/>
      </c>
      <c r="J237" s="21" t="str">
        <f>IFERROR(VLOOKUP(BR237,Pricing!$D$3:$E$58,2,FALSE),"")</f>
        <v/>
      </c>
      <c r="K237" s="32"/>
      <c r="L237" s="32"/>
      <c r="M237" s="32"/>
      <c r="N237" s="36" t="str" cm="1">
        <f t="array" ref="N237">IFERROR(_xlfn.IFS((AND(K237="SI",M237="$")),J237*0.2,AND(K237="SI",M237="%"),20),"")</f>
        <v/>
      </c>
      <c r="O237" s="29" t="str">
        <f t="shared" si="50"/>
        <v/>
      </c>
      <c r="P237" s="21" t="str">
        <f t="shared" si="51"/>
        <v/>
      </c>
      <c r="Q237" s="21" t="str">
        <f t="shared" si="52"/>
        <v/>
      </c>
      <c r="R237" s="21" t="str">
        <f t="shared" si="53"/>
        <v/>
      </c>
      <c r="S237" s="39"/>
      <c r="T237" s="43" t="str">
        <f t="shared" si="61"/>
        <v/>
      </c>
      <c r="U237" s="49" t="str">
        <f t="shared" si="62"/>
        <v/>
      </c>
      <c r="V237" s="48" t="str">
        <f t="shared" si="63"/>
        <v/>
      </c>
      <c r="W237" s="48" t="str">
        <f t="shared" si="54"/>
        <v/>
      </c>
      <c r="X237" s="50" t="str">
        <f>IF(W237="","",SUMIF($B$4:$B$1002,B237,$W$4:$W$1000))</f>
        <v/>
      </c>
      <c r="Y237" s="43" t="str">
        <f t="shared" si="55"/>
        <v/>
      </c>
      <c r="Z237" s="49" t="str">
        <f t="shared" si="56"/>
        <v/>
      </c>
      <c r="AA237" s="48" t="str">
        <f t="shared" si="57"/>
        <v/>
      </c>
      <c r="AB237" s="49" t="str">
        <f t="shared" si="58"/>
        <v/>
      </c>
      <c r="AC237" s="50" t="str">
        <f>IF(AB237="","",SUMIF($B$4:$B$1002,B237,$AB$4:$AB$1000))</f>
        <v/>
      </c>
      <c r="AD237" s="69"/>
      <c r="AE237" s="56"/>
      <c r="AF237" s="52"/>
      <c r="AG237" s="51"/>
      <c r="AH237" s="70"/>
      <c r="AI237" s="58"/>
      <c r="AJ237" s="55"/>
      <c r="AK237" s="51"/>
      <c r="AL237" s="69"/>
      <c r="AM237" s="56"/>
      <c r="AN237" s="52"/>
      <c r="AO237" s="51"/>
      <c r="AP237" s="70"/>
      <c r="AQ237" s="58"/>
      <c r="AR237" s="55"/>
      <c r="AS237" s="51"/>
      <c r="AT237" s="69"/>
      <c r="AU237" s="56"/>
      <c r="AV237" s="52"/>
      <c r="AW237" s="51"/>
      <c r="BR237" s="34" t="str">
        <f>IF(E237="","",CONCATENATE(E237," ",F237," noches"))</f>
        <v/>
      </c>
      <c r="BS237" s="28" t="str">
        <f t="shared" ca="1" si="59"/>
        <v/>
      </c>
      <c r="BT237" s="28" t="str">
        <f t="shared" ca="1" si="60"/>
        <v/>
      </c>
    </row>
    <row r="238" spans="1:72" x14ac:dyDescent="0.2">
      <c r="A238" s="18" t="str" cm="1">
        <f t="array" aca="1" ref="A238" ca="1">IF(B238="","","Grupo N˚"&amp;SUMPRODUCT(($B$4:B238&lt;&gt;"")*($B$4:B238&lt;&gt;OFFSET($B$4,-1,0,ROWS($B$4:B238),1))))</f>
        <v/>
      </c>
      <c r="B238" s="31"/>
      <c r="C238" s="31"/>
      <c r="D238" s="31"/>
      <c r="E238" s="31"/>
      <c r="F238" s="32"/>
      <c r="G238" s="33"/>
      <c r="H238" s="33"/>
      <c r="I238" s="20" t="str">
        <f t="shared" si="49"/>
        <v/>
      </c>
      <c r="J238" s="21" t="str">
        <f>IFERROR(VLOOKUP(BR238,Pricing!$D$3:$E$58,2,FALSE),"")</f>
        <v/>
      </c>
      <c r="K238" s="32"/>
      <c r="L238" s="32"/>
      <c r="M238" s="32"/>
      <c r="N238" s="36" t="str" cm="1">
        <f t="array" ref="N238">IFERROR(_xlfn.IFS((AND(K238="SI",M238="$")),J238*0.2,AND(K238="SI",M238="%"),20),"")</f>
        <v/>
      </c>
      <c r="O238" s="29" t="str">
        <f t="shared" si="50"/>
        <v/>
      </c>
      <c r="P238" s="21" t="str">
        <f t="shared" si="51"/>
        <v/>
      </c>
      <c r="Q238" s="21" t="str">
        <f t="shared" si="52"/>
        <v/>
      </c>
      <c r="R238" s="21" t="str">
        <f t="shared" si="53"/>
        <v/>
      </c>
      <c r="S238" s="39"/>
      <c r="T238" s="43" t="str">
        <f t="shared" si="61"/>
        <v/>
      </c>
      <c r="U238" s="49" t="str">
        <f t="shared" si="62"/>
        <v/>
      </c>
      <c r="V238" s="48" t="str">
        <f t="shared" si="63"/>
        <v/>
      </c>
      <c r="W238" s="48" t="str">
        <f t="shared" si="54"/>
        <v/>
      </c>
      <c r="X238" s="50" t="str">
        <f>IF(W238="","",SUMIF($B$4:$B$1002,B238,$W$4:$W$1000))</f>
        <v/>
      </c>
      <c r="Y238" s="43" t="str">
        <f t="shared" si="55"/>
        <v/>
      </c>
      <c r="Z238" s="49" t="str">
        <f t="shared" si="56"/>
        <v/>
      </c>
      <c r="AA238" s="48" t="str">
        <f t="shared" si="57"/>
        <v/>
      </c>
      <c r="AB238" s="49" t="str">
        <f t="shared" si="58"/>
        <v/>
      </c>
      <c r="AC238" s="50" t="str">
        <f>IF(AB238="","",SUMIF($B$4:$B$1002,B238,$AB$4:$AB$1000))</f>
        <v/>
      </c>
      <c r="AD238" s="69"/>
      <c r="AE238" s="56"/>
      <c r="AF238" s="52"/>
      <c r="AG238" s="51"/>
      <c r="AH238" s="70"/>
      <c r="AI238" s="58"/>
      <c r="AJ238" s="55"/>
      <c r="AK238" s="51"/>
      <c r="AL238" s="69"/>
      <c r="AM238" s="56"/>
      <c r="AN238" s="52"/>
      <c r="AO238" s="51"/>
      <c r="AP238" s="70"/>
      <c r="AQ238" s="58"/>
      <c r="AR238" s="55"/>
      <c r="AS238" s="51"/>
      <c r="AT238" s="69"/>
      <c r="AU238" s="56"/>
      <c r="AV238" s="52"/>
      <c r="AW238" s="51"/>
      <c r="BR238" s="34" t="str">
        <f>IF(E238="","",CONCATENATE(E238," ",F238," noches"))</f>
        <v/>
      </c>
      <c r="BS238" s="28" t="str">
        <f t="shared" ca="1" si="59"/>
        <v/>
      </c>
      <c r="BT238" s="28" t="str">
        <f t="shared" ca="1" si="60"/>
        <v/>
      </c>
    </row>
    <row r="239" spans="1:72" x14ac:dyDescent="0.2">
      <c r="A239" s="18" t="str" cm="1">
        <f t="array" aca="1" ref="A239" ca="1">IF(B239="","","Grupo N˚"&amp;SUMPRODUCT(($B$4:B239&lt;&gt;"")*($B$4:B239&lt;&gt;OFFSET($B$4,-1,0,ROWS($B$4:B239),1))))</f>
        <v/>
      </c>
      <c r="B239" s="31"/>
      <c r="C239" s="31"/>
      <c r="D239" s="31"/>
      <c r="E239" s="31"/>
      <c r="F239" s="32"/>
      <c r="G239" s="33"/>
      <c r="H239" s="33"/>
      <c r="I239" s="20" t="str">
        <f t="shared" si="49"/>
        <v/>
      </c>
      <c r="J239" s="21" t="str">
        <f>IFERROR(VLOOKUP(BR239,Pricing!$D$3:$E$58,2,FALSE),"")</f>
        <v/>
      </c>
      <c r="K239" s="32"/>
      <c r="L239" s="32"/>
      <c r="M239" s="32"/>
      <c r="N239" s="36" t="str" cm="1">
        <f t="array" ref="N239">IFERROR(_xlfn.IFS((AND(K239="SI",M239="$")),J239*0.2,AND(K239="SI",M239="%"),20),"")</f>
        <v/>
      </c>
      <c r="O239" s="29" t="str">
        <f t="shared" si="50"/>
        <v/>
      </c>
      <c r="P239" s="21" t="str">
        <f t="shared" si="51"/>
        <v/>
      </c>
      <c r="Q239" s="21" t="str">
        <f t="shared" si="52"/>
        <v/>
      </c>
      <c r="R239" s="21" t="str">
        <f t="shared" si="53"/>
        <v/>
      </c>
      <c r="S239" s="39"/>
      <c r="T239" s="43" t="str">
        <f t="shared" si="61"/>
        <v/>
      </c>
      <c r="U239" s="49" t="str">
        <f t="shared" si="62"/>
        <v/>
      </c>
      <c r="V239" s="48" t="str">
        <f t="shared" si="63"/>
        <v/>
      </c>
      <c r="W239" s="48" t="str">
        <f t="shared" si="54"/>
        <v/>
      </c>
      <c r="X239" s="50" t="str">
        <f>IF(W239="","",SUMIF($B$4:$B$1002,B239,$W$4:$W$1000))</f>
        <v/>
      </c>
      <c r="Y239" s="43" t="str">
        <f t="shared" si="55"/>
        <v/>
      </c>
      <c r="Z239" s="49" t="str">
        <f t="shared" si="56"/>
        <v/>
      </c>
      <c r="AA239" s="48" t="str">
        <f t="shared" si="57"/>
        <v/>
      </c>
      <c r="AB239" s="49" t="str">
        <f t="shared" si="58"/>
        <v/>
      </c>
      <c r="AC239" s="50" t="str">
        <f>IF(AB239="","",SUMIF($B$4:$B$1002,B239,$AB$4:$AB$1000))</f>
        <v/>
      </c>
      <c r="AD239" s="69"/>
      <c r="AE239" s="56"/>
      <c r="AF239" s="52"/>
      <c r="AG239" s="51"/>
      <c r="AH239" s="70"/>
      <c r="AI239" s="58"/>
      <c r="AJ239" s="55"/>
      <c r="AK239" s="51"/>
      <c r="AL239" s="69"/>
      <c r="AM239" s="56"/>
      <c r="AN239" s="52"/>
      <c r="AO239" s="51"/>
      <c r="AP239" s="70"/>
      <c r="AQ239" s="58"/>
      <c r="AR239" s="55"/>
      <c r="AS239" s="51"/>
      <c r="AT239" s="69"/>
      <c r="AU239" s="56"/>
      <c r="AV239" s="52"/>
      <c r="AW239" s="51"/>
      <c r="BR239" s="34" t="str">
        <f>IF(E239="","",CONCATENATE(E239," ",F239," noches"))</f>
        <v/>
      </c>
      <c r="BS239" s="28" t="str">
        <f t="shared" ca="1" si="59"/>
        <v/>
      </c>
      <c r="BT239" s="28" t="str">
        <f t="shared" ca="1" si="60"/>
        <v/>
      </c>
    </row>
    <row r="240" spans="1:72" x14ac:dyDescent="0.2">
      <c r="A240" s="18" t="str" cm="1">
        <f t="array" aca="1" ref="A240" ca="1">IF(B240="","","Grupo N˚"&amp;SUMPRODUCT(($B$4:B240&lt;&gt;"")*($B$4:B240&lt;&gt;OFFSET($B$4,-1,0,ROWS($B$4:B240),1))))</f>
        <v/>
      </c>
      <c r="B240" s="31"/>
      <c r="C240" s="31"/>
      <c r="D240" s="31"/>
      <c r="E240" s="31"/>
      <c r="F240" s="32"/>
      <c r="G240" s="33"/>
      <c r="H240" s="33"/>
      <c r="I240" s="20" t="str">
        <f t="shared" si="49"/>
        <v/>
      </c>
      <c r="J240" s="21" t="str">
        <f>IFERROR(VLOOKUP(BR240,Pricing!$D$3:$E$58,2,FALSE),"")</f>
        <v/>
      </c>
      <c r="K240" s="32"/>
      <c r="L240" s="32"/>
      <c r="M240" s="32"/>
      <c r="N240" s="36" t="str" cm="1">
        <f t="array" ref="N240">IFERROR(_xlfn.IFS((AND(K240="SI",M240="$")),J240*0.2,AND(K240="SI",M240="%"),20),"")</f>
        <v/>
      </c>
      <c r="O240" s="29" t="str">
        <f t="shared" si="50"/>
        <v/>
      </c>
      <c r="P240" s="21" t="str">
        <f t="shared" si="51"/>
        <v/>
      </c>
      <c r="Q240" s="21" t="str">
        <f t="shared" si="52"/>
        <v/>
      </c>
      <c r="R240" s="21" t="str">
        <f t="shared" si="53"/>
        <v/>
      </c>
      <c r="S240" s="39"/>
      <c r="T240" s="43" t="str">
        <f t="shared" si="61"/>
        <v/>
      </c>
      <c r="U240" s="49" t="str">
        <f t="shared" si="62"/>
        <v/>
      </c>
      <c r="V240" s="48" t="str">
        <f t="shared" si="63"/>
        <v/>
      </c>
      <c r="W240" s="48" t="str">
        <f t="shared" si="54"/>
        <v/>
      </c>
      <c r="X240" s="50" t="str">
        <f>IF(W240="","",SUMIF($B$4:$B$1002,B240,$W$4:$W$1000))</f>
        <v/>
      </c>
      <c r="Y240" s="43" t="str">
        <f t="shared" si="55"/>
        <v/>
      </c>
      <c r="Z240" s="49" t="str">
        <f t="shared" si="56"/>
        <v/>
      </c>
      <c r="AA240" s="48" t="str">
        <f t="shared" si="57"/>
        <v/>
      </c>
      <c r="AB240" s="49" t="str">
        <f t="shared" si="58"/>
        <v/>
      </c>
      <c r="AC240" s="50" t="str">
        <f>IF(AB240="","",SUMIF($B$4:$B$1002,B240,$AB$4:$AB$1000))</f>
        <v/>
      </c>
      <c r="AD240" s="69"/>
      <c r="AE240" s="56"/>
      <c r="AF240" s="52"/>
      <c r="AG240" s="51"/>
      <c r="AH240" s="70"/>
      <c r="AI240" s="58"/>
      <c r="AJ240" s="55"/>
      <c r="AK240" s="51"/>
      <c r="AL240" s="69"/>
      <c r="AM240" s="56"/>
      <c r="AN240" s="52"/>
      <c r="AO240" s="51"/>
      <c r="AP240" s="70"/>
      <c r="AQ240" s="58"/>
      <c r="AR240" s="55"/>
      <c r="AS240" s="51"/>
      <c r="AT240" s="69"/>
      <c r="AU240" s="56"/>
      <c r="AV240" s="52"/>
      <c r="AW240" s="51"/>
      <c r="BR240" s="34" t="str">
        <f>IF(E240="","",CONCATENATE(E240," ",F240," noches"))</f>
        <v/>
      </c>
      <c r="BS240" s="28" t="str">
        <f t="shared" ca="1" si="59"/>
        <v/>
      </c>
      <c r="BT240" s="28" t="str">
        <f t="shared" ca="1" si="60"/>
        <v/>
      </c>
    </row>
    <row r="241" spans="1:72" x14ac:dyDescent="0.2">
      <c r="A241" s="18" t="str" cm="1">
        <f t="array" aca="1" ref="A241" ca="1">IF(B241="","","Grupo N˚"&amp;SUMPRODUCT(($B$4:B241&lt;&gt;"")*($B$4:B241&lt;&gt;OFFSET($B$4,-1,0,ROWS($B$4:B241),1))))</f>
        <v/>
      </c>
      <c r="B241" s="31"/>
      <c r="C241" s="31"/>
      <c r="D241" s="31"/>
      <c r="E241" s="31"/>
      <c r="F241" s="32"/>
      <c r="G241" s="33"/>
      <c r="H241" s="33"/>
      <c r="I241" s="20" t="str">
        <f t="shared" si="49"/>
        <v/>
      </c>
      <c r="J241" s="21" t="str">
        <f>IFERROR(VLOOKUP(BR241,Pricing!$D$3:$E$58,2,FALSE),"")</f>
        <v/>
      </c>
      <c r="K241" s="32"/>
      <c r="L241" s="32"/>
      <c r="M241" s="32"/>
      <c r="N241" s="36" t="str" cm="1">
        <f t="array" ref="N241">IFERROR(_xlfn.IFS((AND(K241="SI",M241="$")),J241*0.2,AND(K241="SI",M241="%"),20),"")</f>
        <v/>
      </c>
      <c r="O241" s="29" t="str">
        <f t="shared" si="50"/>
        <v/>
      </c>
      <c r="P241" s="21" t="str">
        <f t="shared" si="51"/>
        <v/>
      </c>
      <c r="Q241" s="21" t="str">
        <f t="shared" si="52"/>
        <v/>
      </c>
      <c r="R241" s="21" t="str">
        <f t="shared" si="53"/>
        <v/>
      </c>
      <c r="S241" s="39"/>
      <c r="T241" s="43" t="str">
        <f t="shared" si="61"/>
        <v/>
      </c>
      <c r="U241" s="49" t="str">
        <f t="shared" si="62"/>
        <v/>
      </c>
      <c r="V241" s="48" t="str">
        <f t="shared" si="63"/>
        <v/>
      </c>
      <c r="W241" s="48" t="str">
        <f t="shared" si="54"/>
        <v/>
      </c>
      <c r="X241" s="50" t="str">
        <f>IF(W241="","",SUMIF($B$4:$B$1002,B241,$W$4:$W$1000))</f>
        <v/>
      </c>
      <c r="Y241" s="43" t="str">
        <f t="shared" si="55"/>
        <v/>
      </c>
      <c r="Z241" s="49" t="str">
        <f t="shared" si="56"/>
        <v/>
      </c>
      <c r="AA241" s="48" t="str">
        <f t="shared" si="57"/>
        <v/>
      </c>
      <c r="AB241" s="49" t="str">
        <f t="shared" si="58"/>
        <v/>
      </c>
      <c r="AC241" s="50" t="str">
        <f>IF(AB241="","",SUMIF($B$4:$B$1002,B241,$AB$4:$AB$1000))</f>
        <v/>
      </c>
      <c r="AD241" s="69"/>
      <c r="AE241" s="56"/>
      <c r="AF241" s="52"/>
      <c r="AG241" s="51"/>
      <c r="AH241" s="70"/>
      <c r="AI241" s="58"/>
      <c r="AJ241" s="55"/>
      <c r="AK241" s="51"/>
      <c r="AL241" s="69"/>
      <c r="AM241" s="56"/>
      <c r="AN241" s="52"/>
      <c r="AO241" s="51"/>
      <c r="AP241" s="70"/>
      <c r="AQ241" s="58"/>
      <c r="AR241" s="55"/>
      <c r="AS241" s="51"/>
      <c r="AT241" s="69"/>
      <c r="AU241" s="56"/>
      <c r="AV241" s="52"/>
      <c r="AW241" s="51"/>
      <c r="BR241" s="34" t="str">
        <f>IF(E241="","",CONCATENATE(E241," ",F241," noches"))</f>
        <v/>
      </c>
      <c r="BS241" s="28" t="str">
        <f t="shared" ca="1" si="59"/>
        <v/>
      </c>
      <c r="BT241" s="28" t="str">
        <f t="shared" ca="1" si="60"/>
        <v/>
      </c>
    </row>
    <row r="242" spans="1:72" x14ac:dyDescent="0.2">
      <c r="A242" s="18" t="str" cm="1">
        <f t="array" aca="1" ref="A242" ca="1">IF(B242="","","Grupo N˚"&amp;SUMPRODUCT(($B$4:B242&lt;&gt;"")*($B$4:B242&lt;&gt;OFFSET($B$4,-1,0,ROWS($B$4:B242),1))))</f>
        <v/>
      </c>
      <c r="B242" s="31"/>
      <c r="C242" s="31"/>
      <c r="D242" s="31"/>
      <c r="E242" s="31"/>
      <c r="F242" s="32"/>
      <c r="G242" s="33"/>
      <c r="H242" s="33"/>
      <c r="I242" s="20" t="str">
        <f t="shared" si="49"/>
        <v/>
      </c>
      <c r="J242" s="21" t="str">
        <f>IFERROR(VLOOKUP(BR242,Pricing!$D$3:$E$58,2,FALSE),"")</f>
        <v/>
      </c>
      <c r="K242" s="32"/>
      <c r="L242" s="32"/>
      <c r="M242" s="32"/>
      <c r="N242" s="36" t="str" cm="1">
        <f t="array" ref="N242">IFERROR(_xlfn.IFS((AND(K242="SI",M242="$")),J242*0.2,AND(K242="SI",M242="%"),20),"")</f>
        <v/>
      </c>
      <c r="O242" s="29" t="str">
        <f t="shared" si="50"/>
        <v/>
      </c>
      <c r="P242" s="21" t="str">
        <f t="shared" si="51"/>
        <v/>
      </c>
      <c r="Q242" s="21" t="str">
        <f t="shared" si="52"/>
        <v/>
      </c>
      <c r="R242" s="21" t="str">
        <f t="shared" si="53"/>
        <v/>
      </c>
      <c r="S242" s="39"/>
      <c r="T242" s="43" t="str">
        <f t="shared" si="61"/>
        <v/>
      </c>
      <c r="U242" s="49" t="str">
        <f t="shared" si="62"/>
        <v/>
      </c>
      <c r="V242" s="48" t="str">
        <f t="shared" si="63"/>
        <v/>
      </c>
      <c r="W242" s="48" t="str">
        <f t="shared" si="54"/>
        <v/>
      </c>
      <c r="X242" s="50" t="str">
        <f>IF(W242="","",SUMIF($B$4:$B$1002,B242,$W$4:$W$1000))</f>
        <v/>
      </c>
      <c r="Y242" s="43" t="str">
        <f t="shared" si="55"/>
        <v/>
      </c>
      <c r="Z242" s="49" t="str">
        <f t="shared" si="56"/>
        <v/>
      </c>
      <c r="AA242" s="48" t="str">
        <f t="shared" si="57"/>
        <v/>
      </c>
      <c r="AB242" s="49" t="str">
        <f t="shared" si="58"/>
        <v/>
      </c>
      <c r="AC242" s="50" t="str">
        <f>IF(AB242="","",SUMIF($B$4:$B$1002,B242,$AB$4:$AB$1000))</f>
        <v/>
      </c>
      <c r="AD242" s="69"/>
      <c r="AE242" s="56"/>
      <c r="AF242" s="52"/>
      <c r="AG242" s="51"/>
      <c r="AH242" s="70"/>
      <c r="AI242" s="58"/>
      <c r="AJ242" s="55"/>
      <c r="AK242" s="51"/>
      <c r="AL242" s="69"/>
      <c r="AM242" s="56"/>
      <c r="AN242" s="52"/>
      <c r="AO242" s="51"/>
      <c r="AP242" s="70"/>
      <c r="AQ242" s="58"/>
      <c r="AR242" s="55"/>
      <c r="AS242" s="51"/>
      <c r="AT242" s="69"/>
      <c r="AU242" s="56"/>
      <c r="AV242" s="52"/>
      <c r="AW242" s="51"/>
      <c r="BR242" s="34" t="str">
        <f>IF(E242="","",CONCATENATE(E242," ",F242," noches"))</f>
        <v/>
      </c>
      <c r="BS242" s="28" t="str">
        <f t="shared" ca="1" si="59"/>
        <v/>
      </c>
      <c r="BT242" s="28" t="str">
        <f t="shared" ca="1" si="60"/>
        <v/>
      </c>
    </row>
    <row r="243" spans="1:72" x14ac:dyDescent="0.2">
      <c r="A243" s="18" t="str" cm="1">
        <f t="array" aca="1" ref="A243" ca="1">IF(B243="","","Grupo N˚"&amp;SUMPRODUCT(($B$4:B243&lt;&gt;"")*($B$4:B243&lt;&gt;OFFSET($B$4,-1,0,ROWS($B$4:B243),1))))</f>
        <v/>
      </c>
      <c r="B243" s="31"/>
      <c r="C243" s="31"/>
      <c r="D243" s="31"/>
      <c r="E243" s="31"/>
      <c r="F243" s="32"/>
      <c r="G243" s="33"/>
      <c r="H243" s="33"/>
      <c r="I243" s="20" t="str">
        <f t="shared" si="49"/>
        <v/>
      </c>
      <c r="J243" s="21" t="str">
        <f>IFERROR(VLOOKUP(BR243,Pricing!$D$3:$E$58,2,FALSE),"")</f>
        <v/>
      </c>
      <c r="K243" s="32"/>
      <c r="L243" s="32"/>
      <c r="M243" s="32"/>
      <c r="N243" s="36" t="str" cm="1">
        <f t="array" ref="N243">IFERROR(_xlfn.IFS((AND(K243="SI",M243="$")),J243*0.2,AND(K243="SI",M243="%"),20),"")</f>
        <v/>
      </c>
      <c r="O243" s="29" t="str">
        <f t="shared" si="50"/>
        <v/>
      </c>
      <c r="P243" s="21" t="str">
        <f t="shared" si="51"/>
        <v/>
      </c>
      <c r="Q243" s="21" t="str">
        <f t="shared" si="52"/>
        <v/>
      </c>
      <c r="R243" s="21" t="str">
        <f t="shared" si="53"/>
        <v/>
      </c>
      <c r="S243" s="39"/>
      <c r="T243" s="43" t="str">
        <f t="shared" si="61"/>
        <v/>
      </c>
      <c r="U243" s="49" t="str">
        <f t="shared" si="62"/>
        <v/>
      </c>
      <c r="V243" s="48" t="str">
        <f t="shared" si="63"/>
        <v/>
      </c>
      <c r="W243" s="48" t="str">
        <f t="shared" si="54"/>
        <v/>
      </c>
      <c r="X243" s="50" t="str">
        <f>IF(W243="","",SUMIF($B$4:$B$1002,B243,$W$4:$W$1000))</f>
        <v/>
      </c>
      <c r="Y243" s="43" t="str">
        <f t="shared" si="55"/>
        <v/>
      </c>
      <c r="Z243" s="49" t="str">
        <f t="shared" si="56"/>
        <v/>
      </c>
      <c r="AA243" s="48" t="str">
        <f t="shared" si="57"/>
        <v/>
      </c>
      <c r="AB243" s="49" t="str">
        <f t="shared" si="58"/>
        <v/>
      </c>
      <c r="AC243" s="50" t="str">
        <f>IF(AB243="","",SUMIF($B$4:$B$1002,B243,$AB$4:$AB$1000))</f>
        <v/>
      </c>
      <c r="AD243" s="69"/>
      <c r="AE243" s="56"/>
      <c r="AF243" s="52"/>
      <c r="AG243" s="51"/>
      <c r="AH243" s="70"/>
      <c r="AI243" s="58"/>
      <c r="AJ243" s="55"/>
      <c r="AK243" s="51"/>
      <c r="AL243" s="69"/>
      <c r="AM243" s="56"/>
      <c r="AN243" s="52"/>
      <c r="AO243" s="51"/>
      <c r="AP243" s="70"/>
      <c r="AQ243" s="58"/>
      <c r="AR243" s="55"/>
      <c r="AS243" s="51"/>
      <c r="AT243" s="69"/>
      <c r="AU243" s="56"/>
      <c r="AV243" s="52"/>
      <c r="AW243" s="51"/>
      <c r="BR243" s="34" t="str">
        <f>IF(E243="","",CONCATENATE(E243," ",F243," noches"))</f>
        <v/>
      </c>
      <c r="BS243" s="28" t="str">
        <f t="shared" ca="1" si="59"/>
        <v/>
      </c>
      <c r="BT243" s="28" t="str">
        <f t="shared" ca="1" si="60"/>
        <v/>
      </c>
    </row>
    <row r="244" spans="1:72" x14ac:dyDescent="0.2">
      <c r="A244" s="18" t="str" cm="1">
        <f t="array" aca="1" ref="A244" ca="1">IF(B244="","","Grupo N˚"&amp;SUMPRODUCT(($B$4:B244&lt;&gt;"")*($B$4:B244&lt;&gt;OFFSET($B$4,-1,0,ROWS($B$4:B244),1))))</f>
        <v/>
      </c>
      <c r="B244" s="31"/>
      <c r="C244" s="31"/>
      <c r="D244" s="31"/>
      <c r="E244" s="31"/>
      <c r="F244" s="32"/>
      <c r="G244" s="33"/>
      <c r="H244" s="33"/>
      <c r="I244" s="20" t="str">
        <f t="shared" si="49"/>
        <v/>
      </c>
      <c r="J244" s="21" t="str">
        <f>IFERROR(VLOOKUP(BR244,Pricing!$D$3:$E$58,2,FALSE),"")</f>
        <v/>
      </c>
      <c r="K244" s="32"/>
      <c r="L244" s="32"/>
      <c r="M244" s="32"/>
      <c r="N244" s="36" t="str" cm="1">
        <f t="array" ref="N244">IFERROR(_xlfn.IFS((AND(K244="SI",M244="$")),J244*0.2,AND(K244="SI",M244="%"),20),"")</f>
        <v/>
      </c>
      <c r="O244" s="29" t="str">
        <f t="shared" si="50"/>
        <v/>
      </c>
      <c r="P244" s="21" t="str">
        <f t="shared" si="51"/>
        <v/>
      </c>
      <c r="Q244" s="21" t="str">
        <f t="shared" si="52"/>
        <v/>
      </c>
      <c r="R244" s="21" t="str">
        <f t="shared" si="53"/>
        <v/>
      </c>
      <c r="S244" s="39"/>
      <c r="T244" s="43" t="str">
        <f t="shared" si="61"/>
        <v/>
      </c>
      <c r="U244" s="49" t="str">
        <f t="shared" si="62"/>
        <v/>
      </c>
      <c r="V244" s="48" t="str">
        <f t="shared" si="63"/>
        <v/>
      </c>
      <c r="W244" s="48" t="str">
        <f t="shared" si="54"/>
        <v/>
      </c>
      <c r="X244" s="50" t="str">
        <f>IF(W244="","",SUMIF($B$4:$B$1002,B244,$W$4:$W$1000))</f>
        <v/>
      </c>
      <c r="Y244" s="43" t="str">
        <f t="shared" si="55"/>
        <v/>
      </c>
      <c r="Z244" s="49" t="str">
        <f t="shared" si="56"/>
        <v/>
      </c>
      <c r="AA244" s="48" t="str">
        <f t="shared" si="57"/>
        <v/>
      </c>
      <c r="AB244" s="49" t="str">
        <f t="shared" si="58"/>
        <v/>
      </c>
      <c r="AC244" s="50" t="str">
        <f>IF(AB244="","",SUMIF($B$4:$B$1002,B244,$AB$4:$AB$1000))</f>
        <v/>
      </c>
      <c r="AD244" s="69"/>
      <c r="AE244" s="56"/>
      <c r="AF244" s="52"/>
      <c r="AG244" s="51"/>
      <c r="AH244" s="70"/>
      <c r="AI244" s="58"/>
      <c r="AJ244" s="55"/>
      <c r="AK244" s="51"/>
      <c r="AL244" s="69"/>
      <c r="AM244" s="56"/>
      <c r="AN244" s="52"/>
      <c r="AO244" s="51"/>
      <c r="AP244" s="70"/>
      <c r="AQ244" s="58"/>
      <c r="AR244" s="55"/>
      <c r="AS244" s="51"/>
      <c r="AT244" s="69"/>
      <c r="AU244" s="56"/>
      <c r="AV244" s="52"/>
      <c r="AW244" s="51"/>
      <c r="BR244" s="34" t="str">
        <f>IF(E244="","",CONCATENATE(E244," ",F244," noches"))</f>
        <v/>
      </c>
      <c r="BS244" s="28" t="str">
        <f t="shared" ca="1" si="59"/>
        <v/>
      </c>
      <c r="BT244" s="28" t="str">
        <f t="shared" ca="1" si="60"/>
        <v/>
      </c>
    </row>
    <row r="245" spans="1:72" x14ac:dyDescent="0.2">
      <c r="A245" s="18" t="str" cm="1">
        <f t="array" aca="1" ref="A245" ca="1">IF(B245="","","Grupo N˚"&amp;SUMPRODUCT(($B$4:B245&lt;&gt;"")*($B$4:B245&lt;&gt;OFFSET($B$4,-1,0,ROWS($B$4:B245),1))))</f>
        <v/>
      </c>
      <c r="B245" s="31"/>
      <c r="C245" s="31"/>
      <c r="D245" s="31"/>
      <c r="E245" s="31"/>
      <c r="F245" s="32"/>
      <c r="G245" s="33"/>
      <c r="H245" s="33"/>
      <c r="I245" s="20" t="str">
        <f t="shared" si="49"/>
        <v/>
      </c>
      <c r="J245" s="21" t="str">
        <f>IFERROR(VLOOKUP(BR245,Pricing!$D$3:$E$58,2,FALSE),"")</f>
        <v/>
      </c>
      <c r="K245" s="32"/>
      <c r="L245" s="32"/>
      <c r="M245" s="32"/>
      <c r="N245" s="36" t="str" cm="1">
        <f t="array" ref="N245">IFERROR(_xlfn.IFS((AND(K245="SI",M245="$")),J245*0.2,AND(K245="SI",M245="%"),20),"")</f>
        <v/>
      </c>
      <c r="O245" s="29" t="str">
        <f t="shared" si="50"/>
        <v/>
      </c>
      <c r="P245" s="21" t="str">
        <f t="shared" si="51"/>
        <v/>
      </c>
      <c r="Q245" s="21" t="str">
        <f t="shared" si="52"/>
        <v/>
      </c>
      <c r="R245" s="21" t="str">
        <f t="shared" si="53"/>
        <v/>
      </c>
      <c r="S245" s="39"/>
      <c r="T245" s="43" t="str">
        <f t="shared" si="61"/>
        <v/>
      </c>
      <c r="U245" s="49" t="str">
        <f t="shared" si="62"/>
        <v/>
      </c>
      <c r="V245" s="48" t="str">
        <f t="shared" si="63"/>
        <v/>
      </c>
      <c r="W245" s="48" t="str">
        <f t="shared" si="54"/>
        <v/>
      </c>
      <c r="X245" s="50" t="str">
        <f>IF(W245="","",SUMIF($B$4:$B$1002,B245,$W$4:$W$1000))</f>
        <v/>
      </c>
      <c r="Y245" s="43" t="str">
        <f t="shared" si="55"/>
        <v/>
      </c>
      <c r="Z245" s="49" t="str">
        <f t="shared" si="56"/>
        <v/>
      </c>
      <c r="AA245" s="48" t="str">
        <f t="shared" si="57"/>
        <v/>
      </c>
      <c r="AB245" s="49" t="str">
        <f t="shared" si="58"/>
        <v/>
      </c>
      <c r="AC245" s="50" t="str">
        <f>IF(AB245="","",SUMIF($B$4:$B$1002,B245,$AB$4:$AB$1000))</f>
        <v/>
      </c>
      <c r="AD245" s="69"/>
      <c r="AE245" s="56"/>
      <c r="AF245" s="52"/>
      <c r="AG245" s="51"/>
      <c r="AH245" s="70"/>
      <c r="AI245" s="58"/>
      <c r="AJ245" s="55"/>
      <c r="AK245" s="51"/>
      <c r="AL245" s="69"/>
      <c r="AM245" s="56"/>
      <c r="AN245" s="52"/>
      <c r="AO245" s="51"/>
      <c r="AP245" s="70"/>
      <c r="AQ245" s="58"/>
      <c r="AR245" s="55"/>
      <c r="AS245" s="51"/>
      <c r="AT245" s="69"/>
      <c r="AU245" s="56"/>
      <c r="AV245" s="52"/>
      <c r="AW245" s="51"/>
      <c r="BR245" s="34" t="str">
        <f>IF(E245="","",CONCATENATE(E245," ",F245," noches"))</f>
        <v/>
      </c>
      <c r="BS245" s="28" t="str">
        <f t="shared" ca="1" si="59"/>
        <v/>
      </c>
      <c r="BT245" s="28" t="str">
        <f t="shared" ca="1" si="60"/>
        <v/>
      </c>
    </row>
    <row r="246" spans="1:72" x14ac:dyDescent="0.2">
      <c r="A246" s="18" t="str" cm="1">
        <f t="array" aca="1" ref="A246" ca="1">IF(B246="","","Grupo N˚"&amp;SUMPRODUCT(($B$4:B246&lt;&gt;"")*($B$4:B246&lt;&gt;OFFSET($B$4,-1,0,ROWS($B$4:B246),1))))</f>
        <v/>
      </c>
      <c r="B246" s="31"/>
      <c r="C246" s="31"/>
      <c r="D246" s="31"/>
      <c r="E246" s="31"/>
      <c r="F246" s="32"/>
      <c r="G246" s="33"/>
      <c r="H246" s="33"/>
      <c r="I246" s="20" t="str">
        <f t="shared" si="49"/>
        <v/>
      </c>
      <c r="J246" s="21" t="str">
        <f>IFERROR(VLOOKUP(BR246,Pricing!$D$3:$E$58,2,FALSE),"")</f>
        <v/>
      </c>
      <c r="K246" s="32"/>
      <c r="L246" s="32"/>
      <c r="M246" s="32"/>
      <c r="N246" s="36" t="str" cm="1">
        <f t="array" ref="N246">IFERROR(_xlfn.IFS((AND(K246="SI",M246="$")),J246*0.2,AND(K246="SI",M246="%"),20),"")</f>
        <v/>
      </c>
      <c r="O246" s="29" t="str">
        <f t="shared" si="50"/>
        <v/>
      </c>
      <c r="P246" s="21" t="str">
        <f t="shared" si="51"/>
        <v/>
      </c>
      <c r="Q246" s="21" t="str">
        <f t="shared" si="52"/>
        <v/>
      </c>
      <c r="R246" s="21" t="str">
        <f t="shared" si="53"/>
        <v/>
      </c>
      <c r="S246" s="39"/>
      <c r="T246" s="43" t="str">
        <f t="shared" si="61"/>
        <v/>
      </c>
      <c r="U246" s="49" t="str">
        <f t="shared" si="62"/>
        <v/>
      </c>
      <c r="V246" s="48" t="str">
        <f t="shared" si="63"/>
        <v/>
      </c>
      <c r="W246" s="48" t="str">
        <f t="shared" si="54"/>
        <v/>
      </c>
      <c r="X246" s="50" t="str">
        <f>IF(W246="","",SUMIF($B$4:$B$1002,B246,$W$4:$W$1000))</f>
        <v/>
      </c>
      <c r="Y246" s="43" t="str">
        <f t="shared" si="55"/>
        <v/>
      </c>
      <c r="Z246" s="49" t="str">
        <f t="shared" si="56"/>
        <v/>
      </c>
      <c r="AA246" s="48" t="str">
        <f t="shared" si="57"/>
        <v/>
      </c>
      <c r="AB246" s="49" t="str">
        <f t="shared" si="58"/>
        <v/>
      </c>
      <c r="AC246" s="50" t="str">
        <f>IF(AB246="","",SUMIF($B$4:$B$1002,B246,$AB$4:$AB$1000))</f>
        <v/>
      </c>
      <c r="AD246" s="69"/>
      <c r="AE246" s="56"/>
      <c r="AF246" s="52"/>
      <c r="AG246" s="51"/>
      <c r="AH246" s="70"/>
      <c r="AI246" s="58"/>
      <c r="AJ246" s="55"/>
      <c r="AK246" s="51"/>
      <c r="AL246" s="69"/>
      <c r="AM246" s="56"/>
      <c r="AN246" s="52"/>
      <c r="AO246" s="51"/>
      <c r="AP246" s="70"/>
      <c r="AQ246" s="58"/>
      <c r="AR246" s="55"/>
      <c r="AS246" s="51"/>
      <c r="AT246" s="69"/>
      <c r="AU246" s="56"/>
      <c r="AV246" s="52"/>
      <c r="AW246" s="51"/>
      <c r="BR246" s="34" t="str">
        <f>IF(E246="","",CONCATENATE(E246," ",F246," noches"))</f>
        <v/>
      </c>
      <c r="BS246" s="28" t="str">
        <f t="shared" ca="1" si="59"/>
        <v/>
      </c>
      <c r="BT246" s="28" t="str">
        <f t="shared" ca="1" si="60"/>
        <v/>
      </c>
    </row>
    <row r="247" spans="1:72" x14ac:dyDescent="0.2">
      <c r="A247" s="18" t="str" cm="1">
        <f t="array" aca="1" ref="A247" ca="1">IF(B247="","","Grupo N˚"&amp;SUMPRODUCT(($B$4:B247&lt;&gt;"")*($B$4:B247&lt;&gt;OFFSET($B$4,-1,0,ROWS($B$4:B247),1))))</f>
        <v/>
      </c>
      <c r="B247" s="31"/>
      <c r="C247" s="31"/>
      <c r="D247" s="31"/>
      <c r="E247" s="31"/>
      <c r="F247" s="32"/>
      <c r="G247" s="33"/>
      <c r="H247" s="33"/>
      <c r="I247" s="20" t="str">
        <f t="shared" si="49"/>
        <v/>
      </c>
      <c r="J247" s="21" t="str">
        <f>IFERROR(VLOOKUP(BR247,Pricing!$D$3:$E$58,2,FALSE),"")</f>
        <v/>
      </c>
      <c r="K247" s="32"/>
      <c r="L247" s="32"/>
      <c r="M247" s="32"/>
      <c r="N247" s="36" t="str" cm="1">
        <f t="array" ref="N247">IFERROR(_xlfn.IFS((AND(K247="SI",M247="$")),J247*0.2,AND(K247="SI",M247="%"),20),"")</f>
        <v/>
      </c>
      <c r="O247" s="29" t="str">
        <f t="shared" si="50"/>
        <v/>
      </c>
      <c r="P247" s="21" t="str">
        <f t="shared" si="51"/>
        <v/>
      </c>
      <c r="Q247" s="21" t="str">
        <f t="shared" si="52"/>
        <v/>
      </c>
      <c r="R247" s="21" t="str">
        <f t="shared" si="53"/>
        <v/>
      </c>
      <c r="S247" s="39"/>
      <c r="T247" s="43" t="str">
        <f t="shared" si="61"/>
        <v/>
      </c>
      <c r="U247" s="49" t="str">
        <f t="shared" si="62"/>
        <v/>
      </c>
      <c r="V247" s="48" t="str">
        <f t="shared" si="63"/>
        <v/>
      </c>
      <c r="W247" s="48" t="str">
        <f t="shared" si="54"/>
        <v/>
      </c>
      <c r="X247" s="50" t="str">
        <f>IF(W247="","",SUMIF($B$4:$B$1002,B247,$W$4:$W$1000))</f>
        <v/>
      </c>
      <c r="Y247" s="43" t="str">
        <f t="shared" si="55"/>
        <v/>
      </c>
      <c r="Z247" s="49" t="str">
        <f t="shared" si="56"/>
        <v/>
      </c>
      <c r="AA247" s="48" t="str">
        <f t="shared" si="57"/>
        <v/>
      </c>
      <c r="AB247" s="49" t="str">
        <f t="shared" si="58"/>
        <v/>
      </c>
      <c r="AC247" s="50" t="str">
        <f>IF(AB247="","",SUMIF($B$4:$B$1002,B247,$AB$4:$AB$1000))</f>
        <v/>
      </c>
      <c r="AD247" s="69"/>
      <c r="AE247" s="56"/>
      <c r="AF247" s="52"/>
      <c r="AG247" s="51"/>
      <c r="AH247" s="70"/>
      <c r="AI247" s="58"/>
      <c r="AJ247" s="55"/>
      <c r="AK247" s="51"/>
      <c r="AL247" s="69"/>
      <c r="AM247" s="56"/>
      <c r="AN247" s="52"/>
      <c r="AO247" s="51"/>
      <c r="AP247" s="70"/>
      <c r="AQ247" s="58"/>
      <c r="AR247" s="55"/>
      <c r="AS247" s="51"/>
      <c r="AT247" s="69"/>
      <c r="AU247" s="56"/>
      <c r="AV247" s="52"/>
      <c r="AW247" s="51"/>
      <c r="BR247" s="34" t="str">
        <f>IF(E247="","",CONCATENATE(E247," ",F247," noches"))</f>
        <v/>
      </c>
      <c r="BS247" s="28" t="str">
        <f t="shared" ca="1" si="59"/>
        <v/>
      </c>
      <c r="BT247" s="28" t="str">
        <f t="shared" ca="1" si="60"/>
        <v/>
      </c>
    </row>
    <row r="248" spans="1:72" x14ac:dyDescent="0.2">
      <c r="A248" s="18" t="str" cm="1">
        <f t="array" aca="1" ref="A248" ca="1">IF(B248="","","Grupo N˚"&amp;SUMPRODUCT(($B$4:B248&lt;&gt;"")*($B$4:B248&lt;&gt;OFFSET($B$4,-1,0,ROWS($B$4:B248),1))))</f>
        <v/>
      </c>
      <c r="B248" s="31"/>
      <c r="C248" s="31"/>
      <c r="D248" s="31"/>
      <c r="E248" s="31"/>
      <c r="F248" s="32"/>
      <c r="G248" s="33"/>
      <c r="H248" s="33"/>
      <c r="I248" s="20" t="str">
        <f t="shared" si="49"/>
        <v/>
      </c>
      <c r="J248" s="21" t="str">
        <f>IFERROR(VLOOKUP(BR248,Pricing!$D$3:$E$58,2,FALSE),"")</f>
        <v/>
      </c>
      <c r="K248" s="32"/>
      <c r="L248" s="32"/>
      <c r="M248" s="32"/>
      <c r="N248" s="36" t="str" cm="1">
        <f t="array" ref="N248">IFERROR(_xlfn.IFS((AND(K248="SI",M248="$")),J248*0.2,AND(K248="SI",M248="%"),20),"")</f>
        <v/>
      </c>
      <c r="O248" s="29" t="str">
        <f t="shared" si="50"/>
        <v/>
      </c>
      <c r="P248" s="21" t="str">
        <f t="shared" si="51"/>
        <v/>
      </c>
      <c r="Q248" s="21" t="str">
        <f t="shared" si="52"/>
        <v/>
      </c>
      <c r="R248" s="21" t="str">
        <f t="shared" si="53"/>
        <v/>
      </c>
      <c r="S248" s="39"/>
      <c r="T248" s="43" t="str">
        <f t="shared" si="61"/>
        <v/>
      </c>
      <c r="U248" s="49" t="str">
        <f t="shared" si="62"/>
        <v/>
      </c>
      <c r="V248" s="48" t="str">
        <f t="shared" si="63"/>
        <v/>
      </c>
      <c r="W248" s="48" t="str">
        <f t="shared" si="54"/>
        <v/>
      </c>
      <c r="X248" s="50" t="str">
        <f>IF(W248="","",SUMIF($B$4:$B$1002,B248,$W$4:$W$1000))</f>
        <v/>
      </c>
      <c r="Y248" s="43" t="str">
        <f t="shared" si="55"/>
        <v/>
      </c>
      <c r="Z248" s="49" t="str">
        <f t="shared" si="56"/>
        <v/>
      </c>
      <c r="AA248" s="48" t="str">
        <f t="shared" si="57"/>
        <v/>
      </c>
      <c r="AB248" s="49" t="str">
        <f t="shared" si="58"/>
        <v/>
      </c>
      <c r="AC248" s="50" t="str">
        <f>IF(AB248="","",SUMIF($B$4:$B$1002,B248,$AB$4:$AB$1000))</f>
        <v/>
      </c>
      <c r="AD248" s="69"/>
      <c r="AE248" s="56"/>
      <c r="AF248" s="52"/>
      <c r="AG248" s="51"/>
      <c r="AH248" s="70"/>
      <c r="AI248" s="58"/>
      <c r="AJ248" s="55"/>
      <c r="AK248" s="51"/>
      <c r="AL248" s="69"/>
      <c r="AM248" s="56"/>
      <c r="AN248" s="52"/>
      <c r="AO248" s="51"/>
      <c r="AP248" s="70"/>
      <c r="AQ248" s="58"/>
      <c r="AR248" s="55"/>
      <c r="AS248" s="51"/>
      <c r="AT248" s="69"/>
      <c r="AU248" s="56"/>
      <c r="AV248" s="52"/>
      <c r="AW248" s="51"/>
      <c r="BR248" s="34" t="str">
        <f>IF(E248="","",CONCATENATE(E248," ",F248," noches"))</f>
        <v/>
      </c>
      <c r="BS248" s="28" t="str">
        <f t="shared" ca="1" si="59"/>
        <v/>
      </c>
      <c r="BT248" s="28" t="str">
        <f t="shared" ca="1" si="60"/>
        <v/>
      </c>
    </row>
    <row r="249" spans="1:72" x14ac:dyDescent="0.2">
      <c r="A249" s="18" t="str" cm="1">
        <f t="array" aca="1" ref="A249" ca="1">IF(B249="","","Grupo N˚"&amp;SUMPRODUCT(($B$4:B249&lt;&gt;"")*($B$4:B249&lt;&gt;OFFSET($B$4,-1,0,ROWS($B$4:B249),1))))</f>
        <v/>
      </c>
      <c r="B249" s="31"/>
      <c r="C249" s="31"/>
      <c r="D249" s="31"/>
      <c r="E249" s="31"/>
      <c r="F249" s="32"/>
      <c r="G249" s="33"/>
      <c r="H249" s="33"/>
      <c r="I249" s="20" t="str">
        <f t="shared" si="49"/>
        <v/>
      </c>
      <c r="J249" s="21" t="str">
        <f>IFERROR(VLOOKUP(BR249,Pricing!$D$3:$E$58,2,FALSE),"")</f>
        <v/>
      </c>
      <c r="K249" s="32"/>
      <c r="L249" s="32"/>
      <c r="M249" s="32"/>
      <c r="N249" s="36" t="str" cm="1">
        <f t="array" ref="N249">IFERROR(_xlfn.IFS((AND(K249="SI",M249="$")),J249*0.2,AND(K249="SI",M249="%"),20),"")</f>
        <v/>
      </c>
      <c r="O249" s="29" t="str">
        <f t="shared" si="50"/>
        <v/>
      </c>
      <c r="P249" s="21" t="str">
        <f t="shared" si="51"/>
        <v/>
      </c>
      <c r="Q249" s="21" t="str">
        <f t="shared" si="52"/>
        <v/>
      </c>
      <c r="R249" s="21" t="str">
        <f t="shared" si="53"/>
        <v/>
      </c>
      <c r="S249" s="39"/>
      <c r="T249" s="43" t="str">
        <f t="shared" si="61"/>
        <v/>
      </c>
      <c r="U249" s="49" t="str">
        <f t="shared" si="62"/>
        <v/>
      </c>
      <c r="V249" s="48" t="str">
        <f t="shared" si="63"/>
        <v/>
      </c>
      <c r="W249" s="48" t="str">
        <f t="shared" si="54"/>
        <v/>
      </c>
      <c r="X249" s="50" t="str">
        <f>IF(W249="","",SUMIF($B$4:$B$1002,B249,$W$4:$W$1000))</f>
        <v/>
      </c>
      <c r="Y249" s="43" t="str">
        <f t="shared" si="55"/>
        <v/>
      </c>
      <c r="Z249" s="49" t="str">
        <f t="shared" si="56"/>
        <v/>
      </c>
      <c r="AA249" s="48" t="str">
        <f t="shared" si="57"/>
        <v/>
      </c>
      <c r="AB249" s="49" t="str">
        <f t="shared" si="58"/>
        <v/>
      </c>
      <c r="AC249" s="50" t="str">
        <f>IF(AB249="","",SUMIF($B$4:$B$1002,B249,$AB$4:$AB$1000))</f>
        <v/>
      </c>
      <c r="AD249" s="69"/>
      <c r="AE249" s="56"/>
      <c r="AF249" s="52"/>
      <c r="AG249" s="51"/>
      <c r="AH249" s="70"/>
      <c r="AI249" s="58"/>
      <c r="AJ249" s="55"/>
      <c r="AK249" s="51"/>
      <c r="AL249" s="69"/>
      <c r="AM249" s="56"/>
      <c r="AN249" s="52"/>
      <c r="AO249" s="51"/>
      <c r="AP249" s="70"/>
      <c r="AQ249" s="58"/>
      <c r="AR249" s="55"/>
      <c r="AS249" s="51"/>
      <c r="AT249" s="69"/>
      <c r="AU249" s="56"/>
      <c r="AV249" s="52"/>
      <c r="AW249" s="51"/>
      <c r="BR249" s="34" t="str">
        <f>IF(E249="","",CONCATENATE(E249," ",F249," noches"))</f>
        <v/>
      </c>
      <c r="BS249" s="28" t="str">
        <f t="shared" ca="1" si="59"/>
        <v/>
      </c>
      <c r="BT249" s="28" t="str">
        <f t="shared" ca="1" si="60"/>
        <v/>
      </c>
    </row>
    <row r="250" spans="1:72" x14ac:dyDescent="0.2">
      <c r="A250" s="18" t="str" cm="1">
        <f t="array" aca="1" ref="A250" ca="1">IF(B250="","","Grupo N˚"&amp;SUMPRODUCT(($B$4:B250&lt;&gt;"")*($B$4:B250&lt;&gt;OFFSET($B$4,-1,0,ROWS($B$4:B250),1))))</f>
        <v/>
      </c>
      <c r="B250" s="31"/>
      <c r="C250" s="31"/>
      <c r="D250" s="31"/>
      <c r="E250" s="31"/>
      <c r="F250" s="32"/>
      <c r="G250" s="33"/>
      <c r="H250" s="33"/>
      <c r="I250" s="20" t="str">
        <f t="shared" si="49"/>
        <v/>
      </c>
      <c r="J250" s="21" t="str">
        <f>IFERROR(VLOOKUP(BR250,Pricing!$D$3:$E$58,2,FALSE),"")</f>
        <v/>
      </c>
      <c r="K250" s="32"/>
      <c r="L250" s="32"/>
      <c r="M250" s="32"/>
      <c r="N250" s="36" t="str" cm="1">
        <f t="array" ref="N250">IFERROR(_xlfn.IFS((AND(K250="SI",M250="$")),J250*0.2,AND(K250="SI",M250="%"),20),"")</f>
        <v/>
      </c>
      <c r="O250" s="29" t="str">
        <f t="shared" si="50"/>
        <v/>
      </c>
      <c r="P250" s="21" t="str">
        <f t="shared" si="51"/>
        <v/>
      </c>
      <c r="Q250" s="21" t="str">
        <f t="shared" si="52"/>
        <v/>
      </c>
      <c r="R250" s="21" t="str">
        <f t="shared" si="53"/>
        <v/>
      </c>
      <c r="S250" s="39"/>
      <c r="T250" s="43" t="str">
        <f t="shared" si="61"/>
        <v/>
      </c>
      <c r="U250" s="49" t="str">
        <f t="shared" si="62"/>
        <v/>
      </c>
      <c r="V250" s="48" t="str">
        <f t="shared" si="63"/>
        <v/>
      </c>
      <c r="W250" s="48" t="str">
        <f t="shared" si="54"/>
        <v/>
      </c>
      <c r="X250" s="50" t="str">
        <f>IF(W250="","",SUMIF($B$4:$B$1002,B250,$W$4:$W$1000))</f>
        <v/>
      </c>
      <c r="Y250" s="43" t="str">
        <f t="shared" si="55"/>
        <v/>
      </c>
      <c r="Z250" s="49" t="str">
        <f t="shared" si="56"/>
        <v/>
      </c>
      <c r="AA250" s="48" t="str">
        <f t="shared" si="57"/>
        <v/>
      </c>
      <c r="AB250" s="49" t="str">
        <f t="shared" si="58"/>
        <v/>
      </c>
      <c r="AC250" s="50" t="str">
        <f>IF(AB250="","",SUMIF($B$4:$B$1002,B250,$AB$4:$AB$1000))</f>
        <v/>
      </c>
      <c r="AD250" s="69"/>
      <c r="AE250" s="56"/>
      <c r="AF250" s="52"/>
      <c r="AG250" s="51"/>
      <c r="AH250" s="70"/>
      <c r="AI250" s="58"/>
      <c r="AJ250" s="55"/>
      <c r="AK250" s="51"/>
      <c r="AL250" s="69"/>
      <c r="AM250" s="56"/>
      <c r="AN250" s="52"/>
      <c r="AO250" s="51"/>
      <c r="AP250" s="70"/>
      <c r="AQ250" s="58"/>
      <c r="AR250" s="55"/>
      <c r="AS250" s="51"/>
      <c r="AT250" s="69"/>
      <c r="AU250" s="56"/>
      <c r="AV250" s="52"/>
      <c r="AW250" s="51"/>
      <c r="BR250" s="34" t="str">
        <f>IF(E250="","",CONCATENATE(E250," ",F250," noches"))</f>
        <v/>
      </c>
      <c r="BS250" s="28" t="str">
        <f t="shared" ca="1" si="59"/>
        <v/>
      </c>
      <c r="BT250" s="28" t="str">
        <f t="shared" ca="1" si="60"/>
        <v/>
      </c>
    </row>
    <row r="251" spans="1:72" x14ac:dyDescent="0.2">
      <c r="A251" s="18" t="str" cm="1">
        <f t="array" aca="1" ref="A251" ca="1">IF(B251="","","Grupo N˚"&amp;SUMPRODUCT(($B$4:B251&lt;&gt;"")*($B$4:B251&lt;&gt;OFFSET($B$4,-1,0,ROWS($B$4:B251),1))))</f>
        <v/>
      </c>
      <c r="B251" s="31"/>
      <c r="C251" s="31"/>
      <c r="D251" s="31"/>
      <c r="E251" s="31"/>
      <c r="F251" s="32"/>
      <c r="G251" s="33"/>
      <c r="H251" s="33"/>
      <c r="I251" s="20" t="str">
        <f t="shared" si="49"/>
        <v/>
      </c>
      <c r="J251" s="21" t="str">
        <f>IFERROR(VLOOKUP(BR251,Pricing!$D$3:$E$58,2,FALSE),"")</f>
        <v/>
      </c>
      <c r="K251" s="32"/>
      <c r="L251" s="32"/>
      <c r="M251" s="32"/>
      <c r="N251" s="36" t="str" cm="1">
        <f t="array" ref="N251">IFERROR(_xlfn.IFS((AND(K251="SI",M251="$")),J251*0.2,AND(K251="SI",M251="%"),20),"")</f>
        <v/>
      </c>
      <c r="O251" s="29" t="str">
        <f t="shared" si="50"/>
        <v/>
      </c>
      <c r="P251" s="21" t="str">
        <f t="shared" si="51"/>
        <v/>
      </c>
      <c r="Q251" s="21" t="str">
        <f t="shared" si="52"/>
        <v/>
      </c>
      <c r="R251" s="21" t="str">
        <f t="shared" si="53"/>
        <v/>
      </c>
      <c r="S251" s="39"/>
      <c r="T251" s="43" t="str">
        <f t="shared" si="61"/>
        <v/>
      </c>
      <c r="U251" s="49" t="str">
        <f t="shared" si="62"/>
        <v/>
      </c>
      <c r="V251" s="48" t="str">
        <f t="shared" si="63"/>
        <v/>
      </c>
      <c r="W251" s="48" t="str">
        <f t="shared" si="54"/>
        <v/>
      </c>
      <c r="X251" s="50" t="str">
        <f>IF(W251="","",SUMIF($B$4:$B$1002,B251,$W$4:$W$1000))</f>
        <v/>
      </c>
      <c r="Y251" s="43" t="str">
        <f t="shared" si="55"/>
        <v/>
      </c>
      <c r="Z251" s="49" t="str">
        <f t="shared" si="56"/>
        <v/>
      </c>
      <c r="AA251" s="48" t="str">
        <f t="shared" si="57"/>
        <v/>
      </c>
      <c r="AB251" s="49" t="str">
        <f t="shared" si="58"/>
        <v/>
      </c>
      <c r="AC251" s="50" t="str">
        <f>IF(AB251="","",SUMIF($B$4:$B$1002,B251,$AB$4:$AB$1000))</f>
        <v/>
      </c>
      <c r="AD251" s="69"/>
      <c r="AE251" s="56"/>
      <c r="AF251" s="52"/>
      <c r="AG251" s="51"/>
      <c r="AH251" s="70"/>
      <c r="AI251" s="58"/>
      <c r="AJ251" s="55"/>
      <c r="AK251" s="51"/>
      <c r="AL251" s="69"/>
      <c r="AM251" s="56"/>
      <c r="AN251" s="52"/>
      <c r="AO251" s="51"/>
      <c r="AP251" s="70"/>
      <c r="AQ251" s="58"/>
      <c r="AR251" s="55"/>
      <c r="AS251" s="51"/>
      <c r="AT251" s="69"/>
      <c r="AU251" s="56"/>
      <c r="AV251" s="52"/>
      <c r="AW251" s="51"/>
      <c r="BR251" s="34" t="str">
        <f>IF(E251="","",CONCATENATE(E251," ",F251," noches"))</f>
        <v/>
      </c>
      <c r="BS251" s="28" t="str">
        <f t="shared" ca="1" si="59"/>
        <v/>
      </c>
      <c r="BT251" s="28" t="str">
        <f t="shared" ca="1" si="60"/>
        <v/>
      </c>
    </row>
    <row r="252" spans="1:72" x14ac:dyDescent="0.2">
      <c r="A252" s="18" t="str" cm="1">
        <f t="array" aca="1" ref="A252" ca="1">IF(B252="","","Grupo N˚"&amp;SUMPRODUCT(($B$4:B252&lt;&gt;"")*($B$4:B252&lt;&gt;OFFSET($B$4,-1,0,ROWS($B$4:B252),1))))</f>
        <v/>
      </c>
      <c r="B252" s="31"/>
      <c r="C252" s="31"/>
      <c r="D252" s="31"/>
      <c r="E252" s="31"/>
      <c r="F252" s="32"/>
      <c r="G252" s="33"/>
      <c r="H252" s="33"/>
      <c r="I252" s="20" t="str">
        <f t="shared" si="49"/>
        <v/>
      </c>
      <c r="J252" s="21" t="str">
        <f>IFERROR(VLOOKUP(BR252,Pricing!$D$3:$E$58,2,FALSE),"")</f>
        <v/>
      </c>
      <c r="K252" s="32"/>
      <c r="L252" s="32"/>
      <c r="M252" s="32"/>
      <c r="N252" s="36" t="str" cm="1">
        <f t="array" ref="N252">IFERROR(_xlfn.IFS((AND(K252="SI",M252="$")),J252*0.2,AND(K252="SI",M252="%"),20),"")</f>
        <v/>
      </c>
      <c r="O252" s="29" t="str">
        <f t="shared" si="50"/>
        <v/>
      </c>
      <c r="P252" s="21" t="str">
        <f t="shared" si="51"/>
        <v/>
      </c>
      <c r="Q252" s="21" t="str">
        <f t="shared" si="52"/>
        <v/>
      </c>
      <c r="R252" s="21" t="str">
        <f t="shared" si="53"/>
        <v/>
      </c>
      <c r="S252" s="39"/>
      <c r="T252" s="43" t="str">
        <f t="shared" si="61"/>
        <v/>
      </c>
      <c r="U252" s="49" t="str">
        <f t="shared" si="62"/>
        <v/>
      </c>
      <c r="V252" s="48" t="str">
        <f t="shared" si="63"/>
        <v/>
      </c>
      <c r="W252" s="48" t="str">
        <f t="shared" si="54"/>
        <v/>
      </c>
      <c r="X252" s="50" t="str">
        <f>IF(W252="","",SUMIF($B$4:$B$1002,B252,$W$4:$W$1000))</f>
        <v/>
      </c>
      <c r="Y252" s="43" t="str">
        <f t="shared" si="55"/>
        <v/>
      </c>
      <c r="Z252" s="49" t="str">
        <f t="shared" si="56"/>
        <v/>
      </c>
      <c r="AA252" s="48" t="str">
        <f t="shared" si="57"/>
        <v/>
      </c>
      <c r="AB252" s="49" t="str">
        <f t="shared" si="58"/>
        <v/>
      </c>
      <c r="AC252" s="50" t="str">
        <f>IF(AB252="","",SUMIF($B$4:$B$1002,B252,$AB$4:$AB$1000))</f>
        <v/>
      </c>
      <c r="AD252" s="69"/>
      <c r="AE252" s="56"/>
      <c r="AF252" s="52"/>
      <c r="AG252" s="51"/>
      <c r="AH252" s="70"/>
      <c r="AI252" s="58"/>
      <c r="AJ252" s="55"/>
      <c r="AK252" s="51"/>
      <c r="AL252" s="69"/>
      <c r="AM252" s="56"/>
      <c r="AN252" s="52"/>
      <c r="AO252" s="51"/>
      <c r="AP252" s="70"/>
      <c r="AQ252" s="58"/>
      <c r="AR252" s="55"/>
      <c r="AS252" s="51"/>
      <c r="AT252" s="69"/>
      <c r="AU252" s="56"/>
      <c r="AV252" s="52"/>
      <c r="AW252" s="51"/>
      <c r="BR252" s="34" t="str">
        <f>IF(E252="","",CONCATENATE(E252," ",F252," noches"))</f>
        <v/>
      </c>
      <c r="BS252" s="28" t="str">
        <f t="shared" ca="1" si="59"/>
        <v/>
      </c>
      <c r="BT252" s="28" t="str">
        <f t="shared" ca="1" si="60"/>
        <v/>
      </c>
    </row>
    <row r="253" spans="1:72" x14ac:dyDescent="0.2">
      <c r="A253" s="18" t="str" cm="1">
        <f t="array" aca="1" ref="A253" ca="1">IF(B253="","","Grupo N˚"&amp;SUMPRODUCT(($B$4:B253&lt;&gt;"")*($B$4:B253&lt;&gt;OFFSET($B$4,-1,0,ROWS($B$4:B253),1))))</f>
        <v/>
      </c>
      <c r="B253" s="31"/>
      <c r="C253" s="31"/>
      <c r="D253" s="31"/>
      <c r="E253" s="31"/>
      <c r="F253" s="32"/>
      <c r="G253" s="33"/>
      <c r="H253" s="33"/>
      <c r="I253" s="20" t="str">
        <f t="shared" si="49"/>
        <v/>
      </c>
      <c r="J253" s="21" t="str">
        <f>IFERROR(VLOOKUP(BR253,Pricing!$D$3:$E$58,2,FALSE),"")</f>
        <v/>
      </c>
      <c r="K253" s="32"/>
      <c r="L253" s="32"/>
      <c r="M253" s="32"/>
      <c r="N253" s="36" t="str" cm="1">
        <f t="array" ref="N253">IFERROR(_xlfn.IFS((AND(K253="SI",M253="$")),J253*0.2,AND(K253="SI",M253="%"),20),"")</f>
        <v/>
      </c>
      <c r="O253" s="29" t="str">
        <f t="shared" si="50"/>
        <v/>
      </c>
      <c r="P253" s="21" t="str">
        <f t="shared" si="51"/>
        <v/>
      </c>
      <c r="Q253" s="21" t="str">
        <f t="shared" si="52"/>
        <v/>
      </c>
      <c r="R253" s="21" t="str">
        <f t="shared" si="53"/>
        <v/>
      </c>
      <c r="S253" s="39"/>
      <c r="T253" s="43" t="str">
        <f t="shared" si="61"/>
        <v/>
      </c>
      <c r="U253" s="49" t="str">
        <f t="shared" si="62"/>
        <v/>
      </c>
      <c r="V253" s="48" t="str">
        <f t="shared" si="63"/>
        <v/>
      </c>
      <c r="W253" s="48" t="str">
        <f t="shared" si="54"/>
        <v/>
      </c>
      <c r="X253" s="50" t="str">
        <f>IF(W253="","",SUMIF($B$4:$B$1002,B253,$W$4:$W$1000))</f>
        <v/>
      </c>
      <c r="Y253" s="43" t="str">
        <f t="shared" si="55"/>
        <v/>
      </c>
      <c r="Z253" s="49" t="str">
        <f t="shared" si="56"/>
        <v/>
      </c>
      <c r="AA253" s="48" t="str">
        <f t="shared" si="57"/>
        <v/>
      </c>
      <c r="AB253" s="49" t="str">
        <f t="shared" si="58"/>
        <v/>
      </c>
      <c r="AC253" s="50" t="str">
        <f>IF(AB253="","",SUMIF($B$4:$B$1002,B253,$AB$4:$AB$1000))</f>
        <v/>
      </c>
      <c r="AD253" s="69"/>
      <c r="AE253" s="56"/>
      <c r="AF253" s="52"/>
      <c r="AG253" s="51"/>
      <c r="AH253" s="70"/>
      <c r="AI253" s="58"/>
      <c r="AJ253" s="55"/>
      <c r="AK253" s="51"/>
      <c r="AL253" s="69"/>
      <c r="AM253" s="56"/>
      <c r="AN253" s="52"/>
      <c r="AO253" s="51"/>
      <c r="AP253" s="70"/>
      <c r="AQ253" s="58"/>
      <c r="AR253" s="55"/>
      <c r="AS253" s="51"/>
      <c r="AT253" s="69"/>
      <c r="AU253" s="56"/>
      <c r="AV253" s="52"/>
      <c r="AW253" s="51"/>
      <c r="BR253" s="34" t="str">
        <f>IF(E253="","",CONCATENATE(E253," ",F253," noches"))</f>
        <v/>
      </c>
      <c r="BS253" s="28" t="str">
        <f t="shared" ca="1" si="59"/>
        <v/>
      </c>
      <c r="BT253" s="28" t="str">
        <f t="shared" ca="1" si="60"/>
        <v/>
      </c>
    </row>
    <row r="254" spans="1:72" x14ac:dyDescent="0.2">
      <c r="A254" s="18" t="str" cm="1">
        <f t="array" aca="1" ref="A254" ca="1">IF(B254="","","Grupo N˚"&amp;SUMPRODUCT(($B$4:B254&lt;&gt;"")*($B$4:B254&lt;&gt;OFFSET($B$4,-1,0,ROWS($B$4:B254),1))))</f>
        <v/>
      </c>
      <c r="B254" s="31"/>
      <c r="C254" s="31"/>
      <c r="D254" s="31"/>
      <c r="E254" s="31"/>
      <c r="F254" s="32"/>
      <c r="G254" s="33"/>
      <c r="H254" s="33"/>
      <c r="I254" s="20" t="str">
        <f t="shared" si="49"/>
        <v/>
      </c>
      <c r="J254" s="21" t="str">
        <f>IFERROR(VLOOKUP(BR254,Pricing!$D$3:$E$58,2,FALSE),"")</f>
        <v/>
      </c>
      <c r="K254" s="32"/>
      <c r="L254" s="32"/>
      <c r="M254" s="32"/>
      <c r="N254" s="36" t="str" cm="1">
        <f t="array" ref="N254">IFERROR(_xlfn.IFS((AND(K254="SI",M254="$")),J254*0.2,AND(K254="SI",M254="%"),20),"")</f>
        <v/>
      </c>
      <c r="O254" s="29" t="str">
        <f t="shared" si="50"/>
        <v/>
      </c>
      <c r="P254" s="21" t="str">
        <f t="shared" si="51"/>
        <v/>
      </c>
      <c r="Q254" s="21" t="str">
        <f t="shared" si="52"/>
        <v/>
      </c>
      <c r="R254" s="21" t="str">
        <f t="shared" si="53"/>
        <v/>
      </c>
      <c r="S254" s="39"/>
      <c r="T254" s="43" t="str">
        <f t="shared" si="61"/>
        <v/>
      </c>
      <c r="U254" s="49" t="str">
        <f t="shared" si="62"/>
        <v/>
      </c>
      <c r="V254" s="48" t="str">
        <f t="shared" si="63"/>
        <v/>
      </c>
      <c r="W254" s="48" t="str">
        <f t="shared" si="54"/>
        <v/>
      </c>
      <c r="X254" s="50" t="str">
        <f>IF(W254="","",SUMIF($B$4:$B$1002,B254,$W$4:$W$1000))</f>
        <v/>
      </c>
      <c r="Y254" s="43" t="str">
        <f t="shared" si="55"/>
        <v/>
      </c>
      <c r="Z254" s="49" t="str">
        <f t="shared" si="56"/>
        <v/>
      </c>
      <c r="AA254" s="48" t="str">
        <f t="shared" si="57"/>
        <v/>
      </c>
      <c r="AB254" s="49" t="str">
        <f t="shared" si="58"/>
        <v/>
      </c>
      <c r="AC254" s="50" t="str">
        <f>IF(AB254="","",SUMIF($B$4:$B$1002,B254,$AB$4:$AB$1000))</f>
        <v/>
      </c>
      <c r="AD254" s="69"/>
      <c r="AE254" s="56"/>
      <c r="AF254" s="52"/>
      <c r="AG254" s="51"/>
      <c r="AH254" s="70"/>
      <c r="AI254" s="58"/>
      <c r="AJ254" s="55"/>
      <c r="AK254" s="51"/>
      <c r="AL254" s="69"/>
      <c r="AM254" s="56"/>
      <c r="AN254" s="52"/>
      <c r="AO254" s="51"/>
      <c r="AP254" s="70"/>
      <c r="AQ254" s="58"/>
      <c r="AR254" s="55"/>
      <c r="AS254" s="51"/>
      <c r="AT254" s="69"/>
      <c r="AU254" s="56"/>
      <c r="AV254" s="52"/>
      <c r="AW254" s="51"/>
      <c r="BR254" s="34" t="str">
        <f>IF(E254="","",CONCATENATE(E254," ",F254," noches"))</f>
        <v/>
      </c>
      <c r="BS254" s="28" t="str">
        <f t="shared" ca="1" si="59"/>
        <v/>
      </c>
      <c r="BT254" s="28" t="str">
        <f t="shared" ca="1" si="60"/>
        <v/>
      </c>
    </row>
    <row r="255" spans="1:72" x14ac:dyDescent="0.2">
      <c r="A255" s="18" t="str" cm="1">
        <f t="array" aca="1" ref="A255" ca="1">IF(B255="","","Grupo N˚"&amp;SUMPRODUCT(($B$4:B255&lt;&gt;"")*($B$4:B255&lt;&gt;OFFSET($B$4,-1,0,ROWS($B$4:B255),1))))</f>
        <v/>
      </c>
      <c r="B255" s="31"/>
      <c r="C255" s="31"/>
      <c r="D255" s="31"/>
      <c r="E255" s="31"/>
      <c r="F255" s="32"/>
      <c r="G255" s="33"/>
      <c r="H255" s="33"/>
      <c r="I255" s="20" t="str">
        <f t="shared" si="49"/>
        <v/>
      </c>
      <c r="J255" s="21" t="str">
        <f>IFERROR(VLOOKUP(BR255,Pricing!$D$3:$E$58,2,FALSE),"")</f>
        <v/>
      </c>
      <c r="K255" s="32"/>
      <c r="L255" s="32"/>
      <c r="M255" s="32"/>
      <c r="N255" s="36" t="str" cm="1">
        <f t="array" ref="N255">IFERROR(_xlfn.IFS((AND(K255="SI",M255="$")),J255*0.2,AND(K255="SI",M255="%"),20),"")</f>
        <v/>
      </c>
      <c r="O255" s="29" t="str">
        <f t="shared" si="50"/>
        <v/>
      </c>
      <c r="P255" s="21" t="str">
        <f t="shared" si="51"/>
        <v/>
      </c>
      <c r="Q255" s="21" t="str">
        <f t="shared" si="52"/>
        <v/>
      </c>
      <c r="R255" s="21" t="str">
        <f t="shared" si="53"/>
        <v/>
      </c>
      <c r="S255" s="39"/>
      <c r="T255" s="43" t="str">
        <f t="shared" si="61"/>
        <v/>
      </c>
      <c r="U255" s="49" t="str">
        <f t="shared" si="62"/>
        <v/>
      </c>
      <c r="V255" s="48" t="str">
        <f t="shared" si="63"/>
        <v/>
      </c>
      <c r="W255" s="48" t="str">
        <f t="shared" si="54"/>
        <v/>
      </c>
      <c r="X255" s="50" t="str">
        <f>IF(W255="","",SUMIF($B$4:$B$1002,B255,$W$4:$W$1000))</f>
        <v/>
      </c>
      <c r="Y255" s="43" t="str">
        <f t="shared" si="55"/>
        <v/>
      </c>
      <c r="Z255" s="49" t="str">
        <f t="shared" si="56"/>
        <v/>
      </c>
      <c r="AA255" s="48" t="str">
        <f t="shared" si="57"/>
        <v/>
      </c>
      <c r="AB255" s="49" t="str">
        <f t="shared" si="58"/>
        <v/>
      </c>
      <c r="AC255" s="50" t="str">
        <f>IF(AB255="","",SUMIF($B$4:$B$1002,B255,$AB$4:$AB$1000))</f>
        <v/>
      </c>
      <c r="AD255" s="69"/>
      <c r="AE255" s="56"/>
      <c r="AF255" s="52"/>
      <c r="AG255" s="51"/>
      <c r="AH255" s="70"/>
      <c r="AI255" s="58"/>
      <c r="AJ255" s="55"/>
      <c r="AK255" s="51"/>
      <c r="AL255" s="69"/>
      <c r="AM255" s="56"/>
      <c r="AN255" s="52"/>
      <c r="AO255" s="51"/>
      <c r="AP255" s="70"/>
      <c r="AQ255" s="58"/>
      <c r="AR255" s="55"/>
      <c r="AS255" s="51"/>
      <c r="AT255" s="69"/>
      <c r="AU255" s="56"/>
      <c r="AV255" s="52"/>
      <c r="AW255" s="51"/>
      <c r="BR255" s="34" t="str">
        <f>IF(E255="","",CONCATENATE(E255," ",F255," noches"))</f>
        <v/>
      </c>
      <c r="BS255" s="28" t="str">
        <f t="shared" ca="1" si="59"/>
        <v/>
      </c>
      <c r="BT255" s="28" t="str">
        <f t="shared" ca="1" si="60"/>
        <v/>
      </c>
    </row>
    <row r="256" spans="1:72" x14ac:dyDescent="0.2">
      <c r="A256" s="18" t="str" cm="1">
        <f t="array" aca="1" ref="A256" ca="1">IF(B256="","","Grupo N˚"&amp;SUMPRODUCT(($B$4:B256&lt;&gt;"")*($B$4:B256&lt;&gt;OFFSET($B$4,-1,0,ROWS($B$4:B256),1))))</f>
        <v/>
      </c>
      <c r="B256" s="31"/>
      <c r="C256" s="31"/>
      <c r="D256" s="31"/>
      <c r="E256" s="31"/>
      <c r="F256" s="32"/>
      <c r="G256" s="33"/>
      <c r="H256" s="33"/>
      <c r="I256" s="20" t="str">
        <f t="shared" si="49"/>
        <v/>
      </c>
      <c r="J256" s="21" t="str">
        <f>IFERROR(VLOOKUP(BR256,Pricing!$D$3:$E$58,2,FALSE),"")</f>
        <v/>
      </c>
      <c r="K256" s="32"/>
      <c r="L256" s="32"/>
      <c r="M256" s="32"/>
      <c r="N256" s="36" t="str" cm="1">
        <f t="array" ref="N256">IFERROR(_xlfn.IFS((AND(K256="SI",M256="$")),J256*0.2,AND(K256="SI",M256="%"),20),"")</f>
        <v/>
      </c>
      <c r="O256" s="29" t="str">
        <f t="shared" si="50"/>
        <v/>
      </c>
      <c r="P256" s="21" t="str">
        <f t="shared" si="51"/>
        <v/>
      </c>
      <c r="Q256" s="21" t="str">
        <f t="shared" si="52"/>
        <v/>
      </c>
      <c r="R256" s="21" t="str">
        <f t="shared" si="53"/>
        <v/>
      </c>
      <c r="S256" s="39"/>
      <c r="T256" s="43" t="str">
        <f t="shared" si="61"/>
        <v/>
      </c>
      <c r="U256" s="49" t="str">
        <f t="shared" si="62"/>
        <v/>
      </c>
      <c r="V256" s="48" t="str">
        <f t="shared" si="63"/>
        <v/>
      </c>
      <c r="W256" s="48" t="str">
        <f t="shared" si="54"/>
        <v/>
      </c>
      <c r="X256" s="50" t="str">
        <f>IF(W256="","",SUMIF($B$4:$B$1002,B256,$W$4:$W$1000))</f>
        <v/>
      </c>
      <c r="Y256" s="43" t="str">
        <f t="shared" si="55"/>
        <v/>
      </c>
      <c r="Z256" s="49" t="str">
        <f t="shared" si="56"/>
        <v/>
      </c>
      <c r="AA256" s="48" t="str">
        <f t="shared" si="57"/>
        <v/>
      </c>
      <c r="AB256" s="49" t="str">
        <f t="shared" si="58"/>
        <v/>
      </c>
      <c r="AC256" s="50" t="str">
        <f>IF(AB256="","",SUMIF($B$4:$B$1002,B256,$AB$4:$AB$1000))</f>
        <v/>
      </c>
      <c r="AD256" s="69"/>
      <c r="AE256" s="56"/>
      <c r="AF256" s="52"/>
      <c r="AG256" s="51"/>
      <c r="AH256" s="70"/>
      <c r="AI256" s="58"/>
      <c r="AJ256" s="55"/>
      <c r="AK256" s="51"/>
      <c r="AL256" s="69"/>
      <c r="AM256" s="56"/>
      <c r="AN256" s="52"/>
      <c r="AO256" s="51"/>
      <c r="AP256" s="70"/>
      <c r="AQ256" s="58"/>
      <c r="AR256" s="55"/>
      <c r="AS256" s="51"/>
      <c r="AT256" s="69"/>
      <c r="AU256" s="56"/>
      <c r="AV256" s="52"/>
      <c r="AW256" s="51"/>
      <c r="BR256" s="34" t="str">
        <f>IF(E256="","",CONCATENATE(E256," ",F256," noches"))</f>
        <v/>
      </c>
      <c r="BS256" s="28" t="str">
        <f t="shared" ca="1" si="59"/>
        <v/>
      </c>
      <c r="BT256" s="28" t="str">
        <f t="shared" ca="1" si="60"/>
        <v/>
      </c>
    </row>
    <row r="257" spans="1:72" x14ac:dyDescent="0.2">
      <c r="A257" s="18" t="str" cm="1">
        <f t="array" aca="1" ref="A257" ca="1">IF(B257="","","Grupo N˚"&amp;SUMPRODUCT(($B$4:B257&lt;&gt;"")*($B$4:B257&lt;&gt;OFFSET($B$4,-1,0,ROWS($B$4:B257),1))))</f>
        <v/>
      </c>
      <c r="B257" s="31"/>
      <c r="C257" s="31"/>
      <c r="D257" s="31"/>
      <c r="E257" s="31"/>
      <c r="F257" s="32"/>
      <c r="G257" s="33"/>
      <c r="H257" s="33"/>
      <c r="I257" s="20" t="str">
        <f t="shared" si="49"/>
        <v/>
      </c>
      <c r="J257" s="21" t="str">
        <f>IFERROR(VLOOKUP(BR257,Pricing!$D$3:$E$58,2,FALSE),"")</f>
        <v/>
      </c>
      <c r="K257" s="32"/>
      <c r="L257" s="32"/>
      <c r="M257" s="32"/>
      <c r="N257" s="36" t="str" cm="1">
        <f t="array" ref="N257">IFERROR(_xlfn.IFS((AND(K257="SI",M257="$")),J257*0.2,AND(K257="SI",M257="%"),20),"")</f>
        <v/>
      </c>
      <c r="O257" s="29" t="str">
        <f t="shared" si="50"/>
        <v/>
      </c>
      <c r="P257" s="21" t="str">
        <f t="shared" si="51"/>
        <v/>
      </c>
      <c r="Q257" s="21" t="str">
        <f t="shared" si="52"/>
        <v/>
      </c>
      <c r="R257" s="21" t="str">
        <f t="shared" si="53"/>
        <v/>
      </c>
      <c r="S257" s="39"/>
      <c r="T257" s="43" t="str">
        <f t="shared" si="61"/>
        <v/>
      </c>
      <c r="U257" s="49" t="str">
        <f t="shared" si="62"/>
        <v/>
      </c>
      <c r="V257" s="48" t="str">
        <f t="shared" si="63"/>
        <v/>
      </c>
      <c r="W257" s="48" t="str">
        <f t="shared" si="54"/>
        <v/>
      </c>
      <c r="X257" s="50" t="str">
        <f>IF(W257="","",SUMIF($B$4:$B$1002,B257,$W$4:$W$1000))</f>
        <v/>
      </c>
      <c r="Y257" s="43" t="str">
        <f t="shared" si="55"/>
        <v/>
      </c>
      <c r="Z257" s="49" t="str">
        <f t="shared" si="56"/>
        <v/>
      </c>
      <c r="AA257" s="48" t="str">
        <f t="shared" si="57"/>
        <v/>
      </c>
      <c r="AB257" s="49" t="str">
        <f t="shared" si="58"/>
        <v/>
      </c>
      <c r="AC257" s="50" t="str">
        <f>IF(AB257="","",SUMIF($B$4:$B$1002,B257,$AB$4:$AB$1000))</f>
        <v/>
      </c>
      <c r="AD257" s="69"/>
      <c r="AE257" s="56"/>
      <c r="AF257" s="52"/>
      <c r="AG257" s="51"/>
      <c r="AH257" s="70"/>
      <c r="AI257" s="58"/>
      <c r="AJ257" s="55"/>
      <c r="AK257" s="51"/>
      <c r="AL257" s="69"/>
      <c r="AM257" s="56"/>
      <c r="AN257" s="52"/>
      <c r="AO257" s="51"/>
      <c r="AP257" s="70"/>
      <c r="AQ257" s="58"/>
      <c r="AR257" s="55"/>
      <c r="AS257" s="51"/>
      <c r="AT257" s="69"/>
      <c r="AU257" s="56"/>
      <c r="AV257" s="52"/>
      <c r="AW257" s="51"/>
      <c r="BR257" s="34" t="str">
        <f>IF(E257="","",CONCATENATE(E257," ",F257," noches"))</f>
        <v/>
      </c>
      <c r="BS257" s="28" t="str">
        <f t="shared" ca="1" si="59"/>
        <v/>
      </c>
      <c r="BT257" s="28" t="str">
        <f t="shared" ca="1" si="60"/>
        <v/>
      </c>
    </row>
    <row r="258" spans="1:72" x14ac:dyDescent="0.2">
      <c r="A258" s="18" t="str" cm="1">
        <f t="array" aca="1" ref="A258" ca="1">IF(B258="","","Grupo N˚"&amp;SUMPRODUCT(($B$4:B258&lt;&gt;"")*($B$4:B258&lt;&gt;OFFSET($B$4,-1,0,ROWS($B$4:B258),1))))</f>
        <v/>
      </c>
      <c r="B258" s="31"/>
      <c r="C258" s="31"/>
      <c r="D258" s="31"/>
      <c r="E258" s="31"/>
      <c r="F258" s="32"/>
      <c r="G258" s="33"/>
      <c r="H258" s="33"/>
      <c r="I258" s="20" t="str">
        <f t="shared" si="49"/>
        <v/>
      </c>
      <c r="J258" s="21" t="str">
        <f>IFERROR(VLOOKUP(BR258,Pricing!$D$3:$E$58,2,FALSE),"")</f>
        <v/>
      </c>
      <c r="K258" s="32"/>
      <c r="L258" s="32"/>
      <c r="M258" s="32"/>
      <c r="N258" s="36" t="str" cm="1">
        <f t="array" ref="N258">IFERROR(_xlfn.IFS((AND(K258="SI",M258="$")),J258*0.2,AND(K258="SI",M258="%"),20),"")</f>
        <v/>
      </c>
      <c r="O258" s="29" t="str">
        <f t="shared" si="50"/>
        <v/>
      </c>
      <c r="P258" s="21" t="str">
        <f t="shared" si="51"/>
        <v/>
      </c>
      <c r="Q258" s="21" t="str">
        <f t="shared" si="52"/>
        <v/>
      </c>
      <c r="R258" s="21" t="str">
        <f t="shared" si="53"/>
        <v/>
      </c>
      <c r="S258" s="39"/>
      <c r="T258" s="43" t="str">
        <f t="shared" si="61"/>
        <v/>
      </c>
      <c r="U258" s="49" t="str">
        <f t="shared" si="62"/>
        <v/>
      </c>
      <c r="V258" s="48" t="str">
        <f t="shared" si="63"/>
        <v/>
      </c>
      <c r="W258" s="48" t="str">
        <f t="shared" si="54"/>
        <v/>
      </c>
      <c r="X258" s="50" t="str">
        <f>IF(W258="","",SUMIF($B$4:$B$1002,B258,$W$4:$W$1000))</f>
        <v/>
      </c>
      <c r="Y258" s="43" t="str">
        <f t="shared" si="55"/>
        <v/>
      </c>
      <c r="Z258" s="49" t="str">
        <f t="shared" si="56"/>
        <v/>
      </c>
      <c r="AA258" s="48" t="str">
        <f t="shared" si="57"/>
        <v/>
      </c>
      <c r="AB258" s="49" t="str">
        <f t="shared" si="58"/>
        <v/>
      </c>
      <c r="AC258" s="50" t="str">
        <f>IF(AB258="","",SUMIF($B$4:$B$1002,B258,$AB$4:$AB$1000))</f>
        <v/>
      </c>
      <c r="AD258" s="69"/>
      <c r="AE258" s="56"/>
      <c r="AF258" s="52"/>
      <c r="AG258" s="51"/>
      <c r="AH258" s="70"/>
      <c r="AI258" s="58"/>
      <c r="AJ258" s="55"/>
      <c r="AK258" s="51"/>
      <c r="AL258" s="69"/>
      <c r="AM258" s="56"/>
      <c r="AN258" s="52"/>
      <c r="AO258" s="51"/>
      <c r="AP258" s="70"/>
      <c r="AQ258" s="58"/>
      <c r="AR258" s="55"/>
      <c r="AS258" s="51"/>
      <c r="AT258" s="69"/>
      <c r="AU258" s="56"/>
      <c r="AV258" s="52"/>
      <c r="AW258" s="51"/>
      <c r="BR258" s="34" t="str">
        <f>IF(E258="","",CONCATENATE(E258," ",F258," noches"))</f>
        <v/>
      </c>
      <c r="BS258" s="28" t="str">
        <f t="shared" ca="1" si="59"/>
        <v/>
      </c>
      <c r="BT258" s="28" t="str">
        <f t="shared" ca="1" si="60"/>
        <v/>
      </c>
    </row>
    <row r="259" spans="1:72" x14ac:dyDescent="0.2">
      <c r="A259" s="18" t="str" cm="1">
        <f t="array" aca="1" ref="A259" ca="1">IF(B259="","","Grupo N˚"&amp;SUMPRODUCT(($B$4:B259&lt;&gt;"")*($B$4:B259&lt;&gt;OFFSET($B$4,-1,0,ROWS($B$4:B259),1))))</f>
        <v/>
      </c>
      <c r="B259" s="31"/>
      <c r="C259" s="31"/>
      <c r="D259" s="31"/>
      <c r="E259" s="31"/>
      <c r="F259" s="32"/>
      <c r="G259" s="33"/>
      <c r="H259" s="33"/>
      <c r="I259" s="20" t="str">
        <f t="shared" si="49"/>
        <v/>
      </c>
      <c r="J259" s="21" t="str">
        <f>IFERROR(VLOOKUP(BR259,Pricing!$D$3:$E$58,2,FALSE),"")</f>
        <v/>
      </c>
      <c r="K259" s="32"/>
      <c r="L259" s="32"/>
      <c r="M259" s="32"/>
      <c r="N259" s="36" t="str" cm="1">
        <f t="array" ref="N259">IFERROR(_xlfn.IFS((AND(K259="SI",M259="$")),J259*0.2,AND(K259="SI",M259="%"),20),"")</f>
        <v/>
      </c>
      <c r="O259" s="29" t="str">
        <f t="shared" si="50"/>
        <v/>
      </c>
      <c r="P259" s="21" t="str">
        <f t="shared" si="51"/>
        <v/>
      </c>
      <c r="Q259" s="21" t="str">
        <f t="shared" si="52"/>
        <v/>
      </c>
      <c r="R259" s="21" t="str">
        <f t="shared" si="53"/>
        <v/>
      </c>
      <c r="S259" s="39"/>
      <c r="T259" s="43" t="str">
        <f t="shared" si="61"/>
        <v/>
      </c>
      <c r="U259" s="49" t="str">
        <f t="shared" si="62"/>
        <v/>
      </c>
      <c r="V259" s="48" t="str">
        <f t="shared" si="63"/>
        <v/>
      </c>
      <c r="W259" s="48" t="str">
        <f t="shared" si="54"/>
        <v/>
      </c>
      <c r="X259" s="50" t="str">
        <f>IF(W259="","",SUMIF($B$4:$B$1002,B259,$W$4:$W$1000))</f>
        <v/>
      </c>
      <c r="Y259" s="43" t="str">
        <f t="shared" si="55"/>
        <v/>
      </c>
      <c r="Z259" s="49" t="str">
        <f t="shared" si="56"/>
        <v/>
      </c>
      <c r="AA259" s="48" t="str">
        <f t="shared" si="57"/>
        <v/>
      </c>
      <c r="AB259" s="49" t="str">
        <f t="shared" si="58"/>
        <v/>
      </c>
      <c r="AC259" s="50" t="str">
        <f>IF(AB259="","",SUMIF($B$4:$B$1002,B259,$AB$4:$AB$1000))</f>
        <v/>
      </c>
      <c r="AD259" s="69"/>
      <c r="AE259" s="56"/>
      <c r="AF259" s="52"/>
      <c r="AG259" s="51"/>
      <c r="AH259" s="70"/>
      <c r="AI259" s="58"/>
      <c r="AJ259" s="55"/>
      <c r="AK259" s="51"/>
      <c r="AL259" s="69"/>
      <c r="AM259" s="56"/>
      <c r="AN259" s="52"/>
      <c r="AO259" s="51"/>
      <c r="AP259" s="70"/>
      <c r="AQ259" s="58"/>
      <c r="AR259" s="55"/>
      <c r="AS259" s="51"/>
      <c r="AT259" s="69"/>
      <c r="AU259" s="56"/>
      <c r="AV259" s="52"/>
      <c r="AW259" s="51"/>
      <c r="BR259" s="34" t="str">
        <f>IF(E259="","",CONCATENATE(E259," ",F259," noches"))</f>
        <v/>
      </c>
      <c r="BS259" s="28" t="str">
        <f t="shared" ca="1" si="59"/>
        <v/>
      </c>
      <c r="BT259" s="28" t="str">
        <f t="shared" ca="1" si="60"/>
        <v/>
      </c>
    </row>
    <row r="260" spans="1:72" x14ac:dyDescent="0.2">
      <c r="A260" s="18" t="str" cm="1">
        <f t="array" aca="1" ref="A260" ca="1">IF(B260="","","Grupo N˚"&amp;SUMPRODUCT(($B$4:B260&lt;&gt;"")*($B$4:B260&lt;&gt;OFFSET($B$4,-1,0,ROWS($B$4:B260),1))))</f>
        <v/>
      </c>
      <c r="B260" s="31"/>
      <c r="C260" s="31"/>
      <c r="D260" s="31"/>
      <c r="E260" s="31"/>
      <c r="F260" s="32"/>
      <c r="G260" s="33"/>
      <c r="H260" s="33"/>
      <c r="I260" s="20" t="str">
        <f t="shared" si="49"/>
        <v/>
      </c>
      <c r="J260" s="21" t="str">
        <f>IFERROR(VLOOKUP(BR260,Pricing!$D$3:$E$58,2,FALSE),"")</f>
        <v/>
      </c>
      <c r="K260" s="32"/>
      <c r="L260" s="32"/>
      <c r="M260" s="32"/>
      <c r="N260" s="36" t="str" cm="1">
        <f t="array" ref="N260">IFERROR(_xlfn.IFS((AND(K260="SI",M260="$")),J260*0.2,AND(K260="SI",M260="%"),20),"")</f>
        <v/>
      </c>
      <c r="O260" s="29" t="str">
        <f t="shared" si="50"/>
        <v/>
      </c>
      <c r="P260" s="21" t="str">
        <f t="shared" si="51"/>
        <v/>
      </c>
      <c r="Q260" s="21" t="str">
        <f t="shared" si="52"/>
        <v/>
      </c>
      <c r="R260" s="21" t="str">
        <f t="shared" si="53"/>
        <v/>
      </c>
      <c r="S260" s="39"/>
      <c r="T260" s="43" t="str">
        <f t="shared" si="61"/>
        <v/>
      </c>
      <c r="U260" s="49" t="str">
        <f t="shared" si="62"/>
        <v/>
      </c>
      <c r="V260" s="48" t="str">
        <f t="shared" si="63"/>
        <v/>
      </c>
      <c r="W260" s="48" t="str">
        <f t="shared" si="54"/>
        <v/>
      </c>
      <c r="X260" s="50" t="str">
        <f>IF(W260="","",SUMIF($B$4:$B$1002,B260,$W$4:$W$1000))</f>
        <v/>
      </c>
      <c r="Y260" s="43" t="str">
        <f t="shared" si="55"/>
        <v/>
      </c>
      <c r="Z260" s="49" t="str">
        <f t="shared" si="56"/>
        <v/>
      </c>
      <c r="AA260" s="48" t="str">
        <f t="shared" si="57"/>
        <v/>
      </c>
      <c r="AB260" s="49" t="str">
        <f t="shared" si="58"/>
        <v/>
      </c>
      <c r="AC260" s="50" t="str">
        <f>IF(AB260="","",SUMIF($B$4:$B$1002,B260,$AB$4:$AB$1000))</f>
        <v/>
      </c>
      <c r="AD260" s="69"/>
      <c r="AE260" s="56"/>
      <c r="AF260" s="52"/>
      <c r="AG260" s="51"/>
      <c r="AH260" s="70"/>
      <c r="AI260" s="58"/>
      <c r="AJ260" s="55"/>
      <c r="AK260" s="51"/>
      <c r="AL260" s="69"/>
      <c r="AM260" s="56"/>
      <c r="AN260" s="52"/>
      <c r="AO260" s="51"/>
      <c r="AP260" s="70"/>
      <c r="AQ260" s="58"/>
      <c r="AR260" s="55"/>
      <c r="AS260" s="51"/>
      <c r="AT260" s="69"/>
      <c r="AU260" s="56"/>
      <c r="AV260" s="52"/>
      <c r="AW260" s="51"/>
      <c r="BR260" s="34" t="str">
        <f>IF(E260="","",CONCATENATE(E260," ",F260," noches"))</f>
        <v/>
      </c>
      <c r="BS260" s="28" t="str">
        <f t="shared" ca="1" si="59"/>
        <v/>
      </c>
      <c r="BT260" s="28" t="str">
        <f t="shared" ca="1" si="60"/>
        <v/>
      </c>
    </row>
    <row r="261" spans="1:72" x14ac:dyDescent="0.2">
      <c r="A261" s="18" t="str" cm="1">
        <f t="array" aca="1" ref="A261" ca="1">IF(B261="","","Grupo N˚"&amp;SUMPRODUCT(($B$4:B261&lt;&gt;"")*($B$4:B261&lt;&gt;OFFSET($B$4,-1,0,ROWS($B$4:B261),1))))</f>
        <v/>
      </c>
      <c r="B261" s="31"/>
      <c r="C261" s="31"/>
      <c r="D261" s="31"/>
      <c r="E261" s="31"/>
      <c r="F261" s="32"/>
      <c r="G261" s="33"/>
      <c r="H261" s="33"/>
      <c r="I261" s="20" t="str">
        <f t="shared" ref="I261:I324" si="64">+IF(H261="","",G261+H261)</f>
        <v/>
      </c>
      <c r="J261" s="21" t="str">
        <f>IFERROR(VLOOKUP(BR261,Pricing!$D$3:$E$58,2,FALSE),"")</f>
        <v/>
      </c>
      <c r="K261" s="32"/>
      <c r="L261" s="32"/>
      <c r="M261" s="32"/>
      <c r="N261" s="36" t="str" cm="1">
        <f t="array" ref="N261">IFERROR(_xlfn.IFS((AND(K261="SI",M261="$")),J261*0.2,AND(K261="SI",M261="%"),20),"")</f>
        <v/>
      </c>
      <c r="O261" s="29" t="str">
        <f t="shared" ref="O261:O324" si="65">IFERROR(IF($M261="%",
             IF(N(N261)&gt;1, N(N261)/100, N(N261)),
             IF(AND($J261&gt;0,$M261="$"), N(N261)/$J261, "")
            ),"")</f>
        <v/>
      </c>
      <c r="P261" s="21" t="str">
        <f t="shared" ref="P261:P324" si="66">IFERROR(IF(M261="$", N(N261), IF(M261="%", J261*N(N261/100), "")), "")</f>
        <v/>
      </c>
      <c r="Q261" s="21" t="str">
        <f t="shared" ref="Q261:Q324" si="67">IF(J261="","",J261*(1-N(O261)))</f>
        <v/>
      </c>
      <c r="R261" s="21" t="str">
        <f t="shared" ref="R261:R324" si="68">IF(Q261="","",Q261/1.19)</f>
        <v/>
      </c>
      <c r="S261" s="39"/>
      <c r="T261" s="43" t="str">
        <f t="shared" si="61"/>
        <v/>
      </c>
      <c r="U261" s="49" t="str">
        <f t="shared" si="62"/>
        <v/>
      </c>
      <c r="V261" s="48" t="str">
        <f t="shared" si="63"/>
        <v/>
      </c>
      <c r="W261" s="48" t="str">
        <f t="shared" ref="W261:W324" si="69">IFERROR(U261-N(V261),"")</f>
        <v/>
      </c>
      <c r="X261" s="50" t="str">
        <f>IF(W261="","",SUMIF($B$4:$B$1002,B261,$W$4:$W$1000))</f>
        <v/>
      </c>
      <c r="Y261" s="43" t="str">
        <f t="shared" ref="Y261:Y324" si="70">IF(AB261="","",IFERROR(
 IF(AND(ABS(N(AB261))&lt;0.5, BT261&gt;=23), "Sin deuda",
  IF(AND(N(AB261)&gt;0, BT261&gt;=23), "Con deuda",
   IF(AND(N(AB261)&gt;0, BT261&lt;23), "Moroso", "")
  )
),""))</f>
        <v/>
      </c>
      <c r="Z261" s="49" t="str">
        <f t="shared" ref="Z261:Z324" si="71">IF(R261="","",R261/2)</f>
        <v/>
      </c>
      <c r="AA261" s="48" t="str">
        <f t="shared" ref="AA261:AA324" si="72">IF(AD261="","",SUM(
 IF(ISNUMBER(SEARCH("saldo",AD261)),AF261,0),
 IF(ISNUMBER(SEARCH("saldo",AH261)),AJ261,0),
 IF(ISNUMBER(SEARCH("saldo",AL261)),AN261,0),
 IF(ISNUMBER(SEARCH("saldo",AP261)),AR261,0),
 IF(ISNUMBER(SEARCH("saldo",AT261)),AV261,0)
))</f>
        <v/>
      </c>
      <c r="AB261" s="49" t="str">
        <f t="shared" ref="AB261:AB324" si="73">IFERROR(Z261-N(AA261),"")</f>
        <v/>
      </c>
      <c r="AC261" s="50" t="str">
        <f>IF(AB261="","",SUMIF($B$4:$B$1002,B261,$AB$4:$AB$1000))</f>
        <v/>
      </c>
      <c r="AD261" s="69"/>
      <c r="AE261" s="56"/>
      <c r="AF261" s="52"/>
      <c r="AG261" s="51"/>
      <c r="AH261" s="70"/>
      <c r="AI261" s="58"/>
      <c r="AJ261" s="55"/>
      <c r="AK261" s="51"/>
      <c r="AL261" s="69"/>
      <c r="AM261" s="56"/>
      <c r="AN261" s="52"/>
      <c r="AO261" s="51"/>
      <c r="AP261" s="70"/>
      <c r="AQ261" s="58"/>
      <c r="AR261" s="55"/>
      <c r="AS261" s="51"/>
      <c r="AT261" s="69"/>
      <c r="AU261" s="56"/>
      <c r="AV261" s="52"/>
      <c r="AW261" s="51"/>
      <c r="BR261" s="34" t="str">
        <f>IF(E261="","",CONCATENATE(E261," ",F261," noches"))</f>
        <v/>
      </c>
      <c r="BS261" s="28" t="str">
        <f t="shared" ref="BS261:BS324" ca="1" si="74">IF(G261="","",+TODAY()-G261)</f>
        <v/>
      </c>
      <c r="BT261" s="28" t="str">
        <f t="shared" ref="BT261:BT324" ca="1" si="75">IF(H261="","",H261-TODAY())</f>
        <v/>
      </c>
    </row>
    <row r="262" spans="1:72" x14ac:dyDescent="0.2">
      <c r="A262" s="18" t="str" cm="1">
        <f t="array" aca="1" ref="A262" ca="1">IF(B262="","","Grupo N˚"&amp;SUMPRODUCT(($B$4:B262&lt;&gt;"")*($B$4:B262&lt;&gt;OFFSET($B$4,-1,0,ROWS($B$4:B262),1))))</f>
        <v/>
      </c>
      <c r="B262" s="31"/>
      <c r="C262" s="31"/>
      <c r="D262" s="31"/>
      <c r="E262" s="31"/>
      <c r="F262" s="32"/>
      <c r="G262" s="33"/>
      <c r="H262" s="33"/>
      <c r="I262" s="20" t="str">
        <f t="shared" si="64"/>
        <v/>
      </c>
      <c r="J262" s="21" t="str">
        <f>IFERROR(VLOOKUP(BR262,Pricing!$D$3:$E$58,2,FALSE),"")</f>
        <v/>
      </c>
      <c r="K262" s="32"/>
      <c r="L262" s="32"/>
      <c r="M262" s="32"/>
      <c r="N262" s="36" t="str" cm="1">
        <f t="array" ref="N262">IFERROR(_xlfn.IFS((AND(K262="SI",M262="$")),J262*0.2,AND(K262="SI",M262="%"),20),"")</f>
        <v/>
      </c>
      <c r="O262" s="29" t="str">
        <f t="shared" si="65"/>
        <v/>
      </c>
      <c r="P262" s="21" t="str">
        <f t="shared" si="66"/>
        <v/>
      </c>
      <c r="Q262" s="21" t="str">
        <f t="shared" si="67"/>
        <v/>
      </c>
      <c r="R262" s="21" t="str">
        <f t="shared" si="68"/>
        <v/>
      </c>
      <c r="S262" s="39"/>
      <c r="T262" s="43" t="str">
        <f t="shared" si="61"/>
        <v/>
      </c>
      <c r="U262" s="49" t="str">
        <f t="shared" si="62"/>
        <v/>
      </c>
      <c r="V262" s="48" t="str">
        <f t="shared" si="63"/>
        <v/>
      </c>
      <c r="W262" s="48" t="str">
        <f t="shared" si="69"/>
        <v/>
      </c>
      <c r="X262" s="50" t="str">
        <f>IF(W262="","",SUMIF($B$4:$B$1002,B262,$W$4:$W$1000))</f>
        <v/>
      </c>
      <c r="Y262" s="43" t="str">
        <f t="shared" si="70"/>
        <v/>
      </c>
      <c r="Z262" s="49" t="str">
        <f t="shared" si="71"/>
        <v/>
      </c>
      <c r="AA262" s="48" t="str">
        <f t="shared" si="72"/>
        <v/>
      </c>
      <c r="AB262" s="49" t="str">
        <f t="shared" si="73"/>
        <v/>
      </c>
      <c r="AC262" s="50" t="str">
        <f>IF(AB262="","",SUMIF($B$4:$B$1002,B262,$AB$4:$AB$1000))</f>
        <v/>
      </c>
      <c r="AD262" s="69"/>
      <c r="AE262" s="56"/>
      <c r="AF262" s="52"/>
      <c r="AG262" s="51"/>
      <c r="AH262" s="70"/>
      <c r="AI262" s="58"/>
      <c r="AJ262" s="55"/>
      <c r="AK262" s="51"/>
      <c r="AL262" s="69"/>
      <c r="AM262" s="56"/>
      <c r="AN262" s="52"/>
      <c r="AO262" s="51"/>
      <c r="AP262" s="70"/>
      <c r="AQ262" s="58"/>
      <c r="AR262" s="55"/>
      <c r="AS262" s="51"/>
      <c r="AT262" s="69"/>
      <c r="AU262" s="56"/>
      <c r="AV262" s="52"/>
      <c r="AW262" s="51"/>
      <c r="BR262" s="34" t="str">
        <f>IF(E262="","",CONCATENATE(E262," ",F262," noches"))</f>
        <v/>
      </c>
      <c r="BS262" s="28" t="str">
        <f t="shared" ca="1" si="74"/>
        <v/>
      </c>
      <c r="BT262" s="28" t="str">
        <f t="shared" ca="1" si="75"/>
        <v/>
      </c>
    </row>
    <row r="263" spans="1:72" x14ac:dyDescent="0.2">
      <c r="A263" s="18" t="str" cm="1">
        <f t="array" aca="1" ref="A263" ca="1">IF(B263="","","Grupo N˚"&amp;SUMPRODUCT(($B$4:B263&lt;&gt;"")*($B$4:B263&lt;&gt;OFFSET($B$4,-1,0,ROWS($B$4:B263),1))))</f>
        <v/>
      </c>
      <c r="B263" s="31"/>
      <c r="C263" s="31"/>
      <c r="D263" s="31"/>
      <c r="E263" s="31"/>
      <c r="F263" s="32"/>
      <c r="G263" s="33"/>
      <c r="H263" s="33"/>
      <c r="I263" s="20" t="str">
        <f t="shared" si="64"/>
        <v/>
      </c>
      <c r="J263" s="21" t="str">
        <f>IFERROR(VLOOKUP(BR263,Pricing!$D$3:$E$58,2,FALSE),"")</f>
        <v/>
      </c>
      <c r="K263" s="32"/>
      <c r="L263" s="32"/>
      <c r="M263" s="32"/>
      <c r="N263" s="36" t="str" cm="1">
        <f t="array" ref="N263">IFERROR(_xlfn.IFS((AND(K263="SI",M263="$")),J263*0.2,AND(K263="SI",M263="%"),20),"")</f>
        <v/>
      </c>
      <c r="O263" s="29" t="str">
        <f t="shared" si="65"/>
        <v/>
      </c>
      <c r="P263" s="21" t="str">
        <f t="shared" si="66"/>
        <v/>
      </c>
      <c r="Q263" s="21" t="str">
        <f t="shared" si="67"/>
        <v/>
      </c>
      <c r="R263" s="21" t="str">
        <f t="shared" si="68"/>
        <v/>
      </c>
      <c r="S263" s="39"/>
      <c r="T263" s="43" t="str">
        <f t="shared" si="61"/>
        <v/>
      </c>
      <c r="U263" s="49" t="str">
        <f t="shared" si="62"/>
        <v/>
      </c>
      <c r="V263" s="48" t="str">
        <f t="shared" si="63"/>
        <v/>
      </c>
      <c r="W263" s="48" t="str">
        <f t="shared" si="69"/>
        <v/>
      </c>
      <c r="X263" s="50" t="str">
        <f>IF(W263="","",SUMIF($B$4:$B$1002,B263,$W$4:$W$1000))</f>
        <v/>
      </c>
      <c r="Y263" s="43" t="str">
        <f t="shared" si="70"/>
        <v/>
      </c>
      <c r="Z263" s="49" t="str">
        <f t="shared" si="71"/>
        <v/>
      </c>
      <c r="AA263" s="48" t="str">
        <f t="shared" si="72"/>
        <v/>
      </c>
      <c r="AB263" s="49" t="str">
        <f t="shared" si="73"/>
        <v/>
      </c>
      <c r="AC263" s="50" t="str">
        <f>IF(AB263="","",SUMIF($B$4:$B$1002,B263,$AB$4:$AB$1000))</f>
        <v/>
      </c>
      <c r="AD263" s="69"/>
      <c r="AE263" s="56"/>
      <c r="AF263" s="52"/>
      <c r="AG263" s="51"/>
      <c r="AH263" s="70"/>
      <c r="AI263" s="58"/>
      <c r="AJ263" s="55"/>
      <c r="AK263" s="51"/>
      <c r="AL263" s="69"/>
      <c r="AM263" s="56"/>
      <c r="AN263" s="52"/>
      <c r="AO263" s="51"/>
      <c r="AP263" s="70"/>
      <c r="AQ263" s="58"/>
      <c r="AR263" s="55"/>
      <c r="AS263" s="51"/>
      <c r="AT263" s="69"/>
      <c r="AU263" s="56"/>
      <c r="AV263" s="52"/>
      <c r="AW263" s="51"/>
      <c r="BR263" s="34" t="str">
        <f>IF(E263="","",CONCATENATE(E263," ",F263," noches"))</f>
        <v/>
      </c>
      <c r="BS263" s="28" t="str">
        <f t="shared" ca="1" si="74"/>
        <v/>
      </c>
      <c r="BT263" s="28" t="str">
        <f t="shared" ca="1" si="75"/>
        <v/>
      </c>
    </row>
    <row r="264" spans="1:72" x14ac:dyDescent="0.2">
      <c r="A264" s="18" t="str" cm="1">
        <f t="array" aca="1" ref="A264" ca="1">IF(B264="","","Grupo N˚"&amp;SUMPRODUCT(($B$4:B264&lt;&gt;"")*($B$4:B264&lt;&gt;OFFSET($B$4,-1,0,ROWS($B$4:B264),1))))</f>
        <v/>
      </c>
      <c r="B264" s="31"/>
      <c r="C264" s="31"/>
      <c r="D264" s="31"/>
      <c r="E264" s="31"/>
      <c r="F264" s="32"/>
      <c r="G264" s="33"/>
      <c r="H264" s="33"/>
      <c r="I264" s="20" t="str">
        <f t="shared" si="64"/>
        <v/>
      </c>
      <c r="J264" s="21" t="str">
        <f>IFERROR(VLOOKUP(BR264,Pricing!$D$3:$E$58,2,FALSE),"")</f>
        <v/>
      </c>
      <c r="K264" s="32"/>
      <c r="L264" s="32"/>
      <c r="M264" s="32"/>
      <c r="N264" s="36" t="str" cm="1">
        <f t="array" ref="N264">IFERROR(_xlfn.IFS((AND(K264="SI",M264="$")),J264*0.2,AND(K264="SI",M264="%"),20),"")</f>
        <v/>
      </c>
      <c r="O264" s="29" t="str">
        <f t="shared" si="65"/>
        <v/>
      </c>
      <c r="P264" s="21" t="str">
        <f t="shared" si="66"/>
        <v/>
      </c>
      <c r="Q264" s="21" t="str">
        <f t="shared" si="67"/>
        <v/>
      </c>
      <c r="R264" s="21" t="str">
        <f t="shared" si="68"/>
        <v/>
      </c>
      <c r="S264" s="39"/>
      <c r="T264" s="43" t="str">
        <f t="shared" si="61"/>
        <v/>
      </c>
      <c r="U264" s="49" t="str">
        <f t="shared" si="62"/>
        <v/>
      </c>
      <c r="V264" s="48" t="str">
        <f t="shared" si="63"/>
        <v/>
      </c>
      <c r="W264" s="48" t="str">
        <f t="shared" si="69"/>
        <v/>
      </c>
      <c r="X264" s="50" t="str">
        <f>IF(W264="","",SUMIF($B$4:$B$1002,B264,$W$4:$W$1000))</f>
        <v/>
      </c>
      <c r="Y264" s="43" t="str">
        <f t="shared" si="70"/>
        <v/>
      </c>
      <c r="Z264" s="49" t="str">
        <f t="shared" si="71"/>
        <v/>
      </c>
      <c r="AA264" s="48" t="str">
        <f t="shared" si="72"/>
        <v/>
      </c>
      <c r="AB264" s="49" t="str">
        <f t="shared" si="73"/>
        <v/>
      </c>
      <c r="AC264" s="50" t="str">
        <f>IF(AB264="","",SUMIF($B$4:$B$1002,B264,$AB$4:$AB$1000))</f>
        <v/>
      </c>
      <c r="AD264" s="69"/>
      <c r="AE264" s="56"/>
      <c r="AF264" s="52"/>
      <c r="AG264" s="51"/>
      <c r="AH264" s="70"/>
      <c r="AI264" s="58"/>
      <c r="AJ264" s="55"/>
      <c r="AK264" s="51"/>
      <c r="AL264" s="69"/>
      <c r="AM264" s="56"/>
      <c r="AN264" s="52"/>
      <c r="AO264" s="51"/>
      <c r="AP264" s="70"/>
      <c r="AQ264" s="58"/>
      <c r="AR264" s="55"/>
      <c r="AS264" s="51"/>
      <c r="AT264" s="69"/>
      <c r="AU264" s="56"/>
      <c r="AV264" s="52"/>
      <c r="AW264" s="51"/>
      <c r="BR264" s="34" t="str">
        <f>IF(E264="","",CONCATENATE(E264," ",F264," noches"))</f>
        <v/>
      </c>
      <c r="BS264" s="28" t="str">
        <f t="shared" ca="1" si="74"/>
        <v/>
      </c>
      <c r="BT264" s="28" t="str">
        <f t="shared" ca="1" si="75"/>
        <v/>
      </c>
    </row>
    <row r="265" spans="1:72" x14ac:dyDescent="0.2">
      <c r="A265" s="18" t="str" cm="1">
        <f t="array" aca="1" ref="A265" ca="1">IF(B265="","","Grupo N˚"&amp;SUMPRODUCT(($B$4:B265&lt;&gt;"")*($B$4:B265&lt;&gt;OFFSET($B$4,-1,0,ROWS($B$4:B265),1))))</f>
        <v/>
      </c>
      <c r="B265" s="31"/>
      <c r="C265" s="31"/>
      <c r="D265" s="31"/>
      <c r="E265" s="31"/>
      <c r="F265" s="32"/>
      <c r="G265" s="33"/>
      <c r="H265" s="33"/>
      <c r="I265" s="20" t="str">
        <f t="shared" si="64"/>
        <v/>
      </c>
      <c r="J265" s="21" t="str">
        <f>IFERROR(VLOOKUP(BR265,Pricing!$D$3:$E$58,2,FALSE),"")</f>
        <v/>
      </c>
      <c r="K265" s="32"/>
      <c r="L265" s="32"/>
      <c r="M265" s="32"/>
      <c r="N265" s="36" t="str" cm="1">
        <f t="array" ref="N265">IFERROR(_xlfn.IFS((AND(K265="SI",M265="$")),J265*0.2,AND(K265="SI",M265="%"),20),"")</f>
        <v/>
      </c>
      <c r="O265" s="29" t="str">
        <f t="shared" si="65"/>
        <v/>
      </c>
      <c r="P265" s="21" t="str">
        <f t="shared" si="66"/>
        <v/>
      </c>
      <c r="Q265" s="21" t="str">
        <f t="shared" si="67"/>
        <v/>
      </c>
      <c r="R265" s="21" t="str">
        <f t="shared" si="68"/>
        <v/>
      </c>
      <c r="S265" s="39"/>
      <c r="T265" s="43" t="str">
        <f t="shared" ref="T265:T328" si="76">IF(W265="","",IFERROR(
 IF(AND(ABS(N(W265))&lt;0.5, BS265&lt;=7), "Sin deuda",
  IF(AND(N(W265)&gt;0, BS265&lt;=7), "Con deuda",
   IF(AND(N(W265)&gt;0, BS265&gt;7), "Moroso", "")
  )
)," "))</f>
        <v/>
      </c>
      <c r="U265" s="49" t="str">
        <f t="shared" si="62"/>
        <v/>
      </c>
      <c r="V265" s="48" t="str">
        <f t="shared" si="63"/>
        <v/>
      </c>
      <c r="W265" s="48" t="str">
        <f t="shared" si="69"/>
        <v/>
      </c>
      <c r="X265" s="50" t="str">
        <f>IF(W265="","",SUMIF($B$4:$B$1002,B265,$W$4:$W$1000))</f>
        <v/>
      </c>
      <c r="Y265" s="43" t="str">
        <f t="shared" si="70"/>
        <v/>
      </c>
      <c r="Z265" s="49" t="str">
        <f t="shared" si="71"/>
        <v/>
      </c>
      <c r="AA265" s="48" t="str">
        <f t="shared" si="72"/>
        <v/>
      </c>
      <c r="AB265" s="49" t="str">
        <f t="shared" si="73"/>
        <v/>
      </c>
      <c r="AC265" s="50" t="str">
        <f>IF(AB265="","",SUMIF($B$4:$B$1002,B265,$AB$4:$AB$1000))</f>
        <v/>
      </c>
      <c r="AD265" s="69"/>
      <c r="AE265" s="56"/>
      <c r="AF265" s="52"/>
      <c r="AG265" s="51"/>
      <c r="AH265" s="70"/>
      <c r="AI265" s="58"/>
      <c r="AJ265" s="55"/>
      <c r="AK265" s="51"/>
      <c r="AL265" s="69"/>
      <c r="AM265" s="56"/>
      <c r="AN265" s="52"/>
      <c r="AO265" s="51"/>
      <c r="AP265" s="70"/>
      <c r="AQ265" s="58"/>
      <c r="AR265" s="55"/>
      <c r="AS265" s="51"/>
      <c r="AT265" s="69"/>
      <c r="AU265" s="56"/>
      <c r="AV265" s="52"/>
      <c r="AW265" s="51"/>
      <c r="BR265" s="34" t="str">
        <f>IF(E265="","",CONCATENATE(E265," ",F265," noches"))</f>
        <v/>
      </c>
      <c r="BS265" s="28" t="str">
        <f t="shared" ca="1" si="74"/>
        <v/>
      </c>
      <c r="BT265" s="28" t="str">
        <f t="shared" ca="1" si="75"/>
        <v/>
      </c>
    </row>
    <row r="266" spans="1:72" x14ac:dyDescent="0.2">
      <c r="A266" s="18" t="str" cm="1">
        <f t="array" aca="1" ref="A266" ca="1">IF(B266="","","Grupo N˚"&amp;SUMPRODUCT(($B$4:B266&lt;&gt;"")*($B$4:B266&lt;&gt;OFFSET($B$4,-1,0,ROWS($B$4:B266),1))))</f>
        <v/>
      </c>
      <c r="B266" s="31"/>
      <c r="C266" s="31"/>
      <c r="D266" s="31"/>
      <c r="E266" s="31"/>
      <c r="F266" s="32"/>
      <c r="G266" s="33"/>
      <c r="H266" s="33"/>
      <c r="I266" s="20" t="str">
        <f t="shared" si="64"/>
        <v/>
      </c>
      <c r="J266" s="21" t="str">
        <f>IFERROR(VLOOKUP(BR266,Pricing!$D$3:$E$58,2,FALSE),"")</f>
        <v/>
      </c>
      <c r="K266" s="32"/>
      <c r="L266" s="32"/>
      <c r="M266" s="32"/>
      <c r="N266" s="36" t="str" cm="1">
        <f t="array" ref="N266">IFERROR(_xlfn.IFS((AND(K266="SI",M266="$")),J266*0.2,AND(K266="SI",M266="%"),20),"")</f>
        <v/>
      </c>
      <c r="O266" s="29" t="str">
        <f t="shared" si="65"/>
        <v/>
      </c>
      <c r="P266" s="21" t="str">
        <f t="shared" si="66"/>
        <v/>
      </c>
      <c r="Q266" s="21" t="str">
        <f t="shared" si="67"/>
        <v/>
      </c>
      <c r="R266" s="21" t="str">
        <f t="shared" si="68"/>
        <v/>
      </c>
      <c r="S266" s="39"/>
      <c r="T266" s="43" t="str">
        <f t="shared" si="76"/>
        <v/>
      </c>
      <c r="U266" s="49" t="str">
        <f t="shared" si="62"/>
        <v/>
      </c>
      <c r="V266" s="48" t="str">
        <f t="shared" si="63"/>
        <v/>
      </c>
      <c r="W266" s="48" t="str">
        <f t="shared" si="69"/>
        <v/>
      </c>
      <c r="X266" s="50" t="str">
        <f>IF(W266="","",SUMIF($B$4:$B$1002,B266,$W$4:$W$1000))</f>
        <v/>
      </c>
      <c r="Y266" s="43" t="str">
        <f t="shared" si="70"/>
        <v/>
      </c>
      <c r="Z266" s="49" t="str">
        <f t="shared" si="71"/>
        <v/>
      </c>
      <c r="AA266" s="48" t="str">
        <f t="shared" si="72"/>
        <v/>
      </c>
      <c r="AB266" s="49" t="str">
        <f t="shared" si="73"/>
        <v/>
      </c>
      <c r="AC266" s="50" t="str">
        <f>IF(AB266="","",SUMIF($B$4:$B$1002,B266,$AB$4:$AB$1000))</f>
        <v/>
      </c>
      <c r="AD266" s="69"/>
      <c r="AE266" s="56"/>
      <c r="AF266" s="52"/>
      <c r="AG266" s="51"/>
      <c r="AH266" s="70"/>
      <c r="AI266" s="58"/>
      <c r="AJ266" s="55"/>
      <c r="AK266" s="51"/>
      <c r="AL266" s="69"/>
      <c r="AM266" s="56"/>
      <c r="AN266" s="52"/>
      <c r="AO266" s="51"/>
      <c r="AP266" s="70"/>
      <c r="AQ266" s="58"/>
      <c r="AR266" s="55"/>
      <c r="AS266" s="51"/>
      <c r="AT266" s="69"/>
      <c r="AU266" s="56"/>
      <c r="AV266" s="52"/>
      <c r="AW266" s="51"/>
      <c r="BR266" s="34" t="str">
        <f>IF(E266="","",CONCATENATE(E266," ",F266," noches"))</f>
        <v/>
      </c>
      <c r="BS266" s="28" t="str">
        <f t="shared" ca="1" si="74"/>
        <v/>
      </c>
      <c r="BT266" s="28" t="str">
        <f t="shared" ca="1" si="75"/>
        <v/>
      </c>
    </row>
    <row r="267" spans="1:72" x14ac:dyDescent="0.2">
      <c r="A267" s="18" t="str" cm="1">
        <f t="array" aca="1" ref="A267" ca="1">IF(B267="","","Grupo N˚"&amp;SUMPRODUCT(($B$4:B267&lt;&gt;"")*($B$4:B267&lt;&gt;OFFSET($B$4,-1,0,ROWS($B$4:B267),1))))</f>
        <v/>
      </c>
      <c r="B267" s="31"/>
      <c r="C267" s="31"/>
      <c r="D267" s="31"/>
      <c r="E267" s="31"/>
      <c r="F267" s="32"/>
      <c r="G267" s="33"/>
      <c r="H267" s="33"/>
      <c r="I267" s="20" t="str">
        <f t="shared" si="64"/>
        <v/>
      </c>
      <c r="J267" s="21" t="str">
        <f>IFERROR(VLOOKUP(BR267,Pricing!$D$3:$E$58,2,FALSE),"")</f>
        <v/>
      </c>
      <c r="K267" s="32"/>
      <c r="L267" s="32"/>
      <c r="M267" s="32"/>
      <c r="N267" s="36" t="str" cm="1">
        <f t="array" ref="N267">IFERROR(_xlfn.IFS((AND(K267="SI",M267="$")),J267*0.2,AND(K267="SI",M267="%"),20),"")</f>
        <v/>
      </c>
      <c r="O267" s="29" t="str">
        <f t="shared" si="65"/>
        <v/>
      </c>
      <c r="P267" s="21" t="str">
        <f t="shared" si="66"/>
        <v/>
      </c>
      <c r="Q267" s="21" t="str">
        <f t="shared" si="67"/>
        <v/>
      </c>
      <c r="R267" s="21" t="str">
        <f t="shared" si="68"/>
        <v/>
      </c>
      <c r="S267" s="39"/>
      <c r="T267" s="43" t="str">
        <f t="shared" si="76"/>
        <v/>
      </c>
      <c r="U267" s="49" t="str">
        <f t="shared" si="62"/>
        <v/>
      </c>
      <c r="V267" s="48" t="str">
        <f t="shared" si="63"/>
        <v/>
      </c>
      <c r="W267" s="48" t="str">
        <f t="shared" si="69"/>
        <v/>
      </c>
      <c r="X267" s="50" t="str">
        <f>IF(W267="","",SUMIF($B$4:$B$1002,B267,$W$4:$W$1000))</f>
        <v/>
      </c>
      <c r="Y267" s="43" t="str">
        <f t="shared" si="70"/>
        <v/>
      </c>
      <c r="Z267" s="49" t="str">
        <f t="shared" si="71"/>
        <v/>
      </c>
      <c r="AA267" s="48" t="str">
        <f t="shared" si="72"/>
        <v/>
      </c>
      <c r="AB267" s="49" t="str">
        <f t="shared" si="73"/>
        <v/>
      </c>
      <c r="AC267" s="50" t="str">
        <f>IF(AB267="","",SUMIF($B$4:$B$1002,B267,$AB$4:$AB$1000))</f>
        <v/>
      </c>
      <c r="AD267" s="69"/>
      <c r="AE267" s="56"/>
      <c r="AF267" s="52"/>
      <c r="AG267" s="51"/>
      <c r="AH267" s="70"/>
      <c r="AI267" s="58"/>
      <c r="AJ267" s="55"/>
      <c r="AK267" s="51"/>
      <c r="AL267" s="69"/>
      <c r="AM267" s="56"/>
      <c r="AN267" s="52"/>
      <c r="AO267" s="51"/>
      <c r="AP267" s="70"/>
      <c r="AQ267" s="58"/>
      <c r="AR267" s="55"/>
      <c r="AS267" s="51"/>
      <c r="AT267" s="69"/>
      <c r="AU267" s="56"/>
      <c r="AV267" s="52"/>
      <c r="AW267" s="51"/>
      <c r="BR267" s="34" t="str">
        <f>IF(E267="","",CONCATENATE(E267," ",F267," noches"))</f>
        <v/>
      </c>
      <c r="BS267" s="28" t="str">
        <f t="shared" ca="1" si="74"/>
        <v/>
      </c>
      <c r="BT267" s="28" t="str">
        <f t="shared" ca="1" si="75"/>
        <v/>
      </c>
    </row>
    <row r="268" spans="1:72" x14ac:dyDescent="0.2">
      <c r="A268" s="18" t="str" cm="1">
        <f t="array" aca="1" ref="A268" ca="1">IF(B268="","","Grupo N˚"&amp;SUMPRODUCT(($B$4:B268&lt;&gt;"")*($B$4:B268&lt;&gt;OFFSET($B$4,-1,0,ROWS($B$4:B268),1))))</f>
        <v/>
      </c>
      <c r="B268" s="31"/>
      <c r="C268" s="31"/>
      <c r="D268" s="31"/>
      <c r="E268" s="31"/>
      <c r="F268" s="32"/>
      <c r="G268" s="33"/>
      <c r="H268" s="33"/>
      <c r="I268" s="20" t="str">
        <f t="shared" si="64"/>
        <v/>
      </c>
      <c r="J268" s="21" t="str">
        <f>IFERROR(VLOOKUP(BR268,Pricing!$D$3:$E$58,2,FALSE),"")</f>
        <v/>
      </c>
      <c r="K268" s="32"/>
      <c r="L268" s="32"/>
      <c r="M268" s="32"/>
      <c r="N268" s="36" t="str" cm="1">
        <f t="array" ref="N268">IFERROR(_xlfn.IFS((AND(K268="SI",M268="$")),J268*0.2,AND(K268="SI",M268="%"),20),"")</f>
        <v/>
      </c>
      <c r="O268" s="29" t="str">
        <f t="shared" si="65"/>
        <v/>
      </c>
      <c r="P268" s="21" t="str">
        <f t="shared" si="66"/>
        <v/>
      </c>
      <c r="Q268" s="21" t="str">
        <f t="shared" si="67"/>
        <v/>
      </c>
      <c r="R268" s="21" t="str">
        <f t="shared" si="68"/>
        <v/>
      </c>
      <c r="S268" s="39"/>
      <c r="T268" s="43" t="str">
        <f t="shared" si="76"/>
        <v/>
      </c>
      <c r="U268" s="49" t="str">
        <f t="shared" si="62"/>
        <v/>
      </c>
      <c r="V268" s="48" t="str">
        <f t="shared" si="63"/>
        <v/>
      </c>
      <c r="W268" s="48" t="str">
        <f t="shared" si="69"/>
        <v/>
      </c>
      <c r="X268" s="50" t="str">
        <f>IF(W268="","",SUMIF($B$4:$B$1002,B268,$W$4:$W$1000))</f>
        <v/>
      </c>
      <c r="Y268" s="43" t="str">
        <f t="shared" si="70"/>
        <v/>
      </c>
      <c r="Z268" s="49" t="str">
        <f t="shared" si="71"/>
        <v/>
      </c>
      <c r="AA268" s="48" t="str">
        <f t="shared" si="72"/>
        <v/>
      </c>
      <c r="AB268" s="49" t="str">
        <f t="shared" si="73"/>
        <v/>
      </c>
      <c r="AC268" s="50" t="str">
        <f>IF(AB268="","",SUMIF($B$4:$B$1002,B268,$AB$4:$AB$1000))</f>
        <v/>
      </c>
      <c r="AD268" s="69"/>
      <c r="AE268" s="56"/>
      <c r="AF268" s="52"/>
      <c r="AG268" s="51"/>
      <c r="AH268" s="70"/>
      <c r="AI268" s="58"/>
      <c r="AJ268" s="55"/>
      <c r="AK268" s="51"/>
      <c r="AL268" s="69"/>
      <c r="AM268" s="56"/>
      <c r="AN268" s="52"/>
      <c r="AO268" s="51"/>
      <c r="AP268" s="70"/>
      <c r="AQ268" s="58"/>
      <c r="AR268" s="55"/>
      <c r="AS268" s="51"/>
      <c r="AT268" s="69"/>
      <c r="AU268" s="56"/>
      <c r="AV268" s="52"/>
      <c r="AW268" s="51"/>
      <c r="BR268" s="34" t="str">
        <f>IF(E268="","",CONCATENATE(E268," ",F268," noches"))</f>
        <v/>
      </c>
      <c r="BS268" s="28" t="str">
        <f t="shared" ca="1" si="74"/>
        <v/>
      </c>
      <c r="BT268" s="28" t="str">
        <f t="shared" ca="1" si="75"/>
        <v/>
      </c>
    </row>
    <row r="269" spans="1:72" x14ac:dyDescent="0.2">
      <c r="A269" s="18" t="str" cm="1">
        <f t="array" aca="1" ref="A269" ca="1">IF(B269="","","Grupo N˚"&amp;SUMPRODUCT(($B$4:B269&lt;&gt;"")*($B$4:B269&lt;&gt;OFFSET($B$4,-1,0,ROWS($B$4:B269),1))))</f>
        <v/>
      </c>
      <c r="B269" s="31"/>
      <c r="C269" s="31"/>
      <c r="D269" s="31"/>
      <c r="E269" s="31"/>
      <c r="F269" s="32"/>
      <c r="G269" s="33"/>
      <c r="H269" s="33"/>
      <c r="I269" s="20" t="str">
        <f t="shared" si="64"/>
        <v/>
      </c>
      <c r="J269" s="21" t="str">
        <f>IFERROR(VLOOKUP(BR269,Pricing!$D$3:$E$58,2,FALSE),"")</f>
        <v/>
      </c>
      <c r="K269" s="32"/>
      <c r="L269" s="32"/>
      <c r="M269" s="32"/>
      <c r="N269" s="36" t="str" cm="1">
        <f t="array" ref="N269">IFERROR(_xlfn.IFS((AND(K269="SI",M269="$")),J269*0.2,AND(K269="SI",M269="%"),20),"")</f>
        <v/>
      </c>
      <c r="O269" s="29" t="str">
        <f t="shared" si="65"/>
        <v/>
      </c>
      <c r="P269" s="21" t="str">
        <f t="shared" si="66"/>
        <v/>
      </c>
      <c r="Q269" s="21" t="str">
        <f t="shared" si="67"/>
        <v/>
      </c>
      <c r="R269" s="21" t="str">
        <f t="shared" si="68"/>
        <v/>
      </c>
      <c r="S269" s="39"/>
      <c r="T269" s="43" t="str">
        <f t="shared" si="76"/>
        <v/>
      </c>
      <c r="U269" s="49" t="str">
        <f t="shared" ref="U269:U332" si="77">IF(R269="","",R269/2)</f>
        <v/>
      </c>
      <c r="V269" s="48" t="str">
        <f t="shared" ref="V269:V332" si="78">IF(AD269="","",SUM(
 IF(ISNUMBER(SEARCH("reserva",AD269)),AF269,0),
 IF(ISNUMBER(SEARCH("reserva",AH269)),AJ269,0),
 IF(ISNUMBER(SEARCH("reserva",AL269)),AN269,0),
 IF(ISNUMBER(SEARCH("reserva",AP269)),AR269,0),
 IF(ISNUMBER(SEARCH("reserva",AT269)),AV269,0)
))</f>
        <v/>
      </c>
      <c r="W269" s="48" t="str">
        <f t="shared" si="69"/>
        <v/>
      </c>
      <c r="X269" s="50" t="str">
        <f>IF(W269="","",SUMIF($B$4:$B$1002,B269,$W$4:$W$1000))</f>
        <v/>
      </c>
      <c r="Y269" s="43" t="str">
        <f t="shared" si="70"/>
        <v/>
      </c>
      <c r="Z269" s="49" t="str">
        <f t="shared" si="71"/>
        <v/>
      </c>
      <c r="AA269" s="48" t="str">
        <f t="shared" si="72"/>
        <v/>
      </c>
      <c r="AB269" s="49" t="str">
        <f t="shared" si="73"/>
        <v/>
      </c>
      <c r="AC269" s="50" t="str">
        <f>IF(AB269="","",SUMIF($B$4:$B$1002,B269,$AB$4:$AB$1000))</f>
        <v/>
      </c>
      <c r="AD269" s="69"/>
      <c r="AE269" s="56"/>
      <c r="AF269" s="52"/>
      <c r="AG269" s="51"/>
      <c r="AH269" s="70"/>
      <c r="AI269" s="58"/>
      <c r="AJ269" s="55"/>
      <c r="AK269" s="51"/>
      <c r="AL269" s="69"/>
      <c r="AM269" s="56"/>
      <c r="AN269" s="52"/>
      <c r="AO269" s="51"/>
      <c r="AP269" s="70"/>
      <c r="AQ269" s="58"/>
      <c r="AR269" s="55"/>
      <c r="AS269" s="51"/>
      <c r="AT269" s="69"/>
      <c r="AU269" s="56"/>
      <c r="AV269" s="52"/>
      <c r="AW269" s="51"/>
      <c r="BR269" s="34" t="str">
        <f>IF(E269="","",CONCATENATE(E269," ",F269," noches"))</f>
        <v/>
      </c>
      <c r="BS269" s="28" t="str">
        <f t="shared" ca="1" si="74"/>
        <v/>
      </c>
      <c r="BT269" s="28" t="str">
        <f t="shared" ca="1" si="75"/>
        <v/>
      </c>
    </row>
    <row r="270" spans="1:72" x14ac:dyDescent="0.2">
      <c r="A270" s="18" t="str" cm="1">
        <f t="array" aca="1" ref="A270" ca="1">IF(B270="","","Grupo N˚"&amp;SUMPRODUCT(($B$4:B270&lt;&gt;"")*($B$4:B270&lt;&gt;OFFSET($B$4,-1,0,ROWS($B$4:B270),1))))</f>
        <v/>
      </c>
      <c r="B270" s="31"/>
      <c r="C270" s="31"/>
      <c r="D270" s="31"/>
      <c r="E270" s="31"/>
      <c r="F270" s="32"/>
      <c r="G270" s="33"/>
      <c r="H270" s="33"/>
      <c r="I270" s="20" t="str">
        <f t="shared" si="64"/>
        <v/>
      </c>
      <c r="J270" s="21" t="str">
        <f>IFERROR(VLOOKUP(BR270,Pricing!$D$3:$E$58,2,FALSE),"")</f>
        <v/>
      </c>
      <c r="K270" s="32"/>
      <c r="L270" s="32"/>
      <c r="M270" s="32"/>
      <c r="N270" s="36" t="str" cm="1">
        <f t="array" ref="N270">IFERROR(_xlfn.IFS((AND(K270="SI",M270="$")),J270*0.2,AND(K270="SI",M270="%"),20),"")</f>
        <v/>
      </c>
      <c r="O270" s="29" t="str">
        <f t="shared" si="65"/>
        <v/>
      </c>
      <c r="P270" s="21" t="str">
        <f t="shared" si="66"/>
        <v/>
      </c>
      <c r="Q270" s="21" t="str">
        <f t="shared" si="67"/>
        <v/>
      </c>
      <c r="R270" s="21" t="str">
        <f t="shared" si="68"/>
        <v/>
      </c>
      <c r="S270" s="39"/>
      <c r="T270" s="43" t="str">
        <f t="shared" si="76"/>
        <v/>
      </c>
      <c r="U270" s="49" t="str">
        <f t="shared" si="77"/>
        <v/>
      </c>
      <c r="V270" s="48" t="str">
        <f t="shared" si="78"/>
        <v/>
      </c>
      <c r="W270" s="48" t="str">
        <f t="shared" si="69"/>
        <v/>
      </c>
      <c r="X270" s="50" t="str">
        <f>IF(W270="","",SUMIF($B$4:$B$1002,B270,$W$4:$W$1000))</f>
        <v/>
      </c>
      <c r="Y270" s="43" t="str">
        <f t="shared" si="70"/>
        <v/>
      </c>
      <c r="Z270" s="49" t="str">
        <f t="shared" si="71"/>
        <v/>
      </c>
      <c r="AA270" s="48" t="str">
        <f t="shared" si="72"/>
        <v/>
      </c>
      <c r="AB270" s="49" t="str">
        <f t="shared" si="73"/>
        <v/>
      </c>
      <c r="AC270" s="50" t="str">
        <f>IF(AB270="","",SUMIF($B$4:$B$1002,B270,$AB$4:$AB$1000))</f>
        <v/>
      </c>
      <c r="AD270" s="69"/>
      <c r="AE270" s="56"/>
      <c r="AF270" s="52"/>
      <c r="AG270" s="51"/>
      <c r="AH270" s="70"/>
      <c r="AI270" s="58"/>
      <c r="AJ270" s="55"/>
      <c r="AK270" s="51"/>
      <c r="AL270" s="69"/>
      <c r="AM270" s="56"/>
      <c r="AN270" s="52"/>
      <c r="AO270" s="51"/>
      <c r="AP270" s="70"/>
      <c r="AQ270" s="58"/>
      <c r="AR270" s="55"/>
      <c r="AS270" s="51"/>
      <c r="AT270" s="69"/>
      <c r="AU270" s="56"/>
      <c r="AV270" s="52"/>
      <c r="AW270" s="51"/>
      <c r="BR270" s="34" t="str">
        <f>IF(E270="","",CONCATENATE(E270," ",F270," noches"))</f>
        <v/>
      </c>
      <c r="BS270" s="28" t="str">
        <f t="shared" ca="1" si="74"/>
        <v/>
      </c>
      <c r="BT270" s="28" t="str">
        <f t="shared" ca="1" si="75"/>
        <v/>
      </c>
    </row>
    <row r="271" spans="1:72" x14ac:dyDescent="0.2">
      <c r="A271" s="18" t="str" cm="1">
        <f t="array" aca="1" ref="A271" ca="1">IF(B271="","","Grupo N˚"&amp;SUMPRODUCT(($B$4:B271&lt;&gt;"")*($B$4:B271&lt;&gt;OFFSET($B$4,-1,0,ROWS($B$4:B271),1))))</f>
        <v/>
      </c>
      <c r="B271" s="31"/>
      <c r="C271" s="31"/>
      <c r="D271" s="31"/>
      <c r="E271" s="31"/>
      <c r="F271" s="32"/>
      <c r="G271" s="33"/>
      <c r="H271" s="33"/>
      <c r="I271" s="20" t="str">
        <f t="shared" si="64"/>
        <v/>
      </c>
      <c r="J271" s="21" t="str">
        <f>IFERROR(VLOOKUP(BR271,Pricing!$D$3:$E$58,2,FALSE),"")</f>
        <v/>
      </c>
      <c r="K271" s="32"/>
      <c r="L271" s="32"/>
      <c r="M271" s="32"/>
      <c r="N271" s="36" t="str" cm="1">
        <f t="array" ref="N271">IFERROR(_xlfn.IFS((AND(K271="SI",M271="$")),J271*0.2,AND(K271="SI",M271="%"),20),"")</f>
        <v/>
      </c>
      <c r="O271" s="29" t="str">
        <f t="shared" si="65"/>
        <v/>
      </c>
      <c r="P271" s="21" t="str">
        <f t="shared" si="66"/>
        <v/>
      </c>
      <c r="Q271" s="21" t="str">
        <f t="shared" si="67"/>
        <v/>
      </c>
      <c r="R271" s="21" t="str">
        <f t="shared" si="68"/>
        <v/>
      </c>
      <c r="S271" s="39"/>
      <c r="T271" s="43" t="str">
        <f t="shared" si="76"/>
        <v/>
      </c>
      <c r="U271" s="49" t="str">
        <f t="shared" si="77"/>
        <v/>
      </c>
      <c r="V271" s="48" t="str">
        <f t="shared" si="78"/>
        <v/>
      </c>
      <c r="W271" s="48" t="str">
        <f t="shared" si="69"/>
        <v/>
      </c>
      <c r="X271" s="50" t="str">
        <f>IF(W271="","",SUMIF($B$4:$B$1002,B271,$W$4:$W$1000))</f>
        <v/>
      </c>
      <c r="Y271" s="43" t="str">
        <f t="shared" si="70"/>
        <v/>
      </c>
      <c r="Z271" s="49" t="str">
        <f t="shared" si="71"/>
        <v/>
      </c>
      <c r="AA271" s="48" t="str">
        <f t="shared" si="72"/>
        <v/>
      </c>
      <c r="AB271" s="49" t="str">
        <f t="shared" si="73"/>
        <v/>
      </c>
      <c r="AC271" s="50" t="str">
        <f>IF(AB271="","",SUMIF($B$4:$B$1002,B271,$AB$4:$AB$1000))</f>
        <v/>
      </c>
      <c r="AD271" s="69"/>
      <c r="AE271" s="56"/>
      <c r="AF271" s="52"/>
      <c r="AG271" s="51"/>
      <c r="AH271" s="70"/>
      <c r="AI271" s="58"/>
      <c r="AJ271" s="55"/>
      <c r="AK271" s="51"/>
      <c r="AL271" s="69"/>
      <c r="AM271" s="56"/>
      <c r="AN271" s="52"/>
      <c r="AO271" s="51"/>
      <c r="AP271" s="70"/>
      <c r="AQ271" s="58"/>
      <c r="AR271" s="55"/>
      <c r="AS271" s="51"/>
      <c r="AT271" s="69"/>
      <c r="AU271" s="56"/>
      <c r="AV271" s="52"/>
      <c r="AW271" s="51"/>
      <c r="BR271" s="34" t="str">
        <f>IF(E271="","",CONCATENATE(E271," ",F271," noches"))</f>
        <v/>
      </c>
      <c r="BS271" s="28" t="str">
        <f t="shared" ca="1" si="74"/>
        <v/>
      </c>
      <c r="BT271" s="28" t="str">
        <f t="shared" ca="1" si="75"/>
        <v/>
      </c>
    </row>
    <row r="272" spans="1:72" x14ac:dyDescent="0.2">
      <c r="A272" s="18" t="str" cm="1">
        <f t="array" aca="1" ref="A272" ca="1">IF(B272="","","Grupo N˚"&amp;SUMPRODUCT(($B$4:B272&lt;&gt;"")*($B$4:B272&lt;&gt;OFFSET($B$4,-1,0,ROWS($B$4:B272),1))))</f>
        <v/>
      </c>
      <c r="B272" s="31"/>
      <c r="C272" s="31"/>
      <c r="D272" s="31"/>
      <c r="E272" s="31"/>
      <c r="F272" s="32"/>
      <c r="G272" s="33"/>
      <c r="H272" s="33"/>
      <c r="I272" s="20" t="str">
        <f t="shared" si="64"/>
        <v/>
      </c>
      <c r="J272" s="21" t="str">
        <f>IFERROR(VLOOKUP(BR272,Pricing!$D$3:$E$58,2,FALSE),"")</f>
        <v/>
      </c>
      <c r="K272" s="32"/>
      <c r="L272" s="32"/>
      <c r="M272" s="32"/>
      <c r="N272" s="36" t="str" cm="1">
        <f t="array" ref="N272">IFERROR(_xlfn.IFS((AND(K272="SI",M272="$")),J272*0.2,AND(K272="SI",M272="%"),20),"")</f>
        <v/>
      </c>
      <c r="O272" s="29" t="str">
        <f t="shared" si="65"/>
        <v/>
      </c>
      <c r="P272" s="21" t="str">
        <f t="shared" si="66"/>
        <v/>
      </c>
      <c r="Q272" s="21" t="str">
        <f t="shared" si="67"/>
        <v/>
      </c>
      <c r="R272" s="21" t="str">
        <f t="shared" si="68"/>
        <v/>
      </c>
      <c r="S272" s="39"/>
      <c r="T272" s="43" t="str">
        <f t="shared" si="76"/>
        <v/>
      </c>
      <c r="U272" s="49" t="str">
        <f t="shared" si="77"/>
        <v/>
      </c>
      <c r="V272" s="48" t="str">
        <f t="shared" si="78"/>
        <v/>
      </c>
      <c r="W272" s="48" t="str">
        <f t="shared" si="69"/>
        <v/>
      </c>
      <c r="X272" s="50" t="str">
        <f>IF(W272="","",SUMIF($B$4:$B$1002,B272,$W$4:$W$1000))</f>
        <v/>
      </c>
      <c r="Y272" s="43" t="str">
        <f t="shared" si="70"/>
        <v/>
      </c>
      <c r="Z272" s="49" t="str">
        <f t="shared" si="71"/>
        <v/>
      </c>
      <c r="AA272" s="48" t="str">
        <f t="shared" si="72"/>
        <v/>
      </c>
      <c r="AB272" s="49" t="str">
        <f t="shared" si="73"/>
        <v/>
      </c>
      <c r="AC272" s="50" t="str">
        <f>IF(AB272="","",SUMIF($B$4:$B$1002,B272,$AB$4:$AB$1000))</f>
        <v/>
      </c>
      <c r="AD272" s="69"/>
      <c r="AE272" s="56"/>
      <c r="AF272" s="52"/>
      <c r="AG272" s="51"/>
      <c r="AH272" s="70"/>
      <c r="AI272" s="58"/>
      <c r="AJ272" s="55"/>
      <c r="AK272" s="51"/>
      <c r="AL272" s="69"/>
      <c r="AM272" s="56"/>
      <c r="AN272" s="52"/>
      <c r="AO272" s="51"/>
      <c r="AP272" s="70"/>
      <c r="AQ272" s="58"/>
      <c r="AR272" s="55"/>
      <c r="AS272" s="51"/>
      <c r="AT272" s="69"/>
      <c r="AU272" s="56"/>
      <c r="AV272" s="52"/>
      <c r="AW272" s="51"/>
      <c r="BR272" s="34" t="str">
        <f>IF(E272="","",CONCATENATE(E272," ",F272," noches"))</f>
        <v/>
      </c>
      <c r="BS272" s="28" t="str">
        <f t="shared" ca="1" si="74"/>
        <v/>
      </c>
      <c r="BT272" s="28" t="str">
        <f t="shared" ca="1" si="75"/>
        <v/>
      </c>
    </row>
    <row r="273" spans="1:72" x14ac:dyDescent="0.2">
      <c r="A273" s="18" t="str" cm="1">
        <f t="array" aca="1" ref="A273" ca="1">IF(B273="","","Grupo N˚"&amp;SUMPRODUCT(($B$4:B273&lt;&gt;"")*($B$4:B273&lt;&gt;OFFSET($B$4,-1,0,ROWS($B$4:B273),1))))</f>
        <v/>
      </c>
      <c r="B273" s="31"/>
      <c r="C273" s="31"/>
      <c r="D273" s="31"/>
      <c r="E273" s="31"/>
      <c r="F273" s="32"/>
      <c r="G273" s="33"/>
      <c r="H273" s="33"/>
      <c r="I273" s="20" t="str">
        <f t="shared" si="64"/>
        <v/>
      </c>
      <c r="J273" s="21" t="str">
        <f>IFERROR(VLOOKUP(BR273,Pricing!$D$3:$E$58,2,FALSE),"")</f>
        <v/>
      </c>
      <c r="K273" s="32"/>
      <c r="L273" s="32"/>
      <c r="M273" s="32"/>
      <c r="N273" s="36" t="str" cm="1">
        <f t="array" ref="N273">IFERROR(_xlfn.IFS((AND(K273="SI",M273="$")),J273*0.2,AND(K273="SI",M273="%"),20),"")</f>
        <v/>
      </c>
      <c r="O273" s="29" t="str">
        <f t="shared" si="65"/>
        <v/>
      </c>
      <c r="P273" s="21" t="str">
        <f t="shared" si="66"/>
        <v/>
      </c>
      <c r="Q273" s="21" t="str">
        <f t="shared" si="67"/>
        <v/>
      </c>
      <c r="R273" s="21" t="str">
        <f t="shared" si="68"/>
        <v/>
      </c>
      <c r="S273" s="39"/>
      <c r="T273" s="43" t="str">
        <f t="shared" si="76"/>
        <v/>
      </c>
      <c r="U273" s="49" t="str">
        <f t="shared" si="77"/>
        <v/>
      </c>
      <c r="V273" s="48" t="str">
        <f t="shared" si="78"/>
        <v/>
      </c>
      <c r="W273" s="48" t="str">
        <f t="shared" si="69"/>
        <v/>
      </c>
      <c r="X273" s="50" t="str">
        <f>IF(W273="","",SUMIF($B$4:$B$1002,B273,$W$4:$W$1000))</f>
        <v/>
      </c>
      <c r="Y273" s="43" t="str">
        <f t="shared" si="70"/>
        <v/>
      </c>
      <c r="Z273" s="49" t="str">
        <f t="shared" si="71"/>
        <v/>
      </c>
      <c r="AA273" s="48" t="str">
        <f t="shared" si="72"/>
        <v/>
      </c>
      <c r="AB273" s="49" t="str">
        <f t="shared" si="73"/>
        <v/>
      </c>
      <c r="AC273" s="50" t="str">
        <f>IF(AB273="","",SUMIF($B$4:$B$1002,B273,$AB$4:$AB$1000))</f>
        <v/>
      </c>
      <c r="AD273" s="69"/>
      <c r="AE273" s="56"/>
      <c r="AF273" s="52"/>
      <c r="AG273" s="51"/>
      <c r="AH273" s="70"/>
      <c r="AI273" s="58"/>
      <c r="AJ273" s="55"/>
      <c r="AK273" s="51"/>
      <c r="AL273" s="69"/>
      <c r="AM273" s="56"/>
      <c r="AN273" s="52"/>
      <c r="AO273" s="51"/>
      <c r="AP273" s="70"/>
      <c r="AQ273" s="58"/>
      <c r="AR273" s="55"/>
      <c r="AS273" s="51"/>
      <c r="AT273" s="69"/>
      <c r="AU273" s="56"/>
      <c r="AV273" s="52"/>
      <c r="AW273" s="51"/>
      <c r="BR273" s="34" t="str">
        <f>IF(E273="","",CONCATENATE(E273," ",F273," noches"))</f>
        <v/>
      </c>
      <c r="BS273" s="28" t="str">
        <f t="shared" ca="1" si="74"/>
        <v/>
      </c>
      <c r="BT273" s="28" t="str">
        <f t="shared" ca="1" si="75"/>
        <v/>
      </c>
    </row>
    <row r="274" spans="1:72" x14ac:dyDescent="0.2">
      <c r="A274" s="18" t="str" cm="1">
        <f t="array" aca="1" ref="A274" ca="1">IF(B274="","","Grupo N˚"&amp;SUMPRODUCT(($B$4:B274&lt;&gt;"")*($B$4:B274&lt;&gt;OFFSET($B$4,-1,0,ROWS($B$4:B274),1))))</f>
        <v/>
      </c>
      <c r="B274" s="31"/>
      <c r="C274" s="31"/>
      <c r="D274" s="31"/>
      <c r="E274" s="31"/>
      <c r="F274" s="32"/>
      <c r="G274" s="33"/>
      <c r="H274" s="33"/>
      <c r="I274" s="20" t="str">
        <f t="shared" si="64"/>
        <v/>
      </c>
      <c r="J274" s="21" t="str">
        <f>IFERROR(VLOOKUP(BR274,Pricing!$D$3:$E$58,2,FALSE),"")</f>
        <v/>
      </c>
      <c r="K274" s="32"/>
      <c r="L274" s="32"/>
      <c r="M274" s="32"/>
      <c r="N274" s="36" t="str" cm="1">
        <f t="array" ref="N274">IFERROR(_xlfn.IFS((AND(K274="SI",M274="$")),J274*0.2,AND(K274="SI",M274="%"),20),"")</f>
        <v/>
      </c>
      <c r="O274" s="29" t="str">
        <f t="shared" si="65"/>
        <v/>
      </c>
      <c r="P274" s="21" t="str">
        <f t="shared" si="66"/>
        <v/>
      </c>
      <c r="Q274" s="21" t="str">
        <f t="shared" si="67"/>
        <v/>
      </c>
      <c r="R274" s="21" t="str">
        <f t="shared" si="68"/>
        <v/>
      </c>
      <c r="S274" s="39"/>
      <c r="T274" s="43" t="str">
        <f t="shared" si="76"/>
        <v/>
      </c>
      <c r="U274" s="49" t="str">
        <f t="shared" si="77"/>
        <v/>
      </c>
      <c r="V274" s="48" t="str">
        <f t="shared" si="78"/>
        <v/>
      </c>
      <c r="W274" s="48" t="str">
        <f t="shared" si="69"/>
        <v/>
      </c>
      <c r="X274" s="50" t="str">
        <f>IF(W274="","",SUMIF($B$4:$B$1002,B274,$W$4:$W$1000))</f>
        <v/>
      </c>
      <c r="Y274" s="43" t="str">
        <f t="shared" si="70"/>
        <v/>
      </c>
      <c r="Z274" s="49" t="str">
        <f t="shared" si="71"/>
        <v/>
      </c>
      <c r="AA274" s="48" t="str">
        <f t="shared" si="72"/>
        <v/>
      </c>
      <c r="AB274" s="49" t="str">
        <f t="shared" si="73"/>
        <v/>
      </c>
      <c r="AC274" s="50" t="str">
        <f>IF(AB274="","",SUMIF($B$4:$B$1002,B274,$AB$4:$AB$1000))</f>
        <v/>
      </c>
      <c r="AD274" s="69"/>
      <c r="AE274" s="56"/>
      <c r="AF274" s="52"/>
      <c r="AG274" s="51"/>
      <c r="AH274" s="70"/>
      <c r="AI274" s="58"/>
      <c r="AJ274" s="55"/>
      <c r="AK274" s="51"/>
      <c r="AL274" s="69"/>
      <c r="AM274" s="56"/>
      <c r="AN274" s="52"/>
      <c r="AO274" s="51"/>
      <c r="AP274" s="70"/>
      <c r="AQ274" s="58"/>
      <c r="AR274" s="55"/>
      <c r="AS274" s="51"/>
      <c r="AT274" s="69"/>
      <c r="AU274" s="56"/>
      <c r="AV274" s="52"/>
      <c r="AW274" s="51"/>
      <c r="BR274" s="34" t="str">
        <f>IF(E274="","",CONCATENATE(E274," ",F274," noches"))</f>
        <v/>
      </c>
      <c r="BS274" s="28" t="str">
        <f t="shared" ca="1" si="74"/>
        <v/>
      </c>
      <c r="BT274" s="28" t="str">
        <f t="shared" ca="1" si="75"/>
        <v/>
      </c>
    </row>
    <row r="275" spans="1:72" x14ac:dyDescent="0.2">
      <c r="A275" s="18" t="str" cm="1">
        <f t="array" aca="1" ref="A275" ca="1">IF(B275="","","Grupo N˚"&amp;SUMPRODUCT(($B$4:B275&lt;&gt;"")*($B$4:B275&lt;&gt;OFFSET($B$4,-1,0,ROWS($B$4:B275),1))))</f>
        <v/>
      </c>
      <c r="B275" s="31"/>
      <c r="C275" s="31"/>
      <c r="D275" s="31"/>
      <c r="E275" s="31"/>
      <c r="F275" s="32"/>
      <c r="G275" s="33"/>
      <c r="H275" s="33"/>
      <c r="I275" s="20" t="str">
        <f t="shared" si="64"/>
        <v/>
      </c>
      <c r="J275" s="21" t="str">
        <f>IFERROR(VLOOKUP(BR275,Pricing!$D$3:$E$58,2,FALSE),"")</f>
        <v/>
      </c>
      <c r="K275" s="32"/>
      <c r="L275" s="32"/>
      <c r="M275" s="32"/>
      <c r="N275" s="36" t="str" cm="1">
        <f t="array" ref="N275">IFERROR(_xlfn.IFS((AND(K275="SI",M275="$")),J275*0.2,AND(K275="SI",M275="%"),20),"")</f>
        <v/>
      </c>
      <c r="O275" s="29" t="str">
        <f t="shared" si="65"/>
        <v/>
      </c>
      <c r="P275" s="21" t="str">
        <f t="shared" si="66"/>
        <v/>
      </c>
      <c r="Q275" s="21" t="str">
        <f t="shared" si="67"/>
        <v/>
      </c>
      <c r="R275" s="21" t="str">
        <f t="shared" si="68"/>
        <v/>
      </c>
      <c r="S275" s="39"/>
      <c r="T275" s="43" t="str">
        <f t="shared" si="76"/>
        <v/>
      </c>
      <c r="U275" s="49" t="str">
        <f t="shared" si="77"/>
        <v/>
      </c>
      <c r="V275" s="48" t="str">
        <f t="shared" si="78"/>
        <v/>
      </c>
      <c r="W275" s="48" t="str">
        <f t="shared" si="69"/>
        <v/>
      </c>
      <c r="X275" s="50" t="str">
        <f>IF(W275="","",SUMIF($B$4:$B$1002,B275,$W$4:$W$1000))</f>
        <v/>
      </c>
      <c r="Y275" s="43" t="str">
        <f t="shared" si="70"/>
        <v/>
      </c>
      <c r="Z275" s="49" t="str">
        <f t="shared" si="71"/>
        <v/>
      </c>
      <c r="AA275" s="48" t="str">
        <f t="shared" si="72"/>
        <v/>
      </c>
      <c r="AB275" s="49" t="str">
        <f t="shared" si="73"/>
        <v/>
      </c>
      <c r="AC275" s="50" t="str">
        <f>IF(AB275="","",SUMIF($B$4:$B$1002,B275,$AB$4:$AB$1000))</f>
        <v/>
      </c>
      <c r="AD275" s="69"/>
      <c r="AE275" s="56"/>
      <c r="AF275" s="52"/>
      <c r="AG275" s="51"/>
      <c r="AH275" s="70"/>
      <c r="AI275" s="58"/>
      <c r="AJ275" s="55"/>
      <c r="AK275" s="51"/>
      <c r="AL275" s="69"/>
      <c r="AM275" s="56"/>
      <c r="AN275" s="52"/>
      <c r="AO275" s="51"/>
      <c r="AP275" s="70"/>
      <c r="AQ275" s="58"/>
      <c r="AR275" s="55"/>
      <c r="AS275" s="51"/>
      <c r="AT275" s="69"/>
      <c r="AU275" s="56"/>
      <c r="AV275" s="52"/>
      <c r="AW275" s="51"/>
      <c r="BR275" s="34" t="str">
        <f>IF(E275="","",CONCATENATE(E275," ",F275," noches"))</f>
        <v/>
      </c>
      <c r="BS275" s="28" t="str">
        <f t="shared" ca="1" si="74"/>
        <v/>
      </c>
      <c r="BT275" s="28" t="str">
        <f t="shared" ca="1" si="75"/>
        <v/>
      </c>
    </row>
    <row r="276" spans="1:72" x14ac:dyDescent="0.2">
      <c r="A276" s="18" t="str" cm="1">
        <f t="array" aca="1" ref="A276" ca="1">IF(B276="","","Grupo N˚"&amp;SUMPRODUCT(($B$4:B276&lt;&gt;"")*($B$4:B276&lt;&gt;OFFSET($B$4,-1,0,ROWS($B$4:B276),1))))</f>
        <v/>
      </c>
      <c r="B276" s="31"/>
      <c r="C276" s="31"/>
      <c r="D276" s="31"/>
      <c r="E276" s="31"/>
      <c r="F276" s="32"/>
      <c r="G276" s="33"/>
      <c r="H276" s="33"/>
      <c r="I276" s="20" t="str">
        <f t="shared" si="64"/>
        <v/>
      </c>
      <c r="J276" s="21" t="str">
        <f>IFERROR(VLOOKUP(BR276,Pricing!$D$3:$E$58,2,FALSE),"")</f>
        <v/>
      </c>
      <c r="K276" s="32"/>
      <c r="L276" s="32"/>
      <c r="M276" s="32"/>
      <c r="N276" s="36" t="str" cm="1">
        <f t="array" ref="N276">IFERROR(_xlfn.IFS((AND(K276="SI",M276="$")),J276*0.2,AND(K276="SI",M276="%"),20),"")</f>
        <v/>
      </c>
      <c r="O276" s="29" t="str">
        <f t="shared" si="65"/>
        <v/>
      </c>
      <c r="P276" s="21" t="str">
        <f t="shared" si="66"/>
        <v/>
      </c>
      <c r="Q276" s="21" t="str">
        <f t="shared" si="67"/>
        <v/>
      </c>
      <c r="R276" s="21" t="str">
        <f t="shared" si="68"/>
        <v/>
      </c>
      <c r="S276" s="39"/>
      <c r="T276" s="43" t="str">
        <f t="shared" si="76"/>
        <v/>
      </c>
      <c r="U276" s="49" t="str">
        <f t="shared" si="77"/>
        <v/>
      </c>
      <c r="V276" s="48" t="str">
        <f t="shared" si="78"/>
        <v/>
      </c>
      <c r="W276" s="48" t="str">
        <f t="shared" si="69"/>
        <v/>
      </c>
      <c r="X276" s="50" t="str">
        <f>IF(W276="","",SUMIF($B$4:$B$1002,B276,$W$4:$W$1000))</f>
        <v/>
      </c>
      <c r="Y276" s="43" t="str">
        <f t="shared" si="70"/>
        <v/>
      </c>
      <c r="Z276" s="49" t="str">
        <f t="shared" si="71"/>
        <v/>
      </c>
      <c r="AA276" s="48" t="str">
        <f t="shared" si="72"/>
        <v/>
      </c>
      <c r="AB276" s="49" t="str">
        <f t="shared" si="73"/>
        <v/>
      </c>
      <c r="AC276" s="50" t="str">
        <f>IF(AB276="","",SUMIF($B$4:$B$1002,B276,$AB$4:$AB$1000))</f>
        <v/>
      </c>
      <c r="AD276" s="69"/>
      <c r="AE276" s="56"/>
      <c r="AF276" s="52"/>
      <c r="AG276" s="51"/>
      <c r="AH276" s="70"/>
      <c r="AI276" s="58"/>
      <c r="AJ276" s="55"/>
      <c r="AK276" s="51"/>
      <c r="AL276" s="69"/>
      <c r="AM276" s="56"/>
      <c r="AN276" s="52"/>
      <c r="AO276" s="51"/>
      <c r="AP276" s="70"/>
      <c r="AQ276" s="58"/>
      <c r="AR276" s="55"/>
      <c r="AS276" s="51"/>
      <c r="AT276" s="69"/>
      <c r="AU276" s="56"/>
      <c r="AV276" s="52"/>
      <c r="AW276" s="51"/>
      <c r="BR276" s="34" t="str">
        <f>IF(E276="","",CONCATENATE(E276," ",F276," noches"))</f>
        <v/>
      </c>
      <c r="BS276" s="28" t="str">
        <f t="shared" ca="1" si="74"/>
        <v/>
      </c>
      <c r="BT276" s="28" t="str">
        <f t="shared" ca="1" si="75"/>
        <v/>
      </c>
    </row>
    <row r="277" spans="1:72" x14ac:dyDescent="0.2">
      <c r="A277" s="18" t="str" cm="1">
        <f t="array" aca="1" ref="A277" ca="1">IF(B277="","","Grupo N˚"&amp;SUMPRODUCT(($B$4:B277&lt;&gt;"")*($B$4:B277&lt;&gt;OFFSET($B$4,-1,0,ROWS($B$4:B277),1))))</f>
        <v/>
      </c>
      <c r="B277" s="31"/>
      <c r="C277" s="31"/>
      <c r="D277" s="31"/>
      <c r="E277" s="31"/>
      <c r="F277" s="32"/>
      <c r="G277" s="33"/>
      <c r="H277" s="33"/>
      <c r="I277" s="20" t="str">
        <f t="shared" si="64"/>
        <v/>
      </c>
      <c r="J277" s="21" t="str">
        <f>IFERROR(VLOOKUP(BR277,Pricing!$D$3:$E$58,2,FALSE),"")</f>
        <v/>
      </c>
      <c r="K277" s="32"/>
      <c r="L277" s="32"/>
      <c r="M277" s="32"/>
      <c r="N277" s="36" t="str" cm="1">
        <f t="array" ref="N277">IFERROR(_xlfn.IFS((AND(K277="SI",M277="$")),J277*0.2,AND(K277="SI",M277="%"),20),"")</f>
        <v/>
      </c>
      <c r="O277" s="29" t="str">
        <f t="shared" si="65"/>
        <v/>
      </c>
      <c r="P277" s="21" t="str">
        <f t="shared" si="66"/>
        <v/>
      </c>
      <c r="Q277" s="21" t="str">
        <f t="shared" si="67"/>
        <v/>
      </c>
      <c r="R277" s="21" t="str">
        <f t="shared" si="68"/>
        <v/>
      </c>
      <c r="S277" s="39"/>
      <c r="T277" s="43" t="str">
        <f t="shared" si="76"/>
        <v/>
      </c>
      <c r="U277" s="49" t="str">
        <f t="shared" si="77"/>
        <v/>
      </c>
      <c r="V277" s="48" t="str">
        <f t="shared" si="78"/>
        <v/>
      </c>
      <c r="W277" s="48" t="str">
        <f t="shared" si="69"/>
        <v/>
      </c>
      <c r="X277" s="50" t="str">
        <f>IF(W277="","",SUMIF($B$4:$B$1002,B277,$W$4:$W$1000))</f>
        <v/>
      </c>
      <c r="Y277" s="43" t="str">
        <f t="shared" si="70"/>
        <v/>
      </c>
      <c r="Z277" s="49" t="str">
        <f t="shared" si="71"/>
        <v/>
      </c>
      <c r="AA277" s="48" t="str">
        <f t="shared" si="72"/>
        <v/>
      </c>
      <c r="AB277" s="49" t="str">
        <f t="shared" si="73"/>
        <v/>
      </c>
      <c r="AC277" s="50" t="str">
        <f>IF(AB277="","",SUMIF($B$4:$B$1002,B277,$AB$4:$AB$1000))</f>
        <v/>
      </c>
      <c r="AD277" s="69"/>
      <c r="AE277" s="56"/>
      <c r="AF277" s="52"/>
      <c r="AG277" s="51"/>
      <c r="AH277" s="70"/>
      <c r="AI277" s="58"/>
      <c r="AJ277" s="55"/>
      <c r="AK277" s="51"/>
      <c r="AL277" s="69"/>
      <c r="AM277" s="56"/>
      <c r="AN277" s="52"/>
      <c r="AO277" s="51"/>
      <c r="AP277" s="70"/>
      <c r="AQ277" s="58"/>
      <c r="AR277" s="55"/>
      <c r="AS277" s="51"/>
      <c r="AT277" s="69"/>
      <c r="AU277" s="56"/>
      <c r="AV277" s="52"/>
      <c r="AW277" s="51"/>
      <c r="BR277" s="34" t="str">
        <f>IF(E277="","",CONCATENATE(E277," ",F277," noches"))</f>
        <v/>
      </c>
      <c r="BS277" s="28" t="str">
        <f t="shared" ca="1" si="74"/>
        <v/>
      </c>
      <c r="BT277" s="28" t="str">
        <f t="shared" ca="1" si="75"/>
        <v/>
      </c>
    </row>
    <row r="278" spans="1:72" x14ac:dyDescent="0.2">
      <c r="A278" s="18" t="str" cm="1">
        <f t="array" aca="1" ref="A278" ca="1">IF(B278="","","Grupo N˚"&amp;SUMPRODUCT(($B$4:B278&lt;&gt;"")*($B$4:B278&lt;&gt;OFFSET($B$4,-1,0,ROWS($B$4:B278),1))))</f>
        <v/>
      </c>
      <c r="B278" s="31"/>
      <c r="C278" s="31"/>
      <c r="D278" s="31"/>
      <c r="E278" s="31"/>
      <c r="F278" s="32"/>
      <c r="G278" s="33"/>
      <c r="H278" s="33"/>
      <c r="I278" s="20" t="str">
        <f t="shared" si="64"/>
        <v/>
      </c>
      <c r="J278" s="21" t="str">
        <f>IFERROR(VLOOKUP(BR278,Pricing!$D$3:$E$58,2,FALSE),"")</f>
        <v/>
      </c>
      <c r="K278" s="32"/>
      <c r="L278" s="32"/>
      <c r="M278" s="32"/>
      <c r="N278" s="36" t="str" cm="1">
        <f t="array" ref="N278">IFERROR(_xlfn.IFS((AND(K278="SI",M278="$")),J278*0.2,AND(K278="SI",M278="%"),20),"")</f>
        <v/>
      </c>
      <c r="O278" s="29" t="str">
        <f t="shared" si="65"/>
        <v/>
      </c>
      <c r="P278" s="21" t="str">
        <f t="shared" si="66"/>
        <v/>
      </c>
      <c r="Q278" s="21" t="str">
        <f t="shared" si="67"/>
        <v/>
      </c>
      <c r="R278" s="21" t="str">
        <f t="shared" si="68"/>
        <v/>
      </c>
      <c r="S278" s="39"/>
      <c r="T278" s="43" t="str">
        <f t="shared" si="76"/>
        <v/>
      </c>
      <c r="U278" s="49" t="str">
        <f t="shared" si="77"/>
        <v/>
      </c>
      <c r="V278" s="48" t="str">
        <f t="shared" si="78"/>
        <v/>
      </c>
      <c r="W278" s="48" t="str">
        <f t="shared" si="69"/>
        <v/>
      </c>
      <c r="X278" s="50" t="str">
        <f>IF(W278="","",SUMIF($B$4:$B$1002,B278,$W$4:$W$1000))</f>
        <v/>
      </c>
      <c r="Y278" s="43" t="str">
        <f t="shared" si="70"/>
        <v/>
      </c>
      <c r="Z278" s="49" t="str">
        <f t="shared" si="71"/>
        <v/>
      </c>
      <c r="AA278" s="48" t="str">
        <f t="shared" si="72"/>
        <v/>
      </c>
      <c r="AB278" s="49" t="str">
        <f t="shared" si="73"/>
        <v/>
      </c>
      <c r="AC278" s="50" t="str">
        <f>IF(AB278="","",SUMIF($B$4:$B$1002,B278,$AB$4:$AB$1000))</f>
        <v/>
      </c>
      <c r="AD278" s="69"/>
      <c r="AE278" s="56"/>
      <c r="AF278" s="52"/>
      <c r="AG278" s="51"/>
      <c r="AH278" s="70"/>
      <c r="AI278" s="58"/>
      <c r="AJ278" s="55"/>
      <c r="AK278" s="51"/>
      <c r="AL278" s="69"/>
      <c r="AM278" s="56"/>
      <c r="AN278" s="52"/>
      <c r="AO278" s="51"/>
      <c r="AP278" s="70"/>
      <c r="AQ278" s="58"/>
      <c r="AR278" s="55"/>
      <c r="AS278" s="51"/>
      <c r="AT278" s="69"/>
      <c r="AU278" s="56"/>
      <c r="AV278" s="52"/>
      <c r="AW278" s="51"/>
      <c r="BR278" s="34" t="str">
        <f>IF(E278="","",CONCATENATE(E278," ",F278," noches"))</f>
        <v/>
      </c>
      <c r="BS278" s="28" t="str">
        <f t="shared" ca="1" si="74"/>
        <v/>
      </c>
      <c r="BT278" s="28" t="str">
        <f t="shared" ca="1" si="75"/>
        <v/>
      </c>
    </row>
    <row r="279" spans="1:72" x14ac:dyDescent="0.2">
      <c r="A279" s="18" t="str" cm="1">
        <f t="array" aca="1" ref="A279" ca="1">IF(B279="","","Grupo N˚"&amp;SUMPRODUCT(($B$4:B279&lt;&gt;"")*($B$4:B279&lt;&gt;OFFSET($B$4,-1,0,ROWS($B$4:B279),1))))</f>
        <v/>
      </c>
      <c r="B279" s="31"/>
      <c r="C279" s="31"/>
      <c r="D279" s="31"/>
      <c r="E279" s="31"/>
      <c r="F279" s="32"/>
      <c r="G279" s="33"/>
      <c r="H279" s="33"/>
      <c r="I279" s="20" t="str">
        <f t="shared" si="64"/>
        <v/>
      </c>
      <c r="J279" s="21" t="str">
        <f>IFERROR(VLOOKUP(BR279,Pricing!$D$3:$E$58,2,FALSE),"")</f>
        <v/>
      </c>
      <c r="K279" s="32"/>
      <c r="L279" s="32"/>
      <c r="M279" s="32"/>
      <c r="N279" s="36" t="str" cm="1">
        <f t="array" ref="N279">IFERROR(_xlfn.IFS((AND(K279="SI",M279="$")),J279*0.2,AND(K279="SI",M279="%"),20),"")</f>
        <v/>
      </c>
      <c r="O279" s="29" t="str">
        <f t="shared" si="65"/>
        <v/>
      </c>
      <c r="P279" s="21" t="str">
        <f t="shared" si="66"/>
        <v/>
      </c>
      <c r="Q279" s="21" t="str">
        <f t="shared" si="67"/>
        <v/>
      </c>
      <c r="R279" s="21" t="str">
        <f t="shared" si="68"/>
        <v/>
      </c>
      <c r="S279" s="39"/>
      <c r="T279" s="43" t="str">
        <f t="shared" si="76"/>
        <v/>
      </c>
      <c r="U279" s="49" t="str">
        <f t="shared" si="77"/>
        <v/>
      </c>
      <c r="V279" s="48" t="str">
        <f t="shared" si="78"/>
        <v/>
      </c>
      <c r="W279" s="48" t="str">
        <f t="shared" si="69"/>
        <v/>
      </c>
      <c r="X279" s="50" t="str">
        <f>IF(W279="","",SUMIF($B$4:$B$1002,B279,$W$4:$W$1000))</f>
        <v/>
      </c>
      <c r="Y279" s="43" t="str">
        <f t="shared" si="70"/>
        <v/>
      </c>
      <c r="Z279" s="49" t="str">
        <f t="shared" si="71"/>
        <v/>
      </c>
      <c r="AA279" s="48" t="str">
        <f t="shared" si="72"/>
        <v/>
      </c>
      <c r="AB279" s="49" t="str">
        <f t="shared" si="73"/>
        <v/>
      </c>
      <c r="AC279" s="50" t="str">
        <f>IF(AB279="","",SUMIF($B$4:$B$1002,B279,$AB$4:$AB$1000))</f>
        <v/>
      </c>
      <c r="AD279" s="69"/>
      <c r="AE279" s="56"/>
      <c r="AF279" s="52"/>
      <c r="AG279" s="51"/>
      <c r="AH279" s="70"/>
      <c r="AI279" s="58"/>
      <c r="AJ279" s="55"/>
      <c r="AK279" s="51"/>
      <c r="AL279" s="69"/>
      <c r="AM279" s="56"/>
      <c r="AN279" s="52"/>
      <c r="AO279" s="51"/>
      <c r="AP279" s="70"/>
      <c r="AQ279" s="58"/>
      <c r="AR279" s="55"/>
      <c r="AS279" s="51"/>
      <c r="AT279" s="69"/>
      <c r="AU279" s="56"/>
      <c r="AV279" s="52"/>
      <c r="AW279" s="51"/>
      <c r="BR279" s="34" t="str">
        <f>IF(E279="","",CONCATENATE(E279," ",F279," noches"))</f>
        <v/>
      </c>
      <c r="BS279" s="28" t="str">
        <f t="shared" ca="1" si="74"/>
        <v/>
      </c>
      <c r="BT279" s="28" t="str">
        <f t="shared" ca="1" si="75"/>
        <v/>
      </c>
    </row>
    <row r="280" spans="1:72" x14ac:dyDescent="0.2">
      <c r="A280" s="18" t="str" cm="1">
        <f t="array" aca="1" ref="A280" ca="1">IF(B280="","","Grupo N˚"&amp;SUMPRODUCT(($B$4:B280&lt;&gt;"")*($B$4:B280&lt;&gt;OFFSET($B$4,-1,0,ROWS($B$4:B280),1))))</f>
        <v/>
      </c>
      <c r="B280" s="31"/>
      <c r="C280" s="31"/>
      <c r="D280" s="31"/>
      <c r="E280" s="31"/>
      <c r="F280" s="32"/>
      <c r="G280" s="33"/>
      <c r="H280" s="33"/>
      <c r="I280" s="20" t="str">
        <f t="shared" si="64"/>
        <v/>
      </c>
      <c r="J280" s="21" t="str">
        <f>IFERROR(VLOOKUP(BR280,Pricing!$D$3:$E$58,2,FALSE),"")</f>
        <v/>
      </c>
      <c r="K280" s="32"/>
      <c r="L280" s="32"/>
      <c r="M280" s="32"/>
      <c r="N280" s="36" t="str" cm="1">
        <f t="array" ref="N280">IFERROR(_xlfn.IFS((AND(K280="SI",M280="$")),J280*0.2,AND(K280="SI",M280="%"),20),"")</f>
        <v/>
      </c>
      <c r="O280" s="29" t="str">
        <f t="shared" si="65"/>
        <v/>
      </c>
      <c r="P280" s="21" t="str">
        <f t="shared" si="66"/>
        <v/>
      </c>
      <c r="Q280" s="21" t="str">
        <f t="shared" si="67"/>
        <v/>
      </c>
      <c r="R280" s="21" t="str">
        <f t="shared" si="68"/>
        <v/>
      </c>
      <c r="S280" s="39"/>
      <c r="T280" s="43" t="str">
        <f t="shared" si="76"/>
        <v/>
      </c>
      <c r="U280" s="49" t="str">
        <f t="shared" si="77"/>
        <v/>
      </c>
      <c r="V280" s="48" t="str">
        <f t="shared" si="78"/>
        <v/>
      </c>
      <c r="W280" s="48" t="str">
        <f t="shared" si="69"/>
        <v/>
      </c>
      <c r="X280" s="50" t="str">
        <f>IF(W280="","",SUMIF($B$4:$B$1002,B280,$W$4:$W$1000))</f>
        <v/>
      </c>
      <c r="Y280" s="43" t="str">
        <f t="shared" si="70"/>
        <v/>
      </c>
      <c r="Z280" s="49" t="str">
        <f t="shared" si="71"/>
        <v/>
      </c>
      <c r="AA280" s="48" t="str">
        <f t="shared" si="72"/>
        <v/>
      </c>
      <c r="AB280" s="49" t="str">
        <f t="shared" si="73"/>
        <v/>
      </c>
      <c r="AC280" s="50" t="str">
        <f>IF(AB280="","",SUMIF($B$4:$B$1002,B280,$AB$4:$AB$1000))</f>
        <v/>
      </c>
      <c r="AD280" s="69"/>
      <c r="AE280" s="56"/>
      <c r="AF280" s="52"/>
      <c r="AG280" s="51"/>
      <c r="AH280" s="70"/>
      <c r="AI280" s="58"/>
      <c r="AJ280" s="55"/>
      <c r="AK280" s="51"/>
      <c r="AL280" s="69"/>
      <c r="AM280" s="56"/>
      <c r="AN280" s="52"/>
      <c r="AO280" s="51"/>
      <c r="AP280" s="70"/>
      <c r="AQ280" s="58"/>
      <c r="AR280" s="55"/>
      <c r="AS280" s="51"/>
      <c r="AT280" s="69"/>
      <c r="AU280" s="56"/>
      <c r="AV280" s="52"/>
      <c r="AW280" s="51"/>
      <c r="BR280" s="34" t="str">
        <f>IF(E280="","",CONCATENATE(E280," ",F280," noches"))</f>
        <v/>
      </c>
      <c r="BS280" s="28" t="str">
        <f t="shared" ca="1" si="74"/>
        <v/>
      </c>
      <c r="BT280" s="28" t="str">
        <f t="shared" ca="1" si="75"/>
        <v/>
      </c>
    </row>
    <row r="281" spans="1:72" x14ac:dyDescent="0.2">
      <c r="A281" s="18" t="str" cm="1">
        <f t="array" aca="1" ref="A281" ca="1">IF(B281="","","Grupo N˚"&amp;SUMPRODUCT(($B$4:B281&lt;&gt;"")*($B$4:B281&lt;&gt;OFFSET($B$4,-1,0,ROWS($B$4:B281),1))))</f>
        <v/>
      </c>
      <c r="B281" s="31"/>
      <c r="C281" s="31"/>
      <c r="D281" s="31"/>
      <c r="E281" s="31"/>
      <c r="F281" s="32"/>
      <c r="G281" s="33"/>
      <c r="H281" s="33"/>
      <c r="I281" s="20" t="str">
        <f t="shared" si="64"/>
        <v/>
      </c>
      <c r="J281" s="21" t="str">
        <f>IFERROR(VLOOKUP(BR281,Pricing!$D$3:$E$58,2,FALSE),"")</f>
        <v/>
      </c>
      <c r="K281" s="32"/>
      <c r="L281" s="32"/>
      <c r="M281" s="32"/>
      <c r="N281" s="36" t="str" cm="1">
        <f t="array" ref="N281">IFERROR(_xlfn.IFS((AND(K281="SI",M281="$")),J281*0.2,AND(K281="SI",M281="%"),20),"")</f>
        <v/>
      </c>
      <c r="O281" s="29" t="str">
        <f t="shared" si="65"/>
        <v/>
      </c>
      <c r="P281" s="21" t="str">
        <f t="shared" si="66"/>
        <v/>
      </c>
      <c r="Q281" s="21" t="str">
        <f t="shared" si="67"/>
        <v/>
      </c>
      <c r="R281" s="21" t="str">
        <f t="shared" si="68"/>
        <v/>
      </c>
      <c r="S281" s="39"/>
      <c r="T281" s="43" t="str">
        <f t="shared" si="76"/>
        <v/>
      </c>
      <c r="U281" s="49" t="str">
        <f t="shared" si="77"/>
        <v/>
      </c>
      <c r="V281" s="48" t="str">
        <f t="shared" si="78"/>
        <v/>
      </c>
      <c r="W281" s="48" t="str">
        <f t="shared" si="69"/>
        <v/>
      </c>
      <c r="X281" s="50" t="str">
        <f>IF(W281="","",SUMIF($B$4:$B$1002,B281,$W$4:$W$1000))</f>
        <v/>
      </c>
      <c r="Y281" s="43" t="str">
        <f t="shared" si="70"/>
        <v/>
      </c>
      <c r="Z281" s="49" t="str">
        <f t="shared" si="71"/>
        <v/>
      </c>
      <c r="AA281" s="48" t="str">
        <f t="shared" si="72"/>
        <v/>
      </c>
      <c r="AB281" s="49" t="str">
        <f t="shared" si="73"/>
        <v/>
      </c>
      <c r="AC281" s="50" t="str">
        <f>IF(AB281="","",SUMIF($B$4:$B$1002,B281,$AB$4:$AB$1000))</f>
        <v/>
      </c>
      <c r="AD281" s="69"/>
      <c r="AE281" s="56"/>
      <c r="AF281" s="52"/>
      <c r="AG281" s="51"/>
      <c r="AH281" s="70"/>
      <c r="AI281" s="58"/>
      <c r="AJ281" s="55"/>
      <c r="AK281" s="51"/>
      <c r="AL281" s="69"/>
      <c r="AM281" s="56"/>
      <c r="AN281" s="52"/>
      <c r="AO281" s="51"/>
      <c r="AP281" s="70"/>
      <c r="AQ281" s="58"/>
      <c r="AR281" s="55"/>
      <c r="AS281" s="51"/>
      <c r="AT281" s="69"/>
      <c r="AU281" s="56"/>
      <c r="AV281" s="52"/>
      <c r="AW281" s="51"/>
      <c r="BR281" s="34" t="str">
        <f>IF(E281="","",CONCATENATE(E281," ",F281," noches"))</f>
        <v/>
      </c>
      <c r="BS281" s="28" t="str">
        <f t="shared" ca="1" si="74"/>
        <v/>
      </c>
      <c r="BT281" s="28" t="str">
        <f t="shared" ca="1" si="75"/>
        <v/>
      </c>
    </row>
    <row r="282" spans="1:72" x14ac:dyDescent="0.2">
      <c r="A282" s="18" t="str" cm="1">
        <f t="array" aca="1" ref="A282" ca="1">IF(B282="","","Grupo N˚"&amp;SUMPRODUCT(($B$4:B282&lt;&gt;"")*($B$4:B282&lt;&gt;OFFSET($B$4,-1,0,ROWS($B$4:B282),1))))</f>
        <v/>
      </c>
      <c r="B282" s="31"/>
      <c r="C282" s="31"/>
      <c r="D282" s="31"/>
      <c r="E282" s="31"/>
      <c r="F282" s="32"/>
      <c r="G282" s="33"/>
      <c r="H282" s="33"/>
      <c r="I282" s="20" t="str">
        <f t="shared" si="64"/>
        <v/>
      </c>
      <c r="J282" s="21" t="str">
        <f>IFERROR(VLOOKUP(BR282,Pricing!$D$3:$E$58,2,FALSE),"")</f>
        <v/>
      </c>
      <c r="K282" s="32"/>
      <c r="L282" s="32"/>
      <c r="M282" s="32"/>
      <c r="N282" s="36" t="str" cm="1">
        <f t="array" ref="N282">IFERROR(_xlfn.IFS((AND(K282="SI",M282="$")),J282*0.2,AND(K282="SI",M282="%"),20),"")</f>
        <v/>
      </c>
      <c r="O282" s="29" t="str">
        <f t="shared" si="65"/>
        <v/>
      </c>
      <c r="P282" s="21" t="str">
        <f t="shared" si="66"/>
        <v/>
      </c>
      <c r="Q282" s="21" t="str">
        <f t="shared" si="67"/>
        <v/>
      </c>
      <c r="R282" s="21" t="str">
        <f t="shared" si="68"/>
        <v/>
      </c>
      <c r="S282" s="39"/>
      <c r="T282" s="43" t="str">
        <f t="shared" si="76"/>
        <v/>
      </c>
      <c r="U282" s="49" t="str">
        <f t="shared" si="77"/>
        <v/>
      </c>
      <c r="V282" s="48" t="str">
        <f t="shared" si="78"/>
        <v/>
      </c>
      <c r="W282" s="48" t="str">
        <f t="shared" si="69"/>
        <v/>
      </c>
      <c r="X282" s="50" t="str">
        <f>IF(W282="","",SUMIF($B$4:$B$1002,B282,$W$4:$W$1000))</f>
        <v/>
      </c>
      <c r="Y282" s="43" t="str">
        <f t="shared" si="70"/>
        <v/>
      </c>
      <c r="Z282" s="49" t="str">
        <f t="shared" si="71"/>
        <v/>
      </c>
      <c r="AA282" s="48" t="str">
        <f t="shared" si="72"/>
        <v/>
      </c>
      <c r="AB282" s="49" t="str">
        <f t="shared" si="73"/>
        <v/>
      </c>
      <c r="AC282" s="50" t="str">
        <f>IF(AB282="","",SUMIF($B$4:$B$1002,B282,$AB$4:$AB$1000))</f>
        <v/>
      </c>
      <c r="AD282" s="69"/>
      <c r="AE282" s="56"/>
      <c r="AF282" s="52"/>
      <c r="AG282" s="51"/>
      <c r="AH282" s="70"/>
      <c r="AI282" s="58"/>
      <c r="AJ282" s="55"/>
      <c r="AK282" s="51"/>
      <c r="AL282" s="69"/>
      <c r="AM282" s="56"/>
      <c r="AN282" s="52"/>
      <c r="AO282" s="51"/>
      <c r="AP282" s="70"/>
      <c r="AQ282" s="58"/>
      <c r="AR282" s="55"/>
      <c r="AS282" s="51"/>
      <c r="AT282" s="69"/>
      <c r="AU282" s="56"/>
      <c r="AV282" s="52"/>
      <c r="AW282" s="51"/>
      <c r="BR282" s="34" t="str">
        <f>IF(E282="","",CONCATENATE(E282," ",F282," noches"))</f>
        <v/>
      </c>
      <c r="BS282" s="28" t="str">
        <f t="shared" ca="1" si="74"/>
        <v/>
      </c>
      <c r="BT282" s="28" t="str">
        <f t="shared" ca="1" si="75"/>
        <v/>
      </c>
    </row>
    <row r="283" spans="1:72" x14ac:dyDescent="0.2">
      <c r="A283" s="18" t="str" cm="1">
        <f t="array" aca="1" ref="A283" ca="1">IF(B283="","","Grupo N˚"&amp;SUMPRODUCT(($B$4:B283&lt;&gt;"")*($B$4:B283&lt;&gt;OFFSET($B$4,-1,0,ROWS($B$4:B283),1))))</f>
        <v/>
      </c>
      <c r="B283" s="31"/>
      <c r="C283" s="31"/>
      <c r="D283" s="31"/>
      <c r="E283" s="31"/>
      <c r="F283" s="32"/>
      <c r="G283" s="33"/>
      <c r="H283" s="33"/>
      <c r="I283" s="20" t="str">
        <f t="shared" si="64"/>
        <v/>
      </c>
      <c r="J283" s="21" t="str">
        <f>IFERROR(VLOOKUP(BR283,Pricing!$D$3:$E$58,2,FALSE),"")</f>
        <v/>
      </c>
      <c r="K283" s="32"/>
      <c r="L283" s="32"/>
      <c r="M283" s="32"/>
      <c r="N283" s="36" t="str" cm="1">
        <f t="array" ref="N283">IFERROR(_xlfn.IFS((AND(K283="SI",M283="$")),J283*0.2,AND(K283="SI",M283="%"),20),"")</f>
        <v/>
      </c>
      <c r="O283" s="29" t="str">
        <f t="shared" si="65"/>
        <v/>
      </c>
      <c r="P283" s="21" t="str">
        <f t="shared" si="66"/>
        <v/>
      </c>
      <c r="Q283" s="21" t="str">
        <f t="shared" si="67"/>
        <v/>
      </c>
      <c r="R283" s="21" t="str">
        <f t="shared" si="68"/>
        <v/>
      </c>
      <c r="S283" s="39"/>
      <c r="T283" s="43" t="str">
        <f t="shared" si="76"/>
        <v/>
      </c>
      <c r="U283" s="49" t="str">
        <f t="shared" si="77"/>
        <v/>
      </c>
      <c r="V283" s="48" t="str">
        <f t="shared" si="78"/>
        <v/>
      </c>
      <c r="W283" s="48" t="str">
        <f t="shared" si="69"/>
        <v/>
      </c>
      <c r="X283" s="50" t="str">
        <f>IF(W283="","",SUMIF($B$4:$B$1002,B283,$W$4:$W$1000))</f>
        <v/>
      </c>
      <c r="Y283" s="43" t="str">
        <f t="shared" si="70"/>
        <v/>
      </c>
      <c r="Z283" s="49" t="str">
        <f t="shared" si="71"/>
        <v/>
      </c>
      <c r="AA283" s="48" t="str">
        <f t="shared" si="72"/>
        <v/>
      </c>
      <c r="AB283" s="49" t="str">
        <f t="shared" si="73"/>
        <v/>
      </c>
      <c r="AC283" s="50" t="str">
        <f>IF(AB283="","",SUMIF($B$4:$B$1002,B283,$AB$4:$AB$1000))</f>
        <v/>
      </c>
      <c r="AD283" s="69"/>
      <c r="AE283" s="56"/>
      <c r="AF283" s="52"/>
      <c r="AG283" s="51"/>
      <c r="AH283" s="70"/>
      <c r="AI283" s="58"/>
      <c r="AJ283" s="55"/>
      <c r="AK283" s="51"/>
      <c r="AL283" s="69"/>
      <c r="AM283" s="56"/>
      <c r="AN283" s="52"/>
      <c r="AO283" s="51"/>
      <c r="AP283" s="70"/>
      <c r="AQ283" s="58"/>
      <c r="AR283" s="55"/>
      <c r="AS283" s="51"/>
      <c r="AT283" s="69"/>
      <c r="AU283" s="56"/>
      <c r="AV283" s="52"/>
      <c r="AW283" s="51"/>
      <c r="BR283" s="34" t="str">
        <f>IF(E283="","",CONCATENATE(E283," ",F283," noches"))</f>
        <v/>
      </c>
      <c r="BS283" s="28" t="str">
        <f t="shared" ca="1" si="74"/>
        <v/>
      </c>
      <c r="BT283" s="28" t="str">
        <f t="shared" ca="1" si="75"/>
        <v/>
      </c>
    </row>
    <row r="284" spans="1:72" x14ac:dyDescent="0.2">
      <c r="A284" s="18" t="str" cm="1">
        <f t="array" aca="1" ref="A284" ca="1">IF(B284="","","Grupo N˚"&amp;SUMPRODUCT(($B$4:B284&lt;&gt;"")*($B$4:B284&lt;&gt;OFFSET($B$4,-1,0,ROWS($B$4:B284),1))))</f>
        <v/>
      </c>
      <c r="B284" s="31"/>
      <c r="C284" s="31"/>
      <c r="D284" s="31"/>
      <c r="E284" s="31"/>
      <c r="F284" s="32"/>
      <c r="G284" s="33"/>
      <c r="H284" s="33"/>
      <c r="I284" s="20" t="str">
        <f t="shared" si="64"/>
        <v/>
      </c>
      <c r="J284" s="21" t="str">
        <f>IFERROR(VLOOKUP(BR284,Pricing!$D$3:$E$58,2,FALSE),"")</f>
        <v/>
      </c>
      <c r="K284" s="32"/>
      <c r="L284" s="32"/>
      <c r="M284" s="32"/>
      <c r="N284" s="36" t="str" cm="1">
        <f t="array" ref="N284">IFERROR(_xlfn.IFS((AND(K284="SI",M284="$")),J284*0.2,AND(K284="SI",M284="%"),20),"")</f>
        <v/>
      </c>
      <c r="O284" s="29" t="str">
        <f t="shared" si="65"/>
        <v/>
      </c>
      <c r="P284" s="21" t="str">
        <f t="shared" si="66"/>
        <v/>
      </c>
      <c r="Q284" s="21" t="str">
        <f t="shared" si="67"/>
        <v/>
      </c>
      <c r="R284" s="21" t="str">
        <f t="shared" si="68"/>
        <v/>
      </c>
      <c r="S284" s="39"/>
      <c r="T284" s="43" t="str">
        <f t="shared" si="76"/>
        <v/>
      </c>
      <c r="U284" s="49" t="str">
        <f t="shared" si="77"/>
        <v/>
      </c>
      <c r="V284" s="48" t="str">
        <f t="shared" si="78"/>
        <v/>
      </c>
      <c r="W284" s="48" t="str">
        <f t="shared" si="69"/>
        <v/>
      </c>
      <c r="X284" s="50" t="str">
        <f>IF(W284="","",SUMIF($B$4:$B$1002,B284,$W$4:$W$1000))</f>
        <v/>
      </c>
      <c r="Y284" s="43" t="str">
        <f t="shared" si="70"/>
        <v/>
      </c>
      <c r="Z284" s="49" t="str">
        <f t="shared" si="71"/>
        <v/>
      </c>
      <c r="AA284" s="48" t="str">
        <f t="shared" si="72"/>
        <v/>
      </c>
      <c r="AB284" s="49" t="str">
        <f t="shared" si="73"/>
        <v/>
      </c>
      <c r="AC284" s="50" t="str">
        <f>IF(AB284="","",SUMIF($B$4:$B$1002,B284,$AB$4:$AB$1000))</f>
        <v/>
      </c>
      <c r="AD284" s="69"/>
      <c r="AE284" s="56"/>
      <c r="AF284" s="52"/>
      <c r="AG284" s="51"/>
      <c r="AH284" s="70"/>
      <c r="AI284" s="58"/>
      <c r="AJ284" s="55"/>
      <c r="AK284" s="51"/>
      <c r="AL284" s="69"/>
      <c r="AM284" s="56"/>
      <c r="AN284" s="52"/>
      <c r="AO284" s="51"/>
      <c r="AP284" s="70"/>
      <c r="AQ284" s="58"/>
      <c r="AR284" s="55"/>
      <c r="AS284" s="51"/>
      <c r="AT284" s="69"/>
      <c r="AU284" s="56"/>
      <c r="AV284" s="52"/>
      <c r="AW284" s="51"/>
      <c r="BR284" s="34" t="str">
        <f>IF(E284="","",CONCATENATE(E284," ",F284," noches"))</f>
        <v/>
      </c>
      <c r="BS284" s="28" t="str">
        <f t="shared" ca="1" si="74"/>
        <v/>
      </c>
      <c r="BT284" s="28" t="str">
        <f t="shared" ca="1" si="75"/>
        <v/>
      </c>
    </row>
    <row r="285" spans="1:72" x14ac:dyDescent="0.2">
      <c r="A285" s="18" t="str" cm="1">
        <f t="array" aca="1" ref="A285" ca="1">IF(B285="","","Grupo N˚"&amp;SUMPRODUCT(($B$4:B285&lt;&gt;"")*($B$4:B285&lt;&gt;OFFSET($B$4,-1,0,ROWS($B$4:B285),1))))</f>
        <v/>
      </c>
      <c r="B285" s="31"/>
      <c r="C285" s="31"/>
      <c r="D285" s="31"/>
      <c r="E285" s="31"/>
      <c r="F285" s="32"/>
      <c r="G285" s="33"/>
      <c r="H285" s="33"/>
      <c r="I285" s="20" t="str">
        <f t="shared" si="64"/>
        <v/>
      </c>
      <c r="J285" s="21" t="str">
        <f>IFERROR(VLOOKUP(BR285,Pricing!$D$3:$E$58,2,FALSE),"")</f>
        <v/>
      </c>
      <c r="K285" s="32"/>
      <c r="L285" s="32"/>
      <c r="M285" s="32"/>
      <c r="N285" s="36" t="str" cm="1">
        <f t="array" ref="N285">IFERROR(_xlfn.IFS((AND(K285="SI",M285="$")),J285*0.2,AND(K285="SI",M285="%"),20),"")</f>
        <v/>
      </c>
      <c r="O285" s="29" t="str">
        <f t="shared" si="65"/>
        <v/>
      </c>
      <c r="P285" s="21" t="str">
        <f t="shared" si="66"/>
        <v/>
      </c>
      <c r="Q285" s="21" t="str">
        <f t="shared" si="67"/>
        <v/>
      </c>
      <c r="R285" s="21" t="str">
        <f t="shared" si="68"/>
        <v/>
      </c>
      <c r="S285" s="39"/>
      <c r="T285" s="43" t="str">
        <f t="shared" si="76"/>
        <v/>
      </c>
      <c r="U285" s="49" t="str">
        <f t="shared" si="77"/>
        <v/>
      </c>
      <c r="V285" s="48" t="str">
        <f t="shared" si="78"/>
        <v/>
      </c>
      <c r="W285" s="48" t="str">
        <f t="shared" si="69"/>
        <v/>
      </c>
      <c r="X285" s="50" t="str">
        <f>IF(W285="","",SUMIF($B$4:$B$1002,B285,$W$4:$W$1000))</f>
        <v/>
      </c>
      <c r="Y285" s="43" t="str">
        <f t="shared" si="70"/>
        <v/>
      </c>
      <c r="Z285" s="49" t="str">
        <f t="shared" si="71"/>
        <v/>
      </c>
      <c r="AA285" s="48" t="str">
        <f t="shared" si="72"/>
        <v/>
      </c>
      <c r="AB285" s="49" t="str">
        <f t="shared" si="73"/>
        <v/>
      </c>
      <c r="AC285" s="50" t="str">
        <f>IF(AB285="","",SUMIF($B$4:$B$1002,B285,$AB$4:$AB$1000))</f>
        <v/>
      </c>
      <c r="AD285" s="69"/>
      <c r="AE285" s="56"/>
      <c r="AF285" s="52"/>
      <c r="AG285" s="51"/>
      <c r="AH285" s="70"/>
      <c r="AI285" s="58"/>
      <c r="AJ285" s="55"/>
      <c r="AK285" s="51"/>
      <c r="AL285" s="69"/>
      <c r="AM285" s="56"/>
      <c r="AN285" s="52"/>
      <c r="AO285" s="51"/>
      <c r="AP285" s="70"/>
      <c r="AQ285" s="58"/>
      <c r="AR285" s="55"/>
      <c r="AS285" s="51"/>
      <c r="AT285" s="69"/>
      <c r="AU285" s="56"/>
      <c r="AV285" s="52"/>
      <c r="AW285" s="51"/>
      <c r="BR285" s="34" t="str">
        <f>IF(E285="","",CONCATENATE(E285," ",F285," noches"))</f>
        <v/>
      </c>
      <c r="BS285" s="28" t="str">
        <f t="shared" ca="1" si="74"/>
        <v/>
      </c>
      <c r="BT285" s="28" t="str">
        <f t="shared" ca="1" si="75"/>
        <v/>
      </c>
    </row>
    <row r="286" spans="1:72" x14ac:dyDescent="0.2">
      <c r="A286" s="18" t="str" cm="1">
        <f t="array" aca="1" ref="A286" ca="1">IF(B286="","","Grupo N˚"&amp;SUMPRODUCT(($B$4:B286&lt;&gt;"")*($B$4:B286&lt;&gt;OFFSET($B$4,-1,0,ROWS($B$4:B286),1))))</f>
        <v/>
      </c>
      <c r="B286" s="31"/>
      <c r="C286" s="31"/>
      <c r="D286" s="31"/>
      <c r="E286" s="31"/>
      <c r="F286" s="32"/>
      <c r="G286" s="33"/>
      <c r="H286" s="33"/>
      <c r="I286" s="20" t="str">
        <f t="shared" si="64"/>
        <v/>
      </c>
      <c r="J286" s="21" t="str">
        <f>IFERROR(VLOOKUP(BR286,Pricing!$D$3:$E$58,2,FALSE),"")</f>
        <v/>
      </c>
      <c r="K286" s="32"/>
      <c r="L286" s="32"/>
      <c r="M286" s="32"/>
      <c r="N286" s="36" t="str" cm="1">
        <f t="array" ref="N286">IFERROR(_xlfn.IFS((AND(K286="SI",M286="$")),J286*0.2,AND(K286="SI",M286="%"),20),"")</f>
        <v/>
      </c>
      <c r="O286" s="29" t="str">
        <f t="shared" si="65"/>
        <v/>
      </c>
      <c r="P286" s="21" t="str">
        <f t="shared" si="66"/>
        <v/>
      </c>
      <c r="Q286" s="21" t="str">
        <f t="shared" si="67"/>
        <v/>
      </c>
      <c r="R286" s="21" t="str">
        <f t="shared" si="68"/>
        <v/>
      </c>
      <c r="S286" s="39"/>
      <c r="T286" s="43" t="str">
        <f t="shared" si="76"/>
        <v/>
      </c>
      <c r="U286" s="49" t="str">
        <f t="shared" si="77"/>
        <v/>
      </c>
      <c r="V286" s="48" t="str">
        <f t="shared" si="78"/>
        <v/>
      </c>
      <c r="W286" s="48" t="str">
        <f t="shared" si="69"/>
        <v/>
      </c>
      <c r="X286" s="50" t="str">
        <f>IF(W286="","",SUMIF($B$4:$B$1002,B286,$W$4:$W$1000))</f>
        <v/>
      </c>
      <c r="Y286" s="43" t="str">
        <f t="shared" si="70"/>
        <v/>
      </c>
      <c r="Z286" s="49" t="str">
        <f t="shared" si="71"/>
        <v/>
      </c>
      <c r="AA286" s="48" t="str">
        <f t="shared" si="72"/>
        <v/>
      </c>
      <c r="AB286" s="49" t="str">
        <f t="shared" si="73"/>
        <v/>
      </c>
      <c r="AC286" s="50" t="str">
        <f>IF(AB286="","",SUMIF($B$4:$B$1002,B286,$AB$4:$AB$1000))</f>
        <v/>
      </c>
      <c r="AD286" s="69"/>
      <c r="AE286" s="56"/>
      <c r="AF286" s="52"/>
      <c r="AG286" s="51"/>
      <c r="AH286" s="70"/>
      <c r="AI286" s="58"/>
      <c r="AJ286" s="55"/>
      <c r="AK286" s="51"/>
      <c r="AL286" s="69"/>
      <c r="AM286" s="56"/>
      <c r="AN286" s="52"/>
      <c r="AO286" s="51"/>
      <c r="AP286" s="70"/>
      <c r="AQ286" s="58"/>
      <c r="AR286" s="55"/>
      <c r="AS286" s="51"/>
      <c r="AT286" s="69"/>
      <c r="AU286" s="56"/>
      <c r="AV286" s="52"/>
      <c r="AW286" s="51"/>
      <c r="BR286" s="34" t="str">
        <f>IF(E286="","",CONCATENATE(E286," ",F286," noches"))</f>
        <v/>
      </c>
      <c r="BS286" s="28" t="str">
        <f t="shared" ca="1" si="74"/>
        <v/>
      </c>
      <c r="BT286" s="28" t="str">
        <f t="shared" ca="1" si="75"/>
        <v/>
      </c>
    </row>
    <row r="287" spans="1:72" x14ac:dyDescent="0.2">
      <c r="A287" s="18" t="str" cm="1">
        <f t="array" aca="1" ref="A287" ca="1">IF(B287="","","Grupo N˚"&amp;SUMPRODUCT(($B$4:B287&lt;&gt;"")*($B$4:B287&lt;&gt;OFFSET($B$4,-1,0,ROWS($B$4:B287),1))))</f>
        <v/>
      </c>
      <c r="B287" s="31"/>
      <c r="C287" s="31"/>
      <c r="D287" s="31"/>
      <c r="E287" s="31"/>
      <c r="F287" s="32"/>
      <c r="G287" s="33"/>
      <c r="H287" s="33"/>
      <c r="I287" s="20" t="str">
        <f t="shared" si="64"/>
        <v/>
      </c>
      <c r="J287" s="21" t="str">
        <f>IFERROR(VLOOKUP(BR287,Pricing!$D$3:$E$58,2,FALSE),"")</f>
        <v/>
      </c>
      <c r="K287" s="32"/>
      <c r="L287" s="32"/>
      <c r="M287" s="32"/>
      <c r="N287" s="36" t="str" cm="1">
        <f t="array" ref="N287">IFERROR(_xlfn.IFS((AND(K287="SI",M287="$")),J287*0.2,AND(K287="SI",M287="%"),20),"")</f>
        <v/>
      </c>
      <c r="O287" s="29" t="str">
        <f t="shared" si="65"/>
        <v/>
      </c>
      <c r="P287" s="21" t="str">
        <f t="shared" si="66"/>
        <v/>
      </c>
      <c r="Q287" s="21" t="str">
        <f t="shared" si="67"/>
        <v/>
      </c>
      <c r="R287" s="21" t="str">
        <f t="shared" si="68"/>
        <v/>
      </c>
      <c r="S287" s="39"/>
      <c r="T287" s="43" t="str">
        <f t="shared" si="76"/>
        <v/>
      </c>
      <c r="U287" s="49" t="str">
        <f t="shared" si="77"/>
        <v/>
      </c>
      <c r="V287" s="48" t="str">
        <f t="shared" si="78"/>
        <v/>
      </c>
      <c r="W287" s="48" t="str">
        <f t="shared" si="69"/>
        <v/>
      </c>
      <c r="X287" s="50" t="str">
        <f>IF(W287="","",SUMIF($B$4:$B$1002,B287,$W$4:$W$1000))</f>
        <v/>
      </c>
      <c r="Y287" s="43" t="str">
        <f t="shared" si="70"/>
        <v/>
      </c>
      <c r="Z287" s="49" t="str">
        <f t="shared" si="71"/>
        <v/>
      </c>
      <c r="AA287" s="48" t="str">
        <f t="shared" si="72"/>
        <v/>
      </c>
      <c r="AB287" s="49" t="str">
        <f t="shared" si="73"/>
        <v/>
      </c>
      <c r="AC287" s="50" t="str">
        <f>IF(AB287="","",SUMIF($B$4:$B$1002,B287,$AB$4:$AB$1000))</f>
        <v/>
      </c>
      <c r="AD287" s="69"/>
      <c r="AE287" s="56"/>
      <c r="AF287" s="52"/>
      <c r="AG287" s="51"/>
      <c r="AH287" s="70"/>
      <c r="AI287" s="58"/>
      <c r="AJ287" s="55"/>
      <c r="AK287" s="51"/>
      <c r="AL287" s="69"/>
      <c r="AM287" s="56"/>
      <c r="AN287" s="52"/>
      <c r="AO287" s="51"/>
      <c r="AP287" s="70"/>
      <c r="AQ287" s="58"/>
      <c r="AR287" s="55"/>
      <c r="AS287" s="51"/>
      <c r="AT287" s="69"/>
      <c r="AU287" s="56"/>
      <c r="AV287" s="52"/>
      <c r="AW287" s="51"/>
      <c r="BR287" s="34" t="str">
        <f>IF(E287="","",CONCATENATE(E287," ",F287," noches"))</f>
        <v/>
      </c>
      <c r="BS287" s="28" t="str">
        <f t="shared" ca="1" si="74"/>
        <v/>
      </c>
      <c r="BT287" s="28" t="str">
        <f t="shared" ca="1" si="75"/>
        <v/>
      </c>
    </row>
    <row r="288" spans="1:72" x14ac:dyDescent="0.2">
      <c r="A288" s="18" t="str" cm="1">
        <f t="array" aca="1" ref="A288" ca="1">IF(B288="","","Grupo N˚"&amp;SUMPRODUCT(($B$4:B288&lt;&gt;"")*($B$4:B288&lt;&gt;OFFSET($B$4,-1,0,ROWS($B$4:B288),1))))</f>
        <v/>
      </c>
      <c r="B288" s="31"/>
      <c r="C288" s="31"/>
      <c r="D288" s="31"/>
      <c r="E288" s="31"/>
      <c r="F288" s="32"/>
      <c r="G288" s="33"/>
      <c r="H288" s="33"/>
      <c r="I288" s="20" t="str">
        <f t="shared" si="64"/>
        <v/>
      </c>
      <c r="J288" s="21" t="str">
        <f>IFERROR(VLOOKUP(BR288,Pricing!$D$3:$E$58,2,FALSE),"")</f>
        <v/>
      </c>
      <c r="K288" s="32"/>
      <c r="L288" s="32"/>
      <c r="M288" s="32"/>
      <c r="N288" s="36" t="str" cm="1">
        <f t="array" ref="N288">IFERROR(_xlfn.IFS((AND(K288="SI",M288="$")),J288*0.2,AND(K288="SI",M288="%"),20),"")</f>
        <v/>
      </c>
      <c r="O288" s="29" t="str">
        <f t="shared" si="65"/>
        <v/>
      </c>
      <c r="P288" s="21" t="str">
        <f t="shared" si="66"/>
        <v/>
      </c>
      <c r="Q288" s="21" t="str">
        <f t="shared" si="67"/>
        <v/>
      </c>
      <c r="R288" s="21" t="str">
        <f t="shared" si="68"/>
        <v/>
      </c>
      <c r="S288" s="39"/>
      <c r="T288" s="43" t="str">
        <f t="shared" si="76"/>
        <v/>
      </c>
      <c r="U288" s="49" t="str">
        <f t="shared" si="77"/>
        <v/>
      </c>
      <c r="V288" s="48" t="str">
        <f t="shared" si="78"/>
        <v/>
      </c>
      <c r="W288" s="48" t="str">
        <f t="shared" si="69"/>
        <v/>
      </c>
      <c r="X288" s="50" t="str">
        <f>IF(W288="","",SUMIF($B$4:$B$1002,B288,$W$4:$W$1000))</f>
        <v/>
      </c>
      <c r="Y288" s="43" t="str">
        <f t="shared" si="70"/>
        <v/>
      </c>
      <c r="Z288" s="49" t="str">
        <f t="shared" si="71"/>
        <v/>
      </c>
      <c r="AA288" s="48" t="str">
        <f t="shared" si="72"/>
        <v/>
      </c>
      <c r="AB288" s="49" t="str">
        <f t="shared" si="73"/>
        <v/>
      </c>
      <c r="AC288" s="50" t="str">
        <f>IF(AB288="","",SUMIF($B$4:$B$1002,B288,$AB$4:$AB$1000))</f>
        <v/>
      </c>
      <c r="AD288" s="69"/>
      <c r="AE288" s="56"/>
      <c r="AF288" s="52"/>
      <c r="AG288" s="51"/>
      <c r="AH288" s="70"/>
      <c r="AI288" s="58"/>
      <c r="AJ288" s="55"/>
      <c r="AK288" s="51"/>
      <c r="AL288" s="69"/>
      <c r="AM288" s="56"/>
      <c r="AN288" s="52"/>
      <c r="AO288" s="51"/>
      <c r="AP288" s="70"/>
      <c r="AQ288" s="58"/>
      <c r="AR288" s="55"/>
      <c r="AS288" s="51"/>
      <c r="AT288" s="69"/>
      <c r="AU288" s="56"/>
      <c r="AV288" s="52"/>
      <c r="AW288" s="51"/>
      <c r="BR288" s="34" t="str">
        <f>IF(E288="","",CONCATENATE(E288," ",F288," noches"))</f>
        <v/>
      </c>
      <c r="BS288" s="28" t="str">
        <f t="shared" ca="1" si="74"/>
        <v/>
      </c>
      <c r="BT288" s="28" t="str">
        <f t="shared" ca="1" si="75"/>
        <v/>
      </c>
    </row>
    <row r="289" spans="1:72" x14ac:dyDescent="0.2">
      <c r="A289" s="18" t="str" cm="1">
        <f t="array" aca="1" ref="A289" ca="1">IF(B289="","","Grupo N˚"&amp;SUMPRODUCT(($B$4:B289&lt;&gt;"")*($B$4:B289&lt;&gt;OFFSET($B$4,-1,0,ROWS($B$4:B289),1))))</f>
        <v/>
      </c>
      <c r="B289" s="31"/>
      <c r="C289" s="31"/>
      <c r="D289" s="31"/>
      <c r="E289" s="31"/>
      <c r="F289" s="32"/>
      <c r="G289" s="33"/>
      <c r="H289" s="33"/>
      <c r="I289" s="20" t="str">
        <f t="shared" si="64"/>
        <v/>
      </c>
      <c r="J289" s="21" t="str">
        <f>IFERROR(VLOOKUP(BR289,Pricing!$D$3:$E$58,2,FALSE),"")</f>
        <v/>
      </c>
      <c r="K289" s="32"/>
      <c r="L289" s="32"/>
      <c r="M289" s="32"/>
      <c r="N289" s="36" t="str" cm="1">
        <f t="array" ref="N289">IFERROR(_xlfn.IFS((AND(K289="SI",M289="$")),J289*0.2,AND(K289="SI",M289="%"),20),"")</f>
        <v/>
      </c>
      <c r="O289" s="29" t="str">
        <f t="shared" si="65"/>
        <v/>
      </c>
      <c r="P289" s="21" t="str">
        <f t="shared" si="66"/>
        <v/>
      </c>
      <c r="Q289" s="21" t="str">
        <f t="shared" si="67"/>
        <v/>
      </c>
      <c r="R289" s="21" t="str">
        <f t="shared" si="68"/>
        <v/>
      </c>
      <c r="S289" s="39"/>
      <c r="T289" s="43" t="str">
        <f t="shared" si="76"/>
        <v/>
      </c>
      <c r="U289" s="49" t="str">
        <f t="shared" si="77"/>
        <v/>
      </c>
      <c r="V289" s="48" t="str">
        <f t="shared" si="78"/>
        <v/>
      </c>
      <c r="W289" s="48" t="str">
        <f t="shared" si="69"/>
        <v/>
      </c>
      <c r="X289" s="50" t="str">
        <f>IF(W289="","",SUMIF($B$4:$B$1002,B289,$W$4:$W$1000))</f>
        <v/>
      </c>
      <c r="Y289" s="43" t="str">
        <f t="shared" si="70"/>
        <v/>
      </c>
      <c r="Z289" s="49" t="str">
        <f t="shared" si="71"/>
        <v/>
      </c>
      <c r="AA289" s="48" t="str">
        <f t="shared" si="72"/>
        <v/>
      </c>
      <c r="AB289" s="49" t="str">
        <f t="shared" si="73"/>
        <v/>
      </c>
      <c r="AC289" s="50" t="str">
        <f>IF(AB289="","",SUMIF($B$4:$B$1002,B289,$AB$4:$AB$1000))</f>
        <v/>
      </c>
      <c r="AD289" s="69"/>
      <c r="AE289" s="56"/>
      <c r="AF289" s="52"/>
      <c r="AG289" s="51"/>
      <c r="AH289" s="70"/>
      <c r="AI289" s="58"/>
      <c r="AJ289" s="55"/>
      <c r="AK289" s="51"/>
      <c r="AL289" s="69"/>
      <c r="AM289" s="56"/>
      <c r="AN289" s="52"/>
      <c r="AO289" s="51"/>
      <c r="AP289" s="70"/>
      <c r="AQ289" s="58"/>
      <c r="AR289" s="55"/>
      <c r="AS289" s="51"/>
      <c r="AT289" s="69"/>
      <c r="AU289" s="56"/>
      <c r="AV289" s="52"/>
      <c r="AW289" s="51"/>
      <c r="BR289" s="34" t="str">
        <f>IF(E289="","",CONCATENATE(E289," ",F289," noches"))</f>
        <v/>
      </c>
      <c r="BS289" s="28" t="str">
        <f t="shared" ca="1" si="74"/>
        <v/>
      </c>
      <c r="BT289" s="28" t="str">
        <f t="shared" ca="1" si="75"/>
        <v/>
      </c>
    </row>
    <row r="290" spans="1:72" x14ac:dyDescent="0.2">
      <c r="A290" s="18" t="str" cm="1">
        <f t="array" aca="1" ref="A290" ca="1">IF(B290="","","Grupo N˚"&amp;SUMPRODUCT(($B$4:B290&lt;&gt;"")*($B$4:B290&lt;&gt;OFFSET($B$4,-1,0,ROWS($B$4:B290),1))))</f>
        <v/>
      </c>
      <c r="B290" s="31"/>
      <c r="C290" s="31"/>
      <c r="D290" s="31"/>
      <c r="E290" s="31"/>
      <c r="F290" s="32"/>
      <c r="G290" s="33"/>
      <c r="H290" s="33"/>
      <c r="I290" s="20" t="str">
        <f t="shared" si="64"/>
        <v/>
      </c>
      <c r="J290" s="21" t="str">
        <f>IFERROR(VLOOKUP(BR290,Pricing!$D$3:$E$58,2,FALSE),"")</f>
        <v/>
      </c>
      <c r="K290" s="32"/>
      <c r="L290" s="32"/>
      <c r="M290" s="32"/>
      <c r="N290" s="36" t="str" cm="1">
        <f t="array" ref="N290">IFERROR(_xlfn.IFS((AND(K290="SI",M290="$")),J290*0.2,AND(K290="SI",M290="%"),20),"")</f>
        <v/>
      </c>
      <c r="O290" s="29" t="str">
        <f t="shared" si="65"/>
        <v/>
      </c>
      <c r="P290" s="21" t="str">
        <f t="shared" si="66"/>
        <v/>
      </c>
      <c r="Q290" s="21" t="str">
        <f t="shared" si="67"/>
        <v/>
      </c>
      <c r="R290" s="21" t="str">
        <f t="shared" si="68"/>
        <v/>
      </c>
      <c r="S290" s="39"/>
      <c r="T290" s="43" t="str">
        <f t="shared" si="76"/>
        <v/>
      </c>
      <c r="U290" s="49" t="str">
        <f t="shared" si="77"/>
        <v/>
      </c>
      <c r="V290" s="48" t="str">
        <f t="shared" si="78"/>
        <v/>
      </c>
      <c r="W290" s="48" t="str">
        <f t="shared" si="69"/>
        <v/>
      </c>
      <c r="X290" s="50" t="str">
        <f>IF(W290="","",SUMIF($B$4:$B$1002,B290,$W$4:$W$1000))</f>
        <v/>
      </c>
      <c r="Y290" s="43" t="str">
        <f t="shared" si="70"/>
        <v/>
      </c>
      <c r="Z290" s="49" t="str">
        <f t="shared" si="71"/>
        <v/>
      </c>
      <c r="AA290" s="48" t="str">
        <f t="shared" si="72"/>
        <v/>
      </c>
      <c r="AB290" s="49" t="str">
        <f t="shared" si="73"/>
        <v/>
      </c>
      <c r="AC290" s="50" t="str">
        <f>IF(AB290="","",SUMIF($B$4:$B$1002,B290,$AB$4:$AB$1000))</f>
        <v/>
      </c>
      <c r="AD290" s="69"/>
      <c r="AE290" s="56"/>
      <c r="AF290" s="52"/>
      <c r="AG290" s="51"/>
      <c r="AH290" s="70"/>
      <c r="AI290" s="58"/>
      <c r="AJ290" s="55"/>
      <c r="AK290" s="51"/>
      <c r="AL290" s="69"/>
      <c r="AM290" s="56"/>
      <c r="AN290" s="52"/>
      <c r="AO290" s="51"/>
      <c r="AP290" s="70"/>
      <c r="AQ290" s="58"/>
      <c r="AR290" s="55"/>
      <c r="AS290" s="51"/>
      <c r="AT290" s="69"/>
      <c r="AU290" s="56"/>
      <c r="AV290" s="52"/>
      <c r="AW290" s="51"/>
      <c r="BR290" s="34" t="str">
        <f>IF(E290="","",CONCATENATE(E290," ",F290," noches"))</f>
        <v/>
      </c>
      <c r="BS290" s="28" t="str">
        <f t="shared" ca="1" si="74"/>
        <v/>
      </c>
      <c r="BT290" s="28" t="str">
        <f t="shared" ca="1" si="75"/>
        <v/>
      </c>
    </row>
    <row r="291" spans="1:72" x14ac:dyDescent="0.2">
      <c r="A291" s="18" t="str" cm="1">
        <f t="array" aca="1" ref="A291" ca="1">IF(B291="","","Grupo N˚"&amp;SUMPRODUCT(($B$4:B291&lt;&gt;"")*($B$4:B291&lt;&gt;OFFSET($B$4,-1,0,ROWS($B$4:B291),1))))</f>
        <v/>
      </c>
      <c r="B291" s="31"/>
      <c r="C291" s="31"/>
      <c r="D291" s="31"/>
      <c r="E291" s="31"/>
      <c r="F291" s="32"/>
      <c r="G291" s="33"/>
      <c r="H291" s="33"/>
      <c r="I291" s="20" t="str">
        <f t="shared" si="64"/>
        <v/>
      </c>
      <c r="J291" s="21" t="str">
        <f>IFERROR(VLOOKUP(BR291,Pricing!$D$3:$E$58,2,FALSE),"")</f>
        <v/>
      </c>
      <c r="K291" s="32"/>
      <c r="L291" s="32"/>
      <c r="M291" s="32"/>
      <c r="N291" s="36" t="str" cm="1">
        <f t="array" ref="N291">IFERROR(_xlfn.IFS((AND(K291="SI",M291="$")),J291*0.2,AND(K291="SI",M291="%"),20),"")</f>
        <v/>
      </c>
      <c r="O291" s="29" t="str">
        <f t="shared" si="65"/>
        <v/>
      </c>
      <c r="P291" s="21" t="str">
        <f t="shared" si="66"/>
        <v/>
      </c>
      <c r="Q291" s="21" t="str">
        <f t="shared" si="67"/>
        <v/>
      </c>
      <c r="R291" s="21" t="str">
        <f t="shared" si="68"/>
        <v/>
      </c>
      <c r="S291" s="39"/>
      <c r="T291" s="43" t="str">
        <f t="shared" si="76"/>
        <v/>
      </c>
      <c r="U291" s="49" t="str">
        <f t="shared" si="77"/>
        <v/>
      </c>
      <c r="V291" s="48" t="str">
        <f t="shared" si="78"/>
        <v/>
      </c>
      <c r="W291" s="48" t="str">
        <f t="shared" si="69"/>
        <v/>
      </c>
      <c r="X291" s="50" t="str">
        <f>IF(W291="","",SUMIF($B$4:$B$1002,B291,$W$4:$W$1000))</f>
        <v/>
      </c>
      <c r="Y291" s="43" t="str">
        <f t="shared" si="70"/>
        <v/>
      </c>
      <c r="Z291" s="49" t="str">
        <f t="shared" si="71"/>
        <v/>
      </c>
      <c r="AA291" s="48" t="str">
        <f t="shared" si="72"/>
        <v/>
      </c>
      <c r="AB291" s="49" t="str">
        <f t="shared" si="73"/>
        <v/>
      </c>
      <c r="AC291" s="50" t="str">
        <f>IF(AB291="","",SUMIF($B$4:$B$1002,B291,$AB$4:$AB$1000))</f>
        <v/>
      </c>
      <c r="AD291" s="69"/>
      <c r="AE291" s="56"/>
      <c r="AF291" s="52"/>
      <c r="AG291" s="51"/>
      <c r="AH291" s="70"/>
      <c r="AI291" s="58"/>
      <c r="AJ291" s="55"/>
      <c r="AK291" s="51"/>
      <c r="AL291" s="69"/>
      <c r="AM291" s="56"/>
      <c r="AN291" s="52"/>
      <c r="AO291" s="51"/>
      <c r="AP291" s="70"/>
      <c r="AQ291" s="58"/>
      <c r="AR291" s="55"/>
      <c r="AS291" s="51"/>
      <c r="AT291" s="69"/>
      <c r="AU291" s="56"/>
      <c r="AV291" s="52"/>
      <c r="AW291" s="51"/>
      <c r="BR291" s="34" t="str">
        <f>IF(E291="","",CONCATENATE(E291," ",F291," noches"))</f>
        <v/>
      </c>
      <c r="BS291" s="28" t="str">
        <f t="shared" ca="1" si="74"/>
        <v/>
      </c>
      <c r="BT291" s="28" t="str">
        <f t="shared" ca="1" si="75"/>
        <v/>
      </c>
    </row>
    <row r="292" spans="1:72" x14ac:dyDescent="0.2">
      <c r="A292" s="18" t="str" cm="1">
        <f t="array" aca="1" ref="A292" ca="1">IF(B292="","","Grupo N˚"&amp;SUMPRODUCT(($B$4:B292&lt;&gt;"")*($B$4:B292&lt;&gt;OFFSET($B$4,-1,0,ROWS($B$4:B292),1))))</f>
        <v/>
      </c>
      <c r="B292" s="31"/>
      <c r="C292" s="31"/>
      <c r="D292" s="31"/>
      <c r="E292" s="31"/>
      <c r="F292" s="32"/>
      <c r="G292" s="33"/>
      <c r="H292" s="33"/>
      <c r="I292" s="20" t="str">
        <f t="shared" si="64"/>
        <v/>
      </c>
      <c r="J292" s="21" t="str">
        <f>IFERROR(VLOOKUP(BR292,Pricing!$D$3:$E$58,2,FALSE),"")</f>
        <v/>
      </c>
      <c r="K292" s="32"/>
      <c r="L292" s="32"/>
      <c r="M292" s="32"/>
      <c r="N292" s="36" t="str" cm="1">
        <f t="array" ref="N292">IFERROR(_xlfn.IFS((AND(K292="SI",M292="$")),J292*0.2,AND(K292="SI",M292="%"),20),"")</f>
        <v/>
      </c>
      <c r="O292" s="29" t="str">
        <f t="shared" si="65"/>
        <v/>
      </c>
      <c r="P292" s="21" t="str">
        <f t="shared" si="66"/>
        <v/>
      </c>
      <c r="Q292" s="21" t="str">
        <f t="shared" si="67"/>
        <v/>
      </c>
      <c r="R292" s="21" t="str">
        <f t="shared" si="68"/>
        <v/>
      </c>
      <c r="S292" s="39"/>
      <c r="T292" s="43" t="str">
        <f t="shared" si="76"/>
        <v/>
      </c>
      <c r="U292" s="49" t="str">
        <f t="shared" si="77"/>
        <v/>
      </c>
      <c r="V292" s="48" t="str">
        <f t="shared" si="78"/>
        <v/>
      </c>
      <c r="W292" s="48" t="str">
        <f t="shared" si="69"/>
        <v/>
      </c>
      <c r="X292" s="50" t="str">
        <f>IF(W292="","",SUMIF($B$4:$B$1002,B292,$W$4:$W$1000))</f>
        <v/>
      </c>
      <c r="Y292" s="43" t="str">
        <f t="shared" si="70"/>
        <v/>
      </c>
      <c r="Z292" s="49" t="str">
        <f t="shared" si="71"/>
        <v/>
      </c>
      <c r="AA292" s="48" t="str">
        <f t="shared" si="72"/>
        <v/>
      </c>
      <c r="AB292" s="49" t="str">
        <f t="shared" si="73"/>
        <v/>
      </c>
      <c r="AC292" s="50" t="str">
        <f>IF(AB292="","",SUMIF($B$4:$B$1002,B292,$AB$4:$AB$1000))</f>
        <v/>
      </c>
      <c r="AD292" s="69"/>
      <c r="AE292" s="56"/>
      <c r="AF292" s="52"/>
      <c r="AG292" s="51"/>
      <c r="AH292" s="70"/>
      <c r="AI292" s="58"/>
      <c r="AJ292" s="55"/>
      <c r="AK292" s="51"/>
      <c r="AL292" s="69"/>
      <c r="AM292" s="56"/>
      <c r="AN292" s="52"/>
      <c r="AO292" s="51"/>
      <c r="AP292" s="70"/>
      <c r="AQ292" s="58"/>
      <c r="AR292" s="55"/>
      <c r="AS292" s="51"/>
      <c r="AT292" s="69"/>
      <c r="AU292" s="56"/>
      <c r="AV292" s="52"/>
      <c r="AW292" s="51"/>
      <c r="BR292" s="34" t="str">
        <f>IF(E292="","",CONCATENATE(E292," ",F292," noches"))</f>
        <v/>
      </c>
      <c r="BS292" s="28" t="str">
        <f t="shared" ca="1" si="74"/>
        <v/>
      </c>
      <c r="BT292" s="28" t="str">
        <f t="shared" ca="1" si="75"/>
        <v/>
      </c>
    </row>
    <row r="293" spans="1:72" x14ac:dyDescent="0.2">
      <c r="A293" s="18" t="str" cm="1">
        <f t="array" aca="1" ref="A293" ca="1">IF(B293="","","Grupo N˚"&amp;SUMPRODUCT(($B$4:B293&lt;&gt;"")*($B$4:B293&lt;&gt;OFFSET($B$4,-1,0,ROWS($B$4:B293),1))))</f>
        <v/>
      </c>
      <c r="B293" s="31"/>
      <c r="C293" s="31"/>
      <c r="D293" s="31"/>
      <c r="E293" s="31"/>
      <c r="F293" s="32"/>
      <c r="G293" s="33"/>
      <c r="H293" s="33"/>
      <c r="I293" s="20" t="str">
        <f t="shared" si="64"/>
        <v/>
      </c>
      <c r="J293" s="21" t="str">
        <f>IFERROR(VLOOKUP(BR293,Pricing!$D$3:$E$58,2,FALSE),"")</f>
        <v/>
      </c>
      <c r="K293" s="32"/>
      <c r="L293" s="32"/>
      <c r="M293" s="32"/>
      <c r="N293" s="36" t="str" cm="1">
        <f t="array" ref="N293">IFERROR(_xlfn.IFS((AND(K293="SI",M293="$")),J293*0.2,AND(K293="SI",M293="%"),20),"")</f>
        <v/>
      </c>
      <c r="O293" s="29" t="str">
        <f t="shared" si="65"/>
        <v/>
      </c>
      <c r="P293" s="21" t="str">
        <f t="shared" si="66"/>
        <v/>
      </c>
      <c r="Q293" s="21" t="str">
        <f t="shared" si="67"/>
        <v/>
      </c>
      <c r="R293" s="21" t="str">
        <f t="shared" si="68"/>
        <v/>
      </c>
      <c r="S293" s="39"/>
      <c r="T293" s="43" t="str">
        <f t="shared" si="76"/>
        <v/>
      </c>
      <c r="U293" s="49" t="str">
        <f t="shared" si="77"/>
        <v/>
      </c>
      <c r="V293" s="48" t="str">
        <f t="shared" si="78"/>
        <v/>
      </c>
      <c r="W293" s="48" t="str">
        <f t="shared" si="69"/>
        <v/>
      </c>
      <c r="X293" s="50" t="str">
        <f>IF(W293="","",SUMIF($B$4:$B$1002,B293,$W$4:$W$1000))</f>
        <v/>
      </c>
      <c r="Y293" s="43" t="str">
        <f t="shared" si="70"/>
        <v/>
      </c>
      <c r="Z293" s="49" t="str">
        <f t="shared" si="71"/>
        <v/>
      </c>
      <c r="AA293" s="48" t="str">
        <f t="shared" si="72"/>
        <v/>
      </c>
      <c r="AB293" s="49" t="str">
        <f t="shared" si="73"/>
        <v/>
      </c>
      <c r="AC293" s="50" t="str">
        <f>IF(AB293="","",SUMIF($B$4:$B$1002,B293,$AB$4:$AB$1000))</f>
        <v/>
      </c>
      <c r="AD293" s="69"/>
      <c r="AE293" s="56"/>
      <c r="AF293" s="52"/>
      <c r="AG293" s="51"/>
      <c r="AH293" s="70"/>
      <c r="AI293" s="58"/>
      <c r="AJ293" s="55"/>
      <c r="AK293" s="51"/>
      <c r="AL293" s="69"/>
      <c r="AM293" s="56"/>
      <c r="AN293" s="52"/>
      <c r="AO293" s="51"/>
      <c r="AP293" s="70"/>
      <c r="AQ293" s="58"/>
      <c r="AR293" s="55"/>
      <c r="AS293" s="51"/>
      <c r="AT293" s="69"/>
      <c r="AU293" s="56"/>
      <c r="AV293" s="52"/>
      <c r="AW293" s="51"/>
      <c r="BR293" s="34" t="str">
        <f>IF(E293="","",CONCATENATE(E293," ",F293," noches"))</f>
        <v/>
      </c>
      <c r="BS293" s="28" t="str">
        <f t="shared" ca="1" si="74"/>
        <v/>
      </c>
      <c r="BT293" s="28" t="str">
        <f t="shared" ca="1" si="75"/>
        <v/>
      </c>
    </row>
    <row r="294" spans="1:72" x14ac:dyDescent="0.2">
      <c r="A294" s="18" t="str" cm="1">
        <f t="array" aca="1" ref="A294" ca="1">IF(B294="","","Grupo N˚"&amp;SUMPRODUCT(($B$4:B294&lt;&gt;"")*($B$4:B294&lt;&gt;OFFSET($B$4,-1,0,ROWS($B$4:B294),1))))</f>
        <v/>
      </c>
      <c r="B294" s="31"/>
      <c r="C294" s="31"/>
      <c r="D294" s="31"/>
      <c r="E294" s="31"/>
      <c r="F294" s="32"/>
      <c r="G294" s="33"/>
      <c r="H294" s="33"/>
      <c r="I294" s="20" t="str">
        <f t="shared" si="64"/>
        <v/>
      </c>
      <c r="J294" s="21" t="str">
        <f>IFERROR(VLOOKUP(BR294,Pricing!$D$3:$E$58,2,FALSE),"")</f>
        <v/>
      </c>
      <c r="K294" s="32"/>
      <c r="L294" s="32"/>
      <c r="M294" s="32"/>
      <c r="N294" s="36" t="str" cm="1">
        <f t="array" ref="N294">IFERROR(_xlfn.IFS((AND(K294="SI",M294="$")),J294*0.2,AND(K294="SI",M294="%"),20),"")</f>
        <v/>
      </c>
      <c r="O294" s="29" t="str">
        <f t="shared" si="65"/>
        <v/>
      </c>
      <c r="P294" s="21" t="str">
        <f t="shared" si="66"/>
        <v/>
      </c>
      <c r="Q294" s="21" t="str">
        <f t="shared" si="67"/>
        <v/>
      </c>
      <c r="R294" s="21" t="str">
        <f t="shared" si="68"/>
        <v/>
      </c>
      <c r="S294" s="39"/>
      <c r="T294" s="43" t="str">
        <f t="shared" si="76"/>
        <v/>
      </c>
      <c r="U294" s="49" t="str">
        <f t="shared" si="77"/>
        <v/>
      </c>
      <c r="V294" s="48" t="str">
        <f t="shared" si="78"/>
        <v/>
      </c>
      <c r="W294" s="48" t="str">
        <f t="shared" si="69"/>
        <v/>
      </c>
      <c r="X294" s="50" t="str">
        <f>IF(W294="","",SUMIF($B$4:$B$1002,B294,$W$4:$W$1000))</f>
        <v/>
      </c>
      <c r="Y294" s="43" t="str">
        <f t="shared" si="70"/>
        <v/>
      </c>
      <c r="Z294" s="49" t="str">
        <f t="shared" si="71"/>
        <v/>
      </c>
      <c r="AA294" s="48" t="str">
        <f t="shared" si="72"/>
        <v/>
      </c>
      <c r="AB294" s="49" t="str">
        <f t="shared" si="73"/>
        <v/>
      </c>
      <c r="AC294" s="50" t="str">
        <f>IF(AB294="","",SUMIF($B$4:$B$1002,B294,$AB$4:$AB$1000))</f>
        <v/>
      </c>
      <c r="AD294" s="69"/>
      <c r="AE294" s="56"/>
      <c r="AF294" s="52"/>
      <c r="AG294" s="51"/>
      <c r="AH294" s="70"/>
      <c r="AI294" s="58"/>
      <c r="AJ294" s="55"/>
      <c r="AK294" s="51"/>
      <c r="AL294" s="69"/>
      <c r="AM294" s="56"/>
      <c r="AN294" s="52"/>
      <c r="AO294" s="51"/>
      <c r="AP294" s="70"/>
      <c r="AQ294" s="58"/>
      <c r="AR294" s="55"/>
      <c r="AS294" s="51"/>
      <c r="AT294" s="69"/>
      <c r="AU294" s="56"/>
      <c r="AV294" s="52"/>
      <c r="AW294" s="51"/>
      <c r="BR294" s="34" t="str">
        <f>IF(E294="","",CONCATENATE(E294," ",F294," noches"))</f>
        <v/>
      </c>
      <c r="BS294" s="28" t="str">
        <f t="shared" ca="1" si="74"/>
        <v/>
      </c>
      <c r="BT294" s="28" t="str">
        <f t="shared" ca="1" si="75"/>
        <v/>
      </c>
    </row>
    <row r="295" spans="1:72" x14ac:dyDescent="0.2">
      <c r="A295" s="18" t="str" cm="1">
        <f t="array" aca="1" ref="A295" ca="1">IF(B295="","","Grupo N˚"&amp;SUMPRODUCT(($B$4:B295&lt;&gt;"")*($B$4:B295&lt;&gt;OFFSET($B$4,-1,0,ROWS($B$4:B295),1))))</f>
        <v/>
      </c>
      <c r="B295" s="31"/>
      <c r="C295" s="31"/>
      <c r="D295" s="31"/>
      <c r="E295" s="31"/>
      <c r="F295" s="32"/>
      <c r="G295" s="33"/>
      <c r="H295" s="33"/>
      <c r="I295" s="20" t="str">
        <f t="shared" si="64"/>
        <v/>
      </c>
      <c r="J295" s="21" t="str">
        <f>IFERROR(VLOOKUP(BR295,Pricing!$D$3:$E$58,2,FALSE),"")</f>
        <v/>
      </c>
      <c r="K295" s="32"/>
      <c r="L295" s="32"/>
      <c r="M295" s="32"/>
      <c r="N295" s="36" t="str" cm="1">
        <f t="array" ref="N295">IFERROR(_xlfn.IFS((AND(K295="SI",M295="$")),J295*0.2,AND(K295="SI",M295="%"),20),"")</f>
        <v/>
      </c>
      <c r="O295" s="29" t="str">
        <f t="shared" si="65"/>
        <v/>
      </c>
      <c r="P295" s="21" t="str">
        <f t="shared" si="66"/>
        <v/>
      </c>
      <c r="Q295" s="21" t="str">
        <f t="shared" si="67"/>
        <v/>
      </c>
      <c r="R295" s="21" t="str">
        <f t="shared" si="68"/>
        <v/>
      </c>
      <c r="S295" s="39"/>
      <c r="T295" s="43" t="str">
        <f t="shared" si="76"/>
        <v/>
      </c>
      <c r="U295" s="49" t="str">
        <f t="shared" si="77"/>
        <v/>
      </c>
      <c r="V295" s="48" t="str">
        <f t="shared" si="78"/>
        <v/>
      </c>
      <c r="W295" s="48" t="str">
        <f t="shared" si="69"/>
        <v/>
      </c>
      <c r="X295" s="50" t="str">
        <f>IF(W295="","",SUMIF($B$4:$B$1002,B295,$W$4:$W$1000))</f>
        <v/>
      </c>
      <c r="Y295" s="43" t="str">
        <f t="shared" si="70"/>
        <v/>
      </c>
      <c r="Z295" s="49" t="str">
        <f t="shared" si="71"/>
        <v/>
      </c>
      <c r="AA295" s="48" t="str">
        <f t="shared" si="72"/>
        <v/>
      </c>
      <c r="AB295" s="49" t="str">
        <f t="shared" si="73"/>
        <v/>
      </c>
      <c r="AC295" s="50" t="str">
        <f>IF(AB295="","",SUMIF($B$4:$B$1002,B295,$AB$4:$AB$1000))</f>
        <v/>
      </c>
      <c r="AD295" s="69"/>
      <c r="AE295" s="56"/>
      <c r="AF295" s="52"/>
      <c r="AG295" s="51"/>
      <c r="AH295" s="70"/>
      <c r="AI295" s="58"/>
      <c r="AJ295" s="55"/>
      <c r="AK295" s="51"/>
      <c r="AL295" s="69"/>
      <c r="AM295" s="56"/>
      <c r="AN295" s="52"/>
      <c r="AO295" s="51"/>
      <c r="AP295" s="70"/>
      <c r="AQ295" s="58"/>
      <c r="AR295" s="55"/>
      <c r="AS295" s="51"/>
      <c r="AT295" s="69"/>
      <c r="AU295" s="56"/>
      <c r="AV295" s="52"/>
      <c r="AW295" s="51"/>
      <c r="BR295" s="34" t="str">
        <f>IF(E295="","",CONCATENATE(E295," ",F295," noches"))</f>
        <v/>
      </c>
      <c r="BS295" s="28" t="str">
        <f t="shared" ca="1" si="74"/>
        <v/>
      </c>
      <c r="BT295" s="28" t="str">
        <f t="shared" ca="1" si="75"/>
        <v/>
      </c>
    </row>
    <row r="296" spans="1:72" x14ac:dyDescent="0.2">
      <c r="A296" s="18" t="str" cm="1">
        <f t="array" aca="1" ref="A296" ca="1">IF(B296="","","Grupo N˚"&amp;SUMPRODUCT(($B$4:B296&lt;&gt;"")*($B$4:B296&lt;&gt;OFFSET($B$4,-1,0,ROWS($B$4:B296),1))))</f>
        <v/>
      </c>
      <c r="B296" s="31"/>
      <c r="C296" s="31"/>
      <c r="D296" s="31"/>
      <c r="E296" s="31"/>
      <c r="F296" s="32"/>
      <c r="G296" s="33"/>
      <c r="H296" s="33"/>
      <c r="I296" s="20" t="str">
        <f t="shared" si="64"/>
        <v/>
      </c>
      <c r="J296" s="21" t="str">
        <f>IFERROR(VLOOKUP(BR296,Pricing!$D$3:$E$58,2,FALSE),"")</f>
        <v/>
      </c>
      <c r="K296" s="32"/>
      <c r="L296" s="32"/>
      <c r="M296" s="32"/>
      <c r="N296" s="36" t="str" cm="1">
        <f t="array" ref="N296">IFERROR(_xlfn.IFS((AND(K296="SI",M296="$")),J296*0.2,AND(K296="SI",M296="%"),20),"")</f>
        <v/>
      </c>
      <c r="O296" s="29" t="str">
        <f t="shared" si="65"/>
        <v/>
      </c>
      <c r="P296" s="21" t="str">
        <f t="shared" si="66"/>
        <v/>
      </c>
      <c r="Q296" s="21" t="str">
        <f t="shared" si="67"/>
        <v/>
      </c>
      <c r="R296" s="21" t="str">
        <f t="shared" si="68"/>
        <v/>
      </c>
      <c r="S296" s="39"/>
      <c r="T296" s="43" t="str">
        <f t="shared" si="76"/>
        <v/>
      </c>
      <c r="U296" s="49" t="str">
        <f t="shared" si="77"/>
        <v/>
      </c>
      <c r="V296" s="48" t="str">
        <f t="shared" si="78"/>
        <v/>
      </c>
      <c r="W296" s="48" t="str">
        <f t="shared" si="69"/>
        <v/>
      </c>
      <c r="X296" s="50" t="str">
        <f>IF(W296="","",SUMIF($B$4:$B$1002,B296,$W$4:$W$1000))</f>
        <v/>
      </c>
      <c r="Y296" s="43" t="str">
        <f t="shared" si="70"/>
        <v/>
      </c>
      <c r="Z296" s="49" t="str">
        <f t="shared" si="71"/>
        <v/>
      </c>
      <c r="AA296" s="48" t="str">
        <f t="shared" si="72"/>
        <v/>
      </c>
      <c r="AB296" s="49" t="str">
        <f t="shared" si="73"/>
        <v/>
      </c>
      <c r="AC296" s="50" t="str">
        <f>IF(AB296="","",SUMIF($B$4:$B$1002,B296,$AB$4:$AB$1000))</f>
        <v/>
      </c>
      <c r="AD296" s="69"/>
      <c r="AE296" s="56"/>
      <c r="AF296" s="52"/>
      <c r="AG296" s="51"/>
      <c r="AH296" s="70"/>
      <c r="AI296" s="58"/>
      <c r="AJ296" s="55"/>
      <c r="AK296" s="51"/>
      <c r="AL296" s="69"/>
      <c r="AM296" s="56"/>
      <c r="AN296" s="52"/>
      <c r="AO296" s="51"/>
      <c r="AP296" s="70"/>
      <c r="AQ296" s="58"/>
      <c r="AR296" s="55"/>
      <c r="AS296" s="51"/>
      <c r="AT296" s="69"/>
      <c r="AU296" s="56"/>
      <c r="AV296" s="52"/>
      <c r="AW296" s="51"/>
      <c r="BR296" s="34" t="str">
        <f>IF(E296="","",CONCATENATE(E296," ",F296," noches"))</f>
        <v/>
      </c>
      <c r="BS296" s="28" t="str">
        <f t="shared" ca="1" si="74"/>
        <v/>
      </c>
      <c r="BT296" s="28" t="str">
        <f t="shared" ca="1" si="75"/>
        <v/>
      </c>
    </row>
    <row r="297" spans="1:72" x14ac:dyDescent="0.2">
      <c r="A297" s="18" t="str" cm="1">
        <f t="array" aca="1" ref="A297" ca="1">IF(B297="","","Grupo N˚"&amp;SUMPRODUCT(($B$4:B297&lt;&gt;"")*($B$4:B297&lt;&gt;OFFSET($B$4,-1,0,ROWS($B$4:B297),1))))</f>
        <v/>
      </c>
      <c r="B297" s="31"/>
      <c r="C297" s="31"/>
      <c r="D297" s="31"/>
      <c r="E297" s="31"/>
      <c r="F297" s="32"/>
      <c r="G297" s="33"/>
      <c r="H297" s="33"/>
      <c r="I297" s="20" t="str">
        <f t="shared" si="64"/>
        <v/>
      </c>
      <c r="J297" s="21" t="str">
        <f>IFERROR(VLOOKUP(BR297,Pricing!$D$3:$E$58,2,FALSE),"")</f>
        <v/>
      </c>
      <c r="K297" s="32"/>
      <c r="L297" s="32"/>
      <c r="M297" s="32"/>
      <c r="N297" s="36" t="str" cm="1">
        <f t="array" ref="N297">IFERROR(_xlfn.IFS((AND(K297="SI",M297="$")),J297*0.2,AND(K297="SI",M297="%"),20),"")</f>
        <v/>
      </c>
      <c r="O297" s="29" t="str">
        <f t="shared" si="65"/>
        <v/>
      </c>
      <c r="P297" s="21" t="str">
        <f t="shared" si="66"/>
        <v/>
      </c>
      <c r="Q297" s="21" t="str">
        <f t="shared" si="67"/>
        <v/>
      </c>
      <c r="R297" s="21" t="str">
        <f t="shared" si="68"/>
        <v/>
      </c>
      <c r="S297" s="39"/>
      <c r="T297" s="43" t="str">
        <f t="shared" si="76"/>
        <v/>
      </c>
      <c r="U297" s="49" t="str">
        <f t="shared" si="77"/>
        <v/>
      </c>
      <c r="V297" s="48" t="str">
        <f t="shared" si="78"/>
        <v/>
      </c>
      <c r="W297" s="48" t="str">
        <f t="shared" si="69"/>
        <v/>
      </c>
      <c r="X297" s="50" t="str">
        <f>IF(W297="","",SUMIF($B$4:$B$1002,B297,$W$4:$W$1000))</f>
        <v/>
      </c>
      <c r="Y297" s="43" t="str">
        <f t="shared" si="70"/>
        <v/>
      </c>
      <c r="Z297" s="49" t="str">
        <f t="shared" si="71"/>
        <v/>
      </c>
      <c r="AA297" s="48" t="str">
        <f t="shared" si="72"/>
        <v/>
      </c>
      <c r="AB297" s="49" t="str">
        <f t="shared" si="73"/>
        <v/>
      </c>
      <c r="AC297" s="50" t="str">
        <f>IF(AB297="","",SUMIF($B$4:$B$1002,B297,$AB$4:$AB$1000))</f>
        <v/>
      </c>
      <c r="AD297" s="69"/>
      <c r="AE297" s="56"/>
      <c r="AF297" s="52"/>
      <c r="AG297" s="51"/>
      <c r="AH297" s="70"/>
      <c r="AI297" s="58"/>
      <c r="AJ297" s="55"/>
      <c r="AK297" s="51"/>
      <c r="AL297" s="69"/>
      <c r="AM297" s="56"/>
      <c r="AN297" s="52"/>
      <c r="AO297" s="51"/>
      <c r="AP297" s="70"/>
      <c r="AQ297" s="58"/>
      <c r="AR297" s="55"/>
      <c r="AS297" s="51"/>
      <c r="AT297" s="69"/>
      <c r="AU297" s="56"/>
      <c r="AV297" s="52"/>
      <c r="AW297" s="51"/>
      <c r="BR297" s="34" t="str">
        <f>IF(E297="","",CONCATENATE(E297," ",F297," noches"))</f>
        <v/>
      </c>
      <c r="BS297" s="28" t="str">
        <f t="shared" ca="1" si="74"/>
        <v/>
      </c>
      <c r="BT297" s="28" t="str">
        <f t="shared" ca="1" si="75"/>
        <v/>
      </c>
    </row>
    <row r="298" spans="1:72" x14ac:dyDescent="0.2">
      <c r="A298" s="18" t="str" cm="1">
        <f t="array" aca="1" ref="A298" ca="1">IF(B298="","","Grupo N˚"&amp;SUMPRODUCT(($B$4:B298&lt;&gt;"")*($B$4:B298&lt;&gt;OFFSET($B$4,-1,0,ROWS($B$4:B298),1))))</f>
        <v/>
      </c>
      <c r="B298" s="31"/>
      <c r="C298" s="31"/>
      <c r="D298" s="31"/>
      <c r="E298" s="31"/>
      <c r="F298" s="32"/>
      <c r="G298" s="33"/>
      <c r="H298" s="33"/>
      <c r="I298" s="20" t="str">
        <f t="shared" si="64"/>
        <v/>
      </c>
      <c r="J298" s="21" t="str">
        <f>IFERROR(VLOOKUP(BR298,Pricing!$D$3:$E$58,2,FALSE),"")</f>
        <v/>
      </c>
      <c r="K298" s="32"/>
      <c r="L298" s="32"/>
      <c r="M298" s="32"/>
      <c r="N298" s="36" t="str" cm="1">
        <f t="array" ref="N298">IFERROR(_xlfn.IFS((AND(K298="SI",M298="$")),J298*0.2,AND(K298="SI",M298="%"),20),"")</f>
        <v/>
      </c>
      <c r="O298" s="29" t="str">
        <f t="shared" si="65"/>
        <v/>
      </c>
      <c r="P298" s="21" t="str">
        <f t="shared" si="66"/>
        <v/>
      </c>
      <c r="Q298" s="21" t="str">
        <f t="shared" si="67"/>
        <v/>
      </c>
      <c r="R298" s="21" t="str">
        <f t="shared" si="68"/>
        <v/>
      </c>
      <c r="S298" s="39"/>
      <c r="T298" s="43" t="str">
        <f t="shared" si="76"/>
        <v/>
      </c>
      <c r="U298" s="49" t="str">
        <f t="shared" si="77"/>
        <v/>
      </c>
      <c r="V298" s="48" t="str">
        <f t="shared" si="78"/>
        <v/>
      </c>
      <c r="W298" s="48" t="str">
        <f t="shared" si="69"/>
        <v/>
      </c>
      <c r="X298" s="50" t="str">
        <f>IF(W298="","",SUMIF($B$4:$B$1002,B298,$W$4:$W$1000))</f>
        <v/>
      </c>
      <c r="Y298" s="43" t="str">
        <f t="shared" si="70"/>
        <v/>
      </c>
      <c r="Z298" s="49" t="str">
        <f t="shared" si="71"/>
        <v/>
      </c>
      <c r="AA298" s="48" t="str">
        <f t="shared" si="72"/>
        <v/>
      </c>
      <c r="AB298" s="49" t="str">
        <f t="shared" si="73"/>
        <v/>
      </c>
      <c r="AC298" s="50" t="str">
        <f>IF(AB298="","",SUMIF($B$4:$B$1002,B298,$AB$4:$AB$1000))</f>
        <v/>
      </c>
      <c r="AD298" s="69"/>
      <c r="AE298" s="56"/>
      <c r="AF298" s="52"/>
      <c r="AG298" s="51"/>
      <c r="AH298" s="70"/>
      <c r="AI298" s="58"/>
      <c r="AJ298" s="55"/>
      <c r="AK298" s="51"/>
      <c r="AL298" s="69"/>
      <c r="AM298" s="56"/>
      <c r="AN298" s="52"/>
      <c r="AO298" s="51"/>
      <c r="AP298" s="70"/>
      <c r="AQ298" s="58"/>
      <c r="AR298" s="55"/>
      <c r="AS298" s="51"/>
      <c r="AT298" s="69"/>
      <c r="AU298" s="56"/>
      <c r="AV298" s="52"/>
      <c r="AW298" s="51"/>
      <c r="BR298" s="34" t="str">
        <f>IF(E298="","",CONCATENATE(E298," ",F298," noches"))</f>
        <v/>
      </c>
      <c r="BS298" s="28" t="str">
        <f t="shared" ca="1" si="74"/>
        <v/>
      </c>
      <c r="BT298" s="28" t="str">
        <f t="shared" ca="1" si="75"/>
        <v/>
      </c>
    </row>
    <row r="299" spans="1:72" x14ac:dyDescent="0.2">
      <c r="A299" s="18" t="str" cm="1">
        <f t="array" aca="1" ref="A299" ca="1">IF(B299="","","Grupo N˚"&amp;SUMPRODUCT(($B$4:B299&lt;&gt;"")*($B$4:B299&lt;&gt;OFFSET($B$4,-1,0,ROWS($B$4:B299),1))))</f>
        <v/>
      </c>
      <c r="B299" s="31"/>
      <c r="C299" s="31"/>
      <c r="D299" s="31"/>
      <c r="E299" s="31"/>
      <c r="F299" s="32"/>
      <c r="G299" s="33"/>
      <c r="H299" s="33"/>
      <c r="I299" s="20" t="str">
        <f t="shared" si="64"/>
        <v/>
      </c>
      <c r="J299" s="21" t="str">
        <f>IFERROR(VLOOKUP(BR299,Pricing!$D$3:$E$58,2,FALSE),"")</f>
        <v/>
      </c>
      <c r="K299" s="32"/>
      <c r="L299" s="32"/>
      <c r="M299" s="32"/>
      <c r="N299" s="36" t="str" cm="1">
        <f t="array" ref="N299">IFERROR(_xlfn.IFS((AND(K299="SI",M299="$")),J299*0.2,AND(K299="SI",M299="%"),20),"")</f>
        <v/>
      </c>
      <c r="O299" s="29" t="str">
        <f t="shared" si="65"/>
        <v/>
      </c>
      <c r="P299" s="21" t="str">
        <f t="shared" si="66"/>
        <v/>
      </c>
      <c r="Q299" s="21" t="str">
        <f t="shared" si="67"/>
        <v/>
      </c>
      <c r="R299" s="21" t="str">
        <f t="shared" si="68"/>
        <v/>
      </c>
      <c r="S299" s="39"/>
      <c r="T299" s="43" t="str">
        <f t="shared" si="76"/>
        <v/>
      </c>
      <c r="U299" s="49" t="str">
        <f t="shared" si="77"/>
        <v/>
      </c>
      <c r="V299" s="48" t="str">
        <f t="shared" si="78"/>
        <v/>
      </c>
      <c r="W299" s="48" t="str">
        <f t="shared" si="69"/>
        <v/>
      </c>
      <c r="X299" s="50" t="str">
        <f>IF(W299="","",SUMIF($B$4:$B$1002,B299,$W$4:$W$1000))</f>
        <v/>
      </c>
      <c r="Y299" s="43" t="str">
        <f t="shared" si="70"/>
        <v/>
      </c>
      <c r="Z299" s="49" t="str">
        <f t="shared" si="71"/>
        <v/>
      </c>
      <c r="AA299" s="48" t="str">
        <f t="shared" si="72"/>
        <v/>
      </c>
      <c r="AB299" s="49" t="str">
        <f t="shared" si="73"/>
        <v/>
      </c>
      <c r="AC299" s="50" t="str">
        <f>IF(AB299="","",SUMIF($B$4:$B$1002,B299,$AB$4:$AB$1000))</f>
        <v/>
      </c>
      <c r="AD299" s="69"/>
      <c r="AE299" s="56"/>
      <c r="AF299" s="52"/>
      <c r="AG299" s="51"/>
      <c r="AH299" s="70"/>
      <c r="AI299" s="58"/>
      <c r="AJ299" s="55"/>
      <c r="AK299" s="51"/>
      <c r="AL299" s="69"/>
      <c r="AM299" s="56"/>
      <c r="AN299" s="52"/>
      <c r="AO299" s="51"/>
      <c r="AP299" s="70"/>
      <c r="AQ299" s="58"/>
      <c r="AR299" s="55"/>
      <c r="AS299" s="51"/>
      <c r="AT299" s="69"/>
      <c r="AU299" s="56"/>
      <c r="AV299" s="52"/>
      <c r="AW299" s="51"/>
      <c r="BR299" s="34" t="str">
        <f>IF(E299="","",CONCATENATE(E299," ",F299," noches"))</f>
        <v/>
      </c>
      <c r="BS299" s="28" t="str">
        <f t="shared" ca="1" si="74"/>
        <v/>
      </c>
      <c r="BT299" s="28" t="str">
        <f t="shared" ca="1" si="75"/>
        <v/>
      </c>
    </row>
    <row r="300" spans="1:72" x14ac:dyDescent="0.2">
      <c r="A300" s="18" t="str" cm="1">
        <f t="array" aca="1" ref="A300" ca="1">IF(B300="","","Grupo N˚"&amp;SUMPRODUCT(($B$4:B300&lt;&gt;"")*($B$4:B300&lt;&gt;OFFSET($B$4,-1,0,ROWS($B$4:B300),1))))</f>
        <v/>
      </c>
      <c r="B300" s="31"/>
      <c r="C300" s="31"/>
      <c r="D300" s="31"/>
      <c r="E300" s="31"/>
      <c r="F300" s="32"/>
      <c r="G300" s="33"/>
      <c r="H300" s="33"/>
      <c r="I300" s="20" t="str">
        <f t="shared" si="64"/>
        <v/>
      </c>
      <c r="J300" s="21" t="str">
        <f>IFERROR(VLOOKUP(BR300,Pricing!$D$3:$E$58,2,FALSE),"")</f>
        <v/>
      </c>
      <c r="K300" s="32"/>
      <c r="L300" s="32"/>
      <c r="M300" s="32"/>
      <c r="N300" s="36" t="str" cm="1">
        <f t="array" ref="N300">IFERROR(_xlfn.IFS((AND(K300="SI",M300="$")),J300*0.2,AND(K300="SI",M300="%"),20),"")</f>
        <v/>
      </c>
      <c r="O300" s="29" t="str">
        <f t="shared" si="65"/>
        <v/>
      </c>
      <c r="P300" s="21" t="str">
        <f t="shared" si="66"/>
        <v/>
      </c>
      <c r="Q300" s="21" t="str">
        <f t="shared" si="67"/>
        <v/>
      </c>
      <c r="R300" s="21" t="str">
        <f t="shared" si="68"/>
        <v/>
      </c>
      <c r="S300" s="39"/>
      <c r="T300" s="43" t="str">
        <f t="shared" si="76"/>
        <v/>
      </c>
      <c r="U300" s="49" t="str">
        <f t="shared" si="77"/>
        <v/>
      </c>
      <c r="V300" s="48" t="str">
        <f t="shared" si="78"/>
        <v/>
      </c>
      <c r="W300" s="48" t="str">
        <f t="shared" si="69"/>
        <v/>
      </c>
      <c r="X300" s="50" t="str">
        <f>IF(W300="","",SUMIF($B$4:$B$1002,B300,$W$4:$W$1000))</f>
        <v/>
      </c>
      <c r="Y300" s="43" t="str">
        <f t="shared" si="70"/>
        <v/>
      </c>
      <c r="Z300" s="49" t="str">
        <f t="shared" si="71"/>
        <v/>
      </c>
      <c r="AA300" s="48" t="str">
        <f t="shared" si="72"/>
        <v/>
      </c>
      <c r="AB300" s="49" t="str">
        <f t="shared" si="73"/>
        <v/>
      </c>
      <c r="AC300" s="50" t="str">
        <f>IF(AB300="","",SUMIF($B$4:$B$1002,B300,$AB$4:$AB$1000))</f>
        <v/>
      </c>
      <c r="AD300" s="69"/>
      <c r="AE300" s="56"/>
      <c r="AF300" s="52"/>
      <c r="AG300" s="51"/>
      <c r="AH300" s="70"/>
      <c r="AI300" s="58"/>
      <c r="AJ300" s="55"/>
      <c r="AK300" s="51"/>
      <c r="AL300" s="69"/>
      <c r="AM300" s="56"/>
      <c r="AN300" s="52"/>
      <c r="AO300" s="51"/>
      <c r="AP300" s="70"/>
      <c r="AQ300" s="58"/>
      <c r="AR300" s="55"/>
      <c r="AS300" s="51"/>
      <c r="AT300" s="69"/>
      <c r="AU300" s="56"/>
      <c r="AV300" s="52"/>
      <c r="AW300" s="51"/>
      <c r="BR300" s="34" t="str">
        <f>IF(E300="","",CONCATENATE(E300," ",F300," noches"))</f>
        <v/>
      </c>
      <c r="BS300" s="28" t="str">
        <f t="shared" ca="1" si="74"/>
        <v/>
      </c>
      <c r="BT300" s="28" t="str">
        <f t="shared" ca="1" si="75"/>
        <v/>
      </c>
    </row>
    <row r="301" spans="1:72" x14ac:dyDescent="0.2">
      <c r="A301" s="18" t="str" cm="1">
        <f t="array" aca="1" ref="A301" ca="1">IF(B301="","","Grupo N˚"&amp;SUMPRODUCT(($B$4:B301&lt;&gt;"")*($B$4:B301&lt;&gt;OFFSET($B$4,-1,0,ROWS($B$4:B301),1))))</f>
        <v/>
      </c>
      <c r="B301" s="31"/>
      <c r="C301" s="31"/>
      <c r="D301" s="31"/>
      <c r="E301" s="31"/>
      <c r="F301" s="32"/>
      <c r="G301" s="33"/>
      <c r="H301" s="33"/>
      <c r="I301" s="20" t="str">
        <f t="shared" si="64"/>
        <v/>
      </c>
      <c r="J301" s="21" t="str">
        <f>IFERROR(VLOOKUP(BR301,Pricing!$D$3:$E$58,2,FALSE),"")</f>
        <v/>
      </c>
      <c r="K301" s="32"/>
      <c r="L301" s="32"/>
      <c r="M301" s="32"/>
      <c r="N301" s="36" t="str" cm="1">
        <f t="array" ref="N301">IFERROR(_xlfn.IFS((AND(K301="SI",M301="$")),J301*0.2,AND(K301="SI",M301="%"),20),"")</f>
        <v/>
      </c>
      <c r="O301" s="29" t="str">
        <f t="shared" si="65"/>
        <v/>
      </c>
      <c r="P301" s="21" t="str">
        <f t="shared" si="66"/>
        <v/>
      </c>
      <c r="Q301" s="21" t="str">
        <f t="shared" si="67"/>
        <v/>
      </c>
      <c r="R301" s="21" t="str">
        <f t="shared" si="68"/>
        <v/>
      </c>
      <c r="S301" s="39"/>
      <c r="T301" s="43" t="str">
        <f t="shared" si="76"/>
        <v/>
      </c>
      <c r="U301" s="49" t="str">
        <f t="shared" si="77"/>
        <v/>
      </c>
      <c r="V301" s="48" t="str">
        <f t="shared" si="78"/>
        <v/>
      </c>
      <c r="W301" s="48" t="str">
        <f t="shared" si="69"/>
        <v/>
      </c>
      <c r="X301" s="50" t="str">
        <f>IF(W301="","",SUMIF($B$4:$B$1002,B301,$W$4:$W$1000))</f>
        <v/>
      </c>
      <c r="Y301" s="43" t="str">
        <f t="shared" si="70"/>
        <v/>
      </c>
      <c r="Z301" s="49" t="str">
        <f t="shared" si="71"/>
        <v/>
      </c>
      <c r="AA301" s="48" t="str">
        <f t="shared" si="72"/>
        <v/>
      </c>
      <c r="AB301" s="49" t="str">
        <f t="shared" si="73"/>
        <v/>
      </c>
      <c r="AC301" s="50" t="str">
        <f>IF(AB301="","",SUMIF($B$4:$B$1002,B301,$AB$4:$AB$1000))</f>
        <v/>
      </c>
      <c r="AD301" s="69"/>
      <c r="AE301" s="56"/>
      <c r="AF301" s="52"/>
      <c r="AG301" s="51"/>
      <c r="AH301" s="70"/>
      <c r="AI301" s="58"/>
      <c r="AJ301" s="55"/>
      <c r="AK301" s="51"/>
      <c r="AL301" s="69"/>
      <c r="AM301" s="56"/>
      <c r="AN301" s="52"/>
      <c r="AO301" s="51"/>
      <c r="AP301" s="70"/>
      <c r="AQ301" s="58"/>
      <c r="AR301" s="55"/>
      <c r="AS301" s="51"/>
      <c r="AT301" s="69"/>
      <c r="AU301" s="56"/>
      <c r="AV301" s="52"/>
      <c r="AW301" s="51"/>
      <c r="BR301" s="34" t="str">
        <f>IF(E301="","",CONCATENATE(E301," ",F301," noches"))</f>
        <v/>
      </c>
      <c r="BS301" s="28" t="str">
        <f t="shared" ca="1" si="74"/>
        <v/>
      </c>
      <c r="BT301" s="28" t="str">
        <f t="shared" ca="1" si="75"/>
        <v/>
      </c>
    </row>
    <row r="302" spans="1:72" x14ac:dyDescent="0.2">
      <c r="A302" s="18" t="str" cm="1">
        <f t="array" aca="1" ref="A302" ca="1">IF(B302="","","Grupo N˚"&amp;SUMPRODUCT(($B$4:B302&lt;&gt;"")*($B$4:B302&lt;&gt;OFFSET($B$4,-1,0,ROWS($B$4:B302),1))))</f>
        <v/>
      </c>
      <c r="B302" s="31"/>
      <c r="C302" s="31"/>
      <c r="D302" s="31"/>
      <c r="E302" s="31"/>
      <c r="F302" s="32"/>
      <c r="G302" s="33"/>
      <c r="H302" s="33"/>
      <c r="I302" s="20" t="str">
        <f t="shared" si="64"/>
        <v/>
      </c>
      <c r="J302" s="21" t="str">
        <f>IFERROR(VLOOKUP(BR302,Pricing!$D$3:$E$58,2,FALSE),"")</f>
        <v/>
      </c>
      <c r="K302" s="32"/>
      <c r="L302" s="32"/>
      <c r="M302" s="32"/>
      <c r="N302" s="36" t="str" cm="1">
        <f t="array" ref="N302">IFERROR(_xlfn.IFS((AND(K302="SI",M302="$")),J302*0.2,AND(K302="SI",M302="%"),20),"")</f>
        <v/>
      </c>
      <c r="O302" s="29" t="str">
        <f t="shared" si="65"/>
        <v/>
      </c>
      <c r="P302" s="21" t="str">
        <f t="shared" si="66"/>
        <v/>
      </c>
      <c r="Q302" s="21" t="str">
        <f t="shared" si="67"/>
        <v/>
      </c>
      <c r="R302" s="21" t="str">
        <f t="shared" si="68"/>
        <v/>
      </c>
      <c r="S302" s="39"/>
      <c r="T302" s="43" t="str">
        <f t="shared" si="76"/>
        <v/>
      </c>
      <c r="U302" s="49" t="str">
        <f t="shared" si="77"/>
        <v/>
      </c>
      <c r="V302" s="48" t="str">
        <f t="shared" si="78"/>
        <v/>
      </c>
      <c r="W302" s="48" t="str">
        <f t="shared" si="69"/>
        <v/>
      </c>
      <c r="X302" s="50" t="str">
        <f>IF(W302="","",SUMIF($B$4:$B$1002,B302,$W$4:$W$1000))</f>
        <v/>
      </c>
      <c r="Y302" s="43" t="str">
        <f t="shared" si="70"/>
        <v/>
      </c>
      <c r="Z302" s="49" t="str">
        <f t="shared" si="71"/>
        <v/>
      </c>
      <c r="AA302" s="48" t="str">
        <f t="shared" si="72"/>
        <v/>
      </c>
      <c r="AB302" s="49" t="str">
        <f t="shared" si="73"/>
        <v/>
      </c>
      <c r="AC302" s="50" t="str">
        <f>IF(AB302="","",SUMIF($B$4:$B$1002,B302,$AB$4:$AB$1000))</f>
        <v/>
      </c>
      <c r="AD302" s="69"/>
      <c r="AE302" s="56"/>
      <c r="AF302" s="52"/>
      <c r="AG302" s="51"/>
      <c r="AH302" s="70"/>
      <c r="AI302" s="58"/>
      <c r="AJ302" s="55"/>
      <c r="AK302" s="51"/>
      <c r="AL302" s="69"/>
      <c r="AM302" s="56"/>
      <c r="AN302" s="52"/>
      <c r="AO302" s="51"/>
      <c r="AP302" s="70"/>
      <c r="AQ302" s="58"/>
      <c r="AR302" s="55"/>
      <c r="AS302" s="51"/>
      <c r="AT302" s="69"/>
      <c r="AU302" s="56"/>
      <c r="AV302" s="52"/>
      <c r="AW302" s="51"/>
      <c r="BR302" s="34" t="str">
        <f>IF(E302="","",CONCATENATE(E302," ",F302," noches"))</f>
        <v/>
      </c>
      <c r="BS302" s="28" t="str">
        <f t="shared" ca="1" si="74"/>
        <v/>
      </c>
      <c r="BT302" s="28" t="str">
        <f t="shared" ca="1" si="75"/>
        <v/>
      </c>
    </row>
    <row r="303" spans="1:72" x14ac:dyDescent="0.2">
      <c r="A303" s="18" t="str" cm="1">
        <f t="array" aca="1" ref="A303" ca="1">IF(B303="","","Grupo N˚"&amp;SUMPRODUCT(($B$4:B303&lt;&gt;"")*($B$4:B303&lt;&gt;OFFSET($B$4,-1,0,ROWS($B$4:B303),1))))</f>
        <v/>
      </c>
      <c r="B303" s="31"/>
      <c r="C303" s="31"/>
      <c r="D303" s="31"/>
      <c r="E303" s="31"/>
      <c r="F303" s="32"/>
      <c r="G303" s="33"/>
      <c r="H303" s="33"/>
      <c r="I303" s="20" t="str">
        <f t="shared" si="64"/>
        <v/>
      </c>
      <c r="J303" s="21" t="str">
        <f>IFERROR(VLOOKUP(BR303,Pricing!$D$3:$E$58,2,FALSE),"")</f>
        <v/>
      </c>
      <c r="K303" s="32"/>
      <c r="L303" s="32"/>
      <c r="M303" s="32"/>
      <c r="N303" s="36" t="str" cm="1">
        <f t="array" ref="N303">IFERROR(_xlfn.IFS((AND(K303="SI",M303="$")),J303*0.2,AND(K303="SI",M303="%"),20),"")</f>
        <v/>
      </c>
      <c r="O303" s="29" t="str">
        <f t="shared" si="65"/>
        <v/>
      </c>
      <c r="P303" s="21" t="str">
        <f t="shared" si="66"/>
        <v/>
      </c>
      <c r="Q303" s="21" t="str">
        <f t="shared" si="67"/>
        <v/>
      </c>
      <c r="R303" s="21" t="str">
        <f t="shared" si="68"/>
        <v/>
      </c>
      <c r="S303" s="39"/>
      <c r="T303" s="43" t="str">
        <f t="shared" si="76"/>
        <v/>
      </c>
      <c r="U303" s="49" t="str">
        <f t="shared" si="77"/>
        <v/>
      </c>
      <c r="V303" s="48" t="str">
        <f t="shared" si="78"/>
        <v/>
      </c>
      <c r="W303" s="48" t="str">
        <f t="shared" si="69"/>
        <v/>
      </c>
      <c r="X303" s="50" t="str">
        <f>IF(W303="","",SUMIF($B$4:$B$1002,B303,$W$4:$W$1000))</f>
        <v/>
      </c>
      <c r="Y303" s="43" t="str">
        <f t="shared" si="70"/>
        <v/>
      </c>
      <c r="Z303" s="49" t="str">
        <f t="shared" si="71"/>
        <v/>
      </c>
      <c r="AA303" s="48" t="str">
        <f t="shared" si="72"/>
        <v/>
      </c>
      <c r="AB303" s="49" t="str">
        <f t="shared" si="73"/>
        <v/>
      </c>
      <c r="AC303" s="50" t="str">
        <f>IF(AB303="","",SUMIF($B$4:$B$1002,B303,$AB$4:$AB$1000))</f>
        <v/>
      </c>
      <c r="AD303" s="69"/>
      <c r="AE303" s="56"/>
      <c r="AF303" s="52"/>
      <c r="AG303" s="51"/>
      <c r="AH303" s="70"/>
      <c r="AI303" s="58"/>
      <c r="AJ303" s="55"/>
      <c r="AK303" s="51"/>
      <c r="AL303" s="69"/>
      <c r="AM303" s="56"/>
      <c r="AN303" s="52"/>
      <c r="AO303" s="51"/>
      <c r="AP303" s="70"/>
      <c r="AQ303" s="58"/>
      <c r="AR303" s="55"/>
      <c r="AS303" s="51"/>
      <c r="AT303" s="69"/>
      <c r="AU303" s="56"/>
      <c r="AV303" s="52"/>
      <c r="AW303" s="51"/>
      <c r="BR303" s="34" t="str">
        <f>IF(E303="","",CONCATENATE(E303," ",F303," noches"))</f>
        <v/>
      </c>
      <c r="BS303" s="28" t="str">
        <f t="shared" ca="1" si="74"/>
        <v/>
      </c>
      <c r="BT303" s="28" t="str">
        <f t="shared" ca="1" si="75"/>
        <v/>
      </c>
    </row>
    <row r="304" spans="1:72" x14ac:dyDescent="0.2">
      <c r="A304" s="18" t="str" cm="1">
        <f t="array" aca="1" ref="A304" ca="1">IF(B304="","","Grupo N˚"&amp;SUMPRODUCT(($B$4:B304&lt;&gt;"")*($B$4:B304&lt;&gt;OFFSET($B$4,-1,0,ROWS($B$4:B304),1))))</f>
        <v/>
      </c>
      <c r="B304" s="31"/>
      <c r="C304" s="31"/>
      <c r="D304" s="31"/>
      <c r="E304" s="31"/>
      <c r="F304" s="32"/>
      <c r="G304" s="33"/>
      <c r="H304" s="33"/>
      <c r="I304" s="20" t="str">
        <f t="shared" si="64"/>
        <v/>
      </c>
      <c r="J304" s="21" t="str">
        <f>IFERROR(VLOOKUP(BR304,Pricing!$D$3:$E$58,2,FALSE),"")</f>
        <v/>
      </c>
      <c r="K304" s="32"/>
      <c r="L304" s="32"/>
      <c r="M304" s="32"/>
      <c r="N304" s="36" t="str" cm="1">
        <f t="array" ref="N304">IFERROR(_xlfn.IFS((AND(K304="SI",M304="$")),J304*0.2,AND(K304="SI",M304="%"),20),"")</f>
        <v/>
      </c>
      <c r="O304" s="29" t="str">
        <f t="shared" si="65"/>
        <v/>
      </c>
      <c r="P304" s="21" t="str">
        <f t="shared" si="66"/>
        <v/>
      </c>
      <c r="Q304" s="21" t="str">
        <f t="shared" si="67"/>
        <v/>
      </c>
      <c r="R304" s="21" t="str">
        <f t="shared" si="68"/>
        <v/>
      </c>
      <c r="S304" s="39"/>
      <c r="T304" s="43" t="str">
        <f t="shared" si="76"/>
        <v/>
      </c>
      <c r="U304" s="49" t="str">
        <f t="shared" si="77"/>
        <v/>
      </c>
      <c r="V304" s="48" t="str">
        <f t="shared" si="78"/>
        <v/>
      </c>
      <c r="W304" s="48" t="str">
        <f t="shared" si="69"/>
        <v/>
      </c>
      <c r="X304" s="50" t="str">
        <f>IF(W304="","",SUMIF($B$4:$B$1002,B304,$W$4:$W$1000))</f>
        <v/>
      </c>
      <c r="Y304" s="43" t="str">
        <f t="shared" si="70"/>
        <v/>
      </c>
      <c r="Z304" s="49" t="str">
        <f t="shared" si="71"/>
        <v/>
      </c>
      <c r="AA304" s="48" t="str">
        <f t="shared" si="72"/>
        <v/>
      </c>
      <c r="AB304" s="49" t="str">
        <f t="shared" si="73"/>
        <v/>
      </c>
      <c r="AC304" s="50" t="str">
        <f>IF(AB304="","",SUMIF($B$4:$B$1002,B304,$AB$4:$AB$1000))</f>
        <v/>
      </c>
      <c r="AD304" s="69"/>
      <c r="AE304" s="56"/>
      <c r="AF304" s="52"/>
      <c r="AG304" s="51"/>
      <c r="AH304" s="70"/>
      <c r="AI304" s="58"/>
      <c r="AJ304" s="55"/>
      <c r="AK304" s="51"/>
      <c r="AL304" s="69"/>
      <c r="AM304" s="56"/>
      <c r="AN304" s="52"/>
      <c r="AO304" s="51"/>
      <c r="AP304" s="70"/>
      <c r="AQ304" s="58"/>
      <c r="AR304" s="55"/>
      <c r="AS304" s="51"/>
      <c r="AT304" s="69"/>
      <c r="AU304" s="56"/>
      <c r="AV304" s="52"/>
      <c r="AW304" s="51"/>
      <c r="BR304" s="34" t="str">
        <f>IF(E304="","",CONCATENATE(E304," ",F304," noches"))</f>
        <v/>
      </c>
      <c r="BS304" s="28" t="str">
        <f t="shared" ca="1" si="74"/>
        <v/>
      </c>
      <c r="BT304" s="28" t="str">
        <f t="shared" ca="1" si="75"/>
        <v/>
      </c>
    </row>
    <row r="305" spans="1:72" x14ac:dyDescent="0.2">
      <c r="A305" s="18" t="str" cm="1">
        <f t="array" aca="1" ref="A305" ca="1">IF(B305="","","Grupo N˚"&amp;SUMPRODUCT(($B$4:B305&lt;&gt;"")*($B$4:B305&lt;&gt;OFFSET($B$4,-1,0,ROWS($B$4:B305),1))))</f>
        <v/>
      </c>
      <c r="B305" s="31"/>
      <c r="C305" s="31"/>
      <c r="D305" s="31"/>
      <c r="E305" s="31"/>
      <c r="F305" s="32"/>
      <c r="G305" s="33"/>
      <c r="H305" s="33"/>
      <c r="I305" s="20" t="str">
        <f t="shared" si="64"/>
        <v/>
      </c>
      <c r="J305" s="21" t="str">
        <f>IFERROR(VLOOKUP(BR305,Pricing!$D$3:$E$58,2,FALSE),"")</f>
        <v/>
      </c>
      <c r="K305" s="32"/>
      <c r="L305" s="32"/>
      <c r="M305" s="32"/>
      <c r="N305" s="36" t="str" cm="1">
        <f t="array" ref="N305">IFERROR(_xlfn.IFS((AND(K305="SI",M305="$")),J305*0.2,AND(K305="SI",M305="%"),20),"")</f>
        <v/>
      </c>
      <c r="O305" s="29" t="str">
        <f t="shared" si="65"/>
        <v/>
      </c>
      <c r="P305" s="21" t="str">
        <f t="shared" si="66"/>
        <v/>
      </c>
      <c r="Q305" s="21" t="str">
        <f t="shared" si="67"/>
        <v/>
      </c>
      <c r="R305" s="21" t="str">
        <f t="shared" si="68"/>
        <v/>
      </c>
      <c r="S305" s="39"/>
      <c r="T305" s="43" t="str">
        <f t="shared" si="76"/>
        <v/>
      </c>
      <c r="U305" s="49" t="str">
        <f t="shared" si="77"/>
        <v/>
      </c>
      <c r="V305" s="48" t="str">
        <f t="shared" si="78"/>
        <v/>
      </c>
      <c r="W305" s="48" t="str">
        <f t="shared" si="69"/>
        <v/>
      </c>
      <c r="X305" s="50" t="str">
        <f>IF(W305="","",SUMIF($B$4:$B$1002,B305,$W$4:$W$1000))</f>
        <v/>
      </c>
      <c r="Y305" s="43" t="str">
        <f t="shared" si="70"/>
        <v/>
      </c>
      <c r="Z305" s="49" t="str">
        <f t="shared" si="71"/>
        <v/>
      </c>
      <c r="AA305" s="48" t="str">
        <f t="shared" si="72"/>
        <v/>
      </c>
      <c r="AB305" s="49" t="str">
        <f t="shared" si="73"/>
        <v/>
      </c>
      <c r="AC305" s="50" t="str">
        <f>IF(AB305="","",SUMIF($B$4:$B$1002,B305,$AB$4:$AB$1000))</f>
        <v/>
      </c>
      <c r="AD305" s="69"/>
      <c r="AE305" s="56"/>
      <c r="AF305" s="52"/>
      <c r="AG305" s="51"/>
      <c r="AH305" s="70"/>
      <c r="AI305" s="58"/>
      <c r="AJ305" s="55"/>
      <c r="AK305" s="51"/>
      <c r="AL305" s="69"/>
      <c r="AM305" s="56"/>
      <c r="AN305" s="52"/>
      <c r="AO305" s="51"/>
      <c r="AP305" s="70"/>
      <c r="AQ305" s="58"/>
      <c r="AR305" s="55"/>
      <c r="AS305" s="51"/>
      <c r="AT305" s="69"/>
      <c r="AU305" s="56"/>
      <c r="AV305" s="52"/>
      <c r="AW305" s="51"/>
      <c r="BR305" s="34" t="str">
        <f>IF(E305="","",CONCATENATE(E305," ",F305," noches"))</f>
        <v/>
      </c>
      <c r="BS305" s="28" t="str">
        <f t="shared" ca="1" si="74"/>
        <v/>
      </c>
      <c r="BT305" s="28" t="str">
        <f t="shared" ca="1" si="75"/>
        <v/>
      </c>
    </row>
    <row r="306" spans="1:72" x14ac:dyDescent="0.2">
      <c r="A306" s="18" t="str" cm="1">
        <f t="array" aca="1" ref="A306" ca="1">IF(B306="","","Grupo N˚"&amp;SUMPRODUCT(($B$4:B306&lt;&gt;"")*($B$4:B306&lt;&gt;OFFSET($B$4,-1,0,ROWS($B$4:B306),1))))</f>
        <v/>
      </c>
      <c r="B306" s="31"/>
      <c r="C306" s="31"/>
      <c r="D306" s="31"/>
      <c r="E306" s="31"/>
      <c r="F306" s="32"/>
      <c r="G306" s="33"/>
      <c r="H306" s="33"/>
      <c r="I306" s="20" t="str">
        <f t="shared" si="64"/>
        <v/>
      </c>
      <c r="J306" s="21" t="str">
        <f>IFERROR(VLOOKUP(BR306,Pricing!$D$3:$E$58,2,FALSE),"")</f>
        <v/>
      </c>
      <c r="K306" s="32"/>
      <c r="L306" s="32"/>
      <c r="M306" s="32"/>
      <c r="N306" s="36" t="str" cm="1">
        <f t="array" ref="N306">IFERROR(_xlfn.IFS((AND(K306="SI",M306="$")),J306*0.2,AND(K306="SI",M306="%"),20),"")</f>
        <v/>
      </c>
      <c r="O306" s="29" t="str">
        <f t="shared" si="65"/>
        <v/>
      </c>
      <c r="P306" s="21" t="str">
        <f t="shared" si="66"/>
        <v/>
      </c>
      <c r="Q306" s="21" t="str">
        <f t="shared" si="67"/>
        <v/>
      </c>
      <c r="R306" s="21" t="str">
        <f t="shared" si="68"/>
        <v/>
      </c>
      <c r="S306" s="39"/>
      <c r="T306" s="43" t="str">
        <f t="shared" si="76"/>
        <v/>
      </c>
      <c r="U306" s="49" t="str">
        <f t="shared" si="77"/>
        <v/>
      </c>
      <c r="V306" s="48" t="str">
        <f t="shared" si="78"/>
        <v/>
      </c>
      <c r="W306" s="48" t="str">
        <f t="shared" si="69"/>
        <v/>
      </c>
      <c r="X306" s="50" t="str">
        <f>IF(W306="","",SUMIF($B$4:$B$1002,B306,$W$4:$W$1000))</f>
        <v/>
      </c>
      <c r="Y306" s="43" t="str">
        <f t="shared" si="70"/>
        <v/>
      </c>
      <c r="Z306" s="49" t="str">
        <f t="shared" si="71"/>
        <v/>
      </c>
      <c r="AA306" s="48" t="str">
        <f t="shared" si="72"/>
        <v/>
      </c>
      <c r="AB306" s="49" t="str">
        <f t="shared" si="73"/>
        <v/>
      </c>
      <c r="AC306" s="50" t="str">
        <f>IF(AB306="","",SUMIF($B$4:$B$1002,B306,$AB$4:$AB$1000))</f>
        <v/>
      </c>
      <c r="AD306" s="69"/>
      <c r="AE306" s="56"/>
      <c r="AF306" s="52"/>
      <c r="AG306" s="51"/>
      <c r="AH306" s="70"/>
      <c r="AI306" s="58"/>
      <c r="AJ306" s="55"/>
      <c r="AK306" s="51"/>
      <c r="AL306" s="69"/>
      <c r="AM306" s="56"/>
      <c r="AN306" s="52"/>
      <c r="AO306" s="51"/>
      <c r="AP306" s="70"/>
      <c r="AQ306" s="58"/>
      <c r="AR306" s="55"/>
      <c r="AS306" s="51"/>
      <c r="AT306" s="69"/>
      <c r="AU306" s="56"/>
      <c r="AV306" s="52"/>
      <c r="AW306" s="51"/>
      <c r="BR306" s="34" t="str">
        <f>IF(E306="","",CONCATENATE(E306," ",F306," noches"))</f>
        <v/>
      </c>
      <c r="BS306" s="28" t="str">
        <f t="shared" ca="1" si="74"/>
        <v/>
      </c>
      <c r="BT306" s="28" t="str">
        <f t="shared" ca="1" si="75"/>
        <v/>
      </c>
    </row>
    <row r="307" spans="1:72" x14ac:dyDescent="0.2">
      <c r="A307" s="18" t="str" cm="1">
        <f t="array" aca="1" ref="A307" ca="1">IF(B307="","","Grupo N˚"&amp;SUMPRODUCT(($B$4:B307&lt;&gt;"")*($B$4:B307&lt;&gt;OFFSET($B$4,-1,0,ROWS($B$4:B307),1))))</f>
        <v/>
      </c>
      <c r="B307" s="31"/>
      <c r="C307" s="31"/>
      <c r="D307" s="31"/>
      <c r="E307" s="31"/>
      <c r="F307" s="32"/>
      <c r="G307" s="33"/>
      <c r="H307" s="33"/>
      <c r="I307" s="20" t="str">
        <f t="shared" si="64"/>
        <v/>
      </c>
      <c r="J307" s="21" t="str">
        <f>IFERROR(VLOOKUP(BR307,Pricing!$D$3:$E$58,2,FALSE),"")</f>
        <v/>
      </c>
      <c r="K307" s="32"/>
      <c r="L307" s="32"/>
      <c r="M307" s="32"/>
      <c r="N307" s="36" t="str" cm="1">
        <f t="array" ref="N307">IFERROR(_xlfn.IFS((AND(K307="SI",M307="$")),J307*0.2,AND(K307="SI",M307="%"),20),"")</f>
        <v/>
      </c>
      <c r="O307" s="29" t="str">
        <f t="shared" si="65"/>
        <v/>
      </c>
      <c r="P307" s="21" t="str">
        <f t="shared" si="66"/>
        <v/>
      </c>
      <c r="Q307" s="21" t="str">
        <f t="shared" si="67"/>
        <v/>
      </c>
      <c r="R307" s="21" t="str">
        <f t="shared" si="68"/>
        <v/>
      </c>
      <c r="S307" s="39"/>
      <c r="T307" s="43" t="str">
        <f t="shared" si="76"/>
        <v/>
      </c>
      <c r="U307" s="49" t="str">
        <f t="shared" si="77"/>
        <v/>
      </c>
      <c r="V307" s="48" t="str">
        <f t="shared" si="78"/>
        <v/>
      </c>
      <c r="W307" s="48" t="str">
        <f t="shared" si="69"/>
        <v/>
      </c>
      <c r="X307" s="50" t="str">
        <f>IF(W307="","",SUMIF($B$4:$B$1002,B307,$W$4:$W$1000))</f>
        <v/>
      </c>
      <c r="Y307" s="43" t="str">
        <f t="shared" si="70"/>
        <v/>
      </c>
      <c r="Z307" s="49" t="str">
        <f t="shared" si="71"/>
        <v/>
      </c>
      <c r="AA307" s="48" t="str">
        <f t="shared" si="72"/>
        <v/>
      </c>
      <c r="AB307" s="49" t="str">
        <f t="shared" si="73"/>
        <v/>
      </c>
      <c r="AC307" s="50" t="str">
        <f>IF(AB307="","",SUMIF($B$4:$B$1002,B307,$AB$4:$AB$1000))</f>
        <v/>
      </c>
      <c r="AD307" s="69"/>
      <c r="AE307" s="56"/>
      <c r="AF307" s="52"/>
      <c r="AG307" s="51"/>
      <c r="AH307" s="70"/>
      <c r="AI307" s="58"/>
      <c r="AJ307" s="55"/>
      <c r="AK307" s="51"/>
      <c r="AL307" s="69"/>
      <c r="AM307" s="56"/>
      <c r="AN307" s="52"/>
      <c r="AO307" s="51"/>
      <c r="AP307" s="70"/>
      <c r="AQ307" s="58"/>
      <c r="AR307" s="55"/>
      <c r="AS307" s="51"/>
      <c r="AT307" s="69"/>
      <c r="AU307" s="56"/>
      <c r="AV307" s="52"/>
      <c r="AW307" s="51"/>
      <c r="BR307" s="34" t="str">
        <f>IF(E307="","",CONCATENATE(E307," ",F307," noches"))</f>
        <v/>
      </c>
      <c r="BS307" s="28" t="str">
        <f t="shared" ca="1" si="74"/>
        <v/>
      </c>
      <c r="BT307" s="28" t="str">
        <f t="shared" ca="1" si="75"/>
        <v/>
      </c>
    </row>
    <row r="308" spans="1:72" x14ac:dyDescent="0.2">
      <c r="A308" s="18" t="str" cm="1">
        <f t="array" aca="1" ref="A308" ca="1">IF(B308="","","Grupo N˚"&amp;SUMPRODUCT(($B$4:B308&lt;&gt;"")*($B$4:B308&lt;&gt;OFFSET($B$4,-1,0,ROWS($B$4:B308),1))))</f>
        <v/>
      </c>
      <c r="B308" s="31"/>
      <c r="C308" s="31"/>
      <c r="D308" s="31"/>
      <c r="E308" s="31"/>
      <c r="F308" s="32"/>
      <c r="G308" s="33"/>
      <c r="H308" s="33"/>
      <c r="I308" s="20" t="str">
        <f t="shared" si="64"/>
        <v/>
      </c>
      <c r="J308" s="21" t="str">
        <f>IFERROR(VLOOKUP(BR308,Pricing!$D$3:$E$58,2,FALSE),"")</f>
        <v/>
      </c>
      <c r="K308" s="32"/>
      <c r="L308" s="32"/>
      <c r="M308" s="32"/>
      <c r="N308" s="36" t="str" cm="1">
        <f t="array" ref="N308">IFERROR(_xlfn.IFS((AND(K308="SI",M308="$")),J308*0.2,AND(K308="SI",M308="%"),20),"")</f>
        <v/>
      </c>
      <c r="O308" s="29" t="str">
        <f t="shared" si="65"/>
        <v/>
      </c>
      <c r="P308" s="21" t="str">
        <f t="shared" si="66"/>
        <v/>
      </c>
      <c r="Q308" s="21" t="str">
        <f t="shared" si="67"/>
        <v/>
      </c>
      <c r="R308" s="21" t="str">
        <f t="shared" si="68"/>
        <v/>
      </c>
      <c r="S308" s="39"/>
      <c r="T308" s="43" t="str">
        <f t="shared" si="76"/>
        <v/>
      </c>
      <c r="U308" s="49" t="str">
        <f t="shared" si="77"/>
        <v/>
      </c>
      <c r="V308" s="48" t="str">
        <f t="shared" si="78"/>
        <v/>
      </c>
      <c r="W308" s="48" t="str">
        <f t="shared" si="69"/>
        <v/>
      </c>
      <c r="X308" s="50" t="str">
        <f>IF(W308="","",SUMIF($B$4:$B$1002,B308,$W$4:$W$1000))</f>
        <v/>
      </c>
      <c r="Y308" s="43" t="str">
        <f t="shared" si="70"/>
        <v/>
      </c>
      <c r="Z308" s="49" t="str">
        <f t="shared" si="71"/>
        <v/>
      </c>
      <c r="AA308" s="48" t="str">
        <f t="shared" si="72"/>
        <v/>
      </c>
      <c r="AB308" s="49" t="str">
        <f t="shared" si="73"/>
        <v/>
      </c>
      <c r="AC308" s="50" t="str">
        <f>IF(AB308="","",SUMIF($B$4:$B$1002,B308,$AB$4:$AB$1000))</f>
        <v/>
      </c>
      <c r="AD308" s="69"/>
      <c r="AE308" s="56"/>
      <c r="AF308" s="52"/>
      <c r="AG308" s="51"/>
      <c r="AH308" s="70"/>
      <c r="AI308" s="58"/>
      <c r="AJ308" s="55"/>
      <c r="AK308" s="51"/>
      <c r="AL308" s="69"/>
      <c r="AM308" s="56"/>
      <c r="AN308" s="52"/>
      <c r="AO308" s="51"/>
      <c r="AP308" s="70"/>
      <c r="AQ308" s="58"/>
      <c r="AR308" s="55"/>
      <c r="AS308" s="51"/>
      <c r="AT308" s="69"/>
      <c r="AU308" s="56"/>
      <c r="AV308" s="52"/>
      <c r="AW308" s="51"/>
      <c r="BR308" s="34" t="str">
        <f>IF(E308="","",CONCATENATE(E308," ",F308," noches"))</f>
        <v/>
      </c>
      <c r="BS308" s="28" t="str">
        <f t="shared" ca="1" si="74"/>
        <v/>
      </c>
      <c r="BT308" s="28" t="str">
        <f t="shared" ca="1" si="75"/>
        <v/>
      </c>
    </row>
    <row r="309" spans="1:72" x14ac:dyDescent="0.2">
      <c r="A309" s="18" t="str" cm="1">
        <f t="array" aca="1" ref="A309" ca="1">IF(B309="","","Grupo N˚"&amp;SUMPRODUCT(($B$4:B309&lt;&gt;"")*($B$4:B309&lt;&gt;OFFSET($B$4,-1,0,ROWS($B$4:B309),1))))</f>
        <v/>
      </c>
      <c r="B309" s="31"/>
      <c r="C309" s="31"/>
      <c r="D309" s="31"/>
      <c r="E309" s="31"/>
      <c r="F309" s="32"/>
      <c r="G309" s="33"/>
      <c r="H309" s="33"/>
      <c r="I309" s="20" t="str">
        <f t="shared" si="64"/>
        <v/>
      </c>
      <c r="J309" s="21" t="str">
        <f>IFERROR(VLOOKUP(BR309,Pricing!$D$3:$E$58,2,FALSE),"")</f>
        <v/>
      </c>
      <c r="K309" s="32"/>
      <c r="L309" s="32"/>
      <c r="M309" s="32"/>
      <c r="N309" s="36" t="str" cm="1">
        <f t="array" ref="N309">IFERROR(_xlfn.IFS((AND(K309="SI",M309="$")),J309*0.2,AND(K309="SI",M309="%"),20),"")</f>
        <v/>
      </c>
      <c r="O309" s="29" t="str">
        <f t="shared" si="65"/>
        <v/>
      </c>
      <c r="P309" s="21" t="str">
        <f t="shared" si="66"/>
        <v/>
      </c>
      <c r="Q309" s="21" t="str">
        <f t="shared" si="67"/>
        <v/>
      </c>
      <c r="R309" s="21" t="str">
        <f t="shared" si="68"/>
        <v/>
      </c>
      <c r="S309" s="39"/>
      <c r="T309" s="43" t="str">
        <f t="shared" si="76"/>
        <v/>
      </c>
      <c r="U309" s="49" t="str">
        <f t="shared" si="77"/>
        <v/>
      </c>
      <c r="V309" s="48" t="str">
        <f t="shared" si="78"/>
        <v/>
      </c>
      <c r="W309" s="48" t="str">
        <f t="shared" si="69"/>
        <v/>
      </c>
      <c r="X309" s="50" t="str">
        <f>IF(W309="","",SUMIF($B$4:$B$1002,B309,$W$4:$W$1000))</f>
        <v/>
      </c>
      <c r="Y309" s="43" t="str">
        <f t="shared" si="70"/>
        <v/>
      </c>
      <c r="Z309" s="49" t="str">
        <f t="shared" si="71"/>
        <v/>
      </c>
      <c r="AA309" s="48" t="str">
        <f t="shared" si="72"/>
        <v/>
      </c>
      <c r="AB309" s="49" t="str">
        <f t="shared" si="73"/>
        <v/>
      </c>
      <c r="AC309" s="50" t="str">
        <f>IF(AB309="","",SUMIF($B$4:$B$1002,B309,$AB$4:$AB$1000))</f>
        <v/>
      </c>
      <c r="AD309" s="69"/>
      <c r="AE309" s="56"/>
      <c r="AF309" s="52"/>
      <c r="AG309" s="51"/>
      <c r="AH309" s="70"/>
      <c r="AI309" s="58"/>
      <c r="AJ309" s="55"/>
      <c r="AK309" s="51"/>
      <c r="AL309" s="69"/>
      <c r="AM309" s="56"/>
      <c r="AN309" s="52"/>
      <c r="AO309" s="51"/>
      <c r="AP309" s="70"/>
      <c r="AQ309" s="58"/>
      <c r="AR309" s="55"/>
      <c r="AS309" s="51"/>
      <c r="AT309" s="69"/>
      <c r="AU309" s="56"/>
      <c r="AV309" s="52"/>
      <c r="AW309" s="51"/>
      <c r="BR309" s="34" t="str">
        <f>IF(E309="","",CONCATENATE(E309," ",F309," noches"))</f>
        <v/>
      </c>
      <c r="BS309" s="28" t="str">
        <f t="shared" ca="1" si="74"/>
        <v/>
      </c>
      <c r="BT309" s="28" t="str">
        <f t="shared" ca="1" si="75"/>
        <v/>
      </c>
    </row>
    <row r="310" spans="1:72" x14ac:dyDescent="0.2">
      <c r="A310" s="18" t="str" cm="1">
        <f t="array" aca="1" ref="A310" ca="1">IF(B310="","","Grupo N˚"&amp;SUMPRODUCT(($B$4:B310&lt;&gt;"")*($B$4:B310&lt;&gt;OFFSET($B$4,-1,0,ROWS($B$4:B310),1))))</f>
        <v/>
      </c>
      <c r="B310" s="31"/>
      <c r="C310" s="31"/>
      <c r="D310" s="31"/>
      <c r="E310" s="31"/>
      <c r="F310" s="32"/>
      <c r="G310" s="33"/>
      <c r="H310" s="33"/>
      <c r="I310" s="20" t="str">
        <f t="shared" si="64"/>
        <v/>
      </c>
      <c r="J310" s="21" t="str">
        <f>IFERROR(VLOOKUP(BR310,Pricing!$D$3:$E$58,2,FALSE),"")</f>
        <v/>
      </c>
      <c r="K310" s="32"/>
      <c r="L310" s="32"/>
      <c r="M310" s="32"/>
      <c r="N310" s="36" t="str" cm="1">
        <f t="array" ref="N310">IFERROR(_xlfn.IFS((AND(K310="SI",M310="$")),J310*0.2,AND(K310="SI",M310="%"),20),"")</f>
        <v/>
      </c>
      <c r="O310" s="29" t="str">
        <f t="shared" si="65"/>
        <v/>
      </c>
      <c r="P310" s="21" t="str">
        <f t="shared" si="66"/>
        <v/>
      </c>
      <c r="Q310" s="21" t="str">
        <f t="shared" si="67"/>
        <v/>
      </c>
      <c r="R310" s="21" t="str">
        <f t="shared" si="68"/>
        <v/>
      </c>
      <c r="S310" s="39"/>
      <c r="T310" s="43" t="str">
        <f t="shared" si="76"/>
        <v/>
      </c>
      <c r="U310" s="49" t="str">
        <f t="shared" si="77"/>
        <v/>
      </c>
      <c r="V310" s="48" t="str">
        <f t="shared" si="78"/>
        <v/>
      </c>
      <c r="W310" s="48" t="str">
        <f t="shared" si="69"/>
        <v/>
      </c>
      <c r="X310" s="50" t="str">
        <f>IF(W310="","",SUMIF($B$4:$B$1002,B310,$W$4:$W$1000))</f>
        <v/>
      </c>
      <c r="Y310" s="43" t="str">
        <f t="shared" si="70"/>
        <v/>
      </c>
      <c r="Z310" s="49" t="str">
        <f t="shared" si="71"/>
        <v/>
      </c>
      <c r="AA310" s="48" t="str">
        <f t="shared" si="72"/>
        <v/>
      </c>
      <c r="AB310" s="49" t="str">
        <f t="shared" si="73"/>
        <v/>
      </c>
      <c r="AC310" s="50" t="str">
        <f>IF(AB310="","",SUMIF($B$4:$B$1002,B310,$AB$4:$AB$1000))</f>
        <v/>
      </c>
      <c r="AD310" s="69"/>
      <c r="AE310" s="56"/>
      <c r="AF310" s="52"/>
      <c r="AG310" s="51"/>
      <c r="AH310" s="70"/>
      <c r="AI310" s="58"/>
      <c r="AJ310" s="55"/>
      <c r="AK310" s="51"/>
      <c r="AL310" s="69"/>
      <c r="AM310" s="56"/>
      <c r="AN310" s="52"/>
      <c r="AO310" s="51"/>
      <c r="AP310" s="70"/>
      <c r="AQ310" s="58"/>
      <c r="AR310" s="55"/>
      <c r="AS310" s="51"/>
      <c r="AT310" s="69"/>
      <c r="AU310" s="56"/>
      <c r="AV310" s="52"/>
      <c r="AW310" s="51"/>
      <c r="BR310" s="34" t="str">
        <f>IF(E310="","",CONCATENATE(E310," ",F310," noches"))</f>
        <v/>
      </c>
      <c r="BS310" s="28" t="str">
        <f t="shared" ca="1" si="74"/>
        <v/>
      </c>
      <c r="BT310" s="28" t="str">
        <f t="shared" ca="1" si="75"/>
        <v/>
      </c>
    </row>
    <row r="311" spans="1:72" x14ac:dyDescent="0.2">
      <c r="A311" s="18" t="str" cm="1">
        <f t="array" aca="1" ref="A311" ca="1">IF(B311="","","Grupo N˚"&amp;SUMPRODUCT(($B$4:B311&lt;&gt;"")*($B$4:B311&lt;&gt;OFFSET($B$4,-1,0,ROWS($B$4:B311),1))))</f>
        <v/>
      </c>
      <c r="B311" s="31"/>
      <c r="C311" s="31"/>
      <c r="D311" s="31"/>
      <c r="E311" s="31"/>
      <c r="F311" s="32"/>
      <c r="G311" s="33"/>
      <c r="H311" s="33"/>
      <c r="I311" s="20" t="str">
        <f t="shared" si="64"/>
        <v/>
      </c>
      <c r="J311" s="21" t="str">
        <f>IFERROR(VLOOKUP(BR311,Pricing!$D$3:$E$58,2,FALSE),"")</f>
        <v/>
      </c>
      <c r="K311" s="32"/>
      <c r="L311" s="32"/>
      <c r="M311" s="32"/>
      <c r="N311" s="36" t="str" cm="1">
        <f t="array" ref="N311">IFERROR(_xlfn.IFS((AND(K311="SI",M311="$")),J311*0.2,AND(K311="SI",M311="%"),20),"")</f>
        <v/>
      </c>
      <c r="O311" s="29" t="str">
        <f t="shared" si="65"/>
        <v/>
      </c>
      <c r="P311" s="21" t="str">
        <f t="shared" si="66"/>
        <v/>
      </c>
      <c r="Q311" s="21" t="str">
        <f t="shared" si="67"/>
        <v/>
      </c>
      <c r="R311" s="21" t="str">
        <f t="shared" si="68"/>
        <v/>
      </c>
      <c r="S311" s="39"/>
      <c r="T311" s="43" t="str">
        <f t="shared" si="76"/>
        <v/>
      </c>
      <c r="U311" s="49" t="str">
        <f t="shared" si="77"/>
        <v/>
      </c>
      <c r="V311" s="48" t="str">
        <f t="shared" si="78"/>
        <v/>
      </c>
      <c r="W311" s="48" t="str">
        <f t="shared" si="69"/>
        <v/>
      </c>
      <c r="X311" s="50" t="str">
        <f>IF(W311="","",SUMIF($B$4:$B$1002,B311,$W$4:$W$1000))</f>
        <v/>
      </c>
      <c r="Y311" s="43" t="str">
        <f t="shared" si="70"/>
        <v/>
      </c>
      <c r="Z311" s="49" t="str">
        <f t="shared" si="71"/>
        <v/>
      </c>
      <c r="AA311" s="48" t="str">
        <f t="shared" si="72"/>
        <v/>
      </c>
      <c r="AB311" s="49" t="str">
        <f t="shared" si="73"/>
        <v/>
      </c>
      <c r="AC311" s="50" t="str">
        <f>IF(AB311="","",SUMIF($B$4:$B$1002,B311,$AB$4:$AB$1000))</f>
        <v/>
      </c>
      <c r="AD311" s="69"/>
      <c r="AE311" s="56"/>
      <c r="AF311" s="52"/>
      <c r="AG311" s="51"/>
      <c r="AH311" s="70"/>
      <c r="AI311" s="58"/>
      <c r="AJ311" s="55"/>
      <c r="AK311" s="51"/>
      <c r="AL311" s="69"/>
      <c r="AM311" s="56"/>
      <c r="AN311" s="52"/>
      <c r="AO311" s="51"/>
      <c r="AP311" s="70"/>
      <c r="AQ311" s="58"/>
      <c r="AR311" s="55"/>
      <c r="AS311" s="51"/>
      <c r="AT311" s="69"/>
      <c r="AU311" s="56"/>
      <c r="AV311" s="52"/>
      <c r="AW311" s="51"/>
      <c r="BR311" s="34" t="str">
        <f>IF(E311="","",CONCATENATE(E311," ",F311," noches"))</f>
        <v/>
      </c>
      <c r="BS311" s="28" t="str">
        <f t="shared" ca="1" si="74"/>
        <v/>
      </c>
      <c r="BT311" s="28" t="str">
        <f t="shared" ca="1" si="75"/>
        <v/>
      </c>
    </row>
    <row r="312" spans="1:72" x14ac:dyDescent="0.2">
      <c r="A312" s="18" t="str" cm="1">
        <f t="array" aca="1" ref="A312" ca="1">IF(B312="","","Grupo N˚"&amp;SUMPRODUCT(($B$4:B312&lt;&gt;"")*($B$4:B312&lt;&gt;OFFSET($B$4,-1,0,ROWS($B$4:B312),1))))</f>
        <v/>
      </c>
      <c r="B312" s="31"/>
      <c r="C312" s="31"/>
      <c r="D312" s="31"/>
      <c r="E312" s="31"/>
      <c r="F312" s="32"/>
      <c r="G312" s="33"/>
      <c r="H312" s="33"/>
      <c r="I312" s="20" t="str">
        <f t="shared" si="64"/>
        <v/>
      </c>
      <c r="J312" s="21" t="str">
        <f>IFERROR(VLOOKUP(BR312,Pricing!$D$3:$E$58,2,FALSE),"")</f>
        <v/>
      </c>
      <c r="K312" s="32"/>
      <c r="L312" s="32"/>
      <c r="M312" s="32"/>
      <c r="N312" s="36" t="str" cm="1">
        <f t="array" ref="N312">IFERROR(_xlfn.IFS((AND(K312="SI",M312="$")),J312*0.2,AND(K312="SI",M312="%"),20),"")</f>
        <v/>
      </c>
      <c r="O312" s="29" t="str">
        <f t="shared" si="65"/>
        <v/>
      </c>
      <c r="P312" s="21" t="str">
        <f t="shared" si="66"/>
        <v/>
      </c>
      <c r="Q312" s="21" t="str">
        <f t="shared" si="67"/>
        <v/>
      </c>
      <c r="R312" s="21" t="str">
        <f t="shared" si="68"/>
        <v/>
      </c>
      <c r="S312" s="39"/>
      <c r="T312" s="43" t="str">
        <f t="shared" si="76"/>
        <v/>
      </c>
      <c r="U312" s="49" t="str">
        <f t="shared" si="77"/>
        <v/>
      </c>
      <c r="V312" s="48" t="str">
        <f t="shared" si="78"/>
        <v/>
      </c>
      <c r="W312" s="48" t="str">
        <f t="shared" si="69"/>
        <v/>
      </c>
      <c r="X312" s="50" t="str">
        <f>IF(W312="","",SUMIF($B$4:$B$1002,B312,$W$4:$W$1000))</f>
        <v/>
      </c>
      <c r="Y312" s="43" t="str">
        <f t="shared" si="70"/>
        <v/>
      </c>
      <c r="Z312" s="49" t="str">
        <f t="shared" si="71"/>
        <v/>
      </c>
      <c r="AA312" s="48" t="str">
        <f t="shared" si="72"/>
        <v/>
      </c>
      <c r="AB312" s="49" t="str">
        <f t="shared" si="73"/>
        <v/>
      </c>
      <c r="AC312" s="50" t="str">
        <f>IF(AB312="","",SUMIF($B$4:$B$1002,B312,$AB$4:$AB$1000))</f>
        <v/>
      </c>
      <c r="AD312" s="69"/>
      <c r="AE312" s="56"/>
      <c r="AF312" s="52"/>
      <c r="AG312" s="51"/>
      <c r="AH312" s="70"/>
      <c r="AI312" s="58"/>
      <c r="AJ312" s="55"/>
      <c r="AK312" s="51"/>
      <c r="AL312" s="69"/>
      <c r="AM312" s="56"/>
      <c r="AN312" s="52"/>
      <c r="AO312" s="51"/>
      <c r="AP312" s="70"/>
      <c r="AQ312" s="58"/>
      <c r="AR312" s="55"/>
      <c r="AS312" s="51"/>
      <c r="AT312" s="69"/>
      <c r="AU312" s="56"/>
      <c r="AV312" s="52"/>
      <c r="AW312" s="51"/>
      <c r="BR312" s="34" t="str">
        <f>IF(E312="","",CONCATENATE(E312," ",F312," noches"))</f>
        <v/>
      </c>
      <c r="BS312" s="28" t="str">
        <f t="shared" ca="1" si="74"/>
        <v/>
      </c>
      <c r="BT312" s="28" t="str">
        <f t="shared" ca="1" si="75"/>
        <v/>
      </c>
    </row>
    <row r="313" spans="1:72" x14ac:dyDescent="0.2">
      <c r="A313" s="18" t="str" cm="1">
        <f t="array" aca="1" ref="A313" ca="1">IF(B313="","","Grupo N˚"&amp;SUMPRODUCT(($B$4:B313&lt;&gt;"")*($B$4:B313&lt;&gt;OFFSET($B$4,-1,0,ROWS($B$4:B313),1))))</f>
        <v/>
      </c>
      <c r="B313" s="31"/>
      <c r="C313" s="31"/>
      <c r="D313" s="31"/>
      <c r="E313" s="31"/>
      <c r="F313" s="32"/>
      <c r="G313" s="33"/>
      <c r="H313" s="33"/>
      <c r="I313" s="20" t="str">
        <f t="shared" si="64"/>
        <v/>
      </c>
      <c r="J313" s="21" t="str">
        <f>IFERROR(VLOOKUP(BR313,Pricing!$D$3:$E$58,2,FALSE),"")</f>
        <v/>
      </c>
      <c r="K313" s="32"/>
      <c r="L313" s="32"/>
      <c r="M313" s="32"/>
      <c r="N313" s="36" t="str" cm="1">
        <f t="array" ref="N313">IFERROR(_xlfn.IFS((AND(K313="SI",M313="$")),J313*0.2,AND(K313="SI",M313="%"),20),"")</f>
        <v/>
      </c>
      <c r="O313" s="29" t="str">
        <f t="shared" si="65"/>
        <v/>
      </c>
      <c r="P313" s="21" t="str">
        <f t="shared" si="66"/>
        <v/>
      </c>
      <c r="Q313" s="21" t="str">
        <f t="shared" si="67"/>
        <v/>
      </c>
      <c r="R313" s="21" t="str">
        <f t="shared" si="68"/>
        <v/>
      </c>
      <c r="S313" s="39"/>
      <c r="T313" s="43" t="str">
        <f t="shared" si="76"/>
        <v/>
      </c>
      <c r="U313" s="49" t="str">
        <f t="shared" si="77"/>
        <v/>
      </c>
      <c r="V313" s="48" t="str">
        <f t="shared" si="78"/>
        <v/>
      </c>
      <c r="W313" s="48" t="str">
        <f t="shared" si="69"/>
        <v/>
      </c>
      <c r="X313" s="50" t="str">
        <f>IF(W313="","",SUMIF($B$4:$B$1002,B313,$W$4:$W$1000))</f>
        <v/>
      </c>
      <c r="Y313" s="43" t="str">
        <f t="shared" si="70"/>
        <v/>
      </c>
      <c r="Z313" s="49" t="str">
        <f t="shared" si="71"/>
        <v/>
      </c>
      <c r="AA313" s="48" t="str">
        <f t="shared" si="72"/>
        <v/>
      </c>
      <c r="AB313" s="49" t="str">
        <f t="shared" si="73"/>
        <v/>
      </c>
      <c r="AC313" s="50" t="str">
        <f>IF(AB313="","",SUMIF($B$4:$B$1002,B313,$AB$4:$AB$1000))</f>
        <v/>
      </c>
      <c r="AD313" s="69"/>
      <c r="AE313" s="56"/>
      <c r="AF313" s="52"/>
      <c r="AG313" s="51"/>
      <c r="AH313" s="70"/>
      <c r="AI313" s="58"/>
      <c r="AJ313" s="55"/>
      <c r="AK313" s="51"/>
      <c r="AL313" s="69"/>
      <c r="AM313" s="56"/>
      <c r="AN313" s="52"/>
      <c r="AO313" s="51"/>
      <c r="AP313" s="70"/>
      <c r="AQ313" s="58"/>
      <c r="AR313" s="55"/>
      <c r="AS313" s="51"/>
      <c r="AT313" s="69"/>
      <c r="AU313" s="56"/>
      <c r="AV313" s="52"/>
      <c r="AW313" s="51"/>
      <c r="BR313" s="34" t="str">
        <f>IF(E313="","",CONCATENATE(E313," ",F313," noches"))</f>
        <v/>
      </c>
      <c r="BS313" s="28" t="str">
        <f t="shared" ca="1" si="74"/>
        <v/>
      </c>
      <c r="BT313" s="28" t="str">
        <f t="shared" ca="1" si="75"/>
        <v/>
      </c>
    </row>
    <row r="314" spans="1:72" x14ac:dyDescent="0.2">
      <c r="A314" s="18" t="str" cm="1">
        <f t="array" aca="1" ref="A314" ca="1">IF(B314="","","Grupo N˚"&amp;SUMPRODUCT(($B$4:B314&lt;&gt;"")*($B$4:B314&lt;&gt;OFFSET($B$4,-1,0,ROWS($B$4:B314),1))))</f>
        <v/>
      </c>
      <c r="B314" s="31"/>
      <c r="C314" s="31"/>
      <c r="D314" s="31"/>
      <c r="E314" s="31"/>
      <c r="F314" s="32"/>
      <c r="G314" s="33"/>
      <c r="H314" s="33"/>
      <c r="I314" s="20" t="str">
        <f t="shared" si="64"/>
        <v/>
      </c>
      <c r="J314" s="21" t="str">
        <f>IFERROR(VLOOKUP(BR314,Pricing!$D$3:$E$58,2,FALSE),"")</f>
        <v/>
      </c>
      <c r="K314" s="32"/>
      <c r="L314" s="32"/>
      <c r="M314" s="32"/>
      <c r="N314" s="36" t="str" cm="1">
        <f t="array" ref="N314">IFERROR(_xlfn.IFS((AND(K314="SI",M314="$")),J314*0.2,AND(K314="SI",M314="%"),20),"")</f>
        <v/>
      </c>
      <c r="O314" s="29" t="str">
        <f t="shared" si="65"/>
        <v/>
      </c>
      <c r="P314" s="21" t="str">
        <f t="shared" si="66"/>
        <v/>
      </c>
      <c r="Q314" s="21" t="str">
        <f t="shared" si="67"/>
        <v/>
      </c>
      <c r="R314" s="21" t="str">
        <f t="shared" si="68"/>
        <v/>
      </c>
      <c r="S314" s="39"/>
      <c r="T314" s="43" t="str">
        <f t="shared" si="76"/>
        <v/>
      </c>
      <c r="U314" s="49" t="str">
        <f t="shared" si="77"/>
        <v/>
      </c>
      <c r="V314" s="48" t="str">
        <f t="shared" si="78"/>
        <v/>
      </c>
      <c r="W314" s="48" t="str">
        <f t="shared" si="69"/>
        <v/>
      </c>
      <c r="X314" s="50" t="str">
        <f>IF(W314="","",SUMIF($B$4:$B$1002,B314,$W$4:$W$1000))</f>
        <v/>
      </c>
      <c r="Y314" s="43" t="str">
        <f t="shared" si="70"/>
        <v/>
      </c>
      <c r="Z314" s="49" t="str">
        <f t="shared" si="71"/>
        <v/>
      </c>
      <c r="AA314" s="48" t="str">
        <f t="shared" si="72"/>
        <v/>
      </c>
      <c r="AB314" s="49" t="str">
        <f t="shared" si="73"/>
        <v/>
      </c>
      <c r="AC314" s="50" t="str">
        <f>IF(AB314="","",SUMIF($B$4:$B$1002,B314,$AB$4:$AB$1000))</f>
        <v/>
      </c>
      <c r="AD314" s="69"/>
      <c r="AE314" s="56"/>
      <c r="AF314" s="52"/>
      <c r="AG314" s="51"/>
      <c r="AH314" s="70"/>
      <c r="AI314" s="58"/>
      <c r="AJ314" s="55"/>
      <c r="AK314" s="51"/>
      <c r="AL314" s="69"/>
      <c r="AM314" s="56"/>
      <c r="AN314" s="52"/>
      <c r="AO314" s="51"/>
      <c r="AP314" s="70"/>
      <c r="AQ314" s="58"/>
      <c r="AR314" s="55"/>
      <c r="AS314" s="51"/>
      <c r="AT314" s="69"/>
      <c r="AU314" s="56"/>
      <c r="AV314" s="52"/>
      <c r="AW314" s="51"/>
      <c r="BR314" s="34" t="str">
        <f>IF(E314="","",CONCATENATE(E314," ",F314," noches"))</f>
        <v/>
      </c>
      <c r="BS314" s="28" t="str">
        <f t="shared" ca="1" si="74"/>
        <v/>
      </c>
      <c r="BT314" s="28" t="str">
        <f t="shared" ca="1" si="75"/>
        <v/>
      </c>
    </row>
    <row r="315" spans="1:72" x14ac:dyDescent="0.2">
      <c r="A315" s="18" t="str" cm="1">
        <f t="array" aca="1" ref="A315" ca="1">IF(B315="","","Grupo N˚"&amp;SUMPRODUCT(($B$4:B315&lt;&gt;"")*($B$4:B315&lt;&gt;OFFSET($B$4,-1,0,ROWS($B$4:B315),1))))</f>
        <v/>
      </c>
      <c r="B315" s="31"/>
      <c r="C315" s="31"/>
      <c r="D315" s="31"/>
      <c r="E315" s="31"/>
      <c r="F315" s="32"/>
      <c r="G315" s="33"/>
      <c r="H315" s="33"/>
      <c r="I315" s="20" t="str">
        <f t="shared" si="64"/>
        <v/>
      </c>
      <c r="J315" s="21" t="str">
        <f>IFERROR(VLOOKUP(BR315,Pricing!$D$3:$E$58,2,FALSE),"")</f>
        <v/>
      </c>
      <c r="K315" s="32"/>
      <c r="L315" s="32"/>
      <c r="M315" s="32"/>
      <c r="N315" s="36" t="str" cm="1">
        <f t="array" ref="N315">IFERROR(_xlfn.IFS((AND(K315="SI",M315="$")),J315*0.2,AND(K315="SI",M315="%"),20),"")</f>
        <v/>
      </c>
      <c r="O315" s="29" t="str">
        <f t="shared" si="65"/>
        <v/>
      </c>
      <c r="P315" s="21" t="str">
        <f t="shared" si="66"/>
        <v/>
      </c>
      <c r="Q315" s="21" t="str">
        <f t="shared" si="67"/>
        <v/>
      </c>
      <c r="R315" s="21" t="str">
        <f t="shared" si="68"/>
        <v/>
      </c>
      <c r="S315" s="39"/>
      <c r="T315" s="43" t="str">
        <f t="shared" si="76"/>
        <v/>
      </c>
      <c r="U315" s="49" t="str">
        <f t="shared" si="77"/>
        <v/>
      </c>
      <c r="V315" s="48" t="str">
        <f t="shared" si="78"/>
        <v/>
      </c>
      <c r="W315" s="48" t="str">
        <f t="shared" si="69"/>
        <v/>
      </c>
      <c r="X315" s="50" t="str">
        <f>IF(W315="","",SUMIF($B$4:$B$1002,B315,$W$4:$W$1000))</f>
        <v/>
      </c>
      <c r="Y315" s="43" t="str">
        <f t="shared" si="70"/>
        <v/>
      </c>
      <c r="Z315" s="49" t="str">
        <f t="shared" si="71"/>
        <v/>
      </c>
      <c r="AA315" s="48" t="str">
        <f t="shared" si="72"/>
        <v/>
      </c>
      <c r="AB315" s="49" t="str">
        <f t="shared" si="73"/>
        <v/>
      </c>
      <c r="AC315" s="50" t="str">
        <f>IF(AB315="","",SUMIF($B$4:$B$1002,B315,$AB$4:$AB$1000))</f>
        <v/>
      </c>
      <c r="AD315" s="69"/>
      <c r="AE315" s="56"/>
      <c r="AF315" s="52"/>
      <c r="AG315" s="51"/>
      <c r="AH315" s="70"/>
      <c r="AI315" s="58"/>
      <c r="AJ315" s="55"/>
      <c r="AK315" s="51"/>
      <c r="AL315" s="69"/>
      <c r="AM315" s="56"/>
      <c r="AN315" s="52"/>
      <c r="AO315" s="51"/>
      <c r="AP315" s="70"/>
      <c r="AQ315" s="58"/>
      <c r="AR315" s="55"/>
      <c r="AS315" s="51"/>
      <c r="AT315" s="69"/>
      <c r="AU315" s="56"/>
      <c r="AV315" s="52"/>
      <c r="AW315" s="51"/>
      <c r="BR315" s="34" t="str">
        <f>IF(E315="","",CONCATENATE(E315," ",F315," noches"))</f>
        <v/>
      </c>
      <c r="BS315" s="28" t="str">
        <f t="shared" ca="1" si="74"/>
        <v/>
      </c>
      <c r="BT315" s="28" t="str">
        <f t="shared" ca="1" si="75"/>
        <v/>
      </c>
    </row>
    <row r="316" spans="1:72" x14ac:dyDescent="0.2">
      <c r="A316" s="18" t="str" cm="1">
        <f t="array" aca="1" ref="A316" ca="1">IF(B316="","","Grupo N˚"&amp;SUMPRODUCT(($B$4:B316&lt;&gt;"")*($B$4:B316&lt;&gt;OFFSET($B$4,-1,0,ROWS($B$4:B316),1))))</f>
        <v/>
      </c>
      <c r="B316" s="31"/>
      <c r="C316" s="31"/>
      <c r="D316" s="31"/>
      <c r="E316" s="31"/>
      <c r="F316" s="32"/>
      <c r="G316" s="33"/>
      <c r="H316" s="33"/>
      <c r="I316" s="20" t="str">
        <f t="shared" si="64"/>
        <v/>
      </c>
      <c r="J316" s="21" t="str">
        <f>IFERROR(VLOOKUP(BR316,Pricing!$D$3:$E$58,2,FALSE),"")</f>
        <v/>
      </c>
      <c r="K316" s="32"/>
      <c r="L316" s="32"/>
      <c r="M316" s="32"/>
      <c r="N316" s="36" t="str" cm="1">
        <f t="array" ref="N316">IFERROR(_xlfn.IFS((AND(K316="SI",M316="$")),J316*0.2,AND(K316="SI",M316="%"),20),"")</f>
        <v/>
      </c>
      <c r="O316" s="29" t="str">
        <f t="shared" si="65"/>
        <v/>
      </c>
      <c r="P316" s="21" t="str">
        <f t="shared" si="66"/>
        <v/>
      </c>
      <c r="Q316" s="21" t="str">
        <f t="shared" si="67"/>
        <v/>
      </c>
      <c r="R316" s="21" t="str">
        <f t="shared" si="68"/>
        <v/>
      </c>
      <c r="S316" s="39"/>
      <c r="T316" s="43" t="str">
        <f t="shared" si="76"/>
        <v/>
      </c>
      <c r="U316" s="49" t="str">
        <f t="shared" si="77"/>
        <v/>
      </c>
      <c r="V316" s="48" t="str">
        <f t="shared" si="78"/>
        <v/>
      </c>
      <c r="W316" s="48" t="str">
        <f t="shared" si="69"/>
        <v/>
      </c>
      <c r="X316" s="50" t="str">
        <f>IF(W316="","",SUMIF($B$4:$B$1002,B316,$W$4:$W$1000))</f>
        <v/>
      </c>
      <c r="Y316" s="43" t="str">
        <f t="shared" si="70"/>
        <v/>
      </c>
      <c r="Z316" s="49" t="str">
        <f t="shared" si="71"/>
        <v/>
      </c>
      <c r="AA316" s="48" t="str">
        <f t="shared" si="72"/>
        <v/>
      </c>
      <c r="AB316" s="49" t="str">
        <f t="shared" si="73"/>
        <v/>
      </c>
      <c r="AC316" s="50" t="str">
        <f>IF(AB316="","",SUMIF($B$4:$B$1002,B316,$AB$4:$AB$1000))</f>
        <v/>
      </c>
      <c r="AD316" s="69"/>
      <c r="AE316" s="56"/>
      <c r="AF316" s="52"/>
      <c r="AG316" s="51"/>
      <c r="AH316" s="70"/>
      <c r="AI316" s="58"/>
      <c r="AJ316" s="55"/>
      <c r="AK316" s="51"/>
      <c r="AL316" s="69"/>
      <c r="AM316" s="56"/>
      <c r="AN316" s="52"/>
      <c r="AO316" s="51"/>
      <c r="AP316" s="70"/>
      <c r="AQ316" s="58"/>
      <c r="AR316" s="55"/>
      <c r="AS316" s="51"/>
      <c r="AT316" s="69"/>
      <c r="AU316" s="56"/>
      <c r="AV316" s="52"/>
      <c r="AW316" s="51"/>
      <c r="BR316" s="34" t="str">
        <f>IF(E316="","",CONCATENATE(E316," ",F316," noches"))</f>
        <v/>
      </c>
      <c r="BS316" s="28" t="str">
        <f t="shared" ca="1" si="74"/>
        <v/>
      </c>
      <c r="BT316" s="28" t="str">
        <f t="shared" ca="1" si="75"/>
        <v/>
      </c>
    </row>
    <row r="317" spans="1:72" x14ac:dyDescent="0.2">
      <c r="A317" s="18" t="str" cm="1">
        <f t="array" aca="1" ref="A317" ca="1">IF(B317="","","Grupo N˚"&amp;SUMPRODUCT(($B$4:B317&lt;&gt;"")*($B$4:B317&lt;&gt;OFFSET($B$4,-1,0,ROWS($B$4:B317),1))))</f>
        <v/>
      </c>
      <c r="B317" s="31"/>
      <c r="C317" s="31"/>
      <c r="D317" s="31"/>
      <c r="E317" s="31"/>
      <c r="F317" s="32"/>
      <c r="G317" s="33"/>
      <c r="H317" s="33"/>
      <c r="I317" s="20" t="str">
        <f t="shared" si="64"/>
        <v/>
      </c>
      <c r="J317" s="21" t="str">
        <f>IFERROR(VLOOKUP(BR317,Pricing!$D$3:$E$58,2,FALSE),"")</f>
        <v/>
      </c>
      <c r="K317" s="32"/>
      <c r="L317" s="32"/>
      <c r="M317" s="32"/>
      <c r="N317" s="36" t="str" cm="1">
        <f t="array" ref="N317">IFERROR(_xlfn.IFS((AND(K317="SI",M317="$")),J317*0.2,AND(K317="SI",M317="%"),20),"")</f>
        <v/>
      </c>
      <c r="O317" s="29" t="str">
        <f t="shared" si="65"/>
        <v/>
      </c>
      <c r="P317" s="21" t="str">
        <f t="shared" si="66"/>
        <v/>
      </c>
      <c r="Q317" s="21" t="str">
        <f t="shared" si="67"/>
        <v/>
      </c>
      <c r="R317" s="21" t="str">
        <f t="shared" si="68"/>
        <v/>
      </c>
      <c r="S317" s="39"/>
      <c r="T317" s="43" t="str">
        <f t="shared" si="76"/>
        <v/>
      </c>
      <c r="U317" s="49" t="str">
        <f t="shared" si="77"/>
        <v/>
      </c>
      <c r="V317" s="48" t="str">
        <f t="shared" si="78"/>
        <v/>
      </c>
      <c r="W317" s="48" t="str">
        <f t="shared" si="69"/>
        <v/>
      </c>
      <c r="X317" s="50" t="str">
        <f>IF(W317="","",SUMIF($B$4:$B$1002,B317,$W$4:$W$1000))</f>
        <v/>
      </c>
      <c r="Y317" s="43" t="str">
        <f t="shared" si="70"/>
        <v/>
      </c>
      <c r="Z317" s="49" t="str">
        <f t="shared" si="71"/>
        <v/>
      </c>
      <c r="AA317" s="48" t="str">
        <f t="shared" si="72"/>
        <v/>
      </c>
      <c r="AB317" s="49" t="str">
        <f t="shared" si="73"/>
        <v/>
      </c>
      <c r="AC317" s="50" t="str">
        <f>IF(AB317="","",SUMIF($B$4:$B$1002,B317,$AB$4:$AB$1000))</f>
        <v/>
      </c>
      <c r="AD317" s="69"/>
      <c r="AE317" s="56"/>
      <c r="AF317" s="52"/>
      <c r="AG317" s="51"/>
      <c r="AH317" s="70"/>
      <c r="AI317" s="58"/>
      <c r="AJ317" s="55"/>
      <c r="AK317" s="51"/>
      <c r="AL317" s="69"/>
      <c r="AM317" s="56"/>
      <c r="AN317" s="52"/>
      <c r="AO317" s="51"/>
      <c r="AP317" s="70"/>
      <c r="AQ317" s="58"/>
      <c r="AR317" s="55"/>
      <c r="AS317" s="51"/>
      <c r="AT317" s="69"/>
      <c r="AU317" s="56"/>
      <c r="AV317" s="52"/>
      <c r="AW317" s="51"/>
      <c r="BR317" s="34" t="str">
        <f>IF(E317="","",CONCATENATE(E317," ",F317," noches"))</f>
        <v/>
      </c>
      <c r="BS317" s="28" t="str">
        <f t="shared" ca="1" si="74"/>
        <v/>
      </c>
      <c r="BT317" s="28" t="str">
        <f t="shared" ca="1" si="75"/>
        <v/>
      </c>
    </row>
    <row r="318" spans="1:72" x14ac:dyDescent="0.2">
      <c r="A318" s="18" t="str" cm="1">
        <f t="array" aca="1" ref="A318" ca="1">IF(B318="","","Grupo N˚"&amp;SUMPRODUCT(($B$4:B318&lt;&gt;"")*($B$4:B318&lt;&gt;OFFSET($B$4,-1,0,ROWS($B$4:B318),1))))</f>
        <v/>
      </c>
      <c r="B318" s="31"/>
      <c r="C318" s="31"/>
      <c r="D318" s="31"/>
      <c r="E318" s="31"/>
      <c r="F318" s="32"/>
      <c r="G318" s="33"/>
      <c r="H318" s="33"/>
      <c r="I318" s="20" t="str">
        <f t="shared" si="64"/>
        <v/>
      </c>
      <c r="J318" s="21" t="str">
        <f>IFERROR(VLOOKUP(BR318,Pricing!$D$3:$E$58,2,FALSE),"")</f>
        <v/>
      </c>
      <c r="K318" s="32"/>
      <c r="L318" s="32"/>
      <c r="M318" s="32"/>
      <c r="N318" s="36" t="str" cm="1">
        <f t="array" ref="N318">IFERROR(_xlfn.IFS((AND(K318="SI",M318="$")),J318*0.2,AND(K318="SI",M318="%"),20),"")</f>
        <v/>
      </c>
      <c r="O318" s="29" t="str">
        <f t="shared" si="65"/>
        <v/>
      </c>
      <c r="P318" s="21" t="str">
        <f t="shared" si="66"/>
        <v/>
      </c>
      <c r="Q318" s="21" t="str">
        <f t="shared" si="67"/>
        <v/>
      </c>
      <c r="R318" s="21" t="str">
        <f t="shared" si="68"/>
        <v/>
      </c>
      <c r="S318" s="39"/>
      <c r="T318" s="43" t="str">
        <f t="shared" si="76"/>
        <v/>
      </c>
      <c r="U318" s="49" t="str">
        <f t="shared" si="77"/>
        <v/>
      </c>
      <c r="V318" s="48" t="str">
        <f t="shared" si="78"/>
        <v/>
      </c>
      <c r="W318" s="48" t="str">
        <f t="shared" si="69"/>
        <v/>
      </c>
      <c r="X318" s="50" t="str">
        <f>IF(W318="","",SUMIF($B$4:$B$1002,B318,$W$4:$W$1000))</f>
        <v/>
      </c>
      <c r="Y318" s="43" t="str">
        <f t="shared" si="70"/>
        <v/>
      </c>
      <c r="Z318" s="49" t="str">
        <f t="shared" si="71"/>
        <v/>
      </c>
      <c r="AA318" s="48" t="str">
        <f t="shared" si="72"/>
        <v/>
      </c>
      <c r="AB318" s="49" t="str">
        <f t="shared" si="73"/>
        <v/>
      </c>
      <c r="AC318" s="50" t="str">
        <f>IF(AB318="","",SUMIF($B$4:$B$1002,B318,$AB$4:$AB$1000))</f>
        <v/>
      </c>
      <c r="AD318" s="69"/>
      <c r="AE318" s="56"/>
      <c r="AF318" s="52"/>
      <c r="AG318" s="51"/>
      <c r="AH318" s="70"/>
      <c r="AI318" s="58"/>
      <c r="AJ318" s="55"/>
      <c r="AK318" s="51"/>
      <c r="AL318" s="69"/>
      <c r="AM318" s="56"/>
      <c r="AN318" s="52"/>
      <c r="AO318" s="51"/>
      <c r="AP318" s="70"/>
      <c r="AQ318" s="58"/>
      <c r="AR318" s="55"/>
      <c r="AS318" s="51"/>
      <c r="AT318" s="69"/>
      <c r="AU318" s="56"/>
      <c r="AV318" s="52"/>
      <c r="AW318" s="51"/>
      <c r="BR318" s="34" t="str">
        <f>IF(E318="","",CONCATENATE(E318," ",F318," noches"))</f>
        <v/>
      </c>
      <c r="BS318" s="28" t="str">
        <f t="shared" ca="1" si="74"/>
        <v/>
      </c>
      <c r="BT318" s="28" t="str">
        <f t="shared" ca="1" si="75"/>
        <v/>
      </c>
    </row>
    <row r="319" spans="1:72" x14ac:dyDescent="0.2">
      <c r="A319" s="18" t="str" cm="1">
        <f t="array" aca="1" ref="A319" ca="1">IF(B319="","","Grupo N˚"&amp;SUMPRODUCT(($B$4:B319&lt;&gt;"")*($B$4:B319&lt;&gt;OFFSET($B$4,-1,0,ROWS($B$4:B319),1))))</f>
        <v/>
      </c>
      <c r="B319" s="31"/>
      <c r="C319" s="31"/>
      <c r="D319" s="31"/>
      <c r="E319" s="31"/>
      <c r="F319" s="32"/>
      <c r="G319" s="33"/>
      <c r="H319" s="33"/>
      <c r="I319" s="20" t="str">
        <f t="shared" si="64"/>
        <v/>
      </c>
      <c r="J319" s="21" t="str">
        <f>IFERROR(VLOOKUP(BR319,Pricing!$D$3:$E$58,2,FALSE),"")</f>
        <v/>
      </c>
      <c r="K319" s="32"/>
      <c r="L319" s="32"/>
      <c r="M319" s="32"/>
      <c r="N319" s="36" t="str" cm="1">
        <f t="array" ref="N319">IFERROR(_xlfn.IFS((AND(K319="SI",M319="$")),J319*0.2,AND(K319="SI",M319="%"),20),"")</f>
        <v/>
      </c>
      <c r="O319" s="29" t="str">
        <f t="shared" si="65"/>
        <v/>
      </c>
      <c r="P319" s="21" t="str">
        <f t="shared" si="66"/>
        <v/>
      </c>
      <c r="Q319" s="21" t="str">
        <f t="shared" si="67"/>
        <v/>
      </c>
      <c r="R319" s="21" t="str">
        <f t="shared" si="68"/>
        <v/>
      </c>
      <c r="S319" s="39"/>
      <c r="T319" s="43" t="str">
        <f t="shared" si="76"/>
        <v/>
      </c>
      <c r="U319" s="49" t="str">
        <f t="shared" si="77"/>
        <v/>
      </c>
      <c r="V319" s="48" t="str">
        <f t="shared" si="78"/>
        <v/>
      </c>
      <c r="W319" s="48" t="str">
        <f t="shared" si="69"/>
        <v/>
      </c>
      <c r="X319" s="50" t="str">
        <f>IF(W319="","",SUMIF($B$4:$B$1002,B319,$W$4:$W$1000))</f>
        <v/>
      </c>
      <c r="Y319" s="43" t="str">
        <f t="shared" si="70"/>
        <v/>
      </c>
      <c r="Z319" s="49" t="str">
        <f t="shared" si="71"/>
        <v/>
      </c>
      <c r="AA319" s="48" t="str">
        <f t="shared" si="72"/>
        <v/>
      </c>
      <c r="AB319" s="49" t="str">
        <f t="shared" si="73"/>
        <v/>
      </c>
      <c r="AC319" s="50" t="str">
        <f>IF(AB319="","",SUMIF($B$4:$B$1002,B319,$AB$4:$AB$1000))</f>
        <v/>
      </c>
      <c r="AD319" s="69"/>
      <c r="AE319" s="56"/>
      <c r="AF319" s="52"/>
      <c r="AG319" s="51"/>
      <c r="AH319" s="70"/>
      <c r="AI319" s="58"/>
      <c r="AJ319" s="55"/>
      <c r="AK319" s="51"/>
      <c r="AL319" s="69"/>
      <c r="AM319" s="56"/>
      <c r="AN319" s="52"/>
      <c r="AO319" s="51"/>
      <c r="AP319" s="70"/>
      <c r="AQ319" s="58"/>
      <c r="AR319" s="55"/>
      <c r="AS319" s="51"/>
      <c r="AT319" s="69"/>
      <c r="AU319" s="56"/>
      <c r="AV319" s="52"/>
      <c r="AW319" s="51"/>
      <c r="BR319" s="34" t="str">
        <f>IF(E319="","",CONCATENATE(E319," ",F319," noches"))</f>
        <v/>
      </c>
      <c r="BS319" s="28" t="str">
        <f t="shared" ca="1" si="74"/>
        <v/>
      </c>
      <c r="BT319" s="28" t="str">
        <f t="shared" ca="1" si="75"/>
        <v/>
      </c>
    </row>
    <row r="320" spans="1:72" x14ac:dyDescent="0.2">
      <c r="A320" s="18" t="str" cm="1">
        <f t="array" aca="1" ref="A320" ca="1">IF(B320="","","Grupo N˚"&amp;SUMPRODUCT(($B$4:B320&lt;&gt;"")*($B$4:B320&lt;&gt;OFFSET($B$4,-1,0,ROWS($B$4:B320),1))))</f>
        <v/>
      </c>
      <c r="B320" s="31"/>
      <c r="C320" s="31"/>
      <c r="D320" s="31"/>
      <c r="E320" s="31"/>
      <c r="F320" s="32"/>
      <c r="G320" s="33"/>
      <c r="H320" s="33"/>
      <c r="I320" s="20" t="str">
        <f t="shared" si="64"/>
        <v/>
      </c>
      <c r="J320" s="21" t="str">
        <f>IFERROR(VLOOKUP(BR320,Pricing!$D$3:$E$58,2,FALSE),"")</f>
        <v/>
      </c>
      <c r="K320" s="32"/>
      <c r="L320" s="32"/>
      <c r="M320" s="32"/>
      <c r="N320" s="36" t="str" cm="1">
        <f t="array" ref="N320">IFERROR(_xlfn.IFS((AND(K320="SI",M320="$")),J320*0.2,AND(K320="SI",M320="%"),20),"")</f>
        <v/>
      </c>
      <c r="O320" s="29" t="str">
        <f t="shared" si="65"/>
        <v/>
      </c>
      <c r="P320" s="21" t="str">
        <f t="shared" si="66"/>
        <v/>
      </c>
      <c r="Q320" s="21" t="str">
        <f t="shared" si="67"/>
        <v/>
      </c>
      <c r="R320" s="21" t="str">
        <f t="shared" si="68"/>
        <v/>
      </c>
      <c r="S320" s="39"/>
      <c r="T320" s="43" t="str">
        <f t="shared" si="76"/>
        <v/>
      </c>
      <c r="U320" s="49" t="str">
        <f t="shared" si="77"/>
        <v/>
      </c>
      <c r="V320" s="48" t="str">
        <f t="shared" si="78"/>
        <v/>
      </c>
      <c r="W320" s="48" t="str">
        <f t="shared" si="69"/>
        <v/>
      </c>
      <c r="X320" s="50" t="str">
        <f>IF(W320="","",SUMIF($B$4:$B$1002,B320,$W$4:$W$1000))</f>
        <v/>
      </c>
      <c r="Y320" s="43" t="str">
        <f t="shared" si="70"/>
        <v/>
      </c>
      <c r="Z320" s="49" t="str">
        <f t="shared" si="71"/>
        <v/>
      </c>
      <c r="AA320" s="48" t="str">
        <f t="shared" si="72"/>
        <v/>
      </c>
      <c r="AB320" s="49" t="str">
        <f t="shared" si="73"/>
        <v/>
      </c>
      <c r="AC320" s="50" t="str">
        <f>IF(AB320="","",SUMIF($B$4:$B$1002,B320,$AB$4:$AB$1000))</f>
        <v/>
      </c>
      <c r="AD320" s="69"/>
      <c r="AE320" s="56"/>
      <c r="AF320" s="52"/>
      <c r="AG320" s="51"/>
      <c r="AH320" s="70"/>
      <c r="AI320" s="58"/>
      <c r="AJ320" s="55"/>
      <c r="AK320" s="51"/>
      <c r="AL320" s="69"/>
      <c r="AM320" s="56"/>
      <c r="AN320" s="52"/>
      <c r="AO320" s="51"/>
      <c r="AP320" s="70"/>
      <c r="AQ320" s="58"/>
      <c r="AR320" s="55"/>
      <c r="AS320" s="51"/>
      <c r="AT320" s="69"/>
      <c r="AU320" s="56"/>
      <c r="AV320" s="52"/>
      <c r="AW320" s="51"/>
      <c r="BR320" s="34" t="str">
        <f>IF(E320="","",CONCATENATE(E320," ",F320," noches"))</f>
        <v/>
      </c>
      <c r="BS320" s="28" t="str">
        <f t="shared" ca="1" si="74"/>
        <v/>
      </c>
      <c r="BT320" s="28" t="str">
        <f t="shared" ca="1" si="75"/>
        <v/>
      </c>
    </row>
    <row r="321" spans="1:72" x14ac:dyDescent="0.2">
      <c r="A321" s="18" t="str" cm="1">
        <f t="array" aca="1" ref="A321" ca="1">IF(B321="","","Grupo N˚"&amp;SUMPRODUCT(($B$4:B321&lt;&gt;"")*($B$4:B321&lt;&gt;OFFSET($B$4,-1,0,ROWS($B$4:B321),1))))</f>
        <v/>
      </c>
      <c r="B321" s="31"/>
      <c r="C321" s="31"/>
      <c r="D321" s="31"/>
      <c r="E321" s="31"/>
      <c r="F321" s="32"/>
      <c r="G321" s="33"/>
      <c r="H321" s="33"/>
      <c r="I321" s="20" t="str">
        <f t="shared" si="64"/>
        <v/>
      </c>
      <c r="J321" s="21" t="str">
        <f>IFERROR(VLOOKUP(BR321,Pricing!$D$3:$E$58,2,FALSE),"")</f>
        <v/>
      </c>
      <c r="K321" s="32"/>
      <c r="L321" s="32"/>
      <c r="M321" s="32"/>
      <c r="N321" s="36" t="str" cm="1">
        <f t="array" ref="N321">IFERROR(_xlfn.IFS((AND(K321="SI",M321="$")),J321*0.2,AND(K321="SI",M321="%"),20),"")</f>
        <v/>
      </c>
      <c r="O321" s="29" t="str">
        <f t="shared" si="65"/>
        <v/>
      </c>
      <c r="P321" s="21" t="str">
        <f t="shared" si="66"/>
        <v/>
      </c>
      <c r="Q321" s="21" t="str">
        <f t="shared" si="67"/>
        <v/>
      </c>
      <c r="R321" s="21" t="str">
        <f t="shared" si="68"/>
        <v/>
      </c>
      <c r="S321" s="39"/>
      <c r="T321" s="43" t="str">
        <f t="shared" si="76"/>
        <v/>
      </c>
      <c r="U321" s="49" t="str">
        <f t="shared" si="77"/>
        <v/>
      </c>
      <c r="V321" s="48" t="str">
        <f t="shared" si="78"/>
        <v/>
      </c>
      <c r="W321" s="48" t="str">
        <f t="shared" si="69"/>
        <v/>
      </c>
      <c r="X321" s="50" t="str">
        <f>IF(W321="","",SUMIF($B$4:$B$1002,B321,$W$4:$W$1000))</f>
        <v/>
      </c>
      <c r="Y321" s="43" t="str">
        <f t="shared" si="70"/>
        <v/>
      </c>
      <c r="Z321" s="49" t="str">
        <f t="shared" si="71"/>
        <v/>
      </c>
      <c r="AA321" s="48" t="str">
        <f t="shared" si="72"/>
        <v/>
      </c>
      <c r="AB321" s="49" t="str">
        <f t="shared" si="73"/>
        <v/>
      </c>
      <c r="AC321" s="50" t="str">
        <f>IF(AB321="","",SUMIF($B$4:$B$1002,B321,$AB$4:$AB$1000))</f>
        <v/>
      </c>
      <c r="AD321" s="69"/>
      <c r="AE321" s="56"/>
      <c r="AF321" s="52"/>
      <c r="AG321" s="51"/>
      <c r="AH321" s="70"/>
      <c r="AI321" s="58"/>
      <c r="AJ321" s="55"/>
      <c r="AK321" s="51"/>
      <c r="AL321" s="69"/>
      <c r="AM321" s="56"/>
      <c r="AN321" s="52"/>
      <c r="AO321" s="51"/>
      <c r="AP321" s="70"/>
      <c r="AQ321" s="58"/>
      <c r="AR321" s="55"/>
      <c r="AS321" s="51"/>
      <c r="AT321" s="69"/>
      <c r="AU321" s="56"/>
      <c r="AV321" s="52"/>
      <c r="AW321" s="51"/>
      <c r="BR321" s="34" t="str">
        <f>IF(E321="","",CONCATENATE(E321," ",F321," noches"))</f>
        <v/>
      </c>
      <c r="BS321" s="28" t="str">
        <f t="shared" ca="1" si="74"/>
        <v/>
      </c>
      <c r="BT321" s="28" t="str">
        <f t="shared" ca="1" si="75"/>
        <v/>
      </c>
    </row>
    <row r="322" spans="1:72" x14ac:dyDescent="0.2">
      <c r="A322" s="18" t="str" cm="1">
        <f t="array" aca="1" ref="A322" ca="1">IF(B322="","","Grupo N˚"&amp;SUMPRODUCT(($B$4:B322&lt;&gt;"")*($B$4:B322&lt;&gt;OFFSET($B$4,-1,0,ROWS($B$4:B322),1))))</f>
        <v/>
      </c>
      <c r="B322" s="31"/>
      <c r="C322" s="31"/>
      <c r="D322" s="31"/>
      <c r="E322" s="31"/>
      <c r="F322" s="32"/>
      <c r="G322" s="33"/>
      <c r="H322" s="33"/>
      <c r="I322" s="20" t="str">
        <f t="shared" si="64"/>
        <v/>
      </c>
      <c r="J322" s="21" t="str">
        <f>IFERROR(VLOOKUP(BR322,Pricing!$D$3:$E$58,2,FALSE),"")</f>
        <v/>
      </c>
      <c r="K322" s="32"/>
      <c r="L322" s="32"/>
      <c r="M322" s="32"/>
      <c r="N322" s="36" t="str" cm="1">
        <f t="array" ref="N322">IFERROR(_xlfn.IFS((AND(K322="SI",M322="$")),J322*0.2,AND(K322="SI",M322="%"),20),"")</f>
        <v/>
      </c>
      <c r="O322" s="29" t="str">
        <f t="shared" si="65"/>
        <v/>
      </c>
      <c r="P322" s="21" t="str">
        <f t="shared" si="66"/>
        <v/>
      </c>
      <c r="Q322" s="21" t="str">
        <f t="shared" si="67"/>
        <v/>
      </c>
      <c r="R322" s="21" t="str">
        <f t="shared" si="68"/>
        <v/>
      </c>
      <c r="S322" s="39"/>
      <c r="T322" s="43" t="str">
        <f t="shared" si="76"/>
        <v/>
      </c>
      <c r="U322" s="49" t="str">
        <f t="shared" si="77"/>
        <v/>
      </c>
      <c r="V322" s="48" t="str">
        <f t="shared" si="78"/>
        <v/>
      </c>
      <c r="W322" s="48" t="str">
        <f t="shared" si="69"/>
        <v/>
      </c>
      <c r="X322" s="50" t="str">
        <f>IF(W322="","",SUMIF($B$4:$B$1002,B322,$W$4:$W$1000))</f>
        <v/>
      </c>
      <c r="Y322" s="43" t="str">
        <f t="shared" si="70"/>
        <v/>
      </c>
      <c r="Z322" s="49" t="str">
        <f t="shared" si="71"/>
        <v/>
      </c>
      <c r="AA322" s="48" t="str">
        <f t="shared" si="72"/>
        <v/>
      </c>
      <c r="AB322" s="49" t="str">
        <f t="shared" si="73"/>
        <v/>
      </c>
      <c r="AC322" s="50" t="str">
        <f>IF(AB322="","",SUMIF($B$4:$B$1002,B322,$AB$4:$AB$1000))</f>
        <v/>
      </c>
      <c r="AD322" s="69"/>
      <c r="AE322" s="56"/>
      <c r="AF322" s="52"/>
      <c r="AG322" s="51"/>
      <c r="AH322" s="70"/>
      <c r="AI322" s="58"/>
      <c r="AJ322" s="55"/>
      <c r="AK322" s="51"/>
      <c r="AL322" s="69"/>
      <c r="AM322" s="56"/>
      <c r="AN322" s="52"/>
      <c r="AO322" s="51"/>
      <c r="AP322" s="70"/>
      <c r="AQ322" s="58"/>
      <c r="AR322" s="55"/>
      <c r="AS322" s="51"/>
      <c r="AT322" s="69"/>
      <c r="AU322" s="56"/>
      <c r="AV322" s="52"/>
      <c r="AW322" s="51"/>
      <c r="BR322" s="34" t="str">
        <f>IF(E322="","",CONCATENATE(E322," ",F322," noches"))</f>
        <v/>
      </c>
      <c r="BS322" s="28" t="str">
        <f t="shared" ca="1" si="74"/>
        <v/>
      </c>
      <c r="BT322" s="28" t="str">
        <f t="shared" ca="1" si="75"/>
        <v/>
      </c>
    </row>
    <row r="323" spans="1:72" x14ac:dyDescent="0.2">
      <c r="A323" s="18" t="str" cm="1">
        <f t="array" aca="1" ref="A323" ca="1">IF(B323="","","Grupo N˚"&amp;SUMPRODUCT(($B$4:B323&lt;&gt;"")*($B$4:B323&lt;&gt;OFFSET($B$4,-1,0,ROWS($B$4:B323),1))))</f>
        <v/>
      </c>
      <c r="B323" s="31"/>
      <c r="C323" s="31"/>
      <c r="D323" s="31"/>
      <c r="E323" s="31"/>
      <c r="F323" s="32"/>
      <c r="G323" s="33"/>
      <c r="H323" s="33"/>
      <c r="I323" s="20" t="str">
        <f t="shared" si="64"/>
        <v/>
      </c>
      <c r="J323" s="21" t="str">
        <f>IFERROR(VLOOKUP(BR323,Pricing!$D$3:$E$58,2,FALSE),"")</f>
        <v/>
      </c>
      <c r="K323" s="32"/>
      <c r="L323" s="32"/>
      <c r="M323" s="32"/>
      <c r="N323" s="36" t="str" cm="1">
        <f t="array" ref="N323">IFERROR(_xlfn.IFS((AND(K323="SI",M323="$")),J323*0.2,AND(K323="SI",M323="%"),20),"")</f>
        <v/>
      </c>
      <c r="O323" s="29" t="str">
        <f t="shared" si="65"/>
        <v/>
      </c>
      <c r="P323" s="21" t="str">
        <f t="shared" si="66"/>
        <v/>
      </c>
      <c r="Q323" s="21" t="str">
        <f t="shared" si="67"/>
        <v/>
      </c>
      <c r="R323" s="21" t="str">
        <f t="shared" si="68"/>
        <v/>
      </c>
      <c r="S323" s="39"/>
      <c r="T323" s="43" t="str">
        <f t="shared" si="76"/>
        <v/>
      </c>
      <c r="U323" s="49" t="str">
        <f t="shared" si="77"/>
        <v/>
      </c>
      <c r="V323" s="48" t="str">
        <f t="shared" si="78"/>
        <v/>
      </c>
      <c r="W323" s="48" t="str">
        <f t="shared" si="69"/>
        <v/>
      </c>
      <c r="X323" s="50" t="str">
        <f>IF(W323="","",SUMIF($B$4:$B$1002,B323,$W$4:$W$1000))</f>
        <v/>
      </c>
      <c r="Y323" s="43" t="str">
        <f t="shared" si="70"/>
        <v/>
      </c>
      <c r="Z323" s="49" t="str">
        <f t="shared" si="71"/>
        <v/>
      </c>
      <c r="AA323" s="48" t="str">
        <f t="shared" si="72"/>
        <v/>
      </c>
      <c r="AB323" s="49" t="str">
        <f t="shared" si="73"/>
        <v/>
      </c>
      <c r="AC323" s="50" t="str">
        <f>IF(AB323="","",SUMIF($B$4:$B$1002,B323,$AB$4:$AB$1000))</f>
        <v/>
      </c>
      <c r="AD323" s="69"/>
      <c r="AE323" s="56"/>
      <c r="AF323" s="52"/>
      <c r="AG323" s="51"/>
      <c r="AH323" s="70"/>
      <c r="AI323" s="58"/>
      <c r="AJ323" s="55"/>
      <c r="AK323" s="51"/>
      <c r="AL323" s="69"/>
      <c r="AM323" s="56"/>
      <c r="AN323" s="52"/>
      <c r="AO323" s="51"/>
      <c r="AP323" s="70"/>
      <c r="AQ323" s="58"/>
      <c r="AR323" s="55"/>
      <c r="AS323" s="51"/>
      <c r="AT323" s="69"/>
      <c r="AU323" s="56"/>
      <c r="AV323" s="52"/>
      <c r="AW323" s="51"/>
      <c r="BR323" s="34" t="str">
        <f>IF(E323="","",CONCATENATE(E323," ",F323," noches"))</f>
        <v/>
      </c>
      <c r="BS323" s="28" t="str">
        <f t="shared" ca="1" si="74"/>
        <v/>
      </c>
      <c r="BT323" s="28" t="str">
        <f t="shared" ca="1" si="75"/>
        <v/>
      </c>
    </row>
    <row r="324" spans="1:72" x14ac:dyDescent="0.2">
      <c r="A324" s="18" t="str" cm="1">
        <f t="array" aca="1" ref="A324" ca="1">IF(B324="","","Grupo N˚"&amp;SUMPRODUCT(($B$4:B324&lt;&gt;"")*($B$4:B324&lt;&gt;OFFSET($B$4,-1,0,ROWS($B$4:B324),1))))</f>
        <v/>
      </c>
      <c r="B324" s="31"/>
      <c r="C324" s="31"/>
      <c r="D324" s="31"/>
      <c r="E324" s="31"/>
      <c r="F324" s="32"/>
      <c r="G324" s="33"/>
      <c r="H324" s="33"/>
      <c r="I324" s="20" t="str">
        <f t="shared" si="64"/>
        <v/>
      </c>
      <c r="J324" s="21" t="str">
        <f>IFERROR(VLOOKUP(BR324,Pricing!$D$3:$E$58,2,FALSE),"")</f>
        <v/>
      </c>
      <c r="K324" s="32"/>
      <c r="L324" s="32"/>
      <c r="M324" s="32"/>
      <c r="N324" s="36" t="str" cm="1">
        <f t="array" ref="N324">IFERROR(_xlfn.IFS((AND(K324="SI",M324="$")),J324*0.2,AND(K324="SI",M324="%"),20),"")</f>
        <v/>
      </c>
      <c r="O324" s="29" t="str">
        <f t="shared" si="65"/>
        <v/>
      </c>
      <c r="P324" s="21" t="str">
        <f t="shared" si="66"/>
        <v/>
      </c>
      <c r="Q324" s="21" t="str">
        <f t="shared" si="67"/>
        <v/>
      </c>
      <c r="R324" s="21" t="str">
        <f t="shared" si="68"/>
        <v/>
      </c>
      <c r="S324" s="39"/>
      <c r="T324" s="43" t="str">
        <f t="shared" si="76"/>
        <v/>
      </c>
      <c r="U324" s="49" t="str">
        <f t="shared" si="77"/>
        <v/>
      </c>
      <c r="V324" s="48" t="str">
        <f t="shared" si="78"/>
        <v/>
      </c>
      <c r="W324" s="48" t="str">
        <f t="shared" si="69"/>
        <v/>
      </c>
      <c r="X324" s="50" t="str">
        <f>IF(W324="","",SUMIF($B$4:$B$1002,B324,$W$4:$W$1000))</f>
        <v/>
      </c>
      <c r="Y324" s="43" t="str">
        <f t="shared" si="70"/>
        <v/>
      </c>
      <c r="Z324" s="49" t="str">
        <f t="shared" si="71"/>
        <v/>
      </c>
      <c r="AA324" s="48" t="str">
        <f t="shared" si="72"/>
        <v/>
      </c>
      <c r="AB324" s="49" t="str">
        <f t="shared" si="73"/>
        <v/>
      </c>
      <c r="AC324" s="50" t="str">
        <f>IF(AB324="","",SUMIF($B$4:$B$1002,B324,$AB$4:$AB$1000))</f>
        <v/>
      </c>
      <c r="AD324" s="69"/>
      <c r="AE324" s="56"/>
      <c r="AF324" s="52"/>
      <c r="AG324" s="51"/>
      <c r="AH324" s="70"/>
      <c r="AI324" s="58"/>
      <c r="AJ324" s="55"/>
      <c r="AK324" s="51"/>
      <c r="AL324" s="69"/>
      <c r="AM324" s="56"/>
      <c r="AN324" s="52"/>
      <c r="AO324" s="51"/>
      <c r="AP324" s="70"/>
      <c r="AQ324" s="58"/>
      <c r="AR324" s="55"/>
      <c r="AS324" s="51"/>
      <c r="AT324" s="69"/>
      <c r="AU324" s="56"/>
      <c r="AV324" s="52"/>
      <c r="AW324" s="51"/>
      <c r="BR324" s="34" t="str">
        <f>IF(E324="","",CONCATENATE(E324," ",F324," noches"))</f>
        <v/>
      </c>
      <c r="BS324" s="28" t="str">
        <f t="shared" ca="1" si="74"/>
        <v/>
      </c>
      <c r="BT324" s="28" t="str">
        <f t="shared" ca="1" si="75"/>
        <v/>
      </c>
    </row>
    <row r="325" spans="1:72" x14ac:dyDescent="0.2">
      <c r="A325" s="18" t="str" cm="1">
        <f t="array" aca="1" ref="A325" ca="1">IF(B325="","","Grupo N˚"&amp;SUMPRODUCT(($B$4:B325&lt;&gt;"")*($B$4:B325&lt;&gt;OFFSET($B$4,-1,0,ROWS($B$4:B325),1))))</f>
        <v/>
      </c>
      <c r="B325" s="31"/>
      <c r="C325" s="31"/>
      <c r="D325" s="31"/>
      <c r="E325" s="31"/>
      <c r="F325" s="32"/>
      <c r="G325" s="33"/>
      <c r="H325" s="33"/>
      <c r="I325" s="20" t="str">
        <f t="shared" ref="I325:I388" si="79">+IF(H325="","",G325+H325)</f>
        <v/>
      </c>
      <c r="J325" s="21" t="str">
        <f>IFERROR(VLOOKUP(BR325,Pricing!$D$3:$E$58,2,FALSE),"")</f>
        <v/>
      </c>
      <c r="K325" s="32"/>
      <c r="L325" s="32"/>
      <c r="M325" s="32"/>
      <c r="N325" s="36" t="str" cm="1">
        <f t="array" ref="N325">IFERROR(_xlfn.IFS((AND(K325="SI",M325="$")),J325*0.2,AND(K325="SI",M325="%"),20),"")</f>
        <v/>
      </c>
      <c r="O325" s="29" t="str">
        <f t="shared" ref="O325:O388" si="80">IFERROR(IF($M325="%",
             IF(N(N325)&gt;1, N(N325)/100, N(N325)),
             IF(AND($J325&gt;0,$M325="$"), N(N325)/$J325, "")
            ),"")</f>
        <v/>
      </c>
      <c r="P325" s="21" t="str">
        <f t="shared" ref="P325:P388" si="81">IFERROR(IF(M325="$", N(N325), IF(M325="%", J325*N(N325/100), "")), "")</f>
        <v/>
      </c>
      <c r="Q325" s="21" t="str">
        <f t="shared" ref="Q325:Q388" si="82">IF(J325="","",J325*(1-N(O325)))</f>
        <v/>
      </c>
      <c r="R325" s="21" t="str">
        <f t="shared" ref="R325:R388" si="83">IF(Q325="","",Q325/1.19)</f>
        <v/>
      </c>
      <c r="S325" s="39"/>
      <c r="T325" s="43" t="str">
        <f t="shared" si="76"/>
        <v/>
      </c>
      <c r="U325" s="49" t="str">
        <f t="shared" si="77"/>
        <v/>
      </c>
      <c r="V325" s="48" t="str">
        <f t="shared" si="78"/>
        <v/>
      </c>
      <c r="W325" s="48" t="str">
        <f t="shared" ref="W325:W388" si="84">IFERROR(U325-N(V325),"")</f>
        <v/>
      </c>
      <c r="X325" s="50" t="str">
        <f>IF(W325="","",SUMIF($B$4:$B$1002,B325,$W$4:$W$1000))</f>
        <v/>
      </c>
      <c r="Y325" s="43" t="str">
        <f t="shared" ref="Y325:Y388" si="85">IF(AB325="","",IFERROR(
 IF(AND(ABS(N(AB325))&lt;0.5, BT325&gt;=23), "Sin deuda",
  IF(AND(N(AB325)&gt;0, BT325&gt;=23), "Con deuda",
   IF(AND(N(AB325)&gt;0, BT325&lt;23), "Moroso", "")
  )
),""))</f>
        <v/>
      </c>
      <c r="Z325" s="49" t="str">
        <f t="shared" ref="Z325:Z388" si="86">IF(R325="","",R325/2)</f>
        <v/>
      </c>
      <c r="AA325" s="48" t="str">
        <f t="shared" ref="AA325:AA388" si="87">IF(AD325="","",SUM(
 IF(ISNUMBER(SEARCH("saldo",AD325)),AF325,0),
 IF(ISNUMBER(SEARCH("saldo",AH325)),AJ325,0),
 IF(ISNUMBER(SEARCH("saldo",AL325)),AN325,0),
 IF(ISNUMBER(SEARCH("saldo",AP325)),AR325,0),
 IF(ISNUMBER(SEARCH("saldo",AT325)),AV325,0)
))</f>
        <v/>
      </c>
      <c r="AB325" s="49" t="str">
        <f t="shared" ref="AB325:AB388" si="88">IFERROR(Z325-N(AA325),"")</f>
        <v/>
      </c>
      <c r="AC325" s="50" t="str">
        <f>IF(AB325="","",SUMIF($B$4:$B$1002,B325,$AB$4:$AB$1000))</f>
        <v/>
      </c>
      <c r="AD325" s="69"/>
      <c r="AE325" s="56"/>
      <c r="AF325" s="52"/>
      <c r="AG325" s="51"/>
      <c r="AH325" s="70"/>
      <c r="AI325" s="58"/>
      <c r="AJ325" s="55"/>
      <c r="AK325" s="51"/>
      <c r="AL325" s="69"/>
      <c r="AM325" s="56"/>
      <c r="AN325" s="52"/>
      <c r="AO325" s="51"/>
      <c r="AP325" s="70"/>
      <c r="AQ325" s="58"/>
      <c r="AR325" s="55"/>
      <c r="AS325" s="51"/>
      <c r="AT325" s="69"/>
      <c r="AU325" s="56"/>
      <c r="AV325" s="52"/>
      <c r="AW325" s="51"/>
      <c r="BR325" s="34" t="str">
        <f>IF(E325="","",CONCATENATE(E325," ",F325," noches"))</f>
        <v/>
      </c>
      <c r="BS325" s="28" t="str">
        <f t="shared" ref="BS325:BS388" ca="1" si="89">IF(G325="","",+TODAY()-G325)</f>
        <v/>
      </c>
      <c r="BT325" s="28" t="str">
        <f t="shared" ref="BT325:BT388" ca="1" si="90">IF(H325="","",H325-TODAY())</f>
        <v/>
      </c>
    </row>
    <row r="326" spans="1:72" x14ac:dyDescent="0.2">
      <c r="A326" s="18" t="str" cm="1">
        <f t="array" aca="1" ref="A326" ca="1">IF(B326="","","Grupo N˚"&amp;SUMPRODUCT(($B$4:B326&lt;&gt;"")*($B$4:B326&lt;&gt;OFFSET($B$4,-1,0,ROWS($B$4:B326),1))))</f>
        <v/>
      </c>
      <c r="B326" s="31"/>
      <c r="C326" s="31"/>
      <c r="D326" s="31"/>
      <c r="E326" s="31"/>
      <c r="F326" s="32"/>
      <c r="G326" s="33"/>
      <c r="H326" s="33"/>
      <c r="I326" s="20" t="str">
        <f t="shared" si="79"/>
        <v/>
      </c>
      <c r="J326" s="21" t="str">
        <f>IFERROR(VLOOKUP(BR326,Pricing!$D$3:$E$58,2,FALSE),"")</f>
        <v/>
      </c>
      <c r="K326" s="32"/>
      <c r="L326" s="32"/>
      <c r="M326" s="32"/>
      <c r="N326" s="36" t="str" cm="1">
        <f t="array" ref="N326">IFERROR(_xlfn.IFS((AND(K326="SI",M326="$")),J326*0.2,AND(K326="SI",M326="%"),20),"")</f>
        <v/>
      </c>
      <c r="O326" s="29" t="str">
        <f t="shared" si="80"/>
        <v/>
      </c>
      <c r="P326" s="21" t="str">
        <f t="shared" si="81"/>
        <v/>
      </c>
      <c r="Q326" s="21" t="str">
        <f t="shared" si="82"/>
        <v/>
      </c>
      <c r="R326" s="21" t="str">
        <f t="shared" si="83"/>
        <v/>
      </c>
      <c r="S326" s="39"/>
      <c r="T326" s="43" t="str">
        <f t="shared" si="76"/>
        <v/>
      </c>
      <c r="U326" s="49" t="str">
        <f t="shared" si="77"/>
        <v/>
      </c>
      <c r="V326" s="48" t="str">
        <f t="shared" si="78"/>
        <v/>
      </c>
      <c r="W326" s="48" t="str">
        <f t="shared" si="84"/>
        <v/>
      </c>
      <c r="X326" s="50" t="str">
        <f>IF(W326="","",SUMIF($B$4:$B$1002,B326,$W$4:$W$1000))</f>
        <v/>
      </c>
      <c r="Y326" s="43" t="str">
        <f t="shared" si="85"/>
        <v/>
      </c>
      <c r="Z326" s="49" t="str">
        <f t="shared" si="86"/>
        <v/>
      </c>
      <c r="AA326" s="48" t="str">
        <f t="shared" si="87"/>
        <v/>
      </c>
      <c r="AB326" s="49" t="str">
        <f t="shared" si="88"/>
        <v/>
      </c>
      <c r="AC326" s="50" t="str">
        <f>IF(AB326="","",SUMIF($B$4:$B$1002,B326,$AB$4:$AB$1000))</f>
        <v/>
      </c>
      <c r="AD326" s="69"/>
      <c r="AE326" s="56"/>
      <c r="AF326" s="52"/>
      <c r="AG326" s="51"/>
      <c r="AH326" s="70"/>
      <c r="AI326" s="58"/>
      <c r="AJ326" s="55"/>
      <c r="AK326" s="51"/>
      <c r="AL326" s="69"/>
      <c r="AM326" s="56"/>
      <c r="AN326" s="52"/>
      <c r="AO326" s="51"/>
      <c r="AP326" s="70"/>
      <c r="AQ326" s="58"/>
      <c r="AR326" s="55"/>
      <c r="AS326" s="51"/>
      <c r="AT326" s="69"/>
      <c r="AU326" s="56"/>
      <c r="AV326" s="52"/>
      <c r="AW326" s="51"/>
      <c r="BR326" s="34" t="str">
        <f>IF(E326="","",CONCATENATE(E326," ",F326," noches"))</f>
        <v/>
      </c>
      <c r="BS326" s="28" t="str">
        <f t="shared" ca="1" si="89"/>
        <v/>
      </c>
      <c r="BT326" s="28" t="str">
        <f t="shared" ca="1" si="90"/>
        <v/>
      </c>
    </row>
    <row r="327" spans="1:72" x14ac:dyDescent="0.2">
      <c r="A327" s="18" t="str" cm="1">
        <f t="array" aca="1" ref="A327" ca="1">IF(B327="","","Grupo N˚"&amp;SUMPRODUCT(($B$4:B327&lt;&gt;"")*($B$4:B327&lt;&gt;OFFSET($B$4,-1,0,ROWS($B$4:B327),1))))</f>
        <v/>
      </c>
      <c r="B327" s="31"/>
      <c r="C327" s="31"/>
      <c r="D327" s="31"/>
      <c r="E327" s="31"/>
      <c r="F327" s="32"/>
      <c r="G327" s="33"/>
      <c r="H327" s="33"/>
      <c r="I327" s="20" t="str">
        <f t="shared" si="79"/>
        <v/>
      </c>
      <c r="J327" s="21" t="str">
        <f>IFERROR(VLOOKUP(BR327,Pricing!$D$3:$E$58,2,FALSE),"")</f>
        <v/>
      </c>
      <c r="K327" s="32"/>
      <c r="L327" s="32"/>
      <c r="M327" s="32"/>
      <c r="N327" s="36" t="str" cm="1">
        <f t="array" ref="N327">IFERROR(_xlfn.IFS((AND(K327="SI",M327="$")),J327*0.2,AND(K327="SI",M327="%"),20),"")</f>
        <v/>
      </c>
      <c r="O327" s="29" t="str">
        <f t="shared" si="80"/>
        <v/>
      </c>
      <c r="P327" s="21" t="str">
        <f t="shared" si="81"/>
        <v/>
      </c>
      <c r="Q327" s="21" t="str">
        <f t="shared" si="82"/>
        <v/>
      </c>
      <c r="R327" s="21" t="str">
        <f t="shared" si="83"/>
        <v/>
      </c>
      <c r="S327" s="39"/>
      <c r="T327" s="43" t="str">
        <f t="shared" si="76"/>
        <v/>
      </c>
      <c r="U327" s="49" t="str">
        <f t="shared" si="77"/>
        <v/>
      </c>
      <c r="V327" s="48" t="str">
        <f t="shared" si="78"/>
        <v/>
      </c>
      <c r="W327" s="48" t="str">
        <f t="shared" si="84"/>
        <v/>
      </c>
      <c r="X327" s="50" t="str">
        <f>IF(W327="","",SUMIF($B$4:$B$1002,B327,$W$4:$W$1000))</f>
        <v/>
      </c>
      <c r="Y327" s="43" t="str">
        <f t="shared" si="85"/>
        <v/>
      </c>
      <c r="Z327" s="49" t="str">
        <f t="shared" si="86"/>
        <v/>
      </c>
      <c r="AA327" s="48" t="str">
        <f t="shared" si="87"/>
        <v/>
      </c>
      <c r="AB327" s="49" t="str">
        <f t="shared" si="88"/>
        <v/>
      </c>
      <c r="AC327" s="50" t="str">
        <f>IF(AB327="","",SUMIF($B$4:$B$1002,B327,$AB$4:$AB$1000))</f>
        <v/>
      </c>
      <c r="AD327" s="69"/>
      <c r="AE327" s="56"/>
      <c r="AF327" s="52"/>
      <c r="AG327" s="51"/>
      <c r="AH327" s="70"/>
      <c r="AI327" s="58"/>
      <c r="AJ327" s="55"/>
      <c r="AK327" s="51"/>
      <c r="AL327" s="69"/>
      <c r="AM327" s="56"/>
      <c r="AN327" s="52"/>
      <c r="AO327" s="51"/>
      <c r="AP327" s="70"/>
      <c r="AQ327" s="58"/>
      <c r="AR327" s="55"/>
      <c r="AS327" s="51"/>
      <c r="AT327" s="69"/>
      <c r="AU327" s="56"/>
      <c r="AV327" s="52"/>
      <c r="AW327" s="51"/>
      <c r="BR327" s="34" t="str">
        <f>IF(E327="","",CONCATENATE(E327," ",F327," noches"))</f>
        <v/>
      </c>
      <c r="BS327" s="28" t="str">
        <f t="shared" ca="1" si="89"/>
        <v/>
      </c>
      <c r="BT327" s="28" t="str">
        <f t="shared" ca="1" si="90"/>
        <v/>
      </c>
    </row>
    <row r="328" spans="1:72" x14ac:dyDescent="0.2">
      <c r="A328" s="18" t="str" cm="1">
        <f t="array" aca="1" ref="A328" ca="1">IF(B328="","","Grupo N˚"&amp;SUMPRODUCT(($B$4:B328&lt;&gt;"")*($B$4:B328&lt;&gt;OFFSET($B$4,-1,0,ROWS($B$4:B328),1))))</f>
        <v/>
      </c>
      <c r="B328" s="31"/>
      <c r="C328" s="31"/>
      <c r="D328" s="31"/>
      <c r="E328" s="31"/>
      <c r="F328" s="32"/>
      <c r="G328" s="33"/>
      <c r="H328" s="33"/>
      <c r="I328" s="20" t="str">
        <f t="shared" si="79"/>
        <v/>
      </c>
      <c r="J328" s="21" t="str">
        <f>IFERROR(VLOOKUP(BR328,Pricing!$D$3:$E$58,2,FALSE),"")</f>
        <v/>
      </c>
      <c r="K328" s="32"/>
      <c r="L328" s="32"/>
      <c r="M328" s="32"/>
      <c r="N328" s="36" t="str" cm="1">
        <f t="array" ref="N328">IFERROR(_xlfn.IFS((AND(K328="SI",M328="$")),J328*0.2,AND(K328="SI",M328="%"),20),"")</f>
        <v/>
      </c>
      <c r="O328" s="29" t="str">
        <f t="shared" si="80"/>
        <v/>
      </c>
      <c r="P328" s="21" t="str">
        <f t="shared" si="81"/>
        <v/>
      </c>
      <c r="Q328" s="21" t="str">
        <f t="shared" si="82"/>
        <v/>
      </c>
      <c r="R328" s="21" t="str">
        <f t="shared" si="83"/>
        <v/>
      </c>
      <c r="S328" s="39"/>
      <c r="T328" s="43" t="str">
        <f t="shared" si="76"/>
        <v/>
      </c>
      <c r="U328" s="49" t="str">
        <f t="shared" si="77"/>
        <v/>
      </c>
      <c r="V328" s="48" t="str">
        <f t="shared" si="78"/>
        <v/>
      </c>
      <c r="W328" s="48" t="str">
        <f t="shared" si="84"/>
        <v/>
      </c>
      <c r="X328" s="50" t="str">
        <f>IF(W328="","",SUMIF($B$4:$B$1002,B328,$W$4:$W$1000))</f>
        <v/>
      </c>
      <c r="Y328" s="43" t="str">
        <f t="shared" si="85"/>
        <v/>
      </c>
      <c r="Z328" s="49" t="str">
        <f t="shared" si="86"/>
        <v/>
      </c>
      <c r="AA328" s="48" t="str">
        <f t="shared" si="87"/>
        <v/>
      </c>
      <c r="AB328" s="49" t="str">
        <f t="shared" si="88"/>
        <v/>
      </c>
      <c r="AC328" s="50" t="str">
        <f>IF(AB328="","",SUMIF($B$4:$B$1002,B328,$AB$4:$AB$1000))</f>
        <v/>
      </c>
      <c r="AD328" s="69"/>
      <c r="AE328" s="56"/>
      <c r="AF328" s="52"/>
      <c r="AG328" s="51"/>
      <c r="AH328" s="70"/>
      <c r="AI328" s="58"/>
      <c r="AJ328" s="55"/>
      <c r="AK328" s="51"/>
      <c r="AL328" s="69"/>
      <c r="AM328" s="56"/>
      <c r="AN328" s="52"/>
      <c r="AO328" s="51"/>
      <c r="AP328" s="70"/>
      <c r="AQ328" s="58"/>
      <c r="AR328" s="55"/>
      <c r="AS328" s="51"/>
      <c r="AT328" s="69"/>
      <c r="AU328" s="56"/>
      <c r="AV328" s="52"/>
      <c r="AW328" s="51"/>
      <c r="BR328" s="34" t="str">
        <f>IF(E328="","",CONCATENATE(E328," ",F328," noches"))</f>
        <v/>
      </c>
      <c r="BS328" s="28" t="str">
        <f t="shared" ca="1" si="89"/>
        <v/>
      </c>
      <c r="BT328" s="28" t="str">
        <f t="shared" ca="1" si="90"/>
        <v/>
      </c>
    </row>
    <row r="329" spans="1:72" x14ac:dyDescent="0.2">
      <c r="A329" s="18" t="str" cm="1">
        <f t="array" aca="1" ref="A329" ca="1">IF(B329="","","Grupo N˚"&amp;SUMPRODUCT(($B$4:B329&lt;&gt;"")*($B$4:B329&lt;&gt;OFFSET($B$4,-1,0,ROWS($B$4:B329),1))))</f>
        <v/>
      </c>
      <c r="B329" s="31"/>
      <c r="C329" s="31"/>
      <c r="D329" s="31"/>
      <c r="E329" s="31"/>
      <c r="F329" s="32"/>
      <c r="G329" s="33"/>
      <c r="H329" s="33"/>
      <c r="I329" s="20" t="str">
        <f t="shared" si="79"/>
        <v/>
      </c>
      <c r="J329" s="21" t="str">
        <f>IFERROR(VLOOKUP(BR329,Pricing!$D$3:$E$58,2,FALSE),"")</f>
        <v/>
      </c>
      <c r="K329" s="32"/>
      <c r="L329" s="32"/>
      <c r="M329" s="32"/>
      <c r="N329" s="36" t="str" cm="1">
        <f t="array" ref="N329">IFERROR(_xlfn.IFS((AND(K329="SI",M329="$")),J329*0.2,AND(K329="SI",M329="%"),20),"")</f>
        <v/>
      </c>
      <c r="O329" s="29" t="str">
        <f t="shared" si="80"/>
        <v/>
      </c>
      <c r="P329" s="21" t="str">
        <f t="shared" si="81"/>
        <v/>
      </c>
      <c r="Q329" s="21" t="str">
        <f t="shared" si="82"/>
        <v/>
      </c>
      <c r="R329" s="21" t="str">
        <f t="shared" si="83"/>
        <v/>
      </c>
      <c r="S329" s="39"/>
      <c r="T329" s="43" t="str">
        <f t="shared" ref="T329:T392" si="91">IF(W329="","",IFERROR(
 IF(AND(ABS(N(W329))&lt;0.5, BS329&lt;=7), "Sin deuda",
  IF(AND(N(W329)&gt;0, BS329&lt;=7), "Con deuda",
   IF(AND(N(W329)&gt;0, BS329&gt;7), "Moroso", "")
  )
)," "))</f>
        <v/>
      </c>
      <c r="U329" s="49" t="str">
        <f t="shared" si="77"/>
        <v/>
      </c>
      <c r="V329" s="48" t="str">
        <f t="shared" si="78"/>
        <v/>
      </c>
      <c r="W329" s="48" t="str">
        <f t="shared" si="84"/>
        <v/>
      </c>
      <c r="X329" s="50" t="str">
        <f>IF(W329="","",SUMIF($B$4:$B$1002,B329,$W$4:$W$1000))</f>
        <v/>
      </c>
      <c r="Y329" s="43" t="str">
        <f t="shared" si="85"/>
        <v/>
      </c>
      <c r="Z329" s="49" t="str">
        <f t="shared" si="86"/>
        <v/>
      </c>
      <c r="AA329" s="48" t="str">
        <f t="shared" si="87"/>
        <v/>
      </c>
      <c r="AB329" s="49" t="str">
        <f t="shared" si="88"/>
        <v/>
      </c>
      <c r="AC329" s="50" t="str">
        <f>IF(AB329="","",SUMIF($B$4:$B$1002,B329,$AB$4:$AB$1000))</f>
        <v/>
      </c>
      <c r="AD329" s="69"/>
      <c r="AE329" s="56"/>
      <c r="AF329" s="52"/>
      <c r="AG329" s="51"/>
      <c r="AH329" s="70"/>
      <c r="AI329" s="58"/>
      <c r="AJ329" s="55"/>
      <c r="AK329" s="51"/>
      <c r="AL329" s="69"/>
      <c r="AM329" s="56"/>
      <c r="AN329" s="52"/>
      <c r="AO329" s="51"/>
      <c r="AP329" s="70"/>
      <c r="AQ329" s="58"/>
      <c r="AR329" s="55"/>
      <c r="AS329" s="51"/>
      <c r="AT329" s="69"/>
      <c r="AU329" s="56"/>
      <c r="AV329" s="52"/>
      <c r="AW329" s="51"/>
      <c r="BR329" s="34" t="str">
        <f>IF(E329="","",CONCATENATE(E329," ",F329," noches"))</f>
        <v/>
      </c>
      <c r="BS329" s="28" t="str">
        <f t="shared" ca="1" si="89"/>
        <v/>
      </c>
      <c r="BT329" s="28" t="str">
        <f t="shared" ca="1" si="90"/>
        <v/>
      </c>
    </row>
    <row r="330" spans="1:72" x14ac:dyDescent="0.2">
      <c r="A330" s="18" t="str" cm="1">
        <f t="array" aca="1" ref="A330" ca="1">IF(B330="","","Grupo N˚"&amp;SUMPRODUCT(($B$4:B330&lt;&gt;"")*($B$4:B330&lt;&gt;OFFSET($B$4,-1,0,ROWS($B$4:B330),1))))</f>
        <v/>
      </c>
      <c r="B330" s="31"/>
      <c r="C330" s="31"/>
      <c r="D330" s="31"/>
      <c r="E330" s="31"/>
      <c r="F330" s="32"/>
      <c r="G330" s="33"/>
      <c r="H330" s="33"/>
      <c r="I330" s="20" t="str">
        <f t="shared" si="79"/>
        <v/>
      </c>
      <c r="J330" s="21" t="str">
        <f>IFERROR(VLOOKUP(BR330,Pricing!$D$3:$E$58,2,FALSE),"")</f>
        <v/>
      </c>
      <c r="K330" s="32"/>
      <c r="L330" s="32"/>
      <c r="M330" s="32"/>
      <c r="N330" s="36" t="str" cm="1">
        <f t="array" ref="N330">IFERROR(_xlfn.IFS((AND(K330="SI",M330="$")),J330*0.2,AND(K330="SI",M330="%"),20),"")</f>
        <v/>
      </c>
      <c r="O330" s="29" t="str">
        <f t="shared" si="80"/>
        <v/>
      </c>
      <c r="P330" s="21" t="str">
        <f t="shared" si="81"/>
        <v/>
      </c>
      <c r="Q330" s="21" t="str">
        <f t="shared" si="82"/>
        <v/>
      </c>
      <c r="R330" s="21" t="str">
        <f t="shared" si="83"/>
        <v/>
      </c>
      <c r="S330" s="39"/>
      <c r="T330" s="43" t="str">
        <f t="shared" si="91"/>
        <v/>
      </c>
      <c r="U330" s="49" t="str">
        <f t="shared" si="77"/>
        <v/>
      </c>
      <c r="V330" s="48" t="str">
        <f t="shared" si="78"/>
        <v/>
      </c>
      <c r="W330" s="48" t="str">
        <f t="shared" si="84"/>
        <v/>
      </c>
      <c r="X330" s="50" t="str">
        <f>IF(W330="","",SUMIF($B$4:$B$1002,B330,$W$4:$W$1000))</f>
        <v/>
      </c>
      <c r="Y330" s="43" t="str">
        <f t="shared" si="85"/>
        <v/>
      </c>
      <c r="Z330" s="49" t="str">
        <f t="shared" si="86"/>
        <v/>
      </c>
      <c r="AA330" s="48" t="str">
        <f t="shared" si="87"/>
        <v/>
      </c>
      <c r="AB330" s="49" t="str">
        <f t="shared" si="88"/>
        <v/>
      </c>
      <c r="AC330" s="50" t="str">
        <f>IF(AB330="","",SUMIF($B$4:$B$1002,B330,$AB$4:$AB$1000))</f>
        <v/>
      </c>
      <c r="AD330" s="69"/>
      <c r="AE330" s="56"/>
      <c r="AF330" s="52"/>
      <c r="AG330" s="51"/>
      <c r="AH330" s="70"/>
      <c r="AI330" s="58"/>
      <c r="AJ330" s="55"/>
      <c r="AK330" s="51"/>
      <c r="AL330" s="69"/>
      <c r="AM330" s="56"/>
      <c r="AN330" s="52"/>
      <c r="AO330" s="51"/>
      <c r="AP330" s="70"/>
      <c r="AQ330" s="58"/>
      <c r="AR330" s="55"/>
      <c r="AS330" s="51"/>
      <c r="AT330" s="69"/>
      <c r="AU330" s="56"/>
      <c r="AV330" s="52"/>
      <c r="AW330" s="51"/>
      <c r="BR330" s="34" t="str">
        <f>IF(E330="","",CONCATENATE(E330," ",F330," noches"))</f>
        <v/>
      </c>
      <c r="BS330" s="28" t="str">
        <f t="shared" ca="1" si="89"/>
        <v/>
      </c>
      <c r="BT330" s="28" t="str">
        <f t="shared" ca="1" si="90"/>
        <v/>
      </c>
    </row>
    <row r="331" spans="1:72" x14ac:dyDescent="0.2">
      <c r="A331" s="18" t="str" cm="1">
        <f t="array" aca="1" ref="A331" ca="1">IF(B331="","","Grupo N˚"&amp;SUMPRODUCT(($B$4:B331&lt;&gt;"")*($B$4:B331&lt;&gt;OFFSET($B$4,-1,0,ROWS($B$4:B331),1))))</f>
        <v/>
      </c>
      <c r="B331" s="31"/>
      <c r="C331" s="31"/>
      <c r="D331" s="31"/>
      <c r="E331" s="31"/>
      <c r="F331" s="32"/>
      <c r="G331" s="33"/>
      <c r="H331" s="33"/>
      <c r="I331" s="20" t="str">
        <f t="shared" si="79"/>
        <v/>
      </c>
      <c r="J331" s="21" t="str">
        <f>IFERROR(VLOOKUP(BR331,Pricing!$D$3:$E$58,2,FALSE),"")</f>
        <v/>
      </c>
      <c r="K331" s="32"/>
      <c r="L331" s="32"/>
      <c r="M331" s="32"/>
      <c r="N331" s="36" t="str" cm="1">
        <f t="array" ref="N331">IFERROR(_xlfn.IFS((AND(K331="SI",M331="$")),J331*0.2,AND(K331="SI",M331="%"),20),"")</f>
        <v/>
      </c>
      <c r="O331" s="29" t="str">
        <f t="shared" si="80"/>
        <v/>
      </c>
      <c r="P331" s="21" t="str">
        <f t="shared" si="81"/>
        <v/>
      </c>
      <c r="Q331" s="21" t="str">
        <f t="shared" si="82"/>
        <v/>
      </c>
      <c r="R331" s="21" t="str">
        <f t="shared" si="83"/>
        <v/>
      </c>
      <c r="S331" s="39"/>
      <c r="T331" s="43" t="str">
        <f t="shared" si="91"/>
        <v/>
      </c>
      <c r="U331" s="49" t="str">
        <f t="shared" si="77"/>
        <v/>
      </c>
      <c r="V331" s="48" t="str">
        <f t="shared" si="78"/>
        <v/>
      </c>
      <c r="W331" s="48" t="str">
        <f t="shared" si="84"/>
        <v/>
      </c>
      <c r="X331" s="50" t="str">
        <f>IF(W331="","",SUMIF($B$4:$B$1002,B331,$W$4:$W$1000))</f>
        <v/>
      </c>
      <c r="Y331" s="43" t="str">
        <f t="shared" si="85"/>
        <v/>
      </c>
      <c r="Z331" s="49" t="str">
        <f t="shared" si="86"/>
        <v/>
      </c>
      <c r="AA331" s="48" t="str">
        <f t="shared" si="87"/>
        <v/>
      </c>
      <c r="AB331" s="49" t="str">
        <f t="shared" si="88"/>
        <v/>
      </c>
      <c r="AC331" s="50" t="str">
        <f>IF(AB331="","",SUMIF($B$4:$B$1002,B331,$AB$4:$AB$1000))</f>
        <v/>
      </c>
      <c r="AD331" s="69"/>
      <c r="AE331" s="56"/>
      <c r="AF331" s="52"/>
      <c r="AG331" s="51"/>
      <c r="AH331" s="70"/>
      <c r="AI331" s="58"/>
      <c r="AJ331" s="55"/>
      <c r="AK331" s="51"/>
      <c r="AL331" s="69"/>
      <c r="AM331" s="56"/>
      <c r="AN331" s="52"/>
      <c r="AO331" s="51"/>
      <c r="AP331" s="70"/>
      <c r="AQ331" s="58"/>
      <c r="AR331" s="55"/>
      <c r="AS331" s="51"/>
      <c r="AT331" s="69"/>
      <c r="AU331" s="56"/>
      <c r="AV331" s="52"/>
      <c r="AW331" s="51"/>
      <c r="BR331" s="34" t="str">
        <f>IF(E331="","",CONCATENATE(E331," ",F331," noches"))</f>
        <v/>
      </c>
      <c r="BS331" s="28" t="str">
        <f t="shared" ca="1" si="89"/>
        <v/>
      </c>
      <c r="BT331" s="28" t="str">
        <f t="shared" ca="1" si="90"/>
        <v/>
      </c>
    </row>
    <row r="332" spans="1:72" x14ac:dyDescent="0.2">
      <c r="A332" s="18" t="str" cm="1">
        <f t="array" aca="1" ref="A332" ca="1">IF(B332="","","Grupo N˚"&amp;SUMPRODUCT(($B$4:B332&lt;&gt;"")*($B$4:B332&lt;&gt;OFFSET($B$4,-1,0,ROWS($B$4:B332),1))))</f>
        <v/>
      </c>
      <c r="B332" s="31"/>
      <c r="C332" s="31"/>
      <c r="D332" s="31"/>
      <c r="E332" s="31"/>
      <c r="F332" s="32"/>
      <c r="G332" s="33"/>
      <c r="H332" s="33"/>
      <c r="I332" s="20" t="str">
        <f t="shared" si="79"/>
        <v/>
      </c>
      <c r="J332" s="21" t="str">
        <f>IFERROR(VLOOKUP(BR332,Pricing!$D$3:$E$58,2,FALSE),"")</f>
        <v/>
      </c>
      <c r="K332" s="32"/>
      <c r="L332" s="32"/>
      <c r="M332" s="32"/>
      <c r="N332" s="36" t="str" cm="1">
        <f t="array" ref="N332">IFERROR(_xlfn.IFS((AND(K332="SI",M332="$")),J332*0.2,AND(K332="SI",M332="%"),20),"")</f>
        <v/>
      </c>
      <c r="O332" s="29" t="str">
        <f t="shared" si="80"/>
        <v/>
      </c>
      <c r="P332" s="21" t="str">
        <f t="shared" si="81"/>
        <v/>
      </c>
      <c r="Q332" s="21" t="str">
        <f t="shared" si="82"/>
        <v/>
      </c>
      <c r="R332" s="21" t="str">
        <f t="shared" si="83"/>
        <v/>
      </c>
      <c r="S332" s="39"/>
      <c r="T332" s="43" t="str">
        <f t="shared" si="91"/>
        <v/>
      </c>
      <c r="U332" s="49" t="str">
        <f t="shared" si="77"/>
        <v/>
      </c>
      <c r="V332" s="48" t="str">
        <f t="shared" si="78"/>
        <v/>
      </c>
      <c r="W332" s="48" t="str">
        <f t="shared" si="84"/>
        <v/>
      </c>
      <c r="X332" s="50" t="str">
        <f>IF(W332="","",SUMIF($B$4:$B$1002,B332,$W$4:$W$1000))</f>
        <v/>
      </c>
      <c r="Y332" s="43" t="str">
        <f t="shared" si="85"/>
        <v/>
      </c>
      <c r="Z332" s="49" t="str">
        <f t="shared" si="86"/>
        <v/>
      </c>
      <c r="AA332" s="48" t="str">
        <f t="shared" si="87"/>
        <v/>
      </c>
      <c r="AB332" s="49" t="str">
        <f t="shared" si="88"/>
        <v/>
      </c>
      <c r="AC332" s="50" t="str">
        <f>IF(AB332="","",SUMIF($B$4:$B$1002,B332,$AB$4:$AB$1000))</f>
        <v/>
      </c>
      <c r="AD332" s="69"/>
      <c r="AE332" s="56"/>
      <c r="AF332" s="52"/>
      <c r="AG332" s="51"/>
      <c r="AH332" s="70"/>
      <c r="AI332" s="58"/>
      <c r="AJ332" s="55"/>
      <c r="AK332" s="51"/>
      <c r="AL332" s="69"/>
      <c r="AM332" s="56"/>
      <c r="AN332" s="52"/>
      <c r="AO332" s="51"/>
      <c r="AP332" s="70"/>
      <c r="AQ332" s="58"/>
      <c r="AR332" s="55"/>
      <c r="AS332" s="51"/>
      <c r="AT332" s="69"/>
      <c r="AU332" s="56"/>
      <c r="AV332" s="52"/>
      <c r="AW332" s="51"/>
      <c r="BR332" s="34" t="str">
        <f>IF(E332="","",CONCATENATE(E332," ",F332," noches"))</f>
        <v/>
      </c>
      <c r="BS332" s="28" t="str">
        <f t="shared" ca="1" si="89"/>
        <v/>
      </c>
      <c r="BT332" s="28" t="str">
        <f t="shared" ca="1" si="90"/>
        <v/>
      </c>
    </row>
    <row r="333" spans="1:72" x14ac:dyDescent="0.2">
      <c r="A333" s="18" t="str" cm="1">
        <f t="array" aca="1" ref="A333" ca="1">IF(B333="","","Grupo N˚"&amp;SUMPRODUCT(($B$4:B333&lt;&gt;"")*($B$4:B333&lt;&gt;OFFSET($B$4,-1,0,ROWS($B$4:B333),1))))</f>
        <v/>
      </c>
      <c r="B333" s="31"/>
      <c r="C333" s="31"/>
      <c r="D333" s="31"/>
      <c r="E333" s="31"/>
      <c r="F333" s="32"/>
      <c r="G333" s="33"/>
      <c r="H333" s="33"/>
      <c r="I333" s="20" t="str">
        <f t="shared" si="79"/>
        <v/>
      </c>
      <c r="J333" s="21" t="str">
        <f>IFERROR(VLOOKUP(BR333,Pricing!$D$3:$E$58,2,FALSE),"")</f>
        <v/>
      </c>
      <c r="K333" s="32"/>
      <c r="L333" s="32"/>
      <c r="M333" s="32"/>
      <c r="N333" s="36" t="str" cm="1">
        <f t="array" ref="N333">IFERROR(_xlfn.IFS((AND(K333="SI",M333="$")),J333*0.2,AND(K333="SI",M333="%"),20),"")</f>
        <v/>
      </c>
      <c r="O333" s="29" t="str">
        <f t="shared" si="80"/>
        <v/>
      </c>
      <c r="P333" s="21" t="str">
        <f t="shared" si="81"/>
        <v/>
      </c>
      <c r="Q333" s="21" t="str">
        <f t="shared" si="82"/>
        <v/>
      </c>
      <c r="R333" s="21" t="str">
        <f t="shared" si="83"/>
        <v/>
      </c>
      <c r="S333" s="39"/>
      <c r="T333" s="43" t="str">
        <f t="shared" si="91"/>
        <v/>
      </c>
      <c r="U333" s="49" t="str">
        <f t="shared" ref="U333:U396" si="92">IF(R333="","",R333/2)</f>
        <v/>
      </c>
      <c r="V333" s="48" t="str">
        <f t="shared" ref="V333:V396" si="93">IF(AD333="","",SUM(
 IF(ISNUMBER(SEARCH("reserva",AD333)),AF333,0),
 IF(ISNUMBER(SEARCH("reserva",AH333)),AJ333,0),
 IF(ISNUMBER(SEARCH("reserva",AL333)),AN333,0),
 IF(ISNUMBER(SEARCH("reserva",AP333)),AR333,0),
 IF(ISNUMBER(SEARCH("reserva",AT333)),AV333,0)
))</f>
        <v/>
      </c>
      <c r="W333" s="48" t="str">
        <f t="shared" si="84"/>
        <v/>
      </c>
      <c r="X333" s="50" t="str">
        <f>IF(W333="","",SUMIF($B$4:$B$1002,B333,$W$4:$W$1000))</f>
        <v/>
      </c>
      <c r="Y333" s="43" t="str">
        <f t="shared" si="85"/>
        <v/>
      </c>
      <c r="Z333" s="49" t="str">
        <f t="shared" si="86"/>
        <v/>
      </c>
      <c r="AA333" s="48" t="str">
        <f t="shared" si="87"/>
        <v/>
      </c>
      <c r="AB333" s="49" t="str">
        <f t="shared" si="88"/>
        <v/>
      </c>
      <c r="AC333" s="50" t="str">
        <f>IF(AB333="","",SUMIF($B$4:$B$1002,B333,$AB$4:$AB$1000))</f>
        <v/>
      </c>
      <c r="AD333" s="69"/>
      <c r="AE333" s="56"/>
      <c r="AF333" s="52"/>
      <c r="AG333" s="51"/>
      <c r="AH333" s="70"/>
      <c r="AI333" s="58"/>
      <c r="AJ333" s="55"/>
      <c r="AK333" s="51"/>
      <c r="AL333" s="69"/>
      <c r="AM333" s="56"/>
      <c r="AN333" s="52"/>
      <c r="AO333" s="51"/>
      <c r="AP333" s="70"/>
      <c r="AQ333" s="58"/>
      <c r="AR333" s="55"/>
      <c r="AS333" s="51"/>
      <c r="AT333" s="69"/>
      <c r="AU333" s="56"/>
      <c r="AV333" s="52"/>
      <c r="AW333" s="51"/>
      <c r="BR333" s="34" t="str">
        <f>IF(E333="","",CONCATENATE(E333," ",F333," noches"))</f>
        <v/>
      </c>
      <c r="BS333" s="28" t="str">
        <f t="shared" ca="1" si="89"/>
        <v/>
      </c>
      <c r="BT333" s="28" t="str">
        <f t="shared" ca="1" si="90"/>
        <v/>
      </c>
    </row>
    <row r="334" spans="1:72" x14ac:dyDescent="0.2">
      <c r="A334" s="18" t="str" cm="1">
        <f t="array" aca="1" ref="A334" ca="1">IF(B334="","","Grupo N˚"&amp;SUMPRODUCT(($B$4:B334&lt;&gt;"")*($B$4:B334&lt;&gt;OFFSET($B$4,-1,0,ROWS($B$4:B334),1))))</f>
        <v/>
      </c>
      <c r="B334" s="31"/>
      <c r="C334" s="31"/>
      <c r="D334" s="31"/>
      <c r="E334" s="31"/>
      <c r="F334" s="32"/>
      <c r="G334" s="33"/>
      <c r="H334" s="33"/>
      <c r="I334" s="20" t="str">
        <f t="shared" si="79"/>
        <v/>
      </c>
      <c r="J334" s="21" t="str">
        <f>IFERROR(VLOOKUP(BR334,Pricing!$D$3:$E$58,2,FALSE),"")</f>
        <v/>
      </c>
      <c r="K334" s="32"/>
      <c r="L334" s="32"/>
      <c r="M334" s="32"/>
      <c r="N334" s="36" t="str" cm="1">
        <f t="array" ref="N334">IFERROR(_xlfn.IFS((AND(K334="SI",M334="$")),J334*0.2,AND(K334="SI",M334="%"),20),"")</f>
        <v/>
      </c>
      <c r="O334" s="29" t="str">
        <f t="shared" si="80"/>
        <v/>
      </c>
      <c r="P334" s="21" t="str">
        <f t="shared" si="81"/>
        <v/>
      </c>
      <c r="Q334" s="21" t="str">
        <f t="shared" si="82"/>
        <v/>
      </c>
      <c r="R334" s="21" t="str">
        <f t="shared" si="83"/>
        <v/>
      </c>
      <c r="S334" s="39"/>
      <c r="T334" s="43" t="str">
        <f t="shared" si="91"/>
        <v/>
      </c>
      <c r="U334" s="49" t="str">
        <f t="shared" si="92"/>
        <v/>
      </c>
      <c r="V334" s="48" t="str">
        <f t="shared" si="93"/>
        <v/>
      </c>
      <c r="W334" s="48" t="str">
        <f t="shared" si="84"/>
        <v/>
      </c>
      <c r="X334" s="50" t="str">
        <f>IF(W334="","",SUMIF($B$4:$B$1002,B334,$W$4:$W$1000))</f>
        <v/>
      </c>
      <c r="Y334" s="43" t="str">
        <f t="shared" si="85"/>
        <v/>
      </c>
      <c r="Z334" s="49" t="str">
        <f t="shared" si="86"/>
        <v/>
      </c>
      <c r="AA334" s="48" t="str">
        <f t="shared" si="87"/>
        <v/>
      </c>
      <c r="AB334" s="49" t="str">
        <f t="shared" si="88"/>
        <v/>
      </c>
      <c r="AC334" s="50" t="str">
        <f>IF(AB334="","",SUMIF($B$4:$B$1002,B334,$AB$4:$AB$1000))</f>
        <v/>
      </c>
      <c r="AD334" s="69"/>
      <c r="AE334" s="56"/>
      <c r="AF334" s="52"/>
      <c r="AG334" s="51"/>
      <c r="AH334" s="70"/>
      <c r="AI334" s="58"/>
      <c r="AJ334" s="55"/>
      <c r="AK334" s="51"/>
      <c r="AL334" s="69"/>
      <c r="AM334" s="56"/>
      <c r="AN334" s="52"/>
      <c r="AO334" s="51"/>
      <c r="AP334" s="70"/>
      <c r="AQ334" s="58"/>
      <c r="AR334" s="55"/>
      <c r="AS334" s="51"/>
      <c r="AT334" s="69"/>
      <c r="AU334" s="56"/>
      <c r="AV334" s="52"/>
      <c r="AW334" s="51"/>
      <c r="BR334" s="34" t="str">
        <f>IF(E334="","",CONCATENATE(E334," ",F334," noches"))</f>
        <v/>
      </c>
      <c r="BS334" s="28" t="str">
        <f t="shared" ca="1" si="89"/>
        <v/>
      </c>
      <c r="BT334" s="28" t="str">
        <f t="shared" ca="1" si="90"/>
        <v/>
      </c>
    </row>
    <row r="335" spans="1:72" x14ac:dyDescent="0.2">
      <c r="A335" s="18" t="str" cm="1">
        <f t="array" aca="1" ref="A335" ca="1">IF(B335="","","Grupo N˚"&amp;SUMPRODUCT(($B$4:B335&lt;&gt;"")*($B$4:B335&lt;&gt;OFFSET($B$4,-1,0,ROWS($B$4:B335),1))))</f>
        <v/>
      </c>
      <c r="B335" s="31"/>
      <c r="C335" s="31"/>
      <c r="D335" s="31"/>
      <c r="E335" s="31"/>
      <c r="F335" s="32"/>
      <c r="G335" s="33"/>
      <c r="H335" s="33"/>
      <c r="I335" s="20" t="str">
        <f t="shared" si="79"/>
        <v/>
      </c>
      <c r="J335" s="21" t="str">
        <f>IFERROR(VLOOKUP(BR335,Pricing!$D$3:$E$58,2,FALSE),"")</f>
        <v/>
      </c>
      <c r="K335" s="32"/>
      <c r="L335" s="32"/>
      <c r="M335" s="32"/>
      <c r="N335" s="36" t="str" cm="1">
        <f t="array" ref="N335">IFERROR(_xlfn.IFS((AND(K335="SI",M335="$")),J335*0.2,AND(K335="SI",M335="%"),20),"")</f>
        <v/>
      </c>
      <c r="O335" s="29" t="str">
        <f t="shared" si="80"/>
        <v/>
      </c>
      <c r="P335" s="21" t="str">
        <f t="shared" si="81"/>
        <v/>
      </c>
      <c r="Q335" s="21" t="str">
        <f t="shared" si="82"/>
        <v/>
      </c>
      <c r="R335" s="21" t="str">
        <f t="shared" si="83"/>
        <v/>
      </c>
      <c r="S335" s="39"/>
      <c r="T335" s="43" t="str">
        <f t="shared" si="91"/>
        <v/>
      </c>
      <c r="U335" s="49" t="str">
        <f t="shared" si="92"/>
        <v/>
      </c>
      <c r="V335" s="48" t="str">
        <f t="shared" si="93"/>
        <v/>
      </c>
      <c r="W335" s="48" t="str">
        <f t="shared" si="84"/>
        <v/>
      </c>
      <c r="X335" s="50" t="str">
        <f>IF(W335="","",SUMIF($B$4:$B$1002,B335,$W$4:$W$1000))</f>
        <v/>
      </c>
      <c r="Y335" s="43" t="str">
        <f t="shared" si="85"/>
        <v/>
      </c>
      <c r="Z335" s="49" t="str">
        <f t="shared" si="86"/>
        <v/>
      </c>
      <c r="AA335" s="48" t="str">
        <f t="shared" si="87"/>
        <v/>
      </c>
      <c r="AB335" s="49" t="str">
        <f t="shared" si="88"/>
        <v/>
      </c>
      <c r="AC335" s="50" t="str">
        <f>IF(AB335="","",SUMIF($B$4:$B$1002,B335,$AB$4:$AB$1000))</f>
        <v/>
      </c>
      <c r="AD335" s="69"/>
      <c r="AE335" s="56"/>
      <c r="AF335" s="52"/>
      <c r="AG335" s="51"/>
      <c r="AH335" s="70"/>
      <c r="AI335" s="58"/>
      <c r="AJ335" s="55"/>
      <c r="AK335" s="51"/>
      <c r="AL335" s="69"/>
      <c r="AM335" s="56"/>
      <c r="AN335" s="52"/>
      <c r="AO335" s="51"/>
      <c r="AP335" s="70"/>
      <c r="AQ335" s="58"/>
      <c r="AR335" s="55"/>
      <c r="AS335" s="51"/>
      <c r="AT335" s="69"/>
      <c r="AU335" s="56"/>
      <c r="AV335" s="52"/>
      <c r="AW335" s="51"/>
      <c r="BR335" s="34" t="str">
        <f>IF(E335="","",CONCATENATE(E335," ",F335," noches"))</f>
        <v/>
      </c>
      <c r="BS335" s="28" t="str">
        <f t="shared" ca="1" si="89"/>
        <v/>
      </c>
      <c r="BT335" s="28" t="str">
        <f t="shared" ca="1" si="90"/>
        <v/>
      </c>
    </row>
    <row r="336" spans="1:72" x14ac:dyDescent="0.2">
      <c r="A336" s="18" t="str" cm="1">
        <f t="array" aca="1" ref="A336" ca="1">IF(B336="","","Grupo N˚"&amp;SUMPRODUCT(($B$4:B336&lt;&gt;"")*($B$4:B336&lt;&gt;OFFSET($B$4,-1,0,ROWS($B$4:B336),1))))</f>
        <v/>
      </c>
      <c r="B336" s="31"/>
      <c r="C336" s="31"/>
      <c r="D336" s="31"/>
      <c r="E336" s="31"/>
      <c r="F336" s="32"/>
      <c r="G336" s="33"/>
      <c r="H336" s="33"/>
      <c r="I336" s="20" t="str">
        <f t="shared" si="79"/>
        <v/>
      </c>
      <c r="J336" s="21" t="str">
        <f>IFERROR(VLOOKUP(BR336,Pricing!$D$3:$E$58,2,FALSE),"")</f>
        <v/>
      </c>
      <c r="K336" s="32"/>
      <c r="L336" s="32"/>
      <c r="M336" s="32"/>
      <c r="N336" s="36" t="str" cm="1">
        <f t="array" ref="N336">IFERROR(_xlfn.IFS((AND(K336="SI",M336="$")),J336*0.2,AND(K336="SI",M336="%"),20),"")</f>
        <v/>
      </c>
      <c r="O336" s="29" t="str">
        <f t="shared" si="80"/>
        <v/>
      </c>
      <c r="P336" s="21" t="str">
        <f t="shared" si="81"/>
        <v/>
      </c>
      <c r="Q336" s="21" t="str">
        <f t="shared" si="82"/>
        <v/>
      </c>
      <c r="R336" s="21" t="str">
        <f t="shared" si="83"/>
        <v/>
      </c>
      <c r="S336" s="39"/>
      <c r="T336" s="43" t="str">
        <f t="shared" si="91"/>
        <v/>
      </c>
      <c r="U336" s="49" t="str">
        <f t="shared" si="92"/>
        <v/>
      </c>
      <c r="V336" s="48" t="str">
        <f t="shared" si="93"/>
        <v/>
      </c>
      <c r="W336" s="48" t="str">
        <f t="shared" si="84"/>
        <v/>
      </c>
      <c r="X336" s="50" t="str">
        <f>IF(W336="","",SUMIF($B$4:$B$1002,B336,$W$4:$W$1000))</f>
        <v/>
      </c>
      <c r="Y336" s="43" t="str">
        <f t="shared" si="85"/>
        <v/>
      </c>
      <c r="Z336" s="49" t="str">
        <f t="shared" si="86"/>
        <v/>
      </c>
      <c r="AA336" s="48" t="str">
        <f t="shared" si="87"/>
        <v/>
      </c>
      <c r="AB336" s="49" t="str">
        <f t="shared" si="88"/>
        <v/>
      </c>
      <c r="AC336" s="50" t="str">
        <f>IF(AB336="","",SUMIF($B$4:$B$1002,B336,$AB$4:$AB$1000))</f>
        <v/>
      </c>
      <c r="AD336" s="69"/>
      <c r="AE336" s="56"/>
      <c r="AF336" s="52"/>
      <c r="AG336" s="51"/>
      <c r="AH336" s="70"/>
      <c r="AI336" s="58"/>
      <c r="AJ336" s="55"/>
      <c r="AK336" s="51"/>
      <c r="AL336" s="69"/>
      <c r="AM336" s="56"/>
      <c r="AN336" s="52"/>
      <c r="AO336" s="51"/>
      <c r="AP336" s="70"/>
      <c r="AQ336" s="58"/>
      <c r="AR336" s="55"/>
      <c r="AS336" s="51"/>
      <c r="AT336" s="69"/>
      <c r="AU336" s="56"/>
      <c r="AV336" s="52"/>
      <c r="AW336" s="51"/>
      <c r="BR336" s="34" t="str">
        <f>IF(E336="","",CONCATENATE(E336," ",F336," noches"))</f>
        <v/>
      </c>
      <c r="BS336" s="28" t="str">
        <f t="shared" ca="1" si="89"/>
        <v/>
      </c>
      <c r="BT336" s="28" t="str">
        <f t="shared" ca="1" si="90"/>
        <v/>
      </c>
    </row>
    <row r="337" spans="1:72" x14ac:dyDescent="0.2">
      <c r="A337" s="18" t="str" cm="1">
        <f t="array" aca="1" ref="A337" ca="1">IF(B337="","","Grupo N˚"&amp;SUMPRODUCT(($B$4:B337&lt;&gt;"")*($B$4:B337&lt;&gt;OFFSET($B$4,-1,0,ROWS($B$4:B337),1))))</f>
        <v/>
      </c>
      <c r="B337" s="31"/>
      <c r="C337" s="31"/>
      <c r="D337" s="31"/>
      <c r="E337" s="31"/>
      <c r="F337" s="32"/>
      <c r="G337" s="33"/>
      <c r="H337" s="33"/>
      <c r="I337" s="20" t="str">
        <f t="shared" si="79"/>
        <v/>
      </c>
      <c r="J337" s="21" t="str">
        <f>IFERROR(VLOOKUP(BR337,Pricing!$D$3:$E$58,2,FALSE),"")</f>
        <v/>
      </c>
      <c r="K337" s="32"/>
      <c r="L337" s="32"/>
      <c r="M337" s="32"/>
      <c r="N337" s="36" t="str" cm="1">
        <f t="array" ref="N337">IFERROR(_xlfn.IFS((AND(K337="SI",M337="$")),J337*0.2,AND(K337="SI",M337="%"),20),"")</f>
        <v/>
      </c>
      <c r="O337" s="29" t="str">
        <f t="shared" si="80"/>
        <v/>
      </c>
      <c r="P337" s="21" t="str">
        <f t="shared" si="81"/>
        <v/>
      </c>
      <c r="Q337" s="21" t="str">
        <f t="shared" si="82"/>
        <v/>
      </c>
      <c r="R337" s="21" t="str">
        <f t="shared" si="83"/>
        <v/>
      </c>
      <c r="S337" s="39"/>
      <c r="T337" s="43" t="str">
        <f t="shared" si="91"/>
        <v/>
      </c>
      <c r="U337" s="49" t="str">
        <f t="shared" si="92"/>
        <v/>
      </c>
      <c r="V337" s="48" t="str">
        <f t="shared" si="93"/>
        <v/>
      </c>
      <c r="W337" s="48" t="str">
        <f t="shared" si="84"/>
        <v/>
      </c>
      <c r="X337" s="50" t="str">
        <f>IF(W337="","",SUMIF($B$4:$B$1002,B337,$W$4:$W$1000))</f>
        <v/>
      </c>
      <c r="Y337" s="43" t="str">
        <f t="shared" si="85"/>
        <v/>
      </c>
      <c r="Z337" s="49" t="str">
        <f t="shared" si="86"/>
        <v/>
      </c>
      <c r="AA337" s="48" t="str">
        <f t="shared" si="87"/>
        <v/>
      </c>
      <c r="AB337" s="49" t="str">
        <f t="shared" si="88"/>
        <v/>
      </c>
      <c r="AC337" s="50" t="str">
        <f>IF(AB337="","",SUMIF($B$4:$B$1002,B337,$AB$4:$AB$1000))</f>
        <v/>
      </c>
      <c r="AD337" s="69"/>
      <c r="AE337" s="56"/>
      <c r="AF337" s="52"/>
      <c r="AG337" s="51"/>
      <c r="AH337" s="70"/>
      <c r="AI337" s="58"/>
      <c r="AJ337" s="55"/>
      <c r="AK337" s="51"/>
      <c r="AL337" s="69"/>
      <c r="AM337" s="56"/>
      <c r="AN337" s="52"/>
      <c r="AO337" s="51"/>
      <c r="AP337" s="70"/>
      <c r="AQ337" s="58"/>
      <c r="AR337" s="55"/>
      <c r="AS337" s="51"/>
      <c r="AT337" s="69"/>
      <c r="AU337" s="56"/>
      <c r="AV337" s="52"/>
      <c r="AW337" s="51"/>
      <c r="BR337" s="34" t="str">
        <f>IF(E337="","",CONCATENATE(E337," ",F337," noches"))</f>
        <v/>
      </c>
      <c r="BS337" s="28" t="str">
        <f t="shared" ca="1" si="89"/>
        <v/>
      </c>
      <c r="BT337" s="28" t="str">
        <f t="shared" ca="1" si="90"/>
        <v/>
      </c>
    </row>
    <row r="338" spans="1:72" x14ac:dyDescent="0.2">
      <c r="A338" s="18" t="str" cm="1">
        <f t="array" aca="1" ref="A338" ca="1">IF(B338="","","Grupo N˚"&amp;SUMPRODUCT(($B$4:B338&lt;&gt;"")*($B$4:B338&lt;&gt;OFFSET($B$4,-1,0,ROWS($B$4:B338),1))))</f>
        <v/>
      </c>
      <c r="B338" s="31"/>
      <c r="C338" s="31"/>
      <c r="D338" s="31"/>
      <c r="E338" s="31"/>
      <c r="F338" s="32"/>
      <c r="G338" s="33"/>
      <c r="H338" s="33"/>
      <c r="I338" s="20" t="str">
        <f t="shared" si="79"/>
        <v/>
      </c>
      <c r="J338" s="21" t="str">
        <f>IFERROR(VLOOKUP(BR338,Pricing!$D$3:$E$58,2,FALSE),"")</f>
        <v/>
      </c>
      <c r="K338" s="32"/>
      <c r="L338" s="32"/>
      <c r="M338" s="32"/>
      <c r="N338" s="36" t="str" cm="1">
        <f t="array" ref="N338">IFERROR(_xlfn.IFS((AND(K338="SI",M338="$")),J338*0.2,AND(K338="SI",M338="%"),20),"")</f>
        <v/>
      </c>
      <c r="O338" s="29" t="str">
        <f t="shared" si="80"/>
        <v/>
      </c>
      <c r="P338" s="21" t="str">
        <f t="shared" si="81"/>
        <v/>
      </c>
      <c r="Q338" s="21" t="str">
        <f t="shared" si="82"/>
        <v/>
      </c>
      <c r="R338" s="21" t="str">
        <f t="shared" si="83"/>
        <v/>
      </c>
      <c r="S338" s="39"/>
      <c r="T338" s="43" t="str">
        <f t="shared" si="91"/>
        <v/>
      </c>
      <c r="U338" s="49" t="str">
        <f t="shared" si="92"/>
        <v/>
      </c>
      <c r="V338" s="48" t="str">
        <f t="shared" si="93"/>
        <v/>
      </c>
      <c r="W338" s="48" t="str">
        <f t="shared" si="84"/>
        <v/>
      </c>
      <c r="X338" s="50" t="str">
        <f>IF(W338="","",SUMIF($B$4:$B$1002,B338,$W$4:$W$1000))</f>
        <v/>
      </c>
      <c r="Y338" s="43" t="str">
        <f t="shared" si="85"/>
        <v/>
      </c>
      <c r="Z338" s="49" t="str">
        <f t="shared" si="86"/>
        <v/>
      </c>
      <c r="AA338" s="48" t="str">
        <f t="shared" si="87"/>
        <v/>
      </c>
      <c r="AB338" s="49" t="str">
        <f t="shared" si="88"/>
        <v/>
      </c>
      <c r="AC338" s="50" t="str">
        <f>IF(AB338="","",SUMIF($B$4:$B$1002,B338,$AB$4:$AB$1000))</f>
        <v/>
      </c>
      <c r="AD338" s="69"/>
      <c r="AE338" s="56"/>
      <c r="AF338" s="52"/>
      <c r="AG338" s="51"/>
      <c r="AH338" s="70"/>
      <c r="AI338" s="58"/>
      <c r="AJ338" s="55"/>
      <c r="AK338" s="51"/>
      <c r="AL338" s="69"/>
      <c r="AM338" s="56"/>
      <c r="AN338" s="52"/>
      <c r="AO338" s="51"/>
      <c r="AP338" s="70"/>
      <c r="AQ338" s="58"/>
      <c r="AR338" s="55"/>
      <c r="AS338" s="51"/>
      <c r="AT338" s="69"/>
      <c r="AU338" s="56"/>
      <c r="AV338" s="52"/>
      <c r="AW338" s="51"/>
      <c r="BR338" s="34" t="str">
        <f>IF(E338="","",CONCATENATE(E338," ",F338," noches"))</f>
        <v/>
      </c>
      <c r="BS338" s="28" t="str">
        <f t="shared" ca="1" si="89"/>
        <v/>
      </c>
      <c r="BT338" s="28" t="str">
        <f t="shared" ca="1" si="90"/>
        <v/>
      </c>
    </row>
    <row r="339" spans="1:72" x14ac:dyDescent="0.2">
      <c r="A339" s="18" t="str" cm="1">
        <f t="array" aca="1" ref="A339" ca="1">IF(B339="","","Grupo N˚"&amp;SUMPRODUCT(($B$4:B339&lt;&gt;"")*($B$4:B339&lt;&gt;OFFSET($B$4,-1,0,ROWS($B$4:B339),1))))</f>
        <v/>
      </c>
      <c r="B339" s="31"/>
      <c r="C339" s="31"/>
      <c r="D339" s="31"/>
      <c r="E339" s="31"/>
      <c r="F339" s="32"/>
      <c r="G339" s="33"/>
      <c r="H339" s="33"/>
      <c r="I339" s="20" t="str">
        <f t="shared" si="79"/>
        <v/>
      </c>
      <c r="J339" s="21" t="str">
        <f>IFERROR(VLOOKUP(BR339,Pricing!$D$3:$E$58,2,FALSE),"")</f>
        <v/>
      </c>
      <c r="K339" s="32"/>
      <c r="L339" s="32"/>
      <c r="M339" s="32"/>
      <c r="N339" s="36" t="str" cm="1">
        <f t="array" ref="N339">IFERROR(_xlfn.IFS((AND(K339="SI",M339="$")),J339*0.2,AND(K339="SI",M339="%"),20),"")</f>
        <v/>
      </c>
      <c r="O339" s="29" t="str">
        <f t="shared" si="80"/>
        <v/>
      </c>
      <c r="P339" s="21" t="str">
        <f t="shared" si="81"/>
        <v/>
      </c>
      <c r="Q339" s="21" t="str">
        <f t="shared" si="82"/>
        <v/>
      </c>
      <c r="R339" s="21" t="str">
        <f t="shared" si="83"/>
        <v/>
      </c>
      <c r="S339" s="39"/>
      <c r="T339" s="43" t="str">
        <f t="shared" si="91"/>
        <v/>
      </c>
      <c r="U339" s="49" t="str">
        <f t="shared" si="92"/>
        <v/>
      </c>
      <c r="V339" s="48" t="str">
        <f t="shared" si="93"/>
        <v/>
      </c>
      <c r="W339" s="48" t="str">
        <f t="shared" si="84"/>
        <v/>
      </c>
      <c r="X339" s="50" t="str">
        <f>IF(W339="","",SUMIF($B$4:$B$1002,B339,$W$4:$W$1000))</f>
        <v/>
      </c>
      <c r="Y339" s="43" t="str">
        <f t="shared" si="85"/>
        <v/>
      </c>
      <c r="Z339" s="49" t="str">
        <f t="shared" si="86"/>
        <v/>
      </c>
      <c r="AA339" s="48" t="str">
        <f t="shared" si="87"/>
        <v/>
      </c>
      <c r="AB339" s="49" t="str">
        <f t="shared" si="88"/>
        <v/>
      </c>
      <c r="AC339" s="50" t="str">
        <f>IF(AB339="","",SUMIF($B$4:$B$1002,B339,$AB$4:$AB$1000))</f>
        <v/>
      </c>
      <c r="AD339" s="69"/>
      <c r="AE339" s="56"/>
      <c r="AF339" s="52"/>
      <c r="AG339" s="51"/>
      <c r="AH339" s="70"/>
      <c r="AI339" s="58"/>
      <c r="AJ339" s="55"/>
      <c r="AK339" s="51"/>
      <c r="AL339" s="69"/>
      <c r="AM339" s="56"/>
      <c r="AN339" s="52"/>
      <c r="AO339" s="51"/>
      <c r="AP339" s="70"/>
      <c r="AQ339" s="58"/>
      <c r="AR339" s="55"/>
      <c r="AS339" s="51"/>
      <c r="AT339" s="69"/>
      <c r="AU339" s="56"/>
      <c r="AV339" s="52"/>
      <c r="AW339" s="51"/>
      <c r="BR339" s="34" t="str">
        <f>IF(E339="","",CONCATENATE(E339," ",F339," noches"))</f>
        <v/>
      </c>
      <c r="BS339" s="28" t="str">
        <f t="shared" ca="1" si="89"/>
        <v/>
      </c>
      <c r="BT339" s="28" t="str">
        <f t="shared" ca="1" si="90"/>
        <v/>
      </c>
    </row>
    <row r="340" spans="1:72" x14ac:dyDescent="0.2">
      <c r="A340" s="18" t="str" cm="1">
        <f t="array" aca="1" ref="A340" ca="1">IF(B340="","","Grupo N˚"&amp;SUMPRODUCT(($B$4:B340&lt;&gt;"")*($B$4:B340&lt;&gt;OFFSET($B$4,-1,0,ROWS($B$4:B340),1))))</f>
        <v/>
      </c>
      <c r="B340" s="31"/>
      <c r="C340" s="31"/>
      <c r="D340" s="31"/>
      <c r="E340" s="31"/>
      <c r="F340" s="32"/>
      <c r="G340" s="33"/>
      <c r="H340" s="33"/>
      <c r="I340" s="20" t="str">
        <f t="shared" si="79"/>
        <v/>
      </c>
      <c r="J340" s="21" t="str">
        <f>IFERROR(VLOOKUP(BR340,Pricing!$D$3:$E$58,2,FALSE),"")</f>
        <v/>
      </c>
      <c r="K340" s="32"/>
      <c r="L340" s="32"/>
      <c r="M340" s="32"/>
      <c r="N340" s="36" t="str" cm="1">
        <f t="array" ref="N340">IFERROR(_xlfn.IFS((AND(K340="SI",M340="$")),J340*0.2,AND(K340="SI",M340="%"),20),"")</f>
        <v/>
      </c>
      <c r="O340" s="29" t="str">
        <f t="shared" si="80"/>
        <v/>
      </c>
      <c r="P340" s="21" t="str">
        <f t="shared" si="81"/>
        <v/>
      </c>
      <c r="Q340" s="21" t="str">
        <f t="shared" si="82"/>
        <v/>
      </c>
      <c r="R340" s="21" t="str">
        <f t="shared" si="83"/>
        <v/>
      </c>
      <c r="S340" s="39"/>
      <c r="T340" s="43" t="str">
        <f t="shared" si="91"/>
        <v/>
      </c>
      <c r="U340" s="49" t="str">
        <f t="shared" si="92"/>
        <v/>
      </c>
      <c r="V340" s="48" t="str">
        <f t="shared" si="93"/>
        <v/>
      </c>
      <c r="W340" s="48" t="str">
        <f t="shared" si="84"/>
        <v/>
      </c>
      <c r="X340" s="50" t="str">
        <f>IF(W340="","",SUMIF($B$4:$B$1002,B340,$W$4:$W$1000))</f>
        <v/>
      </c>
      <c r="Y340" s="43" t="str">
        <f t="shared" si="85"/>
        <v/>
      </c>
      <c r="Z340" s="49" t="str">
        <f t="shared" si="86"/>
        <v/>
      </c>
      <c r="AA340" s="48" t="str">
        <f t="shared" si="87"/>
        <v/>
      </c>
      <c r="AB340" s="49" t="str">
        <f t="shared" si="88"/>
        <v/>
      </c>
      <c r="AC340" s="50" t="str">
        <f>IF(AB340="","",SUMIF($B$4:$B$1002,B340,$AB$4:$AB$1000))</f>
        <v/>
      </c>
      <c r="AD340" s="69"/>
      <c r="AE340" s="56"/>
      <c r="AF340" s="52"/>
      <c r="AG340" s="51"/>
      <c r="AH340" s="70"/>
      <c r="AI340" s="58"/>
      <c r="AJ340" s="55"/>
      <c r="AK340" s="51"/>
      <c r="AL340" s="69"/>
      <c r="AM340" s="56"/>
      <c r="AN340" s="52"/>
      <c r="AO340" s="51"/>
      <c r="AP340" s="70"/>
      <c r="AQ340" s="58"/>
      <c r="AR340" s="55"/>
      <c r="AS340" s="51"/>
      <c r="AT340" s="69"/>
      <c r="AU340" s="56"/>
      <c r="AV340" s="52"/>
      <c r="AW340" s="51"/>
      <c r="BR340" s="34" t="str">
        <f>IF(E340="","",CONCATENATE(E340," ",F340," noches"))</f>
        <v/>
      </c>
      <c r="BS340" s="28" t="str">
        <f t="shared" ca="1" si="89"/>
        <v/>
      </c>
      <c r="BT340" s="28" t="str">
        <f t="shared" ca="1" si="90"/>
        <v/>
      </c>
    </row>
    <row r="341" spans="1:72" x14ac:dyDescent="0.2">
      <c r="A341" s="18" t="str" cm="1">
        <f t="array" aca="1" ref="A341" ca="1">IF(B341="","","Grupo N˚"&amp;SUMPRODUCT(($B$4:B341&lt;&gt;"")*($B$4:B341&lt;&gt;OFFSET($B$4,-1,0,ROWS($B$4:B341),1))))</f>
        <v/>
      </c>
      <c r="B341" s="31"/>
      <c r="C341" s="31"/>
      <c r="D341" s="31"/>
      <c r="E341" s="31"/>
      <c r="F341" s="32"/>
      <c r="G341" s="33"/>
      <c r="H341" s="33"/>
      <c r="I341" s="20" t="str">
        <f t="shared" si="79"/>
        <v/>
      </c>
      <c r="J341" s="21" t="str">
        <f>IFERROR(VLOOKUP(BR341,Pricing!$D$3:$E$58,2,FALSE),"")</f>
        <v/>
      </c>
      <c r="K341" s="32"/>
      <c r="L341" s="32"/>
      <c r="M341" s="32"/>
      <c r="N341" s="36" t="str" cm="1">
        <f t="array" ref="N341">IFERROR(_xlfn.IFS((AND(K341="SI",M341="$")),J341*0.2,AND(K341="SI",M341="%"),20),"")</f>
        <v/>
      </c>
      <c r="O341" s="29" t="str">
        <f t="shared" si="80"/>
        <v/>
      </c>
      <c r="P341" s="21" t="str">
        <f t="shared" si="81"/>
        <v/>
      </c>
      <c r="Q341" s="21" t="str">
        <f t="shared" si="82"/>
        <v/>
      </c>
      <c r="R341" s="21" t="str">
        <f t="shared" si="83"/>
        <v/>
      </c>
      <c r="S341" s="39"/>
      <c r="T341" s="43" t="str">
        <f t="shared" si="91"/>
        <v/>
      </c>
      <c r="U341" s="49" t="str">
        <f t="shared" si="92"/>
        <v/>
      </c>
      <c r="V341" s="48" t="str">
        <f t="shared" si="93"/>
        <v/>
      </c>
      <c r="W341" s="48" t="str">
        <f t="shared" si="84"/>
        <v/>
      </c>
      <c r="X341" s="50" t="str">
        <f>IF(W341="","",SUMIF($B$4:$B$1002,B341,$W$4:$W$1000))</f>
        <v/>
      </c>
      <c r="Y341" s="43" t="str">
        <f t="shared" si="85"/>
        <v/>
      </c>
      <c r="Z341" s="49" t="str">
        <f t="shared" si="86"/>
        <v/>
      </c>
      <c r="AA341" s="48" t="str">
        <f t="shared" si="87"/>
        <v/>
      </c>
      <c r="AB341" s="49" t="str">
        <f t="shared" si="88"/>
        <v/>
      </c>
      <c r="AC341" s="50" t="str">
        <f>IF(AB341="","",SUMIF($B$4:$B$1002,B341,$AB$4:$AB$1000))</f>
        <v/>
      </c>
      <c r="AD341" s="69"/>
      <c r="AE341" s="56"/>
      <c r="AF341" s="52"/>
      <c r="AG341" s="51"/>
      <c r="AH341" s="70"/>
      <c r="AI341" s="58"/>
      <c r="AJ341" s="55"/>
      <c r="AK341" s="51"/>
      <c r="AL341" s="69"/>
      <c r="AM341" s="56"/>
      <c r="AN341" s="52"/>
      <c r="AO341" s="51"/>
      <c r="AP341" s="70"/>
      <c r="AQ341" s="58"/>
      <c r="AR341" s="55"/>
      <c r="AS341" s="51"/>
      <c r="AT341" s="69"/>
      <c r="AU341" s="56"/>
      <c r="AV341" s="52"/>
      <c r="AW341" s="51"/>
      <c r="BR341" s="34" t="str">
        <f>IF(E341="","",CONCATENATE(E341," ",F341," noches"))</f>
        <v/>
      </c>
      <c r="BS341" s="28" t="str">
        <f t="shared" ca="1" si="89"/>
        <v/>
      </c>
      <c r="BT341" s="28" t="str">
        <f t="shared" ca="1" si="90"/>
        <v/>
      </c>
    </row>
    <row r="342" spans="1:72" x14ac:dyDescent="0.2">
      <c r="A342" s="18" t="str" cm="1">
        <f t="array" aca="1" ref="A342" ca="1">IF(B342="","","Grupo N˚"&amp;SUMPRODUCT(($B$4:B342&lt;&gt;"")*($B$4:B342&lt;&gt;OFFSET($B$4,-1,0,ROWS($B$4:B342),1))))</f>
        <v/>
      </c>
      <c r="B342" s="31"/>
      <c r="C342" s="31"/>
      <c r="D342" s="31"/>
      <c r="E342" s="31"/>
      <c r="F342" s="32"/>
      <c r="G342" s="33"/>
      <c r="H342" s="33"/>
      <c r="I342" s="20" t="str">
        <f t="shared" si="79"/>
        <v/>
      </c>
      <c r="J342" s="21" t="str">
        <f>IFERROR(VLOOKUP(BR342,Pricing!$D$3:$E$58,2,FALSE),"")</f>
        <v/>
      </c>
      <c r="K342" s="32"/>
      <c r="L342" s="32"/>
      <c r="M342" s="32"/>
      <c r="N342" s="36" t="str" cm="1">
        <f t="array" ref="N342">IFERROR(_xlfn.IFS((AND(K342="SI",M342="$")),J342*0.2,AND(K342="SI",M342="%"),20),"")</f>
        <v/>
      </c>
      <c r="O342" s="29" t="str">
        <f t="shared" si="80"/>
        <v/>
      </c>
      <c r="P342" s="21" t="str">
        <f t="shared" si="81"/>
        <v/>
      </c>
      <c r="Q342" s="21" t="str">
        <f t="shared" si="82"/>
        <v/>
      </c>
      <c r="R342" s="21" t="str">
        <f t="shared" si="83"/>
        <v/>
      </c>
      <c r="S342" s="39"/>
      <c r="T342" s="43" t="str">
        <f t="shared" si="91"/>
        <v/>
      </c>
      <c r="U342" s="49" t="str">
        <f t="shared" si="92"/>
        <v/>
      </c>
      <c r="V342" s="48" t="str">
        <f t="shared" si="93"/>
        <v/>
      </c>
      <c r="W342" s="48" t="str">
        <f t="shared" si="84"/>
        <v/>
      </c>
      <c r="X342" s="50" t="str">
        <f>IF(W342="","",SUMIF($B$4:$B$1002,B342,$W$4:$W$1000))</f>
        <v/>
      </c>
      <c r="Y342" s="43" t="str">
        <f t="shared" si="85"/>
        <v/>
      </c>
      <c r="Z342" s="49" t="str">
        <f t="shared" si="86"/>
        <v/>
      </c>
      <c r="AA342" s="48" t="str">
        <f t="shared" si="87"/>
        <v/>
      </c>
      <c r="AB342" s="49" t="str">
        <f t="shared" si="88"/>
        <v/>
      </c>
      <c r="AC342" s="50" t="str">
        <f>IF(AB342="","",SUMIF($B$4:$B$1002,B342,$AB$4:$AB$1000))</f>
        <v/>
      </c>
      <c r="AD342" s="69"/>
      <c r="AE342" s="56"/>
      <c r="AF342" s="52"/>
      <c r="AG342" s="51"/>
      <c r="AH342" s="70"/>
      <c r="AI342" s="58"/>
      <c r="AJ342" s="55"/>
      <c r="AK342" s="51"/>
      <c r="AL342" s="69"/>
      <c r="AM342" s="56"/>
      <c r="AN342" s="52"/>
      <c r="AO342" s="51"/>
      <c r="AP342" s="70"/>
      <c r="AQ342" s="58"/>
      <c r="AR342" s="55"/>
      <c r="AS342" s="51"/>
      <c r="AT342" s="69"/>
      <c r="AU342" s="56"/>
      <c r="AV342" s="52"/>
      <c r="AW342" s="51"/>
      <c r="BR342" s="34" t="str">
        <f>IF(E342="","",CONCATENATE(E342," ",F342," noches"))</f>
        <v/>
      </c>
      <c r="BS342" s="28" t="str">
        <f t="shared" ca="1" si="89"/>
        <v/>
      </c>
      <c r="BT342" s="28" t="str">
        <f t="shared" ca="1" si="90"/>
        <v/>
      </c>
    </row>
    <row r="343" spans="1:72" x14ac:dyDescent="0.2">
      <c r="A343" s="18" t="str" cm="1">
        <f t="array" aca="1" ref="A343" ca="1">IF(B343="","","Grupo N˚"&amp;SUMPRODUCT(($B$4:B343&lt;&gt;"")*($B$4:B343&lt;&gt;OFFSET($B$4,-1,0,ROWS($B$4:B343),1))))</f>
        <v/>
      </c>
      <c r="B343" s="31"/>
      <c r="C343" s="31"/>
      <c r="D343" s="31"/>
      <c r="E343" s="31"/>
      <c r="F343" s="32"/>
      <c r="G343" s="33"/>
      <c r="H343" s="33"/>
      <c r="I343" s="20" t="str">
        <f t="shared" si="79"/>
        <v/>
      </c>
      <c r="J343" s="21" t="str">
        <f>IFERROR(VLOOKUP(BR343,Pricing!$D$3:$E$58,2,FALSE),"")</f>
        <v/>
      </c>
      <c r="K343" s="32"/>
      <c r="L343" s="32"/>
      <c r="M343" s="32"/>
      <c r="N343" s="36" t="str" cm="1">
        <f t="array" ref="N343">IFERROR(_xlfn.IFS((AND(K343="SI",M343="$")),J343*0.2,AND(K343="SI",M343="%"),20),"")</f>
        <v/>
      </c>
      <c r="O343" s="29" t="str">
        <f t="shared" si="80"/>
        <v/>
      </c>
      <c r="P343" s="21" t="str">
        <f t="shared" si="81"/>
        <v/>
      </c>
      <c r="Q343" s="21" t="str">
        <f t="shared" si="82"/>
        <v/>
      </c>
      <c r="R343" s="21" t="str">
        <f t="shared" si="83"/>
        <v/>
      </c>
      <c r="S343" s="39"/>
      <c r="T343" s="43" t="str">
        <f t="shared" si="91"/>
        <v/>
      </c>
      <c r="U343" s="49" t="str">
        <f t="shared" si="92"/>
        <v/>
      </c>
      <c r="V343" s="48" t="str">
        <f t="shared" si="93"/>
        <v/>
      </c>
      <c r="W343" s="48" t="str">
        <f t="shared" si="84"/>
        <v/>
      </c>
      <c r="X343" s="50" t="str">
        <f>IF(W343="","",SUMIF($B$4:$B$1002,B343,$W$4:$W$1000))</f>
        <v/>
      </c>
      <c r="Y343" s="43" t="str">
        <f t="shared" si="85"/>
        <v/>
      </c>
      <c r="Z343" s="49" t="str">
        <f t="shared" si="86"/>
        <v/>
      </c>
      <c r="AA343" s="48" t="str">
        <f t="shared" si="87"/>
        <v/>
      </c>
      <c r="AB343" s="49" t="str">
        <f t="shared" si="88"/>
        <v/>
      </c>
      <c r="AC343" s="50" t="str">
        <f>IF(AB343="","",SUMIF($B$4:$B$1002,B343,$AB$4:$AB$1000))</f>
        <v/>
      </c>
      <c r="AD343" s="69"/>
      <c r="AE343" s="56"/>
      <c r="AF343" s="52"/>
      <c r="AG343" s="51"/>
      <c r="AH343" s="70"/>
      <c r="AI343" s="58"/>
      <c r="AJ343" s="55"/>
      <c r="AK343" s="51"/>
      <c r="AL343" s="69"/>
      <c r="AM343" s="56"/>
      <c r="AN343" s="52"/>
      <c r="AO343" s="51"/>
      <c r="AP343" s="70"/>
      <c r="AQ343" s="58"/>
      <c r="AR343" s="55"/>
      <c r="AS343" s="51"/>
      <c r="AT343" s="69"/>
      <c r="AU343" s="56"/>
      <c r="AV343" s="52"/>
      <c r="AW343" s="51"/>
      <c r="BR343" s="34" t="str">
        <f>IF(E343="","",CONCATENATE(E343," ",F343," noches"))</f>
        <v/>
      </c>
      <c r="BS343" s="28" t="str">
        <f t="shared" ca="1" si="89"/>
        <v/>
      </c>
      <c r="BT343" s="28" t="str">
        <f t="shared" ca="1" si="90"/>
        <v/>
      </c>
    </row>
    <row r="344" spans="1:72" x14ac:dyDescent="0.2">
      <c r="A344" s="18" t="str" cm="1">
        <f t="array" aca="1" ref="A344" ca="1">IF(B344="","","Grupo N˚"&amp;SUMPRODUCT(($B$4:B344&lt;&gt;"")*($B$4:B344&lt;&gt;OFFSET($B$4,-1,0,ROWS($B$4:B344),1))))</f>
        <v/>
      </c>
      <c r="B344" s="31"/>
      <c r="C344" s="31"/>
      <c r="D344" s="31"/>
      <c r="E344" s="31"/>
      <c r="F344" s="32"/>
      <c r="G344" s="33"/>
      <c r="H344" s="33"/>
      <c r="I344" s="20" t="str">
        <f t="shared" si="79"/>
        <v/>
      </c>
      <c r="J344" s="21" t="str">
        <f>IFERROR(VLOOKUP(BR344,Pricing!$D$3:$E$58,2,FALSE),"")</f>
        <v/>
      </c>
      <c r="K344" s="32"/>
      <c r="L344" s="32"/>
      <c r="M344" s="32"/>
      <c r="N344" s="36" t="str" cm="1">
        <f t="array" ref="N344">IFERROR(_xlfn.IFS((AND(K344="SI",M344="$")),J344*0.2,AND(K344="SI",M344="%"),20),"")</f>
        <v/>
      </c>
      <c r="O344" s="29" t="str">
        <f t="shared" si="80"/>
        <v/>
      </c>
      <c r="P344" s="21" t="str">
        <f t="shared" si="81"/>
        <v/>
      </c>
      <c r="Q344" s="21" t="str">
        <f t="shared" si="82"/>
        <v/>
      </c>
      <c r="R344" s="21" t="str">
        <f t="shared" si="83"/>
        <v/>
      </c>
      <c r="S344" s="39"/>
      <c r="T344" s="43" t="str">
        <f t="shared" si="91"/>
        <v/>
      </c>
      <c r="U344" s="49" t="str">
        <f t="shared" si="92"/>
        <v/>
      </c>
      <c r="V344" s="48" t="str">
        <f t="shared" si="93"/>
        <v/>
      </c>
      <c r="W344" s="48" t="str">
        <f t="shared" si="84"/>
        <v/>
      </c>
      <c r="X344" s="50" t="str">
        <f>IF(W344="","",SUMIF($B$4:$B$1002,B344,$W$4:$W$1000))</f>
        <v/>
      </c>
      <c r="Y344" s="43" t="str">
        <f t="shared" si="85"/>
        <v/>
      </c>
      <c r="Z344" s="49" t="str">
        <f t="shared" si="86"/>
        <v/>
      </c>
      <c r="AA344" s="48" t="str">
        <f t="shared" si="87"/>
        <v/>
      </c>
      <c r="AB344" s="49" t="str">
        <f t="shared" si="88"/>
        <v/>
      </c>
      <c r="AC344" s="50" t="str">
        <f>IF(AB344="","",SUMIF($B$4:$B$1002,B344,$AB$4:$AB$1000))</f>
        <v/>
      </c>
      <c r="AD344" s="69"/>
      <c r="AE344" s="56"/>
      <c r="AF344" s="52"/>
      <c r="AG344" s="51"/>
      <c r="AH344" s="70"/>
      <c r="AI344" s="58"/>
      <c r="AJ344" s="55"/>
      <c r="AK344" s="51"/>
      <c r="AL344" s="69"/>
      <c r="AM344" s="56"/>
      <c r="AN344" s="52"/>
      <c r="AO344" s="51"/>
      <c r="AP344" s="70"/>
      <c r="AQ344" s="58"/>
      <c r="AR344" s="55"/>
      <c r="AS344" s="51"/>
      <c r="AT344" s="69"/>
      <c r="AU344" s="56"/>
      <c r="AV344" s="52"/>
      <c r="AW344" s="51"/>
      <c r="BR344" s="34" t="str">
        <f>IF(E344="","",CONCATENATE(E344," ",F344," noches"))</f>
        <v/>
      </c>
      <c r="BS344" s="28" t="str">
        <f t="shared" ca="1" si="89"/>
        <v/>
      </c>
      <c r="BT344" s="28" t="str">
        <f t="shared" ca="1" si="90"/>
        <v/>
      </c>
    </row>
    <row r="345" spans="1:72" x14ac:dyDescent="0.2">
      <c r="A345" s="18" t="str" cm="1">
        <f t="array" aca="1" ref="A345" ca="1">IF(B345="","","Grupo N˚"&amp;SUMPRODUCT(($B$4:B345&lt;&gt;"")*($B$4:B345&lt;&gt;OFFSET($B$4,-1,0,ROWS($B$4:B345),1))))</f>
        <v/>
      </c>
      <c r="B345" s="31"/>
      <c r="C345" s="31"/>
      <c r="D345" s="31"/>
      <c r="E345" s="31"/>
      <c r="F345" s="32"/>
      <c r="G345" s="33"/>
      <c r="H345" s="33"/>
      <c r="I345" s="20" t="str">
        <f t="shared" si="79"/>
        <v/>
      </c>
      <c r="J345" s="21" t="str">
        <f>IFERROR(VLOOKUP(BR345,Pricing!$D$3:$E$58,2,FALSE),"")</f>
        <v/>
      </c>
      <c r="K345" s="32"/>
      <c r="L345" s="32"/>
      <c r="M345" s="32"/>
      <c r="N345" s="36" t="str" cm="1">
        <f t="array" ref="N345">IFERROR(_xlfn.IFS((AND(K345="SI",M345="$")),J345*0.2,AND(K345="SI",M345="%"),20),"")</f>
        <v/>
      </c>
      <c r="O345" s="29" t="str">
        <f t="shared" si="80"/>
        <v/>
      </c>
      <c r="P345" s="21" t="str">
        <f t="shared" si="81"/>
        <v/>
      </c>
      <c r="Q345" s="21" t="str">
        <f t="shared" si="82"/>
        <v/>
      </c>
      <c r="R345" s="21" t="str">
        <f t="shared" si="83"/>
        <v/>
      </c>
      <c r="S345" s="39"/>
      <c r="T345" s="43" t="str">
        <f t="shared" si="91"/>
        <v/>
      </c>
      <c r="U345" s="49" t="str">
        <f t="shared" si="92"/>
        <v/>
      </c>
      <c r="V345" s="48" t="str">
        <f t="shared" si="93"/>
        <v/>
      </c>
      <c r="W345" s="48" t="str">
        <f t="shared" si="84"/>
        <v/>
      </c>
      <c r="X345" s="50" t="str">
        <f>IF(W345="","",SUMIF($B$4:$B$1002,B345,$W$4:$W$1000))</f>
        <v/>
      </c>
      <c r="Y345" s="43" t="str">
        <f t="shared" si="85"/>
        <v/>
      </c>
      <c r="Z345" s="49" t="str">
        <f t="shared" si="86"/>
        <v/>
      </c>
      <c r="AA345" s="48" t="str">
        <f t="shared" si="87"/>
        <v/>
      </c>
      <c r="AB345" s="49" t="str">
        <f t="shared" si="88"/>
        <v/>
      </c>
      <c r="AC345" s="50" t="str">
        <f>IF(AB345="","",SUMIF($B$4:$B$1002,B345,$AB$4:$AB$1000))</f>
        <v/>
      </c>
      <c r="AD345" s="69"/>
      <c r="AE345" s="56"/>
      <c r="AF345" s="52"/>
      <c r="AG345" s="51"/>
      <c r="AH345" s="70"/>
      <c r="AI345" s="58"/>
      <c r="AJ345" s="55"/>
      <c r="AK345" s="51"/>
      <c r="AL345" s="69"/>
      <c r="AM345" s="56"/>
      <c r="AN345" s="52"/>
      <c r="AO345" s="51"/>
      <c r="AP345" s="70"/>
      <c r="AQ345" s="58"/>
      <c r="AR345" s="55"/>
      <c r="AS345" s="51"/>
      <c r="AT345" s="69"/>
      <c r="AU345" s="56"/>
      <c r="AV345" s="52"/>
      <c r="AW345" s="51"/>
      <c r="BR345" s="34" t="str">
        <f>IF(E345="","",CONCATENATE(E345," ",F345," noches"))</f>
        <v/>
      </c>
      <c r="BS345" s="28" t="str">
        <f t="shared" ca="1" si="89"/>
        <v/>
      </c>
      <c r="BT345" s="28" t="str">
        <f t="shared" ca="1" si="90"/>
        <v/>
      </c>
    </row>
    <row r="346" spans="1:72" x14ac:dyDescent="0.2">
      <c r="A346" s="18" t="str" cm="1">
        <f t="array" aca="1" ref="A346" ca="1">IF(B346="","","Grupo N˚"&amp;SUMPRODUCT(($B$4:B346&lt;&gt;"")*($B$4:B346&lt;&gt;OFFSET($B$4,-1,0,ROWS($B$4:B346),1))))</f>
        <v/>
      </c>
      <c r="B346" s="31"/>
      <c r="C346" s="31"/>
      <c r="D346" s="31"/>
      <c r="E346" s="31"/>
      <c r="F346" s="32"/>
      <c r="G346" s="33"/>
      <c r="H346" s="33"/>
      <c r="I346" s="20" t="str">
        <f t="shared" si="79"/>
        <v/>
      </c>
      <c r="J346" s="21" t="str">
        <f>IFERROR(VLOOKUP(BR346,Pricing!$D$3:$E$58,2,FALSE),"")</f>
        <v/>
      </c>
      <c r="K346" s="32"/>
      <c r="L346" s="32"/>
      <c r="M346" s="32"/>
      <c r="N346" s="36" t="str" cm="1">
        <f t="array" ref="N346">IFERROR(_xlfn.IFS((AND(K346="SI",M346="$")),J346*0.2,AND(K346="SI",M346="%"),20),"")</f>
        <v/>
      </c>
      <c r="O346" s="29" t="str">
        <f t="shared" si="80"/>
        <v/>
      </c>
      <c r="P346" s="21" t="str">
        <f t="shared" si="81"/>
        <v/>
      </c>
      <c r="Q346" s="21" t="str">
        <f t="shared" si="82"/>
        <v/>
      </c>
      <c r="R346" s="21" t="str">
        <f t="shared" si="83"/>
        <v/>
      </c>
      <c r="S346" s="39"/>
      <c r="T346" s="43" t="str">
        <f t="shared" si="91"/>
        <v/>
      </c>
      <c r="U346" s="49" t="str">
        <f t="shared" si="92"/>
        <v/>
      </c>
      <c r="V346" s="48" t="str">
        <f t="shared" si="93"/>
        <v/>
      </c>
      <c r="W346" s="48" t="str">
        <f t="shared" si="84"/>
        <v/>
      </c>
      <c r="X346" s="50" t="str">
        <f>IF(W346="","",SUMIF($B$4:$B$1002,B346,$W$4:$W$1000))</f>
        <v/>
      </c>
      <c r="Y346" s="43" t="str">
        <f t="shared" si="85"/>
        <v/>
      </c>
      <c r="Z346" s="49" t="str">
        <f t="shared" si="86"/>
        <v/>
      </c>
      <c r="AA346" s="48" t="str">
        <f t="shared" si="87"/>
        <v/>
      </c>
      <c r="AB346" s="49" t="str">
        <f t="shared" si="88"/>
        <v/>
      </c>
      <c r="AC346" s="50" t="str">
        <f>IF(AB346="","",SUMIF($B$4:$B$1002,B346,$AB$4:$AB$1000))</f>
        <v/>
      </c>
      <c r="AD346" s="69"/>
      <c r="AE346" s="56"/>
      <c r="AF346" s="52"/>
      <c r="AG346" s="51"/>
      <c r="AH346" s="70"/>
      <c r="AI346" s="58"/>
      <c r="AJ346" s="55"/>
      <c r="AK346" s="51"/>
      <c r="AL346" s="69"/>
      <c r="AM346" s="56"/>
      <c r="AN346" s="52"/>
      <c r="AO346" s="51"/>
      <c r="AP346" s="70"/>
      <c r="AQ346" s="58"/>
      <c r="AR346" s="55"/>
      <c r="AS346" s="51"/>
      <c r="AT346" s="69"/>
      <c r="AU346" s="56"/>
      <c r="AV346" s="52"/>
      <c r="AW346" s="51"/>
      <c r="BR346" s="34" t="str">
        <f>IF(E346="","",CONCATENATE(E346," ",F346," noches"))</f>
        <v/>
      </c>
      <c r="BS346" s="28" t="str">
        <f t="shared" ca="1" si="89"/>
        <v/>
      </c>
      <c r="BT346" s="28" t="str">
        <f t="shared" ca="1" si="90"/>
        <v/>
      </c>
    </row>
    <row r="347" spans="1:72" x14ac:dyDescent="0.2">
      <c r="A347" s="18" t="str" cm="1">
        <f t="array" aca="1" ref="A347" ca="1">IF(B347="","","Grupo N˚"&amp;SUMPRODUCT(($B$4:B347&lt;&gt;"")*($B$4:B347&lt;&gt;OFFSET($B$4,-1,0,ROWS($B$4:B347),1))))</f>
        <v/>
      </c>
      <c r="B347" s="31"/>
      <c r="C347" s="31"/>
      <c r="D347" s="31"/>
      <c r="E347" s="31"/>
      <c r="F347" s="32"/>
      <c r="G347" s="33"/>
      <c r="H347" s="33"/>
      <c r="I347" s="20" t="str">
        <f t="shared" si="79"/>
        <v/>
      </c>
      <c r="J347" s="21" t="str">
        <f>IFERROR(VLOOKUP(BR347,Pricing!$D$3:$E$58,2,FALSE),"")</f>
        <v/>
      </c>
      <c r="K347" s="32"/>
      <c r="L347" s="32"/>
      <c r="M347" s="32"/>
      <c r="N347" s="36" t="str" cm="1">
        <f t="array" ref="N347">IFERROR(_xlfn.IFS((AND(K347="SI",M347="$")),J347*0.2,AND(K347="SI",M347="%"),20),"")</f>
        <v/>
      </c>
      <c r="O347" s="29" t="str">
        <f t="shared" si="80"/>
        <v/>
      </c>
      <c r="P347" s="21" t="str">
        <f t="shared" si="81"/>
        <v/>
      </c>
      <c r="Q347" s="21" t="str">
        <f t="shared" si="82"/>
        <v/>
      </c>
      <c r="R347" s="21" t="str">
        <f t="shared" si="83"/>
        <v/>
      </c>
      <c r="S347" s="39"/>
      <c r="T347" s="43" t="str">
        <f t="shared" si="91"/>
        <v/>
      </c>
      <c r="U347" s="49" t="str">
        <f t="shared" si="92"/>
        <v/>
      </c>
      <c r="V347" s="48" t="str">
        <f t="shared" si="93"/>
        <v/>
      </c>
      <c r="W347" s="48" t="str">
        <f t="shared" si="84"/>
        <v/>
      </c>
      <c r="X347" s="50" t="str">
        <f>IF(W347="","",SUMIF($B$4:$B$1002,B347,$W$4:$W$1000))</f>
        <v/>
      </c>
      <c r="Y347" s="43" t="str">
        <f t="shared" si="85"/>
        <v/>
      </c>
      <c r="Z347" s="49" t="str">
        <f t="shared" si="86"/>
        <v/>
      </c>
      <c r="AA347" s="48" t="str">
        <f t="shared" si="87"/>
        <v/>
      </c>
      <c r="AB347" s="49" t="str">
        <f t="shared" si="88"/>
        <v/>
      </c>
      <c r="AC347" s="50" t="str">
        <f>IF(AB347="","",SUMIF($B$4:$B$1002,B347,$AB$4:$AB$1000))</f>
        <v/>
      </c>
      <c r="AD347" s="69"/>
      <c r="AE347" s="56"/>
      <c r="AF347" s="52"/>
      <c r="AG347" s="51"/>
      <c r="AH347" s="70"/>
      <c r="AI347" s="58"/>
      <c r="AJ347" s="55"/>
      <c r="AK347" s="51"/>
      <c r="AL347" s="69"/>
      <c r="AM347" s="56"/>
      <c r="AN347" s="52"/>
      <c r="AO347" s="51"/>
      <c r="AP347" s="70"/>
      <c r="AQ347" s="58"/>
      <c r="AR347" s="55"/>
      <c r="AS347" s="51"/>
      <c r="AT347" s="69"/>
      <c r="AU347" s="56"/>
      <c r="AV347" s="52"/>
      <c r="AW347" s="51"/>
      <c r="BR347" s="34" t="str">
        <f>IF(E347="","",CONCATENATE(E347," ",F347," noches"))</f>
        <v/>
      </c>
      <c r="BS347" s="28" t="str">
        <f t="shared" ca="1" si="89"/>
        <v/>
      </c>
      <c r="BT347" s="28" t="str">
        <f t="shared" ca="1" si="90"/>
        <v/>
      </c>
    </row>
    <row r="348" spans="1:72" x14ac:dyDescent="0.2">
      <c r="A348" s="18" t="str" cm="1">
        <f t="array" aca="1" ref="A348" ca="1">IF(B348="","","Grupo N˚"&amp;SUMPRODUCT(($B$4:B348&lt;&gt;"")*($B$4:B348&lt;&gt;OFFSET($B$4,-1,0,ROWS($B$4:B348),1))))</f>
        <v/>
      </c>
      <c r="B348" s="31"/>
      <c r="C348" s="31"/>
      <c r="D348" s="31"/>
      <c r="E348" s="31"/>
      <c r="F348" s="32"/>
      <c r="G348" s="33"/>
      <c r="H348" s="33"/>
      <c r="I348" s="20" t="str">
        <f t="shared" si="79"/>
        <v/>
      </c>
      <c r="J348" s="21" t="str">
        <f>IFERROR(VLOOKUP(BR348,Pricing!$D$3:$E$58,2,FALSE),"")</f>
        <v/>
      </c>
      <c r="K348" s="32"/>
      <c r="L348" s="32"/>
      <c r="M348" s="32"/>
      <c r="N348" s="36" t="str" cm="1">
        <f t="array" ref="N348">IFERROR(_xlfn.IFS((AND(K348="SI",M348="$")),J348*0.2,AND(K348="SI",M348="%"),20),"")</f>
        <v/>
      </c>
      <c r="O348" s="29" t="str">
        <f t="shared" si="80"/>
        <v/>
      </c>
      <c r="P348" s="21" t="str">
        <f t="shared" si="81"/>
        <v/>
      </c>
      <c r="Q348" s="21" t="str">
        <f t="shared" si="82"/>
        <v/>
      </c>
      <c r="R348" s="21" t="str">
        <f t="shared" si="83"/>
        <v/>
      </c>
      <c r="S348" s="39"/>
      <c r="T348" s="43" t="str">
        <f t="shared" si="91"/>
        <v/>
      </c>
      <c r="U348" s="49" t="str">
        <f t="shared" si="92"/>
        <v/>
      </c>
      <c r="V348" s="48" t="str">
        <f t="shared" si="93"/>
        <v/>
      </c>
      <c r="W348" s="48" t="str">
        <f t="shared" si="84"/>
        <v/>
      </c>
      <c r="X348" s="50" t="str">
        <f>IF(W348="","",SUMIF($B$4:$B$1002,B348,$W$4:$W$1000))</f>
        <v/>
      </c>
      <c r="Y348" s="43" t="str">
        <f t="shared" si="85"/>
        <v/>
      </c>
      <c r="Z348" s="49" t="str">
        <f t="shared" si="86"/>
        <v/>
      </c>
      <c r="AA348" s="48" t="str">
        <f t="shared" si="87"/>
        <v/>
      </c>
      <c r="AB348" s="49" t="str">
        <f t="shared" si="88"/>
        <v/>
      </c>
      <c r="AC348" s="50" t="str">
        <f>IF(AB348="","",SUMIF($B$4:$B$1002,B348,$AB$4:$AB$1000))</f>
        <v/>
      </c>
      <c r="AD348" s="69"/>
      <c r="AE348" s="56"/>
      <c r="AF348" s="52"/>
      <c r="AG348" s="51"/>
      <c r="AH348" s="70"/>
      <c r="AI348" s="58"/>
      <c r="AJ348" s="55"/>
      <c r="AK348" s="51"/>
      <c r="AL348" s="69"/>
      <c r="AM348" s="56"/>
      <c r="AN348" s="52"/>
      <c r="AO348" s="51"/>
      <c r="AP348" s="70"/>
      <c r="AQ348" s="58"/>
      <c r="AR348" s="55"/>
      <c r="AS348" s="51"/>
      <c r="AT348" s="69"/>
      <c r="AU348" s="56"/>
      <c r="AV348" s="52"/>
      <c r="AW348" s="51"/>
      <c r="BR348" s="34" t="str">
        <f>IF(E348="","",CONCATENATE(E348," ",F348," noches"))</f>
        <v/>
      </c>
      <c r="BS348" s="28" t="str">
        <f t="shared" ca="1" si="89"/>
        <v/>
      </c>
      <c r="BT348" s="28" t="str">
        <f t="shared" ca="1" si="90"/>
        <v/>
      </c>
    </row>
    <row r="349" spans="1:72" x14ac:dyDescent="0.2">
      <c r="A349" s="18" t="str" cm="1">
        <f t="array" aca="1" ref="A349" ca="1">IF(B349="","","Grupo N˚"&amp;SUMPRODUCT(($B$4:B349&lt;&gt;"")*($B$4:B349&lt;&gt;OFFSET($B$4,-1,0,ROWS($B$4:B349),1))))</f>
        <v/>
      </c>
      <c r="B349" s="31"/>
      <c r="C349" s="31"/>
      <c r="D349" s="31"/>
      <c r="E349" s="31"/>
      <c r="F349" s="32"/>
      <c r="G349" s="33"/>
      <c r="H349" s="33"/>
      <c r="I349" s="20" t="str">
        <f t="shared" si="79"/>
        <v/>
      </c>
      <c r="J349" s="21" t="str">
        <f>IFERROR(VLOOKUP(BR349,Pricing!$D$3:$E$58,2,FALSE),"")</f>
        <v/>
      </c>
      <c r="K349" s="32"/>
      <c r="L349" s="32"/>
      <c r="M349" s="32"/>
      <c r="N349" s="36" t="str" cm="1">
        <f t="array" ref="N349">IFERROR(_xlfn.IFS((AND(K349="SI",M349="$")),J349*0.2,AND(K349="SI",M349="%"),20),"")</f>
        <v/>
      </c>
      <c r="O349" s="29" t="str">
        <f t="shared" si="80"/>
        <v/>
      </c>
      <c r="P349" s="21" t="str">
        <f t="shared" si="81"/>
        <v/>
      </c>
      <c r="Q349" s="21" t="str">
        <f t="shared" si="82"/>
        <v/>
      </c>
      <c r="R349" s="21" t="str">
        <f t="shared" si="83"/>
        <v/>
      </c>
      <c r="S349" s="39"/>
      <c r="T349" s="43" t="str">
        <f t="shared" si="91"/>
        <v/>
      </c>
      <c r="U349" s="49" t="str">
        <f t="shared" si="92"/>
        <v/>
      </c>
      <c r="V349" s="48" t="str">
        <f t="shared" si="93"/>
        <v/>
      </c>
      <c r="W349" s="48" t="str">
        <f t="shared" si="84"/>
        <v/>
      </c>
      <c r="X349" s="50" t="str">
        <f>IF(W349="","",SUMIF($B$4:$B$1002,B349,$W$4:$W$1000))</f>
        <v/>
      </c>
      <c r="Y349" s="43" t="str">
        <f t="shared" si="85"/>
        <v/>
      </c>
      <c r="Z349" s="49" t="str">
        <f t="shared" si="86"/>
        <v/>
      </c>
      <c r="AA349" s="48" t="str">
        <f t="shared" si="87"/>
        <v/>
      </c>
      <c r="AB349" s="49" t="str">
        <f t="shared" si="88"/>
        <v/>
      </c>
      <c r="AC349" s="50" t="str">
        <f>IF(AB349="","",SUMIF($B$4:$B$1002,B349,$AB$4:$AB$1000))</f>
        <v/>
      </c>
      <c r="AD349" s="69"/>
      <c r="AE349" s="56"/>
      <c r="AF349" s="52"/>
      <c r="AG349" s="51"/>
      <c r="AH349" s="70"/>
      <c r="AI349" s="58"/>
      <c r="AJ349" s="55"/>
      <c r="AK349" s="51"/>
      <c r="AL349" s="69"/>
      <c r="AM349" s="56"/>
      <c r="AN349" s="52"/>
      <c r="AO349" s="51"/>
      <c r="AP349" s="70"/>
      <c r="AQ349" s="58"/>
      <c r="AR349" s="55"/>
      <c r="AS349" s="51"/>
      <c r="AT349" s="69"/>
      <c r="AU349" s="56"/>
      <c r="AV349" s="52"/>
      <c r="AW349" s="51"/>
      <c r="BR349" s="34" t="str">
        <f>IF(E349="","",CONCATENATE(E349," ",F349," noches"))</f>
        <v/>
      </c>
      <c r="BS349" s="28" t="str">
        <f t="shared" ca="1" si="89"/>
        <v/>
      </c>
      <c r="BT349" s="28" t="str">
        <f t="shared" ca="1" si="90"/>
        <v/>
      </c>
    </row>
    <row r="350" spans="1:72" x14ac:dyDescent="0.2">
      <c r="A350" s="18" t="str" cm="1">
        <f t="array" aca="1" ref="A350" ca="1">IF(B350="","","Grupo N˚"&amp;SUMPRODUCT(($B$4:B350&lt;&gt;"")*($B$4:B350&lt;&gt;OFFSET($B$4,-1,0,ROWS($B$4:B350),1))))</f>
        <v/>
      </c>
      <c r="B350" s="31"/>
      <c r="C350" s="31"/>
      <c r="D350" s="31"/>
      <c r="E350" s="31"/>
      <c r="F350" s="32"/>
      <c r="G350" s="33"/>
      <c r="H350" s="33"/>
      <c r="I350" s="20" t="str">
        <f t="shared" si="79"/>
        <v/>
      </c>
      <c r="J350" s="21" t="str">
        <f>IFERROR(VLOOKUP(BR350,Pricing!$D$3:$E$58,2,FALSE),"")</f>
        <v/>
      </c>
      <c r="K350" s="32"/>
      <c r="L350" s="32"/>
      <c r="M350" s="32"/>
      <c r="N350" s="36" t="str" cm="1">
        <f t="array" ref="N350">IFERROR(_xlfn.IFS((AND(K350="SI",M350="$")),J350*0.2,AND(K350="SI",M350="%"),20),"")</f>
        <v/>
      </c>
      <c r="O350" s="29" t="str">
        <f t="shared" si="80"/>
        <v/>
      </c>
      <c r="P350" s="21" t="str">
        <f t="shared" si="81"/>
        <v/>
      </c>
      <c r="Q350" s="21" t="str">
        <f t="shared" si="82"/>
        <v/>
      </c>
      <c r="R350" s="21" t="str">
        <f t="shared" si="83"/>
        <v/>
      </c>
      <c r="S350" s="39"/>
      <c r="T350" s="43" t="str">
        <f t="shared" si="91"/>
        <v/>
      </c>
      <c r="U350" s="49" t="str">
        <f t="shared" si="92"/>
        <v/>
      </c>
      <c r="V350" s="48" t="str">
        <f t="shared" si="93"/>
        <v/>
      </c>
      <c r="W350" s="48" t="str">
        <f t="shared" si="84"/>
        <v/>
      </c>
      <c r="X350" s="50" t="str">
        <f>IF(W350="","",SUMIF($B$4:$B$1002,B350,$W$4:$W$1000))</f>
        <v/>
      </c>
      <c r="Y350" s="43" t="str">
        <f t="shared" si="85"/>
        <v/>
      </c>
      <c r="Z350" s="49" t="str">
        <f t="shared" si="86"/>
        <v/>
      </c>
      <c r="AA350" s="48" t="str">
        <f t="shared" si="87"/>
        <v/>
      </c>
      <c r="AB350" s="49" t="str">
        <f t="shared" si="88"/>
        <v/>
      </c>
      <c r="AC350" s="50" t="str">
        <f>IF(AB350="","",SUMIF($B$4:$B$1002,B350,$AB$4:$AB$1000))</f>
        <v/>
      </c>
      <c r="AD350" s="69"/>
      <c r="AE350" s="56"/>
      <c r="AF350" s="52"/>
      <c r="AG350" s="51"/>
      <c r="AH350" s="70"/>
      <c r="AI350" s="58"/>
      <c r="AJ350" s="55"/>
      <c r="AK350" s="51"/>
      <c r="AL350" s="69"/>
      <c r="AM350" s="56"/>
      <c r="AN350" s="52"/>
      <c r="AO350" s="51"/>
      <c r="AP350" s="70"/>
      <c r="AQ350" s="58"/>
      <c r="AR350" s="55"/>
      <c r="AS350" s="51"/>
      <c r="AT350" s="69"/>
      <c r="AU350" s="56"/>
      <c r="AV350" s="52"/>
      <c r="AW350" s="51"/>
      <c r="BR350" s="34" t="str">
        <f>IF(E350="","",CONCATENATE(E350," ",F350," noches"))</f>
        <v/>
      </c>
      <c r="BS350" s="28" t="str">
        <f t="shared" ca="1" si="89"/>
        <v/>
      </c>
      <c r="BT350" s="28" t="str">
        <f t="shared" ca="1" si="90"/>
        <v/>
      </c>
    </row>
    <row r="351" spans="1:72" x14ac:dyDescent="0.2">
      <c r="A351" s="18" t="str" cm="1">
        <f t="array" aca="1" ref="A351" ca="1">IF(B351="","","Grupo N˚"&amp;SUMPRODUCT(($B$4:B351&lt;&gt;"")*($B$4:B351&lt;&gt;OFFSET($B$4,-1,0,ROWS($B$4:B351),1))))</f>
        <v/>
      </c>
      <c r="B351" s="31"/>
      <c r="C351" s="31"/>
      <c r="D351" s="31"/>
      <c r="E351" s="31"/>
      <c r="F351" s="32"/>
      <c r="G351" s="33"/>
      <c r="H351" s="33"/>
      <c r="I351" s="20" t="str">
        <f t="shared" si="79"/>
        <v/>
      </c>
      <c r="J351" s="21" t="str">
        <f>IFERROR(VLOOKUP(BR351,Pricing!$D$3:$E$58,2,FALSE),"")</f>
        <v/>
      </c>
      <c r="K351" s="32"/>
      <c r="L351" s="32"/>
      <c r="M351" s="32"/>
      <c r="N351" s="36" t="str" cm="1">
        <f t="array" ref="N351">IFERROR(_xlfn.IFS((AND(K351="SI",M351="$")),J351*0.2,AND(K351="SI",M351="%"),20),"")</f>
        <v/>
      </c>
      <c r="O351" s="29" t="str">
        <f t="shared" si="80"/>
        <v/>
      </c>
      <c r="P351" s="21" t="str">
        <f t="shared" si="81"/>
        <v/>
      </c>
      <c r="Q351" s="21" t="str">
        <f t="shared" si="82"/>
        <v/>
      </c>
      <c r="R351" s="21" t="str">
        <f t="shared" si="83"/>
        <v/>
      </c>
      <c r="S351" s="39"/>
      <c r="T351" s="43" t="str">
        <f t="shared" si="91"/>
        <v/>
      </c>
      <c r="U351" s="49" t="str">
        <f t="shared" si="92"/>
        <v/>
      </c>
      <c r="V351" s="48" t="str">
        <f t="shared" si="93"/>
        <v/>
      </c>
      <c r="W351" s="48" t="str">
        <f t="shared" si="84"/>
        <v/>
      </c>
      <c r="X351" s="50" t="str">
        <f>IF(W351="","",SUMIF($B$4:$B$1002,B351,$W$4:$W$1000))</f>
        <v/>
      </c>
      <c r="Y351" s="43" t="str">
        <f t="shared" si="85"/>
        <v/>
      </c>
      <c r="Z351" s="49" t="str">
        <f t="shared" si="86"/>
        <v/>
      </c>
      <c r="AA351" s="48" t="str">
        <f t="shared" si="87"/>
        <v/>
      </c>
      <c r="AB351" s="49" t="str">
        <f t="shared" si="88"/>
        <v/>
      </c>
      <c r="AC351" s="50" t="str">
        <f>IF(AB351="","",SUMIF($B$4:$B$1002,B351,$AB$4:$AB$1000))</f>
        <v/>
      </c>
      <c r="AD351" s="69"/>
      <c r="AE351" s="56"/>
      <c r="AF351" s="52"/>
      <c r="AG351" s="51"/>
      <c r="AH351" s="70"/>
      <c r="AI351" s="58"/>
      <c r="AJ351" s="55"/>
      <c r="AK351" s="51"/>
      <c r="AL351" s="69"/>
      <c r="AM351" s="56"/>
      <c r="AN351" s="52"/>
      <c r="AO351" s="51"/>
      <c r="AP351" s="70"/>
      <c r="AQ351" s="58"/>
      <c r="AR351" s="55"/>
      <c r="AS351" s="51"/>
      <c r="AT351" s="69"/>
      <c r="AU351" s="56"/>
      <c r="AV351" s="52"/>
      <c r="AW351" s="51"/>
      <c r="BR351" s="34" t="str">
        <f>IF(E351="","",CONCATENATE(E351," ",F351," noches"))</f>
        <v/>
      </c>
      <c r="BS351" s="28" t="str">
        <f t="shared" ca="1" si="89"/>
        <v/>
      </c>
      <c r="BT351" s="28" t="str">
        <f t="shared" ca="1" si="90"/>
        <v/>
      </c>
    </row>
    <row r="352" spans="1:72" x14ac:dyDescent="0.2">
      <c r="A352" s="18" t="str" cm="1">
        <f t="array" aca="1" ref="A352" ca="1">IF(B352="","","Grupo N˚"&amp;SUMPRODUCT(($B$4:B352&lt;&gt;"")*($B$4:B352&lt;&gt;OFFSET($B$4,-1,0,ROWS($B$4:B352),1))))</f>
        <v/>
      </c>
      <c r="B352" s="31"/>
      <c r="C352" s="31"/>
      <c r="D352" s="31"/>
      <c r="E352" s="31"/>
      <c r="F352" s="32"/>
      <c r="G352" s="33"/>
      <c r="H352" s="33"/>
      <c r="I352" s="20" t="str">
        <f t="shared" si="79"/>
        <v/>
      </c>
      <c r="J352" s="21" t="str">
        <f>IFERROR(VLOOKUP(BR352,Pricing!$D$3:$E$58,2,FALSE),"")</f>
        <v/>
      </c>
      <c r="K352" s="32"/>
      <c r="L352" s="32"/>
      <c r="M352" s="32"/>
      <c r="N352" s="36" t="str" cm="1">
        <f t="array" ref="N352">IFERROR(_xlfn.IFS((AND(K352="SI",M352="$")),J352*0.2,AND(K352="SI",M352="%"),20),"")</f>
        <v/>
      </c>
      <c r="O352" s="29" t="str">
        <f t="shared" si="80"/>
        <v/>
      </c>
      <c r="P352" s="21" t="str">
        <f t="shared" si="81"/>
        <v/>
      </c>
      <c r="Q352" s="21" t="str">
        <f t="shared" si="82"/>
        <v/>
      </c>
      <c r="R352" s="21" t="str">
        <f t="shared" si="83"/>
        <v/>
      </c>
      <c r="S352" s="39"/>
      <c r="T352" s="43" t="str">
        <f t="shared" si="91"/>
        <v/>
      </c>
      <c r="U352" s="49" t="str">
        <f t="shared" si="92"/>
        <v/>
      </c>
      <c r="V352" s="48" t="str">
        <f t="shared" si="93"/>
        <v/>
      </c>
      <c r="W352" s="48" t="str">
        <f t="shared" si="84"/>
        <v/>
      </c>
      <c r="X352" s="50" t="str">
        <f>IF(W352="","",SUMIF($B$4:$B$1002,B352,$W$4:$W$1000))</f>
        <v/>
      </c>
      <c r="Y352" s="43" t="str">
        <f t="shared" si="85"/>
        <v/>
      </c>
      <c r="Z352" s="49" t="str">
        <f t="shared" si="86"/>
        <v/>
      </c>
      <c r="AA352" s="48" t="str">
        <f t="shared" si="87"/>
        <v/>
      </c>
      <c r="AB352" s="49" t="str">
        <f t="shared" si="88"/>
        <v/>
      </c>
      <c r="AC352" s="50" t="str">
        <f>IF(AB352="","",SUMIF($B$4:$B$1002,B352,$AB$4:$AB$1000))</f>
        <v/>
      </c>
      <c r="AD352" s="69"/>
      <c r="AE352" s="56"/>
      <c r="AF352" s="52"/>
      <c r="AG352" s="51"/>
      <c r="AH352" s="70"/>
      <c r="AI352" s="58"/>
      <c r="AJ352" s="55"/>
      <c r="AK352" s="51"/>
      <c r="AL352" s="69"/>
      <c r="AM352" s="56"/>
      <c r="AN352" s="52"/>
      <c r="AO352" s="51"/>
      <c r="AP352" s="70"/>
      <c r="AQ352" s="58"/>
      <c r="AR352" s="55"/>
      <c r="AS352" s="51"/>
      <c r="AT352" s="69"/>
      <c r="AU352" s="56"/>
      <c r="AV352" s="52"/>
      <c r="AW352" s="51"/>
      <c r="BR352" s="34" t="str">
        <f>IF(E352="","",CONCATENATE(E352," ",F352," noches"))</f>
        <v/>
      </c>
      <c r="BS352" s="28" t="str">
        <f t="shared" ca="1" si="89"/>
        <v/>
      </c>
      <c r="BT352" s="28" t="str">
        <f t="shared" ca="1" si="90"/>
        <v/>
      </c>
    </row>
    <row r="353" spans="1:72" x14ac:dyDescent="0.2">
      <c r="A353" s="18" t="str" cm="1">
        <f t="array" aca="1" ref="A353" ca="1">IF(B353="","","Grupo N˚"&amp;SUMPRODUCT(($B$4:B353&lt;&gt;"")*($B$4:B353&lt;&gt;OFFSET($B$4,-1,0,ROWS($B$4:B353),1))))</f>
        <v/>
      </c>
      <c r="B353" s="31"/>
      <c r="C353" s="31"/>
      <c r="D353" s="31"/>
      <c r="E353" s="31"/>
      <c r="F353" s="32"/>
      <c r="G353" s="33"/>
      <c r="H353" s="33"/>
      <c r="I353" s="20" t="str">
        <f t="shared" si="79"/>
        <v/>
      </c>
      <c r="J353" s="21" t="str">
        <f>IFERROR(VLOOKUP(BR353,Pricing!$D$3:$E$58,2,FALSE),"")</f>
        <v/>
      </c>
      <c r="K353" s="32"/>
      <c r="L353" s="32"/>
      <c r="M353" s="32"/>
      <c r="N353" s="36" t="str" cm="1">
        <f t="array" ref="N353">IFERROR(_xlfn.IFS((AND(K353="SI",M353="$")),J353*0.2,AND(K353="SI",M353="%"),20),"")</f>
        <v/>
      </c>
      <c r="O353" s="29" t="str">
        <f t="shared" si="80"/>
        <v/>
      </c>
      <c r="P353" s="21" t="str">
        <f t="shared" si="81"/>
        <v/>
      </c>
      <c r="Q353" s="21" t="str">
        <f t="shared" si="82"/>
        <v/>
      </c>
      <c r="R353" s="21" t="str">
        <f t="shared" si="83"/>
        <v/>
      </c>
      <c r="S353" s="39"/>
      <c r="T353" s="43" t="str">
        <f t="shared" si="91"/>
        <v/>
      </c>
      <c r="U353" s="49" t="str">
        <f t="shared" si="92"/>
        <v/>
      </c>
      <c r="V353" s="48" t="str">
        <f t="shared" si="93"/>
        <v/>
      </c>
      <c r="W353" s="48" t="str">
        <f t="shared" si="84"/>
        <v/>
      </c>
      <c r="X353" s="50" t="str">
        <f>IF(W353="","",SUMIF($B$4:$B$1002,B353,$W$4:$W$1000))</f>
        <v/>
      </c>
      <c r="Y353" s="43" t="str">
        <f t="shared" si="85"/>
        <v/>
      </c>
      <c r="Z353" s="49" t="str">
        <f t="shared" si="86"/>
        <v/>
      </c>
      <c r="AA353" s="48" t="str">
        <f t="shared" si="87"/>
        <v/>
      </c>
      <c r="AB353" s="49" t="str">
        <f t="shared" si="88"/>
        <v/>
      </c>
      <c r="AC353" s="50" t="str">
        <f>IF(AB353="","",SUMIF($B$4:$B$1002,B353,$AB$4:$AB$1000))</f>
        <v/>
      </c>
      <c r="AD353" s="69"/>
      <c r="AE353" s="56"/>
      <c r="AF353" s="52"/>
      <c r="AG353" s="51"/>
      <c r="AH353" s="70"/>
      <c r="AI353" s="58"/>
      <c r="AJ353" s="55"/>
      <c r="AK353" s="51"/>
      <c r="AL353" s="69"/>
      <c r="AM353" s="56"/>
      <c r="AN353" s="52"/>
      <c r="AO353" s="51"/>
      <c r="AP353" s="70"/>
      <c r="AQ353" s="58"/>
      <c r="AR353" s="55"/>
      <c r="AS353" s="51"/>
      <c r="AT353" s="69"/>
      <c r="AU353" s="56"/>
      <c r="AV353" s="52"/>
      <c r="AW353" s="51"/>
      <c r="BR353" s="34" t="str">
        <f>IF(E353="","",CONCATENATE(E353," ",F353," noches"))</f>
        <v/>
      </c>
      <c r="BS353" s="28" t="str">
        <f t="shared" ca="1" si="89"/>
        <v/>
      </c>
      <c r="BT353" s="28" t="str">
        <f t="shared" ca="1" si="90"/>
        <v/>
      </c>
    </row>
    <row r="354" spans="1:72" x14ac:dyDescent="0.2">
      <c r="A354" s="18" t="str" cm="1">
        <f t="array" aca="1" ref="A354" ca="1">IF(B354="","","Grupo N˚"&amp;SUMPRODUCT(($B$4:B354&lt;&gt;"")*($B$4:B354&lt;&gt;OFFSET($B$4,-1,0,ROWS($B$4:B354),1))))</f>
        <v/>
      </c>
      <c r="B354" s="31"/>
      <c r="C354" s="31"/>
      <c r="D354" s="31"/>
      <c r="E354" s="31"/>
      <c r="F354" s="32"/>
      <c r="G354" s="33"/>
      <c r="H354" s="33"/>
      <c r="I354" s="20" t="str">
        <f t="shared" si="79"/>
        <v/>
      </c>
      <c r="J354" s="21" t="str">
        <f>IFERROR(VLOOKUP(BR354,Pricing!$D$3:$E$58,2,FALSE),"")</f>
        <v/>
      </c>
      <c r="K354" s="32"/>
      <c r="L354" s="32"/>
      <c r="M354" s="32"/>
      <c r="N354" s="36" t="str" cm="1">
        <f t="array" ref="N354">IFERROR(_xlfn.IFS((AND(K354="SI",M354="$")),J354*0.2,AND(K354="SI",M354="%"),20),"")</f>
        <v/>
      </c>
      <c r="O354" s="29" t="str">
        <f t="shared" si="80"/>
        <v/>
      </c>
      <c r="P354" s="21" t="str">
        <f t="shared" si="81"/>
        <v/>
      </c>
      <c r="Q354" s="21" t="str">
        <f t="shared" si="82"/>
        <v/>
      </c>
      <c r="R354" s="21" t="str">
        <f t="shared" si="83"/>
        <v/>
      </c>
      <c r="S354" s="39"/>
      <c r="T354" s="43" t="str">
        <f t="shared" si="91"/>
        <v/>
      </c>
      <c r="U354" s="49" t="str">
        <f t="shared" si="92"/>
        <v/>
      </c>
      <c r="V354" s="48" t="str">
        <f t="shared" si="93"/>
        <v/>
      </c>
      <c r="W354" s="48" t="str">
        <f t="shared" si="84"/>
        <v/>
      </c>
      <c r="X354" s="50" t="str">
        <f>IF(W354="","",SUMIF($B$4:$B$1002,B354,$W$4:$W$1000))</f>
        <v/>
      </c>
      <c r="Y354" s="43" t="str">
        <f t="shared" si="85"/>
        <v/>
      </c>
      <c r="Z354" s="49" t="str">
        <f t="shared" si="86"/>
        <v/>
      </c>
      <c r="AA354" s="48" t="str">
        <f t="shared" si="87"/>
        <v/>
      </c>
      <c r="AB354" s="49" t="str">
        <f t="shared" si="88"/>
        <v/>
      </c>
      <c r="AC354" s="50" t="str">
        <f>IF(AB354="","",SUMIF($B$4:$B$1002,B354,$AB$4:$AB$1000))</f>
        <v/>
      </c>
      <c r="AD354" s="69"/>
      <c r="AE354" s="56"/>
      <c r="AF354" s="52"/>
      <c r="AG354" s="51"/>
      <c r="AH354" s="70"/>
      <c r="AI354" s="58"/>
      <c r="AJ354" s="55"/>
      <c r="AK354" s="51"/>
      <c r="AL354" s="69"/>
      <c r="AM354" s="56"/>
      <c r="AN354" s="52"/>
      <c r="AO354" s="51"/>
      <c r="AP354" s="70"/>
      <c r="AQ354" s="58"/>
      <c r="AR354" s="55"/>
      <c r="AS354" s="51"/>
      <c r="AT354" s="69"/>
      <c r="AU354" s="56"/>
      <c r="AV354" s="52"/>
      <c r="AW354" s="51"/>
      <c r="BR354" s="34" t="str">
        <f>IF(E354="","",CONCATENATE(E354," ",F354," noches"))</f>
        <v/>
      </c>
      <c r="BS354" s="28" t="str">
        <f t="shared" ca="1" si="89"/>
        <v/>
      </c>
      <c r="BT354" s="28" t="str">
        <f t="shared" ca="1" si="90"/>
        <v/>
      </c>
    </row>
    <row r="355" spans="1:72" x14ac:dyDescent="0.2">
      <c r="A355" s="18" t="str" cm="1">
        <f t="array" aca="1" ref="A355" ca="1">IF(B355="","","Grupo N˚"&amp;SUMPRODUCT(($B$4:B355&lt;&gt;"")*($B$4:B355&lt;&gt;OFFSET($B$4,-1,0,ROWS($B$4:B355),1))))</f>
        <v/>
      </c>
      <c r="B355" s="31"/>
      <c r="C355" s="31"/>
      <c r="D355" s="31"/>
      <c r="E355" s="31"/>
      <c r="F355" s="32"/>
      <c r="G355" s="33"/>
      <c r="H355" s="33"/>
      <c r="I355" s="20" t="str">
        <f t="shared" si="79"/>
        <v/>
      </c>
      <c r="J355" s="21" t="str">
        <f>IFERROR(VLOOKUP(BR355,Pricing!$D$3:$E$58,2,FALSE),"")</f>
        <v/>
      </c>
      <c r="K355" s="32"/>
      <c r="L355" s="32"/>
      <c r="M355" s="32"/>
      <c r="N355" s="36" t="str" cm="1">
        <f t="array" ref="N355">IFERROR(_xlfn.IFS((AND(K355="SI",M355="$")),J355*0.2,AND(K355="SI",M355="%"),20),"")</f>
        <v/>
      </c>
      <c r="O355" s="29" t="str">
        <f t="shared" si="80"/>
        <v/>
      </c>
      <c r="P355" s="21" t="str">
        <f t="shared" si="81"/>
        <v/>
      </c>
      <c r="Q355" s="21" t="str">
        <f t="shared" si="82"/>
        <v/>
      </c>
      <c r="R355" s="21" t="str">
        <f t="shared" si="83"/>
        <v/>
      </c>
      <c r="S355" s="39"/>
      <c r="T355" s="43" t="str">
        <f t="shared" si="91"/>
        <v/>
      </c>
      <c r="U355" s="49" t="str">
        <f t="shared" si="92"/>
        <v/>
      </c>
      <c r="V355" s="48" t="str">
        <f t="shared" si="93"/>
        <v/>
      </c>
      <c r="W355" s="48" t="str">
        <f t="shared" si="84"/>
        <v/>
      </c>
      <c r="X355" s="50" t="str">
        <f>IF(W355="","",SUMIF($B$4:$B$1002,B355,$W$4:$W$1000))</f>
        <v/>
      </c>
      <c r="Y355" s="43" t="str">
        <f t="shared" si="85"/>
        <v/>
      </c>
      <c r="Z355" s="49" t="str">
        <f t="shared" si="86"/>
        <v/>
      </c>
      <c r="AA355" s="48" t="str">
        <f t="shared" si="87"/>
        <v/>
      </c>
      <c r="AB355" s="49" t="str">
        <f t="shared" si="88"/>
        <v/>
      </c>
      <c r="AC355" s="50" t="str">
        <f>IF(AB355="","",SUMIF($B$4:$B$1002,B355,$AB$4:$AB$1000))</f>
        <v/>
      </c>
      <c r="AD355" s="69"/>
      <c r="AE355" s="56"/>
      <c r="AF355" s="52"/>
      <c r="AG355" s="51"/>
      <c r="AH355" s="70"/>
      <c r="AI355" s="58"/>
      <c r="AJ355" s="55"/>
      <c r="AK355" s="51"/>
      <c r="AL355" s="69"/>
      <c r="AM355" s="56"/>
      <c r="AN355" s="52"/>
      <c r="AO355" s="51"/>
      <c r="AP355" s="70"/>
      <c r="AQ355" s="58"/>
      <c r="AR355" s="55"/>
      <c r="AS355" s="51"/>
      <c r="AT355" s="69"/>
      <c r="AU355" s="56"/>
      <c r="AV355" s="52"/>
      <c r="AW355" s="51"/>
      <c r="BR355" s="34" t="str">
        <f>IF(E355="","",CONCATENATE(E355," ",F355," noches"))</f>
        <v/>
      </c>
      <c r="BS355" s="28" t="str">
        <f t="shared" ca="1" si="89"/>
        <v/>
      </c>
      <c r="BT355" s="28" t="str">
        <f t="shared" ca="1" si="90"/>
        <v/>
      </c>
    </row>
    <row r="356" spans="1:72" x14ac:dyDescent="0.2">
      <c r="A356" s="18" t="str" cm="1">
        <f t="array" aca="1" ref="A356" ca="1">IF(B356="","","Grupo N˚"&amp;SUMPRODUCT(($B$4:B356&lt;&gt;"")*($B$4:B356&lt;&gt;OFFSET($B$4,-1,0,ROWS($B$4:B356),1))))</f>
        <v/>
      </c>
      <c r="B356" s="31"/>
      <c r="C356" s="31"/>
      <c r="D356" s="31"/>
      <c r="E356" s="31"/>
      <c r="F356" s="32"/>
      <c r="G356" s="33"/>
      <c r="H356" s="33"/>
      <c r="I356" s="20" t="str">
        <f t="shared" si="79"/>
        <v/>
      </c>
      <c r="J356" s="21" t="str">
        <f>IFERROR(VLOOKUP(BR356,Pricing!$D$3:$E$58,2,FALSE),"")</f>
        <v/>
      </c>
      <c r="K356" s="32"/>
      <c r="L356" s="32"/>
      <c r="M356" s="32"/>
      <c r="N356" s="36" t="str" cm="1">
        <f t="array" ref="N356">IFERROR(_xlfn.IFS((AND(K356="SI",M356="$")),J356*0.2,AND(K356="SI",M356="%"),20),"")</f>
        <v/>
      </c>
      <c r="O356" s="29" t="str">
        <f t="shared" si="80"/>
        <v/>
      </c>
      <c r="P356" s="21" t="str">
        <f t="shared" si="81"/>
        <v/>
      </c>
      <c r="Q356" s="21" t="str">
        <f t="shared" si="82"/>
        <v/>
      </c>
      <c r="R356" s="21" t="str">
        <f t="shared" si="83"/>
        <v/>
      </c>
      <c r="S356" s="39"/>
      <c r="T356" s="43" t="str">
        <f t="shared" si="91"/>
        <v/>
      </c>
      <c r="U356" s="49" t="str">
        <f t="shared" si="92"/>
        <v/>
      </c>
      <c r="V356" s="48" t="str">
        <f t="shared" si="93"/>
        <v/>
      </c>
      <c r="W356" s="48" t="str">
        <f t="shared" si="84"/>
        <v/>
      </c>
      <c r="X356" s="50" t="str">
        <f>IF(W356="","",SUMIF($B$4:$B$1002,B356,$W$4:$W$1000))</f>
        <v/>
      </c>
      <c r="Y356" s="43" t="str">
        <f t="shared" si="85"/>
        <v/>
      </c>
      <c r="Z356" s="49" t="str">
        <f t="shared" si="86"/>
        <v/>
      </c>
      <c r="AA356" s="48" t="str">
        <f t="shared" si="87"/>
        <v/>
      </c>
      <c r="AB356" s="49" t="str">
        <f t="shared" si="88"/>
        <v/>
      </c>
      <c r="AC356" s="50" t="str">
        <f>IF(AB356="","",SUMIF($B$4:$B$1002,B356,$AB$4:$AB$1000))</f>
        <v/>
      </c>
      <c r="AD356" s="69"/>
      <c r="AE356" s="56"/>
      <c r="AF356" s="52"/>
      <c r="AG356" s="51"/>
      <c r="AH356" s="70"/>
      <c r="AI356" s="58"/>
      <c r="AJ356" s="55"/>
      <c r="AK356" s="51"/>
      <c r="AL356" s="69"/>
      <c r="AM356" s="56"/>
      <c r="AN356" s="52"/>
      <c r="AO356" s="51"/>
      <c r="AP356" s="70"/>
      <c r="AQ356" s="58"/>
      <c r="AR356" s="55"/>
      <c r="AS356" s="51"/>
      <c r="AT356" s="69"/>
      <c r="AU356" s="56"/>
      <c r="AV356" s="52"/>
      <c r="AW356" s="51"/>
      <c r="BR356" s="34" t="str">
        <f>IF(E356="","",CONCATENATE(E356," ",F356," noches"))</f>
        <v/>
      </c>
      <c r="BS356" s="28" t="str">
        <f t="shared" ca="1" si="89"/>
        <v/>
      </c>
      <c r="BT356" s="28" t="str">
        <f t="shared" ca="1" si="90"/>
        <v/>
      </c>
    </row>
    <row r="357" spans="1:72" x14ac:dyDescent="0.2">
      <c r="A357" s="18" t="str" cm="1">
        <f t="array" aca="1" ref="A357" ca="1">IF(B357="","","Grupo N˚"&amp;SUMPRODUCT(($B$4:B357&lt;&gt;"")*($B$4:B357&lt;&gt;OFFSET($B$4,-1,0,ROWS($B$4:B357),1))))</f>
        <v/>
      </c>
      <c r="B357" s="31"/>
      <c r="C357" s="31"/>
      <c r="D357" s="31"/>
      <c r="E357" s="31"/>
      <c r="F357" s="32"/>
      <c r="G357" s="33"/>
      <c r="H357" s="33"/>
      <c r="I357" s="20" t="str">
        <f t="shared" si="79"/>
        <v/>
      </c>
      <c r="J357" s="21" t="str">
        <f>IFERROR(VLOOKUP(BR357,Pricing!$D$3:$E$58,2,FALSE),"")</f>
        <v/>
      </c>
      <c r="K357" s="32"/>
      <c r="L357" s="32"/>
      <c r="M357" s="32"/>
      <c r="N357" s="36" t="str" cm="1">
        <f t="array" ref="N357">IFERROR(_xlfn.IFS((AND(K357="SI",M357="$")),J357*0.2,AND(K357="SI",M357="%"),20),"")</f>
        <v/>
      </c>
      <c r="O357" s="29" t="str">
        <f t="shared" si="80"/>
        <v/>
      </c>
      <c r="P357" s="21" t="str">
        <f t="shared" si="81"/>
        <v/>
      </c>
      <c r="Q357" s="21" t="str">
        <f t="shared" si="82"/>
        <v/>
      </c>
      <c r="R357" s="21" t="str">
        <f t="shared" si="83"/>
        <v/>
      </c>
      <c r="S357" s="39"/>
      <c r="T357" s="43" t="str">
        <f t="shared" si="91"/>
        <v/>
      </c>
      <c r="U357" s="49" t="str">
        <f t="shared" si="92"/>
        <v/>
      </c>
      <c r="V357" s="48" t="str">
        <f t="shared" si="93"/>
        <v/>
      </c>
      <c r="W357" s="48" t="str">
        <f t="shared" si="84"/>
        <v/>
      </c>
      <c r="X357" s="50" t="str">
        <f>IF(W357="","",SUMIF($B$4:$B$1002,B357,$W$4:$W$1000))</f>
        <v/>
      </c>
      <c r="Y357" s="43" t="str">
        <f t="shared" si="85"/>
        <v/>
      </c>
      <c r="Z357" s="49" t="str">
        <f t="shared" si="86"/>
        <v/>
      </c>
      <c r="AA357" s="48" t="str">
        <f t="shared" si="87"/>
        <v/>
      </c>
      <c r="AB357" s="49" t="str">
        <f t="shared" si="88"/>
        <v/>
      </c>
      <c r="AC357" s="50" t="str">
        <f>IF(AB357="","",SUMIF($B$4:$B$1002,B357,$AB$4:$AB$1000))</f>
        <v/>
      </c>
      <c r="AD357" s="69"/>
      <c r="AE357" s="56"/>
      <c r="AF357" s="52"/>
      <c r="AG357" s="51"/>
      <c r="AH357" s="70"/>
      <c r="AI357" s="58"/>
      <c r="AJ357" s="55"/>
      <c r="AK357" s="51"/>
      <c r="AL357" s="69"/>
      <c r="AM357" s="56"/>
      <c r="AN357" s="52"/>
      <c r="AO357" s="51"/>
      <c r="AP357" s="70"/>
      <c r="AQ357" s="58"/>
      <c r="AR357" s="55"/>
      <c r="AS357" s="51"/>
      <c r="AT357" s="69"/>
      <c r="AU357" s="56"/>
      <c r="AV357" s="52"/>
      <c r="AW357" s="51"/>
      <c r="BR357" s="34" t="str">
        <f>IF(E357="","",CONCATENATE(E357," ",F357," noches"))</f>
        <v/>
      </c>
      <c r="BS357" s="28" t="str">
        <f t="shared" ca="1" si="89"/>
        <v/>
      </c>
      <c r="BT357" s="28" t="str">
        <f t="shared" ca="1" si="90"/>
        <v/>
      </c>
    </row>
    <row r="358" spans="1:72" x14ac:dyDescent="0.2">
      <c r="A358" s="18" t="str" cm="1">
        <f t="array" aca="1" ref="A358" ca="1">IF(B358="","","Grupo N˚"&amp;SUMPRODUCT(($B$4:B358&lt;&gt;"")*($B$4:B358&lt;&gt;OFFSET($B$4,-1,0,ROWS($B$4:B358),1))))</f>
        <v/>
      </c>
      <c r="B358" s="31"/>
      <c r="C358" s="31"/>
      <c r="D358" s="31"/>
      <c r="E358" s="31"/>
      <c r="F358" s="32"/>
      <c r="G358" s="33"/>
      <c r="H358" s="33"/>
      <c r="I358" s="20" t="str">
        <f t="shared" si="79"/>
        <v/>
      </c>
      <c r="J358" s="21" t="str">
        <f>IFERROR(VLOOKUP(BR358,Pricing!$D$3:$E$58,2,FALSE),"")</f>
        <v/>
      </c>
      <c r="K358" s="32"/>
      <c r="L358" s="32"/>
      <c r="M358" s="32"/>
      <c r="N358" s="36" t="str" cm="1">
        <f t="array" ref="N358">IFERROR(_xlfn.IFS((AND(K358="SI",M358="$")),J358*0.2,AND(K358="SI",M358="%"),20),"")</f>
        <v/>
      </c>
      <c r="O358" s="29" t="str">
        <f t="shared" si="80"/>
        <v/>
      </c>
      <c r="P358" s="21" t="str">
        <f t="shared" si="81"/>
        <v/>
      </c>
      <c r="Q358" s="21" t="str">
        <f t="shared" si="82"/>
        <v/>
      </c>
      <c r="R358" s="21" t="str">
        <f t="shared" si="83"/>
        <v/>
      </c>
      <c r="S358" s="39"/>
      <c r="T358" s="43" t="str">
        <f t="shared" si="91"/>
        <v/>
      </c>
      <c r="U358" s="49" t="str">
        <f t="shared" si="92"/>
        <v/>
      </c>
      <c r="V358" s="48" t="str">
        <f t="shared" si="93"/>
        <v/>
      </c>
      <c r="W358" s="48" t="str">
        <f t="shared" si="84"/>
        <v/>
      </c>
      <c r="X358" s="50" t="str">
        <f>IF(W358="","",SUMIF($B$4:$B$1002,B358,$W$4:$W$1000))</f>
        <v/>
      </c>
      <c r="Y358" s="43" t="str">
        <f t="shared" si="85"/>
        <v/>
      </c>
      <c r="Z358" s="49" t="str">
        <f t="shared" si="86"/>
        <v/>
      </c>
      <c r="AA358" s="48" t="str">
        <f t="shared" si="87"/>
        <v/>
      </c>
      <c r="AB358" s="49" t="str">
        <f t="shared" si="88"/>
        <v/>
      </c>
      <c r="AC358" s="50" t="str">
        <f>IF(AB358="","",SUMIF($B$4:$B$1002,B358,$AB$4:$AB$1000))</f>
        <v/>
      </c>
      <c r="AD358" s="69"/>
      <c r="AE358" s="56"/>
      <c r="AF358" s="52"/>
      <c r="AG358" s="51"/>
      <c r="AH358" s="70"/>
      <c r="AI358" s="58"/>
      <c r="AJ358" s="55"/>
      <c r="AK358" s="51"/>
      <c r="AL358" s="69"/>
      <c r="AM358" s="56"/>
      <c r="AN358" s="52"/>
      <c r="AO358" s="51"/>
      <c r="AP358" s="70"/>
      <c r="AQ358" s="58"/>
      <c r="AR358" s="55"/>
      <c r="AS358" s="51"/>
      <c r="AT358" s="69"/>
      <c r="AU358" s="56"/>
      <c r="AV358" s="52"/>
      <c r="AW358" s="51"/>
      <c r="BR358" s="34" t="str">
        <f>IF(E358="","",CONCATENATE(E358," ",F358," noches"))</f>
        <v/>
      </c>
      <c r="BS358" s="28" t="str">
        <f t="shared" ca="1" si="89"/>
        <v/>
      </c>
      <c r="BT358" s="28" t="str">
        <f t="shared" ca="1" si="90"/>
        <v/>
      </c>
    </row>
    <row r="359" spans="1:72" x14ac:dyDescent="0.2">
      <c r="A359" s="18" t="str" cm="1">
        <f t="array" aca="1" ref="A359" ca="1">IF(B359="","","Grupo N˚"&amp;SUMPRODUCT(($B$4:B359&lt;&gt;"")*($B$4:B359&lt;&gt;OFFSET($B$4,-1,0,ROWS($B$4:B359),1))))</f>
        <v/>
      </c>
      <c r="B359" s="31"/>
      <c r="C359" s="31"/>
      <c r="D359" s="31"/>
      <c r="E359" s="31"/>
      <c r="F359" s="32"/>
      <c r="G359" s="33"/>
      <c r="H359" s="33"/>
      <c r="I359" s="20" t="str">
        <f t="shared" si="79"/>
        <v/>
      </c>
      <c r="J359" s="21" t="str">
        <f>IFERROR(VLOOKUP(BR359,Pricing!$D$3:$E$58,2,FALSE),"")</f>
        <v/>
      </c>
      <c r="K359" s="32"/>
      <c r="L359" s="32"/>
      <c r="M359" s="32"/>
      <c r="N359" s="36" t="str" cm="1">
        <f t="array" ref="N359">IFERROR(_xlfn.IFS((AND(K359="SI",M359="$")),J359*0.2,AND(K359="SI",M359="%"),20),"")</f>
        <v/>
      </c>
      <c r="O359" s="29" t="str">
        <f t="shared" si="80"/>
        <v/>
      </c>
      <c r="P359" s="21" t="str">
        <f t="shared" si="81"/>
        <v/>
      </c>
      <c r="Q359" s="21" t="str">
        <f t="shared" si="82"/>
        <v/>
      </c>
      <c r="R359" s="21" t="str">
        <f t="shared" si="83"/>
        <v/>
      </c>
      <c r="S359" s="39"/>
      <c r="T359" s="43" t="str">
        <f t="shared" si="91"/>
        <v/>
      </c>
      <c r="U359" s="49" t="str">
        <f t="shared" si="92"/>
        <v/>
      </c>
      <c r="V359" s="48" t="str">
        <f t="shared" si="93"/>
        <v/>
      </c>
      <c r="W359" s="48" t="str">
        <f t="shared" si="84"/>
        <v/>
      </c>
      <c r="X359" s="50" t="str">
        <f>IF(W359="","",SUMIF($B$4:$B$1002,B359,$W$4:$W$1000))</f>
        <v/>
      </c>
      <c r="Y359" s="43" t="str">
        <f t="shared" si="85"/>
        <v/>
      </c>
      <c r="Z359" s="49" t="str">
        <f t="shared" si="86"/>
        <v/>
      </c>
      <c r="AA359" s="48" t="str">
        <f t="shared" si="87"/>
        <v/>
      </c>
      <c r="AB359" s="49" t="str">
        <f t="shared" si="88"/>
        <v/>
      </c>
      <c r="AC359" s="50" t="str">
        <f>IF(AB359="","",SUMIF($B$4:$B$1002,B359,$AB$4:$AB$1000))</f>
        <v/>
      </c>
      <c r="AD359" s="69"/>
      <c r="AE359" s="56"/>
      <c r="AF359" s="52"/>
      <c r="AG359" s="51"/>
      <c r="AH359" s="70"/>
      <c r="AI359" s="58"/>
      <c r="AJ359" s="55"/>
      <c r="AK359" s="51"/>
      <c r="AL359" s="69"/>
      <c r="AM359" s="56"/>
      <c r="AN359" s="52"/>
      <c r="AO359" s="51"/>
      <c r="AP359" s="70"/>
      <c r="AQ359" s="58"/>
      <c r="AR359" s="55"/>
      <c r="AS359" s="51"/>
      <c r="AT359" s="69"/>
      <c r="AU359" s="56"/>
      <c r="AV359" s="52"/>
      <c r="AW359" s="51"/>
      <c r="BR359" s="34" t="str">
        <f>IF(E359="","",CONCATENATE(E359," ",F359," noches"))</f>
        <v/>
      </c>
      <c r="BS359" s="28" t="str">
        <f t="shared" ca="1" si="89"/>
        <v/>
      </c>
      <c r="BT359" s="28" t="str">
        <f t="shared" ca="1" si="90"/>
        <v/>
      </c>
    </row>
    <row r="360" spans="1:72" x14ac:dyDescent="0.2">
      <c r="A360" s="18" t="str" cm="1">
        <f t="array" aca="1" ref="A360" ca="1">IF(B360="","","Grupo N˚"&amp;SUMPRODUCT(($B$4:B360&lt;&gt;"")*($B$4:B360&lt;&gt;OFFSET($B$4,-1,0,ROWS($B$4:B360),1))))</f>
        <v/>
      </c>
      <c r="B360" s="31"/>
      <c r="C360" s="31"/>
      <c r="D360" s="31"/>
      <c r="E360" s="31"/>
      <c r="F360" s="32"/>
      <c r="G360" s="33"/>
      <c r="H360" s="33"/>
      <c r="I360" s="20" t="str">
        <f t="shared" si="79"/>
        <v/>
      </c>
      <c r="J360" s="21" t="str">
        <f>IFERROR(VLOOKUP(BR360,Pricing!$D$3:$E$58,2,FALSE),"")</f>
        <v/>
      </c>
      <c r="K360" s="32"/>
      <c r="L360" s="32"/>
      <c r="M360" s="32"/>
      <c r="N360" s="36" t="str" cm="1">
        <f t="array" ref="N360">IFERROR(_xlfn.IFS((AND(K360="SI",M360="$")),J360*0.2,AND(K360="SI",M360="%"),20),"")</f>
        <v/>
      </c>
      <c r="O360" s="29" t="str">
        <f t="shared" si="80"/>
        <v/>
      </c>
      <c r="P360" s="21" t="str">
        <f t="shared" si="81"/>
        <v/>
      </c>
      <c r="Q360" s="21" t="str">
        <f t="shared" si="82"/>
        <v/>
      </c>
      <c r="R360" s="21" t="str">
        <f t="shared" si="83"/>
        <v/>
      </c>
      <c r="S360" s="39"/>
      <c r="T360" s="43" t="str">
        <f t="shared" si="91"/>
        <v/>
      </c>
      <c r="U360" s="49" t="str">
        <f t="shared" si="92"/>
        <v/>
      </c>
      <c r="V360" s="48" t="str">
        <f t="shared" si="93"/>
        <v/>
      </c>
      <c r="W360" s="48" t="str">
        <f t="shared" si="84"/>
        <v/>
      </c>
      <c r="X360" s="50" t="str">
        <f>IF(W360="","",SUMIF($B$4:$B$1002,B360,$W$4:$W$1000))</f>
        <v/>
      </c>
      <c r="Y360" s="43" t="str">
        <f t="shared" si="85"/>
        <v/>
      </c>
      <c r="Z360" s="49" t="str">
        <f t="shared" si="86"/>
        <v/>
      </c>
      <c r="AA360" s="48" t="str">
        <f t="shared" si="87"/>
        <v/>
      </c>
      <c r="AB360" s="49" t="str">
        <f t="shared" si="88"/>
        <v/>
      </c>
      <c r="AC360" s="50" t="str">
        <f>IF(AB360="","",SUMIF($B$4:$B$1002,B360,$AB$4:$AB$1000))</f>
        <v/>
      </c>
      <c r="AD360" s="69"/>
      <c r="AE360" s="56"/>
      <c r="AF360" s="52"/>
      <c r="AG360" s="51"/>
      <c r="AH360" s="70"/>
      <c r="AI360" s="58"/>
      <c r="AJ360" s="55"/>
      <c r="AK360" s="51"/>
      <c r="AL360" s="69"/>
      <c r="AM360" s="56"/>
      <c r="AN360" s="52"/>
      <c r="AO360" s="51"/>
      <c r="AP360" s="70"/>
      <c r="AQ360" s="58"/>
      <c r="AR360" s="55"/>
      <c r="AS360" s="51"/>
      <c r="AT360" s="69"/>
      <c r="AU360" s="56"/>
      <c r="AV360" s="52"/>
      <c r="AW360" s="51"/>
      <c r="BR360" s="34" t="str">
        <f>IF(E360="","",CONCATENATE(E360," ",F360," noches"))</f>
        <v/>
      </c>
      <c r="BS360" s="28" t="str">
        <f t="shared" ca="1" si="89"/>
        <v/>
      </c>
      <c r="BT360" s="28" t="str">
        <f t="shared" ca="1" si="90"/>
        <v/>
      </c>
    </row>
    <row r="361" spans="1:72" x14ac:dyDescent="0.2">
      <c r="A361" s="18" t="str" cm="1">
        <f t="array" aca="1" ref="A361" ca="1">IF(B361="","","Grupo N˚"&amp;SUMPRODUCT(($B$4:B361&lt;&gt;"")*($B$4:B361&lt;&gt;OFFSET($B$4,-1,0,ROWS($B$4:B361),1))))</f>
        <v/>
      </c>
      <c r="B361" s="31"/>
      <c r="C361" s="31"/>
      <c r="D361" s="31"/>
      <c r="E361" s="31"/>
      <c r="F361" s="32"/>
      <c r="G361" s="33"/>
      <c r="H361" s="33"/>
      <c r="I361" s="20" t="str">
        <f t="shared" si="79"/>
        <v/>
      </c>
      <c r="J361" s="21" t="str">
        <f>IFERROR(VLOOKUP(BR361,Pricing!$D$3:$E$58,2,FALSE),"")</f>
        <v/>
      </c>
      <c r="K361" s="32"/>
      <c r="L361" s="32"/>
      <c r="M361" s="32"/>
      <c r="N361" s="36" t="str" cm="1">
        <f t="array" ref="N361">IFERROR(_xlfn.IFS((AND(K361="SI",M361="$")),J361*0.2,AND(K361="SI",M361="%"),20),"")</f>
        <v/>
      </c>
      <c r="O361" s="29" t="str">
        <f t="shared" si="80"/>
        <v/>
      </c>
      <c r="P361" s="21" t="str">
        <f t="shared" si="81"/>
        <v/>
      </c>
      <c r="Q361" s="21" t="str">
        <f t="shared" si="82"/>
        <v/>
      </c>
      <c r="R361" s="21" t="str">
        <f t="shared" si="83"/>
        <v/>
      </c>
      <c r="S361" s="39"/>
      <c r="T361" s="43" t="str">
        <f t="shared" si="91"/>
        <v/>
      </c>
      <c r="U361" s="49" t="str">
        <f t="shared" si="92"/>
        <v/>
      </c>
      <c r="V361" s="48" t="str">
        <f t="shared" si="93"/>
        <v/>
      </c>
      <c r="W361" s="48" t="str">
        <f t="shared" si="84"/>
        <v/>
      </c>
      <c r="X361" s="50" t="str">
        <f>IF(W361="","",SUMIF($B$4:$B$1002,B361,$W$4:$W$1000))</f>
        <v/>
      </c>
      <c r="Y361" s="43" t="str">
        <f t="shared" si="85"/>
        <v/>
      </c>
      <c r="Z361" s="49" t="str">
        <f t="shared" si="86"/>
        <v/>
      </c>
      <c r="AA361" s="48" t="str">
        <f t="shared" si="87"/>
        <v/>
      </c>
      <c r="AB361" s="49" t="str">
        <f t="shared" si="88"/>
        <v/>
      </c>
      <c r="AC361" s="50" t="str">
        <f>IF(AB361="","",SUMIF($B$4:$B$1002,B361,$AB$4:$AB$1000))</f>
        <v/>
      </c>
      <c r="AD361" s="69"/>
      <c r="AE361" s="56"/>
      <c r="AF361" s="52"/>
      <c r="AG361" s="51"/>
      <c r="AH361" s="70"/>
      <c r="AI361" s="58"/>
      <c r="AJ361" s="55"/>
      <c r="AK361" s="51"/>
      <c r="AL361" s="69"/>
      <c r="AM361" s="56"/>
      <c r="AN361" s="52"/>
      <c r="AO361" s="51"/>
      <c r="AP361" s="70"/>
      <c r="AQ361" s="58"/>
      <c r="AR361" s="55"/>
      <c r="AS361" s="51"/>
      <c r="AT361" s="69"/>
      <c r="AU361" s="56"/>
      <c r="AV361" s="52"/>
      <c r="AW361" s="51"/>
      <c r="BR361" s="34" t="str">
        <f>IF(E361="","",CONCATENATE(E361," ",F361," noches"))</f>
        <v/>
      </c>
      <c r="BS361" s="28" t="str">
        <f t="shared" ca="1" si="89"/>
        <v/>
      </c>
      <c r="BT361" s="28" t="str">
        <f t="shared" ca="1" si="90"/>
        <v/>
      </c>
    </row>
    <row r="362" spans="1:72" x14ac:dyDescent="0.2">
      <c r="A362" s="18" t="str" cm="1">
        <f t="array" aca="1" ref="A362" ca="1">IF(B362="","","Grupo N˚"&amp;SUMPRODUCT(($B$4:B362&lt;&gt;"")*($B$4:B362&lt;&gt;OFFSET($B$4,-1,0,ROWS($B$4:B362),1))))</f>
        <v/>
      </c>
      <c r="B362" s="31"/>
      <c r="C362" s="31"/>
      <c r="D362" s="31"/>
      <c r="E362" s="31"/>
      <c r="F362" s="32"/>
      <c r="G362" s="33"/>
      <c r="H362" s="33"/>
      <c r="I362" s="20" t="str">
        <f t="shared" si="79"/>
        <v/>
      </c>
      <c r="J362" s="21" t="str">
        <f>IFERROR(VLOOKUP(BR362,Pricing!$D$3:$E$58,2,FALSE),"")</f>
        <v/>
      </c>
      <c r="K362" s="32"/>
      <c r="L362" s="32"/>
      <c r="M362" s="32"/>
      <c r="N362" s="36" t="str" cm="1">
        <f t="array" ref="N362">IFERROR(_xlfn.IFS((AND(K362="SI",M362="$")),J362*0.2,AND(K362="SI",M362="%"),20),"")</f>
        <v/>
      </c>
      <c r="O362" s="29" t="str">
        <f t="shared" si="80"/>
        <v/>
      </c>
      <c r="P362" s="21" t="str">
        <f t="shared" si="81"/>
        <v/>
      </c>
      <c r="Q362" s="21" t="str">
        <f t="shared" si="82"/>
        <v/>
      </c>
      <c r="R362" s="21" t="str">
        <f t="shared" si="83"/>
        <v/>
      </c>
      <c r="S362" s="39"/>
      <c r="T362" s="43" t="str">
        <f t="shared" si="91"/>
        <v/>
      </c>
      <c r="U362" s="49" t="str">
        <f t="shared" si="92"/>
        <v/>
      </c>
      <c r="V362" s="48" t="str">
        <f t="shared" si="93"/>
        <v/>
      </c>
      <c r="W362" s="48" t="str">
        <f t="shared" si="84"/>
        <v/>
      </c>
      <c r="X362" s="50" t="str">
        <f>IF(W362="","",SUMIF($B$4:$B$1002,B362,$W$4:$W$1000))</f>
        <v/>
      </c>
      <c r="Y362" s="43" t="str">
        <f t="shared" si="85"/>
        <v/>
      </c>
      <c r="Z362" s="49" t="str">
        <f t="shared" si="86"/>
        <v/>
      </c>
      <c r="AA362" s="48" t="str">
        <f t="shared" si="87"/>
        <v/>
      </c>
      <c r="AB362" s="49" t="str">
        <f t="shared" si="88"/>
        <v/>
      </c>
      <c r="AC362" s="50" t="str">
        <f>IF(AB362="","",SUMIF($B$4:$B$1002,B362,$AB$4:$AB$1000))</f>
        <v/>
      </c>
      <c r="AD362" s="69"/>
      <c r="AE362" s="56"/>
      <c r="AF362" s="52"/>
      <c r="AG362" s="51"/>
      <c r="AH362" s="70"/>
      <c r="AI362" s="58"/>
      <c r="AJ362" s="55"/>
      <c r="AK362" s="51"/>
      <c r="AL362" s="69"/>
      <c r="AM362" s="56"/>
      <c r="AN362" s="52"/>
      <c r="AO362" s="51"/>
      <c r="AP362" s="70"/>
      <c r="AQ362" s="58"/>
      <c r="AR362" s="55"/>
      <c r="AS362" s="51"/>
      <c r="AT362" s="69"/>
      <c r="AU362" s="56"/>
      <c r="AV362" s="52"/>
      <c r="AW362" s="51"/>
      <c r="BR362" s="34" t="str">
        <f>IF(E362="","",CONCATENATE(E362," ",F362," noches"))</f>
        <v/>
      </c>
      <c r="BS362" s="28" t="str">
        <f t="shared" ca="1" si="89"/>
        <v/>
      </c>
      <c r="BT362" s="28" t="str">
        <f t="shared" ca="1" si="90"/>
        <v/>
      </c>
    </row>
    <row r="363" spans="1:72" x14ac:dyDescent="0.2">
      <c r="A363" s="18" t="str" cm="1">
        <f t="array" aca="1" ref="A363" ca="1">IF(B363="","","Grupo N˚"&amp;SUMPRODUCT(($B$4:B363&lt;&gt;"")*($B$4:B363&lt;&gt;OFFSET($B$4,-1,0,ROWS($B$4:B363),1))))</f>
        <v/>
      </c>
      <c r="B363" s="31"/>
      <c r="C363" s="31"/>
      <c r="D363" s="31"/>
      <c r="E363" s="31"/>
      <c r="F363" s="32"/>
      <c r="G363" s="33"/>
      <c r="H363" s="33"/>
      <c r="I363" s="20" t="str">
        <f t="shared" si="79"/>
        <v/>
      </c>
      <c r="J363" s="21" t="str">
        <f>IFERROR(VLOOKUP(BR363,Pricing!$D$3:$E$58,2,FALSE),"")</f>
        <v/>
      </c>
      <c r="K363" s="32"/>
      <c r="L363" s="32"/>
      <c r="M363" s="32"/>
      <c r="N363" s="36" t="str" cm="1">
        <f t="array" ref="N363">IFERROR(_xlfn.IFS((AND(K363="SI",M363="$")),J363*0.2,AND(K363="SI",M363="%"),20),"")</f>
        <v/>
      </c>
      <c r="O363" s="29" t="str">
        <f t="shared" si="80"/>
        <v/>
      </c>
      <c r="P363" s="21" t="str">
        <f t="shared" si="81"/>
        <v/>
      </c>
      <c r="Q363" s="21" t="str">
        <f t="shared" si="82"/>
        <v/>
      </c>
      <c r="R363" s="21" t="str">
        <f t="shared" si="83"/>
        <v/>
      </c>
      <c r="S363" s="39"/>
      <c r="T363" s="43" t="str">
        <f t="shared" si="91"/>
        <v/>
      </c>
      <c r="U363" s="49" t="str">
        <f t="shared" si="92"/>
        <v/>
      </c>
      <c r="V363" s="48" t="str">
        <f t="shared" si="93"/>
        <v/>
      </c>
      <c r="W363" s="48" t="str">
        <f t="shared" si="84"/>
        <v/>
      </c>
      <c r="X363" s="50" t="str">
        <f>IF(W363="","",SUMIF($B$4:$B$1002,B363,$W$4:$W$1000))</f>
        <v/>
      </c>
      <c r="Y363" s="43" t="str">
        <f t="shared" si="85"/>
        <v/>
      </c>
      <c r="Z363" s="49" t="str">
        <f t="shared" si="86"/>
        <v/>
      </c>
      <c r="AA363" s="48" t="str">
        <f t="shared" si="87"/>
        <v/>
      </c>
      <c r="AB363" s="49" t="str">
        <f t="shared" si="88"/>
        <v/>
      </c>
      <c r="AC363" s="50" t="str">
        <f>IF(AB363="","",SUMIF($B$4:$B$1002,B363,$AB$4:$AB$1000))</f>
        <v/>
      </c>
      <c r="AD363" s="69"/>
      <c r="AE363" s="56"/>
      <c r="AF363" s="52"/>
      <c r="AG363" s="51"/>
      <c r="AH363" s="70"/>
      <c r="AI363" s="58"/>
      <c r="AJ363" s="55"/>
      <c r="AK363" s="51"/>
      <c r="AL363" s="69"/>
      <c r="AM363" s="56"/>
      <c r="AN363" s="52"/>
      <c r="AO363" s="51"/>
      <c r="AP363" s="70"/>
      <c r="AQ363" s="58"/>
      <c r="AR363" s="55"/>
      <c r="AS363" s="51"/>
      <c r="AT363" s="69"/>
      <c r="AU363" s="56"/>
      <c r="AV363" s="52"/>
      <c r="AW363" s="51"/>
      <c r="BR363" s="34" t="str">
        <f>IF(E363="","",CONCATENATE(E363," ",F363," noches"))</f>
        <v/>
      </c>
      <c r="BS363" s="28" t="str">
        <f t="shared" ca="1" si="89"/>
        <v/>
      </c>
      <c r="BT363" s="28" t="str">
        <f t="shared" ca="1" si="90"/>
        <v/>
      </c>
    </row>
    <row r="364" spans="1:72" x14ac:dyDescent="0.2">
      <c r="A364" s="18" t="str" cm="1">
        <f t="array" aca="1" ref="A364" ca="1">IF(B364="","","Grupo N˚"&amp;SUMPRODUCT(($B$4:B364&lt;&gt;"")*($B$4:B364&lt;&gt;OFFSET($B$4,-1,0,ROWS($B$4:B364),1))))</f>
        <v/>
      </c>
      <c r="B364" s="31"/>
      <c r="C364" s="31"/>
      <c r="D364" s="31"/>
      <c r="E364" s="31"/>
      <c r="F364" s="32"/>
      <c r="G364" s="33"/>
      <c r="H364" s="33"/>
      <c r="I364" s="20" t="str">
        <f t="shared" si="79"/>
        <v/>
      </c>
      <c r="J364" s="21" t="str">
        <f>IFERROR(VLOOKUP(BR364,Pricing!$D$3:$E$58,2,FALSE),"")</f>
        <v/>
      </c>
      <c r="K364" s="32"/>
      <c r="L364" s="32"/>
      <c r="M364" s="32"/>
      <c r="N364" s="36" t="str" cm="1">
        <f t="array" ref="N364">IFERROR(_xlfn.IFS((AND(K364="SI",M364="$")),J364*0.2,AND(K364="SI",M364="%"),20),"")</f>
        <v/>
      </c>
      <c r="O364" s="29" t="str">
        <f t="shared" si="80"/>
        <v/>
      </c>
      <c r="P364" s="21" t="str">
        <f t="shared" si="81"/>
        <v/>
      </c>
      <c r="Q364" s="21" t="str">
        <f t="shared" si="82"/>
        <v/>
      </c>
      <c r="R364" s="21" t="str">
        <f t="shared" si="83"/>
        <v/>
      </c>
      <c r="S364" s="39"/>
      <c r="T364" s="43" t="str">
        <f t="shared" si="91"/>
        <v/>
      </c>
      <c r="U364" s="49" t="str">
        <f t="shared" si="92"/>
        <v/>
      </c>
      <c r="V364" s="48" t="str">
        <f t="shared" si="93"/>
        <v/>
      </c>
      <c r="W364" s="48" t="str">
        <f t="shared" si="84"/>
        <v/>
      </c>
      <c r="X364" s="50" t="str">
        <f>IF(W364="","",SUMIF($B$4:$B$1002,B364,$W$4:$W$1000))</f>
        <v/>
      </c>
      <c r="Y364" s="43" t="str">
        <f t="shared" si="85"/>
        <v/>
      </c>
      <c r="Z364" s="49" t="str">
        <f t="shared" si="86"/>
        <v/>
      </c>
      <c r="AA364" s="48" t="str">
        <f t="shared" si="87"/>
        <v/>
      </c>
      <c r="AB364" s="49" t="str">
        <f t="shared" si="88"/>
        <v/>
      </c>
      <c r="AC364" s="50" t="str">
        <f>IF(AB364="","",SUMIF($B$4:$B$1002,B364,$AB$4:$AB$1000))</f>
        <v/>
      </c>
      <c r="AD364" s="69"/>
      <c r="AE364" s="56"/>
      <c r="AF364" s="52"/>
      <c r="AG364" s="51"/>
      <c r="AH364" s="70"/>
      <c r="AI364" s="58"/>
      <c r="AJ364" s="55"/>
      <c r="AK364" s="51"/>
      <c r="AL364" s="69"/>
      <c r="AM364" s="56"/>
      <c r="AN364" s="52"/>
      <c r="AO364" s="51"/>
      <c r="AP364" s="70"/>
      <c r="AQ364" s="58"/>
      <c r="AR364" s="55"/>
      <c r="AS364" s="51"/>
      <c r="AT364" s="69"/>
      <c r="AU364" s="56"/>
      <c r="AV364" s="52"/>
      <c r="AW364" s="51"/>
      <c r="BR364" s="34" t="str">
        <f>IF(E364="","",CONCATENATE(E364," ",F364," noches"))</f>
        <v/>
      </c>
      <c r="BS364" s="28" t="str">
        <f t="shared" ca="1" si="89"/>
        <v/>
      </c>
      <c r="BT364" s="28" t="str">
        <f t="shared" ca="1" si="90"/>
        <v/>
      </c>
    </row>
    <row r="365" spans="1:72" x14ac:dyDescent="0.2">
      <c r="A365" s="18" t="str" cm="1">
        <f t="array" aca="1" ref="A365" ca="1">IF(B365="","","Grupo N˚"&amp;SUMPRODUCT(($B$4:B365&lt;&gt;"")*($B$4:B365&lt;&gt;OFFSET($B$4,-1,0,ROWS($B$4:B365),1))))</f>
        <v/>
      </c>
      <c r="B365" s="31"/>
      <c r="C365" s="31"/>
      <c r="D365" s="31"/>
      <c r="E365" s="31"/>
      <c r="F365" s="32"/>
      <c r="G365" s="33"/>
      <c r="H365" s="33"/>
      <c r="I365" s="20" t="str">
        <f t="shared" si="79"/>
        <v/>
      </c>
      <c r="J365" s="21" t="str">
        <f>IFERROR(VLOOKUP(BR365,Pricing!$D$3:$E$58,2,FALSE),"")</f>
        <v/>
      </c>
      <c r="K365" s="32"/>
      <c r="L365" s="32"/>
      <c r="M365" s="32"/>
      <c r="N365" s="36" t="str" cm="1">
        <f t="array" ref="N365">IFERROR(_xlfn.IFS((AND(K365="SI",M365="$")),J365*0.2,AND(K365="SI",M365="%"),20),"")</f>
        <v/>
      </c>
      <c r="O365" s="29" t="str">
        <f t="shared" si="80"/>
        <v/>
      </c>
      <c r="P365" s="21" t="str">
        <f t="shared" si="81"/>
        <v/>
      </c>
      <c r="Q365" s="21" t="str">
        <f t="shared" si="82"/>
        <v/>
      </c>
      <c r="R365" s="21" t="str">
        <f t="shared" si="83"/>
        <v/>
      </c>
      <c r="S365" s="39"/>
      <c r="T365" s="43" t="str">
        <f t="shared" si="91"/>
        <v/>
      </c>
      <c r="U365" s="49" t="str">
        <f t="shared" si="92"/>
        <v/>
      </c>
      <c r="V365" s="48" t="str">
        <f t="shared" si="93"/>
        <v/>
      </c>
      <c r="W365" s="48" t="str">
        <f t="shared" si="84"/>
        <v/>
      </c>
      <c r="X365" s="50" t="str">
        <f>IF(W365="","",SUMIF($B$4:$B$1002,B365,$W$4:$W$1000))</f>
        <v/>
      </c>
      <c r="Y365" s="43" t="str">
        <f t="shared" si="85"/>
        <v/>
      </c>
      <c r="Z365" s="49" t="str">
        <f t="shared" si="86"/>
        <v/>
      </c>
      <c r="AA365" s="48" t="str">
        <f t="shared" si="87"/>
        <v/>
      </c>
      <c r="AB365" s="49" t="str">
        <f t="shared" si="88"/>
        <v/>
      </c>
      <c r="AC365" s="50" t="str">
        <f>IF(AB365="","",SUMIF($B$4:$B$1002,B365,$AB$4:$AB$1000))</f>
        <v/>
      </c>
      <c r="AD365" s="69"/>
      <c r="AE365" s="56"/>
      <c r="AF365" s="52"/>
      <c r="AG365" s="51"/>
      <c r="AH365" s="70"/>
      <c r="AI365" s="58"/>
      <c r="AJ365" s="55"/>
      <c r="AK365" s="51"/>
      <c r="AL365" s="69"/>
      <c r="AM365" s="56"/>
      <c r="AN365" s="52"/>
      <c r="AO365" s="51"/>
      <c r="AP365" s="70"/>
      <c r="AQ365" s="58"/>
      <c r="AR365" s="55"/>
      <c r="AS365" s="51"/>
      <c r="AT365" s="69"/>
      <c r="AU365" s="56"/>
      <c r="AV365" s="52"/>
      <c r="AW365" s="51"/>
      <c r="BR365" s="34" t="str">
        <f>IF(E365="","",CONCATENATE(E365," ",F365," noches"))</f>
        <v/>
      </c>
      <c r="BS365" s="28" t="str">
        <f t="shared" ca="1" si="89"/>
        <v/>
      </c>
      <c r="BT365" s="28" t="str">
        <f t="shared" ca="1" si="90"/>
        <v/>
      </c>
    </row>
    <row r="366" spans="1:72" x14ac:dyDescent="0.2">
      <c r="A366" s="18" t="str" cm="1">
        <f t="array" aca="1" ref="A366" ca="1">IF(B366="","","Grupo N˚"&amp;SUMPRODUCT(($B$4:B366&lt;&gt;"")*($B$4:B366&lt;&gt;OFFSET($B$4,-1,0,ROWS($B$4:B366),1))))</f>
        <v/>
      </c>
      <c r="B366" s="31"/>
      <c r="C366" s="31"/>
      <c r="D366" s="31"/>
      <c r="E366" s="31"/>
      <c r="F366" s="32"/>
      <c r="G366" s="33"/>
      <c r="H366" s="33"/>
      <c r="I366" s="20" t="str">
        <f t="shared" si="79"/>
        <v/>
      </c>
      <c r="J366" s="21" t="str">
        <f>IFERROR(VLOOKUP(BR366,Pricing!$D$3:$E$58,2,FALSE),"")</f>
        <v/>
      </c>
      <c r="K366" s="32"/>
      <c r="L366" s="32"/>
      <c r="M366" s="32"/>
      <c r="N366" s="36" t="str" cm="1">
        <f t="array" ref="N366">IFERROR(_xlfn.IFS((AND(K366="SI",M366="$")),J366*0.2,AND(K366="SI",M366="%"),20),"")</f>
        <v/>
      </c>
      <c r="O366" s="29" t="str">
        <f t="shared" si="80"/>
        <v/>
      </c>
      <c r="P366" s="21" t="str">
        <f t="shared" si="81"/>
        <v/>
      </c>
      <c r="Q366" s="21" t="str">
        <f t="shared" si="82"/>
        <v/>
      </c>
      <c r="R366" s="21" t="str">
        <f t="shared" si="83"/>
        <v/>
      </c>
      <c r="S366" s="39"/>
      <c r="T366" s="43" t="str">
        <f t="shared" si="91"/>
        <v/>
      </c>
      <c r="U366" s="49" t="str">
        <f t="shared" si="92"/>
        <v/>
      </c>
      <c r="V366" s="48" t="str">
        <f t="shared" si="93"/>
        <v/>
      </c>
      <c r="W366" s="48" t="str">
        <f t="shared" si="84"/>
        <v/>
      </c>
      <c r="X366" s="50" t="str">
        <f>IF(W366="","",SUMIF($B$4:$B$1002,B366,$W$4:$W$1000))</f>
        <v/>
      </c>
      <c r="Y366" s="43" t="str">
        <f t="shared" si="85"/>
        <v/>
      </c>
      <c r="Z366" s="49" t="str">
        <f t="shared" si="86"/>
        <v/>
      </c>
      <c r="AA366" s="48" t="str">
        <f t="shared" si="87"/>
        <v/>
      </c>
      <c r="AB366" s="49" t="str">
        <f t="shared" si="88"/>
        <v/>
      </c>
      <c r="AC366" s="50" t="str">
        <f>IF(AB366="","",SUMIF($B$4:$B$1002,B366,$AB$4:$AB$1000))</f>
        <v/>
      </c>
      <c r="AD366" s="69"/>
      <c r="AE366" s="56"/>
      <c r="AF366" s="52"/>
      <c r="AG366" s="51"/>
      <c r="AH366" s="70"/>
      <c r="AI366" s="58"/>
      <c r="AJ366" s="55"/>
      <c r="AK366" s="51"/>
      <c r="AL366" s="69"/>
      <c r="AM366" s="56"/>
      <c r="AN366" s="52"/>
      <c r="AO366" s="51"/>
      <c r="AP366" s="70"/>
      <c r="AQ366" s="58"/>
      <c r="AR366" s="55"/>
      <c r="AS366" s="51"/>
      <c r="AT366" s="69"/>
      <c r="AU366" s="56"/>
      <c r="AV366" s="52"/>
      <c r="AW366" s="51"/>
      <c r="BR366" s="34" t="str">
        <f>IF(E366="","",CONCATENATE(E366," ",F366," noches"))</f>
        <v/>
      </c>
      <c r="BS366" s="28" t="str">
        <f t="shared" ca="1" si="89"/>
        <v/>
      </c>
      <c r="BT366" s="28" t="str">
        <f t="shared" ca="1" si="90"/>
        <v/>
      </c>
    </row>
    <row r="367" spans="1:72" x14ac:dyDescent="0.2">
      <c r="A367" s="18" t="str" cm="1">
        <f t="array" aca="1" ref="A367" ca="1">IF(B367="","","Grupo N˚"&amp;SUMPRODUCT(($B$4:B367&lt;&gt;"")*($B$4:B367&lt;&gt;OFFSET($B$4,-1,0,ROWS($B$4:B367),1))))</f>
        <v/>
      </c>
      <c r="B367" s="31"/>
      <c r="C367" s="31"/>
      <c r="D367" s="31"/>
      <c r="E367" s="31"/>
      <c r="F367" s="32"/>
      <c r="G367" s="33"/>
      <c r="H367" s="33"/>
      <c r="I367" s="20" t="str">
        <f t="shared" si="79"/>
        <v/>
      </c>
      <c r="J367" s="21" t="str">
        <f>IFERROR(VLOOKUP(BR367,Pricing!$D$3:$E$58,2,FALSE),"")</f>
        <v/>
      </c>
      <c r="K367" s="32"/>
      <c r="L367" s="32"/>
      <c r="M367" s="32"/>
      <c r="N367" s="36" t="str" cm="1">
        <f t="array" ref="N367">IFERROR(_xlfn.IFS((AND(K367="SI",M367="$")),J367*0.2,AND(K367="SI",M367="%"),20),"")</f>
        <v/>
      </c>
      <c r="O367" s="29" t="str">
        <f t="shared" si="80"/>
        <v/>
      </c>
      <c r="P367" s="21" t="str">
        <f t="shared" si="81"/>
        <v/>
      </c>
      <c r="Q367" s="21" t="str">
        <f t="shared" si="82"/>
        <v/>
      </c>
      <c r="R367" s="21" t="str">
        <f t="shared" si="83"/>
        <v/>
      </c>
      <c r="S367" s="39"/>
      <c r="T367" s="43" t="str">
        <f t="shared" si="91"/>
        <v/>
      </c>
      <c r="U367" s="49" t="str">
        <f t="shared" si="92"/>
        <v/>
      </c>
      <c r="V367" s="48" t="str">
        <f t="shared" si="93"/>
        <v/>
      </c>
      <c r="W367" s="48" t="str">
        <f t="shared" si="84"/>
        <v/>
      </c>
      <c r="X367" s="50" t="str">
        <f>IF(W367="","",SUMIF($B$4:$B$1002,B367,$W$4:$W$1000))</f>
        <v/>
      </c>
      <c r="Y367" s="43" t="str">
        <f t="shared" si="85"/>
        <v/>
      </c>
      <c r="Z367" s="49" t="str">
        <f t="shared" si="86"/>
        <v/>
      </c>
      <c r="AA367" s="48" t="str">
        <f t="shared" si="87"/>
        <v/>
      </c>
      <c r="AB367" s="49" t="str">
        <f t="shared" si="88"/>
        <v/>
      </c>
      <c r="AC367" s="50" t="str">
        <f>IF(AB367="","",SUMIF($B$4:$B$1002,B367,$AB$4:$AB$1000))</f>
        <v/>
      </c>
      <c r="AD367" s="69"/>
      <c r="AE367" s="56"/>
      <c r="AF367" s="52"/>
      <c r="AG367" s="51"/>
      <c r="AH367" s="70"/>
      <c r="AI367" s="58"/>
      <c r="AJ367" s="55"/>
      <c r="AK367" s="51"/>
      <c r="AL367" s="69"/>
      <c r="AM367" s="56"/>
      <c r="AN367" s="52"/>
      <c r="AO367" s="51"/>
      <c r="AP367" s="70"/>
      <c r="AQ367" s="58"/>
      <c r="AR367" s="55"/>
      <c r="AS367" s="51"/>
      <c r="AT367" s="69"/>
      <c r="AU367" s="56"/>
      <c r="AV367" s="52"/>
      <c r="AW367" s="51"/>
      <c r="BR367" s="34" t="str">
        <f>IF(E367="","",CONCATENATE(E367," ",F367," noches"))</f>
        <v/>
      </c>
      <c r="BS367" s="28" t="str">
        <f t="shared" ca="1" si="89"/>
        <v/>
      </c>
      <c r="BT367" s="28" t="str">
        <f t="shared" ca="1" si="90"/>
        <v/>
      </c>
    </row>
    <row r="368" spans="1:72" x14ac:dyDescent="0.2">
      <c r="A368" s="18" t="str" cm="1">
        <f t="array" aca="1" ref="A368" ca="1">IF(B368="","","Grupo N˚"&amp;SUMPRODUCT(($B$4:B368&lt;&gt;"")*($B$4:B368&lt;&gt;OFFSET($B$4,-1,0,ROWS($B$4:B368),1))))</f>
        <v/>
      </c>
      <c r="B368" s="31"/>
      <c r="C368" s="31"/>
      <c r="D368" s="31"/>
      <c r="E368" s="31"/>
      <c r="F368" s="32"/>
      <c r="G368" s="33"/>
      <c r="H368" s="33"/>
      <c r="I368" s="20" t="str">
        <f t="shared" si="79"/>
        <v/>
      </c>
      <c r="J368" s="21" t="str">
        <f>IFERROR(VLOOKUP(BR368,Pricing!$D$3:$E$58,2,FALSE),"")</f>
        <v/>
      </c>
      <c r="K368" s="32"/>
      <c r="L368" s="32"/>
      <c r="M368" s="32"/>
      <c r="N368" s="36" t="str" cm="1">
        <f t="array" ref="N368">IFERROR(_xlfn.IFS((AND(K368="SI",M368="$")),J368*0.2,AND(K368="SI",M368="%"),20),"")</f>
        <v/>
      </c>
      <c r="O368" s="29" t="str">
        <f t="shared" si="80"/>
        <v/>
      </c>
      <c r="P368" s="21" t="str">
        <f t="shared" si="81"/>
        <v/>
      </c>
      <c r="Q368" s="21" t="str">
        <f t="shared" si="82"/>
        <v/>
      </c>
      <c r="R368" s="21" t="str">
        <f t="shared" si="83"/>
        <v/>
      </c>
      <c r="S368" s="39"/>
      <c r="T368" s="43" t="str">
        <f t="shared" si="91"/>
        <v/>
      </c>
      <c r="U368" s="49" t="str">
        <f t="shared" si="92"/>
        <v/>
      </c>
      <c r="V368" s="48" t="str">
        <f t="shared" si="93"/>
        <v/>
      </c>
      <c r="W368" s="48" t="str">
        <f t="shared" si="84"/>
        <v/>
      </c>
      <c r="X368" s="50" t="str">
        <f>IF(W368="","",SUMIF($B$4:$B$1002,B368,$W$4:$W$1000))</f>
        <v/>
      </c>
      <c r="Y368" s="43" t="str">
        <f t="shared" si="85"/>
        <v/>
      </c>
      <c r="Z368" s="49" t="str">
        <f t="shared" si="86"/>
        <v/>
      </c>
      <c r="AA368" s="48" t="str">
        <f t="shared" si="87"/>
        <v/>
      </c>
      <c r="AB368" s="49" t="str">
        <f t="shared" si="88"/>
        <v/>
      </c>
      <c r="AC368" s="50" t="str">
        <f>IF(AB368="","",SUMIF($B$4:$B$1002,B368,$AB$4:$AB$1000))</f>
        <v/>
      </c>
      <c r="AD368" s="69"/>
      <c r="AE368" s="56"/>
      <c r="AF368" s="52"/>
      <c r="AG368" s="51"/>
      <c r="AH368" s="70"/>
      <c r="AI368" s="58"/>
      <c r="AJ368" s="55"/>
      <c r="AK368" s="51"/>
      <c r="AL368" s="69"/>
      <c r="AM368" s="56"/>
      <c r="AN368" s="52"/>
      <c r="AO368" s="51"/>
      <c r="AP368" s="70"/>
      <c r="AQ368" s="58"/>
      <c r="AR368" s="55"/>
      <c r="AS368" s="51"/>
      <c r="AT368" s="69"/>
      <c r="AU368" s="56"/>
      <c r="AV368" s="52"/>
      <c r="AW368" s="51"/>
      <c r="BR368" s="34" t="str">
        <f>IF(E368="","",CONCATENATE(E368," ",F368," noches"))</f>
        <v/>
      </c>
      <c r="BS368" s="28" t="str">
        <f t="shared" ca="1" si="89"/>
        <v/>
      </c>
      <c r="BT368" s="28" t="str">
        <f t="shared" ca="1" si="90"/>
        <v/>
      </c>
    </row>
    <row r="369" spans="1:72" x14ac:dyDescent="0.2">
      <c r="A369" s="18" t="str" cm="1">
        <f t="array" aca="1" ref="A369" ca="1">IF(B369="","","Grupo N˚"&amp;SUMPRODUCT(($B$4:B369&lt;&gt;"")*($B$4:B369&lt;&gt;OFFSET($B$4,-1,0,ROWS($B$4:B369),1))))</f>
        <v/>
      </c>
      <c r="B369" s="31"/>
      <c r="C369" s="31"/>
      <c r="D369" s="31"/>
      <c r="E369" s="31"/>
      <c r="F369" s="32"/>
      <c r="G369" s="33"/>
      <c r="H369" s="33"/>
      <c r="I369" s="20" t="str">
        <f t="shared" si="79"/>
        <v/>
      </c>
      <c r="J369" s="21" t="str">
        <f>IFERROR(VLOOKUP(BR369,Pricing!$D$3:$E$58,2,FALSE),"")</f>
        <v/>
      </c>
      <c r="K369" s="32"/>
      <c r="L369" s="32"/>
      <c r="M369" s="32"/>
      <c r="N369" s="36" t="str" cm="1">
        <f t="array" ref="N369">IFERROR(_xlfn.IFS((AND(K369="SI",M369="$")),J369*0.2,AND(K369="SI",M369="%"),20),"")</f>
        <v/>
      </c>
      <c r="O369" s="29" t="str">
        <f t="shared" si="80"/>
        <v/>
      </c>
      <c r="P369" s="21" t="str">
        <f t="shared" si="81"/>
        <v/>
      </c>
      <c r="Q369" s="21" t="str">
        <f t="shared" si="82"/>
        <v/>
      </c>
      <c r="R369" s="21" t="str">
        <f t="shared" si="83"/>
        <v/>
      </c>
      <c r="S369" s="39"/>
      <c r="T369" s="43" t="str">
        <f t="shared" si="91"/>
        <v/>
      </c>
      <c r="U369" s="49" t="str">
        <f t="shared" si="92"/>
        <v/>
      </c>
      <c r="V369" s="48" t="str">
        <f t="shared" si="93"/>
        <v/>
      </c>
      <c r="W369" s="48" t="str">
        <f t="shared" si="84"/>
        <v/>
      </c>
      <c r="X369" s="50" t="str">
        <f>IF(W369="","",SUMIF($B$4:$B$1002,B369,$W$4:$W$1000))</f>
        <v/>
      </c>
      <c r="Y369" s="43" t="str">
        <f t="shared" si="85"/>
        <v/>
      </c>
      <c r="Z369" s="49" t="str">
        <f t="shared" si="86"/>
        <v/>
      </c>
      <c r="AA369" s="48" t="str">
        <f t="shared" si="87"/>
        <v/>
      </c>
      <c r="AB369" s="49" t="str">
        <f t="shared" si="88"/>
        <v/>
      </c>
      <c r="AC369" s="50" t="str">
        <f>IF(AB369="","",SUMIF($B$4:$B$1002,B369,$AB$4:$AB$1000))</f>
        <v/>
      </c>
      <c r="AD369" s="69"/>
      <c r="AE369" s="56"/>
      <c r="AF369" s="52"/>
      <c r="AG369" s="51"/>
      <c r="AH369" s="70"/>
      <c r="AI369" s="58"/>
      <c r="AJ369" s="55"/>
      <c r="AK369" s="51"/>
      <c r="AL369" s="69"/>
      <c r="AM369" s="56"/>
      <c r="AN369" s="52"/>
      <c r="AO369" s="51"/>
      <c r="AP369" s="70"/>
      <c r="AQ369" s="58"/>
      <c r="AR369" s="55"/>
      <c r="AS369" s="51"/>
      <c r="AT369" s="69"/>
      <c r="AU369" s="56"/>
      <c r="AV369" s="52"/>
      <c r="AW369" s="51"/>
      <c r="BR369" s="34" t="str">
        <f>IF(E369="","",CONCATENATE(E369," ",F369," noches"))</f>
        <v/>
      </c>
      <c r="BS369" s="28" t="str">
        <f t="shared" ca="1" si="89"/>
        <v/>
      </c>
      <c r="BT369" s="28" t="str">
        <f t="shared" ca="1" si="90"/>
        <v/>
      </c>
    </row>
    <row r="370" spans="1:72" x14ac:dyDescent="0.2">
      <c r="A370" s="18" t="str" cm="1">
        <f t="array" aca="1" ref="A370" ca="1">IF(B370="","","Grupo N˚"&amp;SUMPRODUCT(($B$4:B370&lt;&gt;"")*($B$4:B370&lt;&gt;OFFSET($B$4,-1,0,ROWS($B$4:B370),1))))</f>
        <v/>
      </c>
      <c r="B370" s="31"/>
      <c r="C370" s="31"/>
      <c r="D370" s="31"/>
      <c r="E370" s="31"/>
      <c r="F370" s="32"/>
      <c r="G370" s="33"/>
      <c r="H370" s="33"/>
      <c r="I370" s="20" t="str">
        <f t="shared" si="79"/>
        <v/>
      </c>
      <c r="J370" s="21" t="str">
        <f>IFERROR(VLOOKUP(BR370,Pricing!$D$3:$E$58,2,FALSE),"")</f>
        <v/>
      </c>
      <c r="K370" s="32"/>
      <c r="L370" s="32"/>
      <c r="M370" s="32"/>
      <c r="N370" s="36" t="str" cm="1">
        <f t="array" ref="N370">IFERROR(_xlfn.IFS((AND(K370="SI",M370="$")),J370*0.2,AND(K370="SI",M370="%"),20),"")</f>
        <v/>
      </c>
      <c r="O370" s="29" t="str">
        <f t="shared" si="80"/>
        <v/>
      </c>
      <c r="P370" s="21" t="str">
        <f t="shared" si="81"/>
        <v/>
      </c>
      <c r="Q370" s="21" t="str">
        <f t="shared" si="82"/>
        <v/>
      </c>
      <c r="R370" s="21" t="str">
        <f t="shared" si="83"/>
        <v/>
      </c>
      <c r="S370" s="39"/>
      <c r="T370" s="43" t="str">
        <f t="shared" si="91"/>
        <v/>
      </c>
      <c r="U370" s="49" t="str">
        <f t="shared" si="92"/>
        <v/>
      </c>
      <c r="V370" s="48" t="str">
        <f t="shared" si="93"/>
        <v/>
      </c>
      <c r="W370" s="48" t="str">
        <f t="shared" si="84"/>
        <v/>
      </c>
      <c r="X370" s="50" t="str">
        <f>IF(W370="","",SUMIF($B$4:$B$1002,B370,$W$4:$W$1000))</f>
        <v/>
      </c>
      <c r="Y370" s="43" t="str">
        <f t="shared" si="85"/>
        <v/>
      </c>
      <c r="Z370" s="49" t="str">
        <f t="shared" si="86"/>
        <v/>
      </c>
      <c r="AA370" s="48" t="str">
        <f t="shared" si="87"/>
        <v/>
      </c>
      <c r="AB370" s="49" t="str">
        <f t="shared" si="88"/>
        <v/>
      </c>
      <c r="AC370" s="50" t="str">
        <f>IF(AB370="","",SUMIF($B$4:$B$1002,B370,$AB$4:$AB$1000))</f>
        <v/>
      </c>
      <c r="AD370" s="69"/>
      <c r="AE370" s="56"/>
      <c r="AF370" s="52"/>
      <c r="AG370" s="51"/>
      <c r="AH370" s="70"/>
      <c r="AI370" s="58"/>
      <c r="AJ370" s="55"/>
      <c r="AK370" s="51"/>
      <c r="AL370" s="69"/>
      <c r="AM370" s="56"/>
      <c r="AN370" s="52"/>
      <c r="AO370" s="51"/>
      <c r="AP370" s="70"/>
      <c r="AQ370" s="58"/>
      <c r="AR370" s="55"/>
      <c r="AS370" s="51"/>
      <c r="AT370" s="69"/>
      <c r="AU370" s="56"/>
      <c r="AV370" s="52"/>
      <c r="AW370" s="51"/>
      <c r="BR370" s="34" t="str">
        <f>IF(E370="","",CONCATENATE(E370," ",F370," noches"))</f>
        <v/>
      </c>
      <c r="BS370" s="28" t="str">
        <f t="shared" ca="1" si="89"/>
        <v/>
      </c>
      <c r="BT370" s="28" t="str">
        <f t="shared" ca="1" si="90"/>
        <v/>
      </c>
    </row>
    <row r="371" spans="1:72" x14ac:dyDescent="0.2">
      <c r="A371" s="18" t="str" cm="1">
        <f t="array" aca="1" ref="A371" ca="1">IF(B371="","","Grupo N˚"&amp;SUMPRODUCT(($B$4:B371&lt;&gt;"")*($B$4:B371&lt;&gt;OFFSET($B$4,-1,0,ROWS($B$4:B371),1))))</f>
        <v/>
      </c>
      <c r="B371" s="31"/>
      <c r="C371" s="31"/>
      <c r="D371" s="31"/>
      <c r="E371" s="31"/>
      <c r="F371" s="32"/>
      <c r="G371" s="33"/>
      <c r="H371" s="33"/>
      <c r="I371" s="20" t="str">
        <f t="shared" si="79"/>
        <v/>
      </c>
      <c r="J371" s="21" t="str">
        <f>IFERROR(VLOOKUP(BR371,Pricing!$D$3:$E$58,2,FALSE),"")</f>
        <v/>
      </c>
      <c r="K371" s="32"/>
      <c r="L371" s="32"/>
      <c r="M371" s="32"/>
      <c r="N371" s="36" t="str" cm="1">
        <f t="array" ref="N371">IFERROR(_xlfn.IFS((AND(K371="SI",M371="$")),J371*0.2,AND(K371="SI",M371="%"),20),"")</f>
        <v/>
      </c>
      <c r="O371" s="29" t="str">
        <f t="shared" si="80"/>
        <v/>
      </c>
      <c r="P371" s="21" t="str">
        <f t="shared" si="81"/>
        <v/>
      </c>
      <c r="Q371" s="21" t="str">
        <f t="shared" si="82"/>
        <v/>
      </c>
      <c r="R371" s="21" t="str">
        <f t="shared" si="83"/>
        <v/>
      </c>
      <c r="S371" s="39"/>
      <c r="T371" s="43" t="str">
        <f t="shared" si="91"/>
        <v/>
      </c>
      <c r="U371" s="49" t="str">
        <f t="shared" si="92"/>
        <v/>
      </c>
      <c r="V371" s="48" t="str">
        <f t="shared" si="93"/>
        <v/>
      </c>
      <c r="W371" s="48" t="str">
        <f t="shared" si="84"/>
        <v/>
      </c>
      <c r="X371" s="50" t="str">
        <f>IF(W371="","",SUMIF($B$4:$B$1002,B371,$W$4:$W$1000))</f>
        <v/>
      </c>
      <c r="Y371" s="43" t="str">
        <f t="shared" si="85"/>
        <v/>
      </c>
      <c r="Z371" s="49" t="str">
        <f t="shared" si="86"/>
        <v/>
      </c>
      <c r="AA371" s="48" t="str">
        <f t="shared" si="87"/>
        <v/>
      </c>
      <c r="AB371" s="49" t="str">
        <f t="shared" si="88"/>
        <v/>
      </c>
      <c r="AC371" s="50" t="str">
        <f>IF(AB371="","",SUMIF($B$4:$B$1002,B371,$AB$4:$AB$1000))</f>
        <v/>
      </c>
      <c r="AD371" s="69"/>
      <c r="AE371" s="56"/>
      <c r="AF371" s="52"/>
      <c r="AG371" s="51"/>
      <c r="AH371" s="70"/>
      <c r="AI371" s="58"/>
      <c r="AJ371" s="55"/>
      <c r="AK371" s="51"/>
      <c r="AL371" s="69"/>
      <c r="AM371" s="56"/>
      <c r="AN371" s="52"/>
      <c r="AO371" s="51"/>
      <c r="AP371" s="70"/>
      <c r="AQ371" s="58"/>
      <c r="AR371" s="55"/>
      <c r="AS371" s="51"/>
      <c r="AT371" s="69"/>
      <c r="AU371" s="56"/>
      <c r="AV371" s="52"/>
      <c r="AW371" s="51"/>
      <c r="BR371" s="34" t="str">
        <f>IF(E371="","",CONCATENATE(E371," ",F371," noches"))</f>
        <v/>
      </c>
      <c r="BS371" s="28" t="str">
        <f t="shared" ca="1" si="89"/>
        <v/>
      </c>
      <c r="BT371" s="28" t="str">
        <f t="shared" ca="1" si="90"/>
        <v/>
      </c>
    </row>
    <row r="372" spans="1:72" x14ac:dyDescent="0.2">
      <c r="A372" s="18" t="str" cm="1">
        <f t="array" aca="1" ref="A372" ca="1">IF(B372="","","Grupo N˚"&amp;SUMPRODUCT(($B$4:B372&lt;&gt;"")*($B$4:B372&lt;&gt;OFFSET($B$4,-1,0,ROWS($B$4:B372),1))))</f>
        <v/>
      </c>
      <c r="B372" s="31"/>
      <c r="C372" s="31"/>
      <c r="D372" s="31"/>
      <c r="E372" s="31"/>
      <c r="F372" s="32"/>
      <c r="G372" s="33"/>
      <c r="H372" s="33"/>
      <c r="I372" s="20" t="str">
        <f t="shared" si="79"/>
        <v/>
      </c>
      <c r="J372" s="21" t="str">
        <f>IFERROR(VLOOKUP(BR372,Pricing!$D$3:$E$58,2,FALSE),"")</f>
        <v/>
      </c>
      <c r="K372" s="32"/>
      <c r="L372" s="32"/>
      <c r="M372" s="32"/>
      <c r="N372" s="36" t="str" cm="1">
        <f t="array" ref="N372">IFERROR(_xlfn.IFS((AND(K372="SI",M372="$")),J372*0.2,AND(K372="SI",M372="%"),20),"")</f>
        <v/>
      </c>
      <c r="O372" s="29" t="str">
        <f t="shared" si="80"/>
        <v/>
      </c>
      <c r="P372" s="21" t="str">
        <f t="shared" si="81"/>
        <v/>
      </c>
      <c r="Q372" s="21" t="str">
        <f t="shared" si="82"/>
        <v/>
      </c>
      <c r="R372" s="21" t="str">
        <f t="shared" si="83"/>
        <v/>
      </c>
      <c r="S372" s="39"/>
      <c r="T372" s="43" t="str">
        <f t="shared" si="91"/>
        <v/>
      </c>
      <c r="U372" s="49" t="str">
        <f t="shared" si="92"/>
        <v/>
      </c>
      <c r="V372" s="48" t="str">
        <f t="shared" si="93"/>
        <v/>
      </c>
      <c r="W372" s="48" t="str">
        <f t="shared" si="84"/>
        <v/>
      </c>
      <c r="X372" s="50" t="str">
        <f>IF(W372="","",SUMIF($B$4:$B$1002,B372,$W$4:$W$1000))</f>
        <v/>
      </c>
      <c r="Y372" s="43" t="str">
        <f t="shared" si="85"/>
        <v/>
      </c>
      <c r="Z372" s="49" t="str">
        <f t="shared" si="86"/>
        <v/>
      </c>
      <c r="AA372" s="48" t="str">
        <f t="shared" si="87"/>
        <v/>
      </c>
      <c r="AB372" s="49" t="str">
        <f t="shared" si="88"/>
        <v/>
      </c>
      <c r="AC372" s="50" t="str">
        <f>IF(AB372="","",SUMIF($B$4:$B$1002,B372,$AB$4:$AB$1000))</f>
        <v/>
      </c>
      <c r="AD372" s="69"/>
      <c r="AE372" s="56"/>
      <c r="AF372" s="52"/>
      <c r="AG372" s="51"/>
      <c r="AH372" s="70"/>
      <c r="AI372" s="58"/>
      <c r="AJ372" s="55"/>
      <c r="AK372" s="51"/>
      <c r="AL372" s="69"/>
      <c r="AM372" s="56"/>
      <c r="AN372" s="52"/>
      <c r="AO372" s="51"/>
      <c r="AP372" s="70"/>
      <c r="AQ372" s="58"/>
      <c r="AR372" s="55"/>
      <c r="AS372" s="51"/>
      <c r="AT372" s="69"/>
      <c r="AU372" s="56"/>
      <c r="AV372" s="52"/>
      <c r="AW372" s="51"/>
      <c r="BR372" s="34" t="str">
        <f>IF(E372="","",CONCATENATE(E372," ",F372," noches"))</f>
        <v/>
      </c>
      <c r="BS372" s="28" t="str">
        <f t="shared" ca="1" si="89"/>
        <v/>
      </c>
      <c r="BT372" s="28" t="str">
        <f t="shared" ca="1" si="90"/>
        <v/>
      </c>
    </row>
    <row r="373" spans="1:72" x14ac:dyDescent="0.2">
      <c r="A373" s="18" t="str" cm="1">
        <f t="array" aca="1" ref="A373" ca="1">IF(B373="","","Grupo N˚"&amp;SUMPRODUCT(($B$4:B373&lt;&gt;"")*($B$4:B373&lt;&gt;OFFSET($B$4,-1,0,ROWS($B$4:B373),1))))</f>
        <v/>
      </c>
      <c r="B373" s="31"/>
      <c r="C373" s="31"/>
      <c r="D373" s="31"/>
      <c r="E373" s="31"/>
      <c r="F373" s="32"/>
      <c r="G373" s="33"/>
      <c r="H373" s="33"/>
      <c r="I373" s="20" t="str">
        <f t="shared" si="79"/>
        <v/>
      </c>
      <c r="J373" s="21" t="str">
        <f>IFERROR(VLOOKUP(BR373,Pricing!$D$3:$E$58,2,FALSE),"")</f>
        <v/>
      </c>
      <c r="K373" s="32"/>
      <c r="L373" s="32"/>
      <c r="M373" s="32"/>
      <c r="N373" s="36" t="str" cm="1">
        <f t="array" ref="N373">IFERROR(_xlfn.IFS((AND(K373="SI",M373="$")),J373*0.2,AND(K373="SI",M373="%"),20),"")</f>
        <v/>
      </c>
      <c r="O373" s="29" t="str">
        <f t="shared" si="80"/>
        <v/>
      </c>
      <c r="P373" s="21" t="str">
        <f t="shared" si="81"/>
        <v/>
      </c>
      <c r="Q373" s="21" t="str">
        <f t="shared" si="82"/>
        <v/>
      </c>
      <c r="R373" s="21" t="str">
        <f t="shared" si="83"/>
        <v/>
      </c>
      <c r="S373" s="39"/>
      <c r="T373" s="43" t="str">
        <f t="shared" si="91"/>
        <v/>
      </c>
      <c r="U373" s="49" t="str">
        <f t="shared" si="92"/>
        <v/>
      </c>
      <c r="V373" s="48" t="str">
        <f t="shared" si="93"/>
        <v/>
      </c>
      <c r="W373" s="48" t="str">
        <f t="shared" si="84"/>
        <v/>
      </c>
      <c r="X373" s="50" t="str">
        <f>IF(W373="","",SUMIF($B$4:$B$1002,B373,$W$4:$W$1000))</f>
        <v/>
      </c>
      <c r="Y373" s="43" t="str">
        <f t="shared" si="85"/>
        <v/>
      </c>
      <c r="Z373" s="49" t="str">
        <f t="shared" si="86"/>
        <v/>
      </c>
      <c r="AA373" s="48" t="str">
        <f t="shared" si="87"/>
        <v/>
      </c>
      <c r="AB373" s="49" t="str">
        <f t="shared" si="88"/>
        <v/>
      </c>
      <c r="AC373" s="50" t="str">
        <f>IF(AB373="","",SUMIF($B$4:$B$1002,B373,$AB$4:$AB$1000))</f>
        <v/>
      </c>
      <c r="AD373" s="69"/>
      <c r="AE373" s="56"/>
      <c r="AF373" s="52"/>
      <c r="AG373" s="51"/>
      <c r="AH373" s="70"/>
      <c r="AI373" s="58"/>
      <c r="AJ373" s="55"/>
      <c r="AK373" s="51"/>
      <c r="AL373" s="69"/>
      <c r="AM373" s="56"/>
      <c r="AN373" s="52"/>
      <c r="AO373" s="51"/>
      <c r="AP373" s="70"/>
      <c r="AQ373" s="58"/>
      <c r="AR373" s="55"/>
      <c r="AS373" s="51"/>
      <c r="AT373" s="69"/>
      <c r="AU373" s="56"/>
      <c r="AV373" s="52"/>
      <c r="AW373" s="51"/>
      <c r="BR373" s="34" t="str">
        <f>IF(E373="","",CONCATENATE(E373," ",F373," noches"))</f>
        <v/>
      </c>
      <c r="BS373" s="28" t="str">
        <f t="shared" ca="1" si="89"/>
        <v/>
      </c>
      <c r="BT373" s="28" t="str">
        <f t="shared" ca="1" si="90"/>
        <v/>
      </c>
    </row>
    <row r="374" spans="1:72" x14ac:dyDescent="0.2">
      <c r="A374" s="18" t="str" cm="1">
        <f t="array" aca="1" ref="A374" ca="1">IF(B374="","","Grupo N˚"&amp;SUMPRODUCT(($B$4:B374&lt;&gt;"")*($B$4:B374&lt;&gt;OFFSET($B$4,-1,0,ROWS($B$4:B374),1))))</f>
        <v/>
      </c>
      <c r="B374" s="31"/>
      <c r="C374" s="31"/>
      <c r="D374" s="31"/>
      <c r="E374" s="31"/>
      <c r="F374" s="32"/>
      <c r="G374" s="33"/>
      <c r="H374" s="33"/>
      <c r="I374" s="20" t="str">
        <f t="shared" si="79"/>
        <v/>
      </c>
      <c r="J374" s="21" t="str">
        <f>IFERROR(VLOOKUP(BR374,Pricing!$D$3:$E$58,2,FALSE),"")</f>
        <v/>
      </c>
      <c r="K374" s="32"/>
      <c r="L374" s="32"/>
      <c r="M374" s="32"/>
      <c r="N374" s="36" t="str" cm="1">
        <f t="array" ref="N374">IFERROR(_xlfn.IFS((AND(K374="SI",M374="$")),J374*0.2,AND(K374="SI",M374="%"),20),"")</f>
        <v/>
      </c>
      <c r="O374" s="29" t="str">
        <f t="shared" si="80"/>
        <v/>
      </c>
      <c r="P374" s="21" t="str">
        <f t="shared" si="81"/>
        <v/>
      </c>
      <c r="Q374" s="21" t="str">
        <f t="shared" si="82"/>
        <v/>
      </c>
      <c r="R374" s="21" t="str">
        <f t="shared" si="83"/>
        <v/>
      </c>
      <c r="S374" s="39"/>
      <c r="T374" s="43" t="str">
        <f t="shared" si="91"/>
        <v/>
      </c>
      <c r="U374" s="49" t="str">
        <f t="shared" si="92"/>
        <v/>
      </c>
      <c r="V374" s="48" t="str">
        <f t="shared" si="93"/>
        <v/>
      </c>
      <c r="W374" s="48" t="str">
        <f t="shared" si="84"/>
        <v/>
      </c>
      <c r="X374" s="50" t="str">
        <f>IF(W374="","",SUMIF($B$4:$B$1002,B374,$W$4:$W$1000))</f>
        <v/>
      </c>
      <c r="Y374" s="43" t="str">
        <f t="shared" si="85"/>
        <v/>
      </c>
      <c r="Z374" s="49" t="str">
        <f t="shared" si="86"/>
        <v/>
      </c>
      <c r="AA374" s="48" t="str">
        <f t="shared" si="87"/>
        <v/>
      </c>
      <c r="AB374" s="49" t="str">
        <f t="shared" si="88"/>
        <v/>
      </c>
      <c r="AC374" s="50" t="str">
        <f>IF(AB374="","",SUMIF($B$4:$B$1002,B374,$AB$4:$AB$1000))</f>
        <v/>
      </c>
      <c r="AD374" s="69"/>
      <c r="AE374" s="56"/>
      <c r="AF374" s="52"/>
      <c r="AG374" s="51"/>
      <c r="AH374" s="70"/>
      <c r="AI374" s="58"/>
      <c r="AJ374" s="55"/>
      <c r="AK374" s="51"/>
      <c r="AL374" s="69"/>
      <c r="AM374" s="56"/>
      <c r="AN374" s="52"/>
      <c r="AO374" s="51"/>
      <c r="AP374" s="70"/>
      <c r="AQ374" s="58"/>
      <c r="AR374" s="55"/>
      <c r="AS374" s="51"/>
      <c r="AT374" s="69"/>
      <c r="AU374" s="56"/>
      <c r="AV374" s="52"/>
      <c r="AW374" s="51"/>
      <c r="BR374" s="34" t="str">
        <f>IF(E374="","",CONCATENATE(E374," ",F374," noches"))</f>
        <v/>
      </c>
      <c r="BS374" s="28" t="str">
        <f t="shared" ca="1" si="89"/>
        <v/>
      </c>
      <c r="BT374" s="28" t="str">
        <f t="shared" ca="1" si="90"/>
        <v/>
      </c>
    </row>
    <row r="375" spans="1:72" x14ac:dyDescent="0.2">
      <c r="A375" s="18" t="str" cm="1">
        <f t="array" aca="1" ref="A375" ca="1">IF(B375="","","Grupo N˚"&amp;SUMPRODUCT(($B$4:B375&lt;&gt;"")*($B$4:B375&lt;&gt;OFFSET($B$4,-1,0,ROWS($B$4:B375),1))))</f>
        <v/>
      </c>
      <c r="B375" s="31"/>
      <c r="C375" s="31"/>
      <c r="D375" s="31"/>
      <c r="E375" s="31"/>
      <c r="F375" s="32"/>
      <c r="G375" s="33"/>
      <c r="H375" s="33"/>
      <c r="I375" s="20" t="str">
        <f t="shared" si="79"/>
        <v/>
      </c>
      <c r="J375" s="21" t="str">
        <f>IFERROR(VLOOKUP(BR375,Pricing!$D$3:$E$58,2,FALSE),"")</f>
        <v/>
      </c>
      <c r="K375" s="32"/>
      <c r="L375" s="32"/>
      <c r="M375" s="32"/>
      <c r="N375" s="36" t="str" cm="1">
        <f t="array" ref="N375">IFERROR(_xlfn.IFS((AND(K375="SI",M375="$")),J375*0.2,AND(K375="SI",M375="%"),20),"")</f>
        <v/>
      </c>
      <c r="O375" s="29" t="str">
        <f t="shared" si="80"/>
        <v/>
      </c>
      <c r="P375" s="21" t="str">
        <f t="shared" si="81"/>
        <v/>
      </c>
      <c r="Q375" s="21" t="str">
        <f t="shared" si="82"/>
        <v/>
      </c>
      <c r="R375" s="21" t="str">
        <f t="shared" si="83"/>
        <v/>
      </c>
      <c r="S375" s="39"/>
      <c r="T375" s="43" t="str">
        <f t="shared" si="91"/>
        <v/>
      </c>
      <c r="U375" s="49" t="str">
        <f t="shared" si="92"/>
        <v/>
      </c>
      <c r="V375" s="48" t="str">
        <f t="shared" si="93"/>
        <v/>
      </c>
      <c r="W375" s="48" t="str">
        <f t="shared" si="84"/>
        <v/>
      </c>
      <c r="X375" s="50" t="str">
        <f>IF(W375="","",SUMIF($B$4:$B$1002,B375,$W$4:$W$1000))</f>
        <v/>
      </c>
      <c r="Y375" s="43" t="str">
        <f t="shared" si="85"/>
        <v/>
      </c>
      <c r="Z375" s="49" t="str">
        <f t="shared" si="86"/>
        <v/>
      </c>
      <c r="AA375" s="48" t="str">
        <f t="shared" si="87"/>
        <v/>
      </c>
      <c r="AB375" s="49" t="str">
        <f t="shared" si="88"/>
        <v/>
      </c>
      <c r="AC375" s="50" t="str">
        <f>IF(AB375="","",SUMIF($B$4:$B$1002,B375,$AB$4:$AB$1000))</f>
        <v/>
      </c>
      <c r="AD375" s="69"/>
      <c r="AE375" s="56"/>
      <c r="AF375" s="52"/>
      <c r="AG375" s="51"/>
      <c r="AH375" s="70"/>
      <c r="AI375" s="58"/>
      <c r="AJ375" s="55"/>
      <c r="AK375" s="51"/>
      <c r="AL375" s="69"/>
      <c r="AM375" s="56"/>
      <c r="AN375" s="52"/>
      <c r="AO375" s="51"/>
      <c r="AP375" s="70"/>
      <c r="AQ375" s="58"/>
      <c r="AR375" s="55"/>
      <c r="AS375" s="51"/>
      <c r="AT375" s="69"/>
      <c r="AU375" s="56"/>
      <c r="AV375" s="52"/>
      <c r="AW375" s="51"/>
      <c r="BR375" s="34" t="str">
        <f>IF(E375="","",CONCATENATE(E375," ",F375," noches"))</f>
        <v/>
      </c>
      <c r="BS375" s="28" t="str">
        <f t="shared" ca="1" si="89"/>
        <v/>
      </c>
      <c r="BT375" s="28" t="str">
        <f t="shared" ca="1" si="90"/>
        <v/>
      </c>
    </row>
    <row r="376" spans="1:72" x14ac:dyDescent="0.2">
      <c r="A376" s="18" t="str" cm="1">
        <f t="array" aca="1" ref="A376" ca="1">IF(B376="","","Grupo N˚"&amp;SUMPRODUCT(($B$4:B376&lt;&gt;"")*($B$4:B376&lt;&gt;OFFSET($B$4,-1,0,ROWS($B$4:B376),1))))</f>
        <v/>
      </c>
      <c r="B376" s="31"/>
      <c r="C376" s="31"/>
      <c r="D376" s="31"/>
      <c r="E376" s="31"/>
      <c r="F376" s="32"/>
      <c r="G376" s="33"/>
      <c r="H376" s="33"/>
      <c r="I376" s="20" t="str">
        <f t="shared" si="79"/>
        <v/>
      </c>
      <c r="J376" s="21" t="str">
        <f>IFERROR(VLOOKUP(BR376,Pricing!$D$3:$E$58,2,FALSE),"")</f>
        <v/>
      </c>
      <c r="K376" s="32"/>
      <c r="L376" s="32"/>
      <c r="M376" s="32"/>
      <c r="N376" s="36" t="str" cm="1">
        <f t="array" ref="N376">IFERROR(_xlfn.IFS((AND(K376="SI",M376="$")),J376*0.2,AND(K376="SI",M376="%"),20),"")</f>
        <v/>
      </c>
      <c r="O376" s="29" t="str">
        <f t="shared" si="80"/>
        <v/>
      </c>
      <c r="P376" s="21" t="str">
        <f t="shared" si="81"/>
        <v/>
      </c>
      <c r="Q376" s="21" t="str">
        <f t="shared" si="82"/>
        <v/>
      </c>
      <c r="R376" s="21" t="str">
        <f t="shared" si="83"/>
        <v/>
      </c>
      <c r="S376" s="39"/>
      <c r="T376" s="43" t="str">
        <f t="shared" si="91"/>
        <v/>
      </c>
      <c r="U376" s="49" t="str">
        <f t="shared" si="92"/>
        <v/>
      </c>
      <c r="V376" s="48" t="str">
        <f t="shared" si="93"/>
        <v/>
      </c>
      <c r="W376" s="48" t="str">
        <f t="shared" si="84"/>
        <v/>
      </c>
      <c r="X376" s="50" t="str">
        <f>IF(W376="","",SUMIF($B$4:$B$1002,B376,$W$4:$W$1000))</f>
        <v/>
      </c>
      <c r="Y376" s="43" t="str">
        <f t="shared" si="85"/>
        <v/>
      </c>
      <c r="Z376" s="49" t="str">
        <f t="shared" si="86"/>
        <v/>
      </c>
      <c r="AA376" s="48" t="str">
        <f t="shared" si="87"/>
        <v/>
      </c>
      <c r="AB376" s="49" t="str">
        <f t="shared" si="88"/>
        <v/>
      </c>
      <c r="AC376" s="50" t="str">
        <f>IF(AB376="","",SUMIF($B$4:$B$1002,B376,$AB$4:$AB$1000))</f>
        <v/>
      </c>
      <c r="AD376" s="69"/>
      <c r="AE376" s="56"/>
      <c r="AF376" s="52"/>
      <c r="AG376" s="51"/>
      <c r="AH376" s="70"/>
      <c r="AI376" s="58"/>
      <c r="AJ376" s="55"/>
      <c r="AK376" s="51"/>
      <c r="AL376" s="69"/>
      <c r="AM376" s="56"/>
      <c r="AN376" s="52"/>
      <c r="AO376" s="51"/>
      <c r="AP376" s="70"/>
      <c r="AQ376" s="58"/>
      <c r="AR376" s="55"/>
      <c r="AS376" s="51"/>
      <c r="AT376" s="69"/>
      <c r="AU376" s="56"/>
      <c r="AV376" s="52"/>
      <c r="AW376" s="51"/>
      <c r="BR376" s="34" t="str">
        <f>IF(E376="","",CONCATENATE(E376," ",F376," noches"))</f>
        <v/>
      </c>
      <c r="BS376" s="28" t="str">
        <f t="shared" ca="1" si="89"/>
        <v/>
      </c>
      <c r="BT376" s="28" t="str">
        <f t="shared" ca="1" si="90"/>
        <v/>
      </c>
    </row>
    <row r="377" spans="1:72" x14ac:dyDescent="0.2">
      <c r="A377" s="18" t="str" cm="1">
        <f t="array" aca="1" ref="A377" ca="1">IF(B377="","","Grupo N˚"&amp;SUMPRODUCT(($B$4:B377&lt;&gt;"")*($B$4:B377&lt;&gt;OFFSET($B$4,-1,0,ROWS($B$4:B377),1))))</f>
        <v/>
      </c>
      <c r="B377" s="31"/>
      <c r="C377" s="31"/>
      <c r="D377" s="31"/>
      <c r="E377" s="31"/>
      <c r="F377" s="32"/>
      <c r="G377" s="33"/>
      <c r="H377" s="33"/>
      <c r="I377" s="20" t="str">
        <f t="shared" si="79"/>
        <v/>
      </c>
      <c r="J377" s="21" t="str">
        <f>IFERROR(VLOOKUP(BR377,Pricing!$D$3:$E$58,2,FALSE),"")</f>
        <v/>
      </c>
      <c r="K377" s="32"/>
      <c r="L377" s="32"/>
      <c r="M377" s="32"/>
      <c r="N377" s="36" t="str" cm="1">
        <f t="array" ref="N377">IFERROR(_xlfn.IFS((AND(K377="SI",M377="$")),J377*0.2,AND(K377="SI",M377="%"),20),"")</f>
        <v/>
      </c>
      <c r="O377" s="29" t="str">
        <f t="shared" si="80"/>
        <v/>
      </c>
      <c r="P377" s="21" t="str">
        <f t="shared" si="81"/>
        <v/>
      </c>
      <c r="Q377" s="21" t="str">
        <f t="shared" si="82"/>
        <v/>
      </c>
      <c r="R377" s="21" t="str">
        <f t="shared" si="83"/>
        <v/>
      </c>
      <c r="S377" s="39"/>
      <c r="T377" s="43" t="str">
        <f t="shared" si="91"/>
        <v/>
      </c>
      <c r="U377" s="49" t="str">
        <f t="shared" si="92"/>
        <v/>
      </c>
      <c r="V377" s="48" t="str">
        <f t="shared" si="93"/>
        <v/>
      </c>
      <c r="W377" s="48" t="str">
        <f t="shared" si="84"/>
        <v/>
      </c>
      <c r="X377" s="50" t="str">
        <f>IF(W377="","",SUMIF($B$4:$B$1002,B377,$W$4:$W$1000))</f>
        <v/>
      </c>
      <c r="Y377" s="43" t="str">
        <f t="shared" si="85"/>
        <v/>
      </c>
      <c r="Z377" s="49" t="str">
        <f t="shared" si="86"/>
        <v/>
      </c>
      <c r="AA377" s="48" t="str">
        <f t="shared" si="87"/>
        <v/>
      </c>
      <c r="AB377" s="49" t="str">
        <f t="shared" si="88"/>
        <v/>
      </c>
      <c r="AC377" s="50" t="str">
        <f>IF(AB377="","",SUMIF($B$4:$B$1002,B377,$AB$4:$AB$1000))</f>
        <v/>
      </c>
      <c r="AD377" s="69"/>
      <c r="AE377" s="56"/>
      <c r="AF377" s="52"/>
      <c r="AG377" s="51"/>
      <c r="AH377" s="70"/>
      <c r="AI377" s="58"/>
      <c r="AJ377" s="55"/>
      <c r="AK377" s="51"/>
      <c r="AL377" s="69"/>
      <c r="AM377" s="56"/>
      <c r="AN377" s="52"/>
      <c r="AO377" s="51"/>
      <c r="AP377" s="70"/>
      <c r="AQ377" s="58"/>
      <c r="AR377" s="55"/>
      <c r="AS377" s="51"/>
      <c r="AT377" s="69"/>
      <c r="AU377" s="56"/>
      <c r="AV377" s="52"/>
      <c r="AW377" s="51"/>
      <c r="BR377" s="34" t="str">
        <f>IF(E377="","",CONCATENATE(E377," ",F377," noches"))</f>
        <v/>
      </c>
      <c r="BS377" s="28" t="str">
        <f t="shared" ca="1" si="89"/>
        <v/>
      </c>
      <c r="BT377" s="28" t="str">
        <f t="shared" ca="1" si="90"/>
        <v/>
      </c>
    </row>
    <row r="378" spans="1:72" x14ac:dyDescent="0.2">
      <c r="A378" s="18" t="str" cm="1">
        <f t="array" aca="1" ref="A378" ca="1">IF(B378="","","Grupo N˚"&amp;SUMPRODUCT(($B$4:B378&lt;&gt;"")*($B$4:B378&lt;&gt;OFFSET($B$4,-1,0,ROWS($B$4:B378),1))))</f>
        <v/>
      </c>
      <c r="B378" s="31"/>
      <c r="C378" s="31"/>
      <c r="D378" s="31"/>
      <c r="E378" s="31"/>
      <c r="F378" s="32"/>
      <c r="G378" s="33"/>
      <c r="H378" s="33"/>
      <c r="I378" s="20" t="str">
        <f t="shared" si="79"/>
        <v/>
      </c>
      <c r="J378" s="21" t="str">
        <f>IFERROR(VLOOKUP(BR378,Pricing!$D$3:$E$58,2,FALSE),"")</f>
        <v/>
      </c>
      <c r="K378" s="32"/>
      <c r="L378" s="32"/>
      <c r="M378" s="32"/>
      <c r="N378" s="36" t="str" cm="1">
        <f t="array" ref="N378">IFERROR(_xlfn.IFS((AND(K378="SI",M378="$")),J378*0.2,AND(K378="SI",M378="%"),20),"")</f>
        <v/>
      </c>
      <c r="O378" s="29" t="str">
        <f t="shared" si="80"/>
        <v/>
      </c>
      <c r="P378" s="21" t="str">
        <f t="shared" si="81"/>
        <v/>
      </c>
      <c r="Q378" s="21" t="str">
        <f t="shared" si="82"/>
        <v/>
      </c>
      <c r="R378" s="21" t="str">
        <f t="shared" si="83"/>
        <v/>
      </c>
      <c r="S378" s="39"/>
      <c r="T378" s="43" t="str">
        <f t="shared" si="91"/>
        <v/>
      </c>
      <c r="U378" s="49" t="str">
        <f t="shared" si="92"/>
        <v/>
      </c>
      <c r="V378" s="48" t="str">
        <f t="shared" si="93"/>
        <v/>
      </c>
      <c r="W378" s="48" t="str">
        <f t="shared" si="84"/>
        <v/>
      </c>
      <c r="X378" s="50" t="str">
        <f>IF(W378="","",SUMIF($B$4:$B$1002,B378,$W$4:$W$1000))</f>
        <v/>
      </c>
      <c r="Y378" s="43" t="str">
        <f t="shared" si="85"/>
        <v/>
      </c>
      <c r="Z378" s="49" t="str">
        <f t="shared" si="86"/>
        <v/>
      </c>
      <c r="AA378" s="48" t="str">
        <f t="shared" si="87"/>
        <v/>
      </c>
      <c r="AB378" s="49" t="str">
        <f t="shared" si="88"/>
        <v/>
      </c>
      <c r="AC378" s="50" t="str">
        <f>IF(AB378="","",SUMIF($B$4:$B$1002,B378,$AB$4:$AB$1000))</f>
        <v/>
      </c>
      <c r="AD378" s="69"/>
      <c r="AE378" s="56"/>
      <c r="AF378" s="52"/>
      <c r="AG378" s="51"/>
      <c r="AH378" s="70"/>
      <c r="AI378" s="58"/>
      <c r="AJ378" s="55"/>
      <c r="AK378" s="51"/>
      <c r="AL378" s="69"/>
      <c r="AM378" s="56"/>
      <c r="AN378" s="52"/>
      <c r="AO378" s="51"/>
      <c r="AP378" s="70"/>
      <c r="AQ378" s="58"/>
      <c r="AR378" s="55"/>
      <c r="AS378" s="51"/>
      <c r="AT378" s="69"/>
      <c r="AU378" s="56"/>
      <c r="AV378" s="52"/>
      <c r="AW378" s="51"/>
      <c r="BR378" s="34" t="str">
        <f>IF(E378="","",CONCATENATE(E378," ",F378," noches"))</f>
        <v/>
      </c>
      <c r="BS378" s="28" t="str">
        <f t="shared" ca="1" si="89"/>
        <v/>
      </c>
      <c r="BT378" s="28" t="str">
        <f t="shared" ca="1" si="90"/>
        <v/>
      </c>
    </row>
    <row r="379" spans="1:72" x14ac:dyDescent="0.2">
      <c r="A379" s="18" t="str" cm="1">
        <f t="array" aca="1" ref="A379" ca="1">IF(B379="","","Grupo N˚"&amp;SUMPRODUCT(($B$4:B379&lt;&gt;"")*($B$4:B379&lt;&gt;OFFSET($B$4,-1,0,ROWS($B$4:B379),1))))</f>
        <v/>
      </c>
      <c r="B379" s="31"/>
      <c r="C379" s="31"/>
      <c r="D379" s="31"/>
      <c r="E379" s="31"/>
      <c r="F379" s="32"/>
      <c r="G379" s="33"/>
      <c r="H379" s="33"/>
      <c r="I379" s="20" t="str">
        <f t="shared" si="79"/>
        <v/>
      </c>
      <c r="J379" s="21" t="str">
        <f>IFERROR(VLOOKUP(BR379,Pricing!$D$3:$E$58,2,FALSE),"")</f>
        <v/>
      </c>
      <c r="K379" s="32"/>
      <c r="L379" s="32"/>
      <c r="M379" s="32"/>
      <c r="N379" s="36" t="str" cm="1">
        <f t="array" ref="N379">IFERROR(_xlfn.IFS((AND(K379="SI",M379="$")),J379*0.2,AND(K379="SI",M379="%"),20),"")</f>
        <v/>
      </c>
      <c r="O379" s="29" t="str">
        <f t="shared" si="80"/>
        <v/>
      </c>
      <c r="P379" s="21" t="str">
        <f t="shared" si="81"/>
        <v/>
      </c>
      <c r="Q379" s="21" t="str">
        <f t="shared" si="82"/>
        <v/>
      </c>
      <c r="R379" s="21" t="str">
        <f t="shared" si="83"/>
        <v/>
      </c>
      <c r="S379" s="39"/>
      <c r="T379" s="43" t="str">
        <f t="shared" si="91"/>
        <v/>
      </c>
      <c r="U379" s="49" t="str">
        <f t="shared" si="92"/>
        <v/>
      </c>
      <c r="V379" s="48" t="str">
        <f t="shared" si="93"/>
        <v/>
      </c>
      <c r="W379" s="48" t="str">
        <f t="shared" si="84"/>
        <v/>
      </c>
      <c r="X379" s="50" t="str">
        <f>IF(W379="","",SUMIF($B$4:$B$1002,B379,$W$4:$W$1000))</f>
        <v/>
      </c>
      <c r="Y379" s="43" t="str">
        <f t="shared" si="85"/>
        <v/>
      </c>
      <c r="Z379" s="49" t="str">
        <f t="shared" si="86"/>
        <v/>
      </c>
      <c r="AA379" s="48" t="str">
        <f t="shared" si="87"/>
        <v/>
      </c>
      <c r="AB379" s="49" t="str">
        <f t="shared" si="88"/>
        <v/>
      </c>
      <c r="AC379" s="50" t="str">
        <f>IF(AB379="","",SUMIF($B$4:$B$1002,B379,$AB$4:$AB$1000))</f>
        <v/>
      </c>
      <c r="AD379" s="69"/>
      <c r="AE379" s="56"/>
      <c r="AF379" s="52"/>
      <c r="AG379" s="51"/>
      <c r="AH379" s="70"/>
      <c r="AI379" s="58"/>
      <c r="AJ379" s="55"/>
      <c r="AK379" s="51"/>
      <c r="AL379" s="69"/>
      <c r="AM379" s="56"/>
      <c r="AN379" s="52"/>
      <c r="AO379" s="51"/>
      <c r="AP379" s="70"/>
      <c r="AQ379" s="58"/>
      <c r="AR379" s="55"/>
      <c r="AS379" s="51"/>
      <c r="AT379" s="69"/>
      <c r="AU379" s="56"/>
      <c r="AV379" s="52"/>
      <c r="AW379" s="51"/>
      <c r="BR379" s="34" t="str">
        <f>IF(E379="","",CONCATENATE(E379," ",F379," noches"))</f>
        <v/>
      </c>
      <c r="BS379" s="28" t="str">
        <f t="shared" ca="1" si="89"/>
        <v/>
      </c>
      <c r="BT379" s="28" t="str">
        <f t="shared" ca="1" si="90"/>
        <v/>
      </c>
    </row>
    <row r="380" spans="1:72" x14ac:dyDescent="0.2">
      <c r="A380" s="18" t="str" cm="1">
        <f t="array" aca="1" ref="A380" ca="1">IF(B380="","","Grupo N˚"&amp;SUMPRODUCT(($B$4:B380&lt;&gt;"")*($B$4:B380&lt;&gt;OFFSET($B$4,-1,0,ROWS($B$4:B380),1))))</f>
        <v/>
      </c>
      <c r="B380" s="31"/>
      <c r="C380" s="31"/>
      <c r="D380" s="31"/>
      <c r="E380" s="31"/>
      <c r="F380" s="32"/>
      <c r="G380" s="33"/>
      <c r="H380" s="33"/>
      <c r="I380" s="20" t="str">
        <f t="shared" si="79"/>
        <v/>
      </c>
      <c r="J380" s="21" t="str">
        <f>IFERROR(VLOOKUP(BR380,Pricing!$D$3:$E$58,2,FALSE),"")</f>
        <v/>
      </c>
      <c r="K380" s="32"/>
      <c r="L380" s="32"/>
      <c r="M380" s="32"/>
      <c r="N380" s="36" t="str" cm="1">
        <f t="array" ref="N380">IFERROR(_xlfn.IFS((AND(K380="SI",M380="$")),J380*0.2,AND(K380="SI",M380="%"),20),"")</f>
        <v/>
      </c>
      <c r="O380" s="29" t="str">
        <f t="shared" si="80"/>
        <v/>
      </c>
      <c r="P380" s="21" t="str">
        <f t="shared" si="81"/>
        <v/>
      </c>
      <c r="Q380" s="21" t="str">
        <f t="shared" si="82"/>
        <v/>
      </c>
      <c r="R380" s="21" t="str">
        <f t="shared" si="83"/>
        <v/>
      </c>
      <c r="S380" s="39"/>
      <c r="T380" s="43" t="str">
        <f t="shared" si="91"/>
        <v/>
      </c>
      <c r="U380" s="49" t="str">
        <f t="shared" si="92"/>
        <v/>
      </c>
      <c r="V380" s="48" t="str">
        <f t="shared" si="93"/>
        <v/>
      </c>
      <c r="W380" s="48" t="str">
        <f t="shared" si="84"/>
        <v/>
      </c>
      <c r="X380" s="50" t="str">
        <f>IF(W380="","",SUMIF($B$4:$B$1002,B380,$W$4:$W$1000))</f>
        <v/>
      </c>
      <c r="Y380" s="43" t="str">
        <f t="shared" si="85"/>
        <v/>
      </c>
      <c r="Z380" s="49" t="str">
        <f t="shared" si="86"/>
        <v/>
      </c>
      <c r="AA380" s="48" t="str">
        <f t="shared" si="87"/>
        <v/>
      </c>
      <c r="AB380" s="49" t="str">
        <f t="shared" si="88"/>
        <v/>
      </c>
      <c r="AC380" s="50" t="str">
        <f>IF(AB380="","",SUMIF($B$4:$B$1002,B380,$AB$4:$AB$1000))</f>
        <v/>
      </c>
      <c r="AD380" s="69"/>
      <c r="AE380" s="56"/>
      <c r="AF380" s="52"/>
      <c r="AG380" s="51"/>
      <c r="AH380" s="70"/>
      <c r="AI380" s="58"/>
      <c r="AJ380" s="55"/>
      <c r="AK380" s="51"/>
      <c r="AL380" s="69"/>
      <c r="AM380" s="56"/>
      <c r="AN380" s="52"/>
      <c r="AO380" s="51"/>
      <c r="AP380" s="70"/>
      <c r="AQ380" s="58"/>
      <c r="AR380" s="55"/>
      <c r="AS380" s="51"/>
      <c r="AT380" s="69"/>
      <c r="AU380" s="56"/>
      <c r="AV380" s="52"/>
      <c r="AW380" s="51"/>
      <c r="BR380" s="34" t="str">
        <f>IF(E380="","",CONCATENATE(E380," ",F380," noches"))</f>
        <v/>
      </c>
      <c r="BS380" s="28" t="str">
        <f t="shared" ca="1" si="89"/>
        <v/>
      </c>
      <c r="BT380" s="28" t="str">
        <f t="shared" ca="1" si="90"/>
        <v/>
      </c>
    </row>
    <row r="381" spans="1:72" x14ac:dyDescent="0.2">
      <c r="A381" s="18" t="str" cm="1">
        <f t="array" aca="1" ref="A381" ca="1">IF(B381="","","Grupo N˚"&amp;SUMPRODUCT(($B$4:B381&lt;&gt;"")*($B$4:B381&lt;&gt;OFFSET($B$4,-1,0,ROWS($B$4:B381),1))))</f>
        <v/>
      </c>
      <c r="B381" s="31"/>
      <c r="C381" s="31"/>
      <c r="D381" s="31"/>
      <c r="E381" s="31"/>
      <c r="F381" s="32"/>
      <c r="G381" s="33"/>
      <c r="H381" s="33"/>
      <c r="I381" s="20" t="str">
        <f t="shared" si="79"/>
        <v/>
      </c>
      <c r="J381" s="21" t="str">
        <f>IFERROR(VLOOKUP(BR381,Pricing!$D$3:$E$58,2,FALSE),"")</f>
        <v/>
      </c>
      <c r="K381" s="32"/>
      <c r="L381" s="32"/>
      <c r="M381" s="32"/>
      <c r="N381" s="36" t="str" cm="1">
        <f t="array" ref="N381">IFERROR(_xlfn.IFS((AND(K381="SI",M381="$")),J381*0.2,AND(K381="SI",M381="%"),20),"")</f>
        <v/>
      </c>
      <c r="O381" s="29" t="str">
        <f t="shared" si="80"/>
        <v/>
      </c>
      <c r="P381" s="21" t="str">
        <f t="shared" si="81"/>
        <v/>
      </c>
      <c r="Q381" s="21" t="str">
        <f t="shared" si="82"/>
        <v/>
      </c>
      <c r="R381" s="21" t="str">
        <f t="shared" si="83"/>
        <v/>
      </c>
      <c r="S381" s="39"/>
      <c r="T381" s="43" t="str">
        <f t="shared" si="91"/>
        <v/>
      </c>
      <c r="U381" s="49" t="str">
        <f t="shared" si="92"/>
        <v/>
      </c>
      <c r="V381" s="48" t="str">
        <f t="shared" si="93"/>
        <v/>
      </c>
      <c r="W381" s="48" t="str">
        <f t="shared" si="84"/>
        <v/>
      </c>
      <c r="X381" s="50" t="str">
        <f>IF(W381="","",SUMIF($B$4:$B$1002,B381,$W$4:$W$1000))</f>
        <v/>
      </c>
      <c r="Y381" s="43" t="str">
        <f t="shared" si="85"/>
        <v/>
      </c>
      <c r="Z381" s="49" t="str">
        <f t="shared" si="86"/>
        <v/>
      </c>
      <c r="AA381" s="48" t="str">
        <f t="shared" si="87"/>
        <v/>
      </c>
      <c r="AB381" s="49" t="str">
        <f t="shared" si="88"/>
        <v/>
      </c>
      <c r="AC381" s="50" t="str">
        <f>IF(AB381="","",SUMIF($B$4:$B$1002,B381,$AB$4:$AB$1000))</f>
        <v/>
      </c>
      <c r="AD381" s="69"/>
      <c r="AE381" s="56"/>
      <c r="AF381" s="52"/>
      <c r="AG381" s="51"/>
      <c r="AH381" s="70"/>
      <c r="AI381" s="58"/>
      <c r="AJ381" s="55"/>
      <c r="AK381" s="51"/>
      <c r="AL381" s="69"/>
      <c r="AM381" s="56"/>
      <c r="AN381" s="52"/>
      <c r="AO381" s="51"/>
      <c r="AP381" s="70"/>
      <c r="AQ381" s="58"/>
      <c r="AR381" s="55"/>
      <c r="AS381" s="51"/>
      <c r="AT381" s="69"/>
      <c r="AU381" s="56"/>
      <c r="AV381" s="52"/>
      <c r="AW381" s="51"/>
      <c r="BR381" s="34" t="str">
        <f>IF(E381="","",CONCATENATE(E381," ",F381," noches"))</f>
        <v/>
      </c>
      <c r="BS381" s="28" t="str">
        <f t="shared" ca="1" si="89"/>
        <v/>
      </c>
      <c r="BT381" s="28" t="str">
        <f t="shared" ca="1" si="90"/>
        <v/>
      </c>
    </row>
    <row r="382" spans="1:72" x14ac:dyDescent="0.2">
      <c r="A382" s="18" t="str" cm="1">
        <f t="array" aca="1" ref="A382" ca="1">IF(B382="","","Grupo N˚"&amp;SUMPRODUCT(($B$4:B382&lt;&gt;"")*($B$4:B382&lt;&gt;OFFSET($B$4,-1,0,ROWS($B$4:B382),1))))</f>
        <v/>
      </c>
      <c r="B382" s="31"/>
      <c r="C382" s="31"/>
      <c r="D382" s="31"/>
      <c r="E382" s="31"/>
      <c r="F382" s="32"/>
      <c r="G382" s="33"/>
      <c r="H382" s="33"/>
      <c r="I382" s="20" t="str">
        <f t="shared" si="79"/>
        <v/>
      </c>
      <c r="J382" s="21" t="str">
        <f>IFERROR(VLOOKUP(BR382,Pricing!$D$3:$E$58,2,FALSE),"")</f>
        <v/>
      </c>
      <c r="K382" s="32"/>
      <c r="L382" s="32"/>
      <c r="M382" s="32"/>
      <c r="N382" s="36" t="str" cm="1">
        <f t="array" ref="N382">IFERROR(_xlfn.IFS((AND(K382="SI",M382="$")),J382*0.2,AND(K382="SI",M382="%"),20),"")</f>
        <v/>
      </c>
      <c r="O382" s="29" t="str">
        <f t="shared" si="80"/>
        <v/>
      </c>
      <c r="P382" s="21" t="str">
        <f t="shared" si="81"/>
        <v/>
      </c>
      <c r="Q382" s="21" t="str">
        <f t="shared" si="82"/>
        <v/>
      </c>
      <c r="R382" s="21" t="str">
        <f t="shared" si="83"/>
        <v/>
      </c>
      <c r="S382" s="39"/>
      <c r="T382" s="43" t="str">
        <f t="shared" si="91"/>
        <v/>
      </c>
      <c r="U382" s="49" t="str">
        <f t="shared" si="92"/>
        <v/>
      </c>
      <c r="V382" s="48" t="str">
        <f t="shared" si="93"/>
        <v/>
      </c>
      <c r="W382" s="48" t="str">
        <f t="shared" si="84"/>
        <v/>
      </c>
      <c r="X382" s="50" t="str">
        <f>IF(W382="","",SUMIF($B$4:$B$1002,B382,$W$4:$W$1000))</f>
        <v/>
      </c>
      <c r="Y382" s="43" t="str">
        <f t="shared" si="85"/>
        <v/>
      </c>
      <c r="Z382" s="49" t="str">
        <f t="shared" si="86"/>
        <v/>
      </c>
      <c r="AA382" s="48" t="str">
        <f t="shared" si="87"/>
        <v/>
      </c>
      <c r="AB382" s="49" t="str">
        <f t="shared" si="88"/>
        <v/>
      </c>
      <c r="AC382" s="50" t="str">
        <f>IF(AB382="","",SUMIF($B$4:$B$1002,B382,$AB$4:$AB$1000))</f>
        <v/>
      </c>
      <c r="AD382" s="69"/>
      <c r="AE382" s="56"/>
      <c r="AF382" s="52"/>
      <c r="AG382" s="51"/>
      <c r="AH382" s="70"/>
      <c r="AI382" s="58"/>
      <c r="AJ382" s="55"/>
      <c r="AK382" s="51"/>
      <c r="AL382" s="69"/>
      <c r="AM382" s="56"/>
      <c r="AN382" s="52"/>
      <c r="AO382" s="51"/>
      <c r="AP382" s="70"/>
      <c r="AQ382" s="58"/>
      <c r="AR382" s="55"/>
      <c r="AS382" s="51"/>
      <c r="AT382" s="69"/>
      <c r="AU382" s="56"/>
      <c r="AV382" s="52"/>
      <c r="AW382" s="51"/>
      <c r="BR382" s="34" t="str">
        <f>IF(E382="","",CONCATENATE(E382," ",F382," noches"))</f>
        <v/>
      </c>
      <c r="BS382" s="28" t="str">
        <f t="shared" ca="1" si="89"/>
        <v/>
      </c>
      <c r="BT382" s="28" t="str">
        <f t="shared" ca="1" si="90"/>
        <v/>
      </c>
    </row>
    <row r="383" spans="1:72" x14ac:dyDescent="0.2">
      <c r="A383" s="18" t="str" cm="1">
        <f t="array" aca="1" ref="A383" ca="1">IF(B383="","","Grupo N˚"&amp;SUMPRODUCT(($B$4:B383&lt;&gt;"")*($B$4:B383&lt;&gt;OFFSET($B$4,-1,0,ROWS($B$4:B383),1))))</f>
        <v/>
      </c>
      <c r="B383" s="31"/>
      <c r="C383" s="31"/>
      <c r="D383" s="31"/>
      <c r="E383" s="31"/>
      <c r="F383" s="32"/>
      <c r="G383" s="33"/>
      <c r="H383" s="33"/>
      <c r="I383" s="20" t="str">
        <f t="shared" si="79"/>
        <v/>
      </c>
      <c r="J383" s="21" t="str">
        <f>IFERROR(VLOOKUP(BR383,Pricing!$D$3:$E$58,2,FALSE),"")</f>
        <v/>
      </c>
      <c r="K383" s="32"/>
      <c r="L383" s="32"/>
      <c r="M383" s="32"/>
      <c r="N383" s="36" t="str" cm="1">
        <f t="array" ref="N383">IFERROR(_xlfn.IFS((AND(K383="SI",M383="$")),J383*0.2,AND(K383="SI",M383="%"),20),"")</f>
        <v/>
      </c>
      <c r="O383" s="29" t="str">
        <f t="shared" si="80"/>
        <v/>
      </c>
      <c r="P383" s="21" t="str">
        <f t="shared" si="81"/>
        <v/>
      </c>
      <c r="Q383" s="21" t="str">
        <f t="shared" si="82"/>
        <v/>
      </c>
      <c r="R383" s="21" t="str">
        <f t="shared" si="83"/>
        <v/>
      </c>
      <c r="S383" s="39"/>
      <c r="T383" s="43" t="str">
        <f t="shared" si="91"/>
        <v/>
      </c>
      <c r="U383" s="49" t="str">
        <f t="shared" si="92"/>
        <v/>
      </c>
      <c r="V383" s="48" t="str">
        <f t="shared" si="93"/>
        <v/>
      </c>
      <c r="W383" s="48" t="str">
        <f t="shared" si="84"/>
        <v/>
      </c>
      <c r="X383" s="50" t="str">
        <f>IF(W383="","",SUMIF($B$4:$B$1002,B383,$W$4:$W$1000))</f>
        <v/>
      </c>
      <c r="Y383" s="43" t="str">
        <f t="shared" si="85"/>
        <v/>
      </c>
      <c r="Z383" s="49" t="str">
        <f t="shared" si="86"/>
        <v/>
      </c>
      <c r="AA383" s="48" t="str">
        <f t="shared" si="87"/>
        <v/>
      </c>
      <c r="AB383" s="49" t="str">
        <f t="shared" si="88"/>
        <v/>
      </c>
      <c r="AC383" s="50" t="str">
        <f>IF(AB383="","",SUMIF($B$4:$B$1002,B383,$AB$4:$AB$1000))</f>
        <v/>
      </c>
      <c r="AD383" s="69"/>
      <c r="AE383" s="56"/>
      <c r="AF383" s="52"/>
      <c r="AG383" s="51"/>
      <c r="AH383" s="70"/>
      <c r="AI383" s="58"/>
      <c r="AJ383" s="55"/>
      <c r="AK383" s="51"/>
      <c r="AL383" s="69"/>
      <c r="AM383" s="56"/>
      <c r="AN383" s="52"/>
      <c r="AO383" s="51"/>
      <c r="AP383" s="70"/>
      <c r="AQ383" s="58"/>
      <c r="AR383" s="55"/>
      <c r="AS383" s="51"/>
      <c r="AT383" s="69"/>
      <c r="AU383" s="56"/>
      <c r="AV383" s="52"/>
      <c r="AW383" s="51"/>
      <c r="BR383" s="34" t="str">
        <f>IF(E383="","",CONCATENATE(E383," ",F383," noches"))</f>
        <v/>
      </c>
      <c r="BS383" s="28" t="str">
        <f t="shared" ca="1" si="89"/>
        <v/>
      </c>
      <c r="BT383" s="28" t="str">
        <f t="shared" ca="1" si="90"/>
        <v/>
      </c>
    </row>
    <row r="384" spans="1:72" x14ac:dyDescent="0.2">
      <c r="A384" s="18" t="str" cm="1">
        <f t="array" aca="1" ref="A384" ca="1">IF(B384="","","Grupo N˚"&amp;SUMPRODUCT(($B$4:B384&lt;&gt;"")*($B$4:B384&lt;&gt;OFFSET($B$4,-1,0,ROWS($B$4:B384),1))))</f>
        <v/>
      </c>
      <c r="B384" s="31"/>
      <c r="C384" s="31"/>
      <c r="D384" s="31"/>
      <c r="E384" s="31"/>
      <c r="F384" s="32"/>
      <c r="G384" s="33"/>
      <c r="H384" s="33"/>
      <c r="I384" s="20" t="str">
        <f t="shared" si="79"/>
        <v/>
      </c>
      <c r="J384" s="21" t="str">
        <f>IFERROR(VLOOKUP(BR384,Pricing!$D$3:$E$58,2,FALSE),"")</f>
        <v/>
      </c>
      <c r="K384" s="32"/>
      <c r="L384" s="32"/>
      <c r="M384" s="32"/>
      <c r="N384" s="36" t="str" cm="1">
        <f t="array" ref="N384">IFERROR(_xlfn.IFS((AND(K384="SI",M384="$")),J384*0.2,AND(K384="SI",M384="%"),20),"")</f>
        <v/>
      </c>
      <c r="O384" s="29" t="str">
        <f t="shared" si="80"/>
        <v/>
      </c>
      <c r="P384" s="21" t="str">
        <f t="shared" si="81"/>
        <v/>
      </c>
      <c r="Q384" s="21" t="str">
        <f t="shared" si="82"/>
        <v/>
      </c>
      <c r="R384" s="21" t="str">
        <f t="shared" si="83"/>
        <v/>
      </c>
      <c r="S384" s="39"/>
      <c r="T384" s="43" t="str">
        <f t="shared" si="91"/>
        <v/>
      </c>
      <c r="U384" s="49" t="str">
        <f t="shared" si="92"/>
        <v/>
      </c>
      <c r="V384" s="48" t="str">
        <f t="shared" si="93"/>
        <v/>
      </c>
      <c r="W384" s="48" t="str">
        <f t="shared" si="84"/>
        <v/>
      </c>
      <c r="X384" s="50" t="str">
        <f>IF(W384="","",SUMIF($B$4:$B$1002,B384,$W$4:$W$1000))</f>
        <v/>
      </c>
      <c r="Y384" s="43" t="str">
        <f t="shared" si="85"/>
        <v/>
      </c>
      <c r="Z384" s="49" t="str">
        <f t="shared" si="86"/>
        <v/>
      </c>
      <c r="AA384" s="48" t="str">
        <f t="shared" si="87"/>
        <v/>
      </c>
      <c r="AB384" s="49" t="str">
        <f t="shared" si="88"/>
        <v/>
      </c>
      <c r="AC384" s="50" t="str">
        <f>IF(AB384="","",SUMIF($B$4:$B$1002,B384,$AB$4:$AB$1000))</f>
        <v/>
      </c>
      <c r="AD384" s="69"/>
      <c r="AE384" s="56"/>
      <c r="AF384" s="52"/>
      <c r="AG384" s="51"/>
      <c r="AH384" s="70"/>
      <c r="AI384" s="58"/>
      <c r="AJ384" s="55"/>
      <c r="AK384" s="51"/>
      <c r="AL384" s="69"/>
      <c r="AM384" s="56"/>
      <c r="AN384" s="52"/>
      <c r="AO384" s="51"/>
      <c r="AP384" s="70"/>
      <c r="AQ384" s="58"/>
      <c r="AR384" s="55"/>
      <c r="AS384" s="51"/>
      <c r="AT384" s="69"/>
      <c r="AU384" s="56"/>
      <c r="AV384" s="52"/>
      <c r="AW384" s="51"/>
      <c r="BR384" s="34" t="str">
        <f>IF(E384="","",CONCATENATE(E384," ",F384," noches"))</f>
        <v/>
      </c>
      <c r="BS384" s="28" t="str">
        <f t="shared" ca="1" si="89"/>
        <v/>
      </c>
      <c r="BT384" s="28" t="str">
        <f t="shared" ca="1" si="90"/>
        <v/>
      </c>
    </row>
    <row r="385" spans="1:72" x14ac:dyDescent="0.2">
      <c r="A385" s="18" t="str" cm="1">
        <f t="array" aca="1" ref="A385" ca="1">IF(B385="","","Grupo N˚"&amp;SUMPRODUCT(($B$4:B385&lt;&gt;"")*($B$4:B385&lt;&gt;OFFSET($B$4,-1,0,ROWS($B$4:B385),1))))</f>
        <v/>
      </c>
      <c r="B385" s="31"/>
      <c r="C385" s="31"/>
      <c r="D385" s="31"/>
      <c r="E385" s="31"/>
      <c r="F385" s="32"/>
      <c r="G385" s="33"/>
      <c r="H385" s="33"/>
      <c r="I385" s="20" t="str">
        <f t="shared" si="79"/>
        <v/>
      </c>
      <c r="J385" s="21" t="str">
        <f>IFERROR(VLOOKUP(BR385,Pricing!$D$3:$E$58,2,FALSE),"")</f>
        <v/>
      </c>
      <c r="K385" s="32"/>
      <c r="L385" s="32"/>
      <c r="M385" s="32"/>
      <c r="N385" s="36" t="str" cm="1">
        <f t="array" ref="N385">IFERROR(_xlfn.IFS((AND(K385="SI",M385="$")),J385*0.2,AND(K385="SI",M385="%"),20),"")</f>
        <v/>
      </c>
      <c r="O385" s="29" t="str">
        <f t="shared" si="80"/>
        <v/>
      </c>
      <c r="P385" s="21" t="str">
        <f t="shared" si="81"/>
        <v/>
      </c>
      <c r="Q385" s="21" t="str">
        <f t="shared" si="82"/>
        <v/>
      </c>
      <c r="R385" s="21" t="str">
        <f t="shared" si="83"/>
        <v/>
      </c>
      <c r="S385" s="39"/>
      <c r="T385" s="43" t="str">
        <f t="shared" si="91"/>
        <v/>
      </c>
      <c r="U385" s="49" t="str">
        <f t="shared" si="92"/>
        <v/>
      </c>
      <c r="V385" s="48" t="str">
        <f t="shared" si="93"/>
        <v/>
      </c>
      <c r="W385" s="48" t="str">
        <f t="shared" si="84"/>
        <v/>
      </c>
      <c r="X385" s="50" t="str">
        <f>IF(W385="","",SUMIF($B$4:$B$1002,B385,$W$4:$W$1000))</f>
        <v/>
      </c>
      <c r="Y385" s="43" t="str">
        <f t="shared" si="85"/>
        <v/>
      </c>
      <c r="Z385" s="49" t="str">
        <f t="shared" si="86"/>
        <v/>
      </c>
      <c r="AA385" s="48" t="str">
        <f t="shared" si="87"/>
        <v/>
      </c>
      <c r="AB385" s="49" t="str">
        <f t="shared" si="88"/>
        <v/>
      </c>
      <c r="AC385" s="50" t="str">
        <f>IF(AB385="","",SUMIF($B$4:$B$1002,B385,$AB$4:$AB$1000))</f>
        <v/>
      </c>
      <c r="AD385" s="69"/>
      <c r="AE385" s="56"/>
      <c r="AF385" s="52"/>
      <c r="AG385" s="51"/>
      <c r="AH385" s="70"/>
      <c r="AI385" s="58"/>
      <c r="AJ385" s="55"/>
      <c r="AK385" s="51"/>
      <c r="AL385" s="69"/>
      <c r="AM385" s="56"/>
      <c r="AN385" s="52"/>
      <c r="AO385" s="51"/>
      <c r="AP385" s="70"/>
      <c r="AQ385" s="58"/>
      <c r="AR385" s="55"/>
      <c r="AS385" s="51"/>
      <c r="AT385" s="69"/>
      <c r="AU385" s="56"/>
      <c r="AV385" s="52"/>
      <c r="AW385" s="51"/>
      <c r="BR385" s="34" t="str">
        <f>IF(E385="","",CONCATENATE(E385," ",F385," noches"))</f>
        <v/>
      </c>
      <c r="BS385" s="28" t="str">
        <f t="shared" ca="1" si="89"/>
        <v/>
      </c>
      <c r="BT385" s="28" t="str">
        <f t="shared" ca="1" si="90"/>
        <v/>
      </c>
    </row>
    <row r="386" spans="1:72" x14ac:dyDescent="0.2">
      <c r="A386" s="18" t="str" cm="1">
        <f t="array" aca="1" ref="A386" ca="1">IF(B386="","","Grupo N˚"&amp;SUMPRODUCT(($B$4:B386&lt;&gt;"")*($B$4:B386&lt;&gt;OFFSET($B$4,-1,0,ROWS($B$4:B386),1))))</f>
        <v/>
      </c>
      <c r="B386" s="31"/>
      <c r="C386" s="31"/>
      <c r="D386" s="31"/>
      <c r="E386" s="31"/>
      <c r="F386" s="32"/>
      <c r="G386" s="33"/>
      <c r="H386" s="33"/>
      <c r="I386" s="20" t="str">
        <f t="shared" si="79"/>
        <v/>
      </c>
      <c r="J386" s="21" t="str">
        <f>IFERROR(VLOOKUP(BR386,Pricing!$D$3:$E$58,2,FALSE),"")</f>
        <v/>
      </c>
      <c r="K386" s="32"/>
      <c r="L386" s="32"/>
      <c r="M386" s="32"/>
      <c r="N386" s="36" t="str" cm="1">
        <f t="array" ref="N386">IFERROR(_xlfn.IFS((AND(K386="SI",M386="$")),J386*0.2,AND(K386="SI",M386="%"),20),"")</f>
        <v/>
      </c>
      <c r="O386" s="29" t="str">
        <f t="shared" si="80"/>
        <v/>
      </c>
      <c r="P386" s="21" t="str">
        <f t="shared" si="81"/>
        <v/>
      </c>
      <c r="Q386" s="21" t="str">
        <f t="shared" si="82"/>
        <v/>
      </c>
      <c r="R386" s="21" t="str">
        <f t="shared" si="83"/>
        <v/>
      </c>
      <c r="S386" s="39"/>
      <c r="T386" s="43" t="str">
        <f t="shared" si="91"/>
        <v/>
      </c>
      <c r="U386" s="49" t="str">
        <f t="shared" si="92"/>
        <v/>
      </c>
      <c r="V386" s="48" t="str">
        <f t="shared" si="93"/>
        <v/>
      </c>
      <c r="W386" s="48" t="str">
        <f t="shared" si="84"/>
        <v/>
      </c>
      <c r="X386" s="50" t="str">
        <f>IF(W386="","",SUMIF($B$4:$B$1002,B386,$W$4:$W$1000))</f>
        <v/>
      </c>
      <c r="Y386" s="43" t="str">
        <f t="shared" si="85"/>
        <v/>
      </c>
      <c r="Z386" s="49" t="str">
        <f t="shared" si="86"/>
        <v/>
      </c>
      <c r="AA386" s="48" t="str">
        <f t="shared" si="87"/>
        <v/>
      </c>
      <c r="AB386" s="49" t="str">
        <f t="shared" si="88"/>
        <v/>
      </c>
      <c r="AC386" s="50" t="str">
        <f>IF(AB386="","",SUMIF($B$4:$B$1002,B386,$AB$4:$AB$1000))</f>
        <v/>
      </c>
      <c r="AD386" s="69"/>
      <c r="AE386" s="56"/>
      <c r="AF386" s="52"/>
      <c r="AG386" s="51"/>
      <c r="AH386" s="70"/>
      <c r="AI386" s="58"/>
      <c r="AJ386" s="55"/>
      <c r="AK386" s="51"/>
      <c r="AL386" s="69"/>
      <c r="AM386" s="56"/>
      <c r="AN386" s="52"/>
      <c r="AO386" s="51"/>
      <c r="AP386" s="70"/>
      <c r="AQ386" s="58"/>
      <c r="AR386" s="55"/>
      <c r="AS386" s="51"/>
      <c r="AT386" s="69"/>
      <c r="AU386" s="56"/>
      <c r="AV386" s="52"/>
      <c r="AW386" s="51"/>
      <c r="BR386" s="34" t="str">
        <f>IF(E386="","",CONCATENATE(E386," ",F386," noches"))</f>
        <v/>
      </c>
      <c r="BS386" s="28" t="str">
        <f t="shared" ca="1" si="89"/>
        <v/>
      </c>
      <c r="BT386" s="28" t="str">
        <f t="shared" ca="1" si="90"/>
        <v/>
      </c>
    </row>
    <row r="387" spans="1:72" x14ac:dyDescent="0.2">
      <c r="A387" s="18" t="str" cm="1">
        <f t="array" aca="1" ref="A387" ca="1">IF(B387="","","Grupo N˚"&amp;SUMPRODUCT(($B$4:B387&lt;&gt;"")*($B$4:B387&lt;&gt;OFFSET($B$4,-1,0,ROWS($B$4:B387),1))))</f>
        <v/>
      </c>
      <c r="B387" s="31"/>
      <c r="C387" s="31"/>
      <c r="D387" s="31"/>
      <c r="E387" s="31"/>
      <c r="F387" s="32"/>
      <c r="G387" s="33"/>
      <c r="H387" s="33"/>
      <c r="I387" s="20" t="str">
        <f t="shared" si="79"/>
        <v/>
      </c>
      <c r="J387" s="21" t="str">
        <f>IFERROR(VLOOKUP(BR387,Pricing!$D$3:$E$58,2,FALSE),"")</f>
        <v/>
      </c>
      <c r="K387" s="32"/>
      <c r="L387" s="32"/>
      <c r="M387" s="32"/>
      <c r="N387" s="36" t="str" cm="1">
        <f t="array" ref="N387">IFERROR(_xlfn.IFS((AND(K387="SI",M387="$")),J387*0.2,AND(K387="SI",M387="%"),20),"")</f>
        <v/>
      </c>
      <c r="O387" s="29" t="str">
        <f t="shared" si="80"/>
        <v/>
      </c>
      <c r="P387" s="21" t="str">
        <f t="shared" si="81"/>
        <v/>
      </c>
      <c r="Q387" s="21" t="str">
        <f t="shared" si="82"/>
        <v/>
      </c>
      <c r="R387" s="21" t="str">
        <f t="shared" si="83"/>
        <v/>
      </c>
      <c r="S387" s="39"/>
      <c r="T387" s="43" t="str">
        <f t="shared" si="91"/>
        <v/>
      </c>
      <c r="U387" s="49" t="str">
        <f t="shared" si="92"/>
        <v/>
      </c>
      <c r="V387" s="48" t="str">
        <f t="shared" si="93"/>
        <v/>
      </c>
      <c r="W387" s="48" t="str">
        <f t="shared" si="84"/>
        <v/>
      </c>
      <c r="X387" s="50" t="str">
        <f>IF(W387="","",SUMIF($B$4:$B$1002,B387,$W$4:$W$1000))</f>
        <v/>
      </c>
      <c r="Y387" s="43" t="str">
        <f t="shared" si="85"/>
        <v/>
      </c>
      <c r="Z387" s="49" t="str">
        <f t="shared" si="86"/>
        <v/>
      </c>
      <c r="AA387" s="48" t="str">
        <f t="shared" si="87"/>
        <v/>
      </c>
      <c r="AB387" s="49" t="str">
        <f t="shared" si="88"/>
        <v/>
      </c>
      <c r="AC387" s="50" t="str">
        <f>IF(AB387="","",SUMIF($B$4:$B$1002,B387,$AB$4:$AB$1000))</f>
        <v/>
      </c>
      <c r="AD387" s="69"/>
      <c r="AE387" s="56"/>
      <c r="AF387" s="52"/>
      <c r="AG387" s="51"/>
      <c r="AH387" s="70"/>
      <c r="AI387" s="58"/>
      <c r="AJ387" s="55"/>
      <c r="AK387" s="51"/>
      <c r="AL387" s="69"/>
      <c r="AM387" s="56"/>
      <c r="AN387" s="52"/>
      <c r="AO387" s="51"/>
      <c r="AP387" s="70"/>
      <c r="AQ387" s="58"/>
      <c r="AR387" s="55"/>
      <c r="AS387" s="51"/>
      <c r="AT387" s="69"/>
      <c r="AU387" s="56"/>
      <c r="AV387" s="52"/>
      <c r="AW387" s="51"/>
      <c r="BR387" s="34" t="str">
        <f>IF(E387="","",CONCATENATE(E387," ",F387," noches"))</f>
        <v/>
      </c>
      <c r="BS387" s="28" t="str">
        <f t="shared" ca="1" si="89"/>
        <v/>
      </c>
      <c r="BT387" s="28" t="str">
        <f t="shared" ca="1" si="90"/>
        <v/>
      </c>
    </row>
    <row r="388" spans="1:72" x14ac:dyDescent="0.2">
      <c r="A388" s="18" t="str" cm="1">
        <f t="array" aca="1" ref="A388" ca="1">IF(B388="","","Grupo N˚"&amp;SUMPRODUCT(($B$4:B388&lt;&gt;"")*($B$4:B388&lt;&gt;OFFSET($B$4,-1,0,ROWS($B$4:B388),1))))</f>
        <v/>
      </c>
      <c r="B388" s="31"/>
      <c r="C388" s="31"/>
      <c r="D388" s="31"/>
      <c r="E388" s="31"/>
      <c r="F388" s="32"/>
      <c r="G388" s="33"/>
      <c r="H388" s="33"/>
      <c r="I388" s="20" t="str">
        <f t="shared" si="79"/>
        <v/>
      </c>
      <c r="J388" s="21" t="str">
        <f>IFERROR(VLOOKUP(BR388,Pricing!$D$3:$E$58,2,FALSE),"")</f>
        <v/>
      </c>
      <c r="K388" s="32"/>
      <c r="L388" s="32"/>
      <c r="M388" s="32"/>
      <c r="N388" s="36" t="str" cm="1">
        <f t="array" ref="N388">IFERROR(_xlfn.IFS((AND(K388="SI",M388="$")),J388*0.2,AND(K388="SI",M388="%"),20),"")</f>
        <v/>
      </c>
      <c r="O388" s="29" t="str">
        <f t="shared" si="80"/>
        <v/>
      </c>
      <c r="P388" s="21" t="str">
        <f t="shared" si="81"/>
        <v/>
      </c>
      <c r="Q388" s="21" t="str">
        <f t="shared" si="82"/>
        <v/>
      </c>
      <c r="R388" s="21" t="str">
        <f t="shared" si="83"/>
        <v/>
      </c>
      <c r="S388" s="39"/>
      <c r="T388" s="43" t="str">
        <f t="shared" si="91"/>
        <v/>
      </c>
      <c r="U388" s="49" t="str">
        <f t="shared" si="92"/>
        <v/>
      </c>
      <c r="V388" s="48" t="str">
        <f t="shared" si="93"/>
        <v/>
      </c>
      <c r="W388" s="48" t="str">
        <f t="shared" si="84"/>
        <v/>
      </c>
      <c r="X388" s="50" t="str">
        <f>IF(W388="","",SUMIF($B$4:$B$1002,B388,$W$4:$W$1000))</f>
        <v/>
      </c>
      <c r="Y388" s="43" t="str">
        <f t="shared" si="85"/>
        <v/>
      </c>
      <c r="Z388" s="49" t="str">
        <f t="shared" si="86"/>
        <v/>
      </c>
      <c r="AA388" s="48" t="str">
        <f t="shared" si="87"/>
        <v/>
      </c>
      <c r="AB388" s="49" t="str">
        <f t="shared" si="88"/>
        <v/>
      </c>
      <c r="AC388" s="50" t="str">
        <f>IF(AB388="","",SUMIF($B$4:$B$1002,B388,$AB$4:$AB$1000))</f>
        <v/>
      </c>
      <c r="AD388" s="69"/>
      <c r="AE388" s="56"/>
      <c r="AF388" s="52"/>
      <c r="AG388" s="51"/>
      <c r="AH388" s="70"/>
      <c r="AI388" s="58"/>
      <c r="AJ388" s="55"/>
      <c r="AK388" s="51"/>
      <c r="AL388" s="69"/>
      <c r="AM388" s="56"/>
      <c r="AN388" s="52"/>
      <c r="AO388" s="51"/>
      <c r="AP388" s="70"/>
      <c r="AQ388" s="58"/>
      <c r="AR388" s="55"/>
      <c r="AS388" s="51"/>
      <c r="AT388" s="69"/>
      <c r="AU388" s="56"/>
      <c r="AV388" s="52"/>
      <c r="AW388" s="51"/>
      <c r="BR388" s="34" t="str">
        <f>IF(E388="","",CONCATENATE(E388," ",F388," noches"))</f>
        <v/>
      </c>
      <c r="BS388" s="28" t="str">
        <f t="shared" ca="1" si="89"/>
        <v/>
      </c>
      <c r="BT388" s="28" t="str">
        <f t="shared" ca="1" si="90"/>
        <v/>
      </c>
    </row>
    <row r="389" spans="1:72" x14ac:dyDescent="0.2">
      <c r="A389" s="18" t="str" cm="1">
        <f t="array" aca="1" ref="A389" ca="1">IF(B389="","","Grupo N˚"&amp;SUMPRODUCT(($B$4:B389&lt;&gt;"")*($B$4:B389&lt;&gt;OFFSET($B$4,-1,0,ROWS($B$4:B389),1))))</f>
        <v/>
      </c>
      <c r="B389" s="31"/>
      <c r="C389" s="31"/>
      <c r="D389" s="31"/>
      <c r="E389" s="31"/>
      <c r="F389" s="32"/>
      <c r="G389" s="33"/>
      <c r="H389" s="33"/>
      <c r="I389" s="20" t="str">
        <f t="shared" ref="I389:I452" si="94">+IF(H389="","",G389+H389)</f>
        <v/>
      </c>
      <c r="J389" s="21" t="str">
        <f>IFERROR(VLOOKUP(BR389,Pricing!$D$3:$E$58,2,FALSE),"")</f>
        <v/>
      </c>
      <c r="K389" s="32"/>
      <c r="L389" s="32"/>
      <c r="M389" s="32"/>
      <c r="N389" s="36" t="str" cm="1">
        <f t="array" ref="N389">IFERROR(_xlfn.IFS((AND(K389="SI",M389="$")),J389*0.2,AND(K389="SI",M389="%"),20),"")</f>
        <v/>
      </c>
      <c r="O389" s="29" t="str">
        <f t="shared" ref="O389:O452" si="95">IFERROR(IF($M389="%",
             IF(N(N389)&gt;1, N(N389)/100, N(N389)),
             IF(AND($J389&gt;0,$M389="$"), N(N389)/$J389, "")
            ),"")</f>
        <v/>
      </c>
      <c r="P389" s="21" t="str">
        <f t="shared" ref="P389:P452" si="96">IFERROR(IF(M389="$", N(N389), IF(M389="%", J389*N(N389/100), "")), "")</f>
        <v/>
      </c>
      <c r="Q389" s="21" t="str">
        <f t="shared" ref="Q389:Q452" si="97">IF(J389="","",J389*(1-N(O389)))</f>
        <v/>
      </c>
      <c r="R389" s="21" t="str">
        <f t="shared" ref="R389:R452" si="98">IF(Q389="","",Q389/1.19)</f>
        <v/>
      </c>
      <c r="S389" s="39"/>
      <c r="T389" s="43" t="str">
        <f t="shared" si="91"/>
        <v/>
      </c>
      <c r="U389" s="49" t="str">
        <f t="shared" si="92"/>
        <v/>
      </c>
      <c r="V389" s="48" t="str">
        <f t="shared" si="93"/>
        <v/>
      </c>
      <c r="W389" s="48" t="str">
        <f t="shared" ref="W389:W452" si="99">IFERROR(U389-N(V389),"")</f>
        <v/>
      </c>
      <c r="X389" s="50" t="str">
        <f>IF(W389="","",SUMIF($B$4:$B$1002,B389,$W$4:$W$1000))</f>
        <v/>
      </c>
      <c r="Y389" s="43" t="str">
        <f t="shared" ref="Y389:Y452" si="100">IF(AB389="","",IFERROR(
 IF(AND(ABS(N(AB389))&lt;0.5, BT389&gt;=23), "Sin deuda",
  IF(AND(N(AB389)&gt;0, BT389&gt;=23), "Con deuda",
   IF(AND(N(AB389)&gt;0, BT389&lt;23), "Moroso", "")
  )
),""))</f>
        <v/>
      </c>
      <c r="Z389" s="49" t="str">
        <f t="shared" ref="Z389:Z452" si="101">IF(R389="","",R389/2)</f>
        <v/>
      </c>
      <c r="AA389" s="48" t="str">
        <f t="shared" ref="AA389:AA452" si="102">IF(AD389="","",SUM(
 IF(ISNUMBER(SEARCH("saldo",AD389)),AF389,0),
 IF(ISNUMBER(SEARCH("saldo",AH389)),AJ389,0),
 IF(ISNUMBER(SEARCH("saldo",AL389)),AN389,0),
 IF(ISNUMBER(SEARCH("saldo",AP389)),AR389,0),
 IF(ISNUMBER(SEARCH("saldo",AT389)),AV389,0)
))</f>
        <v/>
      </c>
      <c r="AB389" s="49" t="str">
        <f t="shared" ref="AB389:AB452" si="103">IFERROR(Z389-N(AA389),"")</f>
        <v/>
      </c>
      <c r="AC389" s="50" t="str">
        <f>IF(AB389="","",SUMIF($B$4:$B$1002,B389,$AB$4:$AB$1000))</f>
        <v/>
      </c>
      <c r="AD389" s="69"/>
      <c r="AE389" s="56"/>
      <c r="AF389" s="52"/>
      <c r="AG389" s="51"/>
      <c r="AH389" s="70"/>
      <c r="AI389" s="58"/>
      <c r="AJ389" s="55"/>
      <c r="AK389" s="51"/>
      <c r="AL389" s="69"/>
      <c r="AM389" s="56"/>
      <c r="AN389" s="52"/>
      <c r="AO389" s="51"/>
      <c r="AP389" s="70"/>
      <c r="AQ389" s="58"/>
      <c r="AR389" s="55"/>
      <c r="AS389" s="51"/>
      <c r="AT389" s="69"/>
      <c r="AU389" s="56"/>
      <c r="AV389" s="52"/>
      <c r="AW389" s="51"/>
      <c r="BR389" s="34" t="str">
        <f>IF(E389="","",CONCATENATE(E389," ",F389," noches"))</f>
        <v/>
      </c>
      <c r="BS389" s="28" t="str">
        <f t="shared" ref="BS389:BS452" ca="1" si="104">IF(G389="","",+TODAY()-G389)</f>
        <v/>
      </c>
      <c r="BT389" s="28" t="str">
        <f t="shared" ref="BT389:BT452" ca="1" si="105">IF(H389="","",H389-TODAY())</f>
        <v/>
      </c>
    </row>
    <row r="390" spans="1:72" x14ac:dyDescent="0.2">
      <c r="A390" s="18" t="str" cm="1">
        <f t="array" aca="1" ref="A390" ca="1">IF(B390="","","Grupo N˚"&amp;SUMPRODUCT(($B$4:B390&lt;&gt;"")*($B$4:B390&lt;&gt;OFFSET($B$4,-1,0,ROWS($B$4:B390),1))))</f>
        <v/>
      </c>
      <c r="B390" s="31"/>
      <c r="C390" s="31"/>
      <c r="D390" s="31"/>
      <c r="E390" s="31"/>
      <c r="F390" s="32"/>
      <c r="G390" s="33"/>
      <c r="H390" s="33"/>
      <c r="I390" s="20" t="str">
        <f t="shared" si="94"/>
        <v/>
      </c>
      <c r="J390" s="21" t="str">
        <f>IFERROR(VLOOKUP(BR390,Pricing!$D$3:$E$58,2,FALSE),"")</f>
        <v/>
      </c>
      <c r="K390" s="32"/>
      <c r="L390" s="32"/>
      <c r="M390" s="32"/>
      <c r="N390" s="36" t="str" cm="1">
        <f t="array" ref="N390">IFERROR(_xlfn.IFS((AND(K390="SI",M390="$")),J390*0.2,AND(K390="SI",M390="%"),20),"")</f>
        <v/>
      </c>
      <c r="O390" s="29" t="str">
        <f t="shared" si="95"/>
        <v/>
      </c>
      <c r="P390" s="21" t="str">
        <f t="shared" si="96"/>
        <v/>
      </c>
      <c r="Q390" s="21" t="str">
        <f t="shared" si="97"/>
        <v/>
      </c>
      <c r="R390" s="21" t="str">
        <f t="shared" si="98"/>
        <v/>
      </c>
      <c r="S390" s="39"/>
      <c r="T390" s="43" t="str">
        <f t="shared" si="91"/>
        <v/>
      </c>
      <c r="U390" s="49" t="str">
        <f t="shared" si="92"/>
        <v/>
      </c>
      <c r="V390" s="48" t="str">
        <f t="shared" si="93"/>
        <v/>
      </c>
      <c r="W390" s="48" t="str">
        <f t="shared" si="99"/>
        <v/>
      </c>
      <c r="X390" s="50" t="str">
        <f>IF(W390="","",SUMIF($B$4:$B$1002,B390,$W$4:$W$1000))</f>
        <v/>
      </c>
      <c r="Y390" s="43" t="str">
        <f t="shared" si="100"/>
        <v/>
      </c>
      <c r="Z390" s="49" t="str">
        <f t="shared" si="101"/>
        <v/>
      </c>
      <c r="AA390" s="48" t="str">
        <f t="shared" si="102"/>
        <v/>
      </c>
      <c r="AB390" s="49" t="str">
        <f t="shared" si="103"/>
        <v/>
      </c>
      <c r="AC390" s="50" t="str">
        <f>IF(AB390="","",SUMIF($B$4:$B$1002,B390,$AB$4:$AB$1000))</f>
        <v/>
      </c>
      <c r="AD390" s="69"/>
      <c r="AE390" s="56"/>
      <c r="AF390" s="52"/>
      <c r="AG390" s="51"/>
      <c r="AH390" s="70"/>
      <c r="AI390" s="58"/>
      <c r="AJ390" s="55"/>
      <c r="AK390" s="51"/>
      <c r="AL390" s="69"/>
      <c r="AM390" s="56"/>
      <c r="AN390" s="52"/>
      <c r="AO390" s="51"/>
      <c r="AP390" s="70"/>
      <c r="AQ390" s="58"/>
      <c r="AR390" s="55"/>
      <c r="AS390" s="51"/>
      <c r="AT390" s="69"/>
      <c r="AU390" s="56"/>
      <c r="AV390" s="52"/>
      <c r="AW390" s="51"/>
      <c r="BR390" s="34" t="str">
        <f>IF(E390="","",CONCATENATE(E390," ",F390," noches"))</f>
        <v/>
      </c>
      <c r="BS390" s="28" t="str">
        <f t="shared" ca="1" si="104"/>
        <v/>
      </c>
      <c r="BT390" s="28" t="str">
        <f t="shared" ca="1" si="105"/>
        <v/>
      </c>
    </row>
    <row r="391" spans="1:72" x14ac:dyDescent="0.2">
      <c r="A391" s="18" t="str" cm="1">
        <f t="array" aca="1" ref="A391" ca="1">IF(B391="","","Grupo N˚"&amp;SUMPRODUCT(($B$4:B391&lt;&gt;"")*($B$4:B391&lt;&gt;OFFSET($B$4,-1,0,ROWS($B$4:B391),1))))</f>
        <v/>
      </c>
      <c r="B391" s="31"/>
      <c r="C391" s="31"/>
      <c r="D391" s="31"/>
      <c r="E391" s="31"/>
      <c r="F391" s="32"/>
      <c r="G391" s="33"/>
      <c r="H391" s="33"/>
      <c r="I391" s="20" t="str">
        <f t="shared" si="94"/>
        <v/>
      </c>
      <c r="J391" s="21" t="str">
        <f>IFERROR(VLOOKUP(BR391,Pricing!$D$3:$E$58,2,FALSE),"")</f>
        <v/>
      </c>
      <c r="K391" s="32"/>
      <c r="L391" s="32"/>
      <c r="M391" s="32"/>
      <c r="N391" s="36" t="str" cm="1">
        <f t="array" ref="N391">IFERROR(_xlfn.IFS((AND(K391="SI",M391="$")),J391*0.2,AND(K391="SI",M391="%"),20),"")</f>
        <v/>
      </c>
      <c r="O391" s="29" t="str">
        <f t="shared" si="95"/>
        <v/>
      </c>
      <c r="P391" s="21" t="str">
        <f t="shared" si="96"/>
        <v/>
      </c>
      <c r="Q391" s="21" t="str">
        <f t="shared" si="97"/>
        <v/>
      </c>
      <c r="R391" s="21" t="str">
        <f t="shared" si="98"/>
        <v/>
      </c>
      <c r="S391" s="39"/>
      <c r="T391" s="43" t="str">
        <f t="shared" si="91"/>
        <v/>
      </c>
      <c r="U391" s="49" t="str">
        <f t="shared" si="92"/>
        <v/>
      </c>
      <c r="V391" s="48" t="str">
        <f t="shared" si="93"/>
        <v/>
      </c>
      <c r="W391" s="48" t="str">
        <f t="shared" si="99"/>
        <v/>
      </c>
      <c r="X391" s="50" t="str">
        <f>IF(W391="","",SUMIF($B$4:$B$1002,B391,$W$4:$W$1000))</f>
        <v/>
      </c>
      <c r="Y391" s="43" t="str">
        <f t="shared" si="100"/>
        <v/>
      </c>
      <c r="Z391" s="49" t="str">
        <f t="shared" si="101"/>
        <v/>
      </c>
      <c r="AA391" s="48" t="str">
        <f t="shared" si="102"/>
        <v/>
      </c>
      <c r="AB391" s="49" t="str">
        <f t="shared" si="103"/>
        <v/>
      </c>
      <c r="AC391" s="50" t="str">
        <f>IF(AB391="","",SUMIF($B$4:$B$1002,B391,$AB$4:$AB$1000))</f>
        <v/>
      </c>
      <c r="AD391" s="69"/>
      <c r="AE391" s="56"/>
      <c r="AF391" s="52"/>
      <c r="AG391" s="51"/>
      <c r="AH391" s="70"/>
      <c r="AI391" s="58"/>
      <c r="AJ391" s="55"/>
      <c r="AK391" s="51"/>
      <c r="AL391" s="69"/>
      <c r="AM391" s="56"/>
      <c r="AN391" s="52"/>
      <c r="AO391" s="51"/>
      <c r="AP391" s="70"/>
      <c r="AQ391" s="58"/>
      <c r="AR391" s="55"/>
      <c r="AS391" s="51"/>
      <c r="AT391" s="69"/>
      <c r="AU391" s="56"/>
      <c r="AV391" s="52"/>
      <c r="AW391" s="51"/>
      <c r="BR391" s="34" t="str">
        <f>IF(E391="","",CONCATENATE(E391," ",F391," noches"))</f>
        <v/>
      </c>
      <c r="BS391" s="28" t="str">
        <f t="shared" ca="1" si="104"/>
        <v/>
      </c>
      <c r="BT391" s="28" t="str">
        <f t="shared" ca="1" si="105"/>
        <v/>
      </c>
    </row>
    <row r="392" spans="1:72" x14ac:dyDescent="0.2">
      <c r="A392" s="18" t="str" cm="1">
        <f t="array" aca="1" ref="A392" ca="1">IF(B392="","","Grupo N˚"&amp;SUMPRODUCT(($B$4:B392&lt;&gt;"")*($B$4:B392&lt;&gt;OFFSET($B$4,-1,0,ROWS($B$4:B392),1))))</f>
        <v/>
      </c>
      <c r="B392" s="31"/>
      <c r="C392" s="31"/>
      <c r="D392" s="31"/>
      <c r="E392" s="31"/>
      <c r="F392" s="32"/>
      <c r="G392" s="33"/>
      <c r="H392" s="33"/>
      <c r="I392" s="20" t="str">
        <f t="shared" si="94"/>
        <v/>
      </c>
      <c r="J392" s="21" t="str">
        <f>IFERROR(VLOOKUP(BR392,Pricing!$D$3:$E$58,2,FALSE),"")</f>
        <v/>
      </c>
      <c r="K392" s="32"/>
      <c r="L392" s="32"/>
      <c r="M392" s="32"/>
      <c r="N392" s="36" t="str" cm="1">
        <f t="array" ref="N392">IFERROR(_xlfn.IFS((AND(K392="SI",M392="$")),J392*0.2,AND(K392="SI",M392="%"),20),"")</f>
        <v/>
      </c>
      <c r="O392" s="29" t="str">
        <f t="shared" si="95"/>
        <v/>
      </c>
      <c r="P392" s="21" t="str">
        <f t="shared" si="96"/>
        <v/>
      </c>
      <c r="Q392" s="21" t="str">
        <f t="shared" si="97"/>
        <v/>
      </c>
      <c r="R392" s="21" t="str">
        <f t="shared" si="98"/>
        <v/>
      </c>
      <c r="S392" s="39"/>
      <c r="T392" s="43" t="str">
        <f t="shared" si="91"/>
        <v/>
      </c>
      <c r="U392" s="49" t="str">
        <f t="shared" si="92"/>
        <v/>
      </c>
      <c r="V392" s="48" t="str">
        <f t="shared" si="93"/>
        <v/>
      </c>
      <c r="W392" s="48" t="str">
        <f t="shared" si="99"/>
        <v/>
      </c>
      <c r="X392" s="50" t="str">
        <f>IF(W392="","",SUMIF($B$4:$B$1002,B392,$W$4:$W$1000))</f>
        <v/>
      </c>
      <c r="Y392" s="43" t="str">
        <f t="shared" si="100"/>
        <v/>
      </c>
      <c r="Z392" s="49" t="str">
        <f t="shared" si="101"/>
        <v/>
      </c>
      <c r="AA392" s="48" t="str">
        <f t="shared" si="102"/>
        <v/>
      </c>
      <c r="AB392" s="49" t="str">
        <f t="shared" si="103"/>
        <v/>
      </c>
      <c r="AC392" s="50" t="str">
        <f>IF(AB392="","",SUMIF($B$4:$B$1002,B392,$AB$4:$AB$1000))</f>
        <v/>
      </c>
      <c r="AD392" s="69"/>
      <c r="AE392" s="56"/>
      <c r="AF392" s="52"/>
      <c r="AG392" s="51"/>
      <c r="AH392" s="70"/>
      <c r="AI392" s="58"/>
      <c r="AJ392" s="55"/>
      <c r="AK392" s="51"/>
      <c r="AL392" s="69"/>
      <c r="AM392" s="56"/>
      <c r="AN392" s="52"/>
      <c r="AO392" s="51"/>
      <c r="AP392" s="70"/>
      <c r="AQ392" s="58"/>
      <c r="AR392" s="55"/>
      <c r="AS392" s="51"/>
      <c r="AT392" s="69"/>
      <c r="AU392" s="56"/>
      <c r="AV392" s="52"/>
      <c r="AW392" s="51"/>
      <c r="BR392" s="34" t="str">
        <f>IF(E392="","",CONCATENATE(E392," ",F392," noches"))</f>
        <v/>
      </c>
      <c r="BS392" s="28" t="str">
        <f t="shared" ca="1" si="104"/>
        <v/>
      </c>
      <c r="BT392" s="28" t="str">
        <f t="shared" ca="1" si="105"/>
        <v/>
      </c>
    </row>
    <row r="393" spans="1:72" x14ac:dyDescent="0.2">
      <c r="A393" s="18" t="str" cm="1">
        <f t="array" aca="1" ref="A393" ca="1">IF(B393="","","Grupo N˚"&amp;SUMPRODUCT(($B$4:B393&lt;&gt;"")*($B$4:B393&lt;&gt;OFFSET($B$4,-1,0,ROWS($B$4:B393),1))))</f>
        <v/>
      </c>
      <c r="B393" s="31"/>
      <c r="C393" s="31"/>
      <c r="D393" s="31"/>
      <c r="E393" s="31"/>
      <c r="F393" s="32"/>
      <c r="G393" s="33"/>
      <c r="H393" s="33"/>
      <c r="I393" s="20" t="str">
        <f t="shared" si="94"/>
        <v/>
      </c>
      <c r="J393" s="21" t="str">
        <f>IFERROR(VLOOKUP(BR393,Pricing!$D$3:$E$58,2,FALSE),"")</f>
        <v/>
      </c>
      <c r="K393" s="32"/>
      <c r="L393" s="32"/>
      <c r="M393" s="32"/>
      <c r="N393" s="36" t="str" cm="1">
        <f t="array" ref="N393">IFERROR(_xlfn.IFS((AND(K393="SI",M393="$")),J393*0.2,AND(K393="SI",M393="%"),20),"")</f>
        <v/>
      </c>
      <c r="O393" s="29" t="str">
        <f t="shared" si="95"/>
        <v/>
      </c>
      <c r="P393" s="21" t="str">
        <f t="shared" si="96"/>
        <v/>
      </c>
      <c r="Q393" s="21" t="str">
        <f t="shared" si="97"/>
        <v/>
      </c>
      <c r="R393" s="21" t="str">
        <f t="shared" si="98"/>
        <v/>
      </c>
      <c r="S393" s="39"/>
      <c r="T393" s="43" t="str">
        <f t="shared" ref="T393:T456" si="106">IF(W393="","",IFERROR(
 IF(AND(ABS(N(W393))&lt;0.5, BS393&lt;=7), "Sin deuda",
  IF(AND(N(W393)&gt;0, BS393&lt;=7), "Con deuda",
   IF(AND(N(W393)&gt;0, BS393&gt;7), "Moroso", "")
  )
)," "))</f>
        <v/>
      </c>
      <c r="U393" s="49" t="str">
        <f t="shared" si="92"/>
        <v/>
      </c>
      <c r="V393" s="48" t="str">
        <f t="shared" si="93"/>
        <v/>
      </c>
      <c r="W393" s="48" t="str">
        <f t="shared" si="99"/>
        <v/>
      </c>
      <c r="X393" s="50" t="str">
        <f>IF(W393="","",SUMIF($B$4:$B$1002,B393,$W$4:$W$1000))</f>
        <v/>
      </c>
      <c r="Y393" s="43" t="str">
        <f t="shared" si="100"/>
        <v/>
      </c>
      <c r="Z393" s="49" t="str">
        <f t="shared" si="101"/>
        <v/>
      </c>
      <c r="AA393" s="48" t="str">
        <f t="shared" si="102"/>
        <v/>
      </c>
      <c r="AB393" s="49" t="str">
        <f t="shared" si="103"/>
        <v/>
      </c>
      <c r="AC393" s="50" t="str">
        <f>IF(AB393="","",SUMIF($B$4:$B$1002,B393,$AB$4:$AB$1000))</f>
        <v/>
      </c>
      <c r="AD393" s="69"/>
      <c r="AE393" s="56"/>
      <c r="AF393" s="52"/>
      <c r="AG393" s="51"/>
      <c r="AH393" s="70"/>
      <c r="AI393" s="58"/>
      <c r="AJ393" s="55"/>
      <c r="AK393" s="51"/>
      <c r="AL393" s="69"/>
      <c r="AM393" s="56"/>
      <c r="AN393" s="52"/>
      <c r="AO393" s="51"/>
      <c r="AP393" s="70"/>
      <c r="AQ393" s="58"/>
      <c r="AR393" s="55"/>
      <c r="AS393" s="51"/>
      <c r="AT393" s="69"/>
      <c r="AU393" s="56"/>
      <c r="AV393" s="52"/>
      <c r="AW393" s="51"/>
      <c r="BR393" s="34" t="str">
        <f>IF(E393="","",CONCATENATE(E393," ",F393," noches"))</f>
        <v/>
      </c>
      <c r="BS393" s="28" t="str">
        <f t="shared" ca="1" si="104"/>
        <v/>
      </c>
      <c r="BT393" s="28" t="str">
        <f t="shared" ca="1" si="105"/>
        <v/>
      </c>
    </row>
    <row r="394" spans="1:72" x14ac:dyDescent="0.2">
      <c r="A394" s="18" t="str" cm="1">
        <f t="array" aca="1" ref="A394" ca="1">IF(B394="","","Grupo N˚"&amp;SUMPRODUCT(($B$4:B394&lt;&gt;"")*($B$4:B394&lt;&gt;OFFSET($B$4,-1,0,ROWS($B$4:B394),1))))</f>
        <v/>
      </c>
      <c r="B394" s="31"/>
      <c r="C394" s="31"/>
      <c r="D394" s="31"/>
      <c r="E394" s="31"/>
      <c r="F394" s="32"/>
      <c r="G394" s="33"/>
      <c r="H394" s="33"/>
      <c r="I394" s="20" t="str">
        <f t="shared" si="94"/>
        <v/>
      </c>
      <c r="J394" s="21" t="str">
        <f>IFERROR(VLOOKUP(BR394,Pricing!$D$3:$E$58,2,FALSE),"")</f>
        <v/>
      </c>
      <c r="K394" s="32"/>
      <c r="L394" s="32"/>
      <c r="M394" s="32"/>
      <c r="N394" s="36" t="str" cm="1">
        <f t="array" ref="N394">IFERROR(_xlfn.IFS((AND(K394="SI",M394="$")),J394*0.2,AND(K394="SI",M394="%"),20),"")</f>
        <v/>
      </c>
      <c r="O394" s="29" t="str">
        <f t="shared" si="95"/>
        <v/>
      </c>
      <c r="P394" s="21" t="str">
        <f t="shared" si="96"/>
        <v/>
      </c>
      <c r="Q394" s="21" t="str">
        <f t="shared" si="97"/>
        <v/>
      </c>
      <c r="R394" s="21" t="str">
        <f t="shared" si="98"/>
        <v/>
      </c>
      <c r="S394" s="39"/>
      <c r="T394" s="43" t="str">
        <f t="shared" si="106"/>
        <v/>
      </c>
      <c r="U394" s="49" t="str">
        <f t="shared" si="92"/>
        <v/>
      </c>
      <c r="V394" s="48" t="str">
        <f t="shared" si="93"/>
        <v/>
      </c>
      <c r="W394" s="48" t="str">
        <f t="shared" si="99"/>
        <v/>
      </c>
      <c r="X394" s="50" t="str">
        <f>IF(W394="","",SUMIF($B$4:$B$1002,B394,$W$4:$W$1000))</f>
        <v/>
      </c>
      <c r="Y394" s="43" t="str">
        <f t="shared" si="100"/>
        <v/>
      </c>
      <c r="Z394" s="49" t="str">
        <f t="shared" si="101"/>
        <v/>
      </c>
      <c r="AA394" s="48" t="str">
        <f t="shared" si="102"/>
        <v/>
      </c>
      <c r="AB394" s="49" t="str">
        <f t="shared" si="103"/>
        <v/>
      </c>
      <c r="AC394" s="50" t="str">
        <f>IF(AB394="","",SUMIF($B$4:$B$1002,B394,$AB$4:$AB$1000))</f>
        <v/>
      </c>
      <c r="AD394" s="69"/>
      <c r="AE394" s="56"/>
      <c r="AF394" s="52"/>
      <c r="AG394" s="51"/>
      <c r="AH394" s="70"/>
      <c r="AI394" s="58"/>
      <c r="AJ394" s="55"/>
      <c r="AK394" s="51"/>
      <c r="AL394" s="69"/>
      <c r="AM394" s="56"/>
      <c r="AN394" s="52"/>
      <c r="AO394" s="51"/>
      <c r="AP394" s="70"/>
      <c r="AQ394" s="58"/>
      <c r="AR394" s="55"/>
      <c r="AS394" s="51"/>
      <c r="AT394" s="69"/>
      <c r="AU394" s="56"/>
      <c r="AV394" s="52"/>
      <c r="AW394" s="51"/>
      <c r="BR394" s="34" t="str">
        <f>IF(E394="","",CONCATENATE(E394," ",F394," noches"))</f>
        <v/>
      </c>
      <c r="BS394" s="28" t="str">
        <f t="shared" ca="1" si="104"/>
        <v/>
      </c>
      <c r="BT394" s="28" t="str">
        <f t="shared" ca="1" si="105"/>
        <v/>
      </c>
    </row>
    <row r="395" spans="1:72" x14ac:dyDescent="0.2">
      <c r="A395" s="18" t="str" cm="1">
        <f t="array" aca="1" ref="A395" ca="1">IF(B395="","","Grupo N˚"&amp;SUMPRODUCT(($B$4:B395&lt;&gt;"")*($B$4:B395&lt;&gt;OFFSET($B$4,-1,0,ROWS($B$4:B395),1))))</f>
        <v/>
      </c>
      <c r="B395" s="31"/>
      <c r="C395" s="31"/>
      <c r="D395" s="31"/>
      <c r="E395" s="31"/>
      <c r="F395" s="32"/>
      <c r="G395" s="33"/>
      <c r="H395" s="33"/>
      <c r="I395" s="20" t="str">
        <f t="shared" si="94"/>
        <v/>
      </c>
      <c r="J395" s="21" t="str">
        <f>IFERROR(VLOOKUP(BR395,Pricing!$D$3:$E$58,2,FALSE),"")</f>
        <v/>
      </c>
      <c r="K395" s="32"/>
      <c r="L395" s="32"/>
      <c r="M395" s="32"/>
      <c r="N395" s="36" t="str" cm="1">
        <f t="array" ref="N395">IFERROR(_xlfn.IFS((AND(K395="SI",M395="$")),J395*0.2,AND(K395="SI",M395="%"),20),"")</f>
        <v/>
      </c>
      <c r="O395" s="29" t="str">
        <f t="shared" si="95"/>
        <v/>
      </c>
      <c r="P395" s="21" t="str">
        <f t="shared" si="96"/>
        <v/>
      </c>
      <c r="Q395" s="21" t="str">
        <f t="shared" si="97"/>
        <v/>
      </c>
      <c r="R395" s="21" t="str">
        <f t="shared" si="98"/>
        <v/>
      </c>
      <c r="S395" s="39"/>
      <c r="T395" s="43" t="str">
        <f t="shared" si="106"/>
        <v/>
      </c>
      <c r="U395" s="49" t="str">
        <f t="shared" si="92"/>
        <v/>
      </c>
      <c r="V395" s="48" t="str">
        <f t="shared" si="93"/>
        <v/>
      </c>
      <c r="W395" s="48" t="str">
        <f t="shared" si="99"/>
        <v/>
      </c>
      <c r="X395" s="50" t="str">
        <f>IF(W395="","",SUMIF($B$4:$B$1002,B395,$W$4:$W$1000))</f>
        <v/>
      </c>
      <c r="Y395" s="43" t="str">
        <f t="shared" si="100"/>
        <v/>
      </c>
      <c r="Z395" s="49" t="str">
        <f t="shared" si="101"/>
        <v/>
      </c>
      <c r="AA395" s="48" t="str">
        <f t="shared" si="102"/>
        <v/>
      </c>
      <c r="AB395" s="49" t="str">
        <f t="shared" si="103"/>
        <v/>
      </c>
      <c r="AC395" s="50" t="str">
        <f>IF(AB395="","",SUMIF($B$4:$B$1002,B395,$AB$4:$AB$1000))</f>
        <v/>
      </c>
      <c r="AD395" s="69"/>
      <c r="AE395" s="56"/>
      <c r="AF395" s="52"/>
      <c r="AG395" s="51"/>
      <c r="AH395" s="70"/>
      <c r="AI395" s="58"/>
      <c r="AJ395" s="55"/>
      <c r="AK395" s="51"/>
      <c r="AL395" s="69"/>
      <c r="AM395" s="56"/>
      <c r="AN395" s="52"/>
      <c r="AO395" s="51"/>
      <c r="AP395" s="70"/>
      <c r="AQ395" s="58"/>
      <c r="AR395" s="55"/>
      <c r="AS395" s="51"/>
      <c r="AT395" s="69"/>
      <c r="AU395" s="56"/>
      <c r="AV395" s="52"/>
      <c r="AW395" s="51"/>
      <c r="BR395" s="34" t="str">
        <f>IF(E395="","",CONCATENATE(E395," ",F395," noches"))</f>
        <v/>
      </c>
      <c r="BS395" s="28" t="str">
        <f t="shared" ca="1" si="104"/>
        <v/>
      </c>
      <c r="BT395" s="28" t="str">
        <f t="shared" ca="1" si="105"/>
        <v/>
      </c>
    </row>
    <row r="396" spans="1:72" x14ac:dyDescent="0.2">
      <c r="A396" s="18" t="str" cm="1">
        <f t="array" aca="1" ref="A396" ca="1">IF(B396="","","Grupo N˚"&amp;SUMPRODUCT(($B$4:B396&lt;&gt;"")*($B$4:B396&lt;&gt;OFFSET($B$4,-1,0,ROWS($B$4:B396),1))))</f>
        <v/>
      </c>
      <c r="B396" s="31"/>
      <c r="C396" s="31"/>
      <c r="D396" s="31"/>
      <c r="E396" s="31"/>
      <c r="F396" s="32"/>
      <c r="G396" s="33"/>
      <c r="H396" s="33"/>
      <c r="I396" s="20" t="str">
        <f t="shared" si="94"/>
        <v/>
      </c>
      <c r="J396" s="21" t="str">
        <f>IFERROR(VLOOKUP(BR396,Pricing!$D$3:$E$58,2,FALSE),"")</f>
        <v/>
      </c>
      <c r="K396" s="32"/>
      <c r="L396" s="32"/>
      <c r="M396" s="32"/>
      <c r="N396" s="36" t="str" cm="1">
        <f t="array" ref="N396">IFERROR(_xlfn.IFS((AND(K396="SI",M396="$")),J396*0.2,AND(K396="SI",M396="%"),20),"")</f>
        <v/>
      </c>
      <c r="O396" s="29" t="str">
        <f t="shared" si="95"/>
        <v/>
      </c>
      <c r="P396" s="21" t="str">
        <f t="shared" si="96"/>
        <v/>
      </c>
      <c r="Q396" s="21" t="str">
        <f t="shared" si="97"/>
        <v/>
      </c>
      <c r="R396" s="21" t="str">
        <f t="shared" si="98"/>
        <v/>
      </c>
      <c r="S396" s="39"/>
      <c r="T396" s="43" t="str">
        <f t="shared" si="106"/>
        <v/>
      </c>
      <c r="U396" s="49" t="str">
        <f t="shared" si="92"/>
        <v/>
      </c>
      <c r="V396" s="48" t="str">
        <f t="shared" si="93"/>
        <v/>
      </c>
      <c r="W396" s="48" t="str">
        <f t="shared" si="99"/>
        <v/>
      </c>
      <c r="X396" s="50" t="str">
        <f>IF(W396="","",SUMIF($B$4:$B$1002,B396,$W$4:$W$1000))</f>
        <v/>
      </c>
      <c r="Y396" s="43" t="str">
        <f t="shared" si="100"/>
        <v/>
      </c>
      <c r="Z396" s="49" t="str">
        <f t="shared" si="101"/>
        <v/>
      </c>
      <c r="AA396" s="48" t="str">
        <f t="shared" si="102"/>
        <v/>
      </c>
      <c r="AB396" s="49" t="str">
        <f t="shared" si="103"/>
        <v/>
      </c>
      <c r="AC396" s="50" t="str">
        <f>IF(AB396="","",SUMIF($B$4:$B$1002,B396,$AB$4:$AB$1000))</f>
        <v/>
      </c>
      <c r="AD396" s="69"/>
      <c r="AE396" s="56"/>
      <c r="AF396" s="52"/>
      <c r="AG396" s="51"/>
      <c r="AH396" s="70"/>
      <c r="AI396" s="58"/>
      <c r="AJ396" s="55"/>
      <c r="AK396" s="51"/>
      <c r="AL396" s="69"/>
      <c r="AM396" s="56"/>
      <c r="AN396" s="52"/>
      <c r="AO396" s="51"/>
      <c r="AP396" s="70"/>
      <c r="AQ396" s="58"/>
      <c r="AR396" s="55"/>
      <c r="AS396" s="51"/>
      <c r="AT396" s="69"/>
      <c r="AU396" s="56"/>
      <c r="AV396" s="52"/>
      <c r="AW396" s="51"/>
      <c r="BR396" s="34" t="str">
        <f>IF(E396="","",CONCATENATE(E396," ",F396," noches"))</f>
        <v/>
      </c>
      <c r="BS396" s="28" t="str">
        <f t="shared" ca="1" si="104"/>
        <v/>
      </c>
      <c r="BT396" s="28" t="str">
        <f t="shared" ca="1" si="105"/>
        <v/>
      </c>
    </row>
    <row r="397" spans="1:72" x14ac:dyDescent="0.2">
      <c r="A397" s="18" t="str" cm="1">
        <f t="array" aca="1" ref="A397" ca="1">IF(B397="","","Grupo N˚"&amp;SUMPRODUCT(($B$4:B397&lt;&gt;"")*($B$4:B397&lt;&gt;OFFSET($B$4,-1,0,ROWS($B$4:B397),1))))</f>
        <v/>
      </c>
      <c r="B397" s="31"/>
      <c r="C397" s="31"/>
      <c r="D397" s="31"/>
      <c r="E397" s="31"/>
      <c r="F397" s="32"/>
      <c r="G397" s="33"/>
      <c r="H397" s="33"/>
      <c r="I397" s="20" t="str">
        <f t="shared" si="94"/>
        <v/>
      </c>
      <c r="J397" s="21" t="str">
        <f>IFERROR(VLOOKUP(BR397,Pricing!$D$3:$E$58,2,FALSE),"")</f>
        <v/>
      </c>
      <c r="K397" s="32"/>
      <c r="L397" s="32"/>
      <c r="M397" s="32"/>
      <c r="N397" s="36" t="str" cm="1">
        <f t="array" ref="N397">IFERROR(_xlfn.IFS((AND(K397="SI",M397="$")),J397*0.2,AND(K397="SI",M397="%"),20),"")</f>
        <v/>
      </c>
      <c r="O397" s="29" t="str">
        <f t="shared" si="95"/>
        <v/>
      </c>
      <c r="P397" s="21" t="str">
        <f t="shared" si="96"/>
        <v/>
      </c>
      <c r="Q397" s="21" t="str">
        <f t="shared" si="97"/>
        <v/>
      </c>
      <c r="R397" s="21" t="str">
        <f t="shared" si="98"/>
        <v/>
      </c>
      <c r="S397" s="39"/>
      <c r="T397" s="43" t="str">
        <f t="shared" si="106"/>
        <v/>
      </c>
      <c r="U397" s="49" t="str">
        <f t="shared" ref="U397:U460" si="107">IF(R397="","",R397/2)</f>
        <v/>
      </c>
      <c r="V397" s="48" t="str">
        <f t="shared" ref="V397:V460" si="108">IF(AD397="","",SUM(
 IF(ISNUMBER(SEARCH("reserva",AD397)),AF397,0),
 IF(ISNUMBER(SEARCH("reserva",AH397)),AJ397,0),
 IF(ISNUMBER(SEARCH("reserva",AL397)),AN397,0),
 IF(ISNUMBER(SEARCH("reserva",AP397)),AR397,0),
 IF(ISNUMBER(SEARCH("reserva",AT397)),AV397,0)
))</f>
        <v/>
      </c>
      <c r="W397" s="48" t="str">
        <f t="shared" si="99"/>
        <v/>
      </c>
      <c r="X397" s="50" t="str">
        <f>IF(W397="","",SUMIF($B$4:$B$1002,B397,$W$4:$W$1000))</f>
        <v/>
      </c>
      <c r="Y397" s="43" t="str">
        <f t="shared" si="100"/>
        <v/>
      </c>
      <c r="Z397" s="49" t="str">
        <f t="shared" si="101"/>
        <v/>
      </c>
      <c r="AA397" s="48" t="str">
        <f t="shared" si="102"/>
        <v/>
      </c>
      <c r="AB397" s="49" t="str">
        <f t="shared" si="103"/>
        <v/>
      </c>
      <c r="AC397" s="50" t="str">
        <f>IF(AB397="","",SUMIF($B$4:$B$1002,B397,$AB$4:$AB$1000))</f>
        <v/>
      </c>
      <c r="AD397" s="69"/>
      <c r="AE397" s="56"/>
      <c r="AF397" s="52"/>
      <c r="AG397" s="51"/>
      <c r="AH397" s="70"/>
      <c r="AI397" s="58"/>
      <c r="AJ397" s="55"/>
      <c r="AK397" s="51"/>
      <c r="AL397" s="69"/>
      <c r="AM397" s="56"/>
      <c r="AN397" s="52"/>
      <c r="AO397" s="51"/>
      <c r="AP397" s="70"/>
      <c r="AQ397" s="58"/>
      <c r="AR397" s="55"/>
      <c r="AS397" s="51"/>
      <c r="AT397" s="69"/>
      <c r="AU397" s="56"/>
      <c r="AV397" s="52"/>
      <c r="AW397" s="51"/>
      <c r="BR397" s="34" t="str">
        <f>IF(E397="","",CONCATENATE(E397," ",F397," noches"))</f>
        <v/>
      </c>
      <c r="BS397" s="28" t="str">
        <f t="shared" ca="1" si="104"/>
        <v/>
      </c>
      <c r="BT397" s="28" t="str">
        <f t="shared" ca="1" si="105"/>
        <v/>
      </c>
    </row>
    <row r="398" spans="1:72" x14ac:dyDescent="0.2">
      <c r="A398" s="18" t="str" cm="1">
        <f t="array" aca="1" ref="A398" ca="1">IF(B398="","","Grupo N˚"&amp;SUMPRODUCT(($B$4:B398&lt;&gt;"")*($B$4:B398&lt;&gt;OFFSET($B$4,-1,0,ROWS($B$4:B398),1))))</f>
        <v/>
      </c>
      <c r="B398" s="31"/>
      <c r="C398" s="31"/>
      <c r="D398" s="31"/>
      <c r="E398" s="31"/>
      <c r="F398" s="32"/>
      <c r="G398" s="33"/>
      <c r="H398" s="33"/>
      <c r="I398" s="20" t="str">
        <f t="shared" si="94"/>
        <v/>
      </c>
      <c r="J398" s="21" t="str">
        <f>IFERROR(VLOOKUP(BR398,Pricing!$D$3:$E$58,2,FALSE),"")</f>
        <v/>
      </c>
      <c r="K398" s="32"/>
      <c r="L398" s="32"/>
      <c r="M398" s="32"/>
      <c r="N398" s="36" t="str" cm="1">
        <f t="array" ref="N398">IFERROR(_xlfn.IFS((AND(K398="SI",M398="$")),J398*0.2,AND(K398="SI",M398="%"),20),"")</f>
        <v/>
      </c>
      <c r="O398" s="29" t="str">
        <f t="shared" si="95"/>
        <v/>
      </c>
      <c r="P398" s="21" t="str">
        <f t="shared" si="96"/>
        <v/>
      </c>
      <c r="Q398" s="21" t="str">
        <f t="shared" si="97"/>
        <v/>
      </c>
      <c r="R398" s="21" t="str">
        <f t="shared" si="98"/>
        <v/>
      </c>
      <c r="S398" s="39"/>
      <c r="T398" s="43" t="str">
        <f t="shared" si="106"/>
        <v/>
      </c>
      <c r="U398" s="49" t="str">
        <f t="shared" si="107"/>
        <v/>
      </c>
      <c r="V398" s="48" t="str">
        <f t="shared" si="108"/>
        <v/>
      </c>
      <c r="W398" s="48" t="str">
        <f t="shared" si="99"/>
        <v/>
      </c>
      <c r="X398" s="50" t="str">
        <f>IF(W398="","",SUMIF($B$4:$B$1002,B398,$W$4:$W$1000))</f>
        <v/>
      </c>
      <c r="Y398" s="43" t="str">
        <f t="shared" si="100"/>
        <v/>
      </c>
      <c r="Z398" s="49" t="str">
        <f t="shared" si="101"/>
        <v/>
      </c>
      <c r="AA398" s="48" t="str">
        <f t="shared" si="102"/>
        <v/>
      </c>
      <c r="AB398" s="49" t="str">
        <f t="shared" si="103"/>
        <v/>
      </c>
      <c r="AC398" s="50" t="str">
        <f>IF(AB398="","",SUMIF($B$4:$B$1002,B398,$AB$4:$AB$1000))</f>
        <v/>
      </c>
      <c r="AD398" s="69"/>
      <c r="AE398" s="56"/>
      <c r="AF398" s="52"/>
      <c r="AG398" s="51"/>
      <c r="AH398" s="70"/>
      <c r="AI398" s="58"/>
      <c r="AJ398" s="55"/>
      <c r="AK398" s="51"/>
      <c r="AL398" s="69"/>
      <c r="AM398" s="56"/>
      <c r="AN398" s="52"/>
      <c r="AO398" s="51"/>
      <c r="AP398" s="70"/>
      <c r="AQ398" s="58"/>
      <c r="AR398" s="55"/>
      <c r="AS398" s="51"/>
      <c r="AT398" s="69"/>
      <c r="AU398" s="56"/>
      <c r="AV398" s="52"/>
      <c r="AW398" s="51"/>
      <c r="BR398" s="34" t="str">
        <f>IF(E398="","",CONCATENATE(E398," ",F398," noches"))</f>
        <v/>
      </c>
      <c r="BS398" s="28" t="str">
        <f t="shared" ca="1" si="104"/>
        <v/>
      </c>
      <c r="BT398" s="28" t="str">
        <f t="shared" ca="1" si="105"/>
        <v/>
      </c>
    </row>
    <row r="399" spans="1:72" x14ac:dyDescent="0.2">
      <c r="A399" s="18" t="str" cm="1">
        <f t="array" aca="1" ref="A399" ca="1">IF(B399="","","Grupo N˚"&amp;SUMPRODUCT(($B$4:B399&lt;&gt;"")*($B$4:B399&lt;&gt;OFFSET($B$4,-1,0,ROWS($B$4:B399),1))))</f>
        <v/>
      </c>
      <c r="B399" s="31"/>
      <c r="C399" s="31"/>
      <c r="D399" s="31"/>
      <c r="E399" s="31"/>
      <c r="F399" s="32"/>
      <c r="G399" s="33"/>
      <c r="H399" s="33"/>
      <c r="I399" s="20" t="str">
        <f t="shared" si="94"/>
        <v/>
      </c>
      <c r="J399" s="21" t="str">
        <f>IFERROR(VLOOKUP(BR399,Pricing!$D$3:$E$58,2,FALSE),"")</f>
        <v/>
      </c>
      <c r="K399" s="32"/>
      <c r="L399" s="32"/>
      <c r="M399" s="32"/>
      <c r="N399" s="36" t="str" cm="1">
        <f t="array" ref="N399">IFERROR(_xlfn.IFS((AND(K399="SI",M399="$")),J399*0.2,AND(K399="SI",M399="%"),20),"")</f>
        <v/>
      </c>
      <c r="O399" s="29" t="str">
        <f t="shared" si="95"/>
        <v/>
      </c>
      <c r="P399" s="21" t="str">
        <f t="shared" si="96"/>
        <v/>
      </c>
      <c r="Q399" s="21" t="str">
        <f t="shared" si="97"/>
        <v/>
      </c>
      <c r="R399" s="21" t="str">
        <f t="shared" si="98"/>
        <v/>
      </c>
      <c r="S399" s="39"/>
      <c r="T399" s="43" t="str">
        <f t="shared" si="106"/>
        <v/>
      </c>
      <c r="U399" s="49" t="str">
        <f t="shared" si="107"/>
        <v/>
      </c>
      <c r="V399" s="48" t="str">
        <f t="shared" si="108"/>
        <v/>
      </c>
      <c r="W399" s="48" t="str">
        <f t="shared" si="99"/>
        <v/>
      </c>
      <c r="X399" s="50" t="str">
        <f>IF(W399="","",SUMIF($B$4:$B$1002,B399,$W$4:$W$1000))</f>
        <v/>
      </c>
      <c r="Y399" s="43" t="str">
        <f t="shared" si="100"/>
        <v/>
      </c>
      <c r="Z399" s="49" t="str">
        <f t="shared" si="101"/>
        <v/>
      </c>
      <c r="AA399" s="48" t="str">
        <f t="shared" si="102"/>
        <v/>
      </c>
      <c r="AB399" s="49" t="str">
        <f t="shared" si="103"/>
        <v/>
      </c>
      <c r="AC399" s="50" t="str">
        <f>IF(AB399="","",SUMIF($B$4:$B$1002,B399,$AB$4:$AB$1000))</f>
        <v/>
      </c>
      <c r="AD399" s="69"/>
      <c r="AE399" s="56"/>
      <c r="AF399" s="52"/>
      <c r="AG399" s="51"/>
      <c r="AH399" s="70"/>
      <c r="AI399" s="58"/>
      <c r="AJ399" s="55"/>
      <c r="AK399" s="51"/>
      <c r="AL399" s="69"/>
      <c r="AM399" s="56"/>
      <c r="AN399" s="52"/>
      <c r="AO399" s="51"/>
      <c r="AP399" s="70"/>
      <c r="AQ399" s="58"/>
      <c r="AR399" s="55"/>
      <c r="AS399" s="51"/>
      <c r="AT399" s="69"/>
      <c r="AU399" s="56"/>
      <c r="AV399" s="52"/>
      <c r="AW399" s="51"/>
      <c r="BR399" s="34" t="str">
        <f>IF(E399="","",CONCATENATE(E399," ",F399," noches"))</f>
        <v/>
      </c>
      <c r="BS399" s="28" t="str">
        <f t="shared" ca="1" si="104"/>
        <v/>
      </c>
      <c r="BT399" s="28" t="str">
        <f t="shared" ca="1" si="105"/>
        <v/>
      </c>
    </row>
    <row r="400" spans="1:72" x14ac:dyDescent="0.2">
      <c r="A400" s="18" t="str" cm="1">
        <f t="array" aca="1" ref="A400" ca="1">IF(B400="","","Grupo N˚"&amp;SUMPRODUCT(($B$4:B400&lt;&gt;"")*($B$4:B400&lt;&gt;OFFSET($B$4,-1,0,ROWS($B$4:B400),1))))</f>
        <v/>
      </c>
      <c r="B400" s="31"/>
      <c r="C400" s="31"/>
      <c r="D400" s="31"/>
      <c r="E400" s="31"/>
      <c r="F400" s="32"/>
      <c r="G400" s="33"/>
      <c r="H400" s="33"/>
      <c r="I400" s="20" t="str">
        <f t="shared" si="94"/>
        <v/>
      </c>
      <c r="J400" s="21" t="str">
        <f>IFERROR(VLOOKUP(BR400,Pricing!$D$3:$E$58,2,FALSE),"")</f>
        <v/>
      </c>
      <c r="K400" s="32"/>
      <c r="L400" s="32"/>
      <c r="M400" s="32"/>
      <c r="N400" s="36" t="str" cm="1">
        <f t="array" ref="N400">IFERROR(_xlfn.IFS((AND(K400="SI",M400="$")),J400*0.2,AND(K400="SI",M400="%"),20),"")</f>
        <v/>
      </c>
      <c r="O400" s="29" t="str">
        <f t="shared" si="95"/>
        <v/>
      </c>
      <c r="P400" s="21" t="str">
        <f t="shared" si="96"/>
        <v/>
      </c>
      <c r="Q400" s="21" t="str">
        <f t="shared" si="97"/>
        <v/>
      </c>
      <c r="R400" s="21" t="str">
        <f t="shared" si="98"/>
        <v/>
      </c>
      <c r="S400" s="39"/>
      <c r="T400" s="43" t="str">
        <f t="shared" si="106"/>
        <v/>
      </c>
      <c r="U400" s="49" t="str">
        <f t="shared" si="107"/>
        <v/>
      </c>
      <c r="V400" s="48" t="str">
        <f t="shared" si="108"/>
        <v/>
      </c>
      <c r="W400" s="48" t="str">
        <f t="shared" si="99"/>
        <v/>
      </c>
      <c r="X400" s="50" t="str">
        <f>IF(W400="","",SUMIF($B$4:$B$1002,B400,$W$4:$W$1000))</f>
        <v/>
      </c>
      <c r="Y400" s="43" t="str">
        <f t="shared" si="100"/>
        <v/>
      </c>
      <c r="Z400" s="49" t="str">
        <f t="shared" si="101"/>
        <v/>
      </c>
      <c r="AA400" s="48" t="str">
        <f t="shared" si="102"/>
        <v/>
      </c>
      <c r="AB400" s="49" t="str">
        <f t="shared" si="103"/>
        <v/>
      </c>
      <c r="AC400" s="50" t="str">
        <f>IF(AB400="","",SUMIF($B$4:$B$1002,B400,$AB$4:$AB$1000))</f>
        <v/>
      </c>
      <c r="AD400" s="69"/>
      <c r="AE400" s="56"/>
      <c r="AF400" s="52"/>
      <c r="AG400" s="51"/>
      <c r="AH400" s="70"/>
      <c r="AI400" s="58"/>
      <c r="AJ400" s="55"/>
      <c r="AK400" s="51"/>
      <c r="AL400" s="69"/>
      <c r="AM400" s="56"/>
      <c r="AN400" s="52"/>
      <c r="AO400" s="51"/>
      <c r="AP400" s="70"/>
      <c r="AQ400" s="58"/>
      <c r="AR400" s="55"/>
      <c r="AS400" s="51"/>
      <c r="AT400" s="69"/>
      <c r="AU400" s="56"/>
      <c r="AV400" s="52"/>
      <c r="AW400" s="51"/>
      <c r="BR400" s="34" t="str">
        <f>IF(E400="","",CONCATENATE(E400," ",F400," noches"))</f>
        <v/>
      </c>
      <c r="BS400" s="28" t="str">
        <f t="shared" ca="1" si="104"/>
        <v/>
      </c>
      <c r="BT400" s="28" t="str">
        <f t="shared" ca="1" si="105"/>
        <v/>
      </c>
    </row>
    <row r="401" spans="1:72" x14ac:dyDescent="0.2">
      <c r="A401" s="18" t="str" cm="1">
        <f t="array" aca="1" ref="A401" ca="1">IF(B401="","","Grupo N˚"&amp;SUMPRODUCT(($B$4:B401&lt;&gt;"")*($B$4:B401&lt;&gt;OFFSET($B$4,-1,0,ROWS($B$4:B401),1))))</f>
        <v/>
      </c>
      <c r="B401" s="31"/>
      <c r="C401" s="31"/>
      <c r="D401" s="31"/>
      <c r="E401" s="31"/>
      <c r="F401" s="32"/>
      <c r="G401" s="33"/>
      <c r="H401" s="33"/>
      <c r="I401" s="20" t="str">
        <f t="shared" si="94"/>
        <v/>
      </c>
      <c r="J401" s="21" t="str">
        <f>IFERROR(VLOOKUP(BR401,Pricing!$D$3:$E$58,2,FALSE),"")</f>
        <v/>
      </c>
      <c r="K401" s="32"/>
      <c r="L401" s="32"/>
      <c r="M401" s="32"/>
      <c r="N401" s="36" t="str" cm="1">
        <f t="array" ref="N401">IFERROR(_xlfn.IFS((AND(K401="SI",M401="$")),J401*0.2,AND(K401="SI",M401="%"),20),"")</f>
        <v/>
      </c>
      <c r="O401" s="29" t="str">
        <f t="shared" si="95"/>
        <v/>
      </c>
      <c r="P401" s="21" t="str">
        <f t="shared" si="96"/>
        <v/>
      </c>
      <c r="Q401" s="21" t="str">
        <f t="shared" si="97"/>
        <v/>
      </c>
      <c r="R401" s="21" t="str">
        <f t="shared" si="98"/>
        <v/>
      </c>
      <c r="S401" s="39"/>
      <c r="T401" s="43" t="str">
        <f t="shared" si="106"/>
        <v/>
      </c>
      <c r="U401" s="49" t="str">
        <f t="shared" si="107"/>
        <v/>
      </c>
      <c r="V401" s="48" t="str">
        <f t="shared" si="108"/>
        <v/>
      </c>
      <c r="W401" s="48" t="str">
        <f t="shared" si="99"/>
        <v/>
      </c>
      <c r="X401" s="50" t="str">
        <f>IF(W401="","",SUMIF($B$4:$B$1002,B401,$W$4:$W$1000))</f>
        <v/>
      </c>
      <c r="Y401" s="43" t="str">
        <f t="shared" si="100"/>
        <v/>
      </c>
      <c r="Z401" s="49" t="str">
        <f t="shared" si="101"/>
        <v/>
      </c>
      <c r="AA401" s="48" t="str">
        <f t="shared" si="102"/>
        <v/>
      </c>
      <c r="AB401" s="49" t="str">
        <f t="shared" si="103"/>
        <v/>
      </c>
      <c r="AC401" s="50" t="str">
        <f>IF(AB401="","",SUMIF($B$4:$B$1002,B401,$AB$4:$AB$1000))</f>
        <v/>
      </c>
      <c r="AD401" s="69"/>
      <c r="AE401" s="56"/>
      <c r="AF401" s="52"/>
      <c r="AG401" s="51"/>
      <c r="AH401" s="70"/>
      <c r="AI401" s="58"/>
      <c r="AJ401" s="55"/>
      <c r="AK401" s="51"/>
      <c r="AL401" s="69"/>
      <c r="AM401" s="56"/>
      <c r="AN401" s="52"/>
      <c r="AO401" s="51"/>
      <c r="AP401" s="70"/>
      <c r="AQ401" s="58"/>
      <c r="AR401" s="55"/>
      <c r="AS401" s="51"/>
      <c r="AT401" s="69"/>
      <c r="AU401" s="56"/>
      <c r="AV401" s="52"/>
      <c r="AW401" s="51"/>
      <c r="BR401" s="34" t="str">
        <f>IF(E401="","",CONCATENATE(E401," ",F401," noches"))</f>
        <v/>
      </c>
      <c r="BS401" s="28" t="str">
        <f t="shared" ca="1" si="104"/>
        <v/>
      </c>
      <c r="BT401" s="28" t="str">
        <f t="shared" ca="1" si="105"/>
        <v/>
      </c>
    </row>
    <row r="402" spans="1:72" x14ac:dyDescent="0.2">
      <c r="A402" s="18" t="str" cm="1">
        <f t="array" aca="1" ref="A402" ca="1">IF(B402="","","Grupo N˚"&amp;SUMPRODUCT(($B$4:B402&lt;&gt;"")*($B$4:B402&lt;&gt;OFFSET($B$4,-1,0,ROWS($B$4:B402),1))))</f>
        <v/>
      </c>
      <c r="B402" s="31"/>
      <c r="C402" s="31"/>
      <c r="D402" s="31"/>
      <c r="E402" s="31"/>
      <c r="F402" s="32"/>
      <c r="G402" s="33"/>
      <c r="H402" s="33"/>
      <c r="I402" s="20" t="str">
        <f t="shared" si="94"/>
        <v/>
      </c>
      <c r="J402" s="21" t="str">
        <f>IFERROR(VLOOKUP(BR402,Pricing!$D$3:$E$58,2,FALSE),"")</f>
        <v/>
      </c>
      <c r="K402" s="32"/>
      <c r="L402" s="32"/>
      <c r="M402" s="32"/>
      <c r="N402" s="36" t="str" cm="1">
        <f t="array" ref="N402">IFERROR(_xlfn.IFS((AND(K402="SI",M402="$")),J402*0.2,AND(K402="SI",M402="%"),20),"")</f>
        <v/>
      </c>
      <c r="O402" s="29" t="str">
        <f t="shared" si="95"/>
        <v/>
      </c>
      <c r="P402" s="21" t="str">
        <f t="shared" si="96"/>
        <v/>
      </c>
      <c r="Q402" s="21" t="str">
        <f t="shared" si="97"/>
        <v/>
      </c>
      <c r="R402" s="21" t="str">
        <f t="shared" si="98"/>
        <v/>
      </c>
      <c r="S402" s="39"/>
      <c r="T402" s="43" t="str">
        <f t="shared" si="106"/>
        <v/>
      </c>
      <c r="U402" s="49" t="str">
        <f t="shared" si="107"/>
        <v/>
      </c>
      <c r="V402" s="48" t="str">
        <f t="shared" si="108"/>
        <v/>
      </c>
      <c r="W402" s="48" t="str">
        <f t="shared" si="99"/>
        <v/>
      </c>
      <c r="X402" s="50" t="str">
        <f>IF(W402="","",SUMIF($B$4:$B$1002,B402,$W$4:$W$1000))</f>
        <v/>
      </c>
      <c r="Y402" s="43" t="str">
        <f t="shared" si="100"/>
        <v/>
      </c>
      <c r="Z402" s="49" t="str">
        <f t="shared" si="101"/>
        <v/>
      </c>
      <c r="AA402" s="48" t="str">
        <f t="shared" si="102"/>
        <v/>
      </c>
      <c r="AB402" s="49" t="str">
        <f t="shared" si="103"/>
        <v/>
      </c>
      <c r="AC402" s="50" t="str">
        <f>IF(AB402="","",SUMIF($B$4:$B$1002,B402,$AB$4:$AB$1000))</f>
        <v/>
      </c>
      <c r="AD402" s="69"/>
      <c r="AE402" s="56"/>
      <c r="AF402" s="52"/>
      <c r="AG402" s="51"/>
      <c r="AH402" s="70"/>
      <c r="AI402" s="58"/>
      <c r="AJ402" s="55"/>
      <c r="AK402" s="51"/>
      <c r="AL402" s="69"/>
      <c r="AM402" s="56"/>
      <c r="AN402" s="52"/>
      <c r="AO402" s="51"/>
      <c r="AP402" s="70"/>
      <c r="AQ402" s="58"/>
      <c r="AR402" s="55"/>
      <c r="AS402" s="51"/>
      <c r="AT402" s="69"/>
      <c r="AU402" s="56"/>
      <c r="AV402" s="52"/>
      <c r="AW402" s="51"/>
      <c r="BR402" s="34" t="str">
        <f>IF(E402="","",CONCATENATE(E402," ",F402," noches"))</f>
        <v/>
      </c>
      <c r="BS402" s="28" t="str">
        <f t="shared" ca="1" si="104"/>
        <v/>
      </c>
      <c r="BT402" s="28" t="str">
        <f t="shared" ca="1" si="105"/>
        <v/>
      </c>
    </row>
    <row r="403" spans="1:72" x14ac:dyDescent="0.2">
      <c r="A403" s="18" t="str" cm="1">
        <f t="array" aca="1" ref="A403" ca="1">IF(B403="","","Grupo N˚"&amp;SUMPRODUCT(($B$4:B403&lt;&gt;"")*($B$4:B403&lt;&gt;OFFSET($B$4,-1,0,ROWS($B$4:B403),1))))</f>
        <v/>
      </c>
      <c r="B403" s="31"/>
      <c r="C403" s="31"/>
      <c r="D403" s="31"/>
      <c r="E403" s="31"/>
      <c r="F403" s="32"/>
      <c r="G403" s="33"/>
      <c r="H403" s="33"/>
      <c r="I403" s="20" t="str">
        <f t="shared" si="94"/>
        <v/>
      </c>
      <c r="J403" s="21" t="str">
        <f>IFERROR(VLOOKUP(BR403,Pricing!$D$3:$E$58,2,FALSE),"")</f>
        <v/>
      </c>
      <c r="K403" s="32"/>
      <c r="L403" s="32"/>
      <c r="M403" s="32"/>
      <c r="N403" s="36" t="str" cm="1">
        <f t="array" ref="N403">IFERROR(_xlfn.IFS((AND(K403="SI",M403="$")),J403*0.2,AND(K403="SI",M403="%"),20),"")</f>
        <v/>
      </c>
      <c r="O403" s="29" t="str">
        <f t="shared" si="95"/>
        <v/>
      </c>
      <c r="P403" s="21" t="str">
        <f t="shared" si="96"/>
        <v/>
      </c>
      <c r="Q403" s="21" t="str">
        <f t="shared" si="97"/>
        <v/>
      </c>
      <c r="R403" s="21" t="str">
        <f t="shared" si="98"/>
        <v/>
      </c>
      <c r="S403" s="39"/>
      <c r="T403" s="43" t="str">
        <f t="shared" si="106"/>
        <v/>
      </c>
      <c r="U403" s="49" t="str">
        <f t="shared" si="107"/>
        <v/>
      </c>
      <c r="V403" s="48" t="str">
        <f t="shared" si="108"/>
        <v/>
      </c>
      <c r="W403" s="48" t="str">
        <f t="shared" si="99"/>
        <v/>
      </c>
      <c r="X403" s="50" t="str">
        <f>IF(W403="","",SUMIF($B$4:$B$1002,B403,$W$4:$W$1000))</f>
        <v/>
      </c>
      <c r="Y403" s="43" t="str">
        <f t="shared" si="100"/>
        <v/>
      </c>
      <c r="Z403" s="49" t="str">
        <f t="shared" si="101"/>
        <v/>
      </c>
      <c r="AA403" s="48" t="str">
        <f t="shared" si="102"/>
        <v/>
      </c>
      <c r="AB403" s="49" t="str">
        <f t="shared" si="103"/>
        <v/>
      </c>
      <c r="AC403" s="50" t="str">
        <f>IF(AB403="","",SUMIF($B$4:$B$1002,B403,$AB$4:$AB$1000))</f>
        <v/>
      </c>
      <c r="AD403" s="69"/>
      <c r="AE403" s="56"/>
      <c r="AF403" s="52"/>
      <c r="AG403" s="51"/>
      <c r="AH403" s="70"/>
      <c r="AI403" s="58"/>
      <c r="AJ403" s="55"/>
      <c r="AK403" s="51"/>
      <c r="AL403" s="69"/>
      <c r="AM403" s="56"/>
      <c r="AN403" s="52"/>
      <c r="AO403" s="51"/>
      <c r="AP403" s="70"/>
      <c r="AQ403" s="58"/>
      <c r="AR403" s="55"/>
      <c r="AS403" s="51"/>
      <c r="AT403" s="69"/>
      <c r="AU403" s="56"/>
      <c r="AV403" s="52"/>
      <c r="AW403" s="51"/>
      <c r="BR403" s="34" t="str">
        <f>IF(E403="","",CONCATENATE(E403," ",F403," noches"))</f>
        <v/>
      </c>
      <c r="BS403" s="28" t="str">
        <f t="shared" ca="1" si="104"/>
        <v/>
      </c>
      <c r="BT403" s="28" t="str">
        <f t="shared" ca="1" si="105"/>
        <v/>
      </c>
    </row>
    <row r="404" spans="1:72" x14ac:dyDescent="0.2">
      <c r="A404" s="18" t="str" cm="1">
        <f t="array" aca="1" ref="A404" ca="1">IF(B404="","","Grupo N˚"&amp;SUMPRODUCT(($B$4:B404&lt;&gt;"")*($B$4:B404&lt;&gt;OFFSET($B$4,-1,0,ROWS($B$4:B404),1))))</f>
        <v/>
      </c>
      <c r="B404" s="31"/>
      <c r="C404" s="31"/>
      <c r="D404" s="31"/>
      <c r="E404" s="31"/>
      <c r="F404" s="32"/>
      <c r="G404" s="33"/>
      <c r="H404" s="33"/>
      <c r="I404" s="20" t="str">
        <f t="shared" si="94"/>
        <v/>
      </c>
      <c r="J404" s="21" t="str">
        <f>IFERROR(VLOOKUP(BR404,Pricing!$D$3:$E$58,2,FALSE),"")</f>
        <v/>
      </c>
      <c r="K404" s="32"/>
      <c r="L404" s="32"/>
      <c r="M404" s="32"/>
      <c r="N404" s="36" t="str" cm="1">
        <f t="array" ref="N404">IFERROR(_xlfn.IFS((AND(K404="SI",M404="$")),J404*0.2,AND(K404="SI",M404="%"),20),"")</f>
        <v/>
      </c>
      <c r="O404" s="29" t="str">
        <f t="shared" si="95"/>
        <v/>
      </c>
      <c r="P404" s="21" t="str">
        <f t="shared" si="96"/>
        <v/>
      </c>
      <c r="Q404" s="21" t="str">
        <f t="shared" si="97"/>
        <v/>
      </c>
      <c r="R404" s="21" t="str">
        <f t="shared" si="98"/>
        <v/>
      </c>
      <c r="S404" s="39"/>
      <c r="T404" s="43" t="str">
        <f t="shared" si="106"/>
        <v/>
      </c>
      <c r="U404" s="49" t="str">
        <f t="shared" si="107"/>
        <v/>
      </c>
      <c r="V404" s="48" t="str">
        <f t="shared" si="108"/>
        <v/>
      </c>
      <c r="W404" s="48" t="str">
        <f t="shared" si="99"/>
        <v/>
      </c>
      <c r="X404" s="50" t="str">
        <f>IF(W404="","",SUMIF($B$4:$B$1002,B404,$W$4:$W$1000))</f>
        <v/>
      </c>
      <c r="Y404" s="43" t="str">
        <f t="shared" si="100"/>
        <v/>
      </c>
      <c r="Z404" s="49" t="str">
        <f t="shared" si="101"/>
        <v/>
      </c>
      <c r="AA404" s="48" t="str">
        <f t="shared" si="102"/>
        <v/>
      </c>
      <c r="AB404" s="49" t="str">
        <f t="shared" si="103"/>
        <v/>
      </c>
      <c r="AC404" s="50" t="str">
        <f>IF(AB404="","",SUMIF($B$4:$B$1002,B404,$AB$4:$AB$1000))</f>
        <v/>
      </c>
      <c r="AD404" s="69"/>
      <c r="AE404" s="56"/>
      <c r="AF404" s="52"/>
      <c r="AG404" s="51"/>
      <c r="AH404" s="70"/>
      <c r="AI404" s="58"/>
      <c r="AJ404" s="55"/>
      <c r="AK404" s="51"/>
      <c r="AL404" s="69"/>
      <c r="AM404" s="56"/>
      <c r="AN404" s="52"/>
      <c r="AO404" s="51"/>
      <c r="AP404" s="70"/>
      <c r="AQ404" s="58"/>
      <c r="AR404" s="55"/>
      <c r="AS404" s="51"/>
      <c r="AT404" s="69"/>
      <c r="AU404" s="56"/>
      <c r="AV404" s="52"/>
      <c r="AW404" s="51"/>
      <c r="BR404" s="34" t="str">
        <f>IF(E404="","",CONCATENATE(E404," ",F404," noches"))</f>
        <v/>
      </c>
      <c r="BS404" s="28" t="str">
        <f t="shared" ca="1" si="104"/>
        <v/>
      </c>
      <c r="BT404" s="28" t="str">
        <f t="shared" ca="1" si="105"/>
        <v/>
      </c>
    </row>
    <row r="405" spans="1:72" x14ac:dyDescent="0.2">
      <c r="A405" s="18" t="str" cm="1">
        <f t="array" aca="1" ref="A405" ca="1">IF(B405="","","Grupo N˚"&amp;SUMPRODUCT(($B$4:B405&lt;&gt;"")*($B$4:B405&lt;&gt;OFFSET($B$4,-1,0,ROWS($B$4:B405),1))))</f>
        <v/>
      </c>
      <c r="B405" s="31"/>
      <c r="C405" s="31"/>
      <c r="D405" s="31"/>
      <c r="E405" s="31"/>
      <c r="F405" s="32"/>
      <c r="G405" s="33"/>
      <c r="H405" s="33"/>
      <c r="I405" s="20" t="str">
        <f t="shared" si="94"/>
        <v/>
      </c>
      <c r="J405" s="21" t="str">
        <f>IFERROR(VLOOKUP(BR405,Pricing!$D$3:$E$58,2,FALSE),"")</f>
        <v/>
      </c>
      <c r="K405" s="32"/>
      <c r="L405" s="32"/>
      <c r="M405" s="32"/>
      <c r="N405" s="36" t="str" cm="1">
        <f t="array" ref="N405">IFERROR(_xlfn.IFS((AND(K405="SI",M405="$")),J405*0.2,AND(K405="SI",M405="%"),20),"")</f>
        <v/>
      </c>
      <c r="O405" s="29" t="str">
        <f t="shared" si="95"/>
        <v/>
      </c>
      <c r="P405" s="21" t="str">
        <f t="shared" si="96"/>
        <v/>
      </c>
      <c r="Q405" s="21" t="str">
        <f t="shared" si="97"/>
        <v/>
      </c>
      <c r="R405" s="21" t="str">
        <f t="shared" si="98"/>
        <v/>
      </c>
      <c r="S405" s="39"/>
      <c r="T405" s="43" t="str">
        <f t="shared" si="106"/>
        <v/>
      </c>
      <c r="U405" s="49" t="str">
        <f t="shared" si="107"/>
        <v/>
      </c>
      <c r="V405" s="48" t="str">
        <f t="shared" si="108"/>
        <v/>
      </c>
      <c r="W405" s="48" t="str">
        <f t="shared" si="99"/>
        <v/>
      </c>
      <c r="X405" s="50" t="str">
        <f>IF(W405="","",SUMIF($B$4:$B$1002,B405,$W$4:$W$1000))</f>
        <v/>
      </c>
      <c r="Y405" s="43" t="str">
        <f t="shared" si="100"/>
        <v/>
      </c>
      <c r="Z405" s="49" t="str">
        <f t="shared" si="101"/>
        <v/>
      </c>
      <c r="AA405" s="48" t="str">
        <f t="shared" si="102"/>
        <v/>
      </c>
      <c r="AB405" s="49" t="str">
        <f t="shared" si="103"/>
        <v/>
      </c>
      <c r="AC405" s="50" t="str">
        <f>IF(AB405="","",SUMIF($B$4:$B$1002,B405,$AB$4:$AB$1000))</f>
        <v/>
      </c>
      <c r="AD405" s="69"/>
      <c r="AE405" s="56"/>
      <c r="AF405" s="52"/>
      <c r="AG405" s="51"/>
      <c r="AH405" s="70"/>
      <c r="AI405" s="58"/>
      <c r="AJ405" s="55"/>
      <c r="AK405" s="51"/>
      <c r="AL405" s="69"/>
      <c r="AM405" s="56"/>
      <c r="AN405" s="52"/>
      <c r="AO405" s="51"/>
      <c r="AP405" s="70"/>
      <c r="AQ405" s="58"/>
      <c r="AR405" s="55"/>
      <c r="AS405" s="51"/>
      <c r="AT405" s="69"/>
      <c r="AU405" s="56"/>
      <c r="AV405" s="52"/>
      <c r="AW405" s="51"/>
      <c r="BR405" s="34" t="str">
        <f>IF(E405="","",CONCATENATE(E405," ",F405," noches"))</f>
        <v/>
      </c>
      <c r="BS405" s="28" t="str">
        <f t="shared" ca="1" si="104"/>
        <v/>
      </c>
      <c r="BT405" s="28" t="str">
        <f t="shared" ca="1" si="105"/>
        <v/>
      </c>
    </row>
    <row r="406" spans="1:72" x14ac:dyDescent="0.2">
      <c r="A406" s="18" t="str" cm="1">
        <f t="array" aca="1" ref="A406" ca="1">IF(B406="","","Grupo N˚"&amp;SUMPRODUCT(($B$4:B406&lt;&gt;"")*($B$4:B406&lt;&gt;OFFSET($B$4,-1,0,ROWS($B$4:B406),1))))</f>
        <v/>
      </c>
      <c r="B406" s="31"/>
      <c r="C406" s="31"/>
      <c r="D406" s="31"/>
      <c r="E406" s="31"/>
      <c r="F406" s="32"/>
      <c r="G406" s="33"/>
      <c r="H406" s="33"/>
      <c r="I406" s="20" t="str">
        <f t="shared" si="94"/>
        <v/>
      </c>
      <c r="J406" s="21" t="str">
        <f>IFERROR(VLOOKUP(BR406,Pricing!$D$3:$E$58,2,FALSE),"")</f>
        <v/>
      </c>
      <c r="K406" s="32"/>
      <c r="L406" s="32"/>
      <c r="M406" s="32"/>
      <c r="N406" s="36" t="str" cm="1">
        <f t="array" ref="N406">IFERROR(_xlfn.IFS((AND(K406="SI",M406="$")),J406*0.2,AND(K406="SI",M406="%"),20),"")</f>
        <v/>
      </c>
      <c r="O406" s="29" t="str">
        <f t="shared" si="95"/>
        <v/>
      </c>
      <c r="P406" s="21" t="str">
        <f t="shared" si="96"/>
        <v/>
      </c>
      <c r="Q406" s="21" t="str">
        <f t="shared" si="97"/>
        <v/>
      </c>
      <c r="R406" s="21" t="str">
        <f t="shared" si="98"/>
        <v/>
      </c>
      <c r="S406" s="39"/>
      <c r="T406" s="43" t="str">
        <f t="shared" si="106"/>
        <v/>
      </c>
      <c r="U406" s="49" t="str">
        <f t="shared" si="107"/>
        <v/>
      </c>
      <c r="V406" s="48" t="str">
        <f t="shared" si="108"/>
        <v/>
      </c>
      <c r="W406" s="48" t="str">
        <f t="shared" si="99"/>
        <v/>
      </c>
      <c r="X406" s="50" t="str">
        <f>IF(W406="","",SUMIF($B$4:$B$1002,B406,$W$4:$W$1000))</f>
        <v/>
      </c>
      <c r="Y406" s="43" t="str">
        <f t="shared" si="100"/>
        <v/>
      </c>
      <c r="Z406" s="49" t="str">
        <f t="shared" si="101"/>
        <v/>
      </c>
      <c r="AA406" s="48" t="str">
        <f t="shared" si="102"/>
        <v/>
      </c>
      <c r="AB406" s="49" t="str">
        <f t="shared" si="103"/>
        <v/>
      </c>
      <c r="AC406" s="50" t="str">
        <f>IF(AB406="","",SUMIF($B$4:$B$1002,B406,$AB$4:$AB$1000))</f>
        <v/>
      </c>
      <c r="AD406" s="69"/>
      <c r="AE406" s="56"/>
      <c r="AF406" s="52"/>
      <c r="AG406" s="51"/>
      <c r="AH406" s="70"/>
      <c r="AI406" s="58"/>
      <c r="AJ406" s="55"/>
      <c r="AK406" s="51"/>
      <c r="AL406" s="69"/>
      <c r="AM406" s="56"/>
      <c r="AN406" s="52"/>
      <c r="AO406" s="51"/>
      <c r="AP406" s="70"/>
      <c r="AQ406" s="58"/>
      <c r="AR406" s="55"/>
      <c r="AS406" s="51"/>
      <c r="AT406" s="69"/>
      <c r="AU406" s="56"/>
      <c r="AV406" s="52"/>
      <c r="AW406" s="51"/>
      <c r="BR406" s="34" t="str">
        <f>IF(E406="","",CONCATENATE(E406," ",F406," noches"))</f>
        <v/>
      </c>
      <c r="BS406" s="28" t="str">
        <f t="shared" ca="1" si="104"/>
        <v/>
      </c>
      <c r="BT406" s="28" t="str">
        <f t="shared" ca="1" si="105"/>
        <v/>
      </c>
    </row>
    <row r="407" spans="1:72" x14ac:dyDescent="0.2">
      <c r="A407" s="18" t="str" cm="1">
        <f t="array" aca="1" ref="A407" ca="1">IF(B407="","","Grupo N˚"&amp;SUMPRODUCT(($B$4:B407&lt;&gt;"")*($B$4:B407&lt;&gt;OFFSET($B$4,-1,0,ROWS($B$4:B407),1))))</f>
        <v/>
      </c>
      <c r="B407" s="31"/>
      <c r="C407" s="31"/>
      <c r="D407" s="31"/>
      <c r="E407" s="31"/>
      <c r="F407" s="32"/>
      <c r="G407" s="33"/>
      <c r="H407" s="33"/>
      <c r="I407" s="20" t="str">
        <f t="shared" si="94"/>
        <v/>
      </c>
      <c r="J407" s="21" t="str">
        <f>IFERROR(VLOOKUP(BR407,Pricing!$D$3:$E$58,2,FALSE),"")</f>
        <v/>
      </c>
      <c r="K407" s="32"/>
      <c r="L407" s="32"/>
      <c r="M407" s="32"/>
      <c r="N407" s="36" t="str" cm="1">
        <f t="array" ref="N407">IFERROR(_xlfn.IFS((AND(K407="SI",M407="$")),J407*0.2,AND(K407="SI",M407="%"),20),"")</f>
        <v/>
      </c>
      <c r="O407" s="29" t="str">
        <f t="shared" si="95"/>
        <v/>
      </c>
      <c r="P407" s="21" t="str">
        <f t="shared" si="96"/>
        <v/>
      </c>
      <c r="Q407" s="21" t="str">
        <f t="shared" si="97"/>
        <v/>
      </c>
      <c r="R407" s="21" t="str">
        <f t="shared" si="98"/>
        <v/>
      </c>
      <c r="S407" s="39"/>
      <c r="T407" s="43" t="str">
        <f t="shared" si="106"/>
        <v/>
      </c>
      <c r="U407" s="49" t="str">
        <f t="shared" si="107"/>
        <v/>
      </c>
      <c r="V407" s="48" t="str">
        <f t="shared" si="108"/>
        <v/>
      </c>
      <c r="W407" s="48" t="str">
        <f t="shared" si="99"/>
        <v/>
      </c>
      <c r="X407" s="50" t="str">
        <f>IF(W407="","",SUMIF($B$4:$B$1002,B407,$W$4:$W$1000))</f>
        <v/>
      </c>
      <c r="Y407" s="43" t="str">
        <f t="shared" si="100"/>
        <v/>
      </c>
      <c r="Z407" s="49" t="str">
        <f t="shared" si="101"/>
        <v/>
      </c>
      <c r="AA407" s="48" t="str">
        <f t="shared" si="102"/>
        <v/>
      </c>
      <c r="AB407" s="49" t="str">
        <f t="shared" si="103"/>
        <v/>
      </c>
      <c r="AC407" s="50" t="str">
        <f>IF(AB407="","",SUMIF($B$4:$B$1002,B407,$AB$4:$AB$1000))</f>
        <v/>
      </c>
      <c r="AD407" s="69"/>
      <c r="AE407" s="56"/>
      <c r="AF407" s="52"/>
      <c r="AG407" s="51"/>
      <c r="AH407" s="70"/>
      <c r="AI407" s="58"/>
      <c r="AJ407" s="55"/>
      <c r="AK407" s="51"/>
      <c r="AL407" s="69"/>
      <c r="AM407" s="56"/>
      <c r="AN407" s="52"/>
      <c r="AO407" s="51"/>
      <c r="AP407" s="70"/>
      <c r="AQ407" s="58"/>
      <c r="AR407" s="55"/>
      <c r="AS407" s="51"/>
      <c r="AT407" s="69"/>
      <c r="AU407" s="56"/>
      <c r="AV407" s="52"/>
      <c r="AW407" s="51"/>
      <c r="BR407" s="34" t="str">
        <f>IF(E407="","",CONCATENATE(E407," ",F407," noches"))</f>
        <v/>
      </c>
      <c r="BS407" s="28" t="str">
        <f t="shared" ca="1" si="104"/>
        <v/>
      </c>
      <c r="BT407" s="28" t="str">
        <f t="shared" ca="1" si="105"/>
        <v/>
      </c>
    </row>
    <row r="408" spans="1:72" x14ac:dyDescent="0.2">
      <c r="A408" s="18" t="str" cm="1">
        <f t="array" aca="1" ref="A408" ca="1">IF(B408="","","Grupo N˚"&amp;SUMPRODUCT(($B$4:B408&lt;&gt;"")*($B$4:B408&lt;&gt;OFFSET($B$4,-1,0,ROWS($B$4:B408),1))))</f>
        <v/>
      </c>
      <c r="B408" s="31"/>
      <c r="C408" s="31"/>
      <c r="D408" s="31"/>
      <c r="E408" s="31"/>
      <c r="F408" s="32"/>
      <c r="G408" s="33"/>
      <c r="H408" s="33"/>
      <c r="I408" s="20" t="str">
        <f t="shared" si="94"/>
        <v/>
      </c>
      <c r="J408" s="21" t="str">
        <f>IFERROR(VLOOKUP(BR408,Pricing!$D$3:$E$58,2,FALSE),"")</f>
        <v/>
      </c>
      <c r="K408" s="32"/>
      <c r="L408" s="32"/>
      <c r="M408" s="32"/>
      <c r="N408" s="36" t="str" cm="1">
        <f t="array" ref="N408">IFERROR(_xlfn.IFS((AND(K408="SI",M408="$")),J408*0.2,AND(K408="SI",M408="%"),20),"")</f>
        <v/>
      </c>
      <c r="O408" s="29" t="str">
        <f t="shared" si="95"/>
        <v/>
      </c>
      <c r="P408" s="21" t="str">
        <f t="shared" si="96"/>
        <v/>
      </c>
      <c r="Q408" s="21" t="str">
        <f t="shared" si="97"/>
        <v/>
      </c>
      <c r="R408" s="21" t="str">
        <f t="shared" si="98"/>
        <v/>
      </c>
      <c r="S408" s="39"/>
      <c r="T408" s="43" t="str">
        <f t="shared" si="106"/>
        <v/>
      </c>
      <c r="U408" s="49" t="str">
        <f t="shared" si="107"/>
        <v/>
      </c>
      <c r="V408" s="48" t="str">
        <f t="shared" si="108"/>
        <v/>
      </c>
      <c r="W408" s="48" t="str">
        <f t="shared" si="99"/>
        <v/>
      </c>
      <c r="X408" s="50" t="str">
        <f>IF(W408="","",SUMIF($B$4:$B$1002,B408,$W$4:$W$1000))</f>
        <v/>
      </c>
      <c r="Y408" s="43" t="str">
        <f t="shared" si="100"/>
        <v/>
      </c>
      <c r="Z408" s="49" t="str">
        <f t="shared" si="101"/>
        <v/>
      </c>
      <c r="AA408" s="48" t="str">
        <f t="shared" si="102"/>
        <v/>
      </c>
      <c r="AB408" s="49" t="str">
        <f t="shared" si="103"/>
        <v/>
      </c>
      <c r="AC408" s="50" t="str">
        <f>IF(AB408="","",SUMIF($B$4:$B$1002,B408,$AB$4:$AB$1000))</f>
        <v/>
      </c>
      <c r="AD408" s="69"/>
      <c r="AE408" s="56"/>
      <c r="AF408" s="52"/>
      <c r="AG408" s="51"/>
      <c r="AH408" s="70"/>
      <c r="AI408" s="58"/>
      <c r="AJ408" s="55"/>
      <c r="AK408" s="51"/>
      <c r="AL408" s="69"/>
      <c r="AM408" s="56"/>
      <c r="AN408" s="52"/>
      <c r="AO408" s="51"/>
      <c r="AP408" s="70"/>
      <c r="AQ408" s="58"/>
      <c r="AR408" s="55"/>
      <c r="AS408" s="51"/>
      <c r="AT408" s="69"/>
      <c r="AU408" s="56"/>
      <c r="AV408" s="52"/>
      <c r="AW408" s="51"/>
      <c r="BR408" s="34" t="str">
        <f>IF(E408="","",CONCATENATE(E408," ",F408," noches"))</f>
        <v/>
      </c>
      <c r="BS408" s="28" t="str">
        <f t="shared" ca="1" si="104"/>
        <v/>
      </c>
      <c r="BT408" s="28" t="str">
        <f t="shared" ca="1" si="105"/>
        <v/>
      </c>
    </row>
    <row r="409" spans="1:72" x14ac:dyDescent="0.2">
      <c r="A409" s="18" t="str" cm="1">
        <f t="array" aca="1" ref="A409" ca="1">IF(B409="","","Grupo N˚"&amp;SUMPRODUCT(($B$4:B409&lt;&gt;"")*($B$4:B409&lt;&gt;OFFSET($B$4,-1,0,ROWS($B$4:B409),1))))</f>
        <v/>
      </c>
      <c r="B409" s="31"/>
      <c r="C409" s="31"/>
      <c r="D409" s="31"/>
      <c r="E409" s="31"/>
      <c r="F409" s="32"/>
      <c r="G409" s="33"/>
      <c r="H409" s="33"/>
      <c r="I409" s="20" t="str">
        <f t="shared" si="94"/>
        <v/>
      </c>
      <c r="J409" s="21" t="str">
        <f>IFERROR(VLOOKUP(BR409,Pricing!$D$3:$E$58,2,FALSE),"")</f>
        <v/>
      </c>
      <c r="K409" s="32"/>
      <c r="L409" s="32"/>
      <c r="M409" s="32"/>
      <c r="N409" s="36" t="str" cm="1">
        <f t="array" ref="N409">IFERROR(_xlfn.IFS((AND(K409="SI",M409="$")),J409*0.2,AND(K409="SI",M409="%"),20),"")</f>
        <v/>
      </c>
      <c r="O409" s="29" t="str">
        <f t="shared" si="95"/>
        <v/>
      </c>
      <c r="P409" s="21" t="str">
        <f t="shared" si="96"/>
        <v/>
      </c>
      <c r="Q409" s="21" t="str">
        <f t="shared" si="97"/>
        <v/>
      </c>
      <c r="R409" s="21" t="str">
        <f t="shared" si="98"/>
        <v/>
      </c>
      <c r="S409" s="39"/>
      <c r="T409" s="43" t="str">
        <f t="shared" si="106"/>
        <v/>
      </c>
      <c r="U409" s="49" t="str">
        <f t="shared" si="107"/>
        <v/>
      </c>
      <c r="V409" s="48" t="str">
        <f t="shared" si="108"/>
        <v/>
      </c>
      <c r="W409" s="48" t="str">
        <f t="shared" si="99"/>
        <v/>
      </c>
      <c r="X409" s="50" t="str">
        <f>IF(W409="","",SUMIF($B$4:$B$1002,B409,$W$4:$W$1000))</f>
        <v/>
      </c>
      <c r="Y409" s="43" t="str">
        <f t="shared" si="100"/>
        <v/>
      </c>
      <c r="Z409" s="49" t="str">
        <f t="shared" si="101"/>
        <v/>
      </c>
      <c r="AA409" s="48" t="str">
        <f t="shared" si="102"/>
        <v/>
      </c>
      <c r="AB409" s="49" t="str">
        <f t="shared" si="103"/>
        <v/>
      </c>
      <c r="AC409" s="50" t="str">
        <f>IF(AB409="","",SUMIF($B$4:$B$1002,B409,$AB$4:$AB$1000))</f>
        <v/>
      </c>
      <c r="AD409" s="69"/>
      <c r="AE409" s="56"/>
      <c r="AF409" s="52"/>
      <c r="AG409" s="51"/>
      <c r="AH409" s="70"/>
      <c r="AI409" s="58"/>
      <c r="AJ409" s="55"/>
      <c r="AK409" s="51"/>
      <c r="AL409" s="69"/>
      <c r="AM409" s="56"/>
      <c r="AN409" s="52"/>
      <c r="AO409" s="51"/>
      <c r="AP409" s="70"/>
      <c r="AQ409" s="58"/>
      <c r="AR409" s="55"/>
      <c r="AS409" s="51"/>
      <c r="AT409" s="69"/>
      <c r="AU409" s="56"/>
      <c r="AV409" s="52"/>
      <c r="AW409" s="51"/>
      <c r="BR409" s="34" t="str">
        <f>IF(E409="","",CONCATENATE(E409," ",F409," noches"))</f>
        <v/>
      </c>
      <c r="BS409" s="28" t="str">
        <f t="shared" ca="1" si="104"/>
        <v/>
      </c>
      <c r="BT409" s="28" t="str">
        <f t="shared" ca="1" si="105"/>
        <v/>
      </c>
    </row>
    <row r="410" spans="1:72" x14ac:dyDescent="0.2">
      <c r="A410" s="18" t="str" cm="1">
        <f t="array" aca="1" ref="A410" ca="1">IF(B410="","","Grupo N˚"&amp;SUMPRODUCT(($B$4:B410&lt;&gt;"")*($B$4:B410&lt;&gt;OFFSET($B$4,-1,0,ROWS($B$4:B410),1))))</f>
        <v/>
      </c>
      <c r="B410" s="31"/>
      <c r="C410" s="31"/>
      <c r="D410" s="31"/>
      <c r="E410" s="31"/>
      <c r="F410" s="32"/>
      <c r="G410" s="33"/>
      <c r="H410" s="33"/>
      <c r="I410" s="20" t="str">
        <f t="shared" si="94"/>
        <v/>
      </c>
      <c r="J410" s="21" t="str">
        <f>IFERROR(VLOOKUP(BR410,Pricing!$D$3:$E$58,2,FALSE),"")</f>
        <v/>
      </c>
      <c r="K410" s="32"/>
      <c r="L410" s="32"/>
      <c r="M410" s="32"/>
      <c r="N410" s="36" t="str" cm="1">
        <f t="array" ref="N410">IFERROR(_xlfn.IFS((AND(K410="SI",M410="$")),J410*0.2,AND(K410="SI",M410="%"),20),"")</f>
        <v/>
      </c>
      <c r="O410" s="29" t="str">
        <f t="shared" si="95"/>
        <v/>
      </c>
      <c r="P410" s="21" t="str">
        <f t="shared" si="96"/>
        <v/>
      </c>
      <c r="Q410" s="21" t="str">
        <f t="shared" si="97"/>
        <v/>
      </c>
      <c r="R410" s="21" t="str">
        <f t="shared" si="98"/>
        <v/>
      </c>
      <c r="S410" s="39"/>
      <c r="T410" s="43" t="str">
        <f t="shared" si="106"/>
        <v/>
      </c>
      <c r="U410" s="49" t="str">
        <f t="shared" si="107"/>
        <v/>
      </c>
      <c r="V410" s="48" t="str">
        <f t="shared" si="108"/>
        <v/>
      </c>
      <c r="W410" s="48" t="str">
        <f t="shared" si="99"/>
        <v/>
      </c>
      <c r="X410" s="50" t="str">
        <f>IF(W410="","",SUMIF($B$4:$B$1002,B410,$W$4:$W$1000))</f>
        <v/>
      </c>
      <c r="Y410" s="43" t="str">
        <f t="shared" si="100"/>
        <v/>
      </c>
      <c r="Z410" s="49" t="str">
        <f t="shared" si="101"/>
        <v/>
      </c>
      <c r="AA410" s="48" t="str">
        <f t="shared" si="102"/>
        <v/>
      </c>
      <c r="AB410" s="49" t="str">
        <f t="shared" si="103"/>
        <v/>
      </c>
      <c r="AC410" s="50" t="str">
        <f>IF(AB410="","",SUMIF($B$4:$B$1002,B410,$AB$4:$AB$1000))</f>
        <v/>
      </c>
      <c r="AD410" s="69"/>
      <c r="AE410" s="56"/>
      <c r="AF410" s="52"/>
      <c r="AG410" s="51"/>
      <c r="AH410" s="70"/>
      <c r="AI410" s="58"/>
      <c r="AJ410" s="55"/>
      <c r="AK410" s="51"/>
      <c r="AL410" s="69"/>
      <c r="AM410" s="56"/>
      <c r="AN410" s="52"/>
      <c r="AO410" s="51"/>
      <c r="AP410" s="70"/>
      <c r="AQ410" s="58"/>
      <c r="AR410" s="55"/>
      <c r="AS410" s="51"/>
      <c r="AT410" s="69"/>
      <c r="AU410" s="56"/>
      <c r="AV410" s="52"/>
      <c r="AW410" s="51"/>
      <c r="BR410" s="34" t="str">
        <f>IF(E410="","",CONCATENATE(E410," ",F410," noches"))</f>
        <v/>
      </c>
      <c r="BS410" s="28" t="str">
        <f t="shared" ca="1" si="104"/>
        <v/>
      </c>
      <c r="BT410" s="28" t="str">
        <f t="shared" ca="1" si="105"/>
        <v/>
      </c>
    </row>
    <row r="411" spans="1:72" x14ac:dyDescent="0.2">
      <c r="A411" s="18" t="str" cm="1">
        <f t="array" aca="1" ref="A411" ca="1">IF(B411="","","Grupo N˚"&amp;SUMPRODUCT(($B$4:B411&lt;&gt;"")*($B$4:B411&lt;&gt;OFFSET($B$4,-1,0,ROWS($B$4:B411),1))))</f>
        <v/>
      </c>
      <c r="B411" s="31"/>
      <c r="C411" s="31"/>
      <c r="D411" s="31"/>
      <c r="E411" s="31"/>
      <c r="F411" s="32"/>
      <c r="G411" s="33"/>
      <c r="H411" s="33"/>
      <c r="I411" s="20" t="str">
        <f t="shared" si="94"/>
        <v/>
      </c>
      <c r="J411" s="21" t="str">
        <f>IFERROR(VLOOKUP(BR411,Pricing!$D$3:$E$58,2,FALSE),"")</f>
        <v/>
      </c>
      <c r="K411" s="32"/>
      <c r="L411" s="32"/>
      <c r="M411" s="32"/>
      <c r="N411" s="36" t="str" cm="1">
        <f t="array" ref="N411">IFERROR(_xlfn.IFS((AND(K411="SI",M411="$")),J411*0.2,AND(K411="SI",M411="%"),20),"")</f>
        <v/>
      </c>
      <c r="O411" s="29" t="str">
        <f t="shared" si="95"/>
        <v/>
      </c>
      <c r="P411" s="21" t="str">
        <f t="shared" si="96"/>
        <v/>
      </c>
      <c r="Q411" s="21" t="str">
        <f t="shared" si="97"/>
        <v/>
      </c>
      <c r="R411" s="21" t="str">
        <f t="shared" si="98"/>
        <v/>
      </c>
      <c r="S411" s="39"/>
      <c r="T411" s="43" t="str">
        <f t="shared" si="106"/>
        <v/>
      </c>
      <c r="U411" s="49" t="str">
        <f t="shared" si="107"/>
        <v/>
      </c>
      <c r="V411" s="48" t="str">
        <f t="shared" si="108"/>
        <v/>
      </c>
      <c r="W411" s="48" t="str">
        <f t="shared" si="99"/>
        <v/>
      </c>
      <c r="X411" s="50" t="str">
        <f>IF(W411="","",SUMIF($B$4:$B$1002,B411,$W$4:$W$1000))</f>
        <v/>
      </c>
      <c r="Y411" s="43" t="str">
        <f t="shared" si="100"/>
        <v/>
      </c>
      <c r="Z411" s="49" t="str">
        <f t="shared" si="101"/>
        <v/>
      </c>
      <c r="AA411" s="48" t="str">
        <f t="shared" si="102"/>
        <v/>
      </c>
      <c r="AB411" s="49" t="str">
        <f t="shared" si="103"/>
        <v/>
      </c>
      <c r="AC411" s="50" t="str">
        <f>IF(AB411="","",SUMIF($B$4:$B$1002,B411,$AB$4:$AB$1000))</f>
        <v/>
      </c>
      <c r="AD411" s="69"/>
      <c r="AE411" s="56"/>
      <c r="AF411" s="52"/>
      <c r="AG411" s="51"/>
      <c r="AH411" s="70"/>
      <c r="AI411" s="58"/>
      <c r="AJ411" s="55"/>
      <c r="AK411" s="51"/>
      <c r="AL411" s="69"/>
      <c r="AM411" s="56"/>
      <c r="AN411" s="52"/>
      <c r="AO411" s="51"/>
      <c r="AP411" s="70"/>
      <c r="AQ411" s="58"/>
      <c r="AR411" s="55"/>
      <c r="AS411" s="51"/>
      <c r="AT411" s="69"/>
      <c r="AU411" s="56"/>
      <c r="AV411" s="52"/>
      <c r="AW411" s="51"/>
      <c r="BR411" s="34" t="str">
        <f>IF(E411="","",CONCATENATE(E411," ",F411," noches"))</f>
        <v/>
      </c>
      <c r="BS411" s="28" t="str">
        <f t="shared" ca="1" si="104"/>
        <v/>
      </c>
      <c r="BT411" s="28" t="str">
        <f t="shared" ca="1" si="105"/>
        <v/>
      </c>
    </row>
    <row r="412" spans="1:72" x14ac:dyDescent="0.2">
      <c r="A412" s="18" t="str" cm="1">
        <f t="array" aca="1" ref="A412" ca="1">IF(B412="","","Grupo N˚"&amp;SUMPRODUCT(($B$4:B412&lt;&gt;"")*($B$4:B412&lt;&gt;OFFSET($B$4,-1,0,ROWS($B$4:B412),1))))</f>
        <v/>
      </c>
      <c r="B412" s="31"/>
      <c r="C412" s="31"/>
      <c r="D412" s="31"/>
      <c r="E412" s="31"/>
      <c r="F412" s="32"/>
      <c r="G412" s="33"/>
      <c r="H412" s="33"/>
      <c r="I412" s="20" t="str">
        <f t="shared" si="94"/>
        <v/>
      </c>
      <c r="J412" s="21" t="str">
        <f>IFERROR(VLOOKUP(BR412,Pricing!$D$3:$E$58,2,FALSE),"")</f>
        <v/>
      </c>
      <c r="K412" s="32"/>
      <c r="L412" s="32"/>
      <c r="M412" s="32"/>
      <c r="N412" s="36" t="str" cm="1">
        <f t="array" ref="N412">IFERROR(_xlfn.IFS((AND(K412="SI",M412="$")),J412*0.2,AND(K412="SI",M412="%"),20),"")</f>
        <v/>
      </c>
      <c r="O412" s="29" t="str">
        <f t="shared" si="95"/>
        <v/>
      </c>
      <c r="P412" s="21" t="str">
        <f t="shared" si="96"/>
        <v/>
      </c>
      <c r="Q412" s="21" t="str">
        <f t="shared" si="97"/>
        <v/>
      </c>
      <c r="R412" s="21" t="str">
        <f t="shared" si="98"/>
        <v/>
      </c>
      <c r="S412" s="39"/>
      <c r="T412" s="43" t="str">
        <f t="shared" si="106"/>
        <v/>
      </c>
      <c r="U412" s="49" t="str">
        <f t="shared" si="107"/>
        <v/>
      </c>
      <c r="V412" s="48" t="str">
        <f t="shared" si="108"/>
        <v/>
      </c>
      <c r="W412" s="48" t="str">
        <f t="shared" si="99"/>
        <v/>
      </c>
      <c r="X412" s="50" t="str">
        <f>IF(W412="","",SUMIF($B$4:$B$1002,B412,$W$4:$W$1000))</f>
        <v/>
      </c>
      <c r="Y412" s="43" t="str">
        <f t="shared" si="100"/>
        <v/>
      </c>
      <c r="Z412" s="49" t="str">
        <f t="shared" si="101"/>
        <v/>
      </c>
      <c r="AA412" s="48" t="str">
        <f t="shared" si="102"/>
        <v/>
      </c>
      <c r="AB412" s="49" t="str">
        <f t="shared" si="103"/>
        <v/>
      </c>
      <c r="AC412" s="50" t="str">
        <f>IF(AB412="","",SUMIF($B$4:$B$1002,B412,$AB$4:$AB$1000))</f>
        <v/>
      </c>
      <c r="AD412" s="69"/>
      <c r="AE412" s="56"/>
      <c r="AF412" s="52"/>
      <c r="AG412" s="51"/>
      <c r="AH412" s="70"/>
      <c r="AI412" s="58"/>
      <c r="AJ412" s="55"/>
      <c r="AK412" s="51"/>
      <c r="AL412" s="69"/>
      <c r="AM412" s="56"/>
      <c r="AN412" s="52"/>
      <c r="AO412" s="51"/>
      <c r="AP412" s="70"/>
      <c r="AQ412" s="58"/>
      <c r="AR412" s="55"/>
      <c r="AS412" s="51"/>
      <c r="AT412" s="69"/>
      <c r="AU412" s="56"/>
      <c r="AV412" s="52"/>
      <c r="AW412" s="51"/>
      <c r="BR412" s="34" t="str">
        <f>IF(E412="","",CONCATENATE(E412," ",F412," noches"))</f>
        <v/>
      </c>
      <c r="BS412" s="28" t="str">
        <f t="shared" ca="1" si="104"/>
        <v/>
      </c>
      <c r="BT412" s="28" t="str">
        <f t="shared" ca="1" si="105"/>
        <v/>
      </c>
    </row>
    <row r="413" spans="1:72" x14ac:dyDescent="0.2">
      <c r="A413" s="18" t="str" cm="1">
        <f t="array" aca="1" ref="A413" ca="1">IF(B413="","","Grupo N˚"&amp;SUMPRODUCT(($B$4:B413&lt;&gt;"")*($B$4:B413&lt;&gt;OFFSET($B$4,-1,0,ROWS($B$4:B413),1))))</f>
        <v/>
      </c>
      <c r="B413" s="31"/>
      <c r="C413" s="31"/>
      <c r="D413" s="31"/>
      <c r="E413" s="31"/>
      <c r="F413" s="32"/>
      <c r="G413" s="33"/>
      <c r="H413" s="33"/>
      <c r="I413" s="20" t="str">
        <f t="shared" si="94"/>
        <v/>
      </c>
      <c r="J413" s="21" t="str">
        <f>IFERROR(VLOOKUP(BR413,Pricing!$D$3:$E$58,2,FALSE),"")</f>
        <v/>
      </c>
      <c r="K413" s="32"/>
      <c r="L413" s="32"/>
      <c r="M413" s="32"/>
      <c r="N413" s="36" t="str" cm="1">
        <f t="array" ref="N413">IFERROR(_xlfn.IFS((AND(K413="SI",M413="$")),J413*0.2,AND(K413="SI",M413="%"),20),"")</f>
        <v/>
      </c>
      <c r="O413" s="29" t="str">
        <f t="shared" si="95"/>
        <v/>
      </c>
      <c r="P413" s="21" t="str">
        <f t="shared" si="96"/>
        <v/>
      </c>
      <c r="Q413" s="21" t="str">
        <f t="shared" si="97"/>
        <v/>
      </c>
      <c r="R413" s="21" t="str">
        <f t="shared" si="98"/>
        <v/>
      </c>
      <c r="S413" s="39"/>
      <c r="T413" s="43" t="str">
        <f t="shared" si="106"/>
        <v/>
      </c>
      <c r="U413" s="49" t="str">
        <f t="shared" si="107"/>
        <v/>
      </c>
      <c r="V413" s="48" t="str">
        <f t="shared" si="108"/>
        <v/>
      </c>
      <c r="W413" s="48" t="str">
        <f t="shared" si="99"/>
        <v/>
      </c>
      <c r="X413" s="50" t="str">
        <f>IF(W413="","",SUMIF($B$4:$B$1002,B413,$W$4:$W$1000))</f>
        <v/>
      </c>
      <c r="Y413" s="43" t="str">
        <f t="shared" si="100"/>
        <v/>
      </c>
      <c r="Z413" s="49" t="str">
        <f t="shared" si="101"/>
        <v/>
      </c>
      <c r="AA413" s="48" t="str">
        <f t="shared" si="102"/>
        <v/>
      </c>
      <c r="AB413" s="49" t="str">
        <f t="shared" si="103"/>
        <v/>
      </c>
      <c r="AC413" s="50" t="str">
        <f>IF(AB413="","",SUMIF($B$4:$B$1002,B413,$AB$4:$AB$1000))</f>
        <v/>
      </c>
      <c r="AD413" s="69"/>
      <c r="AE413" s="56"/>
      <c r="AF413" s="52"/>
      <c r="AG413" s="51"/>
      <c r="AH413" s="70"/>
      <c r="AI413" s="58"/>
      <c r="AJ413" s="55"/>
      <c r="AK413" s="51"/>
      <c r="AL413" s="69"/>
      <c r="AM413" s="56"/>
      <c r="AN413" s="52"/>
      <c r="AO413" s="51"/>
      <c r="AP413" s="70"/>
      <c r="AQ413" s="58"/>
      <c r="AR413" s="55"/>
      <c r="AS413" s="51"/>
      <c r="AT413" s="69"/>
      <c r="AU413" s="56"/>
      <c r="AV413" s="52"/>
      <c r="AW413" s="51"/>
      <c r="BR413" s="34" t="str">
        <f>IF(E413="","",CONCATENATE(E413," ",F413," noches"))</f>
        <v/>
      </c>
      <c r="BS413" s="28" t="str">
        <f t="shared" ca="1" si="104"/>
        <v/>
      </c>
      <c r="BT413" s="28" t="str">
        <f t="shared" ca="1" si="105"/>
        <v/>
      </c>
    </row>
    <row r="414" spans="1:72" x14ac:dyDescent="0.2">
      <c r="A414" s="18" t="str" cm="1">
        <f t="array" aca="1" ref="A414" ca="1">IF(B414="","","Grupo N˚"&amp;SUMPRODUCT(($B$4:B414&lt;&gt;"")*($B$4:B414&lt;&gt;OFFSET($B$4,-1,0,ROWS($B$4:B414),1))))</f>
        <v/>
      </c>
      <c r="B414" s="31"/>
      <c r="C414" s="31"/>
      <c r="D414" s="31"/>
      <c r="E414" s="31"/>
      <c r="F414" s="32"/>
      <c r="G414" s="33"/>
      <c r="H414" s="33"/>
      <c r="I414" s="20" t="str">
        <f t="shared" si="94"/>
        <v/>
      </c>
      <c r="J414" s="21" t="str">
        <f>IFERROR(VLOOKUP(BR414,Pricing!$D$3:$E$58,2,FALSE),"")</f>
        <v/>
      </c>
      <c r="K414" s="32"/>
      <c r="L414" s="32"/>
      <c r="M414" s="32"/>
      <c r="N414" s="36" t="str" cm="1">
        <f t="array" ref="N414">IFERROR(_xlfn.IFS((AND(K414="SI",M414="$")),J414*0.2,AND(K414="SI",M414="%"),20),"")</f>
        <v/>
      </c>
      <c r="O414" s="29" t="str">
        <f t="shared" si="95"/>
        <v/>
      </c>
      <c r="P414" s="21" t="str">
        <f t="shared" si="96"/>
        <v/>
      </c>
      <c r="Q414" s="21" t="str">
        <f t="shared" si="97"/>
        <v/>
      </c>
      <c r="R414" s="21" t="str">
        <f t="shared" si="98"/>
        <v/>
      </c>
      <c r="S414" s="39"/>
      <c r="T414" s="43" t="str">
        <f t="shared" si="106"/>
        <v/>
      </c>
      <c r="U414" s="49" t="str">
        <f t="shared" si="107"/>
        <v/>
      </c>
      <c r="V414" s="48" t="str">
        <f t="shared" si="108"/>
        <v/>
      </c>
      <c r="W414" s="48" t="str">
        <f t="shared" si="99"/>
        <v/>
      </c>
      <c r="X414" s="50" t="str">
        <f>IF(W414="","",SUMIF($B$4:$B$1002,B414,$W$4:$W$1000))</f>
        <v/>
      </c>
      <c r="Y414" s="43" t="str">
        <f t="shared" si="100"/>
        <v/>
      </c>
      <c r="Z414" s="49" t="str">
        <f t="shared" si="101"/>
        <v/>
      </c>
      <c r="AA414" s="48" t="str">
        <f t="shared" si="102"/>
        <v/>
      </c>
      <c r="AB414" s="49" t="str">
        <f t="shared" si="103"/>
        <v/>
      </c>
      <c r="AC414" s="50" t="str">
        <f>IF(AB414="","",SUMIF($B$4:$B$1002,B414,$AB$4:$AB$1000))</f>
        <v/>
      </c>
      <c r="AD414" s="69"/>
      <c r="AE414" s="56"/>
      <c r="AF414" s="52"/>
      <c r="AG414" s="51"/>
      <c r="AH414" s="70"/>
      <c r="AI414" s="58"/>
      <c r="AJ414" s="55"/>
      <c r="AK414" s="51"/>
      <c r="AL414" s="69"/>
      <c r="AM414" s="56"/>
      <c r="AN414" s="52"/>
      <c r="AO414" s="51"/>
      <c r="AP414" s="70"/>
      <c r="AQ414" s="58"/>
      <c r="AR414" s="55"/>
      <c r="AS414" s="51"/>
      <c r="AT414" s="69"/>
      <c r="AU414" s="56"/>
      <c r="AV414" s="52"/>
      <c r="AW414" s="51"/>
      <c r="BR414" s="34" t="str">
        <f>IF(E414="","",CONCATENATE(E414," ",F414," noches"))</f>
        <v/>
      </c>
      <c r="BS414" s="28" t="str">
        <f t="shared" ca="1" si="104"/>
        <v/>
      </c>
      <c r="BT414" s="28" t="str">
        <f t="shared" ca="1" si="105"/>
        <v/>
      </c>
    </row>
    <row r="415" spans="1:72" x14ac:dyDescent="0.2">
      <c r="A415" s="18" t="str" cm="1">
        <f t="array" aca="1" ref="A415" ca="1">IF(B415="","","Grupo N˚"&amp;SUMPRODUCT(($B$4:B415&lt;&gt;"")*($B$4:B415&lt;&gt;OFFSET($B$4,-1,0,ROWS($B$4:B415),1))))</f>
        <v/>
      </c>
      <c r="B415" s="31"/>
      <c r="C415" s="31"/>
      <c r="D415" s="31"/>
      <c r="E415" s="31"/>
      <c r="F415" s="32"/>
      <c r="G415" s="33"/>
      <c r="H415" s="33"/>
      <c r="I415" s="20" t="str">
        <f t="shared" si="94"/>
        <v/>
      </c>
      <c r="J415" s="21" t="str">
        <f>IFERROR(VLOOKUP(BR415,Pricing!$D$3:$E$58,2,FALSE),"")</f>
        <v/>
      </c>
      <c r="K415" s="32"/>
      <c r="L415" s="32"/>
      <c r="M415" s="32"/>
      <c r="N415" s="36" t="str" cm="1">
        <f t="array" ref="N415">IFERROR(_xlfn.IFS((AND(K415="SI",M415="$")),J415*0.2,AND(K415="SI",M415="%"),20),"")</f>
        <v/>
      </c>
      <c r="O415" s="29" t="str">
        <f t="shared" si="95"/>
        <v/>
      </c>
      <c r="P415" s="21" t="str">
        <f t="shared" si="96"/>
        <v/>
      </c>
      <c r="Q415" s="21" t="str">
        <f t="shared" si="97"/>
        <v/>
      </c>
      <c r="R415" s="21" t="str">
        <f t="shared" si="98"/>
        <v/>
      </c>
      <c r="S415" s="39"/>
      <c r="T415" s="43" t="str">
        <f t="shared" si="106"/>
        <v/>
      </c>
      <c r="U415" s="49" t="str">
        <f t="shared" si="107"/>
        <v/>
      </c>
      <c r="V415" s="48" t="str">
        <f t="shared" si="108"/>
        <v/>
      </c>
      <c r="W415" s="48" t="str">
        <f t="shared" si="99"/>
        <v/>
      </c>
      <c r="X415" s="50" t="str">
        <f>IF(W415="","",SUMIF($B$4:$B$1002,B415,$W$4:$W$1000))</f>
        <v/>
      </c>
      <c r="Y415" s="43" t="str">
        <f t="shared" si="100"/>
        <v/>
      </c>
      <c r="Z415" s="49" t="str">
        <f t="shared" si="101"/>
        <v/>
      </c>
      <c r="AA415" s="48" t="str">
        <f t="shared" si="102"/>
        <v/>
      </c>
      <c r="AB415" s="49" t="str">
        <f t="shared" si="103"/>
        <v/>
      </c>
      <c r="AC415" s="50" t="str">
        <f>IF(AB415="","",SUMIF($B$4:$B$1002,B415,$AB$4:$AB$1000))</f>
        <v/>
      </c>
      <c r="AD415" s="69"/>
      <c r="AE415" s="56"/>
      <c r="AF415" s="52"/>
      <c r="AG415" s="51"/>
      <c r="AH415" s="70"/>
      <c r="AI415" s="58"/>
      <c r="AJ415" s="55"/>
      <c r="AK415" s="51"/>
      <c r="AL415" s="69"/>
      <c r="AM415" s="56"/>
      <c r="AN415" s="52"/>
      <c r="AO415" s="51"/>
      <c r="AP415" s="70"/>
      <c r="AQ415" s="58"/>
      <c r="AR415" s="55"/>
      <c r="AS415" s="51"/>
      <c r="AT415" s="69"/>
      <c r="AU415" s="56"/>
      <c r="AV415" s="52"/>
      <c r="AW415" s="51"/>
      <c r="BR415" s="34" t="str">
        <f>IF(E415="","",CONCATENATE(E415," ",F415," noches"))</f>
        <v/>
      </c>
      <c r="BS415" s="28" t="str">
        <f t="shared" ca="1" si="104"/>
        <v/>
      </c>
      <c r="BT415" s="28" t="str">
        <f t="shared" ca="1" si="105"/>
        <v/>
      </c>
    </row>
    <row r="416" spans="1:72" x14ac:dyDescent="0.2">
      <c r="A416" s="18" t="str" cm="1">
        <f t="array" aca="1" ref="A416" ca="1">IF(B416="","","Grupo N˚"&amp;SUMPRODUCT(($B$4:B416&lt;&gt;"")*($B$4:B416&lt;&gt;OFFSET($B$4,-1,0,ROWS($B$4:B416),1))))</f>
        <v/>
      </c>
      <c r="B416" s="31"/>
      <c r="C416" s="31"/>
      <c r="D416" s="31"/>
      <c r="E416" s="31"/>
      <c r="F416" s="32"/>
      <c r="G416" s="33"/>
      <c r="H416" s="33"/>
      <c r="I416" s="20" t="str">
        <f t="shared" si="94"/>
        <v/>
      </c>
      <c r="J416" s="21" t="str">
        <f>IFERROR(VLOOKUP(BR416,Pricing!$D$3:$E$58,2,FALSE),"")</f>
        <v/>
      </c>
      <c r="K416" s="32"/>
      <c r="L416" s="32"/>
      <c r="M416" s="32"/>
      <c r="N416" s="36" t="str" cm="1">
        <f t="array" ref="N416">IFERROR(_xlfn.IFS((AND(K416="SI",M416="$")),J416*0.2,AND(K416="SI",M416="%"),20),"")</f>
        <v/>
      </c>
      <c r="O416" s="29" t="str">
        <f t="shared" si="95"/>
        <v/>
      </c>
      <c r="P416" s="21" t="str">
        <f t="shared" si="96"/>
        <v/>
      </c>
      <c r="Q416" s="21" t="str">
        <f t="shared" si="97"/>
        <v/>
      </c>
      <c r="R416" s="21" t="str">
        <f t="shared" si="98"/>
        <v/>
      </c>
      <c r="S416" s="39"/>
      <c r="T416" s="43" t="str">
        <f t="shared" si="106"/>
        <v/>
      </c>
      <c r="U416" s="49" t="str">
        <f t="shared" si="107"/>
        <v/>
      </c>
      <c r="V416" s="48" t="str">
        <f t="shared" si="108"/>
        <v/>
      </c>
      <c r="W416" s="48" t="str">
        <f t="shared" si="99"/>
        <v/>
      </c>
      <c r="X416" s="50" t="str">
        <f>IF(W416="","",SUMIF($B$4:$B$1002,B416,$W$4:$W$1000))</f>
        <v/>
      </c>
      <c r="Y416" s="43" t="str">
        <f t="shared" si="100"/>
        <v/>
      </c>
      <c r="Z416" s="49" t="str">
        <f t="shared" si="101"/>
        <v/>
      </c>
      <c r="AA416" s="48" t="str">
        <f t="shared" si="102"/>
        <v/>
      </c>
      <c r="AB416" s="49" t="str">
        <f t="shared" si="103"/>
        <v/>
      </c>
      <c r="AC416" s="50" t="str">
        <f>IF(AB416="","",SUMIF($B$4:$B$1002,B416,$AB$4:$AB$1000))</f>
        <v/>
      </c>
      <c r="AD416" s="69"/>
      <c r="AE416" s="56"/>
      <c r="AF416" s="52"/>
      <c r="AG416" s="51"/>
      <c r="AH416" s="70"/>
      <c r="AI416" s="58"/>
      <c r="AJ416" s="55"/>
      <c r="AK416" s="51"/>
      <c r="AL416" s="69"/>
      <c r="AM416" s="56"/>
      <c r="AN416" s="52"/>
      <c r="AO416" s="51"/>
      <c r="AP416" s="70"/>
      <c r="AQ416" s="58"/>
      <c r="AR416" s="55"/>
      <c r="AS416" s="51"/>
      <c r="AT416" s="69"/>
      <c r="AU416" s="56"/>
      <c r="AV416" s="52"/>
      <c r="AW416" s="51"/>
      <c r="BR416" s="34" t="str">
        <f>IF(E416="","",CONCATENATE(E416," ",F416," noches"))</f>
        <v/>
      </c>
      <c r="BS416" s="28" t="str">
        <f t="shared" ca="1" si="104"/>
        <v/>
      </c>
      <c r="BT416" s="28" t="str">
        <f t="shared" ca="1" si="105"/>
        <v/>
      </c>
    </row>
    <row r="417" spans="1:72" x14ac:dyDescent="0.2">
      <c r="A417" s="18" t="str" cm="1">
        <f t="array" aca="1" ref="A417" ca="1">IF(B417="","","Grupo N˚"&amp;SUMPRODUCT(($B$4:B417&lt;&gt;"")*($B$4:B417&lt;&gt;OFFSET($B$4,-1,0,ROWS($B$4:B417),1))))</f>
        <v/>
      </c>
      <c r="B417" s="31"/>
      <c r="C417" s="31"/>
      <c r="D417" s="31"/>
      <c r="E417" s="31"/>
      <c r="F417" s="32"/>
      <c r="G417" s="33"/>
      <c r="H417" s="33"/>
      <c r="I417" s="20" t="str">
        <f t="shared" si="94"/>
        <v/>
      </c>
      <c r="J417" s="21" t="str">
        <f>IFERROR(VLOOKUP(BR417,Pricing!$D$3:$E$58,2,FALSE),"")</f>
        <v/>
      </c>
      <c r="K417" s="32"/>
      <c r="L417" s="32"/>
      <c r="M417" s="32"/>
      <c r="N417" s="36" t="str" cm="1">
        <f t="array" ref="N417">IFERROR(_xlfn.IFS((AND(K417="SI",M417="$")),J417*0.2,AND(K417="SI",M417="%"),20),"")</f>
        <v/>
      </c>
      <c r="O417" s="29" t="str">
        <f t="shared" si="95"/>
        <v/>
      </c>
      <c r="P417" s="21" t="str">
        <f t="shared" si="96"/>
        <v/>
      </c>
      <c r="Q417" s="21" t="str">
        <f t="shared" si="97"/>
        <v/>
      </c>
      <c r="R417" s="21" t="str">
        <f t="shared" si="98"/>
        <v/>
      </c>
      <c r="S417" s="39"/>
      <c r="T417" s="43" t="str">
        <f t="shared" si="106"/>
        <v/>
      </c>
      <c r="U417" s="49" t="str">
        <f t="shared" si="107"/>
        <v/>
      </c>
      <c r="V417" s="48" t="str">
        <f t="shared" si="108"/>
        <v/>
      </c>
      <c r="W417" s="48" t="str">
        <f t="shared" si="99"/>
        <v/>
      </c>
      <c r="X417" s="50" t="str">
        <f>IF(W417="","",SUMIF($B$4:$B$1002,B417,$W$4:$W$1000))</f>
        <v/>
      </c>
      <c r="Y417" s="43" t="str">
        <f t="shared" si="100"/>
        <v/>
      </c>
      <c r="Z417" s="49" t="str">
        <f t="shared" si="101"/>
        <v/>
      </c>
      <c r="AA417" s="48" t="str">
        <f t="shared" si="102"/>
        <v/>
      </c>
      <c r="AB417" s="49" t="str">
        <f t="shared" si="103"/>
        <v/>
      </c>
      <c r="AC417" s="50" t="str">
        <f>IF(AB417="","",SUMIF($B$4:$B$1002,B417,$AB$4:$AB$1000))</f>
        <v/>
      </c>
      <c r="AD417" s="69"/>
      <c r="AE417" s="56"/>
      <c r="AF417" s="52"/>
      <c r="AG417" s="51"/>
      <c r="AH417" s="70"/>
      <c r="AI417" s="58"/>
      <c r="AJ417" s="55"/>
      <c r="AK417" s="51"/>
      <c r="AL417" s="69"/>
      <c r="AM417" s="56"/>
      <c r="AN417" s="52"/>
      <c r="AO417" s="51"/>
      <c r="AP417" s="70"/>
      <c r="AQ417" s="58"/>
      <c r="AR417" s="55"/>
      <c r="AS417" s="51"/>
      <c r="AT417" s="69"/>
      <c r="AU417" s="56"/>
      <c r="AV417" s="52"/>
      <c r="AW417" s="51"/>
      <c r="BR417" s="34" t="str">
        <f>IF(E417="","",CONCATENATE(E417," ",F417," noches"))</f>
        <v/>
      </c>
      <c r="BS417" s="28" t="str">
        <f t="shared" ca="1" si="104"/>
        <v/>
      </c>
      <c r="BT417" s="28" t="str">
        <f t="shared" ca="1" si="105"/>
        <v/>
      </c>
    </row>
    <row r="418" spans="1:72" x14ac:dyDescent="0.2">
      <c r="A418" s="18" t="str" cm="1">
        <f t="array" aca="1" ref="A418" ca="1">IF(B418="","","Grupo N˚"&amp;SUMPRODUCT(($B$4:B418&lt;&gt;"")*($B$4:B418&lt;&gt;OFFSET($B$4,-1,0,ROWS($B$4:B418),1))))</f>
        <v/>
      </c>
      <c r="B418" s="31"/>
      <c r="C418" s="31"/>
      <c r="D418" s="31"/>
      <c r="E418" s="31"/>
      <c r="F418" s="32"/>
      <c r="G418" s="33"/>
      <c r="H418" s="33"/>
      <c r="I418" s="20" t="str">
        <f t="shared" si="94"/>
        <v/>
      </c>
      <c r="J418" s="21" t="str">
        <f>IFERROR(VLOOKUP(BR418,Pricing!$D$3:$E$58,2,FALSE),"")</f>
        <v/>
      </c>
      <c r="K418" s="32"/>
      <c r="L418" s="32"/>
      <c r="M418" s="32"/>
      <c r="N418" s="36" t="str" cm="1">
        <f t="array" ref="N418">IFERROR(_xlfn.IFS((AND(K418="SI",M418="$")),J418*0.2,AND(K418="SI",M418="%"),20),"")</f>
        <v/>
      </c>
      <c r="O418" s="29" t="str">
        <f t="shared" si="95"/>
        <v/>
      </c>
      <c r="P418" s="21" t="str">
        <f t="shared" si="96"/>
        <v/>
      </c>
      <c r="Q418" s="21" t="str">
        <f t="shared" si="97"/>
        <v/>
      </c>
      <c r="R418" s="21" t="str">
        <f t="shared" si="98"/>
        <v/>
      </c>
      <c r="S418" s="39"/>
      <c r="T418" s="43" t="str">
        <f t="shared" si="106"/>
        <v/>
      </c>
      <c r="U418" s="49" t="str">
        <f t="shared" si="107"/>
        <v/>
      </c>
      <c r="V418" s="48" t="str">
        <f t="shared" si="108"/>
        <v/>
      </c>
      <c r="W418" s="48" t="str">
        <f t="shared" si="99"/>
        <v/>
      </c>
      <c r="X418" s="50" t="str">
        <f>IF(W418="","",SUMIF($B$4:$B$1002,B418,$W$4:$W$1000))</f>
        <v/>
      </c>
      <c r="Y418" s="43" t="str">
        <f t="shared" si="100"/>
        <v/>
      </c>
      <c r="Z418" s="49" t="str">
        <f t="shared" si="101"/>
        <v/>
      </c>
      <c r="AA418" s="48" t="str">
        <f t="shared" si="102"/>
        <v/>
      </c>
      <c r="AB418" s="49" t="str">
        <f t="shared" si="103"/>
        <v/>
      </c>
      <c r="AC418" s="50" t="str">
        <f>IF(AB418="","",SUMIF($B$4:$B$1002,B418,$AB$4:$AB$1000))</f>
        <v/>
      </c>
      <c r="AD418" s="69"/>
      <c r="AE418" s="56"/>
      <c r="AF418" s="52"/>
      <c r="AG418" s="51"/>
      <c r="AH418" s="70"/>
      <c r="AI418" s="58"/>
      <c r="AJ418" s="55"/>
      <c r="AK418" s="51"/>
      <c r="AL418" s="69"/>
      <c r="AM418" s="56"/>
      <c r="AN418" s="52"/>
      <c r="AO418" s="51"/>
      <c r="AP418" s="70"/>
      <c r="AQ418" s="58"/>
      <c r="AR418" s="55"/>
      <c r="AS418" s="51"/>
      <c r="AT418" s="69"/>
      <c r="AU418" s="56"/>
      <c r="AV418" s="52"/>
      <c r="AW418" s="51"/>
      <c r="BR418" s="34" t="str">
        <f>IF(E418="","",CONCATENATE(E418," ",F418," noches"))</f>
        <v/>
      </c>
      <c r="BS418" s="28" t="str">
        <f t="shared" ca="1" si="104"/>
        <v/>
      </c>
      <c r="BT418" s="28" t="str">
        <f t="shared" ca="1" si="105"/>
        <v/>
      </c>
    </row>
    <row r="419" spans="1:72" x14ac:dyDescent="0.2">
      <c r="A419" s="18" t="str" cm="1">
        <f t="array" aca="1" ref="A419" ca="1">IF(B419="","","Grupo N˚"&amp;SUMPRODUCT(($B$4:B419&lt;&gt;"")*($B$4:B419&lt;&gt;OFFSET($B$4,-1,0,ROWS($B$4:B419),1))))</f>
        <v/>
      </c>
      <c r="B419" s="31"/>
      <c r="C419" s="31"/>
      <c r="D419" s="31"/>
      <c r="E419" s="31"/>
      <c r="F419" s="32"/>
      <c r="G419" s="33"/>
      <c r="H419" s="33"/>
      <c r="I419" s="20" t="str">
        <f t="shared" si="94"/>
        <v/>
      </c>
      <c r="J419" s="21" t="str">
        <f>IFERROR(VLOOKUP(BR419,Pricing!$D$3:$E$58,2,FALSE),"")</f>
        <v/>
      </c>
      <c r="K419" s="32"/>
      <c r="L419" s="32"/>
      <c r="M419" s="32"/>
      <c r="N419" s="36" t="str" cm="1">
        <f t="array" ref="N419">IFERROR(_xlfn.IFS((AND(K419="SI",M419="$")),J419*0.2,AND(K419="SI",M419="%"),20),"")</f>
        <v/>
      </c>
      <c r="O419" s="29" t="str">
        <f t="shared" si="95"/>
        <v/>
      </c>
      <c r="P419" s="21" t="str">
        <f t="shared" si="96"/>
        <v/>
      </c>
      <c r="Q419" s="21" t="str">
        <f t="shared" si="97"/>
        <v/>
      </c>
      <c r="R419" s="21" t="str">
        <f t="shared" si="98"/>
        <v/>
      </c>
      <c r="S419" s="39"/>
      <c r="T419" s="43" t="str">
        <f t="shared" si="106"/>
        <v/>
      </c>
      <c r="U419" s="49" t="str">
        <f t="shared" si="107"/>
        <v/>
      </c>
      <c r="V419" s="48" t="str">
        <f t="shared" si="108"/>
        <v/>
      </c>
      <c r="W419" s="48" t="str">
        <f t="shared" si="99"/>
        <v/>
      </c>
      <c r="X419" s="50" t="str">
        <f>IF(W419="","",SUMIF($B$4:$B$1002,B419,$W$4:$W$1000))</f>
        <v/>
      </c>
      <c r="Y419" s="43" t="str">
        <f t="shared" si="100"/>
        <v/>
      </c>
      <c r="Z419" s="49" t="str">
        <f t="shared" si="101"/>
        <v/>
      </c>
      <c r="AA419" s="48" t="str">
        <f t="shared" si="102"/>
        <v/>
      </c>
      <c r="AB419" s="49" t="str">
        <f t="shared" si="103"/>
        <v/>
      </c>
      <c r="AC419" s="50" t="str">
        <f>IF(AB419="","",SUMIF($B$4:$B$1002,B419,$AB$4:$AB$1000))</f>
        <v/>
      </c>
      <c r="AD419" s="69"/>
      <c r="AE419" s="56"/>
      <c r="AF419" s="52"/>
      <c r="AG419" s="51"/>
      <c r="AH419" s="70"/>
      <c r="AI419" s="58"/>
      <c r="AJ419" s="55"/>
      <c r="AK419" s="51"/>
      <c r="AL419" s="69"/>
      <c r="AM419" s="56"/>
      <c r="AN419" s="52"/>
      <c r="AO419" s="51"/>
      <c r="AP419" s="70"/>
      <c r="AQ419" s="58"/>
      <c r="AR419" s="55"/>
      <c r="AS419" s="51"/>
      <c r="AT419" s="69"/>
      <c r="AU419" s="56"/>
      <c r="AV419" s="52"/>
      <c r="AW419" s="51"/>
      <c r="BR419" s="34" t="str">
        <f>IF(E419="","",CONCATENATE(E419," ",F419," noches"))</f>
        <v/>
      </c>
      <c r="BS419" s="28" t="str">
        <f t="shared" ca="1" si="104"/>
        <v/>
      </c>
      <c r="BT419" s="28" t="str">
        <f t="shared" ca="1" si="105"/>
        <v/>
      </c>
    </row>
    <row r="420" spans="1:72" x14ac:dyDescent="0.2">
      <c r="A420" s="18" t="str" cm="1">
        <f t="array" aca="1" ref="A420" ca="1">IF(B420="","","Grupo N˚"&amp;SUMPRODUCT(($B$4:B420&lt;&gt;"")*($B$4:B420&lt;&gt;OFFSET($B$4,-1,0,ROWS($B$4:B420),1))))</f>
        <v/>
      </c>
      <c r="B420" s="31"/>
      <c r="C420" s="31"/>
      <c r="D420" s="31"/>
      <c r="E420" s="31"/>
      <c r="F420" s="32"/>
      <c r="G420" s="33"/>
      <c r="H420" s="33"/>
      <c r="I420" s="20" t="str">
        <f t="shared" si="94"/>
        <v/>
      </c>
      <c r="J420" s="21" t="str">
        <f>IFERROR(VLOOKUP(BR420,Pricing!$D$3:$E$58,2,FALSE),"")</f>
        <v/>
      </c>
      <c r="K420" s="32"/>
      <c r="L420" s="32"/>
      <c r="M420" s="32"/>
      <c r="N420" s="36" t="str" cm="1">
        <f t="array" ref="N420">IFERROR(_xlfn.IFS((AND(K420="SI",M420="$")),J420*0.2,AND(K420="SI",M420="%"),20),"")</f>
        <v/>
      </c>
      <c r="O420" s="29" t="str">
        <f t="shared" si="95"/>
        <v/>
      </c>
      <c r="P420" s="21" t="str">
        <f t="shared" si="96"/>
        <v/>
      </c>
      <c r="Q420" s="21" t="str">
        <f t="shared" si="97"/>
        <v/>
      </c>
      <c r="R420" s="21" t="str">
        <f t="shared" si="98"/>
        <v/>
      </c>
      <c r="S420" s="39"/>
      <c r="T420" s="43" t="str">
        <f t="shared" si="106"/>
        <v/>
      </c>
      <c r="U420" s="49" t="str">
        <f t="shared" si="107"/>
        <v/>
      </c>
      <c r="V420" s="48" t="str">
        <f t="shared" si="108"/>
        <v/>
      </c>
      <c r="W420" s="48" t="str">
        <f t="shared" si="99"/>
        <v/>
      </c>
      <c r="X420" s="50" t="str">
        <f>IF(W420="","",SUMIF($B$4:$B$1002,B420,$W$4:$W$1000))</f>
        <v/>
      </c>
      <c r="Y420" s="43" t="str">
        <f t="shared" si="100"/>
        <v/>
      </c>
      <c r="Z420" s="49" t="str">
        <f t="shared" si="101"/>
        <v/>
      </c>
      <c r="AA420" s="48" t="str">
        <f t="shared" si="102"/>
        <v/>
      </c>
      <c r="AB420" s="49" t="str">
        <f t="shared" si="103"/>
        <v/>
      </c>
      <c r="AC420" s="50" t="str">
        <f>IF(AB420="","",SUMIF($B$4:$B$1002,B420,$AB$4:$AB$1000))</f>
        <v/>
      </c>
      <c r="AD420" s="69"/>
      <c r="AE420" s="56"/>
      <c r="AF420" s="52"/>
      <c r="AG420" s="51"/>
      <c r="AH420" s="70"/>
      <c r="AI420" s="58"/>
      <c r="AJ420" s="55"/>
      <c r="AK420" s="51"/>
      <c r="AL420" s="69"/>
      <c r="AM420" s="56"/>
      <c r="AN420" s="52"/>
      <c r="AO420" s="51"/>
      <c r="AP420" s="70"/>
      <c r="AQ420" s="58"/>
      <c r="AR420" s="55"/>
      <c r="AS420" s="51"/>
      <c r="AT420" s="69"/>
      <c r="AU420" s="56"/>
      <c r="AV420" s="52"/>
      <c r="AW420" s="51"/>
      <c r="BR420" s="34" t="str">
        <f>IF(E420="","",CONCATENATE(E420," ",F420," noches"))</f>
        <v/>
      </c>
      <c r="BS420" s="28" t="str">
        <f t="shared" ca="1" si="104"/>
        <v/>
      </c>
      <c r="BT420" s="28" t="str">
        <f t="shared" ca="1" si="105"/>
        <v/>
      </c>
    </row>
    <row r="421" spans="1:72" x14ac:dyDescent="0.2">
      <c r="A421" s="18" t="str" cm="1">
        <f t="array" aca="1" ref="A421" ca="1">IF(B421="","","Grupo N˚"&amp;SUMPRODUCT(($B$4:B421&lt;&gt;"")*($B$4:B421&lt;&gt;OFFSET($B$4,-1,0,ROWS($B$4:B421),1))))</f>
        <v/>
      </c>
      <c r="B421" s="31"/>
      <c r="C421" s="31"/>
      <c r="D421" s="31"/>
      <c r="E421" s="31"/>
      <c r="F421" s="32"/>
      <c r="G421" s="33"/>
      <c r="H421" s="33"/>
      <c r="I421" s="20" t="str">
        <f t="shared" si="94"/>
        <v/>
      </c>
      <c r="J421" s="21" t="str">
        <f>IFERROR(VLOOKUP(BR421,Pricing!$D$3:$E$58,2,FALSE),"")</f>
        <v/>
      </c>
      <c r="K421" s="32"/>
      <c r="L421" s="32"/>
      <c r="M421" s="32"/>
      <c r="N421" s="36" t="str" cm="1">
        <f t="array" ref="N421">IFERROR(_xlfn.IFS((AND(K421="SI",M421="$")),J421*0.2,AND(K421="SI",M421="%"),20),"")</f>
        <v/>
      </c>
      <c r="O421" s="29" t="str">
        <f t="shared" si="95"/>
        <v/>
      </c>
      <c r="P421" s="21" t="str">
        <f t="shared" si="96"/>
        <v/>
      </c>
      <c r="Q421" s="21" t="str">
        <f t="shared" si="97"/>
        <v/>
      </c>
      <c r="R421" s="21" t="str">
        <f t="shared" si="98"/>
        <v/>
      </c>
      <c r="S421" s="39"/>
      <c r="T421" s="43" t="str">
        <f t="shared" si="106"/>
        <v/>
      </c>
      <c r="U421" s="49" t="str">
        <f t="shared" si="107"/>
        <v/>
      </c>
      <c r="V421" s="48" t="str">
        <f t="shared" si="108"/>
        <v/>
      </c>
      <c r="W421" s="48" t="str">
        <f t="shared" si="99"/>
        <v/>
      </c>
      <c r="X421" s="50" t="str">
        <f>IF(W421="","",SUMIF($B$4:$B$1002,B421,$W$4:$W$1000))</f>
        <v/>
      </c>
      <c r="Y421" s="43" t="str">
        <f t="shared" si="100"/>
        <v/>
      </c>
      <c r="Z421" s="49" t="str">
        <f t="shared" si="101"/>
        <v/>
      </c>
      <c r="AA421" s="48" t="str">
        <f t="shared" si="102"/>
        <v/>
      </c>
      <c r="AB421" s="49" t="str">
        <f t="shared" si="103"/>
        <v/>
      </c>
      <c r="AC421" s="50" t="str">
        <f>IF(AB421="","",SUMIF($B$4:$B$1002,B421,$AB$4:$AB$1000))</f>
        <v/>
      </c>
      <c r="AD421" s="69"/>
      <c r="AE421" s="56"/>
      <c r="AF421" s="52"/>
      <c r="AG421" s="51"/>
      <c r="AH421" s="70"/>
      <c r="AI421" s="58"/>
      <c r="AJ421" s="55"/>
      <c r="AK421" s="51"/>
      <c r="AL421" s="69"/>
      <c r="AM421" s="56"/>
      <c r="AN421" s="52"/>
      <c r="AO421" s="51"/>
      <c r="AP421" s="70"/>
      <c r="AQ421" s="58"/>
      <c r="AR421" s="55"/>
      <c r="AS421" s="51"/>
      <c r="AT421" s="69"/>
      <c r="AU421" s="56"/>
      <c r="AV421" s="52"/>
      <c r="AW421" s="51"/>
      <c r="BR421" s="34" t="str">
        <f>IF(E421="","",CONCATENATE(E421," ",F421," noches"))</f>
        <v/>
      </c>
      <c r="BS421" s="28" t="str">
        <f t="shared" ca="1" si="104"/>
        <v/>
      </c>
      <c r="BT421" s="28" t="str">
        <f t="shared" ca="1" si="105"/>
        <v/>
      </c>
    </row>
    <row r="422" spans="1:72" x14ac:dyDescent="0.2">
      <c r="A422" s="18" t="str" cm="1">
        <f t="array" aca="1" ref="A422" ca="1">IF(B422="","","Grupo N˚"&amp;SUMPRODUCT(($B$4:B422&lt;&gt;"")*($B$4:B422&lt;&gt;OFFSET($B$4,-1,0,ROWS($B$4:B422),1))))</f>
        <v/>
      </c>
      <c r="B422" s="31"/>
      <c r="C422" s="31"/>
      <c r="D422" s="31"/>
      <c r="E422" s="31"/>
      <c r="F422" s="32"/>
      <c r="G422" s="33"/>
      <c r="H422" s="33"/>
      <c r="I422" s="20" t="str">
        <f t="shared" si="94"/>
        <v/>
      </c>
      <c r="J422" s="21" t="str">
        <f>IFERROR(VLOOKUP(BR422,Pricing!$D$3:$E$58,2,FALSE),"")</f>
        <v/>
      </c>
      <c r="K422" s="32"/>
      <c r="L422" s="32"/>
      <c r="M422" s="32"/>
      <c r="N422" s="36" t="str" cm="1">
        <f t="array" ref="N422">IFERROR(_xlfn.IFS((AND(K422="SI",M422="$")),J422*0.2,AND(K422="SI",M422="%"),20),"")</f>
        <v/>
      </c>
      <c r="O422" s="29" t="str">
        <f t="shared" si="95"/>
        <v/>
      </c>
      <c r="P422" s="21" t="str">
        <f t="shared" si="96"/>
        <v/>
      </c>
      <c r="Q422" s="21" t="str">
        <f t="shared" si="97"/>
        <v/>
      </c>
      <c r="R422" s="21" t="str">
        <f t="shared" si="98"/>
        <v/>
      </c>
      <c r="S422" s="39"/>
      <c r="T422" s="43" t="str">
        <f t="shared" si="106"/>
        <v/>
      </c>
      <c r="U422" s="49" t="str">
        <f t="shared" si="107"/>
        <v/>
      </c>
      <c r="V422" s="48" t="str">
        <f t="shared" si="108"/>
        <v/>
      </c>
      <c r="W422" s="48" t="str">
        <f t="shared" si="99"/>
        <v/>
      </c>
      <c r="X422" s="50" t="str">
        <f>IF(W422="","",SUMIF($B$4:$B$1002,B422,$W$4:$W$1000))</f>
        <v/>
      </c>
      <c r="Y422" s="43" t="str">
        <f t="shared" si="100"/>
        <v/>
      </c>
      <c r="Z422" s="49" t="str">
        <f t="shared" si="101"/>
        <v/>
      </c>
      <c r="AA422" s="48" t="str">
        <f t="shared" si="102"/>
        <v/>
      </c>
      <c r="AB422" s="49" t="str">
        <f t="shared" si="103"/>
        <v/>
      </c>
      <c r="AC422" s="50" t="str">
        <f>IF(AB422="","",SUMIF($B$4:$B$1002,B422,$AB$4:$AB$1000))</f>
        <v/>
      </c>
      <c r="AD422" s="69"/>
      <c r="AE422" s="56"/>
      <c r="AF422" s="52"/>
      <c r="AG422" s="51"/>
      <c r="AH422" s="70"/>
      <c r="AI422" s="58"/>
      <c r="AJ422" s="55"/>
      <c r="AK422" s="51"/>
      <c r="AL422" s="69"/>
      <c r="AM422" s="56"/>
      <c r="AN422" s="52"/>
      <c r="AO422" s="51"/>
      <c r="AP422" s="70"/>
      <c r="AQ422" s="58"/>
      <c r="AR422" s="55"/>
      <c r="AS422" s="51"/>
      <c r="AT422" s="69"/>
      <c r="AU422" s="56"/>
      <c r="AV422" s="52"/>
      <c r="AW422" s="51"/>
      <c r="BR422" s="34" t="str">
        <f>IF(E422="","",CONCATENATE(E422," ",F422," noches"))</f>
        <v/>
      </c>
      <c r="BS422" s="28" t="str">
        <f t="shared" ca="1" si="104"/>
        <v/>
      </c>
      <c r="BT422" s="28" t="str">
        <f t="shared" ca="1" si="105"/>
        <v/>
      </c>
    </row>
    <row r="423" spans="1:72" x14ac:dyDescent="0.2">
      <c r="A423" s="18" t="str" cm="1">
        <f t="array" aca="1" ref="A423" ca="1">IF(B423="","","Grupo N˚"&amp;SUMPRODUCT(($B$4:B423&lt;&gt;"")*($B$4:B423&lt;&gt;OFFSET($B$4,-1,0,ROWS($B$4:B423),1))))</f>
        <v/>
      </c>
      <c r="B423" s="31"/>
      <c r="C423" s="31"/>
      <c r="D423" s="31"/>
      <c r="E423" s="31"/>
      <c r="F423" s="32"/>
      <c r="G423" s="33"/>
      <c r="H423" s="33"/>
      <c r="I423" s="20" t="str">
        <f t="shared" si="94"/>
        <v/>
      </c>
      <c r="J423" s="21" t="str">
        <f>IFERROR(VLOOKUP(BR423,Pricing!$D$3:$E$58,2,FALSE),"")</f>
        <v/>
      </c>
      <c r="K423" s="32"/>
      <c r="L423" s="32"/>
      <c r="M423" s="32"/>
      <c r="N423" s="36" t="str" cm="1">
        <f t="array" ref="N423">IFERROR(_xlfn.IFS((AND(K423="SI",M423="$")),J423*0.2,AND(K423="SI",M423="%"),20),"")</f>
        <v/>
      </c>
      <c r="O423" s="29" t="str">
        <f t="shared" si="95"/>
        <v/>
      </c>
      <c r="P423" s="21" t="str">
        <f t="shared" si="96"/>
        <v/>
      </c>
      <c r="Q423" s="21" t="str">
        <f t="shared" si="97"/>
        <v/>
      </c>
      <c r="R423" s="21" t="str">
        <f t="shared" si="98"/>
        <v/>
      </c>
      <c r="S423" s="39"/>
      <c r="T423" s="43" t="str">
        <f t="shared" si="106"/>
        <v/>
      </c>
      <c r="U423" s="49" t="str">
        <f t="shared" si="107"/>
        <v/>
      </c>
      <c r="V423" s="48" t="str">
        <f t="shared" si="108"/>
        <v/>
      </c>
      <c r="W423" s="48" t="str">
        <f t="shared" si="99"/>
        <v/>
      </c>
      <c r="X423" s="50" t="str">
        <f>IF(W423="","",SUMIF($B$4:$B$1002,B423,$W$4:$W$1000))</f>
        <v/>
      </c>
      <c r="Y423" s="43" t="str">
        <f t="shared" si="100"/>
        <v/>
      </c>
      <c r="Z423" s="49" t="str">
        <f t="shared" si="101"/>
        <v/>
      </c>
      <c r="AA423" s="48" t="str">
        <f t="shared" si="102"/>
        <v/>
      </c>
      <c r="AB423" s="49" t="str">
        <f t="shared" si="103"/>
        <v/>
      </c>
      <c r="AC423" s="50" t="str">
        <f>IF(AB423="","",SUMIF($B$4:$B$1002,B423,$AB$4:$AB$1000))</f>
        <v/>
      </c>
      <c r="AD423" s="69"/>
      <c r="AE423" s="56"/>
      <c r="AF423" s="52"/>
      <c r="AG423" s="51"/>
      <c r="AH423" s="70"/>
      <c r="AI423" s="58"/>
      <c r="AJ423" s="55"/>
      <c r="AK423" s="51"/>
      <c r="AL423" s="69"/>
      <c r="AM423" s="56"/>
      <c r="AN423" s="52"/>
      <c r="AO423" s="51"/>
      <c r="AP423" s="70"/>
      <c r="AQ423" s="58"/>
      <c r="AR423" s="55"/>
      <c r="AS423" s="51"/>
      <c r="AT423" s="69"/>
      <c r="AU423" s="56"/>
      <c r="AV423" s="52"/>
      <c r="AW423" s="51"/>
      <c r="BR423" s="34" t="str">
        <f>IF(E423="","",CONCATENATE(E423," ",F423," noches"))</f>
        <v/>
      </c>
      <c r="BS423" s="28" t="str">
        <f t="shared" ca="1" si="104"/>
        <v/>
      </c>
      <c r="BT423" s="28" t="str">
        <f t="shared" ca="1" si="105"/>
        <v/>
      </c>
    </row>
    <row r="424" spans="1:72" x14ac:dyDescent="0.2">
      <c r="A424" s="18" t="str" cm="1">
        <f t="array" aca="1" ref="A424" ca="1">IF(B424="","","Grupo N˚"&amp;SUMPRODUCT(($B$4:B424&lt;&gt;"")*($B$4:B424&lt;&gt;OFFSET($B$4,-1,0,ROWS($B$4:B424),1))))</f>
        <v/>
      </c>
      <c r="B424" s="31"/>
      <c r="C424" s="31"/>
      <c r="D424" s="31"/>
      <c r="E424" s="31"/>
      <c r="F424" s="32"/>
      <c r="G424" s="33"/>
      <c r="H424" s="33"/>
      <c r="I424" s="20" t="str">
        <f t="shared" si="94"/>
        <v/>
      </c>
      <c r="J424" s="21" t="str">
        <f>IFERROR(VLOOKUP(BR424,Pricing!$D$3:$E$58,2,FALSE),"")</f>
        <v/>
      </c>
      <c r="K424" s="32"/>
      <c r="L424" s="32"/>
      <c r="M424" s="32"/>
      <c r="N424" s="36" t="str" cm="1">
        <f t="array" ref="N424">IFERROR(_xlfn.IFS((AND(K424="SI",M424="$")),J424*0.2,AND(K424="SI",M424="%"),20),"")</f>
        <v/>
      </c>
      <c r="O424" s="29" t="str">
        <f t="shared" si="95"/>
        <v/>
      </c>
      <c r="P424" s="21" t="str">
        <f t="shared" si="96"/>
        <v/>
      </c>
      <c r="Q424" s="21" t="str">
        <f t="shared" si="97"/>
        <v/>
      </c>
      <c r="R424" s="21" t="str">
        <f t="shared" si="98"/>
        <v/>
      </c>
      <c r="S424" s="39"/>
      <c r="T424" s="43" t="str">
        <f t="shared" si="106"/>
        <v/>
      </c>
      <c r="U424" s="49" t="str">
        <f t="shared" si="107"/>
        <v/>
      </c>
      <c r="V424" s="48" t="str">
        <f t="shared" si="108"/>
        <v/>
      </c>
      <c r="W424" s="48" t="str">
        <f t="shared" si="99"/>
        <v/>
      </c>
      <c r="X424" s="50" t="str">
        <f>IF(W424="","",SUMIF($B$4:$B$1002,B424,$W$4:$W$1000))</f>
        <v/>
      </c>
      <c r="Y424" s="43" t="str">
        <f t="shared" si="100"/>
        <v/>
      </c>
      <c r="Z424" s="49" t="str">
        <f t="shared" si="101"/>
        <v/>
      </c>
      <c r="AA424" s="48" t="str">
        <f t="shared" si="102"/>
        <v/>
      </c>
      <c r="AB424" s="49" t="str">
        <f t="shared" si="103"/>
        <v/>
      </c>
      <c r="AC424" s="50" t="str">
        <f>IF(AB424="","",SUMIF($B$4:$B$1002,B424,$AB$4:$AB$1000))</f>
        <v/>
      </c>
      <c r="AD424" s="69"/>
      <c r="AE424" s="56"/>
      <c r="AF424" s="52"/>
      <c r="AG424" s="51"/>
      <c r="AH424" s="70"/>
      <c r="AI424" s="58"/>
      <c r="AJ424" s="55"/>
      <c r="AK424" s="51"/>
      <c r="AL424" s="69"/>
      <c r="AM424" s="56"/>
      <c r="AN424" s="52"/>
      <c r="AO424" s="51"/>
      <c r="AP424" s="70"/>
      <c r="AQ424" s="58"/>
      <c r="AR424" s="55"/>
      <c r="AS424" s="51"/>
      <c r="AT424" s="69"/>
      <c r="AU424" s="56"/>
      <c r="AV424" s="52"/>
      <c r="AW424" s="51"/>
      <c r="BR424" s="34" t="str">
        <f>IF(E424="","",CONCATENATE(E424," ",F424," noches"))</f>
        <v/>
      </c>
      <c r="BS424" s="28" t="str">
        <f t="shared" ca="1" si="104"/>
        <v/>
      </c>
      <c r="BT424" s="28" t="str">
        <f t="shared" ca="1" si="105"/>
        <v/>
      </c>
    </row>
    <row r="425" spans="1:72" x14ac:dyDescent="0.2">
      <c r="A425" s="18" t="str" cm="1">
        <f t="array" aca="1" ref="A425" ca="1">IF(B425="","","Grupo N˚"&amp;SUMPRODUCT(($B$4:B425&lt;&gt;"")*($B$4:B425&lt;&gt;OFFSET($B$4,-1,0,ROWS($B$4:B425),1))))</f>
        <v/>
      </c>
      <c r="B425" s="31"/>
      <c r="C425" s="31"/>
      <c r="D425" s="31"/>
      <c r="E425" s="31"/>
      <c r="F425" s="32"/>
      <c r="G425" s="33"/>
      <c r="H425" s="33"/>
      <c r="I425" s="20" t="str">
        <f t="shared" si="94"/>
        <v/>
      </c>
      <c r="J425" s="21" t="str">
        <f>IFERROR(VLOOKUP(BR425,Pricing!$D$3:$E$58,2,FALSE),"")</f>
        <v/>
      </c>
      <c r="K425" s="32"/>
      <c r="L425" s="32"/>
      <c r="M425" s="32"/>
      <c r="N425" s="36" t="str" cm="1">
        <f t="array" ref="N425">IFERROR(_xlfn.IFS((AND(K425="SI",M425="$")),J425*0.2,AND(K425="SI",M425="%"),20),"")</f>
        <v/>
      </c>
      <c r="O425" s="29" t="str">
        <f t="shared" si="95"/>
        <v/>
      </c>
      <c r="P425" s="21" t="str">
        <f t="shared" si="96"/>
        <v/>
      </c>
      <c r="Q425" s="21" t="str">
        <f t="shared" si="97"/>
        <v/>
      </c>
      <c r="R425" s="21" t="str">
        <f t="shared" si="98"/>
        <v/>
      </c>
      <c r="S425" s="39"/>
      <c r="T425" s="43" t="str">
        <f t="shared" si="106"/>
        <v/>
      </c>
      <c r="U425" s="49" t="str">
        <f t="shared" si="107"/>
        <v/>
      </c>
      <c r="V425" s="48" t="str">
        <f t="shared" si="108"/>
        <v/>
      </c>
      <c r="W425" s="48" t="str">
        <f t="shared" si="99"/>
        <v/>
      </c>
      <c r="X425" s="50" t="str">
        <f>IF(W425="","",SUMIF($B$4:$B$1002,B425,$W$4:$W$1000))</f>
        <v/>
      </c>
      <c r="Y425" s="43" t="str">
        <f t="shared" si="100"/>
        <v/>
      </c>
      <c r="Z425" s="49" t="str">
        <f t="shared" si="101"/>
        <v/>
      </c>
      <c r="AA425" s="48" t="str">
        <f t="shared" si="102"/>
        <v/>
      </c>
      <c r="AB425" s="49" t="str">
        <f t="shared" si="103"/>
        <v/>
      </c>
      <c r="AC425" s="50" t="str">
        <f>IF(AB425="","",SUMIF($B$4:$B$1002,B425,$AB$4:$AB$1000))</f>
        <v/>
      </c>
      <c r="AD425" s="69"/>
      <c r="AE425" s="56"/>
      <c r="AF425" s="52"/>
      <c r="AG425" s="51"/>
      <c r="AH425" s="70"/>
      <c r="AI425" s="58"/>
      <c r="AJ425" s="55"/>
      <c r="AK425" s="51"/>
      <c r="AL425" s="69"/>
      <c r="AM425" s="56"/>
      <c r="AN425" s="52"/>
      <c r="AO425" s="51"/>
      <c r="AP425" s="70"/>
      <c r="AQ425" s="58"/>
      <c r="AR425" s="55"/>
      <c r="AS425" s="51"/>
      <c r="AT425" s="69"/>
      <c r="AU425" s="56"/>
      <c r="AV425" s="52"/>
      <c r="AW425" s="51"/>
      <c r="BR425" s="34" t="str">
        <f>IF(E425="","",CONCATENATE(E425," ",F425," noches"))</f>
        <v/>
      </c>
      <c r="BS425" s="28" t="str">
        <f t="shared" ca="1" si="104"/>
        <v/>
      </c>
      <c r="BT425" s="28" t="str">
        <f t="shared" ca="1" si="105"/>
        <v/>
      </c>
    </row>
    <row r="426" spans="1:72" x14ac:dyDescent="0.2">
      <c r="A426" s="18" t="str" cm="1">
        <f t="array" aca="1" ref="A426" ca="1">IF(B426="","","Grupo N˚"&amp;SUMPRODUCT(($B$4:B426&lt;&gt;"")*($B$4:B426&lt;&gt;OFFSET($B$4,-1,0,ROWS($B$4:B426),1))))</f>
        <v/>
      </c>
      <c r="B426" s="31"/>
      <c r="C426" s="31"/>
      <c r="D426" s="31"/>
      <c r="E426" s="31"/>
      <c r="F426" s="32"/>
      <c r="G426" s="33"/>
      <c r="H426" s="33"/>
      <c r="I426" s="20" t="str">
        <f t="shared" si="94"/>
        <v/>
      </c>
      <c r="J426" s="21" t="str">
        <f>IFERROR(VLOOKUP(BR426,Pricing!$D$3:$E$58,2,FALSE),"")</f>
        <v/>
      </c>
      <c r="K426" s="32"/>
      <c r="L426" s="32"/>
      <c r="M426" s="32"/>
      <c r="N426" s="36" t="str" cm="1">
        <f t="array" ref="N426">IFERROR(_xlfn.IFS((AND(K426="SI",M426="$")),J426*0.2,AND(K426="SI",M426="%"),20),"")</f>
        <v/>
      </c>
      <c r="O426" s="29" t="str">
        <f t="shared" si="95"/>
        <v/>
      </c>
      <c r="P426" s="21" t="str">
        <f t="shared" si="96"/>
        <v/>
      </c>
      <c r="Q426" s="21" t="str">
        <f t="shared" si="97"/>
        <v/>
      </c>
      <c r="R426" s="21" t="str">
        <f t="shared" si="98"/>
        <v/>
      </c>
      <c r="S426" s="39"/>
      <c r="T426" s="43" t="str">
        <f t="shared" si="106"/>
        <v/>
      </c>
      <c r="U426" s="49" t="str">
        <f t="shared" si="107"/>
        <v/>
      </c>
      <c r="V426" s="48" t="str">
        <f t="shared" si="108"/>
        <v/>
      </c>
      <c r="W426" s="48" t="str">
        <f t="shared" si="99"/>
        <v/>
      </c>
      <c r="X426" s="50" t="str">
        <f>IF(W426="","",SUMIF($B$4:$B$1002,B426,$W$4:$W$1000))</f>
        <v/>
      </c>
      <c r="Y426" s="43" t="str">
        <f t="shared" si="100"/>
        <v/>
      </c>
      <c r="Z426" s="49" t="str">
        <f t="shared" si="101"/>
        <v/>
      </c>
      <c r="AA426" s="48" t="str">
        <f t="shared" si="102"/>
        <v/>
      </c>
      <c r="AB426" s="49" t="str">
        <f t="shared" si="103"/>
        <v/>
      </c>
      <c r="AC426" s="50" t="str">
        <f>IF(AB426="","",SUMIF($B$4:$B$1002,B426,$AB$4:$AB$1000))</f>
        <v/>
      </c>
      <c r="AD426" s="69"/>
      <c r="AE426" s="56"/>
      <c r="AF426" s="52"/>
      <c r="AG426" s="51"/>
      <c r="AH426" s="70"/>
      <c r="AI426" s="58"/>
      <c r="AJ426" s="55"/>
      <c r="AK426" s="51"/>
      <c r="AL426" s="69"/>
      <c r="AM426" s="56"/>
      <c r="AN426" s="52"/>
      <c r="AO426" s="51"/>
      <c r="AP426" s="70"/>
      <c r="AQ426" s="58"/>
      <c r="AR426" s="55"/>
      <c r="AS426" s="51"/>
      <c r="AT426" s="69"/>
      <c r="AU426" s="56"/>
      <c r="AV426" s="52"/>
      <c r="AW426" s="51"/>
      <c r="BR426" s="34" t="str">
        <f>IF(E426="","",CONCATENATE(E426," ",F426," noches"))</f>
        <v/>
      </c>
      <c r="BS426" s="28" t="str">
        <f t="shared" ca="1" si="104"/>
        <v/>
      </c>
      <c r="BT426" s="28" t="str">
        <f t="shared" ca="1" si="105"/>
        <v/>
      </c>
    </row>
    <row r="427" spans="1:72" x14ac:dyDescent="0.2">
      <c r="A427" s="18" t="str" cm="1">
        <f t="array" aca="1" ref="A427" ca="1">IF(B427="","","Grupo N˚"&amp;SUMPRODUCT(($B$4:B427&lt;&gt;"")*($B$4:B427&lt;&gt;OFFSET($B$4,-1,0,ROWS($B$4:B427),1))))</f>
        <v/>
      </c>
      <c r="B427" s="31"/>
      <c r="C427" s="31"/>
      <c r="D427" s="31"/>
      <c r="E427" s="31"/>
      <c r="F427" s="32"/>
      <c r="G427" s="33"/>
      <c r="H427" s="33"/>
      <c r="I427" s="20" t="str">
        <f t="shared" si="94"/>
        <v/>
      </c>
      <c r="J427" s="21" t="str">
        <f>IFERROR(VLOOKUP(BR427,Pricing!$D$3:$E$58,2,FALSE),"")</f>
        <v/>
      </c>
      <c r="K427" s="32"/>
      <c r="L427" s="32"/>
      <c r="M427" s="32"/>
      <c r="N427" s="36" t="str" cm="1">
        <f t="array" ref="N427">IFERROR(_xlfn.IFS((AND(K427="SI",M427="$")),J427*0.2,AND(K427="SI",M427="%"),20),"")</f>
        <v/>
      </c>
      <c r="O427" s="29" t="str">
        <f t="shared" si="95"/>
        <v/>
      </c>
      <c r="P427" s="21" t="str">
        <f t="shared" si="96"/>
        <v/>
      </c>
      <c r="Q427" s="21" t="str">
        <f t="shared" si="97"/>
        <v/>
      </c>
      <c r="R427" s="21" t="str">
        <f t="shared" si="98"/>
        <v/>
      </c>
      <c r="S427" s="39"/>
      <c r="T427" s="43" t="str">
        <f t="shared" si="106"/>
        <v/>
      </c>
      <c r="U427" s="49" t="str">
        <f t="shared" si="107"/>
        <v/>
      </c>
      <c r="V427" s="48" t="str">
        <f t="shared" si="108"/>
        <v/>
      </c>
      <c r="W427" s="48" t="str">
        <f t="shared" si="99"/>
        <v/>
      </c>
      <c r="X427" s="50" t="str">
        <f>IF(W427="","",SUMIF($B$4:$B$1002,B427,$W$4:$W$1000))</f>
        <v/>
      </c>
      <c r="Y427" s="43" t="str">
        <f t="shared" si="100"/>
        <v/>
      </c>
      <c r="Z427" s="49" t="str">
        <f t="shared" si="101"/>
        <v/>
      </c>
      <c r="AA427" s="48" t="str">
        <f t="shared" si="102"/>
        <v/>
      </c>
      <c r="AB427" s="49" t="str">
        <f t="shared" si="103"/>
        <v/>
      </c>
      <c r="AC427" s="50" t="str">
        <f>IF(AB427="","",SUMIF($B$4:$B$1002,B427,$AB$4:$AB$1000))</f>
        <v/>
      </c>
      <c r="AD427" s="69"/>
      <c r="AE427" s="56"/>
      <c r="AF427" s="52"/>
      <c r="AG427" s="51"/>
      <c r="AH427" s="70"/>
      <c r="AI427" s="58"/>
      <c r="AJ427" s="55"/>
      <c r="AK427" s="51"/>
      <c r="AL427" s="69"/>
      <c r="AM427" s="56"/>
      <c r="AN427" s="52"/>
      <c r="AO427" s="51"/>
      <c r="AP427" s="70"/>
      <c r="AQ427" s="58"/>
      <c r="AR427" s="55"/>
      <c r="AS427" s="51"/>
      <c r="AT427" s="69"/>
      <c r="AU427" s="56"/>
      <c r="AV427" s="52"/>
      <c r="AW427" s="51"/>
      <c r="BR427" s="34" t="str">
        <f>IF(E427="","",CONCATENATE(E427," ",F427," noches"))</f>
        <v/>
      </c>
      <c r="BS427" s="28" t="str">
        <f t="shared" ca="1" si="104"/>
        <v/>
      </c>
      <c r="BT427" s="28" t="str">
        <f t="shared" ca="1" si="105"/>
        <v/>
      </c>
    </row>
    <row r="428" spans="1:72" x14ac:dyDescent="0.2">
      <c r="A428" s="18" t="str" cm="1">
        <f t="array" aca="1" ref="A428" ca="1">IF(B428="","","Grupo N˚"&amp;SUMPRODUCT(($B$4:B428&lt;&gt;"")*($B$4:B428&lt;&gt;OFFSET($B$4,-1,0,ROWS($B$4:B428),1))))</f>
        <v/>
      </c>
      <c r="B428" s="31"/>
      <c r="C428" s="31"/>
      <c r="D428" s="31"/>
      <c r="E428" s="31"/>
      <c r="F428" s="32"/>
      <c r="G428" s="33"/>
      <c r="H428" s="33"/>
      <c r="I428" s="20" t="str">
        <f t="shared" si="94"/>
        <v/>
      </c>
      <c r="J428" s="21" t="str">
        <f>IFERROR(VLOOKUP(BR428,Pricing!$D$3:$E$58,2,FALSE),"")</f>
        <v/>
      </c>
      <c r="K428" s="32"/>
      <c r="L428" s="32"/>
      <c r="M428" s="32"/>
      <c r="N428" s="36" t="str" cm="1">
        <f t="array" ref="N428">IFERROR(_xlfn.IFS((AND(K428="SI",M428="$")),J428*0.2,AND(K428="SI",M428="%"),20),"")</f>
        <v/>
      </c>
      <c r="O428" s="29" t="str">
        <f t="shared" si="95"/>
        <v/>
      </c>
      <c r="P428" s="21" t="str">
        <f t="shared" si="96"/>
        <v/>
      </c>
      <c r="Q428" s="21" t="str">
        <f t="shared" si="97"/>
        <v/>
      </c>
      <c r="R428" s="21" t="str">
        <f t="shared" si="98"/>
        <v/>
      </c>
      <c r="S428" s="39"/>
      <c r="T428" s="43" t="str">
        <f t="shared" si="106"/>
        <v/>
      </c>
      <c r="U428" s="49" t="str">
        <f t="shared" si="107"/>
        <v/>
      </c>
      <c r="V428" s="48" t="str">
        <f t="shared" si="108"/>
        <v/>
      </c>
      <c r="W428" s="48" t="str">
        <f t="shared" si="99"/>
        <v/>
      </c>
      <c r="X428" s="50" t="str">
        <f>IF(W428="","",SUMIF($B$4:$B$1002,B428,$W$4:$W$1000))</f>
        <v/>
      </c>
      <c r="Y428" s="43" t="str">
        <f t="shared" si="100"/>
        <v/>
      </c>
      <c r="Z428" s="49" t="str">
        <f t="shared" si="101"/>
        <v/>
      </c>
      <c r="AA428" s="48" t="str">
        <f t="shared" si="102"/>
        <v/>
      </c>
      <c r="AB428" s="49" t="str">
        <f t="shared" si="103"/>
        <v/>
      </c>
      <c r="AC428" s="50" t="str">
        <f>IF(AB428="","",SUMIF($B$4:$B$1002,B428,$AB$4:$AB$1000))</f>
        <v/>
      </c>
      <c r="AD428" s="69"/>
      <c r="AE428" s="56"/>
      <c r="AF428" s="52"/>
      <c r="AG428" s="51"/>
      <c r="AH428" s="70"/>
      <c r="AI428" s="58"/>
      <c r="AJ428" s="55"/>
      <c r="AK428" s="51"/>
      <c r="AL428" s="69"/>
      <c r="AM428" s="56"/>
      <c r="AN428" s="52"/>
      <c r="AO428" s="51"/>
      <c r="AP428" s="70"/>
      <c r="AQ428" s="58"/>
      <c r="AR428" s="55"/>
      <c r="AS428" s="51"/>
      <c r="AT428" s="69"/>
      <c r="AU428" s="56"/>
      <c r="AV428" s="52"/>
      <c r="AW428" s="51"/>
      <c r="BR428" s="34" t="str">
        <f>IF(E428="","",CONCATENATE(E428," ",F428," noches"))</f>
        <v/>
      </c>
      <c r="BS428" s="28" t="str">
        <f t="shared" ca="1" si="104"/>
        <v/>
      </c>
      <c r="BT428" s="28" t="str">
        <f t="shared" ca="1" si="105"/>
        <v/>
      </c>
    </row>
    <row r="429" spans="1:72" x14ac:dyDescent="0.2">
      <c r="A429" s="18" t="str" cm="1">
        <f t="array" aca="1" ref="A429" ca="1">IF(B429="","","Grupo N˚"&amp;SUMPRODUCT(($B$4:B429&lt;&gt;"")*($B$4:B429&lt;&gt;OFFSET($B$4,-1,0,ROWS($B$4:B429),1))))</f>
        <v/>
      </c>
      <c r="B429" s="31"/>
      <c r="C429" s="31"/>
      <c r="D429" s="31"/>
      <c r="E429" s="31"/>
      <c r="F429" s="32"/>
      <c r="G429" s="33"/>
      <c r="H429" s="33"/>
      <c r="I429" s="20" t="str">
        <f t="shared" si="94"/>
        <v/>
      </c>
      <c r="J429" s="21" t="str">
        <f>IFERROR(VLOOKUP(BR429,Pricing!$D$3:$E$58,2,FALSE),"")</f>
        <v/>
      </c>
      <c r="K429" s="32"/>
      <c r="L429" s="32"/>
      <c r="M429" s="32"/>
      <c r="N429" s="36" t="str" cm="1">
        <f t="array" ref="N429">IFERROR(_xlfn.IFS((AND(K429="SI",M429="$")),J429*0.2,AND(K429="SI",M429="%"),20),"")</f>
        <v/>
      </c>
      <c r="O429" s="29" t="str">
        <f t="shared" si="95"/>
        <v/>
      </c>
      <c r="P429" s="21" t="str">
        <f t="shared" si="96"/>
        <v/>
      </c>
      <c r="Q429" s="21" t="str">
        <f t="shared" si="97"/>
        <v/>
      </c>
      <c r="R429" s="21" t="str">
        <f t="shared" si="98"/>
        <v/>
      </c>
      <c r="S429" s="39"/>
      <c r="T429" s="43" t="str">
        <f t="shared" si="106"/>
        <v/>
      </c>
      <c r="U429" s="49" t="str">
        <f t="shared" si="107"/>
        <v/>
      </c>
      <c r="V429" s="48" t="str">
        <f t="shared" si="108"/>
        <v/>
      </c>
      <c r="W429" s="48" t="str">
        <f t="shared" si="99"/>
        <v/>
      </c>
      <c r="X429" s="50" t="str">
        <f>IF(W429="","",SUMIF($B$4:$B$1002,B429,$W$4:$W$1000))</f>
        <v/>
      </c>
      <c r="Y429" s="43" t="str">
        <f t="shared" si="100"/>
        <v/>
      </c>
      <c r="Z429" s="49" t="str">
        <f t="shared" si="101"/>
        <v/>
      </c>
      <c r="AA429" s="48" t="str">
        <f t="shared" si="102"/>
        <v/>
      </c>
      <c r="AB429" s="49" t="str">
        <f t="shared" si="103"/>
        <v/>
      </c>
      <c r="AC429" s="50" t="str">
        <f>IF(AB429="","",SUMIF($B$4:$B$1002,B429,$AB$4:$AB$1000))</f>
        <v/>
      </c>
      <c r="AD429" s="69"/>
      <c r="AE429" s="56"/>
      <c r="AF429" s="52"/>
      <c r="AG429" s="51"/>
      <c r="AH429" s="70"/>
      <c r="AI429" s="58"/>
      <c r="AJ429" s="55"/>
      <c r="AK429" s="51"/>
      <c r="AL429" s="69"/>
      <c r="AM429" s="56"/>
      <c r="AN429" s="52"/>
      <c r="AO429" s="51"/>
      <c r="AP429" s="70"/>
      <c r="AQ429" s="58"/>
      <c r="AR429" s="55"/>
      <c r="AS429" s="51"/>
      <c r="AT429" s="69"/>
      <c r="AU429" s="56"/>
      <c r="AV429" s="52"/>
      <c r="AW429" s="51"/>
      <c r="BR429" s="34" t="str">
        <f>IF(E429="","",CONCATENATE(E429," ",F429," noches"))</f>
        <v/>
      </c>
      <c r="BS429" s="28" t="str">
        <f t="shared" ca="1" si="104"/>
        <v/>
      </c>
      <c r="BT429" s="28" t="str">
        <f t="shared" ca="1" si="105"/>
        <v/>
      </c>
    </row>
    <row r="430" spans="1:72" x14ac:dyDescent="0.2">
      <c r="A430" s="18" t="str" cm="1">
        <f t="array" aca="1" ref="A430" ca="1">IF(B430="","","Grupo N˚"&amp;SUMPRODUCT(($B$4:B430&lt;&gt;"")*($B$4:B430&lt;&gt;OFFSET($B$4,-1,0,ROWS($B$4:B430),1))))</f>
        <v/>
      </c>
      <c r="B430" s="31"/>
      <c r="C430" s="31"/>
      <c r="D430" s="31"/>
      <c r="E430" s="31"/>
      <c r="F430" s="32"/>
      <c r="G430" s="33"/>
      <c r="H430" s="33"/>
      <c r="I430" s="20" t="str">
        <f t="shared" si="94"/>
        <v/>
      </c>
      <c r="J430" s="21" t="str">
        <f>IFERROR(VLOOKUP(BR430,Pricing!$D$3:$E$58,2,FALSE),"")</f>
        <v/>
      </c>
      <c r="K430" s="32"/>
      <c r="L430" s="32"/>
      <c r="M430" s="32"/>
      <c r="N430" s="36" t="str" cm="1">
        <f t="array" ref="N430">IFERROR(_xlfn.IFS((AND(K430="SI",M430="$")),J430*0.2,AND(K430="SI",M430="%"),20),"")</f>
        <v/>
      </c>
      <c r="O430" s="29" t="str">
        <f t="shared" si="95"/>
        <v/>
      </c>
      <c r="P430" s="21" t="str">
        <f t="shared" si="96"/>
        <v/>
      </c>
      <c r="Q430" s="21" t="str">
        <f t="shared" si="97"/>
        <v/>
      </c>
      <c r="R430" s="21" t="str">
        <f t="shared" si="98"/>
        <v/>
      </c>
      <c r="S430" s="39"/>
      <c r="T430" s="43" t="str">
        <f t="shared" si="106"/>
        <v/>
      </c>
      <c r="U430" s="49" t="str">
        <f t="shared" si="107"/>
        <v/>
      </c>
      <c r="V430" s="48" t="str">
        <f t="shared" si="108"/>
        <v/>
      </c>
      <c r="W430" s="48" t="str">
        <f t="shared" si="99"/>
        <v/>
      </c>
      <c r="X430" s="50" t="str">
        <f>IF(W430="","",SUMIF($B$4:$B$1002,B430,$W$4:$W$1000))</f>
        <v/>
      </c>
      <c r="Y430" s="43" t="str">
        <f t="shared" si="100"/>
        <v/>
      </c>
      <c r="Z430" s="49" t="str">
        <f t="shared" si="101"/>
        <v/>
      </c>
      <c r="AA430" s="48" t="str">
        <f t="shared" si="102"/>
        <v/>
      </c>
      <c r="AB430" s="49" t="str">
        <f t="shared" si="103"/>
        <v/>
      </c>
      <c r="AC430" s="50" t="str">
        <f>IF(AB430="","",SUMIF($B$4:$B$1002,B430,$AB$4:$AB$1000))</f>
        <v/>
      </c>
      <c r="AD430" s="69"/>
      <c r="AE430" s="56"/>
      <c r="AF430" s="52"/>
      <c r="AG430" s="51"/>
      <c r="AH430" s="70"/>
      <c r="AI430" s="58"/>
      <c r="AJ430" s="55"/>
      <c r="AK430" s="51"/>
      <c r="AL430" s="69"/>
      <c r="AM430" s="56"/>
      <c r="AN430" s="52"/>
      <c r="AO430" s="51"/>
      <c r="AP430" s="70"/>
      <c r="AQ430" s="58"/>
      <c r="AR430" s="55"/>
      <c r="AS430" s="51"/>
      <c r="AT430" s="69"/>
      <c r="AU430" s="56"/>
      <c r="AV430" s="52"/>
      <c r="AW430" s="51"/>
      <c r="BR430" s="34" t="str">
        <f>IF(E430="","",CONCATENATE(E430," ",F430," noches"))</f>
        <v/>
      </c>
      <c r="BS430" s="28" t="str">
        <f t="shared" ca="1" si="104"/>
        <v/>
      </c>
      <c r="BT430" s="28" t="str">
        <f t="shared" ca="1" si="105"/>
        <v/>
      </c>
    </row>
    <row r="431" spans="1:72" x14ac:dyDescent="0.2">
      <c r="A431" s="18" t="str" cm="1">
        <f t="array" aca="1" ref="A431" ca="1">IF(B431="","","Grupo N˚"&amp;SUMPRODUCT(($B$4:B431&lt;&gt;"")*($B$4:B431&lt;&gt;OFFSET($B$4,-1,0,ROWS($B$4:B431),1))))</f>
        <v/>
      </c>
      <c r="B431" s="31"/>
      <c r="C431" s="31"/>
      <c r="D431" s="31"/>
      <c r="E431" s="31"/>
      <c r="F431" s="32"/>
      <c r="G431" s="33"/>
      <c r="H431" s="33"/>
      <c r="I431" s="20" t="str">
        <f t="shared" si="94"/>
        <v/>
      </c>
      <c r="J431" s="21" t="str">
        <f>IFERROR(VLOOKUP(BR431,Pricing!$D$3:$E$58,2,FALSE),"")</f>
        <v/>
      </c>
      <c r="K431" s="32"/>
      <c r="L431" s="32"/>
      <c r="M431" s="32"/>
      <c r="N431" s="36" t="str" cm="1">
        <f t="array" ref="N431">IFERROR(_xlfn.IFS((AND(K431="SI",M431="$")),J431*0.2,AND(K431="SI",M431="%"),20),"")</f>
        <v/>
      </c>
      <c r="O431" s="29" t="str">
        <f t="shared" si="95"/>
        <v/>
      </c>
      <c r="P431" s="21" t="str">
        <f t="shared" si="96"/>
        <v/>
      </c>
      <c r="Q431" s="21" t="str">
        <f t="shared" si="97"/>
        <v/>
      </c>
      <c r="R431" s="21" t="str">
        <f t="shared" si="98"/>
        <v/>
      </c>
      <c r="S431" s="39"/>
      <c r="T431" s="43" t="str">
        <f t="shared" si="106"/>
        <v/>
      </c>
      <c r="U431" s="49" t="str">
        <f t="shared" si="107"/>
        <v/>
      </c>
      <c r="V431" s="48" t="str">
        <f t="shared" si="108"/>
        <v/>
      </c>
      <c r="W431" s="48" t="str">
        <f t="shared" si="99"/>
        <v/>
      </c>
      <c r="X431" s="50" t="str">
        <f>IF(W431="","",SUMIF($B$4:$B$1002,B431,$W$4:$W$1000))</f>
        <v/>
      </c>
      <c r="Y431" s="43" t="str">
        <f t="shared" si="100"/>
        <v/>
      </c>
      <c r="Z431" s="49" t="str">
        <f t="shared" si="101"/>
        <v/>
      </c>
      <c r="AA431" s="48" t="str">
        <f t="shared" si="102"/>
        <v/>
      </c>
      <c r="AB431" s="49" t="str">
        <f t="shared" si="103"/>
        <v/>
      </c>
      <c r="AC431" s="50" t="str">
        <f>IF(AB431="","",SUMIF($B$4:$B$1002,B431,$AB$4:$AB$1000))</f>
        <v/>
      </c>
      <c r="AD431" s="69"/>
      <c r="AE431" s="56"/>
      <c r="AF431" s="52"/>
      <c r="AG431" s="51"/>
      <c r="AH431" s="70"/>
      <c r="AI431" s="58"/>
      <c r="AJ431" s="55"/>
      <c r="AK431" s="51"/>
      <c r="AL431" s="69"/>
      <c r="AM431" s="56"/>
      <c r="AN431" s="52"/>
      <c r="AO431" s="51"/>
      <c r="AP431" s="70"/>
      <c r="AQ431" s="58"/>
      <c r="AR431" s="55"/>
      <c r="AS431" s="51"/>
      <c r="AT431" s="69"/>
      <c r="AU431" s="56"/>
      <c r="AV431" s="52"/>
      <c r="AW431" s="51"/>
      <c r="BR431" s="34" t="str">
        <f>IF(E431="","",CONCATENATE(E431," ",F431," noches"))</f>
        <v/>
      </c>
      <c r="BS431" s="28" t="str">
        <f t="shared" ca="1" si="104"/>
        <v/>
      </c>
      <c r="BT431" s="28" t="str">
        <f t="shared" ca="1" si="105"/>
        <v/>
      </c>
    </row>
    <row r="432" spans="1:72" x14ac:dyDescent="0.2">
      <c r="A432" s="18" t="str" cm="1">
        <f t="array" aca="1" ref="A432" ca="1">IF(B432="","","Grupo N˚"&amp;SUMPRODUCT(($B$4:B432&lt;&gt;"")*($B$4:B432&lt;&gt;OFFSET($B$4,-1,0,ROWS($B$4:B432),1))))</f>
        <v/>
      </c>
      <c r="B432" s="31"/>
      <c r="C432" s="31"/>
      <c r="D432" s="31"/>
      <c r="E432" s="31"/>
      <c r="F432" s="32"/>
      <c r="G432" s="33"/>
      <c r="H432" s="33"/>
      <c r="I432" s="20" t="str">
        <f t="shared" si="94"/>
        <v/>
      </c>
      <c r="J432" s="21" t="str">
        <f>IFERROR(VLOOKUP(BR432,Pricing!$D$3:$E$58,2,FALSE),"")</f>
        <v/>
      </c>
      <c r="K432" s="32"/>
      <c r="L432" s="32"/>
      <c r="M432" s="32"/>
      <c r="N432" s="36" t="str" cm="1">
        <f t="array" ref="N432">IFERROR(_xlfn.IFS((AND(K432="SI",M432="$")),J432*0.2,AND(K432="SI",M432="%"),20),"")</f>
        <v/>
      </c>
      <c r="O432" s="29" t="str">
        <f t="shared" si="95"/>
        <v/>
      </c>
      <c r="P432" s="21" t="str">
        <f t="shared" si="96"/>
        <v/>
      </c>
      <c r="Q432" s="21" t="str">
        <f t="shared" si="97"/>
        <v/>
      </c>
      <c r="R432" s="21" t="str">
        <f t="shared" si="98"/>
        <v/>
      </c>
      <c r="S432" s="39"/>
      <c r="T432" s="43" t="str">
        <f t="shared" si="106"/>
        <v/>
      </c>
      <c r="U432" s="49" t="str">
        <f t="shared" si="107"/>
        <v/>
      </c>
      <c r="V432" s="48" t="str">
        <f t="shared" si="108"/>
        <v/>
      </c>
      <c r="W432" s="48" t="str">
        <f t="shared" si="99"/>
        <v/>
      </c>
      <c r="X432" s="50" t="str">
        <f>IF(W432="","",SUMIF($B$4:$B$1002,B432,$W$4:$W$1000))</f>
        <v/>
      </c>
      <c r="Y432" s="43" t="str">
        <f t="shared" si="100"/>
        <v/>
      </c>
      <c r="Z432" s="49" t="str">
        <f t="shared" si="101"/>
        <v/>
      </c>
      <c r="AA432" s="48" t="str">
        <f t="shared" si="102"/>
        <v/>
      </c>
      <c r="AB432" s="49" t="str">
        <f t="shared" si="103"/>
        <v/>
      </c>
      <c r="AC432" s="50" t="str">
        <f>IF(AB432="","",SUMIF($B$4:$B$1002,B432,$AB$4:$AB$1000))</f>
        <v/>
      </c>
      <c r="AD432" s="69"/>
      <c r="AE432" s="56"/>
      <c r="AF432" s="52"/>
      <c r="AG432" s="51"/>
      <c r="AH432" s="70"/>
      <c r="AI432" s="58"/>
      <c r="AJ432" s="55"/>
      <c r="AK432" s="51"/>
      <c r="AL432" s="69"/>
      <c r="AM432" s="56"/>
      <c r="AN432" s="52"/>
      <c r="AO432" s="51"/>
      <c r="AP432" s="70"/>
      <c r="AQ432" s="58"/>
      <c r="AR432" s="55"/>
      <c r="AS432" s="51"/>
      <c r="AT432" s="69"/>
      <c r="AU432" s="56"/>
      <c r="AV432" s="52"/>
      <c r="AW432" s="51"/>
      <c r="BR432" s="34" t="str">
        <f>IF(E432="","",CONCATENATE(E432," ",F432," noches"))</f>
        <v/>
      </c>
      <c r="BS432" s="28" t="str">
        <f t="shared" ca="1" si="104"/>
        <v/>
      </c>
      <c r="BT432" s="28" t="str">
        <f t="shared" ca="1" si="105"/>
        <v/>
      </c>
    </row>
    <row r="433" spans="1:72" x14ac:dyDescent="0.2">
      <c r="A433" s="18" t="str" cm="1">
        <f t="array" aca="1" ref="A433" ca="1">IF(B433="","","Grupo N˚"&amp;SUMPRODUCT(($B$4:B433&lt;&gt;"")*($B$4:B433&lt;&gt;OFFSET($B$4,-1,0,ROWS($B$4:B433),1))))</f>
        <v/>
      </c>
      <c r="B433" s="31"/>
      <c r="C433" s="31"/>
      <c r="D433" s="31"/>
      <c r="E433" s="31"/>
      <c r="F433" s="32"/>
      <c r="G433" s="33"/>
      <c r="H433" s="33"/>
      <c r="I433" s="20" t="str">
        <f t="shared" si="94"/>
        <v/>
      </c>
      <c r="J433" s="21" t="str">
        <f>IFERROR(VLOOKUP(BR433,Pricing!$D$3:$E$58,2,FALSE),"")</f>
        <v/>
      </c>
      <c r="K433" s="32"/>
      <c r="L433" s="32"/>
      <c r="M433" s="32"/>
      <c r="N433" s="36" t="str" cm="1">
        <f t="array" ref="N433">IFERROR(_xlfn.IFS((AND(K433="SI",M433="$")),J433*0.2,AND(K433="SI",M433="%"),20),"")</f>
        <v/>
      </c>
      <c r="O433" s="29" t="str">
        <f t="shared" si="95"/>
        <v/>
      </c>
      <c r="P433" s="21" t="str">
        <f t="shared" si="96"/>
        <v/>
      </c>
      <c r="Q433" s="21" t="str">
        <f t="shared" si="97"/>
        <v/>
      </c>
      <c r="R433" s="21" t="str">
        <f t="shared" si="98"/>
        <v/>
      </c>
      <c r="S433" s="39"/>
      <c r="T433" s="43" t="str">
        <f t="shared" si="106"/>
        <v/>
      </c>
      <c r="U433" s="49" t="str">
        <f t="shared" si="107"/>
        <v/>
      </c>
      <c r="V433" s="48" t="str">
        <f t="shared" si="108"/>
        <v/>
      </c>
      <c r="W433" s="48" t="str">
        <f t="shared" si="99"/>
        <v/>
      </c>
      <c r="X433" s="50" t="str">
        <f>IF(W433="","",SUMIF($B$4:$B$1002,B433,$W$4:$W$1000))</f>
        <v/>
      </c>
      <c r="Y433" s="43" t="str">
        <f t="shared" si="100"/>
        <v/>
      </c>
      <c r="Z433" s="49" t="str">
        <f t="shared" si="101"/>
        <v/>
      </c>
      <c r="AA433" s="48" t="str">
        <f t="shared" si="102"/>
        <v/>
      </c>
      <c r="AB433" s="49" t="str">
        <f t="shared" si="103"/>
        <v/>
      </c>
      <c r="AC433" s="50" t="str">
        <f>IF(AB433="","",SUMIF($B$4:$B$1002,B433,$AB$4:$AB$1000))</f>
        <v/>
      </c>
      <c r="AD433" s="69"/>
      <c r="AE433" s="56"/>
      <c r="AF433" s="52"/>
      <c r="AG433" s="51"/>
      <c r="AH433" s="70"/>
      <c r="AI433" s="58"/>
      <c r="AJ433" s="55"/>
      <c r="AK433" s="51"/>
      <c r="AL433" s="69"/>
      <c r="AM433" s="56"/>
      <c r="AN433" s="52"/>
      <c r="AO433" s="51"/>
      <c r="AP433" s="70"/>
      <c r="AQ433" s="58"/>
      <c r="AR433" s="55"/>
      <c r="AS433" s="51"/>
      <c r="AT433" s="69"/>
      <c r="AU433" s="56"/>
      <c r="AV433" s="52"/>
      <c r="AW433" s="51"/>
      <c r="BR433" s="34" t="str">
        <f>IF(E433="","",CONCATENATE(E433," ",F433," noches"))</f>
        <v/>
      </c>
      <c r="BS433" s="28" t="str">
        <f t="shared" ca="1" si="104"/>
        <v/>
      </c>
      <c r="BT433" s="28" t="str">
        <f t="shared" ca="1" si="105"/>
        <v/>
      </c>
    </row>
    <row r="434" spans="1:72" x14ac:dyDescent="0.2">
      <c r="A434" s="18" t="str" cm="1">
        <f t="array" aca="1" ref="A434" ca="1">IF(B434="","","Grupo N˚"&amp;SUMPRODUCT(($B$4:B434&lt;&gt;"")*($B$4:B434&lt;&gt;OFFSET($B$4,-1,0,ROWS($B$4:B434),1))))</f>
        <v/>
      </c>
      <c r="B434" s="31"/>
      <c r="C434" s="31"/>
      <c r="D434" s="31"/>
      <c r="E434" s="31"/>
      <c r="F434" s="32"/>
      <c r="G434" s="33"/>
      <c r="H434" s="33"/>
      <c r="I434" s="20" t="str">
        <f t="shared" si="94"/>
        <v/>
      </c>
      <c r="J434" s="21" t="str">
        <f>IFERROR(VLOOKUP(BR434,Pricing!$D$3:$E$58,2,FALSE),"")</f>
        <v/>
      </c>
      <c r="K434" s="32"/>
      <c r="L434" s="32"/>
      <c r="M434" s="32"/>
      <c r="N434" s="36" t="str" cm="1">
        <f t="array" ref="N434">IFERROR(_xlfn.IFS((AND(K434="SI",M434="$")),J434*0.2,AND(K434="SI",M434="%"),20),"")</f>
        <v/>
      </c>
      <c r="O434" s="29" t="str">
        <f t="shared" si="95"/>
        <v/>
      </c>
      <c r="P434" s="21" t="str">
        <f t="shared" si="96"/>
        <v/>
      </c>
      <c r="Q434" s="21" t="str">
        <f t="shared" si="97"/>
        <v/>
      </c>
      <c r="R434" s="21" t="str">
        <f t="shared" si="98"/>
        <v/>
      </c>
      <c r="S434" s="39"/>
      <c r="T434" s="43" t="str">
        <f t="shared" si="106"/>
        <v/>
      </c>
      <c r="U434" s="49" t="str">
        <f t="shared" si="107"/>
        <v/>
      </c>
      <c r="V434" s="48" t="str">
        <f t="shared" si="108"/>
        <v/>
      </c>
      <c r="W434" s="48" t="str">
        <f t="shared" si="99"/>
        <v/>
      </c>
      <c r="X434" s="50" t="str">
        <f>IF(W434="","",SUMIF($B$4:$B$1002,B434,$W$4:$W$1000))</f>
        <v/>
      </c>
      <c r="Y434" s="43" t="str">
        <f t="shared" si="100"/>
        <v/>
      </c>
      <c r="Z434" s="49" t="str">
        <f t="shared" si="101"/>
        <v/>
      </c>
      <c r="AA434" s="48" t="str">
        <f t="shared" si="102"/>
        <v/>
      </c>
      <c r="AB434" s="49" t="str">
        <f t="shared" si="103"/>
        <v/>
      </c>
      <c r="AC434" s="50" t="str">
        <f>IF(AB434="","",SUMIF($B$4:$B$1002,B434,$AB$4:$AB$1000))</f>
        <v/>
      </c>
      <c r="AD434" s="69"/>
      <c r="AE434" s="56"/>
      <c r="AF434" s="52"/>
      <c r="AG434" s="51"/>
      <c r="AH434" s="70"/>
      <c r="AI434" s="58"/>
      <c r="AJ434" s="55"/>
      <c r="AK434" s="51"/>
      <c r="AL434" s="69"/>
      <c r="AM434" s="56"/>
      <c r="AN434" s="52"/>
      <c r="AO434" s="51"/>
      <c r="AP434" s="70"/>
      <c r="AQ434" s="58"/>
      <c r="AR434" s="55"/>
      <c r="AS434" s="51"/>
      <c r="AT434" s="69"/>
      <c r="AU434" s="56"/>
      <c r="AV434" s="52"/>
      <c r="AW434" s="51"/>
      <c r="BR434" s="34" t="str">
        <f>IF(E434="","",CONCATENATE(E434," ",F434," noches"))</f>
        <v/>
      </c>
      <c r="BS434" s="28" t="str">
        <f t="shared" ca="1" si="104"/>
        <v/>
      </c>
      <c r="BT434" s="28" t="str">
        <f t="shared" ca="1" si="105"/>
        <v/>
      </c>
    </row>
    <row r="435" spans="1:72" x14ac:dyDescent="0.2">
      <c r="A435" s="18" t="str" cm="1">
        <f t="array" aca="1" ref="A435" ca="1">IF(B435="","","Grupo N˚"&amp;SUMPRODUCT(($B$4:B435&lt;&gt;"")*($B$4:B435&lt;&gt;OFFSET($B$4,-1,0,ROWS($B$4:B435),1))))</f>
        <v/>
      </c>
      <c r="B435" s="31"/>
      <c r="C435" s="31"/>
      <c r="D435" s="31"/>
      <c r="E435" s="31"/>
      <c r="F435" s="32"/>
      <c r="G435" s="33"/>
      <c r="H435" s="33"/>
      <c r="I435" s="20" t="str">
        <f t="shared" si="94"/>
        <v/>
      </c>
      <c r="J435" s="21" t="str">
        <f>IFERROR(VLOOKUP(BR435,Pricing!$D$3:$E$58,2,FALSE),"")</f>
        <v/>
      </c>
      <c r="K435" s="32"/>
      <c r="L435" s="32"/>
      <c r="M435" s="32"/>
      <c r="N435" s="36" t="str" cm="1">
        <f t="array" ref="N435">IFERROR(_xlfn.IFS((AND(K435="SI",M435="$")),J435*0.2,AND(K435="SI",M435="%"),20),"")</f>
        <v/>
      </c>
      <c r="O435" s="29" t="str">
        <f t="shared" si="95"/>
        <v/>
      </c>
      <c r="P435" s="21" t="str">
        <f t="shared" si="96"/>
        <v/>
      </c>
      <c r="Q435" s="21" t="str">
        <f t="shared" si="97"/>
        <v/>
      </c>
      <c r="R435" s="21" t="str">
        <f t="shared" si="98"/>
        <v/>
      </c>
      <c r="S435" s="39"/>
      <c r="T435" s="43" t="str">
        <f t="shared" si="106"/>
        <v/>
      </c>
      <c r="U435" s="49" t="str">
        <f t="shared" si="107"/>
        <v/>
      </c>
      <c r="V435" s="48" t="str">
        <f t="shared" si="108"/>
        <v/>
      </c>
      <c r="W435" s="48" t="str">
        <f t="shared" si="99"/>
        <v/>
      </c>
      <c r="X435" s="50" t="str">
        <f>IF(W435="","",SUMIF($B$4:$B$1002,B435,$W$4:$W$1000))</f>
        <v/>
      </c>
      <c r="Y435" s="43" t="str">
        <f t="shared" si="100"/>
        <v/>
      </c>
      <c r="Z435" s="49" t="str">
        <f t="shared" si="101"/>
        <v/>
      </c>
      <c r="AA435" s="48" t="str">
        <f t="shared" si="102"/>
        <v/>
      </c>
      <c r="AB435" s="49" t="str">
        <f t="shared" si="103"/>
        <v/>
      </c>
      <c r="AC435" s="50" t="str">
        <f>IF(AB435="","",SUMIF($B$4:$B$1002,B435,$AB$4:$AB$1000))</f>
        <v/>
      </c>
      <c r="AD435" s="69"/>
      <c r="AE435" s="56"/>
      <c r="AF435" s="52"/>
      <c r="AG435" s="51"/>
      <c r="AH435" s="70"/>
      <c r="AI435" s="58"/>
      <c r="AJ435" s="55"/>
      <c r="AK435" s="51"/>
      <c r="AL435" s="69"/>
      <c r="AM435" s="56"/>
      <c r="AN435" s="52"/>
      <c r="AO435" s="51"/>
      <c r="AP435" s="70"/>
      <c r="AQ435" s="58"/>
      <c r="AR435" s="55"/>
      <c r="AS435" s="51"/>
      <c r="AT435" s="69"/>
      <c r="AU435" s="56"/>
      <c r="AV435" s="52"/>
      <c r="AW435" s="51"/>
      <c r="BR435" s="34" t="str">
        <f>IF(E435="","",CONCATENATE(E435," ",F435," noches"))</f>
        <v/>
      </c>
      <c r="BS435" s="28" t="str">
        <f t="shared" ca="1" si="104"/>
        <v/>
      </c>
      <c r="BT435" s="28" t="str">
        <f t="shared" ca="1" si="105"/>
        <v/>
      </c>
    </row>
    <row r="436" spans="1:72" x14ac:dyDescent="0.2">
      <c r="A436" s="18" t="str" cm="1">
        <f t="array" aca="1" ref="A436" ca="1">IF(B436="","","Grupo N˚"&amp;SUMPRODUCT(($B$4:B436&lt;&gt;"")*($B$4:B436&lt;&gt;OFFSET($B$4,-1,0,ROWS($B$4:B436),1))))</f>
        <v/>
      </c>
      <c r="B436" s="31"/>
      <c r="C436" s="31"/>
      <c r="D436" s="31"/>
      <c r="E436" s="31"/>
      <c r="F436" s="32"/>
      <c r="G436" s="33"/>
      <c r="H436" s="33"/>
      <c r="I436" s="20" t="str">
        <f t="shared" si="94"/>
        <v/>
      </c>
      <c r="J436" s="21" t="str">
        <f>IFERROR(VLOOKUP(BR436,Pricing!$D$3:$E$58,2,FALSE),"")</f>
        <v/>
      </c>
      <c r="K436" s="32"/>
      <c r="L436" s="32"/>
      <c r="M436" s="32"/>
      <c r="N436" s="36" t="str" cm="1">
        <f t="array" ref="N436">IFERROR(_xlfn.IFS((AND(K436="SI",M436="$")),J436*0.2,AND(K436="SI",M436="%"),20),"")</f>
        <v/>
      </c>
      <c r="O436" s="29" t="str">
        <f t="shared" si="95"/>
        <v/>
      </c>
      <c r="P436" s="21" t="str">
        <f t="shared" si="96"/>
        <v/>
      </c>
      <c r="Q436" s="21" t="str">
        <f t="shared" si="97"/>
        <v/>
      </c>
      <c r="R436" s="21" t="str">
        <f t="shared" si="98"/>
        <v/>
      </c>
      <c r="S436" s="39"/>
      <c r="T436" s="43" t="str">
        <f t="shared" si="106"/>
        <v/>
      </c>
      <c r="U436" s="49" t="str">
        <f t="shared" si="107"/>
        <v/>
      </c>
      <c r="V436" s="48" t="str">
        <f t="shared" si="108"/>
        <v/>
      </c>
      <c r="W436" s="48" t="str">
        <f t="shared" si="99"/>
        <v/>
      </c>
      <c r="X436" s="50" t="str">
        <f>IF(W436="","",SUMIF($B$4:$B$1002,B436,$W$4:$W$1000))</f>
        <v/>
      </c>
      <c r="Y436" s="43" t="str">
        <f t="shared" si="100"/>
        <v/>
      </c>
      <c r="Z436" s="49" t="str">
        <f t="shared" si="101"/>
        <v/>
      </c>
      <c r="AA436" s="48" t="str">
        <f t="shared" si="102"/>
        <v/>
      </c>
      <c r="AB436" s="49" t="str">
        <f t="shared" si="103"/>
        <v/>
      </c>
      <c r="AC436" s="50" t="str">
        <f>IF(AB436="","",SUMIF($B$4:$B$1002,B436,$AB$4:$AB$1000))</f>
        <v/>
      </c>
      <c r="AD436" s="69"/>
      <c r="AE436" s="56"/>
      <c r="AF436" s="52"/>
      <c r="AG436" s="51"/>
      <c r="AH436" s="70"/>
      <c r="AI436" s="58"/>
      <c r="AJ436" s="55"/>
      <c r="AK436" s="51"/>
      <c r="AL436" s="69"/>
      <c r="AM436" s="56"/>
      <c r="AN436" s="52"/>
      <c r="AO436" s="51"/>
      <c r="AP436" s="70"/>
      <c r="AQ436" s="58"/>
      <c r="AR436" s="55"/>
      <c r="AS436" s="51"/>
      <c r="AT436" s="69"/>
      <c r="AU436" s="56"/>
      <c r="AV436" s="52"/>
      <c r="AW436" s="51"/>
      <c r="BR436" s="34" t="str">
        <f>IF(E436="","",CONCATENATE(E436," ",F436," noches"))</f>
        <v/>
      </c>
      <c r="BS436" s="28" t="str">
        <f t="shared" ca="1" si="104"/>
        <v/>
      </c>
      <c r="BT436" s="28" t="str">
        <f t="shared" ca="1" si="105"/>
        <v/>
      </c>
    </row>
    <row r="437" spans="1:72" x14ac:dyDescent="0.2">
      <c r="A437" s="18" t="str" cm="1">
        <f t="array" aca="1" ref="A437" ca="1">IF(B437="","","Grupo N˚"&amp;SUMPRODUCT(($B$4:B437&lt;&gt;"")*($B$4:B437&lt;&gt;OFFSET($B$4,-1,0,ROWS($B$4:B437),1))))</f>
        <v/>
      </c>
      <c r="B437" s="31"/>
      <c r="C437" s="31"/>
      <c r="D437" s="31"/>
      <c r="E437" s="31"/>
      <c r="F437" s="32"/>
      <c r="G437" s="33"/>
      <c r="H437" s="33"/>
      <c r="I437" s="20" t="str">
        <f t="shared" si="94"/>
        <v/>
      </c>
      <c r="J437" s="21" t="str">
        <f>IFERROR(VLOOKUP(BR437,Pricing!$D$3:$E$58,2,FALSE),"")</f>
        <v/>
      </c>
      <c r="K437" s="32"/>
      <c r="L437" s="32"/>
      <c r="M437" s="32"/>
      <c r="N437" s="36" t="str" cm="1">
        <f t="array" ref="N437">IFERROR(_xlfn.IFS((AND(K437="SI",M437="$")),J437*0.2,AND(K437="SI",M437="%"),20),"")</f>
        <v/>
      </c>
      <c r="O437" s="29" t="str">
        <f t="shared" si="95"/>
        <v/>
      </c>
      <c r="P437" s="21" t="str">
        <f t="shared" si="96"/>
        <v/>
      </c>
      <c r="Q437" s="21" t="str">
        <f t="shared" si="97"/>
        <v/>
      </c>
      <c r="R437" s="21" t="str">
        <f t="shared" si="98"/>
        <v/>
      </c>
      <c r="S437" s="39"/>
      <c r="T437" s="43" t="str">
        <f t="shared" si="106"/>
        <v/>
      </c>
      <c r="U437" s="49" t="str">
        <f t="shared" si="107"/>
        <v/>
      </c>
      <c r="V437" s="48" t="str">
        <f t="shared" si="108"/>
        <v/>
      </c>
      <c r="W437" s="48" t="str">
        <f t="shared" si="99"/>
        <v/>
      </c>
      <c r="X437" s="50" t="str">
        <f>IF(W437="","",SUMIF($B$4:$B$1002,B437,$W$4:$W$1000))</f>
        <v/>
      </c>
      <c r="Y437" s="43" t="str">
        <f t="shared" si="100"/>
        <v/>
      </c>
      <c r="Z437" s="49" t="str">
        <f t="shared" si="101"/>
        <v/>
      </c>
      <c r="AA437" s="48" t="str">
        <f t="shared" si="102"/>
        <v/>
      </c>
      <c r="AB437" s="49" t="str">
        <f t="shared" si="103"/>
        <v/>
      </c>
      <c r="AC437" s="50" t="str">
        <f>IF(AB437="","",SUMIF($B$4:$B$1002,B437,$AB$4:$AB$1000))</f>
        <v/>
      </c>
      <c r="AD437" s="69"/>
      <c r="AE437" s="56"/>
      <c r="AF437" s="52"/>
      <c r="AG437" s="51"/>
      <c r="AH437" s="70"/>
      <c r="AI437" s="58"/>
      <c r="AJ437" s="55"/>
      <c r="AK437" s="51"/>
      <c r="AL437" s="69"/>
      <c r="AM437" s="56"/>
      <c r="AN437" s="52"/>
      <c r="AO437" s="51"/>
      <c r="AP437" s="70"/>
      <c r="AQ437" s="58"/>
      <c r="AR437" s="55"/>
      <c r="AS437" s="51"/>
      <c r="AT437" s="69"/>
      <c r="AU437" s="56"/>
      <c r="AV437" s="52"/>
      <c r="AW437" s="51"/>
      <c r="BR437" s="34" t="str">
        <f>IF(E437="","",CONCATENATE(E437," ",F437," noches"))</f>
        <v/>
      </c>
      <c r="BS437" s="28" t="str">
        <f t="shared" ca="1" si="104"/>
        <v/>
      </c>
      <c r="BT437" s="28" t="str">
        <f t="shared" ca="1" si="105"/>
        <v/>
      </c>
    </row>
    <row r="438" spans="1:72" x14ac:dyDescent="0.2">
      <c r="A438" s="18" t="str" cm="1">
        <f t="array" aca="1" ref="A438" ca="1">IF(B438="","","Grupo N˚"&amp;SUMPRODUCT(($B$4:B438&lt;&gt;"")*($B$4:B438&lt;&gt;OFFSET($B$4,-1,0,ROWS($B$4:B438),1))))</f>
        <v/>
      </c>
      <c r="B438" s="31"/>
      <c r="C438" s="31"/>
      <c r="D438" s="31"/>
      <c r="E438" s="31"/>
      <c r="F438" s="32"/>
      <c r="G438" s="33"/>
      <c r="H438" s="33"/>
      <c r="I438" s="20" t="str">
        <f t="shared" si="94"/>
        <v/>
      </c>
      <c r="J438" s="21" t="str">
        <f>IFERROR(VLOOKUP(BR438,Pricing!$D$3:$E$58,2,FALSE),"")</f>
        <v/>
      </c>
      <c r="K438" s="32"/>
      <c r="L438" s="32"/>
      <c r="M438" s="32"/>
      <c r="N438" s="36" t="str" cm="1">
        <f t="array" ref="N438">IFERROR(_xlfn.IFS((AND(K438="SI",M438="$")),J438*0.2,AND(K438="SI",M438="%"),20),"")</f>
        <v/>
      </c>
      <c r="O438" s="29" t="str">
        <f t="shared" si="95"/>
        <v/>
      </c>
      <c r="P438" s="21" t="str">
        <f t="shared" si="96"/>
        <v/>
      </c>
      <c r="Q438" s="21" t="str">
        <f t="shared" si="97"/>
        <v/>
      </c>
      <c r="R438" s="21" t="str">
        <f t="shared" si="98"/>
        <v/>
      </c>
      <c r="S438" s="39"/>
      <c r="T438" s="43" t="str">
        <f t="shared" si="106"/>
        <v/>
      </c>
      <c r="U438" s="49" t="str">
        <f t="shared" si="107"/>
        <v/>
      </c>
      <c r="V438" s="48" t="str">
        <f t="shared" si="108"/>
        <v/>
      </c>
      <c r="W438" s="48" t="str">
        <f t="shared" si="99"/>
        <v/>
      </c>
      <c r="X438" s="50" t="str">
        <f>IF(W438="","",SUMIF($B$4:$B$1002,B438,$W$4:$W$1000))</f>
        <v/>
      </c>
      <c r="Y438" s="43" t="str">
        <f t="shared" si="100"/>
        <v/>
      </c>
      <c r="Z438" s="49" t="str">
        <f t="shared" si="101"/>
        <v/>
      </c>
      <c r="AA438" s="48" t="str">
        <f t="shared" si="102"/>
        <v/>
      </c>
      <c r="AB438" s="49" t="str">
        <f t="shared" si="103"/>
        <v/>
      </c>
      <c r="AC438" s="50" t="str">
        <f>IF(AB438="","",SUMIF($B$4:$B$1002,B438,$AB$4:$AB$1000))</f>
        <v/>
      </c>
      <c r="AD438" s="69"/>
      <c r="AE438" s="56"/>
      <c r="AF438" s="52"/>
      <c r="AG438" s="51"/>
      <c r="AH438" s="70"/>
      <c r="AI438" s="58"/>
      <c r="AJ438" s="55"/>
      <c r="AK438" s="51"/>
      <c r="AL438" s="69"/>
      <c r="AM438" s="56"/>
      <c r="AN438" s="52"/>
      <c r="AO438" s="51"/>
      <c r="AP438" s="70"/>
      <c r="AQ438" s="58"/>
      <c r="AR438" s="55"/>
      <c r="AS438" s="51"/>
      <c r="AT438" s="69"/>
      <c r="AU438" s="56"/>
      <c r="AV438" s="52"/>
      <c r="AW438" s="51"/>
      <c r="BR438" s="34" t="str">
        <f>IF(E438="","",CONCATENATE(E438," ",F438," noches"))</f>
        <v/>
      </c>
      <c r="BS438" s="28" t="str">
        <f t="shared" ca="1" si="104"/>
        <v/>
      </c>
      <c r="BT438" s="28" t="str">
        <f t="shared" ca="1" si="105"/>
        <v/>
      </c>
    </row>
    <row r="439" spans="1:72" x14ac:dyDescent="0.2">
      <c r="A439" s="18" t="str" cm="1">
        <f t="array" aca="1" ref="A439" ca="1">IF(B439="","","Grupo N˚"&amp;SUMPRODUCT(($B$4:B439&lt;&gt;"")*($B$4:B439&lt;&gt;OFFSET($B$4,-1,0,ROWS($B$4:B439),1))))</f>
        <v/>
      </c>
      <c r="B439" s="31"/>
      <c r="C439" s="31"/>
      <c r="D439" s="31"/>
      <c r="E439" s="31"/>
      <c r="F439" s="32"/>
      <c r="G439" s="33"/>
      <c r="H439" s="33"/>
      <c r="I439" s="20" t="str">
        <f t="shared" si="94"/>
        <v/>
      </c>
      <c r="J439" s="21" t="str">
        <f>IFERROR(VLOOKUP(BR439,Pricing!$D$3:$E$58,2,FALSE),"")</f>
        <v/>
      </c>
      <c r="K439" s="32"/>
      <c r="L439" s="32"/>
      <c r="M439" s="32"/>
      <c r="N439" s="36" t="str" cm="1">
        <f t="array" ref="N439">IFERROR(_xlfn.IFS((AND(K439="SI",M439="$")),J439*0.2,AND(K439="SI",M439="%"),20),"")</f>
        <v/>
      </c>
      <c r="O439" s="29" t="str">
        <f t="shared" si="95"/>
        <v/>
      </c>
      <c r="P439" s="21" t="str">
        <f t="shared" si="96"/>
        <v/>
      </c>
      <c r="Q439" s="21" t="str">
        <f t="shared" si="97"/>
        <v/>
      </c>
      <c r="R439" s="21" t="str">
        <f t="shared" si="98"/>
        <v/>
      </c>
      <c r="S439" s="39"/>
      <c r="T439" s="43" t="str">
        <f t="shared" si="106"/>
        <v/>
      </c>
      <c r="U439" s="49" t="str">
        <f t="shared" si="107"/>
        <v/>
      </c>
      <c r="V439" s="48" t="str">
        <f t="shared" si="108"/>
        <v/>
      </c>
      <c r="W439" s="48" t="str">
        <f t="shared" si="99"/>
        <v/>
      </c>
      <c r="X439" s="50" t="str">
        <f>IF(W439="","",SUMIF($B$4:$B$1002,B439,$W$4:$W$1000))</f>
        <v/>
      </c>
      <c r="Y439" s="43" t="str">
        <f t="shared" si="100"/>
        <v/>
      </c>
      <c r="Z439" s="49" t="str">
        <f t="shared" si="101"/>
        <v/>
      </c>
      <c r="AA439" s="48" t="str">
        <f t="shared" si="102"/>
        <v/>
      </c>
      <c r="AB439" s="49" t="str">
        <f t="shared" si="103"/>
        <v/>
      </c>
      <c r="AC439" s="50" t="str">
        <f>IF(AB439="","",SUMIF($B$4:$B$1002,B439,$AB$4:$AB$1000))</f>
        <v/>
      </c>
      <c r="AD439" s="69"/>
      <c r="AE439" s="56"/>
      <c r="AF439" s="52"/>
      <c r="AG439" s="51"/>
      <c r="AH439" s="70"/>
      <c r="AI439" s="58"/>
      <c r="AJ439" s="55"/>
      <c r="AK439" s="51"/>
      <c r="AL439" s="69"/>
      <c r="AM439" s="56"/>
      <c r="AN439" s="52"/>
      <c r="AO439" s="51"/>
      <c r="AP439" s="70"/>
      <c r="AQ439" s="58"/>
      <c r="AR439" s="55"/>
      <c r="AS439" s="51"/>
      <c r="AT439" s="69"/>
      <c r="AU439" s="56"/>
      <c r="AV439" s="52"/>
      <c r="AW439" s="51"/>
      <c r="BR439" s="34" t="str">
        <f>IF(E439="","",CONCATENATE(E439," ",F439," noches"))</f>
        <v/>
      </c>
      <c r="BS439" s="28" t="str">
        <f t="shared" ca="1" si="104"/>
        <v/>
      </c>
      <c r="BT439" s="28" t="str">
        <f t="shared" ca="1" si="105"/>
        <v/>
      </c>
    </row>
    <row r="440" spans="1:72" x14ac:dyDescent="0.2">
      <c r="A440" s="18" t="str" cm="1">
        <f t="array" aca="1" ref="A440" ca="1">IF(B440="","","Grupo N˚"&amp;SUMPRODUCT(($B$4:B440&lt;&gt;"")*($B$4:B440&lt;&gt;OFFSET($B$4,-1,0,ROWS($B$4:B440),1))))</f>
        <v/>
      </c>
      <c r="B440" s="31"/>
      <c r="C440" s="31"/>
      <c r="D440" s="31"/>
      <c r="E440" s="31"/>
      <c r="F440" s="32"/>
      <c r="G440" s="33"/>
      <c r="H440" s="33"/>
      <c r="I440" s="20" t="str">
        <f t="shared" si="94"/>
        <v/>
      </c>
      <c r="J440" s="21" t="str">
        <f>IFERROR(VLOOKUP(BR440,Pricing!$D$3:$E$58,2,FALSE),"")</f>
        <v/>
      </c>
      <c r="K440" s="32"/>
      <c r="L440" s="32"/>
      <c r="M440" s="32"/>
      <c r="N440" s="36" t="str" cm="1">
        <f t="array" ref="N440">IFERROR(_xlfn.IFS((AND(K440="SI",M440="$")),J440*0.2,AND(K440="SI",M440="%"),20),"")</f>
        <v/>
      </c>
      <c r="O440" s="29" t="str">
        <f t="shared" si="95"/>
        <v/>
      </c>
      <c r="P440" s="21" t="str">
        <f t="shared" si="96"/>
        <v/>
      </c>
      <c r="Q440" s="21" t="str">
        <f t="shared" si="97"/>
        <v/>
      </c>
      <c r="R440" s="21" t="str">
        <f t="shared" si="98"/>
        <v/>
      </c>
      <c r="S440" s="39"/>
      <c r="T440" s="43" t="str">
        <f t="shared" si="106"/>
        <v/>
      </c>
      <c r="U440" s="49" t="str">
        <f t="shared" si="107"/>
        <v/>
      </c>
      <c r="V440" s="48" t="str">
        <f t="shared" si="108"/>
        <v/>
      </c>
      <c r="W440" s="48" t="str">
        <f t="shared" si="99"/>
        <v/>
      </c>
      <c r="X440" s="50" t="str">
        <f>IF(W440="","",SUMIF($B$4:$B$1002,B440,$W$4:$W$1000))</f>
        <v/>
      </c>
      <c r="Y440" s="43" t="str">
        <f t="shared" si="100"/>
        <v/>
      </c>
      <c r="Z440" s="49" t="str">
        <f t="shared" si="101"/>
        <v/>
      </c>
      <c r="AA440" s="48" t="str">
        <f t="shared" si="102"/>
        <v/>
      </c>
      <c r="AB440" s="49" t="str">
        <f t="shared" si="103"/>
        <v/>
      </c>
      <c r="AC440" s="50" t="str">
        <f>IF(AB440="","",SUMIF($B$4:$B$1002,B440,$AB$4:$AB$1000))</f>
        <v/>
      </c>
      <c r="AD440" s="69"/>
      <c r="AE440" s="56"/>
      <c r="AF440" s="52"/>
      <c r="AG440" s="51"/>
      <c r="AH440" s="70"/>
      <c r="AI440" s="58"/>
      <c r="AJ440" s="55"/>
      <c r="AK440" s="51"/>
      <c r="AL440" s="69"/>
      <c r="AM440" s="56"/>
      <c r="AN440" s="52"/>
      <c r="AO440" s="51"/>
      <c r="AP440" s="70"/>
      <c r="AQ440" s="58"/>
      <c r="AR440" s="55"/>
      <c r="AS440" s="51"/>
      <c r="AT440" s="69"/>
      <c r="AU440" s="56"/>
      <c r="AV440" s="52"/>
      <c r="AW440" s="51"/>
      <c r="BR440" s="34" t="str">
        <f>IF(E440="","",CONCATENATE(E440," ",F440," noches"))</f>
        <v/>
      </c>
      <c r="BS440" s="28" t="str">
        <f t="shared" ca="1" si="104"/>
        <v/>
      </c>
      <c r="BT440" s="28" t="str">
        <f t="shared" ca="1" si="105"/>
        <v/>
      </c>
    </row>
    <row r="441" spans="1:72" x14ac:dyDescent="0.2">
      <c r="A441" s="18" t="str" cm="1">
        <f t="array" aca="1" ref="A441" ca="1">IF(B441="","","Grupo N˚"&amp;SUMPRODUCT(($B$4:B441&lt;&gt;"")*($B$4:B441&lt;&gt;OFFSET($B$4,-1,0,ROWS($B$4:B441),1))))</f>
        <v/>
      </c>
      <c r="B441" s="31"/>
      <c r="C441" s="31"/>
      <c r="D441" s="31"/>
      <c r="E441" s="31"/>
      <c r="F441" s="32"/>
      <c r="G441" s="33"/>
      <c r="H441" s="33"/>
      <c r="I441" s="20" t="str">
        <f t="shared" si="94"/>
        <v/>
      </c>
      <c r="J441" s="21" t="str">
        <f>IFERROR(VLOOKUP(BR441,Pricing!$D$3:$E$58,2,FALSE),"")</f>
        <v/>
      </c>
      <c r="K441" s="32"/>
      <c r="L441" s="32"/>
      <c r="M441" s="32"/>
      <c r="N441" s="36" t="str" cm="1">
        <f t="array" ref="N441">IFERROR(_xlfn.IFS((AND(K441="SI",M441="$")),J441*0.2,AND(K441="SI",M441="%"),20),"")</f>
        <v/>
      </c>
      <c r="O441" s="29" t="str">
        <f t="shared" si="95"/>
        <v/>
      </c>
      <c r="P441" s="21" t="str">
        <f t="shared" si="96"/>
        <v/>
      </c>
      <c r="Q441" s="21" t="str">
        <f t="shared" si="97"/>
        <v/>
      </c>
      <c r="R441" s="21" t="str">
        <f t="shared" si="98"/>
        <v/>
      </c>
      <c r="S441" s="39"/>
      <c r="T441" s="43" t="str">
        <f t="shared" si="106"/>
        <v/>
      </c>
      <c r="U441" s="49" t="str">
        <f t="shared" si="107"/>
        <v/>
      </c>
      <c r="V441" s="48" t="str">
        <f t="shared" si="108"/>
        <v/>
      </c>
      <c r="W441" s="48" t="str">
        <f t="shared" si="99"/>
        <v/>
      </c>
      <c r="X441" s="50" t="str">
        <f>IF(W441="","",SUMIF($B$4:$B$1002,B441,$W$4:$W$1000))</f>
        <v/>
      </c>
      <c r="Y441" s="43" t="str">
        <f t="shared" si="100"/>
        <v/>
      </c>
      <c r="Z441" s="49" t="str">
        <f t="shared" si="101"/>
        <v/>
      </c>
      <c r="AA441" s="48" t="str">
        <f t="shared" si="102"/>
        <v/>
      </c>
      <c r="AB441" s="49" t="str">
        <f t="shared" si="103"/>
        <v/>
      </c>
      <c r="AC441" s="50" t="str">
        <f>IF(AB441="","",SUMIF($B$4:$B$1002,B441,$AB$4:$AB$1000))</f>
        <v/>
      </c>
      <c r="AD441" s="69"/>
      <c r="AE441" s="56"/>
      <c r="AF441" s="52"/>
      <c r="AG441" s="51"/>
      <c r="AH441" s="70"/>
      <c r="AI441" s="58"/>
      <c r="AJ441" s="55"/>
      <c r="AK441" s="51"/>
      <c r="AL441" s="69"/>
      <c r="AM441" s="56"/>
      <c r="AN441" s="52"/>
      <c r="AO441" s="51"/>
      <c r="AP441" s="70"/>
      <c r="AQ441" s="58"/>
      <c r="AR441" s="55"/>
      <c r="AS441" s="51"/>
      <c r="AT441" s="69"/>
      <c r="AU441" s="56"/>
      <c r="AV441" s="52"/>
      <c r="AW441" s="51"/>
      <c r="BR441" s="34" t="str">
        <f>IF(E441="","",CONCATENATE(E441," ",F441," noches"))</f>
        <v/>
      </c>
      <c r="BS441" s="28" t="str">
        <f t="shared" ca="1" si="104"/>
        <v/>
      </c>
      <c r="BT441" s="28" t="str">
        <f t="shared" ca="1" si="105"/>
        <v/>
      </c>
    </row>
    <row r="442" spans="1:72" x14ac:dyDescent="0.2">
      <c r="A442" s="18" t="str" cm="1">
        <f t="array" aca="1" ref="A442" ca="1">IF(B442="","","Grupo N˚"&amp;SUMPRODUCT(($B$4:B442&lt;&gt;"")*($B$4:B442&lt;&gt;OFFSET($B$4,-1,0,ROWS($B$4:B442),1))))</f>
        <v/>
      </c>
      <c r="B442" s="31"/>
      <c r="C442" s="31"/>
      <c r="D442" s="31"/>
      <c r="E442" s="31"/>
      <c r="F442" s="32"/>
      <c r="G442" s="33"/>
      <c r="H442" s="33"/>
      <c r="I442" s="20" t="str">
        <f t="shared" si="94"/>
        <v/>
      </c>
      <c r="J442" s="21" t="str">
        <f>IFERROR(VLOOKUP(BR442,Pricing!$D$3:$E$58,2,FALSE),"")</f>
        <v/>
      </c>
      <c r="K442" s="32"/>
      <c r="L442" s="32"/>
      <c r="M442" s="32"/>
      <c r="N442" s="36" t="str" cm="1">
        <f t="array" ref="N442">IFERROR(_xlfn.IFS((AND(K442="SI",M442="$")),J442*0.2,AND(K442="SI",M442="%"),20),"")</f>
        <v/>
      </c>
      <c r="O442" s="29" t="str">
        <f t="shared" si="95"/>
        <v/>
      </c>
      <c r="P442" s="21" t="str">
        <f t="shared" si="96"/>
        <v/>
      </c>
      <c r="Q442" s="21" t="str">
        <f t="shared" si="97"/>
        <v/>
      </c>
      <c r="R442" s="21" t="str">
        <f t="shared" si="98"/>
        <v/>
      </c>
      <c r="S442" s="39"/>
      <c r="T442" s="43" t="str">
        <f t="shared" si="106"/>
        <v/>
      </c>
      <c r="U442" s="49" t="str">
        <f t="shared" si="107"/>
        <v/>
      </c>
      <c r="V442" s="48" t="str">
        <f t="shared" si="108"/>
        <v/>
      </c>
      <c r="W442" s="48" t="str">
        <f t="shared" si="99"/>
        <v/>
      </c>
      <c r="X442" s="50" t="str">
        <f>IF(W442="","",SUMIF($B$4:$B$1002,B442,$W$4:$W$1000))</f>
        <v/>
      </c>
      <c r="Y442" s="43" t="str">
        <f t="shared" si="100"/>
        <v/>
      </c>
      <c r="Z442" s="49" t="str">
        <f t="shared" si="101"/>
        <v/>
      </c>
      <c r="AA442" s="48" t="str">
        <f t="shared" si="102"/>
        <v/>
      </c>
      <c r="AB442" s="49" t="str">
        <f t="shared" si="103"/>
        <v/>
      </c>
      <c r="AC442" s="50" t="str">
        <f>IF(AB442="","",SUMIF($B$4:$B$1002,B442,$AB$4:$AB$1000))</f>
        <v/>
      </c>
      <c r="AD442" s="69"/>
      <c r="AE442" s="56"/>
      <c r="AF442" s="52"/>
      <c r="AG442" s="51"/>
      <c r="AH442" s="70"/>
      <c r="AI442" s="58"/>
      <c r="AJ442" s="55"/>
      <c r="AK442" s="51"/>
      <c r="AL442" s="69"/>
      <c r="AM442" s="56"/>
      <c r="AN442" s="52"/>
      <c r="AO442" s="51"/>
      <c r="AP442" s="70"/>
      <c r="AQ442" s="58"/>
      <c r="AR442" s="55"/>
      <c r="AS442" s="51"/>
      <c r="AT442" s="69"/>
      <c r="AU442" s="56"/>
      <c r="AV442" s="52"/>
      <c r="AW442" s="51"/>
      <c r="BR442" s="34" t="str">
        <f>IF(E442="","",CONCATENATE(E442," ",F442," noches"))</f>
        <v/>
      </c>
      <c r="BS442" s="28" t="str">
        <f t="shared" ca="1" si="104"/>
        <v/>
      </c>
      <c r="BT442" s="28" t="str">
        <f t="shared" ca="1" si="105"/>
        <v/>
      </c>
    </row>
    <row r="443" spans="1:72" x14ac:dyDescent="0.2">
      <c r="A443" s="18" t="str" cm="1">
        <f t="array" aca="1" ref="A443" ca="1">IF(B443="","","Grupo N˚"&amp;SUMPRODUCT(($B$4:B443&lt;&gt;"")*($B$4:B443&lt;&gt;OFFSET($B$4,-1,0,ROWS($B$4:B443),1))))</f>
        <v/>
      </c>
      <c r="B443" s="31"/>
      <c r="C443" s="31"/>
      <c r="D443" s="31"/>
      <c r="E443" s="31"/>
      <c r="F443" s="32"/>
      <c r="G443" s="33"/>
      <c r="H443" s="33"/>
      <c r="I443" s="20" t="str">
        <f t="shared" si="94"/>
        <v/>
      </c>
      <c r="J443" s="21" t="str">
        <f>IFERROR(VLOOKUP(BR443,Pricing!$D$3:$E$58,2,FALSE),"")</f>
        <v/>
      </c>
      <c r="K443" s="32"/>
      <c r="L443" s="32"/>
      <c r="M443" s="32"/>
      <c r="N443" s="36" t="str" cm="1">
        <f t="array" ref="N443">IFERROR(_xlfn.IFS((AND(K443="SI",M443="$")),J443*0.2,AND(K443="SI",M443="%"),20),"")</f>
        <v/>
      </c>
      <c r="O443" s="29" t="str">
        <f t="shared" si="95"/>
        <v/>
      </c>
      <c r="P443" s="21" t="str">
        <f t="shared" si="96"/>
        <v/>
      </c>
      <c r="Q443" s="21" t="str">
        <f t="shared" si="97"/>
        <v/>
      </c>
      <c r="R443" s="21" t="str">
        <f t="shared" si="98"/>
        <v/>
      </c>
      <c r="S443" s="39"/>
      <c r="T443" s="43" t="str">
        <f t="shared" si="106"/>
        <v/>
      </c>
      <c r="U443" s="49" t="str">
        <f t="shared" si="107"/>
        <v/>
      </c>
      <c r="V443" s="48" t="str">
        <f t="shared" si="108"/>
        <v/>
      </c>
      <c r="W443" s="48" t="str">
        <f t="shared" si="99"/>
        <v/>
      </c>
      <c r="X443" s="50" t="str">
        <f>IF(W443="","",SUMIF($B$4:$B$1002,B443,$W$4:$W$1000))</f>
        <v/>
      </c>
      <c r="Y443" s="43" t="str">
        <f t="shared" si="100"/>
        <v/>
      </c>
      <c r="Z443" s="49" t="str">
        <f t="shared" si="101"/>
        <v/>
      </c>
      <c r="AA443" s="48" t="str">
        <f t="shared" si="102"/>
        <v/>
      </c>
      <c r="AB443" s="49" t="str">
        <f t="shared" si="103"/>
        <v/>
      </c>
      <c r="AC443" s="50" t="str">
        <f>IF(AB443="","",SUMIF($B$4:$B$1002,B443,$AB$4:$AB$1000))</f>
        <v/>
      </c>
      <c r="AD443" s="69"/>
      <c r="AE443" s="56"/>
      <c r="AF443" s="52"/>
      <c r="AG443" s="51"/>
      <c r="AH443" s="70"/>
      <c r="AI443" s="58"/>
      <c r="AJ443" s="55"/>
      <c r="AK443" s="51"/>
      <c r="AL443" s="69"/>
      <c r="AM443" s="56"/>
      <c r="AN443" s="52"/>
      <c r="AO443" s="51"/>
      <c r="AP443" s="70"/>
      <c r="AQ443" s="58"/>
      <c r="AR443" s="55"/>
      <c r="AS443" s="51"/>
      <c r="AT443" s="69"/>
      <c r="AU443" s="56"/>
      <c r="AV443" s="52"/>
      <c r="AW443" s="51"/>
      <c r="BR443" s="34" t="str">
        <f>IF(E443="","",CONCATENATE(E443," ",F443," noches"))</f>
        <v/>
      </c>
      <c r="BS443" s="28" t="str">
        <f t="shared" ca="1" si="104"/>
        <v/>
      </c>
      <c r="BT443" s="28" t="str">
        <f t="shared" ca="1" si="105"/>
        <v/>
      </c>
    </row>
    <row r="444" spans="1:72" x14ac:dyDescent="0.2">
      <c r="A444" s="18" t="str" cm="1">
        <f t="array" aca="1" ref="A444" ca="1">IF(B444="","","Grupo N˚"&amp;SUMPRODUCT(($B$4:B444&lt;&gt;"")*($B$4:B444&lt;&gt;OFFSET($B$4,-1,0,ROWS($B$4:B444),1))))</f>
        <v/>
      </c>
      <c r="B444" s="31"/>
      <c r="C444" s="31"/>
      <c r="D444" s="31"/>
      <c r="E444" s="31"/>
      <c r="F444" s="32"/>
      <c r="G444" s="33"/>
      <c r="H444" s="33"/>
      <c r="I444" s="20" t="str">
        <f t="shared" si="94"/>
        <v/>
      </c>
      <c r="J444" s="21" t="str">
        <f>IFERROR(VLOOKUP(BR444,Pricing!$D$3:$E$58,2,FALSE),"")</f>
        <v/>
      </c>
      <c r="K444" s="32"/>
      <c r="L444" s="32"/>
      <c r="M444" s="32"/>
      <c r="N444" s="36" t="str" cm="1">
        <f t="array" ref="N444">IFERROR(_xlfn.IFS((AND(K444="SI",M444="$")),J444*0.2,AND(K444="SI",M444="%"),20),"")</f>
        <v/>
      </c>
      <c r="O444" s="29" t="str">
        <f t="shared" si="95"/>
        <v/>
      </c>
      <c r="P444" s="21" t="str">
        <f t="shared" si="96"/>
        <v/>
      </c>
      <c r="Q444" s="21" t="str">
        <f t="shared" si="97"/>
        <v/>
      </c>
      <c r="R444" s="21" t="str">
        <f t="shared" si="98"/>
        <v/>
      </c>
      <c r="S444" s="39"/>
      <c r="T444" s="43" t="str">
        <f t="shared" si="106"/>
        <v/>
      </c>
      <c r="U444" s="49" t="str">
        <f t="shared" si="107"/>
        <v/>
      </c>
      <c r="V444" s="48" t="str">
        <f t="shared" si="108"/>
        <v/>
      </c>
      <c r="W444" s="48" t="str">
        <f t="shared" si="99"/>
        <v/>
      </c>
      <c r="X444" s="50" t="str">
        <f>IF(W444="","",SUMIF($B$4:$B$1002,B444,$W$4:$W$1000))</f>
        <v/>
      </c>
      <c r="Y444" s="43" t="str">
        <f t="shared" si="100"/>
        <v/>
      </c>
      <c r="Z444" s="49" t="str">
        <f t="shared" si="101"/>
        <v/>
      </c>
      <c r="AA444" s="48" t="str">
        <f t="shared" si="102"/>
        <v/>
      </c>
      <c r="AB444" s="49" t="str">
        <f t="shared" si="103"/>
        <v/>
      </c>
      <c r="AC444" s="50" t="str">
        <f>IF(AB444="","",SUMIF($B$4:$B$1002,B444,$AB$4:$AB$1000))</f>
        <v/>
      </c>
      <c r="AD444" s="69"/>
      <c r="AE444" s="56"/>
      <c r="AF444" s="52"/>
      <c r="AG444" s="51"/>
      <c r="AH444" s="70"/>
      <c r="AI444" s="58"/>
      <c r="AJ444" s="55"/>
      <c r="AK444" s="51"/>
      <c r="AL444" s="69"/>
      <c r="AM444" s="56"/>
      <c r="AN444" s="52"/>
      <c r="AO444" s="51"/>
      <c r="AP444" s="70"/>
      <c r="AQ444" s="58"/>
      <c r="AR444" s="55"/>
      <c r="AS444" s="51"/>
      <c r="AT444" s="69"/>
      <c r="AU444" s="56"/>
      <c r="AV444" s="52"/>
      <c r="AW444" s="51"/>
      <c r="BR444" s="34" t="str">
        <f>IF(E444="","",CONCATENATE(E444," ",F444," noches"))</f>
        <v/>
      </c>
      <c r="BS444" s="28" t="str">
        <f t="shared" ca="1" si="104"/>
        <v/>
      </c>
      <c r="BT444" s="28" t="str">
        <f t="shared" ca="1" si="105"/>
        <v/>
      </c>
    </row>
    <row r="445" spans="1:72" x14ac:dyDescent="0.2">
      <c r="A445" s="18" t="str" cm="1">
        <f t="array" aca="1" ref="A445" ca="1">IF(B445="","","Grupo N˚"&amp;SUMPRODUCT(($B$4:B445&lt;&gt;"")*($B$4:B445&lt;&gt;OFFSET($B$4,-1,0,ROWS($B$4:B445),1))))</f>
        <v/>
      </c>
      <c r="B445" s="31"/>
      <c r="C445" s="31"/>
      <c r="D445" s="31"/>
      <c r="E445" s="31"/>
      <c r="F445" s="32"/>
      <c r="G445" s="33"/>
      <c r="H445" s="33"/>
      <c r="I445" s="20" t="str">
        <f t="shared" si="94"/>
        <v/>
      </c>
      <c r="J445" s="21" t="str">
        <f>IFERROR(VLOOKUP(BR445,Pricing!$D$3:$E$58,2,FALSE),"")</f>
        <v/>
      </c>
      <c r="K445" s="32"/>
      <c r="L445" s="32"/>
      <c r="M445" s="32"/>
      <c r="N445" s="36" t="str" cm="1">
        <f t="array" ref="N445">IFERROR(_xlfn.IFS((AND(K445="SI",M445="$")),J445*0.2,AND(K445="SI",M445="%"),20),"")</f>
        <v/>
      </c>
      <c r="O445" s="29" t="str">
        <f t="shared" si="95"/>
        <v/>
      </c>
      <c r="P445" s="21" t="str">
        <f t="shared" si="96"/>
        <v/>
      </c>
      <c r="Q445" s="21" t="str">
        <f t="shared" si="97"/>
        <v/>
      </c>
      <c r="R445" s="21" t="str">
        <f t="shared" si="98"/>
        <v/>
      </c>
      <c r="S445" s="39"/>
      <c r="T445" s="43" t="str">
        <f t="shared" si="106"/>
        <v/>
      </c>
      <c r="U445" s="49" t="str">
        <f t="shared" si="107"/>
        <v/>
      </c>
      <c r="V445" s="48" t="str">
        <f t="shared" si="108"/>
        <v/>
      </c>
      <c r="W445" s="48" t="str">
        <f t="shared" si="99"/>
        <v/>
      </c>
      <c r="X445" s="50" t="str">
        <f>IF(W445="","",SUMIF($B$4:$B$1002,B445,$W$4:$W$1000))</f>
        <v/>
      </c>
      <c r="Y445" s="43" t="str">
        <f t="shared" si="100"/>
        <v/>
      </c>
      <c r="Z445" s="49" t="str">
        <f t="shared" si="101"/>
        <v/>
      </c>
      <c r="AA445" s="48" t="str">
        <f t="shared" si="102"/>
        <v/>
      </c>
      <c r="AB445" s="49" t="str">
        <f t="shared" si="103"/>
        <v/>
      </c>
      <c r="AC445" s="50" t="str">
        <f>IF(AB445="","",SUMIF($B$4:$B$1002,B445,$AB$4:$AB$1000))</f>
        <v/>
      </c>
      <c r="AD445" s="69"/>
      <c r="AE445" s="56"/>
      <c r="AF445" s="52"/>
      <c r="AG445" s="51"/>
      <c r="AH445" s="70"/>
      <c r="AI445" s="58"/>
      <c r="AJ445" s="55"/>
      <c r="AK445" s="51"/>
      <c r="AL445" s="69"/>
      <c r="AM445" s="56"/>
      <c r="AN445" s="52"/>
      <c r="AO445" s="51"/>
      <c r="AP445" s="70"/>
      <c r="AQ445" s="58"/>
      <c r="AR445" s="55"/>
      <c r="AS445" s="51"/>
      <c r="AT445" s="69"/>
      <c r="AU445" s="56"/>
      <c r="AV445" s="52"/>
      <c r="AW445" s="51"/>
      <c r="BR445" s="34" t="str">
        <f>IF(E445="","",CONCATENATE(E445," ",F445," noches"))</f>
        <v/>
      </c>
      <c r="BS445" s="28" t="str">
        <f t="shared" ca="1" si="104"/>
        <v/>
      </c>
      <c r="BT445" s="28" t="str">
        <f t="shared" ca="1" si="105"/>
        <v/>
      </c>
    </row>
    <row r="446" spans="1:72" x14ac:dyDescent="0.2">
      <c r="A446" s="18" t="str" cm="1">
        <f t="array" aca="1" ref="A446" ca="1">IF(B446="","","Grupo N˚"&amp;SUMPRODUCT(($B$4:B446&lt;&gt;"")*($B$4:B446&lt;&gt;OFFSET($B$4,-1,0,ROWS($B$4:B446),1))))</f>
        <v/>
      </c>
      <c r="B446" s="31"/>
      <c r="C446" s="31"/>
      <c r="D446" s="31"/>
      <c r="E446" s="31"/>
      <c r="F446" s="32"/>
      <c r="G446" s="33"/>
      <c r="H446" s="33"/>
      <c r="I446" s="20" t="str">
        <f t="shared" si="94"/>
        <v/>
      </c>
      <c r="J446" s="21" t="str">
        <f>IFERROR(VLOOKUP(BR446,Pricing!$D$3:$E$58,2,FALSE),"")</f>
        <v/>
      </c>
      <c r="K446" s="32"/>
      <c r="L446" s="32"/>
      <c r="M446" s="32"/>
      <c r="N446" s="36" t="str" cm="1">
        <f t="array" ref="N446">IFERROR(_xlfn.IFS((AND(K446="SI",M446="$")),J446*0.2,AND(K446="SI",M446="%"),20),"")</f>
        <v/>
      </c>
      <c r="O446" s="29" t="str">
        <f t="shared" si="95"/>
        <v/>
      </c>
      <c r="P446" s="21" t="str">
        <f t="shared" si="96"/>
        <v/>
      </c>
      <c r="Q446" s="21" t="str">
        <f t="shared" si="97"/>
        <v/>
      </c>
      <c r="R446" s="21" t="str">
        <f t="shared" si="98"/>
        <v/>
      </c>
      <c r="S446" s="39"/>
      <c r="T446" s="43" t="str">
        <f t="shared" si="106"/>
        <v/>
      </c>
      <c r="U446" s="49" t="str">
        <f t="shared" si="107"/>
        <v/>
      </c>
      <c r="V446" s="48" t="str">
        <f t="shared" si="108"/>
        <v/>
      </c>
      <c r="W446" s="48" t="str">
        <f t="shared" si="99"/>
        <v/>
      </c>
      <c r="X446" s="50" t="str">
        <f>IF(W446="","",SUMIF($B$4:$B$1002,B446,$W$4:$W$1000))</f>
        <v/>
      </c>
      <c r="Y446" s="43" t="str">
        <f t="shared" si="100"/>
        <v/>
      </c>
      <c r="Z446" s="49" t="str">
        <f t="shared" si="101"/>
        <v/>
      </c>
      <c r="AA446" s="48" t="str">
        <f t="shared" si="102"/>
        <v/>
      </c>
      <c r="AB446" s="49" t="str">
        <f t="shared" si="103"/>
        <v/>
      </c>
      <c r="AC446" s="50" t="str">
        <f>IF(AB446="","",SUMIF($B$4:$B$1002,B446,$AB$4:$AB$1000))</f>
        <v/>
      </c>
      <c r="AD446" s="69"/>
      <c r="AE446" s="56"/>
      <c r="AF446" s="52"/>
      <c r="AG446" s="51"/>
      <c r="AH446" s="70"/>
      <c r="AI446" s="58"/>
      <c r="AJ446" s="55"/>
      <c r="AK446" s="51"/>
      <c r="AL446" s="69"/>
      <c r="AM446" s="56"/>
      <c r="AN446" s="52"/>
      <c r="AO446" s="51"/>
      <c r="AP446" s="70"/>
      <c r="AQ446" s="58"/>
      <c r="AR446" s="55"/>
      <c r="AS446" s="51"/>
      <c r="AT446" s="69"/>
      <c r="AU446" s="56"/>
      <c r="AV446" s="52"/>
      <c r="AW446" s="51"/>
      <c r="BR446" s="34" t="str">
        <f>IF(E446="","",CONCATENATE(E446," ",F446," noches"))</f>
        <v/>
      </c>
      <c r="BS446" s="28" t="str">
        <f t="shared" ca="1" si="104"/>
        <v/>
      </c>
      <c r="BT446" s="28" t="str">
        <f t="shared" ca="1" si="105"/>
        <v/>
      </c>
    </row>
    <row r="447" spans="1:72" x14ac:dyDescent="0.2">
      <c r="A447" s="18" t="str" cm="1">
        <f t="array" aca="1" ref="A447" ca="1">IF(B447="","","Grupo N˚"&amp;SUMPRODUCT(($B$4:B447&lt;&gt;"")*($B$4:B447&lt;&gt;OFFSET($B$4,-1,0,ROWS($B$4:B447),1))))</f>
        <v/>
      </c>
      <c r="B447" s="31"/>
      <c r="C447" s="31"/>
      <c r="D447" s="31"/>
      <c r="E447" s="31"/>
      <c r="F447" s="32"/>
      <c r="G447" s="33"/>
      <c r="H447" s="33"/>
      <c r="I447" s="20" t="str">
        <f t="shared" si="94"/>
        <v/>
      </c>
      <c r="J447" s="21" t="str">
        <f>IFERROR(VLOOKUP(BR447,Pricing!$D$3:$E$58,2,FALSE),"")</f>
        <v/>
      </c>
      <c r="K447" s="32"/>
      <c r="L447" s="32"/>
      <c r="M447" s="32"/>
      <c r="N447" s="36" t="str" cm="1">
        <f t="array" ref="N447">IFERROR(_xlfn.IFS((AND(K447="SI",M447="$")),J447*0.2,AND(K447="SI",M447="%"),20),"")</f>
        <v/>
      </c>
      <c r="O447" s="29" t="str">
        <f t="shared" si="95"/>
        <v/>
      </c>
      <c r="P447" s="21" t="str">
        <f t="shared" si="96"/>
        <v/>
      </c>
      <c r="Q447" s="21" t="str">
        <f t="shared" si="97"/>
        <v/>
      </c>
      <c r="R447" s="21" t="str">
        <f t="shared" si="98"/>
        <v/>
      </c>
      <c r="S447" s="39"/>
      <c r="T447" s="43" t="str">
        <f t="shared" si="106"/>
        <v/>
      </c>
      <c r="U447" s="49" t="str">
        <f t="shared" si="107"/>
        <v/>
      </c>
      <c r="V447" s="48" t="str">
        <f t="shared" si="108"/>
        <v/>
      </c>
      <c r="W447" s="48" t="str">
        <f t="shared" si="99"/>
        <v/>
      </c>
      <c r="X447" s="50" t="str">
        <f>IF(W447="","",SUMIF($B$4:$B$1002,B447,$W$4:$W$1000))</f>
        <v/>
      </c>
      <c r="Y447" s="43" t="str">
        <f t="shared" si="100"/>
        <v/>
      </c>
      <c r="Z447" s="49" t="str">
        <f t="shared" si="101"/>
        <v/>
      </c>
      <c r="AA447" s="48" t="str">
        <f t="shared" si="102"/>
        <v/>
      </c>
      <c r="AB447" s="49" t="str">
        <f t="shared" si="103"/>
        <v/>
      </c>
      <c r="AC447" s="50" t="str">
        <f>IF(AB447="","",SUMIF($B$4:$B$1002,B447,$AB$4:$AB$1000))</f>
        <v/>
      </c>
      <c r="AD447" s="69"/>
      <c r="AE447" s="56"/>
      <c r="AF447" s="52"/>
      <c r="AG447" s="51"/>
      <c r="AH447" s="70"/>
      <c r="AI447" s="58"/>
      <c r="AJ447" s="55"/>
      <c r="AK447" s="51"/>
      <c r="AL447" s="69"/>
      <c r="AM447" s="56"/>
      <c r="AN447" s="52"/>
      <c r="AO447" s="51"/>
      <c r="AP447" s="70"/>
      <c r="AQ447" s="58"/>
      <c r="AR447" s="55"/>
      <c r="AS447" s="51"/>
      <c r="AT447" s="69"/>
      <c r="AU447" s="56"/>
      <c r="AV447" s="52"/>
      <c r="AW447" s="51"/>
      <c r="BR447" s="34" t="str">
        <f>IF(E447="","",CONCATENATE(E447," ",F447," noches"))</f>
        <v/>
      </c>
      <c r="BS447" s="28" t="str">
        <f t="shared" ca="1" si="104"/>
        <v/>
      </c>
      <c r="BT447" s="28" t="str">
        <f t="shared" ca="1" si="105"/>
        <v/>
      </c>
    </row>
    <row r="448" spans="1:72" x14ac:dyDescent="0.2">
      <c r="A448" s="18" t="str" cm="1">
        <f t="array" aca="1" ref="A448" ca="1">IF(B448="","","Grupo N˚"&amp;SUMPRODUCT(($B$4:B448&lt;&gt;"")*($B$4:B448&lt;&gt;OFFSET($B$4,-1,0,ROWS($B$4:B448),1))))</f>
        <v/>
      </c>
      <c r="B448" s="31"/>
      <c r="C448" s="31"/>
      <c r="D448" s="31"/>
      <c r="E448" s="31"/>
      <c r="F448" s="32"/>
      <c r="G448" s="33"/>
      <c r="H448" s="33"/>
      <c r="I448" s="20" t="str">
        <f t="shared" si="94"/>
        <v/>
      </c>
      <c r="J448" s="21" t="str">
        <f>IFERROR(VLOOKUP(BR448,Pricing!$D$3:$E$58,2,FALSE),"")</f>
        <v/>
      </c>
      <c r="K448" s="32"/>
      <c r="L448" s="32"/>
      <c r="M448" s="32"/>
      <c r="N448" s="36" t="str" cm="1">
        <f t="array" ref="N448">IFERROR(_xlfn.IFS((AND(K448="SI",M448="$")),J448*0.2,AND(K448="SI",M448="%"),20),"")</f>
        <v/>
      </c>
      <c r="O448" s="29" t="str">
        <f t="shared" si="95"/>
        <v/>
      </c>
      <c r="P448" s="21" t="str">
        <f t="shared" si="96"/>
        <v/>
      </c>
      <c r="Q448" s="21" t="str">
        <f t="shared" si="97"/>
        <v/>
      </c>
      <c r="R448" s="21" t="str">
        <f t="shared" si="98"/>
        <v/>
      </c>
      <c r="S448" s="39"/>
      <c r="T448" s="43" t="str">
        <f t="shared" si="106"/>
        <v/>
      </c>
      <c r="U448" s="49" t="str">
        <f t="shared" si="107"/>
        <v/>
      </c>
      <c r="V448" s="48" t="str">
        <f t="shared" si="108"/>
        <v/>
      </c>
      <c r="W448" s="48" t="str">
        <f t="shared" si="99"/>
        <v/>
      </c>
      <c r="X448" s="50" t="str">
        <f>IF(W448="","",SUMIF($B$4:$B$1002,B448,$W$4:$W$1000))</f>
        <v/>
      </c>
      <c r="Y448" s="43" t="str">
        <f t="shared" si="100"/>
        <v/>
      </c>
      <c r="Z448" s="49" t="str">
        <f t="shared" si="101"/>
        <v/>
      </c>
      <c r="AA448" s="48" t="str">
        <f t="shared" si="102"/>
        <v/>
      </c>
      <c r="AB448" s="49" t="str">
        <f t="shared" si="103"/>
        <v/>
      </c>
      <c r="AC448" s="50" t="str">
        <f>IF(AB448="","",SUMIF($B$4:$B$1002,B448,$AB$4:$AB$1000))</f>
        <v/>
      </c>
      <c r="AD448" s="69"/>
      <c r="AE448" s="56"/>
      <c r="AF448" s="52"/>
      <c r="AG448" s="51"/>
      <c r="AH448" s="70"/>
      <c r="AI448" s="58"/>
      <c r="AJ448" s="55"/>
      <c r="AK448" s="51"/>
      <c r="AL448" s="69"/>
      <c r="AM448" s="56"/>
      <c r="AN448" s="52"/>
      <c r="AO448" s="51"/>
      <c r="AP448" s="70"/>
      <c r="AQ448" s="58"/>
      <c r="AR448" s="55"/>
      <c r="AS448" s="51"/>
      <c r="AT448" s="69"/>
      <c r="AU448" s="56"/>
      <c r="AV448" s="52"/>
      <c r="AW448" s="51"/>
      <c r="BR448" s="34" t="str">
        <f>IF(E448="","",CONCATENATE(E448," ",F448," noches"))</f>
        <v/>
      </c>
      <c r="BS448" s="28" t="str">
        <f t="shared" ca="1" si="104"/>
        <v/>
      </c>
      <c r="BT448" s="28" t="str">
        <f t="shared" ca="1" si="105"/>
        <v/>
      </c>
    </row>
    <row r="449" spans="1:72" x14ac:dyDescent="0.2">
      <c r="A449" s="18" t="str" cm="1">
        <f t="array" aca="1" ref="A449" ca="1">IF(B449="","","Grupo N˚"&amp;SUMPRODUCT(($B$4:B449&lt;&gt;"")*($B$4:B449&lt;&gt;OFFSET($B$4,-1,0,ROWS($B$4:B449),1))))</f>
        <v/>
      </c>
      <c r="B449" s="31"/>
      <c r="C449" s="31"/>
      <c r="D449" s="31"/>
      <c r="E449" s="31"/>
      <c r="F449" s="32"/>
      <c r="G449" s="33"/>
      <c r="H449" s="33"/>
      <c r="I449" s="20" t="str">
        <f t="shared" si="94"/>
        <v/>
      </c>
      <c r="J449" s="21" t="str">
        <f>IFERROR(VLOOKUP(BR449,Pricing!$D$3:$E$58,2,FALSE),"")</f>
        <v/>
      </c>
      <c r="K449" s="32"/>
      <c r="L449" s="32"/>
      <c r="M449" s="32"/>
      <c r="N449" s="36" t="str" cm="1">
        <f t="array" ref="N449">IFERROR(_xlfn.IFS((AND(K449="SI",M449="$")),J449*0.2,AND(K449="SI",M449="%"),20),"")</f>
        <v/>
      </c>
      <c r="O449" s="29" t="str">
        <f t="shared" si="95"/>
        <v/>
      </c>
      <c r="P449" s="21" t="str">
        <f t="shared" si="96"/>
        <v/>
      </c>
      <c r="Q449" s="21" t="str">
        <f t="shared" si="97"/>
        <v/>
      </c>
      <c r="R449" s="21" t="str">
        <f t="shared" si="98"/>
        <v/>
      </c>
      <c r="S449" s="39"/>
      <c r="T449" s="43" t="str">
        <f t="shared" si="106"/>
        <v/>
      </c>
      <c r="U449" s="49" t="str">
        <f t="shared" si="107"/>
        <v/>
      </c>
      <c r="V449" s="48" t="str">
        <f t="shared" si="108"/>
        <v/>
      </c>
      <c r="W449" s="48" t="str">
        <f t="shared" si="99"/>
        <v/>
      </c>
      <c r="X449" s="50" t="str">
        <f>IF(W449="","",SUMIF($B$4:$B$1002,B449,$W$4:$W$1000))</f>
        <v/>
      </c>
      <c r="Y449" s="43" t="str">
        <f t="shared" si="100"/>
        <v/>
      </c>
      <c r="Z449" s="49" t="str">
        <f t="shared" si="101"/>
        <v/>
      </c>
      <c r="AA449" s="48" t="str">
        <f t="shared" si="102"/>
        <v/>
      </c>
      <c r="AB449" s="49" t="str">
        <f t="shared" si="103"/>
        <v/>
      </c>
      <c r="AC449" s="50" t="str">
        <f>IF(AB449="","",SUMIF($B$4:$B$1002,B449,$AB$4:$AB$1000))</f>
        <v/>
      </c>
      <c r="AD449" s="69"/>
      <c r="AE449" s="56"/>
      <c r="AF449" s="52"/>
      <c r="AG449" s="51"/>
      <c r="AH449" s="70"/>
      <c r="AI449" s="58"/>
      <c r="AJ449" s="55"/>
      <c r="AK449" s="51"/>
      <c r="AL449" s="69"/>
      <c r="AM449" s="56"/>
      <c r="AN449" s="52"/>
      <c r="AO449" s="51"/>
      <c r="AP449" s="70"/>
      <c r="AQ449" s="58"/>
      <c r="AR449" s="55"/>
      <c r="AS449" s="51"/>
      <c r="AT449" s="69"/>
      <c r="AU449" s="56"/>
      <c r="AV449" s="52"/>
      <c r="AW449" s="51"/>
      <c r="BR449" s="34" t="str">
        <f>IF(E449="","",CONCATENATE(E449," ",F449," noches"))</f>
        <v/>
      </c>
      <c r="BS449" s="28" t="str">
        <f t="shared" ca="1" si="104"/>
        <v/>
      </c>
      <c r="BT449" s="28" t="str">
        <f t="shared" ca="1" si="105"/>
        <v/>
      </c>
    </row>
    <row r="450" spans="1:72" x14ac:dyDescent="0.2">
      <c r="A450" s="18" t="str" cm="1">
        <f t="array" aca="1" ref="A450" ca="1">IF(B450="","","Grupo N˚"&amp;SUMPRODUCT(($B$4:B450&lt;&gt;"")*($B$4:B450&lt;&gt;OFFSET($B$4,-1,0,ROWS($B$4:B450),1))))</f>
        <v/>
      </c>
      <c r="B450" s="31"/>
      <c r="C450" s="31"/>
      <c r="D450" s="31"/>
      <c r="E450" s="31"/>
      <c r="F450" s="32"/>
      <c r="G450" s="33"/>
      <c r="H450" s="33"/>
      <c r="I450" s="20" t="str">
        <f t="shared" si="94"/>
        <v/>
      </c>
      <c r="J450" s="21" t="str">
        <f>IFERROR(VLOOKUP(BR450,Pricing!$D$3:$E$58,2,FALSE),"")</f>
        <v/>
      </c>
      <c r="K450" s="32"/>
      <c r="L450" s="32"/>
      <c r="M450" s="32"/>
      <c r="N450" s="36" t="str" cm="1">
        <f t="array" ref="N450">IFERROR(_xlfn.IFS((AND(K450="SI",M450="$")),J450*0.2,AND(K450="SI",M450="%"),20),"")</f>
        <v/>
      </c>
      <c r="O450" s="29" t="str">
        <f t="shared" si="95"/>
        <v/>
      </c>
      <c r="P450" s="21" t="str">
        <f t="shared" si="96"/>
        <v/>
      </c>
      <c r="Q450" s="21" t="str">
        <f t="shared" si="97"/>
        <v/>
      </c>
      <c r="R450" s="21" t="str">
        <f t="shared" si="98"/>
        <v/>
      </c>
      <c r="S450" s="39"/>
      <c r="T450" s="43" t="str">
        <f t="shared" si="106"/>
        <v/>
      </c>
      <c r="U450" s="49" t="str">
        <f t="shared" si="107"/>
        <v/>
      </c>
      <c r="V450" s="48" t="str">
        <f t="shared" si="108"/>
        <v/>
      </c>
      <c r="W450" s="48" t="str">
        <f t="shared" si="99"/>
        <v/>
      </c>
      <c r="X450" s="50" t="str">
        <f>IF(W450="","",SUMIF($B$4:$B$1002,B450,$W$4:$W$1000))</f>
        <v/>
      </c>
      <c r="Y450" s="43" t="str">
        <f t="shared" si="100"/>
        <v/>
      </c>
      <c r="Z450" s="49" t="str">
        <f t="shared" si="101"/>
        <v/>
      </c>
      <c r="AA450" s="48" t="str">
        <f t="shared" si="102"/>
        <v/>
      </c>
      <c r="AB450" s="49" t="str">
        <f t="shared" si="103"/>
        <v/>
      </c>
      <c r="AC450" s="50" t="str">
        <f>IF(AB450="","",SUMIF($B$4:$B$1002,B450,$AB$4:$AB$1000))</f>
        <v/>
      </c>
      <c r="AD450" s="69"/>
      <c r="AE450" s="56"/>
      <c r="AF450" s="52"/>
      <c r="AG450" s="51"/>
      <c r="AH450" s="70"/>
      <c r="AI450" s="58"/>
      <c r="AJ450" s="55"/>
      <c r="AK450" s="51"/>
      <c r="AL450" s="69"/>
      <c r="AM450" s="56"/>
      <c r="AN450" s="52"/>
      <c r="AO450" s="51"/>
      <c r="AP450" s="70"/>
      <c r="AQ450" s="58"/>
      <c r="AR450" s="55"/>
      <c r="AS450" s="51"/>
      <c r="AT450" s="69"/>
      <c r="AU450" s="56"/>
      <c r="AV450" s="52"/>
      <c r="AW450" s="51"/>
      <c r="BR450" s="34" t="str">
        <f>IF(E450="","",CONCATENATE(E450," ",F450," noches"))</f>
        <v/>
      </c>
      <c r="BS450" s="28" t="str">
        <f t="shared" ca="1" si="104"/>
        <v/>
      </c>
      <c r="BT450" s="28" t="str">
        <f t="shared" ca="1" si="105"/>
        <v/>
      </c>
    </row>
    <row r="451" spans="1:72" x14ac:dyDescent="0.2">
      <c r="A451" s="18" t="str" cm="1">
        <f t="array" aca="1" ref="A451" ca="1">IF(B451="","","Grupo N˚"&amp;SUMPRODUCT(($B$4:B451&lt;&gt;"")*($B$4:B451&lt;&gt;OFFSET($B$4,-1,0,ROWS($B$4:B451),1))))</f>
        <v/>
      </c>
      <c r="B451" s="31"/>
      <c r="C451" s="31"/>
      <c r="D451" s="31"/>
      <c r="E451" s="31"/>
      <c r="F451" s="32"/>
      <c r="G451" s="33"/>
      <c r="H451" s="33"/>
      <c r="I451" s="20" t="str">
        <f t="shared" si="94"/>
        <v/>
      </c>
      <c r="J451" s="21" t="str">
        <f>IFERROR(VLOOKUP(BR451,Pricing!$D$3:$E$58,2,FALSE),"")</f>
        <v/>
      </c>
      <c r="K451" s="32"/>
      <c r="L451" s="32"/>
      <c r="M451" s="32"/>
      <c r="N451" s="36" t="str" cm="1">
        <f t="array" ref="N451">IFERROR(_xlfn.IFS((AND(K451="SI",M451="$")),J451*0.2,AND(K451="SI",M451="%"),20),"")</f>
        <v/>
      </c>
      <c r="O451" s="29" t="str">
        <f t="shared" si="95"/>
        <v/>
      </c>
      <c r="P451" s="21" t="str">
        <f t="shared" si="96"/>
        <v/>
      </c>
      <c r="Q451" s="21" t="str">
        <f t="shared" si="97"/>
        <v/>
      </c>
      <c r="R451" s="21" t="str">
        <f t="shared" si="98"/>
        <v/>
      </c>
      <c r="S451" s="39"/>
      <c r="T451" s="43" t="str">
        <f t="shared" si="106"/>
        <v/>
      </c>
      <c r="U451" s="49" t="str">
        <f t="shared" si="107"/>
        <v/>
      </c>
      <c r="V451" s="48" t="str">
        <f t="shared" si="108"/>
        <v/>
      </c>
      <c r="W451" s="48" t="str">
        <f t="shared" si="99"/>
        <v/>
      </c>
      <c r="X451" s="50" t="str">
        <f>IF(W451="","",SUMIF($B$4:$B$1002,B451,$W$4:$W$1000))</f>
        <v/>
      </c>
      <c r="Y451" s="43" t="str">
        <f t="shared" si="100"/>
        <v/>
      </c>
      <c r="Z451" s="49" t="str">
        <f t="shared" si="101"/>
        <v/>
      </c>
      <c r="AA451" s="48" t="str">
        <f t="shared" si="102"/>
        <v/>
      </c>
      <c r="AB451" s="49" t="str">
        <f t="shared" si="103"/>
        <v/>
      </c>
      <c r="AC451" s="50" t="str">
        <f>IF(AB451="","",SUMIF($B$4:$B$1002,B451,$AB$4:$AB$1000))</f>
        <v/>
      </c>
      <c r="AD451" s="69"/>
      <c r="AE451" s="56"/>
      <c r="AF451" s="52"/>
      <c r="AG451" s="51"/>
      <c r="AH451" s="70"/>
      <c r="AI451" s="58"/>
      <c r="AJ451" s="55"/>
      <c r="AK451" s="51"/>
      <c r="AL451" s="69"/>
      <c r="AM451" s="56"/>
      <c r="AN451" s="52"/>
      <c r="AO451" s="51"/>
      <c r="AP451" s="70"/>
      <c r="AQ451" s="58"/>
      <c r="AR451" s="55"/>
      <c r="AS451" s="51"/>
      <c r="AT451" s="69"/>
      <c r="AU451" s="56"/>
      <c r="AV451" s="52"/>
      <c r="AW451" s="51"/>
      <c r="BR451" s="34" t="str">
        <f>IF(E451="","",CONCATENATE(E451," ",F451," noches"))</f>
        <v/>
      </c>
      <c r="BS451" s="28" t="str">
        <f t="shared" ca="1" si="104"/>
        <v/>
      </c>
      <c r="BT451" s="28" t="str">
        <f t="shared" ca="1" si="105"/>
        <v/>
      </c>
    </row>
    <row r="452" spans="1:72" x14ac:dyDescent="0.2">
      <c r="A452" s="18" t="str" cm="1">
        <f t="array" aca="1" ref="A452" ca="1">IF(B452="","","Grupo N˚"&amp;SUMPRODUCT(($B$4:B452&lt;&gt;"")*($B$4:B452&lt;&gt;OFFSET($B$4,-1,0,ROWS($B$4:B452),1))))</f>
        <v/>
      </c>
      <c r="B452" s="31"/>
      <c r="C452" s="31"/>
      <c r="D452" s="31"/>
      <c r="E452" s="31"/>
      <c r="F452" s="32"/>
      <c r="G452" s="33"/>
      <c r="H452" s="33"/>
      <c r="I452" s="20" t="str">
        <f t="shared" si="94"/>
        <v/>
      </c>
      <c r="J452" s="21" t="str">
        <f>IFERROR(VLOOKUP(BR452,Pricing!$D$3:$E$58,2,FALSE),"")</f>
        <v/>
      </c>
      <c r="K452" s="32"/>
      <c r="L452" s="32"/>
      <c r="M452" s="32"/>
      <c r="N452" s="36" t="str" cm="1">
        <f t="array" ref="N452">IFERROR(_xlfn.IFS((AND(K452="SI",M452="$")),J452*0.2,AND(K452="SI",M452="%"),20),"")</f>
        <v/>
      </c>
      <c r="O452" s="29" t="str">
        <f t="shared" si="95"/>
        <v/>
      </c>
      <c r="P452" s="21" t="str">
        <f t="shared" si="96"/>
        <v/>
      </c>
      <c r="Q452" s="21" t="str">
        <f t="shared" si="97"/>
        <v/>
      </c>
      <c r="R452" s="21" t="str">
        <f t="shared" si="98"/>
        <v/>
      </c>
      <c r="S452" s="39"/>
      <c r="T452" s="43" t="str">
        <f t="shared" si="106"/>
        <v/>
      </c>
      <c r="U452" s="49" t="str">
        <f t="shared" si="107"/>
        <v/>
      </c>
      <c r="V452" s="48" t="str">
        <f t="shared" si="108"/>
        <v/>
      </c>
      <c r="W452" s="48" t="str">
        <f t="shared" si="99"/>
        <v/>
      </c>
      <c r="X452" s="50" t="str">
        <f>IF(W452="","",SUMIF($B$4:$B$1002,B452,$W$4:$W$1000))</f>
        <v/>
      </c>
      <c r="Y452" s="43" t="str">
        <f t="shared" si="100"/>
        <v/>
      </c>
      <c r="Z452" s="49" t="str">
        <f t="shared" si="101"/>
        <v/>
      </c>
      <c r="AA452" s="48" t="str">
        <f t="shared" si="102"/>
        <v/>
      </c>
      <c r="AB452" s="49" t="str">
        <f t="shared" si="103"/>
        <v/>
      </c>
      <c r="AC452" s="50" t="str">
        <f>IF(AB452="","",SUMIF($B$4:$B$1002,B452,$AB$4:$AB$1000))</f>
        <v/>
      </c>
      <c r="AD452" s="69"/>
      <c r="AE452" s="56"/>
      <c r="AF452" s="52"/>
      <c r="AG452" s="51"/>
      <c r="AH452" s="70"/>
      <c r="AI452" s="58"/>
      <c r="AJ452" s="55"/>
      <c r="AK452" s="51"/>
      <c r="AL452" s="69"/>
      <c r="AM452" s="56"/>
      <c r="AN452" s="52"/>
      <c r="AO452" s="51"/>
      <c r="AP452" s="70"/>
      <c r="AQ452" s="58"/>
      <c r="AR452" s="55"/>
      <c r="AS452" s="51"/>
      <c r="AT452" s="69"/>
      <c r="AU452" s="56"/>
      <c r="AV452" s="52"/>
      <c r="AW452" s="51"/>
      <c r="BR452" s="34" t="str">
        <f>IF(E452="","",CONCATENATE(E452," ",F452," noches"))</f>
        <v/>
      </c>
      <c r="BS452" s="28" t="str">
        <f t="shared" ca="1" si="104"/>
        <v/>
      </c>
      <c r="BT452" s="28" t="str">
        <f t="shared" ca="1" si="105"/>
        <v/>
      </c>
    </row>
    <row r="453" spans="1:72" x14ac:dyDescent="0.2">
      <c r="A453" s="18" t="str" cm="1">
        <f t="array" aca="1" ref="A453" ca="1">IF(B453="","","Grupo N˚"&amp;SUMPRODUCT(($B$4:B453&lt;&gt;"")*($B$4:B453&lt;&gt;OFFSET($B$4,-1,0,ROWS($B$4:B453),1))))</f>
        <v/>
      </c>
      <c r="B453" s="31"/>
      <c r="C453" s="31"/>
      <c r="D453" s="31"/>
      <c r="E453" s="31"/>
      <c r="F453" s="32"/>
      <c r="G453" s="33"/>
      <c r="H453" s="33"/>
      <c r="I453" s="20" t="str">
        <f t="shared" ref="I453:I516" si="109">+IF(H453="","",G453+H453)</f>
        <v/>
      </c>
      <c r="J453" s="21" t="str">
        <f>IFERROR(VLOOKUP(BR453,Pricing!$D$3:$E$58,2,FALSE),"")</f>
        <v/>
      </c>
      <c r="K453" s="32"/>
      <c r="L453" s="32"/>
      <c r="M453" s="32"/>
      <c r="N453" s="36" t="str" cm="1">
        <f t="array" ref="N453">IFERROR(_xlfn.IFS((AND(K453="SI",M453="$")),J453*0.2,AND(K453="SI",M453="%"),20),"")</f>
        <v/>
      </c>
      <c r="O453" s="29" t="str">
        <f t="shared" ref="O453:O516" si="110">IFERROR(IF($M453="%",
             IF(N(N453)&gt;1, N(N453)/100, N(N453)),
             IF(AND($J453&gt;0,$M453="$"), N(N453)/$J453, "")
            ),"")</f>
        <v/>
      </c>
      <c r="P453" s="21" t="str">
        <f t="shared" ref="P453:P516" si="111">IFERROR(IF(M453="$", N(N453), IF(M453="%", J453*N(N453/100), "")), "")</f>
        <v/>
      </c>
      <c r="Q453" s="21" t="str">
        <f t="shared" ref="Q453:Q516" si="112">IF(J453="","",J453*(1-N(O453)))</f>
        <v/>
      </c>
      <c r="R453" s="21" t="str">
        <f t="shared" ref="R453:R516" si="113">IF(Q453="","",Q453/1.19)</f>
        <v/>
      </c>
      <c r="S453" s="39"/>
      <c r="T453" s="43" t="str">
        <f t="shared" si="106"/>
        <v/>
      </c>
      <c r="U453" s="49" t="str">
        <f t="shared" si="107"/>
        <v/>
      </c>
      <c r="V453" s="48" t="str">
        <f t="shared" si="108"/>
        <v/>
      </c>
      <c r="W453" s="48" t="str">
        <f t="shared" ref="W453:W516" si="114">IFERROR(U453-N(V453),"")</f>
        <v/>
      </c>
      <c r="X453" s="50" t="str">
        <f>IF(W453="","",SUMIF($B$4:$B$1002,B453,$W$4:$W$1000))</f>
        <v/>
      </c>
      <c r="Y453" s="43" t="str">
        <f t="shared" ref="Y453:Y516" si="115">IF(AB453="","",IFERROR(
 IF(AND(ABS(N(AB453))&lt;0.5, BT453&gt;=23), "Sin deuda",
  IF(AND(N(AB453)&gt;0, BT453&gt;=23), "Con deuda",
   IF(AND(N(AB453)&gt;0, BT453&lt;23), "Moroso", "")
  )
),""))</f>
        <v/>
      </c>
      <c r="Z453" s="49" t="str">
        <f t="shared" ref="Z453:Z516" si="116">IF(R453="","",R453/2)</f>
        <v/>
      </c>
      <c r="AA453" s="48" t="str">
        <f t="shared" ref="AA453:AA516" si="117">IF(AD453="","",SUM(
 IF(ISNUMBER(SEARCH("saldo",AD453)),AF453,0),
 IF(ISNUMBER(SEARCH("saldo",AH453)),AJ453,0),
 IF(ISNUMBER(SEARCH("saldo",AL453)),AN453,0),
 IF(ISNUMBER(SEARCH("saldo",AP453)),AR453,0),
 IF(ISNUMBER(SEARCH("saldo",AT453)),AV453,0)
))</f>
        <v/>
      </c>
      <c r="AB453" s="49" t="str">
        <f t="shared" ref="AB453:AB516" si="118">IFERROR(Z453-N(AA453),"")</f>
        <v/>
      </c>
      <c r="AC453" s="50" t="str">
        <f>IF(AB453="","",SUMIF($B$4:$B$1002,B453,$AB$4:$AB$1000))</f>
        <v/>
      </c>
      <c r="AD453" s="69"/>
      <c r="AE453" s="56"/>
      <c r="AF453" s="52"/>
      <c r="AG453" s="51"/>
      <c r="AH453" s="70"/>
      <c r="AI453" s="58"/>
      <c r="AJ453" s="55"/>
      <c r="AK453" s="51"/>
      <c r="AL453" s="69"/>
      <c r="AM453" s="56"/>
      <c r="AN453" s="52"/>
      <c r="AO453" s="51"/>
      <c r="AP453" s="70"/>
      <c r="AQ453" s="58"/>
      <c r="AR453" s="55"/>
      <c r="AS453" s="51"/>
      <c r="AT453" s="69"/>
      <c r="AU453" s="56"/>
      <c r="AV453" s="52"/>
      <c r="AW453" s="51"/>
      <c r="BR453" s="34" t="str">
        <f>IF(E453="","",CONCATENATE(E453," ",F453," noches"))</f>
        <v/>
      </c>
      <c r="BS453" s="28" t="str">
        <f t="shared" ref="BS453:BS516" ca="1" si="119">IF(G453="","",+TODAY()-G453)</f>
        <v/>
      </c>
      <c r="BT453" s="28" t="str">
        <f t="shared" ref="BT453:BT516" ca="1" si="120">IF(H453="","",H453-TODAY())</f>
        <v/>
      </c>
    </row>
    <row r="454" spans="1:72" x14ac:dyDescent="0.2">
      <c r="A454" s="18" t="str" cm="1">
        <f t="array" aca="1" ref="A454" ca="1">IF(B454="","","Grupo N˚"&amp;SUMPRODUCT(($B$4:B454&lt;&gt;"")*($B$4:B454&lt;&gt;OFFSET($B$4,-1,0,ROWS($B$4:B454),1))))</f>
        <v/>
      </c>
      <c r="B454" s="31"/>
      <c r="C454" s="31"/>
      <c r="D454" s="31"/>
      <c r="E454" s="31"/>
      <c r="F454" s="32"/>
      <c r="G454" s="33"/>
      <c r="H454" s="33"/>
      <c r="I454" s="20" t="str">
        <f t="shared" si="109"/>
        <v/>
      </c>
      <c r="J454" s="21" t="str">
        <f>IFERROR(VLOOKUP(BR454,Pricing!$D$3:$E$58,2,FALSE),"")</f>
        <v/>
      </c>
      <c r="K454" s="32"/>
      <c r="L454" s="32"/>
      <c r="M454" s="32"/>
      <c r="N454" s="36" t="str" cm="1">
        <f t="array" ref="N454">IFERROR(_xlfn.IFS((AND(K454="SI",M454="$")),J454*0.2,AND(K454="SI",M454="%"),20),"")</f>
        <v/>
      </c>
      <c r="O454" s="29" t="str">
        <f t="shared" si="110"/>
        <v/>
      </c>
      <c r="P454" s="21" t="str">
        <f t="shared" si="111"/>
        <v/>
      </c>
      <c r="Q454" s="21" t="str">
        <f t="shared" si="112"/>
        <v/>
      </c>
      <c r="R454" s="21" t="str">
        <f t="shared" si="113"/>
        <v/>
      </c>
      <c r="S454" s="39"/>
      <c r="T454" s="43" t="str">
        <f t="shared" si="106"/>
        <v/>
      </c>
      <c r="U454" s="49" t="str">
        <f t="shared" si="107"/>
        <v/>
      </c>
      <c r="V454" s="48" t="str">
        <f t="shared" si="108"/>
        <v/>
      </c>
      <c r="W454" s="48" t="str">
        <f t="shared" si="114"/>
        <v/>
      </c>
      <c r="X454" s="50" t="str">
        <f>IF(W454="","",SUMIF($B$4:$B$1002,B454,$W$4:$W$1000))</f>
        <v/>
      </c>
      <c r="Y454" s="43" t="str">
        <f t="shared" si="115"/>
        <v/>
      </c>
      <c r="Z454" s="49" t="str">
        <f t="shared" si="116"/>
        <v/>
      </c>
      <c r="AA454" s="48" t="str">
        <f t="shared" si="117"/>
        <v/>
      </c>
      <c r="AB454" s="49" t="str">
        <f t="shared" si="118"/>
        <v/>
      </c>
      <c r="AC454" s="50" t="str">
        <f>IF(AB454="","",SUMIF($B$4:$B$1002,B454,$AB$4:$AB$1000))</f>
        <v/>
      </c>
      <c r="AD454" s="69"/>
      <c r="AE454" s="56"/>
      <c r="AF454" s="52"/>
      <c r="AG454" s="51"/>
      <c r="AH454" s="70"/>
      <c r="AI454" s="58"/>
      <c r="AJ454" s="55"/>
      <c r="AK454" s="51"/>
      <c r="AL454" s="69"/>
      <c r="AM454" s="56"/>
      <c r="AN454" s="52"/>
      <c r="AO454" s="51"/>
      <c r="AP454" s="70"/>
      <c r="AQ454" s="58"/>
      <c r="AR454" s="55"/>
      <c r="AS454" s="51"/>
      <c r="AT454" s="69"/>
      <c r="AU454" s="56"/>
      <c r="AV454" s="52"/>
      <c r="AW454" s="51"/>
      <c r="BR454" s="34" t="str">
        <f>IF(E454="","",CONCATENATE(E454," ",F454," noches"))</f>
        <v/>
      </c>
      <c r="BS454" s="28" t="str">
        <f t="shared" ca="1" si="119"/>
        <v/>
      </c>
      <c r="BT454" s="28" t="str">
        <f t="shared" ca="1" si="120"/>
        <v/>
      </c>
    </row>
    <row r="455" spans="1:72" x14ac:dyDescent="0.2">
      <c r="A455" s="18" t="str" cm="1">
        <f t="array" aca="1" ref="A455" ca="1">IF(B455="","","Grupo N˚"&amp;SUMPRODUCT(($B$4:B455&lt;&gt;"")*($B$4:B455&lt;&gt;OFFSET($B$4,-1,0,ROWS($B$4:B455),1))))</f>
        <v/>
      </c>
      <c r="B455" s="31"/>
      <c r="C455" s="31"/>
      <c r="D455" s="31"/>
      <c r="E455" s="31"/>
      <c r="F455" s="32"/>
      <c r="G455" s="33"/>
      <c r="H455" s="33"/>
      <c r="I455" s="20" t="str">
        <f t="shared" si="109"/>
        <v/>
      </c>
      <c r="J455" s="21" t="str">
        <f>IFERROR(VLOOKUP(BR455,Pricing!$D$3:$E$58,2,FALSE),"")</f>
        <v/>
      </c>
      <c r="K455" s="32"/>
      <c r="L455" s="32"/>
      <c r="M455" s="32"/>
      <c r="N455" s="36" t="str" cm="1">
        <f t="array" ref="N455">IFERROR(_xlfn.IFS((AND(K455="SI",M455="$")),J455*0.2,AND(K455="SI",M455="%"),20),"")</f>
        <v/>
      </c>
      <c r="O455" s="29" t="str">
        <f t="shared" si="110"/>
        <v/>
      </c>
      <c r="P455" s="21" t="str">
        <f t="shared" si="111"/>
        <v/>
      </c>
      <c r="Q455" s="21" t="str">
        <f t="shared" si="112"/>
        <v/>
      </c>
      <c r="R455" s="21" t="str">
        <f t="shared" si="113"/>
        <v/>
      </c>
      <c r="S455" s="39"/>
      <c r="T455" s="43" t="str">
        <f t="shared" si="106"/>
        <v/>
      </c>
      <c r="U455" s="49" t="str">
        <f t="shared" si="107"/>
        <v/>
      </c>
      <c r="V455" s="48" t="str">
        <f t="shared" si="108"/>
        <v/>
      </c>
      <c r="W455" s="48" t="str">
        <f t="shared" si="114"/>
        <v/>
      </c>
      <c r="X455" s="50" t="str">
        <f>IF(W455="","",SUMIF($B$4:$B$1002,B455,$W$4:$W$1000))</f>
        <v/>
      </c>
      <c r="Y455" s="43" t="str">
        <f t="shared" si="115"/>
        <v/>
      </c>
      <c r="Z455" s="49" t="str">
        <f t="shared" si="116"/>
        <v/>
      </c>
      <c r="AA455" s="48" t="str">
        <f t="shared" si="117"/>
        <v/>
      </c>
      <c r="AB455" s="49" t="str">
        <f t="shared" si="118"/>
        <v/>
      </c>
      <c r="AC455" s="50" t="str">
        <f>IF(AB455="","",SUMIF($B$4:$B$1002,B455,$AB$4:$AB$1000))</f>
        <v/>
      </c>
      <c r="AD455" s="69"/>
      <c r="AE455" s="56"/>
      <c r="AF455" s="52"/>
      <c r="AG455" s="51"/>
      <c r="AH455" s="70"/>
      <c r="AI455" s="58"/>
      <c r="AJ455" s="55"/>
      <c r="AK455" s="51"/>
      <c r="AL455" s="69"/>
      <c r="AM455" s="56"/>
      <c r="AN455" s="52"/>
      <c r="AO455" s="51"/>
      <c r="AP455" s="70"/>
      <c r="AQ455" s="58"/>
      <c r="AR455" s="55"/>
      <c r="AS455" s="51"/>
      <c r="AT455" s="69"/>
      <c r="AU455" s="56"/>
      <c r="AV455" s="52"/>
      <c r="AW455" s="51"/>
      <c r="BR455" s="34" t="str">
        <f>IF(E455="","",CONCATENATE(E455," ",F455," noches"))</f>
        <v/>
      </c>
      <c r="BS455" s="28" t="str">
        <f t="shared" ca="1" si="119"/>
        <v/>
      </c>
      <c r="BT455" s="28" t="str">
        <f t="shared" ca="1" si="120"/>
        <v/>
      </c>
    </row>
    <row r="456" spans="1:72" x14ac:dyDescent="0.2">
      <c r="A456" s="18" t="str" cm="1">
        <f t="array" aca="1" ref="A456" ca="1">IF(B456="","","Grupo N˚"&amp;SUMPRODUCT(($B$4:B456&lt;&gt;"")*($B$4:B456&lt;&gt;OFFSET($B$4,-1,0,ROWS($B$4:B456),1))))</f>
        <v/>
      </c>
      <c r="B456" s="31"/>
      <c r="C456" s="31"/>
      <c r="D456" s="31"/>
      <c r="E456" s="31"/>
      <c r="F456" s="32"/>
      <c r="G456" s="33"/>
      <c r="H456" s="33"/>
      <c r="I456" s="20" t="str">
        <f t="shared" si="109"/>
        <v/>
      </c>
      <c r="J456" s="21" t="str">
        <f>IFERROR(VLOOKUP(BR456,Pricing!$D$3:$E$58,2,FALSE),"")</f>
        <v/>
      </c>
      <c r="K456" s="32"/>
      <c r="L456" s="32"/>
      <c r="M456" s="32"/>
      <c r="N456" s="36" t="str" cm="1">
        <f t="array" ref="N456">IFERROR(_xlfn.IFS((AND(K456="SI",M456="$")),J456*0.2,AND(K456="SI",M456="%"),20),"")</f>
        <v/>
      </c>
      <c r="O456" s="29" t="str">
        <f t="shared" si="110"/>
        <v/>
      </c>
      <c r="P456" s="21" t="str">
        <f t="shared" si="111"/>
        <v/>
      </c>
      <c r="Q456" s="21" t="str">
        <f t="shared" si="112"/>
        <v/>
      </c>
      <c r="R456" s="21" t="str">
        <f t="shared" si="113"/>
        <v/>
      </c>
      <c r="S456" s="39"/>
      <c r="T456" s="43" t="str">
        <f t="shared" si="106"/>
        <v/>
      </c>
      <c r="U456" s="49" t="str">
        <f t="shared" si="107"/>
        <v/>
      </c>
      <c r="V456" s="48" t="str">
        <f t="shared" si="108"/>
        <v/>
      </c>
      <c r="W456" s="48" t="str">
        <f t="shared" si="114"/>
        <v/>
      </c>
      <c r="X456" s="50" t="str">
        <f>IF(W456="","",SUMIF($B$4:$B$1002,B456,$W$4:$W$1000))</f>
        <v/>
      </c>
      <c r="Y456" s="43" t="str">
        <f t="shared" si="115"/>
        <v/>
      </c>
      <c r="Z456" s="49" t="str">
        <f t="shared" si="116"/>
        <v/>
      </c>
      <c r="AA456" s="48" t="str">
        <f t="shared" si="117"/>
        <v/>
      </c>
      <c r="AB456" s="49" t="str">
        <f t="shared" si="118"/>
        <v/>
      </c>
      <c r="AC456" s="50" t="str">
        <f>IF(AB456="","",SUMIF($B$4:$B$1002,B456,$AB$4:$AB$1000))</f>
        <v/>
      </c>
      <c r="AD456" s="69"/>
      <c r="AE456" s="56"/>
      <c r="AF456" s="52"/>
      <c r="AG456" s="51"/>
      <c r="AH456" s="70"/>
      <c r="AI456" s="58"/>
      <c r="AJ456" s="55"/>
      <c r="AK456" s="51"/>
      <c r="AL456" s="69"/>
      <c r="AM456" s="56"/>
      <c r="AN456" s="52"/>
      <c r="AO456" s="51"/>
      <c r="AP456" s="70"/>
      <c r="AQ456" s="58"/>
      <c r="AR456" s="55"/>
      <c r="AS456" s="51"/>
      <c r="AT456" s="69"/>
      <c r="AU456" s="56"/>
      <c r="AV456" s="52"/>
      <c r="AW456" s="51"/>
      <c r="BR456" s="34" t="str">
        <f>IF(E456="","",CONCATENATE(E456," ",F456," noches"))</f>
        <v/>
      </c>
      <c r="BS456" s="28" t="str">
        <f t="shared" ca="1" si="119"/>
        <v/>
      </c>
      <c r="BT456" s="28" t="str">
        <f t="shared" ca="1" si="120"/>
        <v/>
      </c>
    </row>
    <row r="457" spans="1:72" x14ac:dyDescent="0.2">
      <c r="A457" s="18" t="str" cm="1">
        <f t="array" aca="1" ref="A457" ca="1">IF(B457="","","Grupo N˚"&amp;SUMPRODUCT(($B$4:B457&lt;&gt;"")*($B$4:B457&lt;&gt;OFFSET($B$4,-1,0,ROWS($B$4:B457),1))))</f>
        <v/>
      </c>
      <c r="B457" s="31"/>
      <c r="C457" s="31"/>
      <c r="D457" s="31"/>
      <c r="E457" s="31"/>
      <c r="F457" s="32"/>
      <c r="G457" s="33"/>
      <c r="H457" s="33"/>
      <c r="I457" s="20" t="str">
        <f t="shared" si="109"/>
        <v/>
      </c>
      <c r="J457" s="21" t="str">
        <f>IFERROR(VLOOKUP(BR457,Pricing!$D$3:$E$58,2,FALSE),"")</f>
        <v/>
      </c>
      <c r="K457" s="32"/>
      <c r="L457" s="32"/>
      <c r="M457" s="32"/>
      <c r="N457" s="36" t="str" cm="1">
        <f t="array" ref="N457">IFERROR(_xlfn.IFS((AND(K457="SI",M457="$")),J457*0.2,AND(K457="SI",M457="%"),20),"")</f>
        <v/>
      </c>
      <c r="O457" s="29" t="str">
        <f t="shared" si="110"/>
        <v/>
      </c>
      <c r="P457" s="21" t="str">
        <f t="shared" si="111"/>
        <v/>
      </c>
      <c r="Q457" s="21" t="str">
        <f t="shared" si="112"/>
        <v/>
      </c>
      <c r="R457" s="21" t="str">
        <f t="shared" si="113"/>
        <v/>
      </c>
      <c r="S457" s="39"/>
      <c r="T457" s="43" t="str">
        <f t="shared" ref="T457:T520" si="121">IF(W457="","",IFERROR(
 IF(AND(ABS(N(W457))&lt;0.5, BS457&lt;=7), "Sin deuda",
  IF(AND(N(W457)&gt;0, BS457&lt;=7), "Con deuda",
   IF(AND(N(W457)&gt;0, BS457&gt;7), "Moroso", "")
  )
)," "))</f>
        <v/>
      </c>
      <c r="U457" s="49" t="str">
        <f t="shared" si="107"/>
        <v/>
      </c>
      <c r="V457" s="48" t="str">
        <f t="shared" si="108"/>
        <v/>
      </c>
      <c r="W457" s="48" t="str">
        <f t="shared" si="114"/>
        <v/>
      </c>
      <c r="X457" s="50" t="str">
        <f>IF(W457="","",SUMIF($B$4:$B$1002,B457,$W$4:$W$1000))</f>
        <v/>
      </c>
      <c r="Y457" s="43" t="str">
        <f t="shared" si="115"/>
        <v/>
      </c>
      <c r="Z457" s="49" t="str">
        <f t="shared" si="116"/>
        <v/>
      </c>
      <c r="AA457" s="48" t="str">
        <f t="shared" si="117"/>
        <v/>
      </c>
      <c r="AB457" s="49" t="str">
        <f t="shared" si="118"/>
        <v/>
      </c>
      <c r="AC457" s="50" t="str">
        <f>IF(AB457="","",SUMIF($B$4:$B$1002,B457,$AB$4:$AB$1000))</f>
        <v/>
      </c>
      <c r="AD457" s="69"/>
      <c r="AE457" s="56"/>
      <c r="AF457" s="52"/>
      <c r="AG457" s="51"/>
      <c r="AH457" s="70"/>
      <c r="AI457" s="58"/>
      <c r="AJ457" s="55"/>
      <c r="AK457" s="51"/>
      <c r="AL457" s="69"/>
      <c r="AM457" s="56"/>
      <c r="AN457" s="52"/>
      <c r="AO457" s="51"/>
      <c r="AP457" s="70"/>
      <c r="AQ457" s="58"/>
      <c r="AR457" s="55"/>
      <c r="AS457" s="51"/>
      <c r="AT457" s="69"/>
      <c r="AU457" s="56"/>
      <c r="AV457" s="52"/>
      <c r="AW457" s="51"/>
      <c r="BR457" s="34" t="str">
        <f>IF(E457="","",CONCATENATE(E457," ",F457," noches"))</f>
        <v/>
      </c>
      <c r="BS457" s="28" t="str">
        <f t="shared" ca="1" si="119"/>
        <v/>
      </c>
      <c r="BT457" s="28" t="str">
        <f t="shared" ca="1" si="120"/>
        <v/>
      </c>
    </row>
    <row r="458" spans="1:72" x14ac:dyDescent="0.2">
      <c r="A458" s="18" t="str" cm="1">
        <f t="array" aca="1" ref="A458" ca="1">IF(B458="","","Grupo N˚"&amp;SUMPRODUCT(($B$4:B458&lt;&gt;"")*($B$4:B458&lt;&gt;OFFSET($B$4,-1,0,ROWS($B$4:B458),1))))</f>
        <v/>
      </c>
      <c r="B458" s="31"/>
      <c r="C458" s="31"/>
      <c r="D458" s="31"/>
      <c r="E458" s="31"/>
      <c r="F458" s="32"/>
      <c r="G458" s="33"/>
      <c r="H458" s="33"/>
      <c r="I458" s="20" t="str">
        <f t="shared" si="109"/>
        <v/>
      </c>
      <c r="J458" s="21" t="str">
        <f>IFERROR(VLOOKUP(BR458,Pricing!$D$3:$E$58,2,FALSE),"")</f>
        <v/>
      </c>
      <c r="K458" s="32"/>
      <c r="L458" s="32"/>
      <c r="M458" s="32"/>
      <c r="N458" s="36" t="str" cm="1">
        <f t="array" ref="N458">IFERROR(_xlfn.IFS((AND(K458="SI",M458="$")),J458*0.2,AND(K458="SI",M458="%"),20),"")</f>
        <v/>
      </c>
      <c r="O458" s="29" t="str">
        <f t="shared" si="110"/>
        <v/>
      </c>
      <c r="P458" s="21" t="str">
        <f t="shared" si="111"/>
        <v/>
      </c>
      <c r="Q458" s="21" t="str">
        <f t="shared" si="112"/>
        <v/>
      </c>
      <c r="R458" s="21" t="str">
        <f t="shared" si="113"/>
        <v/>
      </c>
      <c r="S458" s="39"/>
      <c r="T458" s="43" t="str">
        <f t="shared" si="121"/>
        <v/>
      </c>
      <c r="U458" s="49" t="str">
        <f t="shared" si="107"/>
        <v/>
      </c>
      <c r="V458" s="48" t="str">
        <f t="shared" si="108"/>
        <v/>
      </c>
      <c r="W458" s="48" t="str">
        <f t="shared" si="114"/>
        <v/>
      </c>
      <c r="X458" s="50" t="str">
        <f>IF(W458="","",SUMIF($B$4:$B$1002,B458,$W$4:$W$1000))</f>
        <v/>
      </c>
      <c r="Y458" s="43" t="str">
        <f t="shared" si="115"/>
        <v/>
      </c>
      <c r="Z458" s="49" t="str">
        <f t="shared" si="116"/>
        <v/>
      </c>
      <c r="AA458" s="48" t="str">
        <f t="shared" si="117"/>
        <v/>
      </c>
      <c r="AB458" s="49" t="str">
        <f t="shared" si="118"/>
        <v/>
      </c>
      <c r="AC458" s="50" t="str">
        <f>IF(AB458="","",SUMIF($B$4:$B$1002,B458,$AB$4:$AB$1000))</f>
        <v/>
      </c>
      <c r="AD458" s="69"/>
      <c r="AE458" s="56"/>
      <c r="AF458" s="52"/>
      <c r="AG458" s="51"/>
      <c r="AH458" s="70"/>
      <c r="AI458" s="58"/>
      <c r="AJ458" s="55"/>
      <c r="AK458" s="51"/>
      <c r="AL458" s="69"/>
      <c r="AM458" s="56"/>
      <c r="AN458" s="52"/>
      <c r="AO458" s="51"/>
      <c r="AP458" s="70"/>
      <c r="AQ458" s="58"/>
      <c r="AR458" s="55"/>
      <c r="AS458" s="51"/>
      <c r="AT458" s="69"/>
      <c r="AU458" s="56"/>
      <c r="AV458" s="52"/>
      <c r="AW458" s="51"/>
      <c r="BR458" s="34" t="str">
        <f>IF(E458="","",CONCATENATE(E458," ",F458," noches"))</f>
        <v/>
      </c>
      <c r="BS458" s="28" t="str">
        <f t="shared" ca="1" si="119"/>
        <v/>
      </c>
      <c r="BT458" s="28" t="str">
        <f t="shared" ca="1" si="120"/>
        <v/>
      </c>
    </row>
    <row r="459" spans="1:72" x14ac:dyDescent="0.2">
      <c r="A459" s="18" t="str" cm="1">
        <f t="array" aca="1" ref="A459" ca="1">IF(B459="","","Grupo N˚"&amp;SUMPRODUCT(($B$4:B459&lt;&gt;"")*($B$4:B459&lt;&gt;OFFSET($B$4,-1,0,ROWS($B$4:B459),1))))</f>
        <v/>
      </c>
      <c r="B459" s="31"/>
      <c r="C459" s="31"/>
      <c r="D459" s="31"/>
      <c r="E459" s="31"/>
      <c r="F459" s="32"/>
      <c r="G459" s="33"/>
      <c r="H459" s="33"/>
      <c r="I459" s="20" t="str">
        <f t="shared" si="109"/>
        <v/>
      </c>
      <c r="J459" s="21" t="str">
        <f>IFERROR(VLOOKUP(BR459,Pricing!$D$3:$E$58,2,FALSE),"")</f>
        <v/>
      </c>
      <c r="K459" s="32"/>
      <c r="L459" s="32"/>
      <c r="M459" s="32"/>
      <c r="N459" s="36" t="str" cm="1">
        <f t="array" ref="N459">IFERROR(_xlfn.IFS((AND(K459="SI",M459="$")),J459*0.2,AND(K459="SI",M459="%"),20),"")</f>
        <v/>
      </c>
      <c r="O459" s="29" t="str">
        <f t="shared" si="110"/>
        <v/>
      </c>
      <c r="P459" s="21" t="str">
        <f t="shared" si="111"/>
        <v/>
      </c>
      <c r="Q459" s="21" t="str">
        <f t="shared" si="112"/>
        <v/>
      </c>
      <c r="R459" s="21" t="str">
        <f t="shared" si="113"/>
        <v/>
      </c>
      <c r="S459" s="39"/>
      <c r="T459" s="43" t="str">
        <f t="shared" si="121"/>
        <v/>
      </c>
      <c r="U459" s="49" t="str">
        <f t="shared" si="107"/>
        <v/>
      </c>
      <c r="V459" s="48" t="str">
        <f t="shared" si="108"/>
        <v/>
      </c>
      <c r="W459" s="48" t="str">
        <f t="shared" si="114"/>
        <v/>
      </c>
      <c r="X459" s="50" t="str">
        <f>IF(W459="","",SUMIF($B$4:$B$1002,B459,$W$4:$W$1000))</f>
        <v/>
      </c>
      <c r="Y459" s="43" t="str">
        <f t="shared" si="115"/>
        <v/>
      </c>
      <c r="Z459" s="49" t="str">
        <f t="shared" si="116"/>
        <v/>
      </c>
      <c r="AA459" s="48" t="str">
        <f t="shared" si="117"/>
        <v/>
      </c>
      <c r="AB459" s="49" t="str">
        <f t="shared" si="118"/>
        <v/>
      </c>
      <c r="AC459" s="50" t="str">
        <f>IF(AB459="","",SUMIF($B$4:$B$1002,B459,$AB$4:$AB$1000))</f>
        <v/>
      </c>
      <c r="AD459" s="69"/>
      <c r="AE459" s="56"/>
      <c r="AF459" s="52"/>
      <c r="AG459" s="51"/>
      <c r="AH459" s="70"/>
      <c r="AI459" s="58"/>
      <c r="AJ459" s="55"/>
      <c r="AK459" s="51"/>
      <c r="AL459" s="69"/>
      <c r="AM459" s="56"/>
      <c r="AN459" s="52"/>
      <c r="AO459" s="51"/>
      <c r="AP459" s="70"/>
      <c r="AQ459" s="58"/>
      <c r="AR459" s="55"/>
      <c r="AS459" s="51"/>
      <c r="AT459" s="69"/>
      <c r="AU459" s="56"/>
      <c r="AV459" s="52"/>
      <c r="AW459" s="51"/>
      <c r="BR459" s="34" t="str">
        <f>IF(E459="","",CONCATENATE(E459," ",F459," noches"))</f>
        <v/>
      </c>
      <c r="BS459" s="28" t="str">
        <f t="shared" ca="1" si="119"/>
        <v/>
      </c>
      <c r="BT459" s="28" t="str">
        <f t="shared" ca="1" si="120"/>
        <v/>
      </c>
    </row>
    <row r="460" spans="1:72" x14ac:dyDescent="0.2">
      <c r="A460" s="18" t="str" cm="1">
        <f t="array" aca="1" ref="A460" ca="1">IF(B460="","","Grupo N˚"&amp;SUMPRODUCT(($B$4:B460&lt;&gt;"")*($B$4:B460&lt;&gt;OFFSET($B$4,-1,0,ROWS($B$4:B460),1))))</f>
        <v/>
      </c>
      <c r="B460" s="31"/>
      <c r="C460" s="31"/>
      <c r="D460" s="31"/>
      <c r="E460" s="31"/>
      <c r="F460" s="32"/>
      <c r="G460" s="33"/>
      <c r="H460" s="33"/>
      <c r="I460" s="20" t="str">
        <f t="shared" si="109"/>
        <v/>
      </c>
      <c r="J460" s="21" t="str">
        <f>IFERROR(VLOOKUP(BR460,Pricing!$D$3:$E$58,2,FALSE),"")</f>
        <v/>
      </c>
      <c r="K460" s="32"/>
      <c r="L460" s="32"/>
      <c r="M460" s="32"/>
      <c r="N460" s="36" t="str" cm="1">
        <f t="array" ref="N460">IFERROR(_xlfn.IFS((AND(K460="SI",M460="$")),J460*0.2,AND(K460="SI",M460="%"),20),"")</f>
        <v/>
      </c>
      <c r="O460" s="29" t="str">
        <f t="shared" si="110"/>
        <v/>
      </c>
      <c r="P460" s="21" t="str">
        <f t="shared" si="111"/>
        <v/>
      </c>
      <c r="Q460" s="21" t="str">
        <f t="shared" si="112"/>
        <v/>
      </c>
      <c r="R460" s="21" t="str">
        <f t="shared" si="113"/>
        <v/>
      </c>
      <c r="S460" s="39"/>
      <c r="T460" s="43" t="str">
        <f t="shared" si="121"/>
        <v/>
      </c>
      <c r="U460" s="49" t="str">
        <f t="shared" si="107"/>
        <v/>
      </c>
      <c r="V460" s="48" t="str">
        <f t="shared" si="108"/>
        <v/>
      </c>
      <c r="W460" s="48" t="str">
        <f t="shared" si="114"/>
        <v/>
      </c>
      <c r="X460" s="50" t="str">
        <f>IF(W460="","",SUMIF($B$4:$B$1002,B460,$W$4:$W$1000))</f>
        <v/>
      </c>
      <c r="Y460" s="43" t="str">
        <f t="shared" si="115"/>
        <v/>
      </c>
      <c r="Z460" s="49" t="str">
        <f t="shared" si="116"/>
        <v/>
      </c>
      <c r="AA460" s="48" t="str">
        <f t="shared" si="117"/>
        <v/>
      </c>
      <c r="AB460" s="49" t="str">
        <f t="shared" si="118"/>
        <v/>
      </c>
      <c r="AC460" s="50" t="str">
        <f>IF(AB460="","",SUMIF($B$4:$B$1002,B460,$AB$4:$AB$1000))</f>
        <v/>
      </c>
      <c r="AD460" s="69"/>
      <c r="AE460" s="56"/>
      <c r="AF460" s="52"/>
      <c r="AG460" s="51"/>
      <c r="AH460" s="70"/>
      <c r="AI460" s="58"/>
      <c r="AJ460" s="55"/>
      <c r="AK460" s="51"/>
      <c r="AL460" s="69"/>
      <c r="AM460" s="56"/>
      <c r="AN460" s="52"/>
      <c r="AO460" s="51"/>
      <c r="AP460" s="70"/>
      <c r="AQ460" s="58"/>
      <c r="AR460" s="55"/>
      <c r="AS460" s="51"/>
      <c r="AT460" s="69"/>
      <c r="AU460" s="56"/>
      <c r="AV460" s="52"/>
      <c r="AW460" s="51"/>
      <c r="BR460" s="34" t="str">
        <f>IF(E460="","",CONCATENATE(E460," ",F460," noches"))</f>
        <v/>
      </c>
      <c r="BS460" s="28" t="str">
        <f t="shared" ca="1" si="119"/>
        <v/>
      </c>
      <c r="BT460" s="28" t="str">
        <f t="shared" ca="1" si="120"/>
        <v/>
      </c>
    </row>
    <row r="461" spans="1:72" x14ac:dyDescent="0.2">
      <c r="A461" s="18" t="str" cm="1">
        <f t="array" aca="1" ref="A461" ca="1">IF(B461="","","Grupo N˚"&amp;SUMPRODUCT(($B$4:B461&lt;&gt;"")*($B$4:B461&lt;&gt;OFFSET($B$4,-1,0,ROWS($B$4:B461),1))))</f>
        <v/>
      </c>
      <c r="B461" s="31"/>
      <c r="C461" s="31"/>
      <c r="D461" s="31"/>
      <c r="E461" s="31"/>
      <c r="F461" s="32"/>
      <c r="G461" s="33"/>
      <c r="H461" s="33"/>
      <c r="I461" s="20" t="str">
        <f t="shared" si="109"/>
        <v/>
      </c>
      <c r="J461" s="21" t="str">
        <f>IFERROR(VLOOKUP(BR461,Pricing!$D$3:$E$58,2,FALSE),"")</f>
        <v/>
      </c>
      <c r="K461" s="32"/>
      <c r="L461" s="32"/>
      <c r="M461" s="32"/>
      <c r="N461" s="36" t="str" cm="1">
        <f t="array" ref="N461">IFERROR(_xlfn.IFS((AND(K461="SI",M461="$")),J461*0.2,AND(K461="SI",M461="%"),20),"")</f>
        <v/>
      </c>
      <c r="O461" s="29" t="str">
        <f t="shared" si="110"/>
        <v/>
      </c>
      <c r="P461" s="21" t="str">
        <f t="shared" si="111"/>
        <v/>
      </c>
      <c r="Q461" s="21" t="str">
        <f t="shared" si="112"/>
        <v/>
      </c>
      <c r="R461" s="21" t="str">
        <f t="shared" si="113"/>
        <v/>
      </c>
      <c r="S461" s="39"/>
      <c r="T461" s="43" t="str">
        <f t="shared" si="121"/>
        <v/>
      </c>
      <c r="U461" s="49" t="str">
        <f t="shared" ref="U461:U524" si="122">IF(R461="","",R461/2)</f>
        <v/>
      </c>
      <c r="V461" s="48" t="str">
        <f t="shared" ref="V461:V524" si="123">IF(AD461="","",SUM(
 IF(ISNUMBER(SEARCH("reserva",AD461)),AF461,0),
 IF(ISNUMBER(SEARCH("reserva",AH461)),AJ461,0),
 IF(ISNUMBER(SEARCH("reserva",AL461)),AN461,0),
 IF(ISNUMBER(SEARCH("reserva",AP461)),AR461,0),
 IF(ISNUMBER(SEARCH("reserva",AT461)),AV461,0)
))</f>
        <v/>
      </c>
      <c r="W461" s="48" t="str">
        <f t="shared" si="114"/>
        <v/>
      </c>
      <c r="X461" s="50" t="str">
        <f>IF(W461="","",SUMIF($B$4:$B$1002,B461,$W$4:$W$1000))</f>
        <v/>
      </c>
      <c r="Y461" s="43" t="str">
        <f t="shared" si="115"/>
        <v/>
      </c>
      <c r="Z461" s="49" t="str">
        <f t="shared" si="116"/>
        <v/>
      </c>
      <c r="AA461" s="48" t="str">
        <f t="shared" si="117"/>
        <v/>
      </c>
      <c r="AB461" s="49" t="str">
        <f t="shared" si="118"/>
        <v/>
      </c>
      <c r="AC461" s="50" t="str">
        <f>IF(AB461="","",SUMIF($B$4:$B$1002,B461,$AB$4:$AB$1000))</f>
        <v/>
      </c>
      <c r="AD461" s="69"/>
      <c r="AE461" s="56"/>
      <c r="AF461" s="52"/>
      <c r="AG461" s="51"/>
      <c r="AH461" s="70"/>
      <c r="AI461" s="58"/>
      <c r="AJ461" s="55"/>
      <c r="AK461" s="51"/>
      <c r="AL461" s="69"/>
      <c r="AM461" s="56"/>
      <c r="AN461" s="52"/>
      <c r="AO461" s="51"/>
      <c r="AP461" s="70"/>
      <c r="AQ461" s="58"/>
      <c r="AR461" s="55"/>
      <c r="AS461" s="51"/>
      <c r="AT461" s="69"/>
      <c r="AU461" s="56"/>
      <c r="AV461" s="52"/>
      <c r="AW461" s="51"/>
      <c r="BR461" s="34" t="str">
        <f>IF(E461="","",CONCATENATE(E461," ",F461," noches"))</f>
        <v/>
      </c>
      <c r="BS461" s="28" t="str">
        <f t="shared" ca="1" si="119"/>
        <v/>
      </c>
      <c r="BT461" s="28" t="str">
        <f t="shared" ca="1" si="120"/>
        <v/>
      </c>
    </row>
    <row r="462" spans="1:72" x14ac:dyDescent="0.2">
      <c r="A462" s="18" t="str" cm="1">
        <f t="array" aca="1" ref="A462" ca="1">IF(B462="","","Grupo N˚"&amp;SUMPRODUCT(($B$4:B462&lt;&gt;"")*($B$4:B462&lt;&gt;OFFSET($B$4,-1,0,ROWS($B$4:B462),1))))</f>
        <v/>
      </c>
      <c r="B462" s="31"/>
      <c r="C462" s="31"/>
      <c r="D462" s="31"/>
      <c r="E462" s="31"/>
      <c r="F462" s="32"/>
      <c r="G462" s="33"/>
      <c r="H462" s="33"/>
      <c r="I462" s="20" t="str">
        <f t="shared" si="109"/>
        <v/>
      </c>
      <c r="J462" s="21" t="str">
        <f>IFERROR(VLOOKUP(BR462,Pricing!$D$3:$E$58,2,FALSE),"")</f>
        <v/>
      </c>
      <c r="K462" s="32"/>
      <c r="L462" s="32"/>
      <c r="M462" s="32"/>
      <c r="N462" s="36" t="str" cm="1">
        <f t="array" ref="N462">IFERROR(_xlfn.IFS((AND(K462="SI",M462="$")),J462*0.2,AND(K462="SI",M462="%"),20),"")</f>
        <v/>
      </c>
      <c r="O462" s="29" t="str">
        <f t="shared" si="110"/>
        <v/>
      </c>
      <c r="P462" s="21" t="str">
        <f t="shared" si="111"/>
        <v/>
      </c>
      <c r="Q462" s="21" t="str">
        <f t="shared" si="112"/>
        <v/>
      </c>
      <c r="R462" s="21" t="str">
        <f t="shared" si="113"/>
        <v/>
      </c>
      <c r="S462" s="39"/>
      <c r="T462" s="43" t="str">
        <f t="shared" si="121"/>
        <v/>
      </c>
      <c r="U462" s="49" t="str">
        <f t="shared" si="122"/>
        <v/>
      </c>
      <c r="V462" s="48" t="str">
        <f t="shared" si="123"/>
        <v/>
      </c>
      <c r="W462" s="48" t="str">
        <f t="shared" si="114"/>
        <v/>
      </c>
      <c r="X462" s="50" t="str">
        <f>IF(W462="","",SUMIF($B$4:$B$1002,B462,$W$4:$W$1000))</f>
        <v/>
      </c>
      <c r="Y462" s="43" t="str">
        <f t="shared" si="115"/>
        <v/>
      </c>
      <c r="Z462" s="49" t="str">
        <f t="shared" si="116"/>
        <v/>
      </c>
      <c r="AA462" s="48" t="str">
        <f t="shared" si="117"/>
        <v/>
      </c>
      <c r="AB462" s="49" t="str">
        <f t="shared" si="118"/>
        <v/>
      </c>
      <c r="AC462" s="50" t="str">
        <f>IF(AB462="","",SUMIF($B$4:$B$1002,B462,$AB$4:$AB$1000))</f>
        <v/>
      </c>
      <c r="AD462" s="69"/>
      <c r="AE462" s="56"/>
      <c r="AF462" s="52"/>
      <c r="AG462" s="51"/>
      <c r="AH462" s="70"/>
      <c r="AI462" s="58"/>
      <c r="AJ462" s="55"/>
      <c r="AK462" s="51"/>
      <c r="AL462" s="69"/>
      <c r="AM462" s="56"/>
      <c r="AN462" s="52"/>
      <c r="AO462" s="51"/>
      <c r="AP462" s="70"/>
      <c r="AQ462" s="58"/>
      <c r="AR462" s="55"/>
      <c r="AS462" s="51"/>
      <c r="AT462" s="69"/>
      <c r="AU462" s="56"/>
      <c r="AV462" s="52"/>
      <c r="AW462" s="51"/>
      <c r="BR462" s="34" t="str">
        <f>IF(E462="","",CONCATENATE(E462," ",F462," noches"))</f>
        <v/>
      </c>
      <c r="BS462" s="28" t="str">
        <f t="shared" ca="1" si="119"/>
        <v/>
      </c>
      <c r="BT462" s="28" t="str">
        <f t="shared" ca="1" si="120"/>
        <v/>
      </c>
    </row>
    <row r="463" spans="1:72" x14ac:dyDescent="0.2">
      <c r="A463" s="18" t="str" cm="1">
        <f t="array" aca="1" ref="A463" ca="1">IF(B463="","","Grupo N˚"&amp;SUMPRODUCT(($B$4:B463&lt;&gt;"")*($B$4:B463&lt;&gt;OFFSET($B$4,-1,0,ROWS($B$4:B463),1))))</f>
        <v/>
      </c>
      <c r="B463" s="31"/>
      <c r="C463" s="31"/>
      <c r="D463" s="31"/>
      <c r="E463" s="31"/>
      <c r="F463" s="32"/>
      <c r="G463" s="33"/>
      <c r="H463" s="33"/>
      <c r="I463" s="20" t="str">
        <f t="shared" si="109"/>
        <v/>
      </c>
      <c r="J463" s="21" t="str">
        <f>IFERROR(VLOOKUP(BR463,Pricing!$D$3:$E$58,2,FALSE),"")</f>
        <v/>
      </c>
      <c r="K463" s="32"/>
      <c r="L463" s="32"/>
      <c r="M463" s="32"/>
      <c r="N463" s="36" t="str" cm="1">
        <f t="array" ref="N463">IFERROR(_xlfn.IFS((AND(K463="SI",M463="$")),J463*0.2,AND(K463="SI",M463="%"),20),"")</f>
        <v/>
      </c>
      <c r="O463" s="29" t="str">
        <f t="shared" si="110"/>
        <v/>
      </c>
      <c r="P463" s="21" t="str">
        <f t="shared" si="111"/>
        <v/>
      </c>
      <c r="Q463" s="21" t="str">
        <f t="shared" si="112"/>
        <v/>
      </c>
      <c r="R463" s="21" t="str">
        <f t="shared" si="113"/>
        <v/>
      </c>
      <c r="S463" s="39"/>
      <c r="T463" s="43" t="str">
        <f t="shared" si="121"/>
        <v/>
      </c>
      <c r="U463" s="49" t="str">
        <f t="shared" si="122"/>
        <v/>
      </c>
      <c r="V463" s="48" t="str">
        <f t="shared" si="123"/>
        <v/>
      </c>
      <c r="W463" s="48" t="str">
        <f t="shared" si="114"/>
        <v/>
      </c>
      <c r="X463" s="50" t="str">
        <f>IF(W463="","",SUMIF($B$4:$B$1002,B463,$W$4:$W$1000))</f>
        <v/>
      </c>
      <c r="Y463" s="43" t="str">
        <f t="shared" si="115"/>
        <v/>
      </c>
      <c r="Z463" s="49" t="str">
        <f t="shared" si="116"/>
        <v/>
      </c>
      <c r="AA463" s="48" t="str">
        <f t="shared" si="117"/>
        <v/>
      </c>
      <c r="AB463" s="49" t="str">
        <f t="shared" si="118"/>
        <v/>
      </c>
      <c r="AC463" s="50" t="str">
        <f>IF(AB463="","",SUMIF($B$4:$B$1002,B463,$AB$4:$AB$1000))</f>
        <v/>
      </c>
      <c r="AD463" s="69"/>
      <c r="AE463" s="56"/>
      <c r="AF463" s="52"/>
      <c r="AG463" s="51"/>
      <c r="AH463" s="70"/>
      <c r="AI463" s="58"/>
      <c r="AJ463" s="55"/>
      <c r="AK463" s="51"/>
      <c r="AL463" s="69"/>
      <c r="AM463" s="56"/>
      <c r="AN463" s="52"/>
      <c r="AO463" s="51"/>
      <c r="AP463" s="70"/>
      <c r="AQ463" s="58"/>
      <c r="AR463" s="55"/>
      <c r="AS463" s="51"/>
      <c r="AT463" s="69"/>
      <c r="AU463" s="56"/>
      <c r="AV463" s="52"/>
      <c r="AW463" s="51"/>
      <c r="BR463" s="34" t="str">
        <f>IF(E463="","",CONCATENATE(E463," ",F463," noches"))</f>
        <v/>
      </c>
      <c r="BS463" s="28" t="str">
        <f t="shared" ca="1" si="119"/>
        <v/>
      </c>
      <c r="BT463" s="28" t="str">
        <f t="shared" ca="1" si="120"/>
        <v/>
      </c>
    </row>
    <row r="464" spans="1:72" x14ac:dyDescent="0.2">
      <c r="A464" s="18" t="str" cm="1">
        <f t="array" aca="1" ref="A464" ca="1">IF(B464="","","Grupo N˚"&amp;SUMPRODUCT(($B$4:B464&lt;&gt;"")*($B$4:B464&lt;&gt;OFFSET($B$4,-1,0,ROWS($B$4:B464),1))))</f>
        <v/>
      </c>
      <c r="B464" s="31"/>
      <c r="C464" s="31"/>
      <c r="D464" s="31"/>
      <c r="E464" s="31"/>
      <c r="F464" s="32"/>
      <c r="G464" s="33"/>
      <c r="H464" s="33"/>
      <c r="I464" s="20" t="str">
        <f t="shared" si="109"/>
        <v/>
      </c>
      <c r="J464" s="21" t="str">
        <f>IFERROR(VLOOKUP(BR464,Pricing!$D$3:$E$58,2,FALSE),"")</f>
        <v/>
      </c>
      <c r="K464" s="32"/>
      <c r="L464" s="32"/>
      <c r="M464" s="32"/>
      <c r="N464" s="36" t="str" cm="1">
        <f t="array" ref="N464">IFERROR(_xlfn.IFS((AND(K464="SI",M464="$")),J464*0.2,AND(K464="SI",M464="%"),20),"")</f>
        <v/>
      </c>
      <c r="O464" s="29" t="str">
        <f t="shared" si="110"/>
        <v/>
      </c>
      <c r="P464" s="21" t="str">
        <f t="shared" si="111"/>
        <v/>
      </c>
      <c r="Q464" s="21" t="str">
        <f t="shared" si="112"/>
        <v/>
      </c>
      <c r="R464" s="21" t="str">
        <f t="shared" si="113"/>
        <v/>
      </c>
      <c r="S464" s="39"/>
      <c r="T464" s="43" t="str">
        <f t="shared" si="121"/>
        <v/>
      </c>
      <c r="U464" s="49" t="str">
        <f t="shared" si="122"/>
        <v/>
      </c>
      <c r="V464" s="48" t="str">
        <f t="shared" si="123"/>
        <v/>
      </c>
      <c r="W464" s="48" t="str">
        <f t="shared" si="114"/>
        <v/>
      </c>
      <c r="X464" s="50" t="str">
        <f>IF(W464="","",SUMIF($B$4:$B$1002,B464,$W$4:$W$1000))</f>
        <v/>
      </c>
      <c r="Y464" s="43" t="str">
        <f t="shared" si="115"/>
        <v/>
      </c>
      <c r="Z464" s="49" t="str">
        <f t="shared" si="116"/>
        <v/>
      </c>
      <c r="AA464" s="48" t="str">
        <f t="shared" si="117"/>
        <v/>
      </c>
      <c r="AB464" s="49" t="str">
        <f t="shared" si="118"/>
        <v/>
      </c>
      <c r="AC464" s="50" t="str">
        <f>IF(AB464="","",SUMIF($B$4:$B$1002,B464,$AB$4:$AB$1000))</f>
        <v/>
      </c>
      <c r="AD464" s="69"/>
      <c r="AE464" s="56"/>
      <c r="AF464" s="52"/>
      <c r="AG464" s="51"/>
      <c r="AH464" s="70"/>
      <c r="AI464" s="58"/>
      <c r="AJ464" s="55"/>
      <c r="AK464" s="51"/>
      <c r="AL464" s="69"/>
      <c r="AM464" s="56"/>
      <c r="AN464" s="52"/>
      <c r="AO464" s="51"/>
      <c r="AP464" s="70"/>
      <c r="AQ464" s="58"/>
      <c r="AR464" s="55"/>
      <c r="AS464" s="51"/>
      <c r="AT464" s="69"/>
      <c r="AU464" s="56"/>
      <c r="AV464" s="52"/>
      <c r="AW464" s="51"/>
      <c r="BR464" s="34" t="str">
        <f>IF(E464="","",CONCATENATE(E464," ",F464," noches"))</f>
        <v/>
      </c>
      <c r="BS464" s="28" t="str">
        <f t="shared" ca="1" si="119"/>
        <v/>
      </c>
      <c r="BT464" s="28" t="str">
        <f t="shared" ca="1" si="120"/>
        <v/>
      </c>
    </row>
    <row r="465" spans="1:72" x14ac:dyDescent="0.2">
      <c r="A465" s="18" t="str" cm="1">
        <f t="array" aca="1" ref="A465" ca="1">IF(B465="","","Grupo N˚"&amp;SUMPRODUCT(($B$4:B465&lt;&gt;"")*($B$4:B465&lt;&gt;OFFSET($B$4,-1,0,ROWS($B$4:B465),1))))</f>
        <v/>
      </c>
      <c r="B465" s="31"/>
      <c r="C465" s="31"/>
      <c r="D465" s="31"/>
      <c r="E465" s="31"/>
      <c r="F465" s="32"/>
      <c r="G465" s="33"/>
      <c r="H465" s="33"/>
      <c r="I465" s="20" t="str">
        <f t="shared" si="109"/>
        <v/>
      </c>
      <c r="J465" s="21" t="str">
        <f>IFERROR(VLOOKUP(BR465,Pricing!$D$3:$E$58,2,FALSE),"")</f>
        <v/>
      </c>
      <c r="K465" s="32"/>
      <c r="L465" s="32"/>
      <c r="M465" s="32"/>
      <c r="N465" s="36" t="str" cm="1">
        <f t="array" ref="N465">IFERROR(_xlfn.IFS((AND(K465="SI",M465="$")),J465*0.2,AND(K465="SI",M465="%"),20),"")</f>
        <v/>
      </c>
      <c r="O465" s="29" t="str">
        <f t="shared" si="110"/>
        <v/>
      </c>
      <c r="P465" s="21" t="str">
        <f t="shared" si="111"/>
        <v/>
      </c>
      <c r="Q465" s="21" t="str">
        <f t="shared" si="112"/>
        <v/>
      </c>
      <c r="R465" s="21" t="str">
        <f t="shared" si="113"/>
        <v/>
      </c>
      <c r="S465" s="39"/>
      <c r="T465" s="43" t="str">
        <f t="shared" si="121"/>
        <v/>
      </c>
      <c r="U465" s="49" t="str">
        <f t="shared" si="122"/>
        <v/>
      </c>
      <c r="V465" s="48" t="str">
        <f t="shared" si="123"/>
        <v/>
      </c>
      <c r="W465" s="48" t="str">
        <f t="shared" si="114"/>
        <v/>
      </c>
      <c r="X465" s="50" t="str">
        <f>IF(W465="","",SUMIF($B$4:$B$1002,B465,$W$4:$W$1000))</f>
        <v/>
      </c>
      <c r="Y465" s="43" t="str">
        <f t="shared" si="115"/>
        <v/>
      </c>
      <c r="Z465" s="49" t="str">
        <f t="shared" si="116"/>
        <v/>
      </c>
      <c r="AA465" s="48" t="str">
        <f t="shared" si="117"/>
        <v/>
      </c>
      <c r="AB465" s="49" t="str">
        <f t="shared" si="118"/>
        <v/>
      </c>
      <c r="AC465" s="50" t="str">
        <f>IF(AB465="","",SUMIF($B$4:$B$1002,B465,$AB$4:$AB$1000))</f>
        <v/>
      </c>
      <c r="AD465" s="69"/>
      <c r="AE465" s="56"/>
      <c r="AF465" s="52"/>
      <c r="AG465" s="51"/>
      <c r="AH465" s="70"/>
      <c r="AI465" s="58"/>
      <c r="AJ465" s="55"/>
      <c r="AK465" s="51"/>
      <c r="AL465" s="69"/>
      <c r="AM465" s="56"/>
      <c r="AN465" s="52"/>
      <c r="AO465" s="51"/>
      <c r="AP465" s="70"/>
      <c r="AQ465" s="58"/>
      <c r="AR465" s="55"/>
      <c r="AS465" s="51"/>
      <c r="AT465" s="69"/>
      <c r="AU465" s="56"/>
      <c r="AV465" s="52"/>
      <c r="AW465" s="51"/>
      <c r="BR465" s="34" t="str">
        <f>IF(E465="","",CONCATENATE(E465," ",F465," noches"))</f>
        <v/>
      </c>
      <c r="BS465" s="28" t="str">
        <f t="shared" ca="1" si="119"/>
        <v/>
      </c>
      <c r="BT465" s="28" t="str">
        <f t="shared" ca="1" si="120"/>
        <v/>
      </c>
    </row>
    <row r="466" spans="1:72" x14ac:dyDescent="0.2">
      <c r="A466" s="18" t="str" cm="1">
        <f t="array" aca="1" ref="A466" ca="1">IF(B466="","","Grupo N˚"&amp;SUMPRODUCT(($B$4:B466&lt;&gt;"")*($B$4:B466&lt;&gt;OFFSET($B$4,-1,0,ROWS($B$4:B466),1))))</f>
        <v/>
      </c>
      <c r="B466" s="31"/>
      <c r="C466" s="31"/>
      <c r="D466" s="31"/>
      <c r="E466" s="31"/>
      <c r="F466" s="32"/>
      <c r="G466" s="33"/>
      <c r="H466" s="33"/>
      <c r="I466" s="20" t="str">
        <f t="shared" si="109"/>
        <v/>
      </c>
      <c r="J466" s="21" t="str">
        <f>IFERROR(VLOOKUP(BR466,Pricing!$D$3:$E$58,2,FALSE),"")</f>
        <v/>
      </c>
      <c r="K466" s="32"/>
      <c r="L466" s="32"/>
      <c r="M466" s="32"/>
      <c r="N466" s="36" t="str" cm="1">
        <f t="array" ref="N466">IFERROR(_xlfn.IFS((AND(K466="SI",M466="$")),J466*0.2,AND(K466="SI",M466="%"),20),"")</f>
        <v/>
      </c>
      <c r="O466" s="29" t="str">
        <f t="shared" si="110"/>
        <v/>
      </c>
      <c r="P466" s="21" t="str">
        <f t="shared" si="111"/>
        <v/>
      </c>
      <c r="Q466" s="21" t="str">
        <f t="shared" si="112"/>
        <v/>
      </c>
      <c r="R466" s="21" t="str">
        <f t="shared" si="113"/>
        <v/>
      </c>
      <c r="S466" s="39"/>
      <c r="T466" s="43" t="str">
        <f t="shared" si="121"/>
        <v/>
      </c>
      <c r="U466" s="49" t="str">
        <f t="shared" si="122"/>
        <v/>
      </c>
      <c r="V466" s="48" t="str">
        <f t="shared" si="123"/>
        <v/>
      </c>
      <c r="W466" s="48" t="str">
        <f t="shared" si="114"/>
        <v/>
      </c>
      <c r="X466" s="50" t="str">
        <f>IF(W466="","",SUMIF($B$4:$B$1002,B466,$W$4:$W$1000))</f>
        <v/>
      </c>
      <c r="Y466" s="43" t="str">
        <f t="shared" si="115"/>
        <v/>
      </c>
      <c r="Z466" s="49" t="str">
        <f t="shared" si="116"/>
        <v/>
      </c>
      <c r="AA466" s="48" t="str">
        <f t="shared" si="117"/>
        <v/>
      </c>
      <c r="AB466" s="49" t="str">
        <f t="shared" si="118"/>
        <v/>
      </c>
      <c r="AC466" s="50" t="str">
        <f>IF(AB466="","",SUMIF($B$4:$B$1002,B466,$AB$4:$AB$1000))</f>
        <v/>
      </c>
      <c r="AD466" s="69"/>
      <c r="AE466" s="56"/>
      <c r="AF466" s="52"/>
      <c r="AG466" s="51"/>
      <c r="AH466" s="70"/>
      <c r="AI466" s="58"/>
      <c r="AJ466" s="55"/>
      <c r="AK466" s="51"/>
      <c r="AL466" s="69"/>
      <c r="AM466" s="56"/>
      <c r="AN466" s="52"/>
      <c r="AO466" s="51"/>
      <c r="AP466" s="70"/>
      <c r="AQ466" s="58"/>
      <c r="AR466" s="55"/>
      <c r="AS466" s="51"/>
      <c r="AT466" s="69"/>
      <c r="AU466" s="56"/>
      <c r="AV466" s="52"/>
      <c r="AW466" s="51"/>
      <c r="BR466" s="34" t="str">
        <f>IF(E466="","",CONCATENATE(E466," ",F466," noches"))</f>
        <v/>
      </c>
      <c r="BS466" s="28" t="str">
        <f t="shared" ca="1" si="119"/>
        <v/>
      </c>
      <c r="BT466" s="28" t="str">
        <f t="shared" ca="1" si="120"/>
        <v/>
      </c>
    </row>
    <row r="467" spans="1:72" x14ac:dyDescent="0.2">
      <c r="A467" s="18" t="str" cm="1">
        <f t="array" aca="1" ref="A467" ca="1">IF(B467="","","Grupo N˚"&amp;SUMPRODUCT(($B$4:B467&lt;&gt;"")*($B$4:B467&lt;&gt;OFFSET($B$4,-1,0,ROWS($B$4:B467),1))))</f>
        <v/>
      </c>
      <c r="B467" s="31"/>
      <c r="C467" s="31"/>
      <c r="D467" s="31"/>
      <c r="E467" s="31"/>
      <c r="F467" s="32"/>
      <c r="G467" s="33"/>
      <c r="H467" s="33"/>
      <c r="I467" s="20" t="str">
        <f t="shared" si="109"/>
        <v/>
      </c>
      <c r="J467" s="21" t="str">
        <f>IFERROR(VLOOKUP(BR467,Pricing!$D$3:$E$58,2,FALSE),"")</f>
        <v/>
      </c>
      <c r="K467" s="32"/>
      <c r="L467" s="32"/>
      <c r="M467" s="32"/>
      <c r="N467" s="36" t="str" cm="1">
        <f t="array" ref="N467">IFERROR(_xlfn.IFS((AND(K467="SI",M467="$")),J467*0.2,AND(K467="SI",M467="%"),20),"")</f>
        <v/>
      </c>
      <c r="O467" s="29" t="str">
        <f t="shared" si="110"/>
        <v/>
      </c>
      <c r="P467" s="21" t="str">
        <f t="shared" si="111"/>
        <v/>
      </c>
      <c r="Q467" s="21" t="str">
        <f t="shared" si="112"/>
        <v/>
      </c>
      <c r="R467" s="21" t="str">
        <f t="shared" si="113"/>
        <v/>
      </c>
      <c r="S467" s="39"/>
      <c r="T467" s="43" t="str">
        <f t="shared" si="121"/>
        <v/>
      </c>
      <c r="U467" s="49" t="str">
        <f t="shared" si="122"/>
        <v/>
      </c>
      <c r="V467" s="48" t="str">
        <f t="shared" si="123"/>
        <v/>
      </c>
      <c r="W467" s="48" t="str">
        <f t="shared" si="114"/>
        <v/>
      </c>
      <c r="X467" s="50" t="str">
        <f>IF(W467="","",SUMIF($B$4:$B$1002,B467,$W$4:$W$1000))</f>
        <v/>
      </c>
      <c r="Y467" s="43" t="str">
        <f t="shared" si="115"/>
        <v/>
      </c>
      <c r="Z467" s="49" t="str">
        <f t="shared" si="116"/>
        <v/>
      </c>
      <c r="AA467" s="48" t="str">
        <f t="shared" si="117"/>
        <v/>
      </c>
      <c r="AB467" s="49" t="str">
        <f t="shared" si="118"/>
        <v/>
      </c>
      <c r="AC467" s="50" t="str">
        <f>IF(AB467="","",SUMIF($B$4:$B$1002,B467,$AB$4:$AB$1000))</f>
        <v/>
      </c>
      <c r="AD467" s="69"/>
      <c r="AE467" s="56"/>
      <c r="AF467" s="52"/>
      <c r="AG467" s="51"/>
      <c r="AH467" s="70"/>
      <c r="AI467" s="58"/>
      <c r="AJ467" s="55"/>
      <c r="AK467" s="51"/>
      <c r="AL467" s="69"/>
      <c r="AM467" s="56"/>
      <c r="AN467" s="52"/>
      <c r="AO467" s="51"/>
      <c r="AP467" s="70"/>
      <c r="AQ467" s="58"/>
      <c r="AR467" s="55"/>
      <c r="AS467" s="51"/>
      <c r="AT467" s="69"/>
      <c r="AU467" s="56"/>
      <c r="AV467" s="52"/>
      <c r="AW467" s="51"/>
      <c r="BR467" s="34" t="str">
        <f>IF(E467="","",CONCATENATE(E467," ",F467," noches"))</f>
        <v/>
      </c>
      <c r="BS467" s="28" t="str">
        <f t="shared" ca="1" si="119"/>
        <v/>
      </c>
      <c r="BT467" s="28" t="str">
        <f t="shared" ca="1" si="120"/>
        <v/>
      </c>
    </row>
    <row r="468" spans="1:72" x14ac:dyDescent="0.2">
      <c r="A468" s="18" t="str" cm="1">
        <f t="array" aca="1" ref="A468" ca="1">IF(B468="","","Grupo N˚"&amp;SUMPRODUCT(($B$4:B468&lt;&gt;"")*($B$4:B468&lt;&gt;OFFSET($B$4,-1,0,ROWS($B$4:B468),1))))</f>
        <v/>
      </c>
      <c r="B468" s="31"/>
      <c r="C468" s="31"/>
      <c r="D468" s="31"/>
      <c r="E468" s="31"/>
      <c r="F468" s="32"/>
      <c r="G468" s="33"/>
      <c r="H468" s="33"/>
      <c r="I468" s="20" t="str">
        <f t="shared" si="109"/>
        <v/>
      </c>
      <c r="J468" s="21" t="str">
        <f>IFERROR(VLOOKUP(BR468,Pricing!$D$3:$E$58,2,FALSE),"")</f>
        <v/>
      </c>
      <c r="K468" s="32"/>
      <c r="L468" s="32"/>
      <c r="M468" s="32"/>
      <c r="N468" s="36" t="str" cm="1">
        <f t="array" ref="N468">IFERROR(_xlfn.IFS((AND(K468="SI",M468="$")),J468*0.2,AND(K468="SI",M468="%"),20),"")</f>
        <v/>
      </c>
      <c r="O468" s="29" t="str">
        <f t="shared" si="110"/>
        <v/>
      </c>
      <c r="P468" s="21" t="str">
        <f t="shared" si="111"/>
        <v/>
      </c>
      <c r="Q468" s="21" t="str">
        <f t="shared" si="112"/>
        <v/>
      </c>
      <c r="R468" s="21" t="str">
        <f t="shared" si="113"/>
        <v/>
      </c>
      <c r="S468" s="39"/>
      <c r="T468" s="43" t="str">
        <f t="shared" si="121"/>
        <v/>
      </c>
      <c r="U468" s="49" t="str">
        <f t="shared" si="122"/>
        <v/>
      </c>
      <c r="V468" s="48" t="str">
        <f t="shared" si="123"/>
        <v/>
      </c>
      <c r="W468" s="48" t="str">
        <f t="shared" si="114"/>
        <v/>
      </c>
      <c r="X468" s="50" t="str">
        <f>IF(W468="","",SUMIF($B$4:$B$1002,B468,$W$4:$W$1000))</f>
        <v/>
      </c>
      <c r="Y468" s="43" t="str">
        <f t="shared" si="115"/>
        <v/>
      </c>
      <c r="Z468" s="49" t="str">
        <f t="shared" si="116"/>
        <v/>
      </c>
      <c r="AA468" s="48" t="str">
        <f t="shared" si="117"/>
        <v/>
      </c>
      <c r="AB468" s="49" t="str">
        <f t="shared" si="118"/>
        <v/>
      </c>
      <c r="AC468" s="50" t="str">
        <f>IF(AB468="","",SUMIF($B$4:$B$1002,B468,$AB$4:$AB$1000))</f>
        <v/>
      </c>
      <c r="AD468" s="69"/>
      <c r="AE468" s="56"/>
      <c r="AF468" s="52"/>
      <c r="AG468" s="51"/>
      <c r="AH468" s="70"/>
      <c r="AI468" s="58"/>
      <c r="AJ468" s="55"/>
      <c r="AK468" s="51"/>
      <c r="AL468" s="69"/>
      <c r="AM468" s="56"/>
      <c r="AN468" s="52"/>
      <c r="AO468" s="51"/>
      <c r="AP468" s="70"/>
      <c r="AQ468" s="58"/>
      <c r="AR468" s="55"/>
      <c r="AS468" s="51"/>
      <c r="AT468" s="69"/>
      <c r="AU468" s="56"/>
      <c r="AV468" s="52"/>
      <c r="AW468" s="51"/>
      <c r="BR468" s="34" t="str">
        <f>IF(E468="","",CONCATENATE(E468," ",F468," noches"))</f>
        <v/>
      </c>
      <c r="BS468" s="28" t="str">
        <f t="shared" ca="1" si="119"/>
        <v/>
      </c>
      <c r="BT468" s="28" t="str">
        <f t="shared" ca="1" si="120"/>
        <v/>
      </c>
    </row>
    <row r="469" spans="1:72" x14ac:dyDescent="0.2">
      <c r="A469" s="18" t="str" cm="1">
        <f t="array" aca="1" ref="A469" ca="1">IF(B469="","","Grupo N˚"&amp;SUMPRODUCT(($B$4:B469&lt;&gt;"")*($B$4:B469&lt;&gt;OFFSET($B$4,-1,0,ROWS($B$4:B469),1))))</f>
        <v/>
      </c>
      <c r="B469" s="31"/>
      <c r="C469" s="31"/>
      <c r="D469" s="31"/>
      <c r="E469" s="31"/>
      <c r="F469" s="32"/>
      <c r="G469" s="33"/>
      <c r="H469" s="33"/>
      <c r="I469" s="20" t="str">
        <f t="shared" si="109"/>
        <v/>
      </c>
      <c r="J469" s="21" t="str">
        <f>IFERROR(VLOOKUP(BR469,Pricing!$D$3:$E$58,2,FALSE),"")</f>
        <v/>
      </c>
      <c r="K469" s="32"/>
      <c r="L469" s="32"/>
      <c r="M469" s="32"/>
      <c r="N469" s="36" t="str" cm="1">
        <f t="array" ref="N469">IFERROR(_xlfn.IFS((AND(K469="SI",M469="$")),J469*0.2,AND(K469="SI",M469="%"),20),"")</f>
        <v/>
      </c>
      <c r="O469" s="29" t="str">
        <f t="shared" si="110"/>
        <v/>
      </c>
      <c r="P469" s="21" t="str">
        <f t="shared" si="111"/>
        <v/>
      </c>
      <c r="Q469" s="21" t="str">
        <f t="shared" si="112"/>
        <v/>
      </c>
      <c r="R469" s="21" t="str">
        <f t="shared" si="113"/>
        <v/>
      </c>
      <c r="S469" s="39"/>
      <c r="T469" s="43" t="str">
        <f t="shared" si="121"/>
        <v/>
      </c>
      <c r="U469" s="49" t="str">
        <f t="shared" si="122"/>
        <v/>
      </c>
      <c r="V469" s="48" t="str">
        <f t="shared" si="123"/>
        <v/>
      </c>
      <c r="W469" s="48" t="str">
        <f t="shared" si="114"/>
        <v/>
      </c>
      <c r="X469" s="50" t="str">
        <f>IF(W469="","",SUMIF($B$4:$B$1002,B469,$W$4:$W$1000))</f>
        <v/>
      </c>
      <c r="Y469" s="43" t="str">
        <f t="shared" si="115"/>
        <v/>
      </c>
      <c r="Z469" s="49" t="str">
        <f t="shared" si="116"/>
        <v/>
      </c>
      <c r="AA469" s="48" t="str">
        <f t="shared" si="117"/>
        <v/>
      </c>
      <c r="AB469" s="49" t="str">
        <f t="shared" si="118"/>
        <v/>
      </c>
      <c r="AC469" s="50" t="str">
        <f>IF(AB469="","",SUMIF($B$4:$B$1002,B469,$AB$4:$AB$1000))</f>
        <v/>
      </c>
      <c r="AD469" s="69"/>
      <c r="AE469" s="56"/>
      <c r="AF469" s="52"/>
      <c r="AG469" s="51"/>
      <c r="AH469" s="70"/>
      <c r="AI469" s="58"/>
      <c r="AJ469" s="55"/>
      <c r="AK469" s="51"/>
      <c r="AL469" s="69"/>
      <c r="AM469" s="56"/>
      <c r="AN469" s="52"/>
      <c r="AO469" s="51"/>
      <c r="AP469" s="70"/>
      <c r="AQ469" s="58"/>
      <c r="AR469" s="55"/>
      <c r="AS469" s="51"/>
      <c r="AT469" s="69"/>
      <c r="AU469" s="56"/>
      <c r="AV469" s="52"/>
      <c r="AW469" s="51"/>
      <c r="BR469" s="34" t="str">
        <f>IF(E469="","",CONCATENATE(E469," ",F469," noches"))</f>
        <v/>
      </c>
      <c r="BS469" s="28" t="str">
        <f t="shared" ca="1" si="119"/>
        <v/>
      </c>
      <c r="BT469" s="28" t="str">
        <f t="shared" ca="1" si="120"/>
        <v/>
      </c>
    </row>
    <row r="470" spans="1:72" x14ac:dyDescent="0.2">
      <c r="A470" s="18" t="str" cm="1">
        <f t="array" aca="1" ref="A470" ca="1">IF(B470="","","Grupo N˚"&amp;SUMPRODUCT(($B$4:B470&lt;&gt;"")*($B$4:B470&lt;&gt;OFFSET($B$4,-1,0,ROWS($B$4:B470),1))))</f>
        <v/>
      </c>
      <c r="B470" s="31"/>
      <c r="C470" s="31"/>
      <c r="D470" s="31"/>
      <c r="E470" s="31"/>
      <c r="F470" s="32"/>
      <c r="G470" s="33"/>
      <c r="H470" s="33"/>
      <c r="I470" s="20" t="str">
        <f t="shared" si="109"/>
        <v/>
      </c>
      <c r="J470" s="21" t="str">
        <f>IFERROR(VLOOKUP(BR470,Pricing!$D$3:$E$58,2,FALSE),"")</f>
        <v/>
      </c>
      <c r="K470" s="32"/>
      <c r="L470" s="32"/>
      <c r="M470" s="32"/>
      <c r="N470" s="36" t="str" cm="1">
        <f t="array" ref="N470">IFERROR(_xlfn.IFS((AND(K470="SI",M470="$")),J470*0.2,AND(K470="SI",M470="%"),20),"")</f>
        <v/>
      </c>
      <c r="O470" s="29" t="str">
        <f t="shared" si="110"/>
        <v/>
      </c>
      <c r="P470" s="21" t="str">
        <f t="shared" si="111"/>
        <v/>
      </c>
      <c r="Q470" s="21" t="str">
        <f t="shared" si="112"/>
        <v/>
      </c>
      <c r="R470" s="21" t="str">
        <f t="shared" si="113"/>
        <v/>
      </c>
      <c r="S470" s="39"/>
      <c r="T470" s="43" t="str">
        <f t="shared" si="121"/>
        <v/>
      </c>
      <c r="U470" s="49" t="str">
        <f t="shared" si="122"/>
        <v/>
      </c>
      <c r="V470" s="48" t="str">
        <f t="shared" si="123"/>
        <v/>
      </c>
      <c r="W470" s="48" t="str">
        <f t="shared" si="114"/>
        <v/>
      </c>
      <c r="X470" s="50" t="str">
        <f>IF(W470="","",SUMIF($B$4:$B$1002,B470,$W$4:$W$1000))</f>
        <v/>
      </c>
      <c r="Y470" s="43" t="str">
        <f t="shared" si="115"/>
        <v/>
      </c>
      <c r="Z470" s="49" t="str">
        <f t="shared" si="116"/>
        <v/>
      </c>
      <c r="AA470" s="48" t="str">
        <f t="shared" si="117"/>
        <v/>
      </c>
      <c r="AB470" s="49" t="str">
        <f t="shared" si="118"/>
        <v/>
      </c>
      <c r="AC470" s="50" t="str">
        <f>IF(AB470="","",SUMIF($B$4:$B$1002,B470,$AB$4:$AB$1000))</f>
        <v/>
      </c>
      <c r="AD470" s="69"/>
      <c r="AE470" s="56"/>
      <c r="AF470" s="52"/>
      <c r="AG470" s="51"/>
      <c r="AH470" s="70"/>
      <c r="AI470" s="58"/>
      <c r="AJ470" s="55"/>
      <c r="AK470" s="51"/>
      <c r="AL470" s="69"/>
      <c r="AM470" s="56"/>
      <c r="AN470" s="52"/>
      <c r="AO470" s="51"/>
      <c r="AP470" s="70"/>
      <c r="AQ470" s="58"/>
      <c r="AR470" s="55"/>
      <c r="AS470" s="51"/>
      <c r="AT470" s="69"/>
      <c r="AU470" s="56"/>
      <c r="AV470" s="52"/>
      <c r="AW470" s="51"/>
      <c r="BR470" s="34" t="str">
        <f>IF(E470="","",CONCATENATE(E470," ",F470," noches"))</f>
        <v/>
      </c>
      <c r="BS470" s="28" t="str">
        <f t="shared" ca="1" si="119"/>
        <v/>
      </c>
      <c r="BT470" s="28" t="str">
        <f t="shared" ca="1" si="120"/>
        <v/>
      </c>
    </row>
    <row r="471" spans="1:72" x14ac:dyDescent="0.2">
      <c r="A471" s="18" t="str" cm="1">
        <f t="array" aca="1" ref="A471" ca="1">IF(B471="","","Grupo N˚"&amp;SUMPRODUCT(($B$4:B471&lt;&gt;"")*($B$4:B471&lt;&gt;OFFSET($B$4,-1,0,ROWS($B$4:B471),1))))</f>
        <v/>
      </c>
      <c r="B471" s="31"/>
      <c r="C471" s="31"/>
      <c r="D471" s="31"/>
      <c r="E471" s="31"/>
      <c r="F471" s="32"/>
      <c r="G471" s="33"/>
      <c r="H471" s="33"/>
      <c r="I471" s="20" t="str">
        <f t="shared" si="109"/>
        <v/>
      </c>
      <c r="J471" s="21" t="str">
        <f>IFERROR(VLOOKUP(BR471,Pricing!$D$3:$E$58,2,FALSE),"")</f>
        <v/>
      </c>
      <c r="K471" s="32"/>
      <c r="L471" s="32"/>
      <c r="M471" s="32"/>
      <c r="N471" s="36" t="str" cm="1">
        <f t="array" ref="N471">IFERROR(_xlfn.IFS((AND(K471="SI",M471="$")),J471*0.2,AND(K471="SI",M471="%"),20),"")</f>
        <v/>
      </c>
      <c r="O471" s="29" t="str">
        <f t="shared" si="110"/>
        <v/>
      </c>
      <c r="P471" s="21" t="str">
        <f t="shared" si="111"/>
        <v/>
      </c>
      <c r="Q471" s="21" t="str">
        <f t="shared" si="112"/>
        <v/>
      </c>
      <c r="R471" s="21" t="str">
        <f t="shared" si="113"/>
        <v/>
      </c>
      <c r="S471" s="39"/>
      <c r="T471" s="43" t="str">
        <f t="shared" si="121"/>
        <v/>
      </c>
      <c r="U471" s="49" t="str">
        <f t="shared" si="122"/>
        <v/>
      </c>
      <c r="V471" s="48" t="str">
        <f t="shared" si="123"/>
        <v/>
      </c>
      <c r="W471" s="48" t="str">
        <f t="shared" si="114"/>
        <v/>
      </c>
      <c r="X471" s="50" t="str">
        <f>IF(W471="","",SUMIF($B$4:$B$1002,B471,$W$4:$W$1000))</f>
        <v/>
      </c>
      <c r="Y471" s="43" t="str">
        <f t="shared" si="115"/>
        <v/>
      </c>
      <c r="Z471" s="49" t="str">
        <f t="shared" si="116"/>
        <v/>
      </c>
      <c r="AA471" s="48" t="str">
        <f t="shared" si="117"/>
        <v/>
      </c>
      <c r="AB471" s="49" t="str">
        <f t="shared" si="118"/>
        <v/>
      </c>
      <c r="AC471" s="50" t="str">
        <f>IF(AB471="","",SUMIF($B$4:$B$1002,B471,$AB$4:$AB$1000))</f>
        <v/>
      </c>
      <c r="AD471" s="69"/>
      <c r="AE471" s="56"/>
      <c r="AF471" s="52"/>
      <c r="AG471" s="51"/>
      <c r="AH471" s="70"/>
      <c r="AI471" s="58"/>
      <c r="AJ471" s="55"/>
      <c r="AK471" s="51"/>
      <c r="AL471" s="69"/>
      <c r="AM471" s="56"/>
      <c r="AN471" s="52"/>
      <c r="AO471" s="51"/>
      <c r="AP471" s="70"/>
      <c r="AQ471" s="58"/>
      <c r="AR471" s="55"/>
      <c r="AS471" s="51"/>
      <c r="AT471" s="69"/>
      <c r="AU471" s="56"/>
      <c r="AV471" s="52"/>
      <c r="AW471" s="51"/>
      <c r="BR471" s="34" t="str">
        <f>IF(E471="","",CONCATENATE(E471," ",F471," noches"))</f>
        <v/>
      </c>
      <c r="BS471" s="28" t="str">
        <f t="shared" ca="1" si="119"/>
        <v/>
      </c>
      <c r="BT471" s="28" t="str">
        <f t="shared" ca="1" si="120"/>
        <v/>
      </c>
    </row>
    <row r="472" spans="1:72" x14ac:dyDescent="0.2">
      <c r="A472" s="18" t="str" cm="1">
        <f t="array" aca="1" ref="A472" ca="1">IF(B472="","","Grupo N˚"&amp;SUMPRODUCT(($B$4:B472&lt;&gt;"")*($B$4:B472&lt;&gt;OFFSET($B$4,-1,0,ROWS($B$4:B472),1))))</f>
        <v/>
      </c>
      <c r="B472" s="31"/>
      <c r="C472" s="31"/>
      <c r="D472" s="31"/>
      <c r="E472" s="31"/>
      <c r="F472" s="32"/>
      <c r="G472" s="33"/>
      <c r="H472" s="33"/>
      <c r="I472" s="20" t="str">
        <f t="shared" si="109"/>
        <v/>
      </c>
      <c r="J472" s="21" t="str">
        <f>IFERROR(VLOOKUP(BR472,Pricing!$D$3:$E$58,2,FALSE),"")</f>
        <v/>
      </c>
      <c r="K472" s="32"/>
      <c r="L472" s="32"/>
      <c r="M472" s="32"/>
      <c r="N472" s="36" t="str" cm="1">
        <f t="array" ref="N472">IFERROR(_xlfn.IFS((AND(K472="SI",M472="$")),J472*0.2,AND(K472="SI",M472="%"),20),"")</f>
        <v/>
      </c>
      <c r="O472" s="29" t="str">
        <f t="shared" si="110"/>
        <v/>
      </c>
      <c r="P472" s="21" t="str">
        <f t="shared" si="111"/>
        <v/>
      </c>
      <c r="Q472" s="21" t="str">
        <f t="shared" si="112"/>
        <v/>
      </c>
      <c r="R472" s="21" t="str">
        <f t="shared" si="113"/>
        <v/>
      </c>
      <c r="S472" s="39"/>
      <c r="T472" s="43" t="str">
        <f t="shared" si="121"/>
        <v/>
      </c>
      <c r="U472" s="49" t="str">
        <f t="shared" si="122"/>
        <v/>
      </c>
      <c r="V472" s="48" t="str">
        <f t="shared" si="123"/>
        <v/>
      </c>
      <c r="W472" s="48" t="str">
        <f t="shared" si="114"/>
        <v/>
      </c>
      <c r="X472" s="50" t="str">
        <f>IF(W472="","",SUMIF($B$4:$B$1002,B472,$W$4:$W$1000))</f>
        <v/>
      </c>
      <c r="Y472" s="43" t="str">
        <f t="shared" si="115"/>
        <v/>
      </c>
      <c r="Z472" s="49" t="str">
        <f t="shared" si="116"/>
        <v/>
      </c>
      <c r="AA472" s="48" t="str">
        <f t="shared" si="117"/>
        <v/>
      </c>
      <c r="AB472" s="49" t="str">
        <f t="shared" si="118"/>
        <v/>
      </c>
      <c r="AC472" s="50" t="str">
        <f>IF(AB472="","",SUMIF($B$4:$B$1002,B472,$AB$4:$AB$1000))</f>
        <v/>
      </c>
      <c r="AD472" s="69"/>
      <c r="AE472" s="56"/>
      <c r="AF472" s="52"/>
      <c r="AG472" s="51"/>
      <c r="AH472" s="70"/>
      <c r="AI472" s="58"/>
      <c r="AJ472" s="55"/>
      <c r="AK472" s="51"/>
      <c r="AL472" s="69"/>
      <c r="AM472" s="56"/>
      <c r="AN472" s="52"/>
      <c r="AO472" s="51"/>
      <c r="AP472" s="70"/>
      <c r="AQ472" s="58"/>
      <c r="AR472" s="55"/>
      <c r="AS472" s="51"/>
      <c r="AT472" s="69"/>
      <c r="AU472" s="56"/>
      <c r="AV472" s="52"/>
      <c r="AW472" s="51"/>
      <c r="BR472" s="34" t="str">
        <f>IF(E472="","",CONCATENATE(E472," ",F472," noches"))</f>
        <v/>
      </c>
      <c r="BS472" s="28" t="str">
        <f t="shared" ca="1" si="119"/>
        <v/>
      </c>
      <c r="BT472" s="28" t="str">
        <f t="shared" ca="1" si="120"/>
        <v/>
      </c>
    </row>
    <row r="473" spans="1:72" x14ac:dyDescent="0.2">
      <c r="A473" s="18" t="str" cm="1">
        <f t="array" aca="1" ref="A473" ca="1">IF(B473="","","Grupo N˚"&amp;SUMPRODUCT(($B$4:B473&lt;&gt;"")*($B$4:B473&lt;&gt;OFFSET($B$4,-1,0,ROWS($B$4:B473),1))))</f>
        <v/>
      </c>
      <c r="B473" s="31"/>
      <c r="C473" s="31"/>
      <c r="D473" s="31"/>
      <c r="E473" s="31"/>
      <c r="F473" s="32"/>
      <c r="G473" s="33"/>
      <c r="H473" s="33"/>
      <c r="I473" s="20" t="str">
        <f t="shared" si="109"/>
        <v/>
      </c>
      <c r="J473" s="21" t="str">
        <f>IFERROR(VLOOKUP(BR473,Pricing!$D$3:$E$58,2,FALSE),"")</f>
        <v/>
      </c>
      <c r="K473" s="32"/>
      <c r="L473" s="32"/>
      <c r="M473" s="32"/>
      <c r="N473" s="36" t="str" cm="1">
        <f t="array" ref="N473">IFERROR(_xlfn.IFS((AND(K473="SI",M473="$")),J473*0.2,AND(K473="SI",M473="%"),20),"")</f>
        <v/>
      </c>
      <c r="O473" s="29" t="str">
        <f t="shared" si="110"/>
        <v/>
      </c>
      <c r="P473" s="21" t="str">
        <f t="shared" si="111"/>
        <v/>
      </c>
      <c r="Q473" s="21" t="str">
        <f t="shared" si="112"/>
        <v/>
      </c>
      <c r="R473" s="21" t="str">
        <f t="shared" si="113"/>
        <v/>
      </c>
      <c r="S473" s="39"/>
      <c r="T473" s="43" t="str">
        <f t="shared" si="121"/>
        <v/>
      </c>
      <c r="U473" s="49" t="str">
        <f t="shared" si="122"/>
        <v/>
      </c>
      <c r="V473" s="48" t="str">
        <f t="shared" si="123"/>
        <v/>
      </c>
      <c r="W473" s="48" t="str">
        <f t="shared" si="114"/>
        <v/>
      </c>
      <c r="X473" s="50" t="str">
        <f>IF(W473="","",SUMIF($B$4:$B$1002,B473,$W$4:$W$1000))</f>
        <v/>
      </c>
      <c r="Y473" s="43" t="str">
        <f t="shared" si="115"/>
        <v/>
      </c>
      <c r="Z473" s="49" t="str">
        <f t="shared" si="116"/>
        <v/>
      </c>
      <c r="AA473" s="48" t="str">
        <f t="shared" si="117"/>
        <v/>
      </c>
      <c r="AB473" s="49" t="str">
        <f t="shared" si="118"/>
        <v/>
      </c>
      <c r="AC473" s="50" t="str">
        <f>IF(AB473="","",SUMIF($B$4:$B$1002,B473,$AB$4:$AB$1000))</f>
        <v/>
      </c>
      <c r="AD473" s="69"/>
      <c r="AE473" s="56"/>
      <c r="AF473" s="52"/>
      <c r="AG473" s="51"/>
      <c r="AH473" s="70"/>
      <c r="AI473" s="58"/>
      <c r="AJ473" s="55"/>
      <c r="AK473" s="51"/>
      <c r="AL473" s="69"/>
      <c r="AM473" s="56"/>
      <c r="AN473" s="52"/>
      <c r="AO473" s="51"/>
      <c r="AP473" s="70"/>
      <c r="AQ473" s="58"/>
      <c r="AR473" s="55"/>
      <c r="AS473" s="51"/>
      <c r="AT473" s="69"/>
      <c r="AU473" s="56"/>
      <c r="AV473" s="52"/>
      <c r="AW473" s="51"/>
      <c r="BR473" s="34" t="str">
        <f>IF(E473="","",CONCATENATE(E473," ",F473," noches"))</f>
        <v/>
      </c>
      <c r="BS473" s="28" t="str">
        <f t="shared" ca="1" si="119"/>
        <v/>
      </c>
      <c r="BT473" s="28" t="str">
        <f t="shared" ca="1" si="120"/>
        <v/>
      </c>
    </row>
    <row r="474" spans="1:72" x14ac:dyDescent="0.2">
      <c r="A474" s="18" t="str" cm="1">
        <f t="array" aca="1" ref="A474" ca="1">IF(B474="","","Grupo N˚"&amp;SUMPRODUCT(($B$4:B474&lt;&gt;"")*($B$4:B474&lt;&gt;OFFSET($B$4,-1,0,ROWS($B$4:B474),1))))</f>
        <v/>
      </c>
      <c r="B474" s="31"/>
      <c r="C474" s="31"/>
      <c r="D474" s="31"/>
      <c r="E474" s="31"/>
      <c r="F474" s="32"/>
      <c r="G474" s="33"/>
      <c r="H474" s="33"/>
      <c r="I474" s="20" t="str">
        <f t="shared" si="109"/>
        <v/>
      </c>
      <c r="J474" s="21" t="str">
        <f>IFERROR(VLOOKUP(BR474,Pricing!$D$3:$E$58,2,FALSE),"")</f>
        <v/>
      </c>
      <c r="K474" s="32"/>
      <c r="L474" s="32"/>
      <c r="M474" s="32"/>
      <c r="N474" s="36" t="str" cm="1">
        <f t="array" ref="N474">IFERROR(_xlfn.IFS((AND(K474="SI",M474="$")),J474*0.2,AND(K474="SI",M474="%"),20),"")</f>
        <v/>
      </c>
      <c r="O474" s="29" t="str">
        <f t="shared" si="110"/>
        <v/>
      </c>
      <c r="P474" s="21" t="str">
        <f t="shared" si="111"/>
        <v/>
      </c>
      <c r="Q474" s="21" t="str">
        <f t="shared" si="112"/>
        <v/>
      </c>
      <c r="R474" s="21" t="str">
        <f t="shared" si="113"/>
        <v/>
      </c>
      <c r="S474" s="39"/>
      <c r="T474" s="43" t="str">
        <f t="shared" si="121"/>
        <v/>
      </c>
      <c r="U474" s="49" t="str">
        <f t="shared" si="122"/>
        <v/>
      </c>
      <c r="V474" s="48" t="str">
        <f t="shared" si="123"/>
        <v/>
      </c>
      <c r="W474" s="48" t="str">
        <f t="shared" si="114"/>
        <v/>
      </c>
      <c r="X474" s="50" t="str">
        <f>IF(W474="","",SUMIF($B$4:$B$1002,B474,$W$4:$W$1000))</f>
        <v/>
      </c>
      <c r="Y474" s="43" t="str">
        <f t="shared" si="115"/>
        <v/>
      </c>
      <c r="Z474" s="49" t="str">
        <f t="shared" si="116"/>
        <v/>
      </c>
      <c r="AA474" s="48" t="str">
        <f t="shared" si="117"/>
        <v/>
      </c>
      <c r="AB474" s="49" t="str">
        <f t="shared" si="118"/>
        <v/>
      </c>
      <c r="AC474" s="50" t="str">
        <f>IF(AB474="","",SUMIF($B$4:$B$1002,B474,$AB$4:$AB$1000))</f>
        <v/>
      </c>
      <c r="AD474" s="69"/>
      <c r="AE474" s="56"/>
      <c r="AF474" s="52"/>
      <c r="AG474" s="51"/>
      <c r="AH474" s="70"/>
      <c r="AI474" s="58"/>
      <c r="AJ474" s="55"/>
      <c r="AK474" s="51"/>
      <c r="AL474" s="69"/>
      <c r="AM474" s="56"/>
      <c r="AN474" s="52"/>
      <c r="AO474" s="51"/>
      <c r="AP474" s="70"/>
      <c r="AQ474" s="58"/>
      <c r="AR474" s="55"/>
      <c r="AS474" s="51"/>
      <c r="AT474" s="69"/>
      <c r="AU474" s="56"/>
      <c r="AV474" s="52"/>
      <c r="AW474" s="51"/>
      <c r="BR474" s="34" t="str">
        <f>IF(E474="","",CONCATENATE(E474," ",F474," noches"))</f>
        <v/>
      </c>
      <c r="BS474" s="28" t="str">
        <f t="shared" ca="1" si="119"/>
        <v/>
      </c>
      <c r="BT474" s="28" t="str">
        <f t="shared" ca="1" si="120"/>
        <v/>
      </c>
    </row>
    <row r="475" spans="1:72" x14ac:dyDescent="0.2">
      <c r="A475" s="18" t="str" cm="1">
        <f t="array" aca="1" ref="A475" ca="1">IF(B475="","","Grupo N˚"&amp;SUMPRODUCT(($B$4:B475&lt;&gt;"")*($B$4:B475&lt;&gt;OFFSET($B$4,-1,0,ROWS($B$4:B475),1))))</f>
        <v/>
      </c>
      <c r="B475" s="31"/>
      <c r="C475" s="31"/>
      <c r="D475" s="31"/>
      <c r="E475" s="31"/>
      <c r="F475" s="32"/>
      <c r="G475" s="33"/>
      <c r="H475" s="33"/>
      <c r="I475" s="20" t="str">
        <f t="shared" si="109"/>
        <v/>
      </c>
      <c r="J475" s="21" t="str">
        <f>IFERROR(VLOOKUP(BR475,Pricing!$D$3:$E$58,2,FALSE),"")</f>
        <v/>
      </c>
      <c r="K475" s="32"/>
      <c r="L475" s="32"/>
      <c r="M475" s="32"/>
      <c r="N475" s="36" t="str" cm="1">
        <f t="array" ref="N475">IFERROR(_xlfn.IFS((AND(K475="SI",M475="$")),J475*0.2,AND(K475="SI",M475="%"),20),"")</f>
        <v/>
      </c>
      <c r="O475" s="29" t="str">
        <f t="shared" si="110"/>
        <v/>
      </c>
      <c r="P475" s="21" t="str">
        <f t="shared" si="111"/>
        <v/>
      </c>
      <c r="Q475" s="21" t="str">
        <f t="shared" si="112"/>
        <v/>
      </c>
      <c r="R475" s="21" t="str">
        <f t="shared" si="113"/>
        <v/>
      </c>
      <c r="S475" s="39"/>
      <c r="T475" s="43" t="str">
        <f t="shared" si="121"/>
        <v/>
      </c>
      <c r="U475" s="49" t="str">
        <f t="shared" si="122"/>
        <v/>
      </c>
      <c r="V475" s="48" t="str">
        <f t="shared" si="123"/>
        <v/>
      </c>
      <c r="W475" s="48" t="str">
        <f t="shared" si="114"/>
        <v/>
      </c>
      <c r="X475" s="50" t="str">
        <f>IF(W475="","",SUMIF($B$4:$B$1002,B475,$W$4:$W$1000))</f>
        <v/>
      </c>
      <c r="Y475" s="43" t="str">
        <f t="shared" si="115"/>
        <v/>
      </c>
      <c r="Z475" s="49" t="str">
        <f t="shared" si="116"/>
        <v/>
      </c>
      <c r="AA475" s="48" t="str">
        <f t="shared" si="117"/>
        <v/>
      </c>
      <c r="AB475" s="49" t="str">
        <f t="shared" si="118"/>
        <v/>
      </c>
      <c r="AC475" s="50" t="str">
        <f>IF(AB475="","",SUMIF($B$4:$B$1002,B475,$AB$4:$AB$1000))</f>
        <v/>
      </c>
      <c r="AD475" s="69"/>
      <c r="AE475" s="56"/>
      <c r="AF475" s="52"/>
      <c r="AG475" s="51"/>
      <c r="AH475" s="70"/>
      <c r="AI475" s="58"/>
      <c r="AJ475" s="55"/>
      <c r="AK475" s="51"/>
      <c r="AL475" s="69"/>
      <c r="AM475" s="56"/>
      <c r="AN475" s="52"/>
      <c r="AO475" s="51"/>
      <c r="AP475" s="70"/>
      <c r="AQ475" s="58"/>
      <c r="AR475" s="55"/>
      <c r="AS475" s="51"/>
      <c r="AT475" s="69"/>
      <c r="AU475" s="56"/>
      <c r="AV475" s="52"/>
      <c r="AW475" s="51"/>
      <c r="BR475" s="34" t="str">
        <f>IF(E475="","",CONCATENATE(E475," ",F475," noches"))</f>
        <v/>
      </c>
      <c r="BS475" s="28" t="str">
        <f t="shared" ca="1" si="119"/>
        <v/>
      </c>
      <c r="BT475" s="28" t="str">
        <f t="shared" ca="1" si="120"/>
        <v/>
      </c>
    </row>
    <row r="476" spans="1:72" x14ac:dyDescent="0.2">
      <c r="A476" s="18" t="str" cm="1">
        <f t="array" aca="1" ref="A476" ca="1">IF(B476="","","Grupo N˚"&amp;SUMPRODUCT(($B$4:B476&lt;&gt;"")*($B$4:B476&lt;&gt;OFFSET($B$4,-1,0,ROWS($B$4:B476),1))))</f>
        <v/>
      </c>
      <c r="B476" s="31"/>
      <c r="C476" s="31"/>
      <c r="D476" s="31"/>
      <c r="E476" s="31"/>
      <c r="F476" s="32"/>
      <c r="G476" s="33"/>
      <c r="H476" s="33"/>
      <c r="I476" s="20" t="str">
        <f t="shared" si="109"/>
        <v/>
      </c>
      <c r="J476" s="21" t="str">
        <f>IFERROR(VLOOKUP(BR476,Pricing!$D$3:$E$58,2,FALSE),"")</f>
        <v/>
      </c>
      <c r="K476" s="32"/>
      <c r="L476" s="32"/>
      <c r="M476" s="32"/>
      <c r="N476" s="36" t="str" cm="1">
        <f t="array" ref="N476">IFERROR(_xlfn.IFS((AND(K476="SI",M476="$")),J476*0.2,AND(K476="SI",M476="%"),20),"")</f>
        <v/>
      </c>
      <c r="O476" s="29" t="str">
        <f t="shared" si="110"/>
        <v/>
      </c>
      <c r="P476" s="21" t="str">
        <f t="shared" si="111"/>
        <v/>
      </c>
      <c r="Q476" s="21" t="str">
        <f t="shared" si="112"/>
        <v/>
      </c>
      <c r="R476" s="21" t="str">
        <f t="shared" si="113"/>
        <v/>
      </c>
      <c r="S476" s="39"/>
      <c r="T476" s="43" t="str">
        <f t="shared" si="121"/>
        <v/>
      </c>
      <c r="U476" s="49" t="str">
        <f t="shared" si="122"/>
        <v/>
      </c>
      <c r="V476" s="48" t="str">
        <f t="shared" si="123"/>
        <v/>
      </c>
      <c r="W476" s="48" t="str">
        <f t="shared" si="114"/>
        <v/>
      </c>
      <c r="X476" s="50" t="str">
        <f>IF(W476="","",SUMIF($B$4:$B$1002,B476,$W$4:$W$1000))</f>
        <v/>
      </c>
      <c r="Y476" s="43" t="str">
        <f t="shared" si="115"/>
        <v/>
      </c>
      <c r="Z476" s="49" t="str">
        <f t="shared" si="116"/>
        <v/>
      </c>
      <c r="AA476" s="48" t="str">
        <f t="shared" si="117"/>
        <v/>
      </c>
      <c r="AB476" s="49" t="str">
        <f t="shared" si="118"/>
        <v/>
      </c>
      <c r="AC476" s="50" t="str">
        <f>IF(AB476="","",SUMIF($B$4:$B$1002,B476,$AB$4:$AB$1000))</f>
        <v/>
      </c>
      <c r="AD476" s="69"/>
      <c r="AE476" s="56"/>
      <c r="AF476" s="52"/>
      <c r="AG476" s="51"/>
      <c r="AH476" s="70"/>
      <c r="AI476" s="58"/>
      <c r="AJ476" s="55"/>
      <c r="AK476" s="51"/>
      <c r="AL476" s="69"/>
      <c r="AM476" s="56"/>
      <c r="AN476" s="52"/>
      <c r="AO476" s="51"/>
      <c r="AP476" s="70"/>
      <c r="AQ476" s="58"/>
      <c r="AR476" s="55"/>
      <c r="AS476" s="51"/>
      <c r="AT476" s="69"/>
      <c r="AU476" s="56"/>
      <c r="AV476" s="52"/>
      <c r="AW476" s="51"/>
      <c r="BR476" s="34" t="str">
        <f>IF(E476="","",CONCATENATE(E476," ",F476," noches"))</f>
        <v/>
      </c>
      <c r="BS476" s="28" t="str">
        <f t="shared" ca="1" si="119"/>
        <v/>
      </c>
      <c r="BT476" s="28" t="str">
        <f t="shared" ca="1" si="120"/>
        <v/>
      </c>
    </row>
    <row r="477" spans="1:72" x14ac:dyDescent="0.2">
      <c r="A477" s="18" t="str" cm="1">
        <f t="array" aca="1" ref="A477" ca="1">IF(B477="","","Grupo N˚"&amp;SUMPRODUCT(($B$4:B477&lt;&gt;"")*($B$4:B477&lt;&gt;OFFSET($B$4,-1,0,ROWS($B$4:B477),1))))</f>
        <v/>
      </c>
      <c r="B477" s="31"/>
      <c r="C477" s="31"/>
      <c r="D477" s="31"/>
      <c r="E477" s="31"/>
      <c r="F477" s="32"/>
      <c r="G477" s="33"/>
      <c r="H477" s="33"/>
      <c r="I477" s="20" t="str">
        <f t="shared" si="109"/>
        <v/>
      </c>
      <c r="J477" s="21" t="str">
        <f>IFERROR(VLOOKUP(BR477,Pricing!$D$3:$E$58,2,FALSE),"")</f>
        <v/>
      </c>
      <c r="K477" s="32"/>
      <c r="L477" s="32"/>
      <c r="M477" s="32"/>
      <c r="N477" s="36" t="str" cm="1">
        <f t="array" ref="N477">IFERROR(_xlfn.IFS((AND(K477="SI",M477="$")),J477*0.2,AND(K477="SI",M477="%"),20),"")</f>
        <v/>
      </c>
      <c r="O477" s="29" t="str">
        <f t="shared" si="110"/>
        <v/>
      </c>
      <c r="P477" s="21" t="str">
        <f t="shared" si="111"/>
        <v/>
      </c>
      <c r="Q477" s="21" t="str">
        <f t="shared" si="112"/>
        <v/>
      </c>
      <c r="R477" s="21" t="str">
        <f t="shared" si="113"/>
        <v/>
      </c>
      <c r="S477" s="39"/>
      <c r="T477" s="43" t="str">
        <f t="shared" si="121"/>
        <v/>
      </c>
      <c r="U477" s="49" t="str">
        <f t="shared" si="122"/>
        <v/>
      </c>
      <c r="V477" s="48" t="str">
        <f t="shared" si="123"/>
        <v/>
      </c>
      <c r="W477" s="48" t="str">
        <f t="shared" si="114"/>
        <v/>
      </c>
      <c r="X477" s="50" t="str">
        <f>IF(W477="","",SUMIF($B$4:$B$1002,B477,$W$4:$W$1000))</f>
        <v/>
      </c>
      <c r="Y477" s="43" t="str">
        <f t="shared" si="115"/>
        <v/>
      </c>
      <c r="Z477" s="49" t="str">
        <f t="shared" si="116"/>
        <v/>
      </c>
      <c r="AA477" s="48" t="str">
        <f t="shared" si="117"/>
        <v/>
      </c>
      <c r="AB477" s="49" t="str">
        <f t="shared" si="118"/>
        <v/>
      </c>
      <c r="AC477" s="50" t="str">
        <f>IF(AB477="","",SUMIF($B$4:$B$1002,B477,$AB$4:$AB$1000))</f>
        <v/>
      </c>
      <c r="AD477" s="69"/>
      <c r="AE477" s="56"/>
      <c r="AF477" s="52"/>
      <c r="AG477" s="51"/>
      <c r="AH477" s="70"/>
      <c r="AI477" s="58"/>
      <c r="AJ477" s="55"/>
      <c r="AK477" s="51"/>
      <c r="AL477" s="69"/>
      <c r="AM477" s="56"/>
      <c r="AN477" s="52"/>
      <c r="AO477" s="51"/>
      <c r="AP477" s="70"/>
      <c r="AQ477" s="58"/>
      <c r="AR477" s="55"/>
      <c r="AS477" s="51"/>
      <c r="AT477" s="69"/>
      <c r="AU477" s="56"/>
      <c r="AV477" s="52"/>
      <c r="AW477" s="51"/>
      <c r="BR477" s="34" t="str">
        <f>IF(E477="","",CONCATENATE(E477," ",F477," noches"))</f>
        <v/>
      </c>
      <c r="BS477" s="28" t="str">
        <f t="shared" ca="1" si="119"/>
        <v/>
      </c>
      <c r="BT477" s="28" t="str">
        <f t="shared" ca="1" si="120"/>
        <v/>
      </c>
    </row>
    <row r="478" spans="1:72" x14ac:dyDescent="0.2">
      <c r="A478" s="18" t="str" cm="1">
        <f t="array" aca="1" ref="A478" ca="1">IF(B478="","","Grupo N˚"&amp;SUMPRODUCT(($B$4:B478&lt;&gt;"")*($B$4:B478&lt;&gt;OFFSET($B$4,-1,0,ROWS($B$4:B478),1))))</f>
        <v/>
      </c>
      <c r="B478" s="31"/>
      <c r="C478" s="31"/>
      <c r="D478" s="31"/>
      <c r="E478" s="31"/>
      <c r="F478" s="32"/>
      <c r="G478" s="33"/>
      <c r="H478" s="33"/>
      <c r="I478" s="20" t="str">
        <f t="shared" si="109"/>
        <v/>
      </c>
      <c r="J478" s="21" t="str">
        <f>IFERROR(VLOOKUP(BR478,Pricing!$D$3:$E$58,2,FALSE),"")</f>
        <v/>
      </c>
      <c r="K478" s="32"/>
      <c r="L478" s="32"/>
      <c r="M478" s="32"/>
      <c r="N478" s="36" t="str" cm="1">
        <f t="array" ref="N478">IFERROR(_xlfn.IFS((AND(K478="SI",M478="$")),J478*0.2,AND(K478="SI",M478="%"),20),"")</f>
        <v/>
      </c>
      <c r="O478" s="29" t="str">
        <f t="shared" si="110"/>
        <v/>
      </c>
      <c r="P478" s="21" t="str">
        <f t="shared" si="111"/>
        <v/>
      </c>
      <c r="Q478" s="21" t="str">
        <f t="shared" si="112"/>
        <v/>
      </c>
      <c r="R478" s="21" t="str">
        <f t="shared" si="113"/>
        <v/>
      </c>
      <c r="S478" s="39"/>
      <c r="T478" s="43" t="str">
        <f t="shared" si="121"/>
        <v/>
      </c>
      <c r="U478" s="49" t="str">
        <f t="shared" si="122"/>
        <v/>
      </c>
      <c r="V478" s="48" t="str">
        <f t="shared" si="123"/>
        <v/>
      </c>
      <c r="W478" s="48" t="str">
        <f t="shared" si="114"/>
        <v/>
      </c>
      <c r="X478" s="50" t="str">
        <f>IF(W478="","",SUMIF($B$4:$B$1002,B478,$W$4:$W$1000))</f>
        <v/>
      </c>
      <c r="Y478" s="43" t="str">
        <f t="shared" si="115"/>
        <v/>
      </c>
      <c r="Z478" s="49" t="str">
        <f t="shared" si="116"/>
        <v/>
      </c>
      <c r="AA478" s="48" t="str">
        <f t="shared" si="117"/>
        <v/>
      </c>
      <c r="AB478" s="49" t="str">
        <f t="shared" si="118"/>
        <v/>
      </c>
      <c r="AC478" s="50" t="str">
        <f>IF(AB478="","",SUMIF($B$4:$B$1002,B478,$AB$4:$AB$1000))</f>
        <v/>
      </c>
      <c r="AD478" s="69"/>
      <c r="AE478" s="56"/>
      <c r="AF478" s="52"/>
      <c r="AG478" s="51"/>
      <c r="AH478" s="70"/>
      <c r="AI478" s="58"/>
      <c r="AJ478" s="55"/>
      <c r="AK478" s="51"/>
      <c r="AL478" s="69"/>
      <c r="AM478" s="56"/>
      <c r="AN478" s="52"/>
      <c r="AO478" s="51"/>
      <c r="AP478" s="70"/>
      <c r="AQ478" s="58"/>
      <c r="AR478" s="55"/>
      <c r="AS478" s="51"/>
      <c r="AT478" s="69"/>
      <c r="AU478" s="56"/>
      <c r="AV478" s="52"/>
      <c r="AW478" s="51"/>
      <c r="BR478" s="34" t="str">
        <f>IF(E478="","",CONCATENATE(E478," ",F478," noches"))</f>
        <v/>
      </c>
      <c r="BS478" s="28" t="str">
        <f t="shared" ca="1" si="119"/>
        <v/>
      </c>
      <c r="BT478" s="28" t="str">
        <f t="shared" ca="1" si="120"/>
        <v/>
      </c>
    </row>
    <row r="479" spans="1:72" x14ac:dyDescent="0.2">
      <c r="A479" s="18" t="str" cm="1">
        <f t="array" aca="1" ref="A479" ca="1">IF(B479="","","Grupo N˚"&amp;SUMPRODUCT(($B$4:B479&lt;&gt;"")*($B$4:B479&lt;&gt;OFFSET($B$4,-1,0,ROWS($B$4:B479),1))))</f>
        <v/>
      </c>
      <c r="B479" s="31"/>
      <c r="C479" s="31"/>
      <c r="D479" s="31"/>
      <c r="E479" s="31"/>
      <c r="F479" s="32"/>
      <c r="G479" s="33"/>
      <c r="H479" s="33"/>
      <c r="I479" s="20" t="str">
        <f t="shared" si="109"/>
        <v/>
      </c>
      <c r="J479" s="21" t="str">
        <f>IFERROR(VLOOKUP(BR479,Pricing!$D$3:$E$58,2,FALSE),"")</f>
        <v/>
      </c>
      <c r="K479" s="32"/>
      <c r="L479" s="32"/>
      <c r="M479" s="32"/>
      <c r="N479" s="36" t="str" cm="1">
        <f t="array" ref="N479">IFERROR(_xlfn.IFS((AND(K479="SI",M479="$")),J479*0.2,AND(K479="SI",M479="%"),20),"")</f>
        <v/>
      </c>
      <c r="O479" s="29" t="str">
        <f t="shared" si="110"/>
        <v/>
      </c>
      <c r="P479" s="21" t="str">
        <f t="shared" si="111"/>
        <v/>
      </c>
      <c r="Q479" s="21" t="str">
        <f t="shared" si="112"/>
        <v/>
      </c>
      <c r="R479" s="21" t="str">
        <f t="shared" si="113"/>
        <v/>
      </c>
      <c r="S479" s="39"/>
      <c r="T479" s="43" t="str">
        <f t="shared" si="121"/>
        <v/>
      </c>
      <c r="U479" s="49" t="str">
        <f t="shared" si="122"/>
        <v/>
      </c>
      <c r="V479" s="48" t="str">
        <f t="shared" si="123"/>
        <v/>
      </c>
      <c r="W479" s="48" t="str">
        <f t="shared" si="114"/>
        <v/>
      </c>
      <c r="X479" s="50" t="str">
        <f>IF(W479="","",SUMIF($B$4:$B$1002,B479,$W$4:$W$1000))</f>
        <v/>
      </c>
      <c r="Y479" s="43" t="str">
        <f t="shared" si="115"/>
        <v/>
      </c>
      <c r="Z479" s="49" t="str">
        <f t="shared" si="116"/>
        <v/>
      </c>
      <c r="AA479" s="48" t="str">
        <f t="shared" si="117"/>
        <v/>
      </c>
      <c r="AB479" s="49" t="str">
        <f t="shared" si="118"/>
        <v/>
      </c>
      <c r="AC479" s="50" t="str">
        <f>IF(AB479="","",SUMIF($B$4:$B$1002,B479,$AB$4:$AB$1000))</f>
        <v/>
      </c>
      <c r="AD479" s="69"/>
      <c r="AE479" s="56"/>
      <c r="AF479" s="52"/>
      <c r="AG479" s="51"/>
      <c r="AH479" s="70"/>
      <c r="AI479" s="58"/>
      <c r="AJ479" s="55"/>
      <c r="AK479" s="51"/>
      <c r="AL479" s="69"/>
      <c r="AM479" s="56"/>
      <c r="AN479" s="52"/>
      <c r="AO479" s="51"/>
      <c r="AP479" s="70"/>
      <c r="AQ479" s="58"/>
      <c r="AR479" s="55"/>
      <c r="AS479" s="51"/>
      <c r="AT479" s="69"/>
      <c r="AU479" s="56"/>
      <c r="AV479" s="52"/>
      <c r="AW479" s="51"/>
      <c r="BR479" s="34" t="str">
        <f>IF(E479="","",CONCATENATE(E479," ",F479," noches"))</f>
        <v/>
      </c>
      <c r="BS479" s="28" t="str">
        <f t="shared" ca="1" si="119"/>
        <v/>
      </c>
      <c r="BT479" s="28" t="str">
        <f t="shared" ca="1" si="120"/>
        <v/>
      </c>
    </row>
    <row r="480" spans="1:72" x14ac:dyDescent="0.2">
      <c r="A480" s="18" t="str" cm="1">
        <f t="array" aca="1" ref="A480" ca="1">IF(B480="","","Grupo N˚"&amp;SUMPRODUCT(($B$4:B480&lt;&gt;"")*($B$4:B480&lt;&gt;OFFSET($B$4,-1,0,ROWS($B$4:B480),1))))</f>
        <v/>
      </c>
      <c r="B480" s="31"/>
      <c r="C480" s="31"/>
      <c r="D480" s="31"/>
      <c r="E480" s="31"/>
      <c r="F480" s="32"/>
      <c r="G480" s="33"/>
      <c r="H480" s="33"/>
      <c r="I480" s="20" t="str">
        <f t="shared" si="109"/>
        <v/>
      </c>
      <c r="J480" s="21" t="str">
        <f>IFERROR(VLOOKUP(BR480,Pricing!$D$3:$E$58,2,FALSE),"")</f>
        <v/>
      </c>
      <c r="K480" s="32"/>
      <c r="L480" s="32"/>
      <c r="M480" s="32"/>
      <c r="N480" s="36" t="str" cm="1">
        <f t="array" ref="N480">IFERROR(_xlfn.IFS((AND(K480="SI",M480="$")),J480*0.2,AND(K480="SI",M480="%"),20),"")</f>
        <v/>
      </c>
      <c r="O480" s="29" t="str">
        <f t="shared" si="110"/>
        <v/>
      </c>
      <c r="P480" s="21" t="str">
        <f t="shared" si="111"/>
        <v/>
      </c>
      <c r="Q480" s="21" t="str">
        <f t="shared" si="112"/>
        <v/>
      </c>
      <c r="R480" s="21" t="str">
        <f t="shared" si="113"/>
        <v/>
      </c>
      <c r="S480" s="39"/>
      <c r="T480" s="43" t="str">
        <f t="shared" si="121"/>
        <v/>
      </c>
      <c r="U480" s="49" t="str">
        <f t="shared" si="122"/>
        <v/>
      </c>
      <c r="V480" s="48" t="str">
        <f t="shared" si="123"/>
        <v/>
      </c>
      <c r="W480" s="48" t="str">
        <f t="shared" si="114"/>
        <v/>
      </c>
      <c r="X480" s="50" t="str">
        <f>IF(W480="","",SUMIF($B$4:$B$1002,B480,$W$4:$W$1000))</f>
        <v/>
      </c>
      <c r="Y480" s="43" t="str">
        <f t="shared" si="115"/>
        <v/>
      </c>
      <c r="Z480" s="49" t="str">
        <f t="shared" si="116"/>
        <v/>
      </c>
      <c r="AA480" s="48" t="str">
        <f t="shared" si="117"/>
        <v/>
      </c>
      <c r="AB480" s="49" t="str">
        <f t="shared" si="118"/>
        <v/>
      </c>
      <c r="AC480" s="50" t="str">
        <f>IF(AB480="","",SUMIF($B$4:$B$1002,B480,$AB$4:$AB$1000))</f>
        <v/>
      </c>
      <c r="AD480" s="69"/>
      <c r="AE480" s="56"/>
      <c r="AF480" s="52"/>
      <c r="AG480" s="51"/>
      <c r="AH480" s="70"/>
      <c r="AI480" s="58"/>
      <c r="AJ480" s="55"/>
      <c r="AK480" s="51"/>
      <c r="AL480" s="69"/>
      <c r="AM480" s="56"/>
      <c r="AN480" s="52"/>
      <c r="AO480" s="51"/>
      <c r="AP480" s="70"/>
      <c r="AQ480" s="58"/>
      <c r="AR480" s="55"/>
      <c r="AS480" s="51"/>
      <c r="AT480" s="69"/>
      <c r="AU480" s="56"/>
      <c r="AV480" s="52"/>
      <c r="AW480" s="51"/>
      <c r="BR480" s="34" t="str">
        <f>IF(E480="","",CONCATENATE(E480," ",F480," noches"))</f>
        <v/>
      </c>
      <c r="BS480" s="28" t="str">
        <f t="shared" ca="1" si="119"/>
        <v/>
      </c>
      <c r="BT480" s="28" t="str">
        <f t="shared" ca="1" si="120"/>
        <v/>
      </c>
    </row>
    <row r="481" spans="1:72" x14ac:dyDescent="0.2">
      <c r="A481" s="18" t="str" cm="1">
        <f t="array" aca="1" ref="A481" ca="1">IF(B481="","","Grupo N˚"&amp;SUMPRODUCT(($B$4:B481&lt;&gt;"")*($B$4:B481&lt;&gt;OFFSET($B$4,-1,0,ROWS($B$4:B481),1))))</f>
        <v/>
      </c>
      <c r="B481" s="31"/>
      <c r="C481" s="31"/>
      <c r="D481" s="31"/>
      <c r="E481" s="31"/>
      <c r="F481" s="32"/>
      <c r="G481" s="33"/>
      <c r="H481" s="33"/>
      <c r="I481" s="20" t="str">
        <f t="shared" si="109"/>
        <v/>
      </c>
      <c r="J481" s="21" t="str">
        <f>IFERROR(VLOOKUP(BR481,Pricing!$D$3:$E$58,2,FALSE),"")</f>
        <v/>
      </c>
      <c r="K481" s="32"/>
      <c r="L481" s="32"/>
      <c r="M481" s="32"/>
      <c r="N481" s="36" t="str" cm="1">
        <f t="array" ref="N481">IFERROR(_xlfn.IFS((AND(K481="SI",M481="$")),J481*0.2,AND(K481="SI",M481="%"),20),"")</f>
        <v/>
      </c>
      <c r="O481" s="29" t="str">
        <f t="shared" si="110"/>
        <v/>
      </c>
      <c r="P481" s="21" t="str">
        <f t="shared" si="111"/>
        <v/>
      </c>
      <c r="Q481" s="21" t="str">
        <f t="shared" si="112"/>
        <v/>
      </c>
      <c r="R481" s="21" t="str">
        <f t="shared" si="113"/>
        <v/>
      </c>
      <c r="S481" s="39"/>
      <c r="T481" s="43" t="str">
        <f t="shared" si="121"/>
        <v/>
      </c>
      <c r="U481" s="49" t="str">
        <f t="shared" si="122"/>
        <v/>
      </c>
      <c r="V481" s="48" t="str">
        <f t="shared" si="123"/>
        <v/>
      </c>
      <c r="W481" s="48" t="str">
        <f t="shared" si="114"/>
        <v/>
      </c>
      <c r="X481" s="50" t="str">
        <f>IF(W481="","",SUMIF($B$4:$B$1002,B481,$W$4:$W$1000))</f>
        <v/>
      </c>
      <c r="Y481" s="43" t="str">
        <f t="shared" si="115"/>
        <v/>
      </c>
      <c r="Z481" s="49" t="str">
        <f t="shared" si="116"/>
        <v/>
      </c>
      <c r="AA481" s="48" t="str">
        <f t="shared" si="117"/>
        <v/>
      </c>
      <c r="AB481" s="49" t="str">
        <f t="shared" si="118"/>
        <v/>
      </c>
      <c r="AC481" s="50" t="str">
        <f>IF(AB481="","",SUMIF($B$4:$B$1002,B481,$AB$4:$AB$1000))</f>
        <v/>
      </c>
      <c r="AD481" s="69"/>
      <c r="AE481" s="56"/>
      <c r="AF481" s="52"/>
      <c r="AG481" s="51"/>
      <c r="AH481" s="70"/>
      <c r="AI481" s="58"/>
      <c r="AJ481" s="55"/>
      <c r="AK481" s="51"/>
      <c r="AL481" s="69"/>
      <c r="AM481" s="56"/>
      <c r="AN481" s="52"/>
      <c r="AO481" s="51"/>
      <c r="AP481" s="70"/>
      <c r="AQ481" s="58"/>
      <c r="AR481" s="55"/>
      <c r="AS481" s="51"/>
      <c r="AT481" s="69"/>
      <c r="AU481" s="56"/>
      <c r="AV481" s="52"/>
      <c r="AW481" s="51"/>
      <c r="BR481" s="34" t="str">
        <f>IF(E481="","",CONCATENATE(E481," ",F481," noches"))</f>
        <v/>
      </c>
      <c r="BS481" s="28" t="str">
        <f t="shared" ca="1" si="119"/>
        <v/>
      </c>
      <c r="BT481" s="28" t="str">
        <f t="shared" ca="1" si="120"/>
        <v/>
      </c>
    </row>
    <row r="482" spans="1:72" x14ac:dyDescent="0.2">
      <c r="A482" s="18" t="str" cm="1">
        <f t="array" aca="1" ref="A482" ca="1">IF(B482="","","Grupo N˚"&amp;SUMPRODUCT(($B$4:B482&lt;&gt;"")*($B$4:B482&lt;&gt;OFFSET($B$4,-1,0,ROWS($B$4:B482),1))))</f>
        <v/>
      </c>
      <c r="B482" s="31"/>
      <c r="C482" s="31"/>
      <c r="D482" s="31"/>
      <c r="E482" s="31"/>
      <c r="F482" s="32"/>
      <c r="G482" s="33"/>
      <c r="H482" s="33"/>
      <c r="I482" s="20" t="str">
        <f t="shared" si="109"/>
        <v/>
      </c>
      <c r="J482" s="21" t="str">
        <f>IFERROR(VLOOKUP(BR482,Pricing!$D$3:$E$58,2,FALSE),"")</f>
        <v/>
      </c>
      <c r="K482" s="32"/>
      <c r="L482" s="32"/>
      <c r="M482" s="32"/>
      <c r="N482" s="36" t="str" cm="1">
        <f t="array" ref="N482">IFERROR(_xlfn.IFS((AND(K482="SI",M482="$")),J482*0.2,AND(K482="SI",M482="%"),20),"")</f>
        <v/>
      </c>
      <c r="O482" s="29" t="str">
        <f t="shared" si="110"/>
        <v/>
      </c>
      <c r="P482" s="21" t="str">
        <f t="shared" si="111"/>
        <v/>
      </c>
      <c r="Q482" s="21" t="str">
        <f t="shared" si="112"/>
        <v/>
      </c>
      <c r="R482" s="21" t="str">
        <f t="shared" si="113"/>
        <v/>
      </c>
      <c r="S482" s="39"/>
      <c r="T482" s="43" t="str">
        <f t="shared" si="121"/>
        <v/>
      </c>
      <c r="U482" s="49" t="str">
        <f t="shared" si="122"/>
        <v/>
      </c>
      <c r="V482" s="48" t="str">
        <f t="shared" si="123"/>
        <v/>
      </c>
      <c r="W482" s="48" t="str">
        <f t="shared" si="114"/>
        <v/>
      </c>
      <c r="X482" s="50" t="str">
        <f>IF(W482="","",SUMIF($B$4:$B$1002,B482,$W$4:$W$1000))</f>
        <v/>
      </c>
      <c r="Y482" s="43" t="str">
        <f t="shared" si="115"/>
        <v/>
      </c>
      <c r="Z482" s="49" t="str">
        <f t="shared" si="116"/>
        <v/>
      </c>
      <c r="AA482" s="48" t="str">
        <f t="shared" si="117"/>
        <v/>
      </c>
      <c r="AB482" s="49" t="str">
        <f t="shared" si="118"/>
        <v/>
      </c>
      <c r="AC482" s="50" t="str">
        <f>IF(AB482="","",SUMIF($B$4:$B$1002,B482,$AB$4:$AB$1000))</f>
        <v/>
      </c>
      <c r="AD482" s="69"/>
      <c r="AE482" s="56"/>
      <c r="AF482" s="52"/>
      <c r="AG482" s="51"/>
      <c r="AH482" s="70"/>
      <c r="AI482" s="58"/>
      <c r="AJ482" s="55"/>
      <c r="AK482" s="51"/>
      <c r="AL482" s="69"/>
      <c r="AM482" s="56"/>
      <c r="AN482" s="52"/>
      <c r="AO482" s="51"/>
      <c r="AP482" s="70"/>
      <c r="AQ482" s="58"/>
      <c r="AR482" s="55"/>
      <c r="AS482" s="51"/>
      <c r="AT482" s="69"/>
      <c r="AU482" s="56"/>
      <c r="AV482" s="52"/>
      <c r="AW482" s="51"/>
      <c r="BR482" s="34" t="str">
        <f>IF(E482="","",CONCATENATE(E482," ",F482," noches"))</f>
        <v/>
      </c>
      <c r="BS482" s="28" t="str">
        <f t="shared" ca="1" si="119"/>
        <v/>
      </c>
      <c r="BT482" s="28" t="str">
        <f t="shared" ca="1" si="120"/>
        <v/>
      </c>
    </row>
    <row r="483" spans="1:72" x14ac:dyDescent="0.2">
      <c r="A483" s="18" t="str" cm="1">
        <f t="array" aca="1" ref="A483" ca="1">IF(B483="","","Grupo N˚"&amp;SUMPRODUCT(($B$4:B483&lt;&gt;"")*($B$4:B483&lt;&gt;OFFSET($B$4,-1,0,ROWS($B$4:B483),1))))</f>
        <v/>
      </c>
      <c r="B483" s="31"/>
      <c r="C483" s="31"/>
      <c r="D483" s="31"/>
      <c r="E483" s="31"/>
      <c r="F483" s="32"/>
      <c r="G483" s="33"/>
      <c r="H483" s="33"/>
      <c r="I483" s="20" t="str">
        <f t="shared" si="109"/>
        <v/>
      </c>
      <c r="J483" s="21" t="str">
        <f>IFERROR(VLOOKUP(BR483,Pricing!$D$3:$E$58,2,FALSE),"")</f>
        <v/>
      </c>
      <c r="K483" s="32"/>
      <c r="L483" s="32"/>
      <c r="M483" s="32"/>
      <c r="N483" s="36" t="str" cm="1">
        <f t="array" ref="N483">IFERROR(_xlfn.IFS((AND(K483="SI",M483="$")),J483*0.2,AND(K483="SI",M483="%"),20),"")</f>
        <v/>
      </c>
      <c r="O483" s="29" t="str">
        <f t="shared" si="110"/>
        <v/>
      </c>
      <c r="P483" s="21" t="str">
        <f t="shared" si="111"/>
        <v/>
      </c>
      <c r="Q483" s="21" t="str">
        <f t="shared" si="112"/>
        <v/>
      </c>
      <c r="R483" s="21" t="str">
        <f t="shared" si="113"/>
        <v/>
      </c>
      <c r="S483" s="39"/>
      <c r="T483" s="43" t="str">
        <f t="shared" si="121"/>
        <v/>
      </c>
      <c r="U483" s="49" t="str">
        <f t="shared" si="122"/>
        <v/>
      </c>
      <c r="V483" s="48" t="str">
        <f t="shared" si="123"/>
        <v/>
      </c>
      <c r="W483" s="48" t="str">
        <f t="shared" si="114"/>
        <v/>
      </c>
      <c r="X483" s="50" t="str">
        <f>IF(W483="","",SUMIF($B$4:$B$1002,B483,$W$4:$W$1000))</f>
        <v/>
      </c>
      <c r="Y483" s="43" t="str">
        <f t="shared" si="115"/>
        <v/>
      </c>
      <c r="Z483" s="49" t="str">
        <f t="shared" si="116"/>
        <v/>
      </c>
      <c r="AA483" s="48" t="str">
        <f t="shared" si="117"/>
        <v/>
      </c>
      <c r="AB483" s="49" t="str">
        <f t="shared" si="118"/>
        <v/>
      </c>
      <c r="AC483" s="50" t="str">
        <f>IF(AB483="","",SUMIF($B$4:$B$1002,B483,$AB$4:$AB$1000))</f>
        <v/>
      </c>
      <c r="AD483" s="69"/>
      <c r="AE483" s="56"/>
      <c r="AF483" s="52"/>
      <c r="AG483" s="51"/>
      <c r="AH483" s="70"/>
      <c r="AI483" s="58"/>
      <c r="AJ483" s="55"/>
      <c r="AK483" s="51"/>
      <c r="AL483" s="69"/>
      <c r="AM483" s="56"/>
      <c r="AN483" s="52"/>
      <c r="AO483" s="51"/>
      <c r="AP483" s="70"/>
      <c r="AQ483" s="58"/>
      <c r="AR483" s="55"/>
      <c r="AS483" s="51"/>
      <c r="AT483" s="69"/>
      <c r="AU483" s="56"/>
      <c r="AV483" s="52"/>
      <c r="AW483" s="51"/>
      <c r="BR483" s="34" t="str">
        <f>IF(E483="","",CONCATENATE(E483," ",F483," noches"))</f>
        <v/>
      </c>
      <c r="BS483" s="28" t="str">
        <f t="shared" ca="1" si="119"/>
        <v/>
      </c>
      <c r="BT483" s="28" t="str">
        <f t="shared" ca="1" si="120"/>
        <v/>
      </c>
    </row>
    <row r="484" spans="1:72" x14ac:dyDescent="0.2">
      <c r="A484" s="18" t="str" cm="1">
        <f t="array" aca="1" ref="A484" ca="1">IF(B484="","","Grupo N˚"&amp;SUMPRODUCT(($B$4:B484&lt;&gt;"")*($B$4:B484&lt;&gt;OFFSET($B$4,-1,0,ROWS($B$4:B484),1))))</f>
        <v/>
      </c>
      <c r="B484" s="31"/>
      <c r="C484" s="31"/>
      <c r="D484" s="31"/>
      <c r="E484" s="31"/>
      <c r="F484" s="32"/>
      <c r="G484" s="33"/>
      <c r="H484" s="33"/>
      <c r="I484" s="20" t="str">
        <f t="shared" si="109"/>
        <v/>
      </c>
      <c r="J484" s="21" t="str">
        <f>IFERROR(VLOOKUP(BR484,Pricing!$D$3:$E$58,2,FALSE),"")</f>
        <v/>
      </c>
      <c r="K484" s="32"/>
      <c r="L484" s="32"/>
      <c r="M484" s="32"/>
      <c r="N484" s="36" t="str" cm="1">
        <f t="array" ref="N484">IFERROR(_xlfn.IFS((AND(K484="SI",M484="$")),J484*0.2,AND(K484="SI",M484="%"),20),"")</f>
        <v/>
      </c>
      <c r="O484" s="29" t="str">
        <f t="shared" si="110"/>
        <v/>
      </c>
      <c r="P484" s="21" t="str">
        <f t="shared" si="111"/>
        <v/>
      </c>
      <c r="Q484" s="21" t="str">
        <f t="shared" si="112"/>
        <v/>
      </c>
      <c r="R484" s="21" t="str">
        <f t="shared" si="113"/>
        <v/>
      </c>
      <c r="S484" s="39"/>
      <c r="T484" s="43" t="str">
        <f t="shared" si="121"/>
        <v/>
      </c>
      <c r="U484" s="49" t="str">
        <f t="shared" si="122"/>
        <v/>
      </c>
      <c r="V484" s="48" t="str">
        <f t="shared" si="123"/>
        <v/>
      </c>
      <c r="W484" s="48" t="str">
        <f t="shared" si="114"/>
        <v/>
      </c>
      <c r="X484" s="50" t="str">
        <f>IF(W484="","",SUMIF($B$4:$B$1002,B484,$W$4:$W$1000))</f>
        <v/>
      </c>
      <c r="Y484" s="43" t="str">
        <f t="shared" si="115"/>
        <v/>
      </c>
      <c r="Z484" s="49" t="str">
        <f t="shared" si="116"/>
        <v/>
      </c>
      <c r="AA484" s="48" t="str">
        <f t="shared" si="117"/>
        <v/>
      </c>
      <c r="AB484" s="49" t="str">
        <f t="shared" si="118"/>
        <v/>
      </c>
      <c r="AC484" s="50" t="str">
        <f>IF(AB484="","",SUMIF($B$4:$B$1002,B484,$AB$4:$AB$1000))</f>
        <v/>
      </c>
      <c r="AD484" s="69"/>
      <c r="AE484" s="56"/>
      <c r="AF484" s="52"/>
      <c r="AG484" s="51"/>
      <c r="AH484" s="70"/>
      <c r="AI484" s="58"/>
      <c r="AJ484" s="55"/>
      <c r="AK484" s="51"/>
      <c r="AL484" s="69"/>
      <c r="AM484" s="56"/>
      <c r="AN484" s="52"/>
      <c r="AO484" s="51"/>
      <c r="AP484" s="70"/>
      <c r="AQ484" s="58"/>
      <c r="AR484" s="55"/>
      <c r="AS484" s="51"/>
      <c r="AT484" s="69"/>
      <c r="AU484" s="56"/>
      <c r="AV484" s="52"/>
      <c r="AW484" s="51"/>
      <c r="BR484" s="34" t="str">
        <f>IF(E484="","",CONCATENATE(E484," ",F484," noches"))</f>
        <v/>
      </c>
      <c r="BS484" s="28" t="str">
        <f t="shared" ca="1" si="119"/>
        <v/>
      </c>
      <c r="BT484" s="28" t="str">
        <f t="shared" ca="1" si="120"/>
        <v/>
      </c>
    </row>
    <row r="485" spans="1:72" x14ac:dyDescent="0.2">
      <c r="A485" s="18" t="str" cm="1">
        <f t="array" aca="1" ref="A485" ca="1">IF(B485="","","Grupo N˚"&amp;SUMPRODUCT(($B$4:B485&lt;&gt;"")*($B$4:B485&lt;&gt;OFFSET($B$4,-1,0,ROWS($B$4:B485),1))))</f>
        <v/>
      </c>
      <c r="B485" s="31"/>
      <c r="C485" s="31"/>
      <c r="D485" s="31"/>
      <c r="E485" s="31"/>
      <c r="F485" s="32"/>
      <c r="G485" s="33"/>
      <c r="H485" s="33"/>
      <c r="I485" s="20" t="str">
        <f t="shared" si="109"/>
        <v/>
      </c>
      <c r="J485" s="21" t="str">
        <f>IFERROR(VLOOKUP(BR485,Pricing!$D$3:$E$58,2,FALSE),"")</f>
        <v/>
      </c>
      <c r="K485" s="32"/>
      <c r="L485" s="32"/>
      <c r="M485" s="32"/>
      <c r="N485" s="36" t="str" cm="1">
        <f t="array" ref="N485">IFERROR(_xlfn.IFS((AND(K485="SI",M485="$")),J485*0.2,AND(K485="SI",M485="%"),20),"")</f>
        <v/>
      </c>
      <c r="O485" s="29" t="str">
        <f t="shared" si="110"/>
        <v/>
      </c>
      <c r="P485" s="21" t="str">
        <f t="shared" si="111"/>
        <v/>
      </c>
      <c r="Q485" s="21" t="str">
        <f t="shared" si="112"/>
        <v/>
      </c>
      <c r="R485" s="21" t="str">
        <f t="shared" si="113"/>
        <v/>
      </c>
      <c r="S485" s="39"/>
      <c r="T485" s="43" t="str">
        <f t="shared" si="121"/>
        <v/>
      </c>
      <c r="U485" s="49" t="str">
        <f t="shared" si="122"/>
        <v/>
      </c>
      <c r="V485" s="48" t="str">
        <f t="shared" si="123"/>
        <v/>
      </c>
      <c r="W485" s="48" t="str">
        <f t="shared" si="114"/>
        <v/>
      </c>
      <c r="X485" s="50" t="str">
        <f>IF(W485="","",SUMIF($B$4:$B$1002,B485,$W$4:$W$1000))</f>
        <v/>
      </c>
      <c r="Y485" s="43" t="str">
        <f t="shared" si="115"/>
        <v/>
      </c>
      <c r="Z485" s="49" t="str">
        <f t="shared" si="116"/>
        <v/>
      </c>
      <c r="AA485" s="48" t="str">
        <f t="shared" si="117"/>
        <v/>
      </c>
      <c r="AB485" s="49" t="str">
        <f t="shared" si="118"/>
        <v/>
      </c>
      <c r="AC485" s="50" t="str">
        <f>IF(AB485="","",SUMIF($B$4:$B$1002,B485,$AB$4:$AB$1000))</f>
        <v/>
      </c>
      <c r="AD485" s="69"/>
      <c r="AE485" s="56"/>
      <c r="AF485" s="52"/>
      <c r="AG485" s="51"/>
      <c r="AH485" s="70"/>
      <c r="AI485" s="58"/>
      <c r="AJ485" s="55"/>
      <c r="AK485" s="51"/>
      <c r="AL485" s="69"/>
      <c r="AM485" s="56"/>
      <c r="AN485" s="52"/>
      <c r="AO485" s="51"/>
      <c r="AP485" s="70"/>
      <c r="AQ485" s="58"/>
      <c r="AR485" s="55"/>
      <c r="AS485" s="51"/>
      <c r="AT485" s="69"/>
      <c r="AU485" s="56"/>
      <c r="AV485" s="52"/>
      <c r="AW485" s="51"/>
      <c r="BR485" s="34" t="str">
        <f>IF(E485="","",CONCATENATE(E485," ",F485," noches"))</f>
        <v/>
      </c>
      <c r="BS485" s="28" t="str">
        <f t="shared" ca="1" si="119"/>
        <v/>
      </c>
      <c r="BT485" s="28" t="str">
        <f t="shared" ca="1" si="120"/>
        <v/>
      </c>
    </row>
    <row r="486" spans="1:72" x14ac:dyDescent="0.2">
      <c r="A486" s="18" t="str" cm="1">
        <f t="array" aca="1" ref="A486" ca="1">IF(B486="","","Grupo N˚"&amp;SUMPRODUCT(($B$4:B486&lt;&gt;"")*($B$4:B486&lt;&gt;OFFSET($B$4,-1,0,ROWS($B$4:B486),1))))</f>
        <v/>
      </c>
      <c r="B486" s="31"/>
      <c r="C486" s="31"/>
      <c r="D486" s="31"/>
      <c r="E486" s="31"/>
      <c r="F486" s="32"/>
      <c r="G486" s="33"/>
      <c r="H486" s="33"/>
      <c r="I486" s="20" t="str">
        <f t="shared" si="109"/>
        <v/>
      </c>
      <c r="J486" s="21" t="str">
        <f>IFERROR(VLOOKUP(BR486,Pricing!$D$3:$E$58,2,FALSE),"")</f>
        <v/>
      </c>
      <c r="K486" s="32"/>
      <c r="L486" s="32"/>
      <c r="M486" s="32"/>
      <c r="N486" s="36" t="str" cm="1">
        <f t="array" ref="N486">IFERROR(_xlfn.IFS((AND(K486="SI",M486="$")),J486*0.2,AND(K486="SI",M486="%"),20),"")</f>
        <v/>
      </c>
      <c r="O486" s="29" t="str">
        <f t="shared" si="110"/>
        <v/>
      </c>
      <c r="P486" s="21" t="str">
        <f t="shared" si="111"/>
        <v/>
      </c>
      <c r="Q486" s="21" t="str">
        <f t="shared" si="112"/>
        <v/>
      </c>
      <c r="R486" s="21" t="str">
        <f t="shared" si="113"/>
        <v/>
      </c>
      <c r="S486" s="39"/>
      <c r="T486" s="43" t="str">
        <f t="shared" si="121"/>
        <v/>
      </c>
      <c r="U486" s="49" t="str">
        <f t="shared" si="122"/>
        <v/>
      </c>
      <c r="V486" s="48" t="str">
        <f t="shared" si="123"/>
        <v/>
      </c>
      <c r="W486" s="48" t="str">
        <f t="shared" si="114"/>
        <v/>
      </c>
      <c r="X486" s="50" t="str">
        <f>IF(W486="","",SUMIF($B$4:$B$1002,B486,$W$4:$W$1000))</f>
        <v/>
      </c>
      <c r="Y486" s="43" t="str">
        <f t="shared" si="115"/>
        <v/>
      </c>
      <c r="Z486" s="49" t="str">
        <f t="shared" si="116"/>
        <v/>
      </c>
      <c r="AA486" s="48" t="str">
        <f t="shared" si="117"/>
        <v/>
      </c>
      <c r="AB486" s="49" t="str">
        <f t="shared" si="118"/>
        <v/>
      </c>
      <c r="AC486" s="50" t="str">
        <f>IF(AB486="","",SUMIF($B$4:$B$1002,B486,$AB$4:$AB$1000))</f>
        <v/>
      </c>
      <c r="AD486" s="69"/>
      <c r="AE486" s="56"/>
      <c r="AF486" s="52"/>
      <c r="AG486" s="51"/>
      <c r="AH486" s="70"/>
      <c r="AI486" s="58"/>
      <c r="AJ486" s="55"/>
      <c r="AK486" s="51"/>
      <c r="AL486" s="69"/>
      <c r="AM486" s="56"/>
      <c r="AN486" s="52"/>
      <c r="AO486" s="51"/>
      <c r="AP486" s="70"/>
      <c r="AQ486" s="58"/>
      <c r="AR486" s="55"/>
      <c r="AS486" s="51"/>
      <c r="AT486" s="69"/>
      <c r="AU486" s="56"/>
      <c r="AV486" s="52"/>
      <c r="AW486" s="51"/>
      <c r="BR486" s="34" t="str">
        <f>IF(E486="","",CONCATENATE(E486," ",F486," noches"))</f>
        <v/>
      </c>
      <c r="BS486" s="28" t="str">
        <f t="shared" ca="1" si="119"/>
        <v/>
      </c>
      <c r="BT486" s="28" t="str">
        <f t="shared" ca="1" si="120"/>
        <v/>
      </c>
    </row>
    <row r="487" spans="1:72" x14ac:dyDescent="0.2">
      <c r="A487" s="18" t="str" cm="1">
        <f t="array" aca="1" ref="A487" ca="1">IF(B487="","","Grupo N˚"&amp;SUMPRODUCT(($B$4:B487&lt;&gt;"")*($B$4:B487&lt;&gt;OFFSET($B$4,-1,0,ROWS($B$4:B487),1))))</f>
        <v/>
      </c>
      <c r="B487" s="31"/>
      <c r="C487" s="31"/>
      <c r="D487" s="31"/>
      <c r="E487" s="31"/>
      <c r="F487" s="32"/>
      <c r="G487" s="33"/>
      <c r="H487" s="33"/>
      <c r="I487" s="20" t="str">
        <f t="shared" si="109"/>
        <v/>
      </c>
      <c r="J487" s="21" t="str">
        <f>IFERROR(VLOOKUP(BR487,Pricing!$D$3:$E$58,2,FALSE),"")</f>
        <v/>
      </c>
      <c r="K487" s="32"/>
      <c r="L487" s="32"/>
      <c r="M487" s="32"/>
      <c r="N487" s="36" t="str" cm="1">
        <f t="array" ref="N487">IFERROR(_xlfn.IFS((AND(K487="SI",M487="$")),J487*0.2,AND(K487="SI",M487="%"),20),"")</f>
        <v/>
      </c>
      <c r="O487" s="29" t="str">
        <f t="shared" si="110"/>
        <v/>
      </c>
      <c r="P487" s="21" t="str">
        <f t="shared" si="111"/>
        <v/>
      </c>
      <c r="Q487" s="21" t="str">
        <f t="shared" si="112"/>
        <v/>
      </c>
      <c r="R487" s="21" t="str">
        <f t="shared" si="113"/>
        <v/>
      </c>
      <c r="S487" s="39"/>
      <c r="T487" s="43" t="str">
        <f t="shared" si="121"/>
        <v/>
      </c>
      <c r="U487" s="49" t="str">
        <f t="shared" si="122"/>
        <v/>
      </c>
      <c r="V487" s="48" t="str">
        <f t="shared" si="123"/>
        <v/>
      </c>
      <c r="W487" s="48" t="str">
        <f t="shared" si="114"/>
        <v/>
      </c>
      <c r="X487" s="50" t="str">
        <f>IF(W487="","",SUMIF($B$4:$B$1002,B487,$W$4:$W$1000))</f>
        <v/>
      </c>
      <c r="Y487" s="43" t="str">
        <f t="shared" si="115"/>
        <v/>
      </c>
      <c r="Z487" s="49" t="str">
        <f t="shared" si="116"/>
        <v/>
      </c>
      <c r="AA487" s="48" t="str">
        <f t="shared" si="117"/>
        <v/>
      </c>
      <c r="AB487" s="49" t="str">
        <f t="shared" si="118"/>
        <v/>
      </c>
      <c r="AC487" s="50" t="str">
        <f>IF(AB487="","",SUMIF($B$4:$B$1002,B487,$AB$4:$AB$1000))</f>
        <v/>
      </c>
      <c r="AD487" s="69"/>
      <c r="AE487" s="56"/>
      <c r="AF487" s="52"/>
      <c r="AG487" s="51"/>
      <c r="AH487" s="70"/>
      <c r="AI487" s="58"/>
      <c r="AJ487" s="55"/>
      <c r="AK487" s="51"/>
      <c r="AL487" s="69"/>
      <c r="AM487" s="56"/>
      <c r="AN487" s="52"/>
      <c r="AO487" s="51"/>
      <c r="AP487" s="70"/>
      <c r="AQ487" s="58"/>
      <c r="AR487" s="55"/>
      <c r="AS487" s="51"/>
      <c r="AT487" s="69"/>
      <c r="AU487" s="56"/>
      <c r="AV487" s="52"/>
      <c r="AW487" s="51"/>
      <c r="BR487" s="34" t="str">
        <f>IF(E487="","",CONCATENATE(E487," ",F487," noches"))</f>
        <v/>
      </c>
      <c r="BS487" s="28" t="str">
        <f t="shared" ca="1" si="119"/>
        <v/>
      </c>
      <c r="BT487" s="28" t="str">
        <f t="shared" ca="1" si="120"/>
        <v/>
      </c>
    </row>
    <row r="488" spans="1:72" x14ac:dyDescent="0.2">
      <c r="A488" s="18" t="str" cm="1">
        <f t="array" aca="1" ref="A488" ca="1">IF(B488="","","Grupo N˚"&amp;SUMPRODUCT(($B$4:B488&lt;&gt;"")*($B$4:B488&lt;&gt;OFFSET($B$4,-1,0,ROWS($B$4:B488),1))))</f>
        <v/>
      </c>
      <c r="B488" s="31"/>
      <c r="C488" s="31"/>
      <c r="D488" s="31"/>
      <c r="E488" s="31"/>
      <c r="F488" s="32"/>
      <c r="G488" s="33"/>
      <c r="H488" s="33"/>
      <c r="I488" s="20" t="str">
        <f t="shared" si="109"/>
        <v/>
      </c>
      <c r="J488" s="21" t="str">
        <f>IFERROR(VLOOKUP(BR488,Pricing!$D$3:$E$58,2,FALSE),"")</f>
        <v/>
      </c>
      <c r="K488" s="32"/>
      <c r="L488" s="32"/>
      <c r="M488" s="32"/>
      <c r="N488" s="36" t="str" cm="1">
        <f t="array" ref="N488">IFERROR(_xlfn.IFS((AND(K488="SI",M488="$")),J488*0.2,AND(K488="SI",M488="%"),20),"")</f>
        <v/>
      </c>
      <c r="O488" s="29" t="str">
        <f t="shared" si="110"/>
        <v/>
      </c>
      <c r="P488" s="21" t="str">
        <f t="shared" si="111"/>
        <v/>
      </c>
      <c r="Q488" s="21" t="str">
        <f t="shared" si="112"/>
        <v/>
      </c>
      <c r="R488" s="21" t="str">
        <f t="shared" si="113"/>
        <v/>
      </c>
      <c r="S488" s="39"/>
      <c r="T488" s="43" t="str">
        <f t="shared" si="121"/>
        <v/>
      </c>
      <c r="U488" s="49" t="str">
        <f t="shared" si="122"/>
        <v/>
      </c>
      <c r="V488" s="48" t="str">
        <f t="shared" si="123"/>
        <v/>
      </c>
      <c r="W488" s="48" t="str">
        <f t="shared" si="114"/>
        <v/>
      </c>
      <c r="X488" s="50" t="str">
        <f>IF(W488="","",SUMIF($B$4:$B$1002,B488,$W$4:$W$1000))</f>
        <v/>
      </c>
      <c r="Y488" s="43" t="str">
        <f t="shared" si="115"/>
        <v/>
      </c>
      <c r="Z488" s="49" t="str">
        <f t="shared" si="116"/>
        <v/>
      </c>
      <c r="AA488" s="48" t="str">
        <f t="shared" si="117"/>
        <v/>
      </c>
      <c r="AB488" s="49" t="str">
        <f t="shared" si="118"/>
        <v/>
      </c>
      <c r="AC488" s="50" t="str">
        <f>IF(AB488="","",SUMIF($B$4:$B$1002,B488,$AB$4:$AB$1000))</f>
        <v/>
      </c>
      <c r="AD488" s="69"/>
      <c r="AE488" s="56"/>
      <c r="AF488" s="52"/>
      <c r="AG488" s="51"/>
      <c r="AH488" s="70"/>
      <c r="AI488" s="58"/>
      <c r="AJ488" s="55"/>
      <c r="AK488" s="51"/>
      <c r="AL488" s="69"/>
      <c r="AM488" s="56"/>
      <c r="AN488" s="52"/>
      <c r="AO488" s="51"/>
      <c r="AP488" s="70"/>
      <c r="AQ488" s="58"/>
      <c r="AR488" s="55"/>
      <c r="AS488" s="51"/>
      <c r="AT488" s="69"/>
      <c r="AU488" s="56"/>
      <c r="AV488" s="52"/>
      <c r="AW488" s="51"/>
      <c r="BR488" s="34" t="str">
        <f>IF(E488="","",CONCATENATE(E488," ",F488," noches"))</f>
        <v/>
      </c>
      <c r="BS488" s="28" t="str">
        <f t="shared" ca="1" si="119"/>
        <v/>
      </c>
      <c r="BT488" s="28" t="str">
        <f t="shared" ca="1" si="120"/>
        <v/>
      </c>
    </row>
    <row r="489" spans="1:72" x14ac:dyDescent="0.2">
      <c r="A489" s="18" t="str" cm="1">
        <f t="array" aca="1" ref="A489" ca="1">IF(B489="","","Grupo N˚"&amp;SUMPRODUCT(($B$4:B489&lt;&gt;"")*($B$4:B489&lt;&gt;OFFSET($B$4,-1,0,ROWS($B$4:B489),1))))</f>
        <v/>
      </c>
      <c r="B489" s="31"/>
      <c r="C489" s="31"/>
      <c r="D489" s="31"/>
      <c r="E489" s="31"/>
      <c r="F489" s="32"/>
      <c r="G489" s="33"/>
      <c r="H489" s="33"/>
      <c r="I489" s="20" t="str">
        <f t="shared" si="109"/>
        <v/>
      </c>
      <c r="J489" s="21" t="str">
        <f>IFERROR(VLOOKUP(BR489,Pricing!$D$3:$E$58,2,FALSE),"")</f>
        <v/>
      </c>
      <c r="K489" s="32"/>
      <c r="L489" s="32"/>
      <c r="M489" s="32"/>
      <c r="N489" s="36" t="str" cm="1">
        <f t="array" ref="N489">IFERROR(_xlfn.IFS((AND(K489="SI",M489="$")),J489*0.2,AND(K489="SI",M489="%"),20),"")</f>
        <v/>
      </c>
      <c r="O489" s="29" t="str">
        <f t="shared" si="110"/>
        <v/>
      </c>
      <c r="P489" s="21" t="str">
        <f t="shared" si="111"/>
        <v/>
      </c>
      <c r="Q489" s="21" t="str">
        <f t="shared" si="112"/>
        <v/>
      </c>
      <c r="R489" s="21" t="str">
        <f t="shared" si="113"/>
        <v/>
      </c>
      <c r="S489" s="39"/>
      <c r="T489" s="43" t="str">
        <f t="shared" si="121"/>
        <v/>
      </c>
      <c r="U489" s="49" t="str">
        <f t="shared" si="122"/>
        <v/>
      </c>
      <c r="V489" s="48" t="str">
        <f t="shared" si="123"/>
        <v/>
      </c>
      <c r="W489" s="48" t="str">
        <f t="shared" si="114"/>
        <v/>
      </c>
      <c r="X489" s="50" t="str">
        <f>IF(W489="","",SUMIF($B$4:$B$1002,B489,$W$4:$W$1000))</f>
        <v/>
      </c>
      <c r="Y489" s="43" t="str">
        <f t="shared" si="115"/>
        <v/>
      </c>
      <c r="Z489" s="49" t="str">
        <f t="shared" si="116"/>
        <v/>
      </c>
      <c r="AA489" s="48" t="str">
        <f t="shared" si="117"/>
        <v/>
      </c>
      <c r="AB489" s="49" t="str">
        <f t="shared" si="118"/>
        <v/>
      </c>
      <c r="AC489" s="50" t="str">
        <f>IF(AB489="","",SUMIF($B$4:$B$1002,B489,$AB$4:$AB$1000))</f>
        <v/>
      </c>
      <c r="AD489" s="69"/>
      <c r="AE489" s="56"/>
      <c r="AF489" s="52"/>
      <c r="AG489" s="51"/>
      <c r="AH489" s="70"/>
      <c r="AI489" s="58"/>
      <c r="AJ489" s="55"/>
      <c r="AK489" s="51"/>
      <c r="AL489" s="69"/>
      <c r="AM489" s="56"/>
      <c r="AN489" s="52"/>
      <c r="AO489" s="51"/>
      <c r="AP489" s="70"/>
      <c r="AQ489" s="58"/>
      <c r="AR489" s="55"/>
      <c r="AS489" s="51"/>
      <c r="AT489" s="69"/>
      <c r="AU489" s="56"/>
      <c r="AV489" s="52"/>
      <c r="AW489" s="51"/>
      <c r="BR489" s="34" t="str">
        <f>IF(E489="","",CONCATENATE(E489," ",F489," noches"))</f>
        <v/>
      </c>
      <c r="BS489" s="28" t="str">
        <f t="shared" ca="1" si="119"/>
        <v/>
      </c>
      <c r="BT489" s="28" t="str">
        <f t="shared" ca="1" si="120"/>
        <v/>
      </c>
    </row>
    <row r="490" spans="1:72" x14ac:dyDescent="0.2">
      <c r="A490" s="18" t="str" cm="1">
        <f t="array" aca="1" ref="A490" ca="1">IF(B490="","","Grupo N˚"&amp;SUMPRODUCT(($B$4:B490&lt;&gt;"")*($B$4:B490&lt;&gt;OFFSET($B$4,-1,0,ROWS($B$4:B490),1))))</f>
        <v/>
      </c>
      <c r="B490" s="31"/>
      <c r="C490" s="31"/>
      <c r="D490" s="31"/>
      <c r="E490" s="31"/>
      <c r="F490" s="32"/>
      <c r="G490" s="33"/>
      <c r="H490" s="33"/>
      <c r="I490" s="20" t="str">
        <f t="shared" si="109"/>
        <v/>
      </c>
      <c r="J490" s="21" t="str">
        <f>IFERROR(VLOOKUP(BR490,Pricing!$D$3:$E$58,2,FALSE),"")</f>
        <v/>
      </c>
      <c r="K490" s="32"/>
      <c r="L490" s="32"/>
      <c r="M490" s="32"/>
      <c r="N490" s="36" t="str" cm="1">
        <f t="array" ref="N490">IFERROR(_xlfn.IFS((AND(K490="SI",M490="$")),J490*0.2,AND(K490="SI",M490="%"),20),"")</f>
        <v/>
      </c>
      <c r="O490" s="29" t="str">
        <f t="shared" si="110"/>
        <v/>
      </c>
      <c r="P490" s="21" t="str">
        <f t="shared" si="111"/>
        <v/>
      </c>
      <c r="Q490" s="21" t="str">
        <f t="shared" si="112"/>
        <v/>
      </c>
      <c r="R490" s="21" t="str">
        <f t="shared" si="113"/>
        <v/>
      </c>
      <c r="S490" s="39"/>
      <c r="T490" s="43" t="str">
        <f t="shared" si="121"/>
        <v/>
      </c>
      <c r="U490" s="49" t="str">
        <f t="shared" si="122"/>
        <v/>
      </c>
      <c r="V490" s="48" t="str">
        <f t="shared" si="123"/>
        <v/>
      </c>
      <c r="W490" s="48" t="str">
        <f t="shared" si="114"/>
        <v/>
      </c>
      <c r="X490" s="50" t="str">
        <f>IF(W490="","",SUMIF($B$4:$B$1002,B490,$W$4:$W$1000))</f>
        <v/>
      </c>
      <c r="Y490" s="43" t="str">
        <f t="shared" si="115"/>
        <v/>
      </c>
      <c r="Z490" s="49" t="str">
        <f t="shared" si="116"/>
        <v/>
      </c>
      <c r="AA490" s="48" t="str">
        <f t="shared" si="117"/>
        <v/>
      </c>
      <c r="AB490" s="49" t="str">
        <f t="shared" si="118"/>
        <v/>
      </c>
      <c r="AC490" s="50" t="str">
        <f>IF(AB490="","",SUMIF($B$4:$B$1002,B490,$AB$4:$AB$1000))</f>
        <v/>
      </c>
      <c r="AD490" s="69"/>
      <c r="AE490" s="56"/>
      <c r="AF490" s="52"/>
      <c r="AG490" s="51"/>
      <c r="AH490" s="70"/>
      <c r="AI490" s="58"/>
      <c r="AJ490" s="55"/>
      <c r="AK490" s="51"/>
      <c r="AL490" s="69"/>
      <c r="AM490" s="56"/>
      <c r="AN490" s="52"/>
      <c r="AO490" s="51"/>
      <c r="AP490" s="70"/>
      <c r="AQ490" s="58"/>
      <c r="AR490" s="55"/>
      <c r="AS490" s="51"/>
      <c r="AT490" s="69"/>
      <c r="AU490" s="56"/>
      <c r="AV490" s="52"/>
      <c r="AW490" s="51"/>
      <c r="BR490" s="34" t="str">
        <f>IF(E490="","",CONCATENATE(E490," ",F490," noches"))</f>
        <v/>
      </c>
      <c r="BS490" s="28" t="str">
        <f t="shared" ca="1" si="119"/>
        <v/>
      </c>
      <c r="BT490" s="28" t="str">
        <f t="shared" ca="1" si="120"/>
        <v/>
      </c>
    </row>
    <row r="491" spans="1:72" x14ac:dyDescent="0.2">
      <c r="A491" s="18" t="str" cm="1">
        <f t="array" aca="1" ref="A491" ca="1">IF(B491="","","Grupo N˚"&amp;SUMPRODUCT(($B$4:B491&lt;&gt;"")*($B$4:B491&lt;&gt;OFFSET($B$4,-1,0,ROWS($B$4:B491),1))))</f>
        <v/>
      </c>
      <c r="B491" s="31"/>
      <c r="C491" s="31"/>
      <c r="D491" s="31"/>
      <c r="E491" s="31"/>
      <c r="F491" s="32"/>
      <c r="G491" s="33"/>
      <c r="H491" s="33"/>
      <c r="I491" s="20" t="str">
        <f t="shared" si="109"/>
        <v/>
      </c>
      <c r="J491" s="21" t="str">
        <f>IFERROR(VLOOKUP(BR491,Pricing!$D$3:$E$58,2,FALSE),"")</f>
        <v/>
      </c>
      <c r="K491" s="32"/>
      <c r="L491" s="32"/>
      <c r="M491" s="32"/>
      <c r="N491" s="36" t="str" cm="1">
        <f t="array" ref="N491">IFERROR(_xlfn.IFS((AND(K491="SI",M491="$")),J491*0.2,AND(K491="SI",M491="%"),20),"")</f>
        <v/>
      </c>
      <c r="O491" s="29" t="str">
        <f t="shared" si="110"/>
        <v/>
      </c>
      <c r="P491" s="21" t="str">
        <f t="shared" si="111"/>
        <v/>
      </c>
      <c r="Q491" s="21" t="str">
        <f t="shared" si="112"/>
        <v/>
      </c>
      <c r="R491" s="21" t="str">
        <f t="shared" si="113"/>
        <v/>
      </c>
      <c r="S491" s="39"/>
      <c r="T491" s="43" t="str">
        <f t="shared" si="121"/>
        <v/>
      </c>
      <c r="U491" s="49" t="str">
        <f t="shared" si="122"/>
        <v/>
      </c>
      <c r="V491" s="48" t="str">
        <f t="shared" si="123"/>
        <v/>
      </c>
      <c r="W491" s="48" t="str">
        <f t="shared" si="114"/>
        <v/>
      </c>
      <c r="X491" s="50" t="str">
        <f>IF(W491="","",SUMIF($B$4:$B$1002,B491,$W$4:$W$1000))</f>
        <v/>
      </c>
      <c r="Y491" s="43" t="str">
        <f t="shared" si="115"/>
        <v/>
      </c>
      <c r="Z491" s="49" t="str">
        <f t="shared" si="116"/>
        <v/>
      </c>
      <c r="AA491" s="48" t="str">
        <f t="shared" si="117"/>
        <v/>
      </c>
      <c r="AB491" s="49" t="str">
        <f t="shared" si="118"/>
        <v/>
      </c>
      <c r="AC491" s="50" t="str">
        <f>IF(AB491="","",SUMIF($B$4:$B$1002,B491,$AB$4:$AB$1000))</f>
        <v/>
      </c>
      <c r="AD491" s="69"/>
      <c r="AE491" s="56"/>
      <c r="AF491" s="52"/>
      <c r="AG491" s="51"/>
      <c r="AH491" s="70"/>
      <c r="AI491" s="58"/>
      <c r="AJ491" s="55"/>
      <c r="AK491" s="51"/>
      <c r="AL491" s="69"/>
      <c r="AM491" s="56"/>
      <c r="AN491" s="52"/>
      <c r="AO491" s="51"/>
      <c r="AP491" s="70"/>
      <c r="AQ491" s="58"/>
      <c r="AR491" s="55"/>
      <c r="AS491" s="51"/>
      <c r="AT491" s="69"/>
      <c r="AU491" s="56"/>
      <c r="AV491" s="52"/>
      <c r="AW491" s="51"/>
      <c r="BR491" s="34" t="str">
        <f>IF(E491="","",CONCATENATE(E491," ",F491," noches"))</f>
        <v/>
      </c>
      <c r="BS491" s="28" t="str">
        <f t="shared" ca="1" si="119"/>
        <v/>
      </c>
      <c r="BT491" s="28" t="str">
        <f t="shared" ca="1" si="120"/>
        <v/>
      </c>
    </row>
    <row r="492" spans="1:72" x14ac:dyDescent="0.2">
      <c r="A492" s="18" t="str" cm="1">
        <f t="array" aca="1" ref="A492" ca="1">IF(B492="","","Grupo N˚"&amp;SUMPRODUCT(($B$4:B492&lt;&gt;"")*($B$4:B492&lt;&gt;OFFSET($B$4,-1,0,ROWS($B$4:B492),1))))</f>
        <v/>
      </c>
      <c r="B492" s="31"/>
      <c r="C492" s="31"/>
      <c r="D492" s="31"/>
      <c r="E492" s="31"/>
      <c r="F492" s="32"/>
      <c r="G492" s="33"/>
      <c r="H492" s="33"/>
      <c r="I492" s="20" t="str">
        <f t="shared" si="109"/>
        <v/>
      </c>
      <c r="J492" s="21" t="str">
        <f>IFERROR(VLOOKUP(BR492,Pricing!$D$3:$E$58,2,FALSE),"")</f>
        <v/>
      </c>
      <c r="K492" s="32"/>
      <c r="L492" s="32"/>
      <c r="M492" s="32"/>
      <c r="N492" s="36" t="str" cm="1">
        <f t="array" ref="N492">IFERROR(_xlfn.IFS((AND(K492="SI",M492="$")),J492*0.2,AND(K492="SI",M492="%"),20),"")</f>
        <v/>
      </c>
      <c r="O492" s="29" t="str">
        <f t="shared" si="110"/>
        <v/>
      </c>
      <c r="P492" s="21" t="str">
        <f t="shared" si="111"/>
        <v/>
      </c>
      <c r="Q492" s="21" t="str">
        <f t="shared" si="112"/>
        <v/>
      </c>
      <c r="R492" s="21" t="str">
        <f t="shared" si="113"/>
        <v/>
      </c>
      <c r="S492" s="39"/>
      <c r="T492" s="43" t="str">
        <f t="shared" si="121"/>
        <v/>
      </c>
      <c r="U492" s="49" t="str">
        <f t="shared" si="122"/>
        <v/>
      </c>
      <c r="V492" s="48" t="str">
        <f t="shared" si="123"/>
        <v/>
      </c>
      <c r="W492" s="48" t="str">
        <f t="shared" si="114"/>
        <v/>
      </c>
      <c r="X492" s="50" t="str">
        <f>IF(W492="","",SUMIF($B$4:$B$1002,B492,$W$4:$W$1000))</f>
        <v/>
      </c>
      <c r="Y492" s="43" t="str">
        <f t="shared" si="115"/>
        <v/>
      </c>
      <c r="Z492" s="49" t="str">
        <f t="shared" si="116"/>
        <v/>
      </c>
      <c r="AA492" s="48" t="str">
        <f t="shared" si="117"/>
        <v/>
      </c>
      <c r="AB492" s="49" t="str">
        <f t="shared" si="118"/>
        <v/>
      </c>
      <c r="AC492" s="50" t="str">
        <f>IF(AB492="","",SUMIF($B$4:$B$1002,B492,$AB$4:$AB$1000))</f>
        <v/>
      </c>
      <c r="AD492" s="69"/>
      <c r="AE492" s="56"/>
      <c r="AF492" s="52"/>
      <c r="AG492" s="51"/>
      <c r="AH492" s="70"/>
      <c r="AI492" s="58"/>
      <c r="AJ492" s="55"/>
      <c r="AK492" s="51"/>
      <c r="AL492" s="69"/>
      <c r="AM492" s="56"/>
      <c r="AN492" s="52"/>
      <c r="AO492" s="51"/>
      <c r="AP492" s="70"/>
      <c r="AQ492" s="58"/>
      <c r="AR492" s="55"/>
      <c r="AS492" s="51"/>
      <c r="AT492" s="69"/>
      <c r="AU492" s="56"/>
      <c r="AV492" s="52"/>
      <c r="AW492" s="51"/>
      <c r="BR492" s="34" t="str">
        <f>IF(E492="","",CONCATENATE(E492," ",F492," noches"))</f>
        <v/>
      </c>
      <c r="BS492" s="28" t="str">
        <f t="shared" ca="1" si="119"/>
        <v/>
      </c>
      <c r="BT492" s="28" t="str">
        <f t="shared" ca="1" si="120"/>
        <v/>
      </c>
    </row>
    <row r="493" spans="1:72" x14ac:dyDescent="0.2">
      <c r="A493" s="18" t="str" cm="1">
        <f t="array" aca="1" ref="A493" ca="1">IF(B493="","","Grupo N˚"&amp;SUMPRODUCT(($B$4:B493&lt;&gt;"")*($B$4:B493&lt;&gt;OFFSET($B$4,-1,0,ROWS($B$4:B493),1))))</f>
        <v/>
      </c>
      <c r="B493" s="31"/>
      <c r="C493" s="31"/>
      <c r="D493" s="31"/>
      <c r="E493" s="31"/>
      <c r="F493" s="32"/>
      <c r="G493" s="33"/>
      <c r="H493" s="33"/>
      <c r="I493" s="20" t="str">
        <f t="shared" si="109"/>
        <v/>
      </c>
      <c r="J493" s="21" t="str">
        <f>IFERROR(VLOOKUP(BR493,Pricing!$D$3:$E$58,2,FALSE),"")</f>
        <v/>
      </c>
      <c r="K493" s="32"/>
      <c r="L493" s="32"/>
      <c r="M493" s="32"/>
      <c r="N493" s="36" t="str" cm="1">
        <f t="array" ref="N493">IFERROR(_xlfn.IFS((AND(K493="SI",M493="$")),J493*0.2,AND(K493="SI",M493="%"),20),"")</f>
        <v/>
      </c>
      <c r="O493" s="29" t="str">
        <f t="shared" si="110"/>
        <v/>
      </c>
      <c r="P493" s="21" t="str">
        <f t="shared" si="111"/>
        <v/>
      </c>
      <c r="Q493" s="21" t="str">
        <f t="shared" si="112"/>
        <v/>
      </c>
      <c r="R493" s="21" t="str">
        <f t="shared" si="113"/>
        <v/>
      </c>
      <c r="S493" s="39"/>
      <c r="T493" s="43" t="str">
        <f t="shared" si="121"/>
        <v/>
      </c>
      <c r="U493" s="49" t="str">
        <f t="shared" si="122"/>
        <v/>
      </c>
      <c r="V493" s="48" t="str">
        <f t="shared" si="123"/>
        <v/>
      </c>
      <c r="W493" s="48" t="str">
        <f t="shared" si="114"/>
        <v/>
      </c>
      <c r="X493" s="50" t="str">
        <f>IF(W493="","",SUMIF($B$4:$B$1002,B493,$W$4:$W$1000))</f>
        <v/>
      </c>
      <c r="Y493" s="43" t="str">
        <f t="shared" si="115"/>
        <v/>
      </c>
      <c r="Z493" s="49" t="str">
        <f t="shared" si="116"/>
        <v/>
      </c>
      <c r="AA493" s="48" t="str">
        <f t="shared" si="117"/>
        <v/>
      </c>
      <c r="AB493" s="49" t="str">
        <f t="shared" si="118"/>
        <v/>
      </c>
      <c r="AC493" s="50" t="str">
        <f>IF(AB493="","",SUMIF($B$4:$B$1002,B493,$AB$4:$AB$1000))</f>
        <v/>
      </c>
      <c r="AD493" s="69"/>
      <c r="AE493" s="56"/>
      <c r="AF493" s="52"/>
      <c r="AG493" s="51"/>
      <c r="AH493" s="70"/>
      <c r="AI493" s="58"/>
      <c r="AJ493" s="55"/>
      <c r="AK493" s="51"/>
      <c r="AL493" s="69"/>
      <c r="AM493" s="56"/>
      <c r="AN493" s="52"/>
      <c r="AO493" s="51"/>
      <c r="AP493" s="70"/>
      <c r="AQ493" s="58"/>
      <c r="AR493" s="55"/>
      <c r="AS493" s="51"/>
      <c r="AT493" s="69"/>
      <c r="AU493" s="56"/>
      <c r="AV493" s="52"/>
      <c r="AW493" s="51"/>
      <c r="BR493" s="34" t="str">
        <f>IF(E493="","",CONCATENATE(E493," ",F493," noches"))</f>
        <v/>
      </c>
      <c r="BS493" s="28" t="str">
        <f t="shared" ca="1" si="119"/>
        <v/>
      </c>
      <c r="BT493" s="28" t="str">
        <f t="shared" ca="1" si="120"/>
        <v/>
      </c>
    </row>
    <row r="494" spans="1:72" x14ac:dyDescent="0.2">
      <c r="A494" s="18" t="str" cm="1">
        <f t="array" aca="1" ref="A494" ca="1">IF(B494="","","Grupo N˚"&amp;SUMPRODUCT(($B$4:B494&lt;&gt;"")*($B$4:B494&lt;&gt;OFFSET($B$4,-1,0,ROWS($B$4:B494),1))))</f>
        <v/>
      </c>
      <c r="B494" s="31"/>
      <c r="C494" s="31"/>
      <c r="D494" s="31"/>
      <c r="E494" s="31"/>
      <c r="F494" s="32"/>
      <c r="G494" s="33"/>
      <c r="H494" s="33"/>
      <c r="I494" s="20" t="str">
        <f t="shared" si="109"/>
        <v/>
      </c>
      <c r="J494" s="21" t="str">
        <f>IFERROR(VLOOKUP(BR494,Pricing!$D$3:$E$58,2,FALSE),"")</f>
        <v/>
      </c>
      <c r="K494" s="32"/>
      <c r="L494" s="32"/>
      <c r="M494" s="32"/>
      <c r="N494" s="36" t="str" cm="1">
        <f t="array" ref="N494">IFERROR(_xlfn.IFS((AND(K494="SI",M494="$")),J494*0.2,AND(K494="SI",M494="%"),20),"")</f>
        <v/>
      </c>
      <c r="O494" s="29" t="str">
        <f t="shared" si="110"/>
        <v/>
      </c>
      <c r="P494" s="21" t="str">
        <f t="shared" si="111"/>
        <v/>
      </c>
      <c r="Q494" s="21" t="str">
        <f t="shared" si="112"/>
        <v/>
      </c>
      <c r="R494" s="21" t="str">
        <f t="shared" si="113"/>
        <v/>
      </c>
      <c r="S494" s="39"/>
      <c r="T494" s="43" t="str">
        <f t="shared" si="121"/>
        <v/>
      </c>
      <c r="U494" s="49" t="str">
        <f t="shared" si="122"/>
        <v/>
      </c>
      <c r="V494" s="48" t="str">
        <f t="shared" si="123"/>
        <v/>
      </c>
      <c r="W494" s="48" t="str">
        <f t="shared" si="114"/>
        <v/>
      </c>
      <c r="X494" s="50" t="str">
        <f>IF(W494="","",SUMIF($B$4:$B$1002,B494,$W$4:$W$1000))</f>
        <v/>
      </c>
      <c r="Y494" s="43" t="str">
        <f t="shared" si="115"/>
        <v/>
      </c>
      <c r="Z494" s="49" t="str">
        <f t="shared" si="116"/>
        <v/>
      </c>
      <c r="AA494" s="48" t="str">
        <f t="shared" si="117"/>
        <v/>
      </c>
      <c r="AB494" s="49" t="str">
        <f t="shared" si="118"/>
        <v/>
      </c>
      <c r="AC494" s="50" t="str">
        <f>IF(AB494="","",SUMIF($B$4:$B$1002,B494,$AB$4:$AB$1000))</f>
        <v/>
      </c>
      <c r="AD494" s="69"/>
      <c r="AE494" s="56"/>
      <c r="AF494" s="52"/>
      <c r="AG494" s="51"/>
      <c r="AH494" s="70"/>
      <c r="AI494" s="58"/>
      <c r="AJ494" s="55"/>
      <c r="AK494" s="51"/>
      <c r="AL494" s="69"/>
      <c r="AM494" s="56"/>
      <c r="AN494" s="52"/>
      <c r="AO494" s="51"/>
      <c r="AP494" s="70"/>
      <c r="AQ494" s="58"/>
      <c r="AR494" s="55"/>
      <c r="AS494" s="51"/>
      <c r="AT494" s="69"/>
      <c r="AU494" s="56"/>
      <c r="AV494" s="52"/>
      <c r="AW494" s="51"/>
      <c r="BR494" s="34" t="str">
        <f>IF(E494="","",CONCATENATE(E494," ",F494," noches"))</f>
        <v/>
      </c>
      <c r="BS494" s="28" t="str">
        <f t="shared" ca="1" si="119"/>
        <v/>
      </c>
      <c r="BT494" s="28" t="str">
        <f t="shared" ca="1" si="120"/>
        <v/>
      </c>
    </row>
    <row r="495" spans="1:72" x14ac:dyDescent="0.2">
      <c r="A495" s="18" t="str" cm="1">
        <f t="array" aca="1" ref="A495" ca="1">IF(B495="","","Grupo N˚"&amp;SUMPRODUCT(($B$4:B495&lt;&gt;"")*($B$4:B495&lt;&gt;OFFSET($B$4,-1,0,ROWS($B$4:B495),1))))</f>
        <v/>
      </c>
      <c r="B495" s="31"/>
      <c r="C495" s="31"/>
      <c r="D495" s="31"/>
      <c r="E495" s="31"/>
      <c r="F495" s="32"/>
      <c r="G495" s="33"/>
      <c r="H495" s="33"/>
      <c r="I495" s="20" t="str">
        <f t="shared" si="109"/>
        <v/>
      </c>
      <c r="J495" s="21" t="str">
        <f>IFERROR(VLOOKUP(BR495,Pricing!$D$3:$E$58,2,FALSE),"")</f>
        <v/>
      </c>
      <c r="K495" s="32"/>
      <c r="L495" s="32"/>
      <c r="M495" s="32"/>
      <c r="N495" s="36" t="str" cm="1">
        <f t="array" ref="N495">IFERROR(_xlfn.IFS((AND(K495="SI",M495="$")),J495*0.2,AND(K495="SI",M495="%"),20),"")</f>
        <v/>
      </c>
      <c r="O495" s="29" t="str">
        <f t="shared" si="110"/>
        <v/>
      </c>
      <c r="P495" s="21" t="str">
        <f t="shared" si="111"/>
        <v/>
      </c>
      <c r="Q495" s="21" t="str">
        <f t="shared" si="112"/>
        <v/>
      </c>
      <c r="R495" s="21" t="str">
        <f t="shared" si="113"/>
        <v/>
      </c>
      <c r="S495" s="39"/>
      <c r="T495" s="43" t="str">
        <f t="shared" si="121"/>
        <v/>
      </c>
      <c r="U495" s="49" t="str">
        <f t="shared" si="122"/>
        <v/>
      </c>
      <c r="V495" s="48" t="str">
        <f t="shared" si="123"/>
        <v/>
      </c>
      <c r="W495" s="48" t="str">
        <f t="shared" si="114"/>
        <v/>
      </c>
      <c r="X495" s="50" t="str">
        <f>IF(W495="","",SUMIF($B$4:$B$1002,B495,$W$4:$W$1000))</f>
        <v/>
      </c>
      <c r="Y495" s="43" t="str">
        <f t="shared" si="115"/>
        <v/>
      </c>
      <c r="Z495" s="49" t="str">
        <f t="shared" si="116"/>
        <v/>
      </c>
      <c r="AA495" s="48" t="str">
        <f t="shared" si="117"/>
        <v/>
      </c>
      <c r="AB495" s="49" t="str">
        <f t="shared" si="118"/>
        <v/>
      </c>
      <c r="AC495" s="50" t="str">
        <f>IF(AB495="","",SUMIF($B$4:$B$1002,B495,$AB$4:$AB$1000))</f>
        <v/>
      </c>
      <c r="AD495" s="69"/>
      <c r="AE495" s="56"/>
      <c r="AF495" s="52"/>
      <c r="AG495" s="51"/>
      <c r="AH495" s="70"/>
      <c r="AI495" s="58"/>
      <c r="AJ495" s="55"/>
      <c r="AK495" s="51"/>
      <c r="AL495" s="69"/>
      <c r="AM495" s="56"/>
      <c r="AN495" s="52"/>
      <c r="AO495" s="51"/>
      <c r="AP495" s="70"/>
      <c r="AQ495" s="58"/>
      <c r="AR495" s="55"/>
      <c r="AS495" s="51"/>
      <c r="AT495" s="69"/>
      <c r="AU495" s="56"/>
      <c r="AV495" s="52"/>
      <c r="AW495" s="51"/>
      <c r="BR495" s="34" t="str">
        <f>IF(E495="","",CONCATENATE(E495," ",F495," noches"))</f>
        <v/>
      </c>
      <c r="BS495" s="28" t="str">
        <f t="shared" ca="1" si="119"/>
        <v/>
      </c>
      <c r="BT495" s="28" t="str">
        <f t="shared" ca="1" si="120"/>
        <v/>
      </c>
    </row>
    <row r="496" spans="1:72" x14ac:dyDescent="0.2">
      <c r="A496" s="18" t="str" cm="1">
        <f t="array" aca="1" ref="A496" ca="1">IF(B496="","","Grupo N˚"&amp;SUMPRODUCT(($B$4:B496&lt;&gt;"")*($B$4:B496&lt;&gt;OFFSET($B$4,-1,0,ROWS($B$4:B496),1))))</f>
        <v/>
      </c>
      <c r="B496" s="31"/>
      <c r="C496" s="31"/>
      <c r="D496" s="31"/>
      <c r="E496" s="31"/>
      <c r="F496" s="32"/>
      <c r="G496" s="33"/>
      <c r="H496" s="33"/>
      <c r="I496" s="20" t="str">
        <f t="shared" si="109"/>
        <v/>
      </c>
      <c r="J496" s="21" t="str">
        <f>IFERROR(VLOOKUP(BR496,Pricing!$D$3:$E$58,2,FALSE),"")</f>
        <v/>
      </c>
      <c r="K496" s="32"/>
      <c r="L496" s="32"/>
      <c r="M496" s="32"/>
      <c r="N496" s="36" t="str" cm="1">
        <f t="array" ref="N496">IFERROR(_xlfn.IFS((AND(K496="SI",M496="$")),J496*0.2,AND(K496="SI",M496="%"),20),"")</f>
        <v/>
      </c>
      <c r="O496" s="29" t="str">
        <f t="shared" si="110"/>
        <v/>
      </c>
      <c r="P496" s="21" t="str">
        <f t="shared" si="111"/>
        <v/>
      </c>
      <c r="Q496" s="21" t="str">
        <f t="shared" si="112"/>
        <v/>
      </c>
      <c r="R496" s="21" t="str">
        <f t="shared" si="113"/>
        <v/>
      </c>
      <c r="S496" s="39"/>
      <c r="T496" s="43" t="str">
        <f t="shared" si="121"/>
        <v/>
      </c>
      <c r="U496" s="49" t="str">
        <f t="shared" si="122"/>
        <v/>
      </c>
      <c r="V496" s="48" t="str">
        <f t="shared" si="123"/>
        <v/>
      </c>
      <c r="W496" s="48" t="str">
        <f t="shared" si="114"/>
        <v/>
      </c>
      <c r="X496" s="50" t="str">
        <f>IF(W496="","",SUMIF($B$4:$B$1002,B496,$W$4:$W$1000))</f>
        <v/>
      </c>
      <c r="Y496" s="43" t="str">
        <f t="shared" si="115"/>
        <v/>
      </c>
      <c r="Z496" s="49" t="str">
        <f t="shared" si="116"/>
        <v/>
      </c>
      <c r="AA496" s="48" t="str">
        <f t="shared" si="117"/>
        <v/>
      </c>
      <c r="AB496" s="49" t="str">
        <f t="shared" si="118"/>
        <v/>
      </c>
      <c r="AC496" s="50" t="str">
        <f>IF(AB496="","",SUMIF($B$4:$B$1002,B496,$AB$4:$AB$1000))</f>
        <v/>
      </c>
      <c r="AD496" s="69"/>
      <c r="AE496" s="56"/>
      <c r="AF496" s="52"/>
      <c r="AG496" s="51"/>
      <c r="AH496" s="70"/>
      <c r="AI496" s="58"/>
      <c r="AJ496" s="55"/>
      <c r="AK496" s="51"/>
      <c r="AL496" s="69"/>
      <c r="AM496" s="56"/>
      <c r="AN496" s="52"/>
      <c r="AO496" s="51"/>
      <c r="AP496" s="70"/>
      <c r="AQ496" s="58"/>
      <c r="AR496" s="55"/>
      <c r="AS496" s="51"/>
      <c r="AT496" s="69"/>
      <c r="AU496" s="56"/>
      <c r="AV496" s="52"/>
      <c r="AW496" s="51"/>
      <c r="BR496" s="34" t="str">
        <f>IF(E496="","",CONCATENATE(E496," ",F496," noches"))</f>
        <v/>
      </c>
      <c r="BS496" s="28" t="str">
        <f t="shared" ca="1" si="119"/>
        <v/>
      </c>
      <c r="BT496" s="28" t="str">
        <f t="shared" ca="1" si="120"/>
        <v/>
      </c>
    </row>
    <row r="497" spans="1:72" x14ac:dyDescent="0.2">
      <c r="A497" s="18" t="str" cm="1">
        <f t="array" aca="1" ref="A497" ca="1">IF(B497="","","Grupo N˚"&amp;SUMPRODUCT(($B$4:B497&lt;&gt;"")*($B$4:B497&lt;&gt;OFFSET($B$4,-1,0,ROWS($B$4:B497),1))))</f>
        <v/>
      </c>
      <c r="B497" s="31"/>
      <c r="C497" s="31"/>
      <c r="D497" s="31"/>
      <c r="E497" s="31"/>
      <c r="F497" s="32"/>
      <c r="G497" s="33"/>
      <c r="H497" s="33"/>
      <c r="I497" s="20" t="str">
        <f t="shared" si="109"/>
        <v/>
      </c>
      <c r="J497" s="21" t="str">
        <f>IFERROR(VLOOKUP(BR497,Pricing!$D$3:$E$58,2,FALSE),"")</f>
        <v/>
      </c>
      <c r="K497" s="32"/>
      <c r="L497" s="32"/>
      <c r="M497" s="32"/>
      <c r="N497" s="36" t="str" cm="1">
        <f t="array" ref="N497">IFERROR(_xlfn.IFS((AND(K497="SI",M497="$")),J497*0.2,AND(K497="SI",M497="%"),20),"")</f>
        <v/>
      </c>
      <c r="O497" s="29" t="str">
        <f t="shared" si="110"/>
        <v/>
      </c>
      <c r="P497" s="21" t="str">
        <f t="shared" si="111"/>
        <v/>
      </c>
      <c r="Q497" s="21" t="str">
        <f t="shared" si="112"/>
        <v/>
      </c>
      <c r="R497" s="21" t="str">
        <f t="shared" si="113"/>
        <v/>
      </c>
      <c r="S497" s="39"/>
      <c r="T497" s="43" t="str">
        <f t="shared" si="121"/>
        <v/>
      </c>
      <c r="U497" s="49" t="str">
        <f t="shared" si="122"/>
        <v/>
      </c>
      <c r="V497" s="48" t="str">
        <f t="shared" si="123"/>
        <v/>
      </c>
      <c r="W497" s="48" t="str">
        <f t="shared" si="114"/>
        <v/>
      </c>
      <c r="X497" s="50" t="str">
        <f>IF(W497="","",SUMIF($B$4:$B$1002,B497,$W$4:$W$1000))</f>
        <v/>
      </c>
      <c r="Y497" s="43" t="str">
        <f t="shared" si="115"/>
        <v/>
      </c>
      <c r="Z497" s="49" t="str">
        <f t="shared" si="116"/>
        <v/>
      </c>
      <c r="AA497" s="48" t="str">
        <f t="shared" si="117"/>
        <v/>
      </c>
      <c r="AB497" s="49" t="str">
        <f t="shared" si="118"/>
        <v/>
      </c>
      <c r="AC497" s="50" t="str">
        <f>IF(AB497="","",SUMIF($B$4:$B$1002,B497,$AB$4:$AB$1000))</f>
        <v/>
      </c>
      <c r="AD497" s="69"/>
      <c r="AE497" s="56"/>
      <c r="AF497" s="52"/>
      <c r="AG497" s="51"/>
      <c r="AH497" s="70"/>
      <c r="AI497" s="58"/>
      <c r="AJ497" s="55"/>
      <c r="AK497" s="51"/>
      <c r="AL497" s="69"/>
      <c r="AM497" s="56"/>
      <c r="AN497" s="52"/>
      <c r="AO497" s="51"/>
      <c r="AP497" s="70"/>
      <c r="AQ497" s="58"/>
      <c r="AR497" s="55"/>
      <c r="AS497" s="51"/>
      <c r="AT497" s="69"/>
      <c r="AU497" s="56"/>
      <c r="AV497" s="52"/>
      <c r="AW497" s="51"/>
      <c r="BR497" s="34" t="str">
        <f>IF(E497="","",CONCATENATE(E497," ",F497," noches"))</f>
        <v/>
      </c>
      <c r="BS497" s="28" t="str">
        <f t="shared" ca="1" si="119"/>
        <v/>
      </c>
      <c r="BT497" s="28" t="str">
        <f t="shared" ca="1" si="120"/>
        <v/>
      </c>
    </row>
    <row r="498" spans="1:72" x14ac:dyDescent="0.2">
      <c r="A498" s="18" t="str" cm="1">
        <f t="array" aca="1" ref="A498" ca="1">IF(B498="","","Grupo N˚"&amp;SUMPRODUCT(($B$4:B498&lt;&gt;"")*($B$4:B498&lt;&gt;OFFSET($B$4,-1,0,ROWS($B$4:B498),1))))</f>
        <v/>
      </c>
      <c r="B498" s="31"/>
      <c r="C498" s="31"/>
      <c r="D498" s="31"/>
      <c r="E498" s="31"/>
      <c r="F498" s="32"/>
      <c r="G498" s="33"/>
      <c r="H498" s="33"/>
      <c r="I498" s="20" t="str">
        <f t="shared" si="109"/>
        <v/>
      </c>
      <c r="J498" s="21" t="str">
        <f>IFERROR(VLOOKUP(BR498,Pricing!$D$3:$E$58,2,FALSE),"")</f>
        <v/>
      </c>
      <c r="K498" s="32"/>
      <c r="L498" s="32"/>
      <c r="M498" s="32"/>
      <c r="N498" s="36" t="str" cm="1">
        <f t="array" ref="N498">IFERROR(_xlfn.IFS((AND(K498="SI",M498="$")),J498*0.2,AND(K498="SI",M498="%"),20),"")</f>
        <v/>
      </c>
      <c r="O498" s="29" t="str">
        <f t="shared" si="110"/>
        <v/>
      </c>
      <c r="P498" s="21" t="str">
        <f t="shared" si="111"/>
        <v/>
      </c>
      <c r="Q498" s="21" t="str">
        <f t="shared" si="112"/>
        <v/>
      </c>
      <c r="R498" s="21" t="str">
        <f t="shared" si="113"/>
        <v/>
      </c>
      <c r="S498" s="39"/>
      <c r="T498" s="43" t="str">
        <f t="shared" si="121"/>
        <v/>
      </c>
      <c r="U498" s="49" t="str">
        <f t="shared" si="122"/>
        <v/>
      </c>
      <c r="V498" s="48" t="str">
        <f t="shared" si="123"/>
        <v/>
      </c>
      <c r="W498" s="48" t="str">
        <f t="shared" si="114"/>
        <v/>
      </c>
      <c r="X498" s="50" t="str">
        <f>IF(W498="","",SUMIF($B$4:$B$1002,B498,$W$4:$W$1000))</f>
        <v/>
      </c>
      <c r="Y498" s="43" t="str">
        <f t="shared" si="115"/>
        <v/>
      </c>
      <c r="Z498" s="49" t="str">
        <f t="shared" si="116"/>
        <v/>
      </c>
      <c r="AA498" s="48" t="str">
        <f t="shared" si="117"/>
        <v/>
      </c>
      <c r="AB498" s="49" t="str">
        <f t="shared" si="118"/>
        <v/>
      </c>
      <c r="AC498" s="50" t="str">
        <f>IF(AB498="","",SUMIF($B$4:$B$1002,B498,$AB$4:$AB$1000))</f>
        <v/>
      </c>
      <c r="AD498" s="69"/>
      <c r="AE498" s="56"/>
      <c r="AF498" s="52"/>
      <c r="AG498" s="51"/>
      <c r="AH498" s="70"/>
      <c r="AI498" s="58"/>
      <c r="AJ498" s="55"/>
      <c r="AK498" s="51"/>
      <c r="AL498" s="69"/>
      <c r="AM498" s="56"/>
      <c r="AN498" s="52"/>
      <c r="AO498" s="51"/>
      <c r="AP498" s="70"/>
      <c r="AQ498" s="58"/>
      <c r="AR498" s="55"/>
      <c r="AS498" s="51"/>
      <c r="AT498" s="69"/>
      <c r="AU498" s="56"/>
      <c r="AV498" s="52"/>
      <c r="AW498" s="51"/>
      <c r="BR498" s="34" t="str">
        <f>IF(E498="","",CONCATENATE(E498," ",F498," noches"))</f>
        <v/>
      </c>
      <c r="BS498" s="28" t="str">
        <f t="shared" ca="1" si="119"/>
        <v/>
      </c>
      <c r="BT498" s="28" t="str">
        <f t="shared" ca="1" si="120"/>
        <v/>
      </c>
    </row>
    <row r="499" spans="1:72" x14ac:dyDescent="0.2">
      <c r="A499" s="18" t="str" cm="1">
        <f t="array" aca="1" ref="A499" ca="1">IF(B499="","","Grupo N˚"&amp;SUMPRODUCT(($B$4:B499&lt;&gt;"")*($B$4:B499&lt;&gt;OFFSET($B$4,-1,0,ROWS($B$4:B499),1))))</f>
        <v/>
      </c>
      <c r="B499" s="31"/>
      <c r="C499" s="31"/>
      <c r="D499" s="31"/>
      <c r="E499" s="31"/>
      <c r="F499" s="32"/>
      <c r="G499" s="33"/>
      <c r="H499" s="33"/>
      <c r="I499" s="20" t="str">
        <f t="shared" si="109"/>
        <v/>
      </c>
      <c r="J499" s="21" t="str">
        <f>IFERROR(VLOOKUP(BR499,Pricing!$D$3:$E$58,2,FALSE),"")</f>
        <v/>
      </c>
      <c r="K499" s="32"/>
      <c r="L499" s="32"/>
      <c r="M499" s="32"/>
      <c r="N499" s="36" t="str" cm="1">
        <f t="array" ref="N499">IFERROR(_xlfn.IFS((AND(K499="SI",M499="$")),J499*0.2,AND(K499="SI",M499="%"),20),"")</f>
        <v/>
      </c>
      <c r="O499" s="29" t="str">
        <f t="shared" si="110"/>
        <v/>
      </c>
      <c r="P499" s="21" t="str">
        <f t="shared" si="111"/>
        <v/>
      </c>
      <c r="Q499" s="21" t="str">
        <f t="shared" si="112"/>
        <v/>
      </c>
      <c r="R499" s="21" t="str">
        <f t="shared" si="113"/>
        <v/>
      </c>
      <c r="S499" s="39"/>
      <c r="T499" s="43" t="str">
        <f t="shared" si="121"/>
        <v/>
      </c>
      <c r="U499" s="49" t="str">
        <f t="shared" si="122"/>
        <v/>
      </c>
      <c r="V499" s="48" t="str">
        <f t="shared" si="123"/>
        <v/>
      </c>
      <c r="W499" s="48" t="str">
        <f t="shared" si="114"/>
        <v/>
      </c>
      <c r="X499" s="50" t="str">
        <f>IF(W499="","",SUMIF($B$4:$B$1002,B499,$W$4:$W$1000))</f>
        <v/>
      </c>
      <c r="Y499" s="43" t="str">
        <f t="shared" si="115"/>
        <v/>
      </c>
      <c r="Z499" s="49" t="str">
        <f t="shared" si="116"/>
        <v/>
      </c>
      <c r="AA499" s="48" t="str">
        <f t="shared" si="117"/>
        <v/>
      </c>
      <c r="AB499" s="49" t="str">
        <f t="shared" si="118"/>
        <v/>
      </c>
      <c r="AC499" s="50" t="str">
        <f>IF(AB499="","",SUMIF($B$4:$B$1002,B499,$AB$4:$AB$1000))</f>
        <v/>
      </c>
      <c r="AD499" s="69"/>
      <c r="AE499" s="56"/>
      <c r="AF499" s="52"/>
      <c r="AG499" s="51"/>
      <c r="AH499" s="70"/>
      <c r="AI499" s="58"/>
      <c r="AJ499" s="55"/>
      <c r="AK499" s="51"/>
      <c r="AL499" s="69"/>
      <c r="AM499" s="56"/>
      <c r="AN499" s="52"/>
      <c r="AO499" s="51"/>
      <c r="AP499" s="70"/>
      <c r="AQ499" s="58"/>
      <c r="AR499" s="55"/>
      <c r="AS499" s="51"/>
      <c r="AT499" s="69"/>
      <c r="AU499" s="56"/>
      <c r="AV499" s="52"/>
      <c r="AW499" s="51"/>
      <c r="BR499" s="34" t="str">
        <f>IF(E499="","",CONCATENATE(E499," ",F499," noches"))</f>
        <v/>
      </c>
      <c r="BS499" s="28" t="str">
        <f t="shared" ca="1" si="119"/>
        <v/>
      </c>
      <c r="BT499" s="28" t="str">
        <f t="shared" ca="1" si="120"/>
        <v/>
      </c>
    </row>
    <row r="500" spans="1:72" x14ac:dyDescent="0.2">
      <c r="A500" s="18" t="str" cm="1">
        <f t="array" aca="1" ref="A500" ca="1">IF(B500="","","Grupo N˚"&amp;SUMPRODUCT(($B$4:B500&lt;&gt;"")*($B$4:B500&lt;&gt;OFFSET($B$4,-1,0,ROWS($B$4:B500),1))))</f>
        <v/>
      </c>
      <c r="B500" s="31"/>
      <c r="C500" s="31"/>
      <c r="D500" s="31"/>
      <c r="E500" s="31"/>
      <c r="F500" s="32"/>
      <c r="G500" s="33"/>
      <c r="H500" s="33"/>
      <c r="I500" s="20" t="str">
        <f t="shared" si="109"/>
        <v/>
      </c>
      <c r="J500" s="21" t="str">
        <f>IFERROR(VLOOKUP(BR500,Pricing!$D$3:$E$58,2,FALSE),"")</f>
        <v/>
      </c>
      <c r="K500" s="32"/>
      <c r="L500" s="32"/>
      <c r="M500" s="32"/>
      <c r="N500" s="36" t="str" cm="1">
        <f t="array" ref="N500">IFERROR(_xlfn.IFS((AND(K500="SI",M500="$")),J500*0.2,AND(K500="SI",M500="%"),20),"")</f>
        <v/>
      </c>
      <c r="O500" s="29" t="str">
        <f t="shared" si="110"/>
        <v/>
      </c>
      <c r="P500" s="21" t="str">
        <f t="shared" si="111"/>
        <v/>
      </c>
      <c r="Q500" s="21" t="str">
        <f t="shared" si="112"/>
        <v/>
      </c>
      <c r="R500" s="21" t="str">
        <f t="shared" si="113"/>
        <v/>
      </c>
      <c r="S500" s="39"/>
      <c r="T500" s="43" t="str">
        <f t="shared" si="121"/>
        <v/>
      </c>
      <c r="U500" s="49" t="str">
        <f t="shared" si="122"/>
        <v/>
      </c>
      <c r="V500" s="48" t="str">
        <f t="shared" si="123"/>
        <v/>
      </c>
      <c r="W500" s="48" t="str">
        <f t="shared" si="114"/>
        <v/>
      </c>
      <c r="X500" s="50" t="str">
        <f>IF(W500="","",SUMIF($B$4:$B$1002,B500,$W$4:$W$1000))</f>
        <v/>
      </c>
      <c r="Y500" s="43" t="str">
        <f t="shared" si="115"/>
        <v/>
      </c>
      <c r="Z500" s="49" t="str">
        <f t="shared" si="116"/>
        <v/>
      </c>
      <c r="AA500" s="48" t="str">
        <f t="shared" si="117"/>
        <v/>
      </c>
      <c r="AB500" s="49" t="str">
        <f t="shared" si="118"/>
        <v/>
      </c>
      <c r="AC500" s="50" t="str">
        <f>IF(AB500="","",SUMIF($B$4:$B$1002,B500,$AB$4:$AB$1000))</f>
        <v/>
      </c>
      <c r="AD500" s="69"/>
      <c r="AE500" s="56"/>
      <c r="AF500" s="52"/>
      <c r="AG500" s="51"/>
      <c r="AH500" s="70"/>
      <c r="AI500" s="58"/>
      <c r="AJ500" s="55"/>
      <c r="AK500" s="51"/>
      <c r="AL500" s="69"/>
      <c r="AM500" s="56"/>
      <c r="AN500" s="52"/>
      <c r="AO500" s="51"/>
      <c r="AP500" s="70"/>
      <c r="AQ500" s="58"/>
      <c r="AR500" s="55"/>
      <c r="AS500" s="51"/>
      <c r="AT500" s="69"/>
      <c r="AU500" s="56"/>
      <c r="AV500" s="52"/>
      <c r="AW500" s="51"/>
      <c r="BR500" s="34" t="str">
        <f>IF(E500="","",CONCATENATE(E500," ",F500," noches"))</f>
        <v/>
      </c>
      <c r="BS500" s="28" t="str">
        <f t="shared" ca="1" si="119"/>
        <v/>
      </c>
      <c r="BT500" s="28" t="str">
        <f t="shared" ca="1" si="120"/>
        <v/>
      </c>
    </row>
    <row r="501" spans="1:72" x14ac:dyDescent="0.2">
      <c r="A501" s="18" t="str" cm="1">
        <f t="array" aca="1" ref="A501" ca="1">IF(B501="","","Grupo N˚"&amp;SUMPRODUCT(($B$4:B501&lt;&gt;"")*($B$4:B501&lt;&gt;OFFSET($B$4,-1,0,ROWS($B$4:B501),1))))</f>
        <v/>
      </c>
      <c r="B501" s="31"/>
      <c r="C501" s="31"/>
      <c r="D501" s="31"/>
      <c r="E501" s="31"/>
      <c r="F501" s="32"/>
      <c r="G501" s="33"/>
      <c r="H501" s="33"/>
      <c r="I501" s="20" t="str">
        <f t="shared" si="109"/>
        <v/>
      </c>
      <c r="J501" s="21" t="str">
        <f>IFERROR(VLOOKUP(BR501,Pricing!$D$3:$E$58,2,FALSE),"")</f>
        <v/>
      </c>
      <c r="K501" s="32"/>
      <c r="L501" s="32"/>
      <c r="M501" s="32"/>
      <c r="N501" s="36" t="str" cm="1">
        <f t="array" ref="N501">IFERROR(_xlfn.IFS((AND(K501="SI",M501="$")),J501*0.2,AND(K501="SI",M501="%"),20),"")</f>
        <v/>
      </c>
      <c r="O501" s="29" t="str">
        <f t="shared" si="110"/>
        <v/>
      </c>
      <c r="P501" s="21" t="str">
        <f t="shared" si="111"/>
        <v/>
      </c>
      <c r="Q501" s="21" t="str">
        <f t="shared" si="112"/>
        <v/>
      </c>
      <c r="R501" s="21" t="str">
        <f t="shared" si="113"/>
        <v/>
      </c>
      <c r="S501" s="39"/>
      <c r="T501" s="43" t="str">
        <f t="shared" si="121"/>
        <v/>
      </c>
      <c r="U501" s="49" t="str">
        <f t="shared" si="122"/>
        <v/>
      </c>
      <c r="V501" s="48" t="str">
        <f t="shared" si="123"/>
        <v/>
      </c>
      <c r="W501" s="48" t="str">
        <f t="shared" si="114"/>
        <v/>
      </c>
      <c r="X501" s="50" t="str">
        <f>IF(W501="","",SUMIF($B$4:$B$1002,B501,$W$4:$W$1000))</f>
        <v/>
      </c>
      <c r="Y501" s="43" t="str">
        <f t="shared" si="115"/>
        <v/>
      </c>
      <c r="Z501" s="49" t="str">
        <f t="shared" si="116"/>
        <v/>
      </c>
      <c r="AA501" s="48" t="str">
        <f t="shared" si="117"/>
        <v/>
      </c>
      <c r="AB501" s="49" t="str">
        <f t="shared" si="118"/>
        <v/>
      </c>
      <c r="AC501" s="50" t="str">
        <f>IF(AB501="","",SUMIF($B$4:$B$1002,B501,$AB$4:$AB$1000))</f>
        <v/>
      </c>
      <c r="AD501" s="69"/>
      <c r="AE501" s="56"/>
      <c r="AF501" s="52"/>
      <c r="AG501" s="51"/>
      <c r="AH501" s="70"/>
      <c r="AI501" s="58"/>
      <c r="AJ501" s="55"/>
      <c r="AK501" s="51"/>
      <c r="AL501" s="69"/>
      <c r="AM501" s="56"/>
      <c r="AN501" s="52"/>
      <c r="AO501" s="51"/>
      <c r="AP501" s="70"/>
      <c r="AQ501" s="58"/>
      <c r="AR501" s="55"/>
      <c r="AS501" s="51"/>
      <c r="AT501" s="69"/>
      <c r="AU501" s="56"/>
      <c r="AV501" s="52"/>
      <c r="AW501" s="51"/>
      <c r="BR501" s="34" t="str">
        <f>IF(E501="","",CONCATENATE(E501," ",F501," noches"))</f>
        <v/>
      </c>
      <c r="BS501" s="28" t="str">
        <f t="shared" ca="1" si="119"/>
        <v/>
      </c>
      <c r="BT501" s="28" t="str">
        <f t="shared" ca="1" si="120"/>
        <v/>
      </c>
    </row>
    <row r="502" spans="1:72" x14ac:dyDescent="0.2">
      <c r="A502" s="18" t="str" cm="1">
        <f t="array" aca="1" ref="A502" ca="1">IF(B502="","","Grupo N˚"&amp;SUMPRODUCT(($B$4:B502&lt;&gt;"")*($B$4:B502&lt;&gt;OFFSET($B$4,-1,0,ROWS($B$4:B502),1))))</f>
        <v/>
      </c>
      <c r="B502" s="31"/>
      <c r="C502" s="31"/>
      <c r="D502" s="31"/>
      <c r="E502" s="31"/>
      <c r="F502" s="32"/>
      <c r="G502" s="33"/>
      <c r="H502" s="33"/>
      <c r="I502" s="20" t="str">
        <f t="shared" si="109"/>
        <v/>
      </c>
      <c r="J502" s="21" t="str">
        <f>IFERROR(VLOOKUP(BR502,Pricing!$D$3:$E$58,2,FALSE),"")</f>
        <v/>
      </c>
      <c r="K502" s="32"/>
      <c r="L502" s="32"/>
      <c r="M502" s="32"/>
      <c r="N502" s="36" t="str" cm="1">
        <f t="array" ref="N502">IFERROR(_xlfn.IFS((AND(K502="SI",M502="$")),J502*0.2,AND(K502="SI",M502="%"),20),"")</f>
        <v/>
      </c>
      <c r="O502" s="29" t="str">
        <f t="shared" si="110"/>
        <v/>
      </c>
      <c r="P502" s="21" t="str">
        <f t="shared" si="111"/>
        <v/>
      </c>
      <c r="Q502" s="21" t="str">
        <f t="shared" si="112"/>
        <v/>
      </c>
      <c r="R502" s="21" t="str">
        <f t="shared" si="113"/>
        <v/>
      </c>
      <c r="S502" s="39"/>
      <c r="T502" s="43" t="str">
        <f t="shared" si="121"/>
        <v/>
      </c>
      <c r="U502" s="49" t="str">
        <f t="shared" si="122"/>
        <v/>
      </c>
      <c r="V502" s="48" t="str">
        <f t="shared" si="123"/>
        <v/>
      </c>
      <c r="W502" s="48" t="str">
        <f t="shared" si="114"/>
        <v/>
      </c>
      <c r="X502" s="50" t="str">
        <f>IF(W502="","",SUMIF($B$4:$B$1002,B502,$W$4:$W$1000))</f>
        <v/>
      </c>
      <c r="Y502" s="43" t="str">
        <f t="shared" si="115"/>
        <v/>
      </c>
      <c r="Z502" s="49" t="str">
        <f t="shared" si="116"/>
        <v/>
      </c>
      <c r="AA502" s="48" t="str">
        <f t="shared" si="117"/>
        <v/>
      </c>
      <c r="AB502" s="49" t="str">
        <f t="shared" si="118"/>
        <v/>
      </c>
      <c r="AC502" s="50" t="str">
        <f>IF(AB502="","",SUMIF($B$4:$B$1002,B502,$AB$4:$AB$1000))</f>
        <v/>
      </c>
      <c r="AD502" s="69"/>
      <c r="AE502" s="56"/>
      <c r="AF502" s="52"/>
      <c r="AG502" s="51"/>
      <c r="AH502" s="70"/>
      <c r="AI502" s="58"/>
      <c r="AJ502" s="55"/>
      <c r="AK502" s="51"/>
      <c r="AL502" s="69"/>
      <c r="AM502" s="56"/>
      <c r="AN502" s="52"/>
      <c r="AO502" s="51"/>
      <c r="AP502" s="70"/>
      <c r="AQ502" s="58"/>
      <c r="AR502" s="55"/>
      <c r="AS502" s="51"/>
      <c r="AT502" s="69"/>
      <c r="AU502" s="56"/>
      <c r="AV502" s="52"/>
      <c r="AW502" s="51"/>
      <c r="BR502" s="34" t="str">
        <f>IF(E502="","",CONCATENATE(E502," ",F502," noches"))</f>
        <v/>
      </c>
      <c r="BS502" s="28" t="str">
        <f t="shared" ca="1" si="119"/>
        <v/>
      </c>
      <c r="BT502" s="28" t="str">
        <f t="shared" ca="1" si="120"/>
        <v/>
      </c>
    </row>
    <row r="503" spans="1:72" x14ac:dyDescent="0.2">
      <c r="A503" s="18" t="str" cm="1">
        <f t="array" aca="1" ref="A503" ca="1">IF(B503="","","Grupo N˚"&amp;SUMPRODUCT(($B$4:B503&lt;&gt;"")*($B$4:B503&lt;&gt;OFFSET($B$4,-1,0,ROWS($B$4:B503),1))))</f>
        <v/>
      </c>
      <c r="B503" s="31"/>
      <c r="C503" s="31"/>
      <c r="D503" s="31"/>
      <c r="E503" s="31"/>
      <c r="F503" s="32"/>
      <c r="G503" s="33"/>
      <c r="H503" s="33"/>
      <c r="I503" s="20" t="str">
        <f t="shared" si="109"/>
        <v/>
      </c>
      <c r="J503" s="21" t="str">
        <f>IFERROR(VLOOKUP(BR503,Pricing!$D$3:$E$58,2,FALSE),"")</f>
        <v/>
      </c>
      <c r="K503" s="32"/>
      <c r="L503" s="32"/>
      <c r="M503" s="32"/>
      <c r="N503" s="36" t="str" cm="1">
        <f t="array" ref="N503">IFERROR(_xlfn.IFS((AND(K503="SI",M503="$")),J503*0.2,AND(K503="SI",M503="%"),20),"")</f>
        <v/>
      </c>
      <c r="O503" s="29" t="str">
        <f t="shared" si="110"/>
        <v/>
      </c>
      <c r="P503" s="21" t="str">
        <f t="shared" si="111"/>
        <v/>
      </c>
      <c r="Q503" s="21" t="str">
        <f t="shared" si="112"/>
        <v/>
      </c>
      <c r="R503" s="21" t="str">
        <f t="shared" si="113"/>
        <v/>
      </c>
      <c r="S503" s="39"/>
      <c r="T503" s="43" t="str">
        <f t="shared" si="121"/>
        <v/>
      </c>
      <c r="U503" s="49" t="str">
        <f t="shared" si="122"/>
        <v/>
      </c>
      <c r="V503" s="48" t="str">
        <f t="shared" si="123"/>
        <v/>
      </c>
      <c r="W503" s="48" t="str">
        <f t="shared" si="114"/>
        <v/>
      </c>
      <c r="X503" s="50" t="str">
        <f>IF(W503="","",SUMIF($B$4:$B$1002,B503,$W$4:$W$1000))</f>
        <v/>
      </c>
      <c r="Y503" s="43" t="str">
        <f t="shared" si="115"/>
        <v/>
      </c>
      <c r="Z503" s="49" t="str">
        <f t="shared" si="116"/>
        <v/>
      </c>
      <c r="AA503" s="48" t="str">
        <f t="shared" si="117"/>
        <v/>
      </c>
      <c r="AB503" s="49" t="str">
        <f t="shared" si="118"/>
        <v/>
      </c>
      <c r="AC503" s="50" t="str">
        <f>IF(AB503="","",SUMIF($B$4:$B$1002,B503,$AB$4:$AB$1000))</f>
        <v/>
      </c>
      <c r="AD503" s="69"/>
      <c r="AE503" s="56"/>
      <c r="AF503" s="52"/>
      <c r="AG503" s="51"/>
      <c r="AH503" s="70"/>
      <c r="AI503" s="58"/>
      <c r="AJ503" s="55"/>
      <c r="AK503" s="51"/>
      <c r="AL503" s="69"/>
      <c r="AM503" s="56"/>
      <c r="AN503" s="52"/>
      <c r="AO503" s="51"/>
      <c r="AP503" s="70"/>
      <c r="AQ503" s="58"/>
      <c r="AR503" s="55"/>
      <c r="AS503" s="51"/>
      <c r="AT503" s="69"/>
      <c r="AU503" s="56"/>
      <c r="AV503" s="52"/>
      <c r="AW503" s="51"/>
      <c r="BR503" s="34" t="str">
        <f>IF(E503="","",CONCATENATE(E503," ",F503," noches"))</f>
        <v/>
      </c>
      <c r="BS503" s="28" t="str">
        <f t="shared" ca="1" si="119"/>
        <v/>
      </c>
      <c r="BT503" s="28" t="str">
        <f t="shared" ca="1" si="120"/>
        <v/>
      </c>
    </row>
    <row r="504" spans="1:72" x14ac:dyDescent="0.2">
      <c r="A504" s="18" t="str" cm="1">
        <f t="array" aca="1" ref="A504" ca="1">IF(B504="","","Grupo N˚"&amp;SUMPRODUCT(($B$4:B504&lt;&gt;"")*($B$4:B504&lt;&gt;OFFSET($B$4,-1,0,ROWS($B$4:B504),1))))</f>
        <v/>
      </c>
      <c r="B504" s="31"/>
      <c r="C504" s="31"/>
      <c r="D504" s="31"/>
      <c r="E504" s="31"/>
      <c r="F504" s="32"/>
      <c r="G504" s="33"/>
      <c r="H504" s="33"/>
      <c r="I504" s="20" t="str">
        <f t="shared" si="109"/>
        <v/>
      </c>
      <c r="J504" s="21" t="str">
        <f>IFERROR(VLOOKUP(BR504,Pricing!$D$3:$E$58,2,FALSE),"")</f>
        <v/>
      </c>
      <c r="K504" s="32"/>
      <c r="L504" s="32"/>
      <c r="M504" s="32"/>
      <c r="N504" s="36" t="str" cm="1">
        <f t="array" ref="N504">IFERROR(_xlfn.IFS((AND(K504="SI",M504="$")),J504*0.2,AND(K504="SI",M504="%"),20),"")</f>
        <v/>
      </c>
      <c r="O504" s="29" t="str">
        <f t="shared" si="110"/>
        <v/>
      </c>
      <c r="P504" s="21" t="str">
        <f t="shared" si="111"/>
        <v/>
      </c>
      <c r="Q504" s="21" t="str">
        <f t="shared" si="112"/>
        <v/>
      </c>
      <c r="R504" s="21" t="str">
        <f t="shared" si="113"/>
        <v/>
      </c>
      <c r="S504" s="39"/>
      <c r="T504" s="43" t="str">
        <f t="shared" si="121"/>
        <v/>
      </c>
      <c r="U504" s="49" t="str">
        <f t="shared" si="122"/>
        <v/>
      </c>
      <c r="V504" s="48" t="str">
        <f t="shared" si="123"/>
        <v/>
      </c>
      <c r="W504" s="48" t="str">
        <f t="shared" si="114"/>
        <v/>
      </c>
      <c r="X504" s="50" t="str">
        <f>IF(W504="","",SUMIF($B$4:$B$1002,B504,$W$4:$W$1000))</f>
        <v/>
      </c>
      <c r="Y504" s="43" t="str">
        <f t="shared" si="115"/>
        <v/>
      </c>
      <c r="Z504" s="49" t="str">
        <f t="shared" si="116"/>
        <v/>
      </c>
      <c r="AA504" s="48" t="str">
        <f t="shared" si="117"/>
        <v/>
      </c>
      <c r="AB504" s="49" t="str">
        <f t="shared" si="118"/>
        <v/>
      </c>
      <c r="AC504" s="50" t="str">
        <f>IF(AB504="","",SUMIF($B$4:$B$1002,B504,$AB$4:$AB$1000))</f>
        <v/>
      </c>
      <c r="AD504" s="69"/>
      <c r="AE504" s="56"/>
      <c r="AF504" s="52"/>
      <c r="AG504" s="51"/>
      <c r="AH504" s="70"/>
      <c r="AI504" s="58"/>
      <c r="AJ504" s="55"/>
      <c r="AK504" s="51"/>
      <c r="AL504" s="69"/>
      <c r="AM504" s="56"/>
      <c r="AN504" s="52"/>
      <c r="AO504" s="51"/>
      <c r="AP504" s="70"/>
      <c r="AQ504" s="58"/>
      <c r="AR504" s="55"/>
      <c r="AS504" s="51"/>
      <c r="AT504" s="69"/>
      <c r="AU504" s="56"/>
      <c r="AV504" s="52"/>
      <c r="AW504" s="51"/>
      <c r="BR504" s="34" t="str">
        <f>IF(E504="","",CONCATENATE(E504," ",F504," noches"))</f>
        <v/>
      </c>
      <c r="BS504" s="28" t="str">
        <f t="shared" ca="1" si="119"/>
        <v/>
      </c>
      <c r="BT504" s="28" t="str">
        <f t="shared" ca="1" si="120"/>
        <v/>
      </c>
    </row>
    <row r="505" spans="1:72" x14ac:dyDescent="0.2">
      <c r="A505" s="18" t="str" cm="1">
        <f t="array" aca="1" ref="A505" ca="1">IF(B505="","","Grupo N˚"&amp;SUMPRODUCT(($B$4:B505&lt;&gt;"")*($B$4:B505&lt;&gt;OFFSET($B$4,-1,0,ROWS($B$4:B505),1))))</f>
        <v/>
      </c>
      <c r="B505" s="31"/>
      <c r="C505" s="31"/>
      <c r="D505" s="31"/>
      <c r="E505" s="31"/>
      <c r="F505" s="32"/>
      <c r="G505" s="33"/>
      <c r="H505" s="33"/>
      <c r="I505" s="20" t="str">
        <f t="shared" si="109"/>
        <v/>
      </c>
      <c r="J505" s="21" t="str">
        <f>IFERROR(VLOOKUP(BR505,Pricing!$D$3:$E$58,2,FALSE),"")</f>
        <v/>
      </c>
      <c r="K505" s="32"/>
      <c r="L505" s="32"/>
      <c r="M505" s="32"/>
      <c r="N505" s="36" t="str" cm="1">
        <f t="array" ref="N505">IFERROR(_xlfn.IFS((AND(K505="SI",M505="$")),J505*0.2,AND(K505="SI",M505="%"),20),"")</f>
        <v/>
      </c>
      <c r="O505" s="29" t="str">
        <f t="shared" si="110"/>
        <v/>
      </c>
      <c r="P505" s="21" t="str">
        <f t="shared" si="111"/>
        <v/>
      </c>
      <c r="Q505" s="21" t="str">
        <f t="shared" si="112"/>
        <v/>
      </c>
      <c r="R505" s="21" t="str">
        <f t="shared" si="113"/>
        <v/>
      </c>
      <c r="S505" s="39"/>
      <c r="T505" s="43" t="str">
        <f t="shared" si="121"/>
        <v/>
      </c>
      <c r="U505" s="49" t="str">
        <f t="shared" si="122"/>
        <v/>
      </c>
      <c r="V505" s="48" t="str">
        <f t="shared" si="123"/>
        <v/>
      </c>
      <c r="W505" s="48" t="str">
        <f t="shared" si="114"/>
        <v/>
      </c>
      <c r="X505" s="50" t="str">
        <f>IF(W505="","",SUMIF($B$4:$B$1002,B505,$W$4:$W$1000))</f>
        <v/>
      </c>
      <c r="Y505" s="43" t="str">
        <f t="shared" si="115"/>
        <v/>
      </c>
      <c r="Z505" s="49" t="str">
        <f t="shared" si="116"/>
        <v/>
      </c>
      <c r="AA505" s="48" t="str">
        <f t="shared" si="117"/>
        <v/>
      </c>
      <c r="AB505" s="49" t="str">
        <f t="shared" si="118"/>
        <v/>
      </c>
      <c r="AC505" s="50" t="str">
        <f>IF(AB505="","",SUMIF($B$4:$B$1002,B505,$AB$4:$AB$1000))</f>
        <v/>
      </c>
      <c r="AD505" s="69"/>
      <c r="AE505" s="56"/>
      <c r="AF505" s="52"/>
      <c r="AG505" s="51"/>
      <c r="AH505" s="70"/>
      <c r="AI505" s="58"/>
      <c r="AJ505" s="55"/>
      <c r="AK505" s="51"/>
      <c r="AL505" s="69"/>
      <c r="AM505" s="56"/>
      <c r="AN505" s="52"/>
      <c r="AO505" s="51"/>
      <c r="AP505" s="70"/>
      <c r="AQ505" s="58"/>
      <c r="AR505" s="55"/>
      <c r="AS505" s="51"/>
      <c r="AT505" s="69"/>
      <c r="AU505" s="56"/>
      <c r="AV505" s="52"/>
      <c r="AW505" s="51"/>
      <c r="BR505" s="34" t="str">
        <f>IF(E505="","",CONCATENATE(E505," ",F505," noches"))</f>
        <v/>
      </c>
      <c r="BS505" s="28" t="str">
        <f t="shared" ca="1" si="119"/>
        <v/>
      </c>
      <c r="BT505" s="28" t="str">
        <f t="shared" ca="1" si="120"/>
        <v/>
      </c>
    </row>
    <row r="506" spans="1:72" x14ac:dyDescent="0.2">
      <c r="A506" s="18" t="str" cm="1">
        <f t="array" aca="1" ref="A506" ca="1">IF(B506="","","Grupo N˚"&amp;SUMPRODUCT(($B$4:B506&lt;&gt;"")*($B$4:B506&lt;&gt;OFFSET($B$4,-1,0,ROWS($B$4:B506),1))))</f>
        <v/>
      </c>
      <c r="B506" s="31"/>
      <c r="C506" s="31"/>
      <c r="D506" s="31"/>
      <c r="E506" s="31"/>
      <c r="F506" s="32"/>
      <c r="G506" s="33"/>
      <c r="H506" s="33"/>
      <c r="I506" s="20" t="str">
        <f t="shared" si="109"/>
        <v/>
      </c>
      <c r="J506" s="21" t="str">
        <f>IFERROR(VLOOKUP(BR506,Pricing!$D$3:$E$58,2,FALSE),"")</f>
        <v/>
      </c>
      <c r="K506" s="32"/>
      <c r="L506" s="32"/>
      <c r="M506" s="32"/>
      <c r="N506" s="36" t="str" cm="1">
        <f t="array" ref="N506">IFERROR(_xlfn.IFS((AND(K506="SI",M506="$")),J506*0.2,AND(K506="SI",M506="%"),20),"")</f>
        <v/>
      </c>
      <c r="O506" s="29" t="str">
        <f t="shared" si="110"/>
        <v/>
      </c>
      <c r="P506" s="21" t="str">
        <f t="shared" si="111"/>
        <v/>
      </c>
      <c r="Q506" s="21" t="str">
        <f t="shared" si="112"/>
        <v/>
      </c>
      <c r="R506" s="21" t="str">
        <f t="shared" si="113"/>
        <v/>
      </c>
      <c r="S506" s="39"/>
      <c r="T506" s="43" t="str">
        <f t="shared" si="121"/>
        <v/>
      </c>
      <c r="U506" s="49" t="str">
        <f t="shared" si="122"/>
        <v/>
      </c>
      <c r="V506" s="48" t="str">
        <f t="shared" si="123"/>
        <v/>
      </c>
      <c r="W506" s="48" t="str">
        <f t="shared" si="114"/>
        <v/>
      </c>
      <c r="X506" s="50" t="str">
        <f>IF(W506="","",SUMIF($B$4:$B$1002,B506,$W$4:$W$1000))</f>
        <v/>
      </c>
      <c r="Y506" s="43" t="str">
        <f t="shared" si="115"/>
        <v/>
      </c>
      <c r="Z506" s="49" t="str">
        <f t="shared" si="116"/>
        <v/>
      </c>
      <c r="AA506" s="48" t="str">
        <f t="shared" si="117"/>
        <v/>
      </c>
      <c r="AB506" s="49" t="str">
        <f t="shared" si="118"/>
        <v/>
      </c>
      <c r="AC506" s="50" t="str">
        <f>IF(AB506="","",SUMIF($B$4:$B$1002,B506,$AB$4:$AB$1000))</f>
        <v/>
      </c>
      <c r="AD506" s="69"/>
      <c r="AE506" s="56"/>
      <c r="AF506" s="52"/>
      <c r="AG506" s="51"/>
      <c r="AH506" s="70"/>
      <c r="AI506" s="58"/>
      <c r="AJ506" s="55"/>
      <c r="AK506" s="51"/>
      <c r="AL506" s="69"/>
      <c r="AM506" s="56"/>
      <c r="AN506" s="52"/>
      <c r="AO506" s="51"/>
      <c r="AP506" s="70"/>
      <c r="AQ506" s="58"/>
      <c r="AR506" s="55"/>
      <c r="AS506" s="51"/>
      <c r="AT506" s="69"/>
      <c r="AU506" s="56"/>
      <c r="AV506" s="52"/>
      <c r="AW506" s="51"/>
      <c r="BR506" s="34" t="str">
        <f>IF(E506="","",CONCATENATE(E506," ",F506," noches"))</f>
        <v/>
      </c>
      <c r="BS506" s="28" t="str">
        <f t="shared" ca="1" si="119"/>
        <v/>
      </c>
      <c r="BT506" s="28" t="str">
        <f t="shared" ca="1" si="120"/>
        <v/>
      </c>
    </row>
    <row r="507" spans="1:72" x14ac:dyDescent="0.2">
      <c r="A507" s="18" t="str" cm="1">
        <f t="array" aca="1" ref="A507" ca="1">IF(B507="","","Grupo N˚"&amp;SUMPRODUCT(($B$4:B507&lt;&gt;"")*($B$4:B507&lt;&gt;OFFSET($B$4,-1,0,ROWS($B$4:B507),1))))</f>
        <v/>
      </c>
      <c r="B507" s="31"/>
      <c r="C507" s="31"/>
      <c r="D507" s="31"/>
      <c r="E507" s="31"/>
      <c r="F507" s="32"/>
      <c r="G507" s="33"/>
      <c r="H507" s="33"/>
      <c r="I507" s="20" t="str">
        <f t="shared" si="109"/>
        <v/>
      </c>
      <c r="J507" s="21" t="str">
        <f>IFERROR(VLOOKUP(BR507,Pricing!$D$3:$E$58,2,FALSE),"")</f>
        <v/>
      </c>
      <c r="K507" s="32"/>
      <c r="L507" s="32"/>
      <c r="M507" s="32"/>
      <c r="N507" s="36" t="str" cm="1">
        <f t="array" ref="N507">IFERROR(_xlfn.IFS((AND(K507="SI",M507="$")),J507*0.2,AND(K507="SI",M507="%"),20),"")</f>
        <v/>
      </c>
      <c r="O507" s="29" t="str">
        <f t="shared" si="110"/>
        <v/>
      </c>
      <c r="P507" s="21" t="str">
        <f t="shared" si="111"/>
        <v/>
      </c>
      <c r="Q507" s="21" t="str">
        <f t="shared" si="112"/>
        <v/>
      </c>
      <c r="R507" s="21" t="str">
        <f t="shared" si="113"/>
        <v/>
      </c>
      <c r="S507" s="39"/>
      <c r="T507" s="43" t="str">
        <f t="shared" si="121"/>
        <v/>
      </c>
      <c r="U507" s="49" t="str">
        <f t="shared" si="122"/>
        <v/>
      </c>
      <c r="V507" s="48" t="str">
        <f t="shared" si="123"/>
        <v/>
      </c>
      <c r="W507" s="48" t="str">
        <f t="shared" si="114"/>
        <v/>
      </c>
      <c r="X507" s="50" t="str">
        <f>IF(W507="","",SUMIF($B$4:$B$1002,B507,$W$4:$W$1000))</f>
        <v/>
      </c>
      <c r="Y507" s="43" t="str">
        <f t="shared" si="115"/>
        <v/>
      </c>
      <c r="Z507" s="49" t="str">
        <f t="shared" si="116"/>
        <v/>
      </c>
      <c r="AA507" s="48" t="str">
        <f t="shared" si="117"/>
        <v/>
      </c>
      <c r="AB507" s="49" t="str">
        <f t="shared" si="118"/>
        <v/>
      </c>
      <c r="AC507" s="50" t="str">
        <f>IF(AB507="","",SUMIF($B$4:$B$1002,B507,$AB$4:$AB$1000))</f>
        <v/>
      </c>
      <c r="AD507" s="69"/>
      <c r="AE507" s="56"/>
      <c r="AF507" s="52"/>
      <c r="AG507" s="51"/>
      <c r="AH507" s="70"/>
      <c r="AI507" s="58"/>
      <c r="AJ507" s="55"/>
      <c r="AK507" s="51"/>
      <c r="AL507" s="69"/>
      <c r="AM507" s="56"/>
      <c r="AN507" s="52"/>
      <c r="AO507" s="51"/>
      <c r="AP507" s="70"/>
      <c r="AQ507" s="58"/>
      <c r="AR507" s="55"/>
      <c r="AS507" s="51"/>
      <c r="AT507" s="69"/>
      <c r="AU507" s="56"/>
      <c r="AV507" s="52"/>
      <c r="AW507" s="51"/>
      <c r="BR507" s="34" t="str">
        <f>IF(E507="","",CONCATENATE(E507," ",F507," noches"))</f>
        <v/>
      </c>
      <c r="BS507" s="28" t="str">
        <f t="shared" ca="1" si="119"/>
        <v/>
      </c>
      <c r="BT507" s="28" t="str">
        <f t="shared" ca="1" si="120"/>
        <v/>
      </c>
    </row>
    <row r="508" spans="1:72" x14ac:dyDescent="0.2">
      <c r="A508" s="18" t="str" cm="1">
        <f t="array" aca="1" ref="A508" ca="1">IF(B508="","","Grupo N˚"&amp;SUMPRODUCT(($B$4:B508&lt;&gt;"")*($B$4:B508&lt;&gt;OFFSET($B$4,-1,0,ROWS($B$4:B508),1))))</f>
        <v/>
      </c>
      <c r="B508" s="31"/>
      <c r="C508" s="31"/>
      <c r="D508" s="31"/>
      <c r="E508" s="31"/>
      <c r="F508" s="32"/>
      <c r="G508" s="33"/>
      <c r="H508" s="33"/>
      <c r="I508" s="20" t="str">
        <f t="shared" si="109"/>
        <v/>
      </c>
      <c r="J508" s="21" t="str">
        <f>IFERROR(VLOOKUP(BR508,Pricing!$D$3:$E$58,2,FALSE),"")</f>
        <v/>
      </c>
      <c r="K508" s="32"/>
      <c r="L508" s="32"/>
      <c r="M508" s="32"/>
      <c r="N508" s="36" t="str" cm="1">
        <f t="array" ref="N508">IFERROR(_xlfn.IFS((AND(K508="SI",M508="$")),J508*0.2,AND(K508="SI",M508="%"),20),"")</f>
        <v/>
      </c>
      <c r="O508" s="29" t="str">
        <f t="shared" si="110"/>
        <v/>
      </c>
      <c r="P508" s="21" t="str">
        <f t="shared" si="111"/>
        <v/>
      </c>
      <c r="Q508" s="21" t="str">
        <f t="shared" si="112"/>
        <v/>
      </c>
      <c r="R508" s="21" t="str">
        <f t="shared" si="113"/>
        <v/>
      </c>
      <c r="S508" s="39"/>
      <c r="T508" s="43" t="str">
        <f t="shared" si="121"/>
        <v/>
      </c>
      <c r="U508" s="49" t="str">
        <f t="shared" si="122"/>
        <v/>
      </c>
      <c r="V508" s="48" t="str">
        <f t="shared" si="123"/>
        <v/>
      </c>
      <c r="W508" s="48" t="str">
        <f t="shared" si="114"/>
        <v/>
      </c>
      <c r="X508" s="50" t="str">
        <f>IF(W508="","",SUMIF($B$4:$B$1002,B508,$W$4:$W$1000))</f>
        <v/>
      </c>
      <c r="Y508" s="43" t="str">
        <f t="shared" si="115"/>
        <v/>
      </c>
      <c r="Z508" s="49" t="str">
        <f t="shared" si="116"/>
        <v/>
      </c>
      <c r="AA508" s="48" t="str">
        <f t="shared" si="117"/>
        <v/>
      </c>
      <c r="AB508" s="49" t="str">
        <f t="shared" si="118"/>
        <v/>
      </c>
      <c r="AC508" s="50" t="str">
        <f>IF(AB508="","",SUMIF($B$4:$B$1002,B508,$AB$4:$AB$1000))</f>
        <v/>
      </c>
      <c r="AD508" s="69"/>
      <c r="AE508" s="56"/>
      <c r="AF508" s="52"/>
      <c r="AG508" s="51"/>
      <c r="AH508" s="70"/>
      <c r="AI508" s="58"/>
      <c r="AJ508" s="55"/>
      <c r="AK508" s="51"/>
      <c r="AL508" s="69"/>
      <c r="AM508" s="56"/>
      <c r="AN508" s="52"/>
      <c r="AO508" s="51"/>
      <c r="AP508" s="70"/>
      <c r="AQ508" s="58"/>
      <c r="AR508" s="55"/>
      <c r="AS508" s="51"/>
      <c r="AT508" s="69"/>
      <c r="AU508" s="56"/>
      <c r="AV508" s="52"/>
      <c r="AW508" s="51"/>
      <c r="BR508" s="34" t="str">
        <f>IF(E508="","",CONCATENATE(E508," ",F508," noches"))</f>
        <v/>
      </c>
      <c r="BS508" s="28" t="str">
        <f t="shared" ca="1" si="119"/>
        <v/>
      </c>
      <c r="BT508" s="28" t="str">
        <f t="shared" ca="1" si="120"/>
        <v/>
      </c>
    </row>
    <row r="509" spans="1:72" x14ac:dyDescent="0.2">
      <c r="A509" s="18" t="str" cm="1">
        <f t="array" aca="1" ref="A509" ca="1">IF(B509="","","Grupo N˚"&amp;SUMPRODUCT(($B$4:B509&lt;&gt;"")*($B$4:B509&lt;&gt;OFFSET($B$4,-1,0,ROWS($B$4:B509),1))))</f>
        <v/>
      </c>
      <c r="B509" s="31"/>
      <c r="C509" s="31"/>
      <c r="D509" s="31"/>
      <c r="E509" s="31"/>
      <c r="F509" s="32"/>
      <c r="G509" s="33"/>
      <c r="H509" s="33"/>
      <c r="I509" s="20" t="str">
        <f t="shared" si="109"/>
        <v/>
      </c>
      <c r="J509" s="21" t="str">
        <f>IFERROR(VLOOKUP(BR509,Pricing!$D$3:$E$58,2,FALSE),"")</f>
        <v/>
      </c>
      <c r="K509" s="32"/>
      <c r="L509" s="32"/>
      <c r="M509" s="32"/>
      <c r="N509" s="36" t="str" cm="1">
        <f t="array" ref="N509">IFERROR(_xlfn.IFS((AND(K509="SI",M509="$")),J509*0.2,AND(K509="SI",M509="%"),20),"")</f>
        <v/>
      </c>
      <c r="O509" s="29" t="str">
        <f t="shared" si="110"/>
        <v/>
      </c>
      <c r="P509" s="21" t="str">
        <f t="shared" si="111"/>
        <v/>
      </c>
      <c r="Q509" s="21" t="str">
        <f t="shared" si="112"/>
        <v/>
      </c>
      <c r="R509" s="21" t="str">
        <f t="shared" si="113"/>
        <v/>
      </c>
      <c r="S509" s="39"/>
      <c r="T509" s="43" t="str">
        <f t="shared" si="121"/>
        <v/>
      </c>
      <c r="U509" s="49" t="str">
        <f t="shared" si="122"/>
        <v/>
      </c>
      <c r="V509" s="48" t="str">
        <f t="shared" si="123"/>
        <v/>
      </c>
      <c r="W509" s="48" t="str">
        <f t="shared" si="114"/>
        <v/>
      </c>
      <c r="X509" s="50" t="str">
        <f>IF(W509="","",SUMIF($B$4:$B$1002,B509,$W$4:$W$1000))</f>
        <v/>
      </c>
      <c r="Y509" s="43" t="str">
        <f t="shared" si="115"/>
        <v/>
      </c>
      <c r="Z509" s="49" t="str">
        <f t="shared" si="116"/>
        <v/>
      </c>
      <c r="AA509" s="48" t="str">
        <f t="shared" si="117"/>
        <v/>
      </c>
      <c r="AB509" s="49" t="str">
        <f t="shared" si="118"/>
        <v/>
      </c>
      <c r="AC509" s="50" t="str">
        <f>IF(AB509="","",SUMIF($B$4:$B$1002,B509,$AB$4:$AB$1000))</f>
        <v/>
      </c>
      <c r="AD509" s="69"/>
      <c r="AE509" s="56"/>
      <c r="AF509" s="52"/>
      <c r="AG509" s="51"/>
      <c r="AH509" s="70"/>
      <c r="AI509" s="58"/>
      <c r="AJ509" s="55"/>
      <c r="AK509" s="51"/>
      <c r="AL509" s="69"/>
      <c r="AM509" s="56"/>
      <c r="AN509" s="52"/>
      <c r="AO509" s="51"/>
      <c r="AP509" s="70"/>
      <c r="AQ509" s="58"/>
      <c r="AR509" s="55"/>
      <c r="AS509" s="51"/>
      <c r="AT509" s="69"/>
      <c r="AU509" s="56"/>
      <c r="AV509" s="52"/>
      <c r="AW509" s="51"/>
      <c r="BR509" s="34" t="str">
        <f>IF(E509="","",CONCATENATE(E509," ",F509," noches"))</f>
        <v/>
      </c>
      <c r="BS509" s="28" t="str">
        <f t="shared" ca="1" si="119"/>
        <v/>
      </c>
      <c r="BT509" s="28" t="str">
        <f t="shared" ca="1" si="120"/>
        <v/>
      </c>
    </row>
    <row r="510" spans="1:72" x14ac:dyDescent="0.2">
      <c r="A510" s="18" t="str" cm="1">
        <f t="array" aca="1" ref="A510" ca="1">IF(B510="","","Grupo N˚"&amp;SUMPRODUCT(($B$4:B510&lt;&gt;"")*($B$4:B510&lt;&gt;OFFSET($B$4,-1,0,ROWS($B$4:B510),1))))</f>
        <v/>
      </c>
      <c r="B510" s="31"/>
      <c r="C510" s="31"/>
      <c r="D510" s="31"/>
      <c r="E510" s="31"/>
      <c r="F510" s="32"/>
      <c r="G510" s="33"/>
      <c r="H510" s="33"/>
      <c r="I510" s="20" t="str">
        <f t="shared" si="109"/>
        <v/>
      </c>
      <c r="J510" s="21" t="str">
        <f>IFERROR(VLOOKUP(BR510,Pricing!$D$3:$E$58,2,FALSE),"")</f>
        <v/>
      </c>
      <c r="K510" s="32"/>
      <c r="L510" s="32"/>
      <c r="M510" s="32"/>
      <c r="N510" s="36" t="str" cm="1">
        <f t="array" ref="N510">IFERROR(_xlfn.IFS((AND(K510="SI",M510="$")),J510*0.2,AND(K510="SI",M510="%"),20),"")</f>
        <v/>
      </c>
      <c r="O510" s="29" t="str">
        <f t="shared" si="110"/>
        <v/>
      </c>
      <c r="P510" s="21" t="str">
        <f t="shared" si="111"/>
        <v/>
      </c>
      <c r="Q510" s="21" t="str">
        <f t="shared" si="112"/>
        <v/>
      </c>
      <c r="R510" s="21" t="str">
        <f t="shared" si="113"/>
        <v/>
      </c>
      <c r="S510" s="39"/>
      <c r="T510" s="43" t="str">
        <f t="shared" si="121"/>
        <v/>
      </c>
      <c r="U510" s="49" t="str">
        <f t="shared" si="122"/>
        <v/>
      </c>
      <c r="V510" s="48" t="str">
        <f t="shared" si="123"/>
        <v/>
      </c>
      <c r="W510" s="48" t="str">
        <f t="shared" si="114"/>
        <v/>
      </c>
      <c r="X510" s="50" t="str">
        <f>IF(W510="","",SUMIF($B$4:$B$1002,B510,$W$4:$W$1000))</f>
        <v/>
      </c>
      <c r="Y510" s="43" t="str">
        <f t="shared" si="115"/>
        <v/>
      </c>
      <c r="Z510" s="49" t="str">
        <f t="shared" si="116"/>
        <v/>
      </c>
      <c r="AA510" s="48" t="str">
        <f t="shared" si="117"/>
        <v/>
      </c>
      <c r="AB510" s="49" t="str">
        <f t="shared" si="118"/>
        <v/>
      </c>
      <c r="AC510" s="50" t="str">
        <f>IF(AB510="","",SUMIF($B$4:$B$1002,B510,$AB$4:$AB$1000))</f>
        <v/>
      </c>
      <c r="AD510" s="69"/>
      <c r="AE510" s="56"/>
      <c r="AF510" s="52"/>
      <c r="AG510" s="51"/>
      <c r="AH510" s="70"/>
      <c r="AI510" s="58"/>
      <c r="AJ510" s="55"/>
      <c r="AK510" s="51"/>
      <c r="AL510" s="69"/>
      <c r="AM510" s="56"/>
      <c r="AN510" s="52"/>
      <c r="AO510" s="51"/>
      <c r="AP510" s="70"/>
      <c r="AQ510" s="58"/>
      <c r="AR510" s="55"/>
      <c r="AS510" s="51"/>
      <c r="AT510" s="69"/>
      <c r="AU510" s="56"/>
      <c r="AV510" s="52"/>
      <c r="AW510" s="51"/>
      <c r="BR510" s="34" t="str">
        <f>IF(E510="","",CONCATENATE(E510," ",F510," noches"))</f>
        <v/>
      </c>
      <c r="BS510" s="28" t="str">
        <f t="shared" ca="1" si="119"/>
        <v/>
      </c>
      <c r="BT510" s="28" t="str">
        <f t="shared" ca="1" si="120"/>
        <v/>
      </c>
    </row>
    <row r="511" spans="1:72" x14ac:dyDescent="0.2">
      <c r="A511" s="18" t="str" cm="1">
        <f t="array" aca="1" ref="A511" ca="1">IF(B511="","","Grupo N˚"&amp;SUMPRODUCT(($B$4:B511&lt;&gt;"")*($B$4:B511&lt;&gt;OFFSET($B$4,-1,0,ROWS($B$4:B511),1))))</f>
        <v/>
      </c>
      <c r="B511" s="31"/>
      <c r="C511" s="31"/>
      <c r="D511" s="31"/>
      <c r="E511" s="31"/>
      <c r="F511" s="32"/>
      <c r="G511" s="33"/>
      <c r="H511" s="33"/>
      <c r="I511" s="20" t="str">
        <f t="shared" si="109"/>
        <v/>
      </c>
      <c r="J511" s="21" t="str">
        <f>IFERROR(VLOOKUP(BR511,Pricing!$D$3:$E$58,2,FALSE),"")</f>
        <v/>
      </c>
      <c r="K511" s="32"/>
      <c r="L511" s="32"/>
      <c r="M511" s="32"/>
      <c r="N511" s="36" t="str" cm="1">
        <f t="array" ref="N511">IFERROR(_xlfn.IFS((AND(K511="SI",M511="$")),J511*0.2,AND(K511="SI",M511="%"),20),"")</f>
        <v/>
      </c>
      <c r="O511" s="29" t="str">
        <f t="shared" si="110"/>
        <v/>
      </c>
      <c r="P511" s="21" t="str">
        <f t="shared" si="111"/>
        <v/>
      </c>
      <c r="Q511" s="21" t="str">
        <f t="shared" si="112"/>
        <v/>
      </c>
      <c r="R511" s="21" t="str">
        <f t="shared" si="113"/>
        <v/>
      </c>
      <c r="S511" s="39"/>
      <c r="T511" s="43" t="str">
        <f t="shared" si="121"/>
        <v/>
      </c>
      <c r="U511" s="49" t="str">
        <f t="shared" si="122"/>
        <v/>
      </c>
      <c r="V511" s="48" t="str">
        <f t="shared" si="123"/>
        <v/>
      </c>
      <c r="W511" s="48" t="str">
        <f t="shared" si="114"/>
        <v/>
      </c>
      <c r="X511" s="50" t="str">
        <f>IF(W511="","",SUMIF($B$4:$B$1002,B511,$W$4:$W$1000))</f>
        <v/>
      </c>
      <c r="Y511" s="43" t="str">
        <f t="shared" si="115"/>
        <v/>
      </c>
      <c r="Z511" s="49" t="str">
        <f t="shared" si="116"/>
        <v/>
      </c>
      <c r="AA511" s="48" t="str">
        <f t="shared" si="117"/>
        <v/>
      </c>
      <c r="AB511" s="49" t="str">
        <f t="shared" si="118"/>
        <v/>
      </c>
      <c r="AC511" s="50" t="str">
        <f>IF(AB511="","",SUMIF($B$4:$B$1002,B511,$AB$4:$AB$1000))</f>
        <v/>
      </c>
      <c r="AD511" s="69"/>
      <c r="AE511" s="56"/>
      <c r="AF511" s="52"/>
      <c r="AG511" s="51"/>
      <c r="AH511" s="70"/>
      <c r="AI511" s="58"/>
      <c r="AJ511" s="55"/>
      <c r="AK511" s="51"/>
      <c r="AL511" s="69"/>
      <c r="AM511" s="56"/>
      <c r="AN511" s="52"/>
      <c r="AO511" s="51"/>
      <c r="AP511" s="70"/>
      <c r="AQ511" s="58"/>
      <c r="AR511" s="55"/>
      <c r="AS511" s="51"/>
      <c r="AT511" s="69"/>
      <c r="AU511" s="56"/>
      <c r="AV511" s="52"/>
      <c r="AW511" s="51"/>
      <c r="BR511" s="34" t="str">
        <f>IF(E511="","",CONCATENATE(E511," ",F511," noches"))</f>
        <v/>
      </c>
      <c r="BS511" s="28" t="str">
        <f t="shared" ca="1" si="119"/>
        <v/>
      </c>
      <c r="BT511" s="28" t="str">
        <f t="shared" ca="1" si="120"/>
        <v/>
      </c>
    </row>
    <row r="512" spans="1:72" x14ac:dyDescent="0.2">
      <c r="A512" s="18" t="str" cm="1">
        <f t="array" aca="1" ref="A512" ca="1">IF(B512="","","Grupo N˚"&amp;SUMPRODUCT(($B$4:B512&lt;&gt;"")*($B$4:B512&lt;&gt;OFFSET($B$4,-1,0,ROWS($B$4:B512),1))))</f>
        <v/>
      </c>
      <c r="B512" s="31"/>
      <c r="C512" s="31"/>
      <c r="D512" s="31"/>
      <c r="E512" s="31"/>
      <c r="F512" s="32"/>
      <c r="G512" s="33"/>
      <c r="H512" s="33"/>
      <c r="I512" s="20" t="str">
        <f t="shared" si="109"/>
        <v/>
      </c>
      <c r="J512" s="21" t="str">
        <f>IFERROR(VLOOKUP(BR512,Pricing!$D$3:$E$58,2,FALSE),"")</f>
        <v/>
      </c>
      <c r="K512" s="32"/>
      <c r="L512" s="32"/>
      <c r="M512" s="32"/>
      <c r="N512" s="36" t="str" cm="1">
        <f t="array" ref="N512">IFERROR(_xlfn.IFS((AND(K512="SI",M512="$")),J512*0.2,AND(K512="SI",M512="%"),20),"")</f>
        <v/>
      </c>
      <c r="O512" s="29" t="str">
        <f t="shared" si="110"/>
        <v/>
      </c>
      <c r="P512" s="21" t="str">
        <f t="shared" si="111"/>
        <v/>
      </c>
      <c r="Q512" s="21" t="str">
        <f t="shared" si="112"/>
        <v/>
      </c>
      <c r="R512" s="21" t="str">
        <f t="shared" si="113"/>
        <v/>
      </c>
      <c r="S512" s="39"/>
      <c r="T512" s="43" t="str">
        <f t="shared" si="121"/>
        <v/>
      </c>
      <c r="U512" s="49" t="str">
        <f t="shared" si="122"/>
        <v/>
      </c>
      <c r="V512" s="48" t="str">
        <f t="shared" si="123"/>
        <v/>
      </c>
      <c r="W512" s="48" t="str">
        <f t="shared" si="114"/>
        <v/>
      </c>
      <c r="X512" s="50" t="str">
        <f>IF(W512="","",SUMIF($B$4:$B$1002,B512,$W$4:$W$1000))</f>
        <v/>
      </c>
      <c r="Y512" s="43" t="str">
        <f t="shared" si="115"/>
        <v/>
      </c>
      <c r="Z512" s="49" t="str">
        <f t="shared" si="116"/>
        <v/>
      </c>
      <c r="AA512" s="48" t="str">
        <f t="shared" si="117"/>
        <v/>
      </c>
      <c r="AB512" s="49" t="str">
        <f t="shared" si="118"/>
        <v/>
      </c>
      <c r="AC512" s="50" t="str">
        <f>IF(AB512="","",SUMIF($B$4:$B$1002,B512,$AB$4:$AB$1000))</f>
        <v/>
      </c>
      <c r="AD512" s="69"/>
      <c r="AE512" s="56"/>
      <c r="AF512" s="52"/>
      <c r="AG512" s="51"/>
      <c r="AH512" s="70"/>
      <c r="AI512" s="58"/>
      <c r="AJ512" s="55"/>
      <c r="AK512" s="51"/>
      <c r="AL512" s="69"/>
      <c r="AM512" s="56"/>
      <c r="AN512" s="52"/>
      <c r="AO512" s="51"/>
      <c r="AP512" s="70"/>
      <c r="AQ512" s="58"/>
      <c r="AR512" s="55"/>
      <c r="AS512" s="51"/>
      <c r="AT512" s="69"/>
      <c r="AU512" s="56"/>
      <c r="AV512" s="52"/>
      <c r="AW512" s="51"/>
      <c r="BR512" s="34" t="str">
        <f>IF(E512="","",CONCATENATE(E512," ",F512," noches"))</f>
        <v/>
      </c>
      <c r="BS512" s="28" t="str">
        <f t="shared" ca="1" si="119"/>
        <v/>
      </c>
      <c r="BT512" s="28" t="str">
        <f t="shared" ca="1" si="120"/>
        <v/>
      </c>
    </row>
    <row r="513" spans="1:72" x14ac:dyDescent="0.2">
      <c r="A513" s="18" t="str" cm="1">
        <f t="array" aca="1" ref="A513" ca="1">IF(B513="","","Grupo N˚"&amp;SUMPRODUCT(($B$4:B513&lt;&gt;"")*($B$4:B513&lt;&gt;OFFSET($B$4,-1,0,ROWS($B$4:B513),1))))</f>
        <v/>
      </c>
      <c r="B513" s="31"/>
      <c r="C513" s="31"/>
      <c r="D513" s="31"/>
      <c r="E513" s="31"/>
      <c r="F513" s="32"/>
      <c r="G513" s="33"/>
      <c r="H513" s="33"/>
      <c r="I513" s="20" t="str">
        <f t="shared" si="109"/>
        <v/>
      </c>
      <c r="J513" s="21" t="str">
        <f>IFERROR(VLOOKUP(BR513,Pricing!$D$3:$E$58,2,FALSE),"")</f>
        <v/>
      </c>
      <c r="K513" s="32"/>
      <c r="L513" s="32"/>
      <c r="M513" s="32"/>
      <c r="N513" s="36" t="str" cm="1">
        <f t="array" ref="N513">IFERROR(_xlfn.IFS((AND(K513="SI",M513="$")),J513*0.2,AND(K513="SI",M513="%"),20),"")</f>
        <v/>
      </c>
      <c r="O513" s="29" t="str">
        <f t="shared" si="110"/>
        <v/>
      </c>
      <c r="P513" s="21" t="str">
        <f t="shared" si="111"/>
        <v/>
      </c>
      <c r="Q513" s="21" t="str">
        <f t="shared" si="112"/>
        <v/>
      </c>
      <c r="R513" s="21" t="str">
        <f t="shared" si="113"/>
        <v/>
      </c>
      <c r="S513" s="39"/>
      <c r="T513" s="43" t="str">
        <f t="shared" si="121"/>
        <v/>
      </c>
      <c r="U513" s="49" t="str">
        <f t="shared" si="122"/>
        <v/>
      </c>
      <c r="V513" s="48" t="str">
        <f t="shared" si="123"/>
        <v/>
      </c>
      <c r="W513" s="48" t="str">
        <f t="shared" si="114"/>
        <v/>
      </c>
      <c r="X513" s="50" t="str">
        <f>IF(W513="","",SUMIF($B$4:$B$1002,B513,$W$4:$W$1000))</f>
        <v/>
      </c>
      <c r="Y513" s="43" t="str">
        <f t="shared" si="115"/>
        <v/>
      </c>
      <c r="Z513" s="49" t="str">
        <f t="shared" si="116"/>
        <v/>
      </c>
      <c r="AA513" s="48" t="str">
        <f t="shared" si="117"/>
        <v/>
      </c>
      <c r="AB513" s="49" t="str">
        <f t="shared" si="118"/>
        <v/>
      </c>
      <c r="AC513" s="50" t="str">
        <f>IF(AB513="","",SUMIF($B$4:$B$1002,B513,$AB$4:$AB$1000))</f>
        <v/>
      </c>
      <c r="AD513" s="69"/>
      <c r="AE513" s="56"/>
      <c r="AF513" s="52"/>
      <c r="AG513" s="51"/>
      <c r="AH513" s="70"/>
      <c r="AI513" s="58"/>
      <c r="AJ513" s="55"/>
      <c r="AK513" s="51"/>
      <c r="AL513" s="69"/>
      <c r="AM513" s="56"/>
      <c r="AN513" s="52"/>
      <c r="AO513" s="51"/>
      <c r="AP513" s="70"/>
      <c r="AQ513" s="58"/>
      <c r="AR513" s="55"/>
      <c r="AS513" s="51"/>
      <c r="AT513" s="69"/>
      <c r="AU513" s="56"/>
      <c r="AV513" s="52"/>
      <c r="AW513" s="51"/>
      <c r="BR513" s="34" t="str">
        <f>IF(E513="","",CONCATENATE(E513," ",F513," noches"))</f>
        <v/>
      </c>
      <c r="BS513" s="28" t="str">
        <f t="shared" ca="1" si="119"/>
        <v/>
      </c>
      <c r="BT513" s="28" t="str">
        <f t="shared" ca="1" si="120"/>
        <v/>
      </c>
    </row>
    <row r="514" spans="1:72" x14ac:dyDescent="0.2">
      <c r="A514" s="18" t="str" cm="1">
        <f t="array" aca="1" ref="A514" ca="1">IF(B514="","","Grupo N˚"&amp;SUMPRODUCT(($B$4:B514&lt;&gt;"")*($B$4:B514&lt;&gt;OFFSET($B$4,-1,0,ROWS($B$4:B514),1))))</f>
        <v/>
      </c>
      <c r="B514" s="31"/>
      <c r="C514" s="31"/>
      <c r="D514" s="31"/>
      <c r="E514" s="31"/>
      <c r="F514" s="32"/>
      <c r="G514" s="33"/>
      <c r="H514" s="33"/>
      <c r="I514" s="20" t="str">
        <f t="shared" si="109"/>
        <v/>
      </c>
      <c r="J514" s="21" t="str">
        <f>IFERROR(VLOOKUP(BR514,Pricing!$D$3:$E$58,2,FALSE),"")</f>
        <v/>
      </c>
      <c r="K514" s="32"/>
      <c r="L514" s="32"/>
      <c r="M514" s="32"/>
      <c r="N514" s="36" t="str" cm="1">
        <f t="array" ref="N514">IFERROR(_xlfn.IFS((AND(K514="SI",M514="$")),J514*0.2,AND(K514="SI",M514="%"),20),"")</f>
        <v/>
      </c>
      <c r="O514" s="29" t="str">
        <f t="shared" si="110"/>
        <v/>
      </c>
      <c r="P514" s="21" t="str">
        <f t="shared" si="111"/>
        <v/>
      </c>
      <c r="Q514" s="21" t="str">
        <f t="shared" si="112"/>
        <v/>
      </c>
      <c r="R514" s="21" t="str">
        <f t="shared" si="113"/>
        <v/>
      </c>
      <c r="S514" s="39"/>
      <c r="T514" s="43" t="str">
        <f t="shared" si="121"/>
        <v/>
      </c>
      <c r="U514" s="49" t="str">
        <f t="shared" si="122"/>
        <v/>
      </c>
      <c r="V514" s="48" t="str">
        <f t="shared" si="123"/>
        <v/>
      </c>
      <c r="W514" s="48" t="str">
        <f t="shared" si="114"/>
        <v/>
      </c>
      <c r="X514" s="50" t="str">
        <f>IF(W514="","",SUMIF($B$4:$B$1002,B514,$W$4:$W$1000))</f>
        <v/>
      </c>
      <c r="Y514" s="43" t="str">
        <f t="shared" si="115"/>
        <v/>
      </c>
      <c r="Z514" s="49" t="str">
        <f t="shared" si="116"/>
        <v/>
      </c>
      <c r="AA514" s="48" t="str">
        <f t="shared" si="117"/>
        <v/>
      </c>
      <c r="AB514" s="49" t="str">
        <f t="shared" si="118"/>
        <v/>
      </c>
      <c r="AC514" s="50" t="str">
        <f>IF(AB514="","",SUMIF($B$4:$B$1002,B514,$AB$4:$AB$1000))</f>
        <v/>
      </c>
      <c r="AD514" s="69"/>
      <c r="AE514" s="56"/>
      <c r="AF514" s="52"/>
      <c r="AG514" s="51"/>
      <c r="AH514" s="70"/>
      <c r="AI514" s="58"/>
      <c r="AJ514" s="55"/>
      <c r="AK514" s="51"/>
      <c r="AL514" s="69"/>
      <c r="AM514" s="56"/>
      <c r="AN514" s="52"/>
      <c r="AO514" s="51"/>
      <c r="AP514" s="70"/>
      <c r="AQ514" s="58"/>
      <c r="AR514" s="55"/>
      <c r="AS514" s="51"/>
      <c r="AT514" s="69"/>
      <c r="AU514" s="56"/>
      <c r="AV514" s="52"/>
      <c r="AW514" s="51"/>
      <c r="BR514" s="34" t="str">
        <f>IF(E514="","",CONCATENATE(E514," ",F514," noches"))</f>
        <v/>
      </c>
      <c r="BS514" s="28" t="str">
        <f t="shared" ca="1" si="119"/>
        <v/>
      </c>
      <c r="BT514" s="28" t="str">
        <f t="shared" ca="1" si="120"/>
        <v/>
      </c>
    </row>
    <row r="515" spans="1:72" x14ac:dyDescent="0.2">
      <c r="A515" s="18" t="str" cm="1">
        <f t="array" aca="1" ref="A515" ca="1">IF(B515="","","Grupo N˚"&amp;SUMPRODUCT(($B$4:B515&lt;&gt;"")*($B$4:B515&lt;&gt;OFFSET($B$4,-1,0,ROWS($B$4:B515),1))))</f>
        <v/>
      </c>
      <c r="B515" s="31"/>
      <c r="C515" s="31"/>
      <c r="D515" s="31"/>
      <c r="E515" s="31"/>
      <c r="F515" s="32"/>
      <c r="G515" s="33"/>
      <c r="H515" s="33"/>
      <c r="I515" s="20" t="str">
        <f t="shared" si="109"/>
        <v/>
      </c>
      <c r="J515" s="21" t="str">
        <f>IFERROR(VLOOKUP(BR515,Pricing!$D$3:$E$58,2,FALSE),"")</f>
        <v/>
      </c>
      <c r="K515" s="32"/>
      <c r="L515" s="32"/>
      <c r="M515" s="32"/>
      <c r="N515" s="36" t="str" cm="1">
        <f t="array" ref="N515">IFERROR(_xlfn.IFS((AND(K515="SI",M515="$")),J515*0.2,AND(K515="SI",M515="%"),20),"")</f>
        <v/>
      </c>
      <c r="O515" s="29" t="str">
        <f t="shared" si="110"/>
        <v/>
      </c>
      <c r="P515" s="21" t="str">
        <f t="shared" si="111"/>
        <v/>
      </c>
      <c r="Q515" s="21" t="str">
        <f t="shared" si="112"/>
        <v/>
      </c>
      <c r="R515" s="21" t="str">
        <f t="shared" si="113"/>
        <v/>
      </c>
      <c r="S515" s="39"/>
      <c r="T515" s="43" t="str">
        <f t="shared" si="121"/>
        <v/>
      </c>
      <c r="U515" s="49" t="str">
        <f t="shared" si="122"/>
        <v/>
      </c>
      <c r="V515" s="48" t="str">
        <f t="shared" si="123"/>
        <v/>
      </c>
      <c r="W515" s="48" t="str">
        <f t="shared" si="114"/>
        <v/>
      </c>
      <c r="X515" s="50" t="str">
        <f>IF(W515="","",SUMIF($B$4:$B$1002,B515,$W$4:$W$1000))</f>
        <v/>
      </c>
      <c r="Y515" s="43" t="str">
        <f t="shared" si="115"/>
        <v/>
      </c>
      <c r="Z515" s="49" t="str">
        <f t="shared" si="116"/>
        <v/>
      </c>
      <c r="AA515" s="48" t="str">
        <f t="shared" si="117"/>
        <v/>
      </c>
      <c r="AB515" s="49" t="str">
        <f t="shared" si="118"/>
        <v/>
      </c>
      <c r="AC515" s="50" t="str">
        <f>IF(AB515="","",SUMIF($B$4:$B$1002,B515,$AB$4:$AB$1000))</f>
        <v/>
      </c>
      <c r="AD515" s="69"/>
      <c r="AE515" s="56"/>
      <c r="AF515" s="52"/>
      <c r="AG515" s="51"/>
      <c r="AH515" s="70"/>
      <c r="AI515" s="58"/>
      <c r="AJ515" s="55"/>
      <c r="AK515" s="51"/>
      <c r="AL515" s="69"/>
      <c r="AM515" s="56"/>
      <c r="AN515" s="52"/>
      <c r="AO515" s="51"/>
      <c r="AP515" s="70"/>
      <c r="AQ515" s="58"/>
      <c r="AR515" s="55"/>
      <c r="AS515" s="51"/>
      <c r="AT515" s="69"/>
      <c r="AU515" s="56"/>
      <c r="AV515" s="52"/>
      <c r="AW515" s="51"/>
      <c r="BR515" s="34" t="str">
        <f>IF(E515="","",CONCATENATE(E515," ",F515," noches"))</f>
        <v/>
      </c>
      <c r="BS515" s="28" t="str">
        <f t="shared" ca="1" si="119"/>
        <v/>
      </c>
      <c r="BT515" s="28" t="str">
        <f t="shared" ca="1" si="120"/>
        <v/>
      </c>
    </row>
    <row r="516" spans="1:72" x14ac:dyDescent="0.2">
      <c r="A516" s="18" t="str" cm="1">
        <f t="array" aca="1" ref="A516" ca="1">IF(B516="","","Grupo N˚"&amp;SUMPRODUCT(($B$4:B516&lt;&gt;"")*($B$4:B516&lt;&gt;OFFSET($B$4,-1,0,ROWS($B$4:B516),1))))</f>
        <v/>
      </c>
      <c r="B516" s="31"/>
      <c r="C516" s="31"/>
      <c r="D516" s="31"/>
      <c r="E516" s="31"/>
      <c r="F516" s="32"/>
      <c r="G516" s="33"/>
      <c r="H516" s="33"/>
      <c r="I516" s="20" t="str">
        <f t="shared" si="109"/>
        <v/>
      </c>
      <c r="J516" s="21" t="str">
        <f>IFERROR(VLOOKUP(BR516,Pricing!$D$3:$E$58,2,FALSE),"")</f>
        <v/>
      </c>
      <c r="K516" s="32"/>
      <c r="L516" s="32"/>
      <c r="M516" s="32"/>
      <c r="N516" s="36" t="str" cm="1">
        <f t="array" ref="N516">IFERROR(_xlfn.IFS((AND(K516="SI",M516="$")),J516*0.2,AND(K516="SI",M516="%"),20),"")</f>
        <v/>
      </c>
      <c r="O516" s="29" t="str">
        <f t="shared" si="110"/>
        <v/>
      </c>
      <c r="P516" s="21" t="str">
        <f t="shared" si="111"/>
        <v/>
      </c>
      <c r="Q516" s="21" t="str">
        <f t="shared" si="112"/>
        <v/>
      </c>
      <c r="R516" s="21" t="str">
        <f t="shared" si="113"/>
        <v/>
      </c>
      <c r="S516" s="39"/>
      <c r="T516" s="43" t="str">
        <f t="shared" si="121"/>
        <v/>
      </c>
      <c r="U516" s="49" t="str">
        <f t="shared" si="122"/>
        <v/>
      </c>
      <c r="V516" s="48" t="str">
        <f t="shared" si="123"/>
        <v/>
      </c>
      <c r="W516" s="48" t="str">
        <f t="shared" si="114"/>
        <v/>
      </c>
      <c r="X516" s="50" t="str">
        <f>IF(W516="","",SUMIF($B$4:$B$1002,B516,$W$4:$W$1000))</f>
        <v/>
      </c>
      <c r="Y516" s="43" t="str">
        <f t="shared" si="115"/>
        <v/>
      </c>
      <c r="Z516" s="49" t="str">
        <f t="shared" si="116"/>
        <v/>
      </c>
      <c r="AA516" s="48" t="str">
        <f t="shared" si="117"/>
        <v/>
      </c>
      <c r="AB516" s="49" t="str">
        <f t="shared" si="118"/>
        <v/>
      </c>
      <c r="AC516" s="50" t="str">
        <f>IF(AB516="","",SUMIF($B$4:$B$1002,B516,$AB$4:$AB$1000))</f>
        <v/>
      </c>
      <c r="AD516" s="69"/>
      <c r="AE516" s="56"/>
      <c r="AF516" s="52"/>
      <c r="AG516" s="51"/>
      <c r="AH516" s="70"/>
      <c r="AI516" s="58"/>
      <c r="AJ516" s="55"/>
      <c r="AK516" s="51"/>
      <c r="AL516" s="69"/>
      <c r="AM516" s="56"/>
      <c r="AN516" s="52"/>
      <c r="AO516" s="51"/>
      <c r="AP516" s="70"/>
      <c r="AQ516" s="58"/>
      <c r="AR516" s="55"/>
      <c r="AS516" s="51"/>
      <c r="AT516" s="69"/>
      <c r="AU516" s="56"/>
      <c r="AV516" s="52"/>
      <c r="AW516" s="51"/>
      <c r="BR516" s="34" t="str">
        <f>IF(E516="","",CONCATENATE(E516," ",F516," noches"))</f>
        <v/>
      </c>
      <c r="BS516" s="28" t="str">
        <f t="shared" ca="1" si="119"/>
        <v/>
      </c>
      <c r="BT516" s="28" t="str">
        <f t="shared" ca="1" si="120"/>
        <v/>
      </c>
    </row>
    <row r="517" spans="1:72" x14ac:dyDescent="0.2">
      <c r="A517" s="18" t="str" cm="1">
        <f t="array" aca="1" ref="A517" ca="1">IF(B517="","","Grupo N˚"&amp;SUMPRODUCT(($B$4:B517&lt;&gt;"")*($B$4:B517&lt;&gt;OFFSET($B$4,-1,0,ROWS($B$4:B517),1))))</f>
        <v/>
      </c>
      <c r="B517" s="31"/>
      <c r="C517" s="31"/>
      <c r="D517" s="31"/>
      <c r="E517" s="31"/>
      <c r="F517" s="32"/>
      <c r="G517" s="33"/>
      <c r="H517" s="33"/>
      <c r="I517" s="20" t="str">
        <f t="shared" ref="I517:I580" si="124">+IF(H517="","",G517+H517)</f>
        <v/>
      </c>
      <c r="J517" s="21" t="str">
        <f>IFERROR(VLOOKUP(BR517,Pricing!$D$3:$E$58,2,FALSE),"")</f>
        <v/>
      </c>
      <c r="K517" s="32"/>
      <c r="L517" s="32"/>
      <c r="M517" s="32"/>
      <c r="N517" s="36" t="str" cm="1">
        <f t="array" ref="N517">IFERROR(_xlfn.IFS((AND(K517="SI",M517="$")),J517*0.2,AND(K517="SI",M517="%"),20),"")</f>
        <v/>
      </c>
      <c r="O517" s="29" t="str">
        <f t="shared" ref="O517:O580" si="125">IFERROR(IF($M517="%",
             IF(N(N517)&gt;1, N(N517)/100, N(N517)),
             IF(AND($J517&gt;0,$M517="$"), N(N517)/$J517, "")
            ),"")</f>
        <v/>
      </c>
      <c r="P517" s="21" t="str">
        <f t="shared" ref="P517:P580" si="126">IFERROR(IF(M517="$", N(N517), IF(M517="%", J517*N(N517/100), "")), "")</f>
        <v/>
      </c>
      <c r="Q517" s="21" t="str">
        <f t="shared" ref="Q517:Q580" si="127">IF(J517="","",J517*(1-N(O517)))</f>
        <v/>
      </c>
      <c r="R517" s="21" t="str">
        <f t="shared" ref="R517:R580" si="128">IF(Q517="","",Q517/1.19)</f>
        <v/>
      </c>
      <c r="S517" s="39"/>
      <c r="T517" s="43" t="str">
        <f t="shared" si="121"/>
        <v/>
      </c>
      <c r="U517" s="49" t="str">
        <f t="shared" si="122"/>
        <v/>
      </c>
      <c r="V517" s="48" t="str">
        <f t="shared" si="123"/>
        <v/>
      </c>
      <c r="W517" s="48" t="str">
        <f t="shared" ref="W517:W580" si="129">IFERROR(U517-N(V517),"")</f>
        <v/>
      </c>
      <c r="X517" s="50" t="str">
        <f>IF(W517="","",SUMIF($B$4:$B$1002,B517,$W$4:$W$1000))</f>
        <v/>
      </c>
      <c r="Y517" s="43" t="str">
        <f t="shared" ref="Y517:Y580" si="130">IF(AB517="","",IFERROR(
 IF(AND(ABS(N(AB517))&lt;0.5, BT517&gt;=23), "Sin deuda",
  IF(AND(N(AB517)&gt;0, BT517&gt;=23), "Con deuda",
   IF(AND(N(AB517)&gt;0, BT517&lt;23), "Moroso", "")
  )
),""))</f>
        <v/>
      </c>
      <c r="Z517" s="49" t="str">
        <f t="shared" ref="Z517:Z580" si="131">IF(R517="","",R517/2)</f>
        <v/>
      </c>
      <c r="AA517" s="48" t="str">
        <f t="shared" ref="AA517:AA580" si="132">IF(AD517="","",SUM(
 IF(ISNUMBER(SEARCH("saldo",AD517)),AF517,0),
 IF(ISNUMBER(SEARCH("saldo",AH517)),AJ517,0),
 IF(ISNUMBER(SEARCH("saldo",AL517)),AN517,0),
 IF(ISNUMBER(SEARCH("saldo",AP517)),AR517,0),
 IF(ISNUMBER(SEARCH("saldo",AT517)),AV517,0)
))</f>
        <v/>
      </c>
      <c r="AB517" s="49" t="str">
        <f t="shared" ref="AB517:AB580" si="133">IFERROR(Z517-N(AA517),"")</f>
        <v/>
      </c>
      <c r="AC517" s="50" t="str">
        <f>IF(AB517="","",SUMIF($B$4:$B$1002,B517,$AB$4:$AB$1000))</f>
        <v/>
      </c>
      <c r="AD517" s="69"/>
      <c r="AE517" s="56"/>
      <c r="AF517" s="52"/>
      <c r="AG517" s="51"/>
      <c r="AH517" s="70"/>
      <c r="AI517" s="58"/>
      <c r="AJ517" s="55"/>
      <c r="AK517" s="51"/>
      <c r="AL517" s="69"/>
      <c r="AM517" s="56"/>
      <c r="AN517" s="52"/>
      <c r="AO517" s="51"/>
      <c r="AP517" s="70"/>
      <c r="AQ517" s="58"/>
      <c r="AR517" s="55"/>
      <c r="AS517" s="51"/>
      <c r="AT517" s="69"/>
      <c r="AU517" s="56"/>
      <c r="AV517" s="52"/>
      <c r="AW517" s="51"/>
      <c r="BR517" s="34" t="str">
        <f>IF(E517="","",CONCATENATE(E517," ",F517," noches"))</f>
        <v/>
      </c>
      <c r="BS517" s="28" t="str">
        <f t="shared" ref="BS517:BS580" ca="1" si="134">IF(G517="","",+TODAY()-G517)</f>
        <v/>
      </c>
      <c r="BT517" s="28" t="str">
        <f t="shared" ref="BT517:BT580" ca="1" si="135">IF(H517="","",H517-TODAY())</f>
        <v/>
      </c>
    </row>
    <row r="518" spans="1:72" x14ac:dyDescent="0.2">
      <c r="A518" s="18" t="str" cm="1">
        <f t="array" aca="1" ref="A518" ca="1">IF(B518="","","Grupo N˚"&amp;SUMPRODUCT(($B$4:B518&lt;&gt;"")*($B$4:B518&lt;&gt;OFFSET($B$4,-1,0,ROWS($B$4:B518),1))))</f>
        <v/>
      </c>
      <c r="B518" s="31"/>
      <c r="C518" s="31"/>
      <c r="D518" s="31"/>
      <c r="E518" s="31"/>
      <c r="F518" s="32"/>
      <c r="G518" s="33"/>
      <c r="H518" s="33"/>
      <c r="I518" s="20" t="str">
        <f t="shared" si="124"/>
        <v/>
      </c>
      <c r="J518" s="21" t="str">
        <f>IFERROR(VLOOKUP(BR518,Pricing!$D$3:$E$58,2,FALSE),"")</f>
        <v/>
      </c>
      <c r="K518" s="32"/>
      <c r="L518" s="32"/>
      <c r="M518" s="32"/>
      <c r="N518" s="36" t="str" cm="1">
        <f t="array" ref="N518">IFERROR(_xlfn.IFS((AND(K518="SI",M518="$")),J518*0.2,AND(K518="SI",M518="%"),20),"")</f>
        <v/>
      </c>
      <c r="O518" s="29" t="str">
        <f t="shared" si="125"/>
        <v/>
      </c>
      <c r="P518" s="21" t="str">
        <f t="shared" si="126"/>
        <v/>
      </c>
      <c r="Q518" s="21" t="str">
        <f t="shared" si="127"/>
        <v/>
      </c>
      <c r="R518" s="21" t="str">
        <f t="shared" si="128"/>
        <v/>
      </c>
      <c r="S518" s="39"/>
      <c r="T518" s="43" t="str">
        <f t="shared" si="121"/>
        <v/>
      </c>
      <c r="U518" s="49" t="str">
        <f t="shared" si="122"/>
        <v/>
      </c>
      <c r="V518" s="48" t="str">
        <f t="shared" si="123"/>
        <v/>
      </c>
      <c r="W518" s="48" t="str">
        <f t="shared" si="129"/>
        <v/>
      </c>
      <c r="X518" s="50" t="str">
        <f>IF(W518="","",SUMIF($B$4:$B$1002,B518,$W$4:$W$1000))</f>
        <v/>
      </c>
      <c r="Y518" s="43" t="str">
        <f t="shared" si="130"/>
        <v/>
      </c>
      <c r="Z518" s="49" t="str">
        <f t="shared" si="131"/>
        <v/>
      </c>
      <c r="AA518" s="48" t="str">
        <f t="shared" si="132"/>
        <v/>
      </c>
      <c r="AB518" s="49" t="str">
        <f t="shared" si="133"/>
        <v/>
      </c>
      <c r="AC518" s="50" t="str">
        <f>IF(AB518="","",SUMIF($B$4:$B$1002,B518,$AB$4:$AB$1000))</f>
        <v/>
      </c>
      <c r="AD518" s="69"/>
      <c r="AE518" s="56"/>
      <c r="AF518" s="52"/>
      <c r="AG518" s="51"/>
      <c r="AH518" s="70"/>
      <c r="AI518" s="58"/>
      <c r="AJ518" s="55"/>
      <c r="AK518" s="51"/>
      <c r="AL518" s="69"/>
      <c r="AM518" s="56"/>
      <c r="AN518" s="52"/>
      <c r="AO518" s="51"/>
      <c r="AP518" s="70"/>
      <c r="AQ518" s="58"/>
      <c r="AR518" s="55"/>
      <c r="AS518" s="51"/>
      <c r="AT518" s="69"/>
      <c r="AU518" s="56"/>
      <c r="AV518" s="52"/>
      <c r="AW518" s="51"/>
      <c r="BR518" s="34" t="str">
        <f>IF(E518="","",CONCATENATE(E518," ",F518," noches"))</f>
        <v/>
      </c>
      <c r="BS518" s="28" t="str">
        <f t="shared" ca="1" si="134"/>
        <v/>
      </c>
      <c r="BT518" s="28" t="str">
        <f t="shared" ca="1" si="135"/>
        <v/>
      </c>
    </row>
    <row r="519" spans="1:72" x14ac:dyDescent="0.2">
      <c r="A519" s="18" t="str" cm="1">
        <f t="array" aca="1" ref="A519" ca="1">IF(B519="","","Grupo N˚"&amp;SUMPRODUCT(($B$4:B519&lt;&gt;"")*($B$4:B519&lt;&gt;OFFSET($B$4,-1,0,ROWS($B$4:B519),1))))</f>
        <v/>
      </c>
      <c r="B519" s="31"/>
      <c r="C519" s="31"/>
      <c r="D519" s="31"/>
      <c r="E519" s="31"/>
      <c r="F519" s="32"/>
      <c r="G519" s="33"/>
      <c r="H519" s="33"/>
      <c r="I519" s="20" t="str">
        <f t="shared" si="124"/>
        <v/>
      </c>
      <c r="J519" s="21" t="str">
        <f>IFERROR(VLOOKUP(BR519,Pricing!$D$3:$E$58,2,FALSE),"")</f>
        <v/>
      </c>
      <c r="K519" s="32"/>
      <c r="L519" s="32"/>
      <c r="M519" s="32"/>
      <c r="N519" s="36" t="str" cm="1">
        <f t="array" ref="N519">IFERROR(_xlfn.IFS((AND(K519="SI",M519="$")),J519*0.2,AND(K519="SI",M519="%"),20),"")</f>
        <v/>
      </c>
      <c r="O519" s="29" t="str">
        <f t="shared" si="125"/>
        <v/>
      </c>
      <c r="P519" s="21" t="str">
        <f t="shared" si="126"/>
        <v/>
      </c>
      <c r="Q519" s="21" t="str">
        <f t="shared" si="127"/>
        <v/>
      </c>
      <c r="R519" s="21" t="str">
        <f t="shared" si="128"/>
        <v/>
      </c>
      <c r="S519" s="39"/>
      <c r="T519" s="43" t="str">
        <f t="shared" si="121"/>
        <v/>
      </c>
      <c r="U519" s="49" t="str">
        <f t="shared" si="122"/>
        <v/>
      </c>
      <c r="V519" s="48" t="str">
        <f t="shared" si="123"/>
        <v/>
      </c>
      <c r="W519" s="48" t="str">
        <f t="shared" si="129"/>
        <v/>
      </c>
      <c r="X519" s="50" t="str">
        <f>IF(W519="","",SUMIF($B$4:$B$1002,B519,$W$4:$W$1000))</f>
        <v/>
      </c>
      <c r="Y519" s="43" t="str">
        <f t="shared" si="130"/>
        <v/>
      </c>
      <c r="Z519" s="49" t="str">
        <f t="shared" si="131"/>
        <v/>
      </c>
      <c r="AA519" s="48" t="str">
        <f t="shared" si="132"/>
        <v/>
      </c>
      <c r="AB519" s="49" t="str">
        <f t="shared" si="133"/>
        <v/>
      </c>
      <c r="AC519" s="50" t="str">
        <f>IF(AB519="","",SUMIF($B$4:$B$1002,B519,$AB$4:$AB$1000))</f>
        <v/>
      </c>
      <c r="AD519" s="69"/>
      <c r="AE519" s="56"/>
      <c r="AF519" s="52"/>
      <c r="AG519" s="51"/>
      <c r="AH519" s="70"/>
      <c r="AI519" s="58"/>
      <c r="AJ519" s="55"/>
      <c r="AK519" s="51"/>
      <c r="AL519" s="69"/>
      <c r="AM519" s="56"/>
      <c r="AN519" s="52"/>
      <c r="AO519" s="51"/>
      <c r="AP519" s="70"/>
      <c r="AQ519" s="58"/>
      <c r="AR519" s="55"/>
      <c r="AS519" s="51"/>
      <c r="AT519" s="69"/>
      <c r="AU519" s="56"/>
      <c r="AV519" s="52"/>
      <c r="AW519" s="51"/>
      <c r="BR519" s="34" t="str">
        <f>IF(E519="","",CONCATENATE(E519," ",F519," noches"))</f>
        <v/>
      </c>
      <c r="BS519" s="28" t="str">
        <f t="shared" ca="1" si="134"/>
        <v/>
      </c>
      <c r="BT519" s="28" t="str">
        <f t="shared" ca="1" si="135"/>
        <v/>
      </c>
    </row>
    <row r="520" spans="1:72" x14ac:dyDescent="0.2">
      <c r="A520" s="18" t="str" cm="1">
        <f t="array" aca="1" ref="A520" ca="1">IF(B520="","","Grupo N˚"&amp;SUMPRODUCT(($B$4:B520&lt;&gt;"")*($B$4:B520&lt;&gt;OFFSET($B$4,-1,0,ROWS($B$4:B520),1))))</f>
        <v/>
      </c>
      <c r="B520" s="31"/>
      <c r="C520" s="31"/>
      <c r="D520" s="31"/>
      <c r="E520" s="31"/>
      <c r="F520" s="32"/>
      <c r="G520" s="33"/>
      <c r="H520" s="33"/>
      <c r="I520" s="20" t="str">
        <f t="shared" si="124"/>
        <v/>
      </c>
      <c r="J520" s="21" t="str">
        <f>IFERROR(VLOOKUP(BR520,Pricing!$D$3:$E$58,2,FALSE),"")</f>
        <v/>
      </c>
      <c r="K520" s="32"/>
      <c r="L520" s="32"/>
      <c r="M520" s="32"/>
      <c r="N520" s="36" t="str" cm="1">
        <f t="array" ref="N520">IFERROR(_xlfn.IFS((AND(K520="SI",M520="$")),J520*0.2,AND(K520="SI",M520="%"),20),"")</f>
        <v/>
      </c>
      <c r="O520" s="29" t="str">
        <f t="shared" si="125"/>
        <v/>
      </c>
      <c r="P520" s="21" t="str">
        <f t="shared" si="126"/>
        <v/>
      </c>
      <c r="Q520" s="21" t="str">
        <f t="shared" si="127"/>
        <v/>
      </c>
      <c r="R520" s="21" t="str">
        <f t="shared" si="128"/>
        <v/>
      </c>
      <c r="S520" s="39"/>
      <c r="T520" s="43" t="str">
        <f t="shared" si="121"/>
        <v/>
      </c>
      <c r="U520" s="49" t="str">
        <f t="shared" si="122"/>
        <v/>
      </c>
      <c r="V520" s="48" t="str">
        <f t="shared" si="123"/>
        <v/>
      </c>
      <c r="W520" s="48" t="str">
        <f t="shared" si="129"/>
        <v/>
      </c>
      <c r="X520" s="50" t="str">
        <f>IF(W520="","",SUMIF($B$4:$B$1002,B520,$W$4:$W$1000))</f>
        <v/>
      </c>
      <c r="Y520" s="43" t="str">
        <f t="shared" si="130"/>
        <v/>
      </c>
      <c r="Z520" s="49" t="str">
        <f t="shared" si="131"/>
        <v/>
      </c>
      <c r="AA520" s="48" t="str">
        <f t="shared" si="132"/>
        <v/>
      </c>
      <c r="AB520" s="49" t="str">
        <f t="shared" si="133"/>
        <v/>
      </c>
      <c r="AC520" s="50" t="str">
        <f>IF(AB520="","",SUMIF($B$4:$B$1002,B520,$AB$4:$AB$1000))</f>
        <v/>
      </c>
      <c r="AD520" s="69"/>
      <c r="AE520" s="56"/>
      <c r="AF520" s="52"/>
      <c r="AG520" s="51"/>
      <c r="AH520" s="70"/>
      <c r="AI520" s="58"/>
      <c r="AJ520" s="55"/>
      <c r="AK520" s="51"/>
      <c r="AL520" s="69"/>
      <c r="AM520" s="56"/>
      <c r="AN520" s="52"/>
      <c r="AO520" s="51"/>
      <c r="AP520" s="70"/>
      <c r="AQ520" s="58"/>
      <c r="AR520" s="55"/>
      <c r="AS520" s="51"/>
      <c r="AT520" s="69"/>
      <c r="AU520" s="56"/>
      <c r="AV520" s="52"/>
      <c r="AW520" s="51"/>
      <c r="BR520" s="34" t="str">
        <f>IF(E520="","",CONCATENATE(E520," ",F520," noches"))</f>
        <v/>
      </c>
      <c r="BS520" s="28" t="str">
        <f t="shared" ca="1" si="134"/>
        <v/>
      </c>
      <c r="BT520" s="28" t="str">
        <f t="shared" ca="1" si="135"/>
        <v/>
      </c>
    </row>
    <row r="521" spans="1:72" x14ac:dyDescent="0.2">
      <c r="A521" s="18" t="str" cm="1">
        <f t="array" aca="1" ref="A521" ca="1">IF(B521="","","Grupo N˚"&amp;SUMPRODUCT(($B$4:B521&lt;&gt;"")*($B$4:B521&lt;&gt;OFFSET($B$4,-1,0,ROWS($B$4:B521),1))))</f>
        <v/>
      </c>
      <c r="B521" s="31"/>
      <c r="C521" s="31"/>
      <c r="D521" s="31"/>
      <c r="E521" s="31"/>
      <c r="F521" s="32"/>
      <c r="G521" s="33"/>
      <c r="H521" s="33"/>
      <c r="I521" s="20" t="str">
        <f t="shared" si="124"/>
        <v/>
      </c>
      <c r="J521" s="21" t="str">
        <f>IFERROR(VLOOKUP(BR521,Pricing!$D$3:$E$58,2,FALSE),"")</f>
        <v/>
      </c>
      <c r="K521" s="32"/>
      <c r="L521" s="32"/>
      <c r="M521" s="32"/>
      <c r="N521" s="36" t="str" cm="1">
        <f t="array" ref="N521">IFERROR(_xlfn.IFS((AND(K521="SI",M521="$")),J521*0.2,AND(K521="SI",M521="%"),20),"")</f>
        <v/>
      </c>
      <c r="O521" s="29" t="str">
        <f t="shared" si="125"/>
        <v/>
      </c>
      <c r="P521" s="21" t="str">
        <f t="shared" si="126"/>
        <v/>
      </c>
      <c r="Q521" s="21" t="str">
        <f t="shared" si="127"/>
        <v/>
      </c>
      <c r="R521" s="21" t="str">
        <f t="shared" si="128"/>
        <v/>
      </c>
      <c r="S521" s="39"/>
      <c r="T521" s="43" t="str">
        <f t="shared" ref="T521:T584" si="136">IF(W521="","",IFERROR(
 IF(AND(ABS(N(W521))&lt;0.5, BS521&lt;=7), "Sin deuda",
  IF(AND(N(W521)&gt;0, BS521&lt;=7), "Con deuda",
   IF(AND(N(W521)&gt;0, BS521&gt;7), "Moroso", "")
  )
)," "))</f>
        <v/>
      </c>
      <c r="U521" s="49" t="str">
        <f t="shared" si="122"/>
        <v/>
      </c>
      <c r="V521" s="48" t="str">
        <f t="shared" si="123"/>
        <v/>
      </c>
      <c r="W521" s="48" t="str">
        <f t="shared" si="129"/>
        <v/>
      </c>
      <c r="X521" s="50" t="str">
        <f>IF(W521="","",SUMIF($B$4:$B$1002,B521,$W$4:$W$1000))</f>
        <v/>
      </c>
      <c r="Y521" s="43" t="str">
        <f t="shared" si="130"/>
        <v/>
      </c>
      <c r="Z521" s="49" t="str">
        <f t="shared" si="131"/>
        <v/>
      </c>
      <c r="AA521" s="48" t="str">
        <f t="shared" si="132"/>
        <v/>
      </c>
      <c r="AB521" s="49" t="str">
        <f t="shared" si="133"/>
        <v/>
      </c>
      <c r="AC521" s="50" t="str">
        <f>IF(AB521="","",SUMIF($B$4:$B$1002,B521,$AB$4:$AB$1000))</f>
        <v/>
      </c>
      <c r="AD521" s="69"/>
      <c r="AE521" s="56"/>
      <c r="AF521" s="52"/>
      <c r="AG521" s="51"/>
      <c r="AH521" s="70"/>
      <c r="AI521" s="58"/>
      <c r="AJ521" s="55"/>
      <c r="AK521" s="51"/>
      <c r="AL521" s="69"/>
      <c r="AM521" s="56"/>
      <c r="AN521" s="52"/>
      <c r="AO521" s="51"/>
      <c r="AP521" s="70"/>
      <c r="AQ521" s="58"/>
      <c r="AR521" s="55"/>
      <c r="AS521" s="51"/>
      <c r="AT521" s="69"/>
      <c r="AU521" s="56"/>
      <c r="AV521" s="52"/>
      <c r="AW521" s="51"/>
      <c r="BR521" s="34" t="str">
        <f>IF(E521="","",CONCATENATE(E521," ",F521," noches"))</f>
        <v/>
      </c>
      <c r="BS521" s="28" t="str">
        <f t="shared" ca="1" si="134"/>
        <v/>
      </c>
      <c r="BT521" s="28" t="str">
        <f t="shared" ca="1" si="135"/>
        <v/>
      </c>
    </row>
    <row r="522" spans="1:72" x14ac:dyDescent="0.2">
      <c r="A522" s="18" t="str" cm="1">
        <f t="array" aca="1" ref="A522" ca="1">IF(B522="","","Grupo N˚"&amp;SUMPRODUCT(($B$4:B522&lt;&gt;"")*($B$4:B522&lt;&gt;OFFSET($B$4,-1,0,ROWS($B$4:B522),1))))</f>
        <v/>
      </c>
      <c r="B522" s="31"/>
      <c r="C522" s="31"/>
      <c r="D522" s="31"/>
      <c r="E522" s="31"/>
      <c r="F522" s="32"/>
      <c r="G522" s="33"/>
      <c r="H522" s="33"/>
      <c r="I522" s="20" t="str">
        <f t="shared" si="124"/>
        <v/>
      </c>
      <c r="J522" s="21" t="str">
        <f>IFERROR(VLOOKUP(BR522,Pricing!$D$3:$E$58,2,FALSE),"")</f>
        <v/>
      </c>
      <c r="K522" s="32"/>
      <c r="L522" s="32"/>
      <c r="M522" s="32"/>
      <c r="N522" s="36" t="str" cm="1">
        <f t="array" ref="N522">IFERROR(_xlfn.IFS((AND(K522="SI",M522="$")),J522*0.2,AND(K522="SI",M522="%"),20),"")</f>
        <v/>
      </c>
      <c r="O522" s="29" t="str">
        <f t="shared" si="125"/>
        <v/>
      </c>
      <c r="P522" s="21" t="str">
        <f t="shared" si="126"/>
        <v/>
      </c>
      <c r="Q522" s="21" t="str">
        <f t="shared" si="127"/>
        <v/>
      </c>
      <c r="R522" s="21" t="str">
        <f t="shared" si="128"/>
        <v/>
      </c>
      <c r="S522" s="39"/>
      <c r="T522" s="43" t="str">
        <f t="shared" si="136"/>
        <v/>
      </c>
      <c r="U522" s="49" t="str">
        <f t="shared" si="122"/>
        <v/>
      </c>
      <c r="V522" s="48" t="str">
        <f t="shared" si="123"/>
        <v/>
      </c>
      <c r="W522" s="48" t="str">
        <f t="shared" si="129"/>
        <v/>
      </c>
      <c r="X522" s="50" t="str">
        <f>IF(W522="","",SUMIF($B$4:$B$1002,B522,$W$4:$W$1000))</f>
        <v/>
      </c>
      <c r="Y522" s="43" t="str">
        <f t="shared" si="130"/>
        <v/>
      </c>
      <c r="Z522" s="49" t="str">
        <f t="shared" si="131"/>
        <v/>
      </c>
      <c r="AA522" s="48" t="str">
        <f t="shared" si="132"/>
        <v/>
      </c>
      <c r="AB522" s="49" t="str">
        <f t="shared" si="133"/>
        <v/>
      </c>
      <c r="AC522" s="50" t="str">
        <f>IF(AB522="","",SUMIF($B$4:$B$1002,B522,$AB$4:$AB$1000))</f>
        <v/>
      </c>
      <c r="AD522" s="69"/>
      <c r="AE522" s="56"/>
      <c r="AF522" s="52"/>
      <c r="AG522" s="51"/>
      <c r="AH522" s="70"/>
      <c r="AI522" s="58"/>
      <c r="AJ522" s="55"/>
      <c r="AK522" s="51"/>
      <c r="AL522" s="69"/>
      <c r="AM522" s="56"/>
      <c r="AN522" s="52"/>
      <c r="AO522" s="51"/>
      <c r="AP522" s="70"/>
      <c r="AQ522" s="58"/>
      <c r="AR522" s="55"/>
      <c r="AS522" s="51"/>
      <c r="AT522" s="69"/>
      <c r="AU522" s="56"/>
      <c r="AV522" s="52"/>
      <c r="AW522" s="51"/>
      <c r="BR522" s="34" t="str">
        <f>IF(E522="","",CONCATENATE(E522," ",F522," noches"))</f>
        <v/>
      </c>
      <c r="BS522" s="28" t="str">
        <f t="shared" ca="1" si="134"/>
        <v/>
      </c>
      <c r="BT522" s="28" t="str">
        <f t="shared" ca="1" si="135"/>
        <v/>
      </c>
    </row>
    <row r="523" spans="1:72" x14ac:dyDescent="0.2">
      <c r="A523" s="18" t="str" cm="1">
        <f t="array" aca="1" ref="A523" ca="1">IF(B523="","","Grupo N˚"&amp;SUMPRODUCT(($B$4:B523&lt;&gt;"")*($B$4:B523&lt;&gt;OFFSET($B$4,-1,0,ROWS($B$4:B523),1))))</f>
        <v/>
      </c>
      <c r="B523" s="31"/>
      <c r="C523" s="31"/>
      <c r="D523" s="31"/>
      <c r="E523" s="31"/>
      <c r="F523" s="32"/>
      <c r="G523" s="33"/>
      <c r="H523" s="33"/>
      <c r="I523" s="20" t="str">
        <f t="shared" si="124"/>
        <v/>
      </c>
      <c r="J523" s="21" t="str">
        <f>IFERROR(VLOOKUP(BR523,Pricing!$D$3:$E$58,2,FALSE),"")</f>
        <v/>
      </c>
      <c r="K523" s="32"/>
      <c r="L523" s="32"/>
      <c r="M523" s="32"/>
      <c r="N523" s="36" t="str" cm="1">
        <f t="array" ref="N523">IFERROR(_xlfn.IFS((AND(K523="SI",M523="$")),J523*0.2,AND(K523="SI",M523="%"),20),"")</f>
        <v/>
      </c>
      <c r="O523" s="29" t="str">
        <f t="shared" si="125"/>
        <v/>
      </c>
      <c r="P523" s="21" t="str">
        <f t="shared" si="126"/>
        <v/>
      </c>
      <c r="Q523" s="21" t="str">
        <f t="shared" si="127"/>
        <v/>
      </c>
      <c r="R523" s="21" t="str">
        <f t="shared" si="128"/>
        <v/>
      </c>
      <c r="S523" s="39"/>
      <c r="T523" s="43" t="str">
        <f t="shared" si="136"/>
        <v/>
      </c>
      <c r="U523" s="49" t="str">
        <f t="shared" si="122"/>
        <v/>
      </c>
      <c r="V523" s="48" t="str">
        <f t="shared" si="123"/>
        <v/>
      </c>
      <c r="W523" s="48" t="str">
        <f t="shared" si="129"/>
        <v/>
      </c>
      <c r="X523" s="50" t="str">
        <f>IF(W523="","",SUMIF($B$4:$B$1002,B523,$W$4:$W$1000))</f>
        <v/>
      </c>
      <c r="Y523" s="43" t="str">
        <f t="shared" si="130"/>
        <v/>
      </c>
      <c r="Z523" s="49" t="str">
        <f t="shared" si="131"/>
        <v/>
      </c>
      <c r="AA523" s="48" t="str">
        <f t="shared" si="132"/>
        <v/>
      </c>
      <c r="AB523" s="49" t="str">
        <f t="shared" si="133"/>
        <v/>
      </c>
      <c r="AC523" s="50" t="str">
        <f>IF(AB523="","",SUMIF($B$4:$B$1002,B523,$AB$4:$AB$1000))</f>
        <v/>
      </c>
      <c r="AD523" s="69"/>
      <c r="AE523" s="56"/>
      <c r="AF523" s="52"/>
      <c r="AG523" s="51"/>
      <c r="AH523" s="70"/>
      <c r="AI523" s="58"/>
      <c r="AJ523" s="55"/>
      <c r="AK523" s="51"/>
      <c r="AL523" s="69"/>
      <c r="AM523" s="56"/>
      <c r="AN523" s="52"/>
      <c r="AO523" s="51"/>
      <c r="AP523" s="70"/>
      <c r="AQ523" s="58"/>
      <c r="AR523" s="55"/>
      <c r="AS523" s="51"/>
      <c r="AT523" s="69"/>
      <c r="AU523" s="56"/>
      <c r="AV523" s="52"/>
      <c r="AW523" s="51"/>
      <c r="BR523" s="34" t="str">
        <f>IF(E523="","",CONCATENATE(E523," ",F523," noches"))</f>
        <v/>
      </c>
      <c r="BS523" s="28" t="str">
        <f t="shared" ca="1" si="134"/>
        <v/>
      </c>
      <c r="BT523" s="28" t="str">
        <f t="shared" ca="1" si="135"/>
        <v/>
      </c>
    </row>
    <row r="524" spans="1:72" x14ac:dyDescent="0.2">
      <c r="A524" s="18" t="str" cm="1">
        <f t="array" aca="1" ref="A524" ca="1">IF(B524="","","Grupo N˚"&amp;SUMPRODUCT(($B$4:B524&lt;&gt;"")*($B$4:B524&lt;&gt;OFFSET($B$4,-1,0,ROWS($B$4:B524),1))))</f>
        <v/>
      </c>
      <c r="B524" s="31"/>
      <c r="C524" s="31"/>
      <c r="D524" s="31"/>
      <c r="E524" s="31"/>
      <c r="F524" s="32"/>
      <c r="G524" s="33"/>
      <c r="H524" s="33"/>
      <c r="I524" s="20" t="str">
        <f t="shared" si="124"/>
        <v/>
      </c>
      <c r="J524" s="21" t="str">
        <f>IFERROR(VLOOKUP(BR524,Pricing!$D$3:$E$58,2,FALSE),"")</f>
        <v/>
      </c>
      <c r="K524" s="32"/>
      <c r="L524" s="32"/>
      <c r="M524" s="32"/>
      <c r="N524" s="36" t="str" cm="1">
        <f t="array" ref="N524">IFERROR(_xlfn.IFS((AND(K524="SI",M524="$")),J524*0.2,AND(K524="SI",M524="%"),20),"")</f>
        <v/>
      </c>
      <c r="O524" s="29" t="str">
        <f t="shared" si="125"/>
        <v/>
      </c>
      <c r="P524" s="21" t="str">
        <f t="shared" si="126"/>
        <v/>
      </c>
      <c r="Q524" s="21" t="str">
        <f t="shared" si="127"/>
        <v/>
      </c>
      <c r="R524" s="21" t="str">
        <f t="shared" si="128"/>
        <v/>
      </c>
      <c r="S524" s="39"/>
      <c r="T524" s="43" t="str">
        <f t="shared" si="136"/>
        <v/>
      </c>
      <c r="U524" s="49" t="str">
        <f t="shared" si="122"/>
        <v/>
      </c>
      <c r="V524" s="48" t="str">
        <f t="shared" si="123"/>
        <v/>
      </c>
      <c r="W524" s="48" t="str">
        <f t="shared" si="129"/>
        <v/>
      </c>
      <c r="X524" s="50" t="str">
        <f>IF(W524="","",SUMIF($B$4:$B$1002,B524,$W$4:$W$1000))</f>
        <v/>
      </c>
      <c r="Y524" s="43" t="str">
        <f t="shared" si="130"/>
        <v/>
      </c>
      <c r="Z524" s="49" t="str">
        <f t="shared" si="131"/>
        <v/>
      </c>
      <c r="AA524" s="48" t="str">
        <f t="shared" si="132"/>
        <v/>
      </c>
      <c r="AB524" s="49" t="str">
        <f t="shared" si="133"/>
        <v/>
      </c>
      <c r="AC524" s="50" t="str">
        <f>IF(AB524="","",SUMIF($B$4:$B$1002,B524,$AB$4:$AB$1000))</f>
        <v/>
      </c>
      <c r="AD524" s="69"/>
      <c r="AE524" s="56"/>
      <c r="AF524" s="52"/>
      <c r="AG524" s="51"/>
      <c r="AH524" s="70"/>
      <c r="AI524" s="58"/>
      <c r="AJ524" s="55"/>
      <c r="AK524" s="51"/>
      <c r="AL524" s="69"/>
      <c r="AM524" s="56"/>
      <c r="AN524" s="52"/>
      <c r="AO524" s="51"/>
      <c r="AP524" s="70"/>
      <c r="AQ524" s="58"/>
      <c r="AR524" s="55"/>
      <c r="AS524" s="51"/>
      <c r="AT524" s="69"/>
      <c r="AU524" s="56"/>
      <c r="AV524" s="52"/>
      <c r="AW524" s="51"/>
      <c r="BR524" s="34" t="str">
        <f>IF(E524="","",CONCATENATE(E524," ",F524," noches"))</f>
        <v/>
      </c>
      <c r="BS524" s="28" t="str">
        <f t="shared" ca="1" si="134"/>
        <v/>
      </c>
      <c r="BT524" s="28" t="str">
        <f t="shared" ca="1" si="135"/>
        <v/>
      </c>
    </row>
    <row r="525" spans="1:72" x14ac:dyDescent="0.2">
      <c r="A525" s="18" t="str" cm="1">
        <f t="array" aca="1" ref="A525" ca="1">IF(B525="","","Grupo N˚"&amp;SUMPRODUCT(($B$4:B525&lt;&gt;"")*($B$4:B525&lt;&gt;OFFSET($B$4,-1,0,ROWS($B$4:B525),1))))</f>
        <v/>
      </c>
      <c r="B525" s="31"/>
      <c r="C525" s="31"/>
      <c r="D525" s="31"/>
      <c r="E525" s="31"/>
      <c r="F525" s="32"/>
      <c r="G525" s="33"/>
      <c r="H525" s="33"/>
      <c r="I525" s="20" t="str">
        <f t="shared" si="124"/>
        <v/>
      </c>
      <c r="J525" s="21" t="str">
        <f>IFERROR(VLOOKUP(BR525,Pricing!$D$3:$E$58,2,FALSE),"")</f>
        <v/>
      </c>
      <c r="K525" s="32"/>
      <c r="L525" s="32"/>
      <c r="M525" s="32"/>
      <c r="N525" s="36" t="str" cm="1">
        <f t="array" ref="N525">IFERROR(_xlfn.IFS((AND(K525="SI",M525="$")),J525*0.2,AND(K525="SI",M525="%"),20),"")</f>
        <v/>
      </c>
      <c r="O525" s="29" t="str">
        <f t="shared" si="125"/>
        <v/>
      </c>
      <c r="P525" s="21" t="str">
        <f t="shared" si="126"/>
        <v/>
      </c>
      <c r="Q525" s="21" t="str">
        <f t="shared" si="127"/>
        <v/>
      </c>
      <c r="R525" s="21" t="str">
        <f t="shared" si="128"/>
        <v/>
      </c>
      <c r="S525" s="39"/>
      <c r="T525" s="43" t="str">
        <f t="shared" si="136"/>
        <v/>
      </c>
      <c r="U525" s="49" t="str">
        <f t="shared" ref="U525:U588" si="137">IF(R525="","",R525/2)</f>
        <v/>
      </c>
      <c r="V525" s="48" t="str">
        <f t="shared" ref="V525:V588" si="138">IF(AD525="","",SUM(
 IF(ISNUMBER(SEARCH("reserva",AD525)),AF525,0),
 IF(ISNUMBER(SEARCH("reserva",AH525)),AJ525,0),
 IF(ISNUMBER(SEARCH("reserva",AL525)),AN525,0),
 IF(ISNUMBER(SEARCH("reserva",AP525)),AR525,0),
 IF(ISNUMBER(SEARCH("reserva",AT525)),AV525,0)
))</f>
        <v/>
      </c>
      <c r="W525" s="48" t="str">
        <f t="shared" si="129"/>
        <v/>
      </c>
      <c r="X525" s="50" t="str">
        <f>IF(W525="","",SUMIF($B$4:$B$1002,B525,$W$4:$W$1000))</f>
        <v/>
      </c>
      <c r="Y525" s="43" t="str">
        <f t="shared" si="130"/>
        <v/>
      </c>
      <c r="Z525" s="49" t="str">
        <f t="shared" si="131"/>
        <v/>
      </c>
      <c r="AA525" s="48" t="str">
        <f t="shared" si="132"/>
        <v/>
      </c>
      <c r="AB525" s="49" t="str">
        <f t="shared" si="133"/>
        <v/>
      </c>
      <c r="AC525" s="50" t="str">
        <f>IF(AB525="","",SUMIF($B$4:$B$1002,B525,$AB$4:$AB$1000))</f>
        <v/>
      </c>
      <c r="AD525" s="69"/>
      <c r="AE525" s="56"/>
      <c r="AF525" s="52"/>
      <c r="AG525" s="51"/>
      <c r="AH525" s="70"/>
      <c r="AI525" s="58"/>
      <c r="AJ525" s="55"/>
      <c r="AK525" s="51"/>
      <c r="AL525" s="69"/>
      <c r="AM525" s="56"/>
      <c r="AN525" s="52"/>
      <c r="AO525" s="51"/>
      <c r="AP525" s="70"/>
      <c r="AQ525" s="58"/>
      <c r="AR525" s="55"/>
      <c r="AS525" s="51"/>
      <c r="AT525" s="69"/>
      <c r="AU525" s="56"/>
      <c r="AV525" s="52"/>
      <c r="AW525" s="51"/>
      <c r="BR525" s="34" t="str">
        <f>IF(E525="","",CONCATENATE(E525," ",F525," noches"))</f>
        <v/>
      </c>
      <c r="BS525" s="28" t="str">
        <f t="shared" ca="1" si="134"/>
        <v/>
      </c>
      <c r="BT525" s="28" t="str">
        <f t="shared" ca="1" si="135"/>
        <v/>
      </c>
    </row>
    <row r="526" spans="1:72" x14ac:dyDescent="0.2">
      <c r="A526" s="18" t="str" cm="1">
        <f t="array" aca="1" ref="A526" ca="1">IF(B526="","","Grupo N˚"&amp;SUMPRODUCT(($B$4:B526&lt;&gt;"")*($B$4:B526&lt;&gt;OFFSET($B$4,-1,0,ROWS($B$4:B526),1))))</f>
        <v/>
      </c>
      <c r="B526" s="31"/>
      <c r="C526" s="31"/>
      <c r="D526" s="31"/>
      <c r="E526" s="31"/>
      <c r="F526" s="32"/>
      <c r="G526" s="33"/>
      <c r="H526" s="33"/>
      <c r="I526" s="20" t="str">
        <f t="shared" si="124"/>
        <v/>
      </c>
      <c r="J526" s="21" t="str">
        <f>IFERROR(VLOOKUP(BR526,Pricing!$D$3:$E$58,2,FALSE),"")</f>
        <v/>
      </c>
      <c r="K526" s="32"/>
      <c r="L526" s="32"/>
      <c r="M526" s="32"/>
      <c r="N526" s="36" t="str" cm="1">
        <f t="array" ref="N526">IFERROR(_xlfn.IFS((AND(K526="SI",M526="$")),J526*0.2,AND(K526="SI",M526="%"),20),"")</f>
        <v/>
      </c>
      <c r="O526" s="29" t="str">
        <f t="shared" si="125"/>
        <v/>
      </c>
      <c r="P526" s="21" t="str">
        <f t="shared" si="126"/>
        <v/>
      </c>
      <c r="Q526" s="21" t="str">
        <f t="shared" si="127"/>
        <v/>
      </c>
      <c r="R526" s="21" t="str">
        <f t="shared" si="128"/>
        <v/>
      </c>
      <c r="S526" s="39"/>
      <c r="T526" s="43" t="str">
        <f t="shared" si="136"/>
        <v/>
      </c>
      <c r="U526" s="49" t="str">
        <f t="shared" si="137"/>
        <v/>
      </c>
      <c r="V526" s="48" t="str">
        <f t="shared" si="138"/>
        <v/>
      </c>
      <c r="W526" s="48" t="str">
        <f t="shared" si="129"/>
        <v/>
      </c>
      <c r="X526" s="50" t="str">
        <f>IF(W526="","",SUMIF($B$4:$B$1002,B526,$W$4:$W$1000))</f>
        <v/>
      </c>
      <c r="Y526" s="43" t="str">
        <f t="shared" si="130"/>
        <v/>
      </c>
      <c r="Z526" s="49" t="str">
        <f t="shared" si="131"/>
        <v/>
      </c>
      <c r="AA526" s="48" t="str">
        <f t="shared" si="132"/>
        <v/>
      </c>
      <c r="AB526" s="49" t="str">
        <f t="shared" si="133"/>
        <v/>
      </c>
      <c r="AC526" s="50" t="str">
        <f>IF(AB526="","",SUMIF($B$4:$B$1002,B526,$AB$4:$AB$1000))</f>
        <v/>
      </c>
      <c r="AD526" s="69"/>
      <c r="AE526" s="56"/>
      <c r="AF526" s="52"/>
      <c r="AG526" s="51"/>
      <c r="AH526" s="70"/>
      <c r="AI526" s="58"/>
      <c r="AJ526" s="55"/>
      <c r="AK526" s="51"/>
      <c r="AL526" s="69"/>
      <c r="AM526" s="56"/>
      <c r="AN526" s="52"/>
      <c r="AO526" s="51"/>
      <c r="AP526" s="70"/>
      <c r="AQ526" s="58"/>
      <c r="AR526" s="55"/>
      <c r="AS526" s="51"/>
      <c r="AT526" s="69"/>
      <c r="AU526" s="56"/>
      <c r="AV526" s="52"/>
      <c r="AW526" s="51"/>
      <c r="BR526" s="34" t="str">
        <f>IF(E526="","",CONCATENATE(E526," ",F526," noches"))</f>
        <v/>
      </c>
      <c r="BS526" s="28" t="str">
        <f t="shared" ca="1" si="134"/>
        <v/>
      </c>
      <c r="BT526" s="28" t="str">
        <f t="shared" ca="1" si="135"/>
        <v/>
      </c>
    </row>
    <row r="527" spans="1:72" x14ac:dyDescent="0.2">
      <c r="A527" s="18" t="str" cm="1">
        <f t="array" aca="1" ref="A527" ca="1">IF(B527="","","Grupo N˚"&amp;SUMPRODUCT(($B$4:B527&lt;&gt;"")*($B$4:B527&lt;&gt;OFFSET($B$4,-1,0,ROWS($B$4:B527),1))))</f>
        <v/>
      </c>
      <c r="B527" s="31"/>
      <c r="C527" s="31"/>
      <c r="D527" s="31"/>
      <c r="E527" s="31"/>
      <c r="F527" s="32"/>
      <c r="G527" s="33"/>
      <c r="H527" s="33"/>
      <c r="I527" s="20" t="str">
        <f t="shared" si="124"/>
        <v/>
      </c>
      <c r="J527" s="21" t="str">
        <f>IFERROR(VLOOKUP(BR527,Pricing!$D$3:$E$58,2,FALSE),"")</f>
        <v/>
      </c>
      <c r="K527" s="32"/>
      <c r="L527" s="32"/>
      <c r="M527" s="32"/>
      <c r="N527" s="36" t="str" cm="1">
        <f t="array" ref="N527">IFERROR(_xlfn.IFS((AND(K527="SI",M527="$")),J527*0.2,AND(K527="SI",M527="%"),20),"")</f>
        <v/>
      </c>
      <c r="O527" s="29" t="str">
        <f t="shared" si="125"/>
        <v/>
      </c>
      <c r="P527" s="21" t="str">
        <f t="shared" si="126"/>
        <v/>
      </c>
      <c r="Q527" s="21" t="str">
        <f t="shared" si="127"/>
        <v/>
      </c>
      <c r="R527" s="21" t="str">
        <f t="shared" si="128"/>
        <v/>
      </c>
      <c r="S527" s="39"/>
      <c r="T527" s="43" t="str">
        <f t="shared" si="136"/>
        <v/>
      </c>
      <c r="U527" s="49" t="str">
        <f t="shared" si="137"/>
        <v/>
      </c>
      <c r="V527" s="48" t="str">
        <f t="shared" si="138"/>
        <v/>
      </c>
      <c r="W527" s="48" t="str">
        <f t="shared" si="129"/>
        <v/>
      </c>
      <c r="X527" s="50" t="str">
        <f>IF(W527="","",SUMIF($B$4:$B$1002,B527,$W$4:$W$1000))</f>
        <v/>
      </c>
      <c r="Y527" s="43" t="str">
        <f t="shared" si="130"/>
        <v/>
      </c>
      <c r="Z527" s="49" t="str">
        <f t="shared" si="131"/>
        <v/>
      </c>
      <c r="AA527" s="48" t="str">
        <f t="shared" si="132"/>
        <v/>
      </c>
      <c r="AB527" s="49" t="str">
        <f t="shared" si="133"/>
        <v/>
      </c>
      <c r="AC527" s="50" t="str">
        <f>IF(AB527="","",SUMIF($B$4:$B$1002,B527,$AB$4:$AB$1000))</f>
        <v/>
      </c>
      <c r="AD527" s="69"/>
      <c r="AE527" s="56"/>
      <c r="AF527" s="52"/>
      <c r="AG527" s="51"/>
      <c r="AH527" s="70"/>
      <c r="AI527" s="58"/>
      <c r="AJ527" s="55"/>
      <c r="AK527" s="51"/>
      <c r="AL527" s="69"/>
      <c r="AM527" s="56"/>
      <c r="AN527" s="52"/>
      <c r="AO527" s="51"/>
      <c r="AP527" s="70"/>
      <c r="AQ527" s="58"/>
      <c r="AR527" s="55"/>
      <c r="AS527" s="51"/>
      <c r="AT527" s="69"/>
      <c r="AU527" s="56"/>
      <c r="AV527" s="52"/>
      <c r="AW527" s="51"/>
      <c r="BR527" s="34" t="str">
        <f>IF(E527="","",CONCATENATE(E527," ",F527," noches"))</f>
        <v/>
      </c>
      <c r="BS527" s="28" t="str">
        <f t="shared" ca="1" si="134"/>
        <v/>
      </c>
      <c r="BT527" s="28" t="str">
        <f t="shared" ca="1" si="135"/>
        <v/>
      </c>
    </row>
    <row r="528" spans="1:72" x14ac:dyDescent="0.2">
      <c r="A528" s="18" t="str" cm="1">
        <f t="array" aca="1" ref="A528" ca="1">IF(B528="","","Grupo N˚"&amp;SUMPRODUCT(($B$4:B528&lt;&gt;"")*($B$4:B528&lt;&gt;OFFSET($B$4,-1,0,ROWS($B$4:B528),1))))</f>
        <v/>
      </c>
      <c r="B528" s="31"/>
      <c r="C528" s="31"/>
      <c r="D528" s="31"/>
      <c r="E528" s="31"/>
      <c r="F528" s="32"/>
      <c r="G528" s="33"/>
      <c r="H528" s="33"/>
      <c r="I528" s="20" t="str">
        <f t="shared" si="124"/>
        <v/>
      </c>
      <c r="J528" s="21" t="str">
        <f>IFERROR(VLOOKUP(BR528,Pricing!$D$3:$E$58,2,FALSE),"")</f>
        <v/>
      </c>
      <c r="K528" s="32"/>
      <c r="L528" s="32"/>
      <c r="M528" s="32"/>
      <c r="N528" s="36" t="str" cm="1">
        <f t="array" ref="N528">IFERROR(_xlfn.IFS((AND(K528="SI",M528="$")),J528*0.2,AND(K528="SI",M528="%"),20),"")</f>
        <v/>
      </c>
      <c r="O528" s="29" t="str">
        <f t="shared" si="125"/>
        <v/>
      </c>
      <c r="P528" s="21" t="str">
        <f t="shared" si="126"/>
        <v/>
      </c>
      <c r="Q528" s="21" t="str">
        <f t="shared" si="127"/>
        <v/>
      </c>
      <c r="R528" s="21" t="str">
        <f t="shared" si="128"/>
        <v/>
      </c>
      <c r="S528" s="39"/>
      <c r="T528" s="43" t="str">
        <f t="shared" si="136"/>
        <v/>
      </c>
      <c r="U528" s="49" t="str">
        <f t="shared" si="137"/>
        <v/>
      </c>
      <c r="V528" s="48" t="str">
        <f t="shared" si="138"/>
        <v/>
      </c>
      <c r="W528" s="48" t="str">
        <f t="shared" si="129"/>
        <v/>
      </c>
      <c r="X528" s="50" t="str">
        <f>IF(W528="","",SUMIF($B$4:$B$1002,B528,$W$4:$W$1000))</f>
        <v/>
      </c>
      <c r="Y528" s="43" t="str">
        <f t="shared" si="130"/>
        <v/>
      </c>
      <c r="Z528" s="49" t="str">
        <f t="shared" si="131"/>
        <v/>
      </c>
      <c r="AA528" s="48" t="str">
        <f t="shared" si="132"/>
        <v/>
      </c>
      <c r="AB528" s="49" t="str">
        <f t="shared" si="133"/>
        <v/>
      </c>
      <c r="AC528" s="50" t="str">
        <f>IF(AB528="","",SUMIF($B$4:$B$1002,B528,$AB$4:$AB$1000))</f>
        <v/>
      </c>
      <c r="AD528" s="69"/>
      <c r="AE528" s="56"/>
      <c r="AF528" s="52"/>
      <c r="AG528" s="51"/>
      <c r="AH528" s="70"/>
      <c r="AI528" s="58"/>
      <c r="AJ528" s="55"/>
      <c r="AK528" s="51"/>
      <c r="AL528" s="69"/>
      <c r="AM528" s="56"/>
      <c r="AN528" s="52"/>
      <c r="AO528" s="51"/>
      <c r="AP528" s="70"/>
      <c r="AQ528" s="58"/>
      <c r="AR528" s="55"/>
      <c r="AS528" s="51"/>
      <c r="AT528" s="69"/>
      <c r="AU528" s="56"/>
      <c r="AV528" s="52"/>
      <c r="AW528" s="51"/>
      <c r="BR528" s="34" t="str">
        <f>IF(E528="","",CONCATENATE(E528," ",F528," noches"))</f>
        <v/>
      </c>
      <c r="BS528" s="28" t="str">
        <f t="shared" ca="1" si="134"/>
        <v/>
      </c>
      <c r="BT528" s="28" t="str">
        <f t="shared" ca="1" si="135"/>
        <v/>
      </c>
    </row>
    <row r="529" spans="1:72" x14ac:dyDescent="0.2">
      <c r="A529" s="18" t="str" cm="1">
        <f t="array" aca="1" ref="A529" ca="1">IF(B529="","","Grupo N˚"&amp;SUMPRODUCT(($B$4:B529&lt;&gt;"")*($B$4:B529&lt;&gt;OFFSET($B$4,-1,0,ROWS($B$4:B529),1))))</f>
        <v/>
      </c>
      <c r="B529" s="31"/>
      <c r="C529" s="31"/>
      <c r="D529" s="31"/>
      <c r="E529" s="31"/>
      <c r="F529" s="32"/>
      <c r="G529" s="33"/>
      <c r="H529" s="33"/>
      <c r="I529" s="20" t="str">
        <f t="shared" si="124"/>
        <v/>
      </c>
      <c r="J529" s="21" t="str">
        <f>IFERROR(VLOOKUP(BR529,Pricing!$D$3:$E$58,2,FALSE),"")</f>
        <v/>
      </c>
      <c r="K529" s="32"/>
      <c r="L529" s="32"/>
      <c r="M529" s="32"/>
      <c r="N529" s="36" t="str" cm="1">
        <f t="array" ref="N529">IFERROR(_xlfn.IFS((AND(K529="SI",M529="$")),J529*0.2,AND(K529="SI",M529="%"),20),"")</f>
        <v/>
      </c>
      <c r="O529" s="29" t="str">
        <f t="shared" si="125"/>
        <v/>
      </c>
      <c r="P529" s="21" t="str">
        <f t="shared" si="126"/>
        <v/>
      </c>
      <c r="Q529" s="21" t="str">
        <f t="shared" si="127"/>
        <v/>
      </c>
      <c r="R529" s="21" t="str">
        <f t="shared" si="128"/>
        <v/>
      </c>
      <c r="S529" s="39"/>
      <c r="T529" s="43" t="str">
        <f t="shared" si="136"/>
        <v/>
      </c>
      <c r="U529" s="49" t="str">
        <f t="shared" si="137"/>
        <v/>
      </c>
      <c r="V529" s="48" t="str">
        <f t="shared" si="138"/>
        <v/>
      </c>
      <c r="W529" s="48" t="str">
        <f t="shared" si="129"/>
        <v/>
      </c>
      <c r="X529" s="50" t="str">
        <f>IF(W529="","",SUMIF($B$4:$B$1002,B529,$W$4:$W$1000))</f>
        <v/>
      </c>
      <c r="Y529" s="43" t="str">
        <f t="shared" si="130"/>
        <v/>
      </c>
      <c r="Z529" s="49" t="str">
        <f t="shared" si="131"/>
        <v/>
      </c>
      <c r="AA529" s="48" t="str">
        <f t="shared" si="132"/>
        <v/>
      </c>
      <c r="AB529" s="49" t="str">
        <f t="shared" si="133"/>
        <v/>
      </c>
      <c r="AC529" s="50" t="str">
        <f>IF(AB529="","",SUMIF($B$4:$B$1002,B529,$AB$4:$AB$1000))</f>
        <v/>
      </c>
      <c r="AD529" s="69"/>
      <c r="AE529" s="56"/>
      <c r="AF529" s="52"/>
      <c r="AG529" s="51"/>
      <c r="AH529" s="70"/>
      <c r="AI529" s="58"/>
      <c r="AJ529" s="55"/>
      <c r="AK529" s="51"/>
      <c r="AL529" s="69"/>
      <c r="AM529" s="56"/>
      <c r="AN529" s="52"/>
      <c r="AO529" s="51"/>
      <c r="AP529" s="70"/>
      <c r="AQ529" s="58"/>
      <c r="AR529" s="55"/>
      <c r="AS529" s="51"/>
      <c r="AT529" s="69"/>
      <c r="AU529" s="56"/>
      <c r="AV529" s="52"/>
      <c r="AW529" s="51"/>
      <c r="BR529" s="34" t="str">
        <f>IF(E529="","",CONCATENATE(E529," ",F529," noches"))</f>
        <v/>
      </c>
      <c r="BS529" s="28" t="str">
        <f t="shared" ca="1" si="134"/>
        <v/>
      </c>
      <c r="BT529" s="28" t="str">
        <f t="shared" ca="1" si="135"/>
        <v/>
      </c>
    </row>
    <row r="530" spans="1:72" x14ac:dyDescent="0.2">
      <c r="A530" s="18" t="str" cm="1">
        <f t="array" aca="1" ref="A530" ca="1">IF(B530="","","Grupo N˚"&amp;SUMPRODUCT(($B$4:B530&lt;&gt;"")*($B$4:B530&lt;&gt;OFFSET($B$4,-1,0,ROWS($B$4:B530),1))))</f>
        <v/>
      </c>
      <c r="B530" s="31"/>
      <c r="C530" s="31"/>
      <c r="D530" s="31"/>
      <c r="E530" s="31"/>
      <c r="F530" s="32"/>
      <c r="G530" s="33"/>
      <c r="H530" s="33"/>
      <c r="I530" s="20" t="str">
        <f t="shared" si="124"/>
        <v/>
      </c>
      <c r="J530" s="21" t="str">
        <f>IFERROR(VLOOKUP(BR530,Pricing!$D$3:$E$58,2,FALSE),"")</f>
        <v/>
      </c>
      <c r="K530" s="32"/>
      <c r="L530" s="32"/>
      <c r="M530" s="32"/>
      <c r="N530" s="36" t="str" cm="1">
        <f t="array" ref="N530">IFERROR(_xlfn.IFS((AND(K530="SI",M530="$")),J530*0.2,AND(K530="SI",M530="%"),20),"")</f>
        <v/>
      </c>
      <c r="O530" s="29" t="str">
        <f t="shared" si="125"/>
        <v/>
      </c>
      <c r="P530" s="21" t="str">
        <f t="shared" si="126"/>
        <v/>
      </c>
      <c r="Q530" s="21" t="str">
        <f t="shared" si="127"/>
        <v/>
      </c>
      <c r="R530" s="21" t="str">
        <f t="shared" si="128"/>
        <v/>
      </c>
      <c r="S530" s="39"/>
      <c r="T530" s="43" t="str">
        <f t="shared" si="136"/>
        <v/>
      </c>
      <c r="U530" s="49" t="str">
        <f t="shared" si="137"/>
        <v/>
      </c>
      <c r="V530" s="48" t="str">
        <f t="shared" si="138"/>
        <v/>
      </c>
      <c r="W530" s="48" t="str">
        <f t="shared" si="129"/>
        <v/>
      </c>
      <c r="X530" s="50" t="str">
        <f>IF(W530="","",SUMIF($B$4:$B$1002,B530,$W$4:$W$1000))</f>
        <v/>
      </c>
      <c r="Y530" s="43" t="str">
        <f t="shared" si="130"/>
        <v/>
      </c>
      <c r="Z530" s="49" t="str">
        <f t="shared" si="131"/>
        <v/>
      </c>
      <c r="AA530" s="48" t="str">
        <f t="shared" si="132"/>
        <v/>
      </c>
      <c r="AB530" s="49" t="str">
        <f t="shared" si="133"/>
        <v/>
      </c>
      <c r="AC530" s="50" t="str">
        <f>IF(AB530="","",SUMIF($B$4:$B$1002,B530,$AB$4:$AB$1000))</f>
        <v/>
      </c>
      <c r="AD530" s="69"/>
      <c r="AE530" s="56"/>
      <c r="AF530" s="52"/>
      <c r="AG530" s="51"/>
      <c r="AH530" s="70"/>
      <c r="AI530" s="58"/>
      <c r="AJ530" s="55"/>
      <c r="AK530" s="51"/>
      <c r="AL530" s="69"/>
      <c r="AM530" s="56"/>
      <c r="AN530" s="52"/>
      <c r="AO530" s="51"/>
      <c r="AP530" s="70"/>
      <c r="AQ530" s="58"/>
      <c r="AR530" s="55"/>
      <c r="AS530" s="51"/>
      <c r="AT530" s="69"/>
      <c r="AU530" s="56"/>
      <c r="AV530" s="52"/>
      <c r="AW530" s="51"/>
      <c r="BR530" s="34" t="str">
        <f>IF(E530="","",CONCATENATE(E530," ",F530," noches"))</f>
        <v/>
      </c>
      <c r="BS530" s="28" t="str">
        <f t="shared" ca="1" si="134"/>
        <v/>
      </c>
      <c r="BT530" s="28" t="str">
        <f t="shared" ca="1" si="135"/>
        <v/>
      </c>
    </row>
    <row r="531" spans="1:72" x14ac:dyDescent="0.2">
      <c r="A531" s="18" t="str" cm="1">
        <f t="array" aca="1" ref="A531" ca="1">IF(B531="","","Grupo N˚"&amp;SUMPRODUCT(($B$4:B531&lt;&gt;"")*($B$4:B531&lt;&gt;OFFSET($B$4,-1,0,ROWS($B$4:B531),1))))</f>
        <v/>
      </c>
      <c r="B531" s="31"/>
      <c r="C531" s="31"/>
      <c r="D531" s="31"/>
      <c r="E531" s="31"/>
      <c r="F531" s="32"/>
      <c r="G531" s="33"/>
      <c r="H531" s="33"/>
      <c r="I531" s="20" t="str">
        <f t="shared" si="124"/>
        <v/>
      </c>
      <c r="J531" s="21" t="str">
        <f>IFERROR(VLOOKUP(BR531,Pricing!$D$3:$E$58,2,FALSE),"")</f>
        <v/>
      </c>
      <c r="K531" s="32"/>
      <c r="L531" s="32"/>
      <c r="M531" s="32"/>
      <c r="N531" s="36" t="str" cm="1">
        <f t="array" ref="N531">IFERROR(_xlfn.IFS((AND(K531="SI",M531="$")),J531*0.2,AND(K531="SI",M531="%"),20),"")</f>
        <v/>
      </c>
      <c r="O531" s="29" t="str">
        <f t="shared" si="125"/>
        <v/>
      </c>
      <c r="P531" s="21" t="str">
        <f t="shared" si="126"/>
        <v/>
      </c>
      <c r="Q531" s="21" t="str">
        <f t="shared" si="127"/>
        <v/>
      </c>
      <c r="R531" s="21" t="str">
        <f t="shared" si="128"/>
        <v/>
      </c>
      <c r="S531" s="39"/>
      <c r="T531" s="43" t="str">
        <f t="shared" si="136"/>
        <v/>
      </c>
      <c r="U531" s="49" t="str">
        <f t="shared" si="137"/>
        <v/>
      </c>
      <c r="V531" s="48" t="str">
        <f t="shared" si="138"/>
        <v/>
      </c>
      <c r="W531" s="48" t="str">
        <f t="shared" si="129"/>
        <v/>
      </c>
      <c r="X531" s="50" t="str">
        <f>IF(W531="","",SUMIF($B$4:$B$1002,B531,$W$4:$W$1000))</f>
        <v/>
      </c>
      <c r="Y531" s="43" t="str">
        <f t="shared" si="130"/>
        <v/>
      </c>
      <c r="Z531" s="49" t="str">
        <f t="shared" si="131"/>
        <v/>
      </c>
      <c r="AA531" s="48" t="str">
        <f t="shared" si="132"/>
        <v/>
      </c>
      <c r="AB531" s="49" t="str">
        <f t="shared" si="133"/>
        <v/>
      </c>
      <c r="AC531" s="50" t="str">
        <f>IF(AB531="","",SUMIF($B$4:$B$1002,B531,$AB$4:$AB$1000))</f>
        <v/>
      </c>
      <c r="AD531" s="69"/>
      <c r="AE531" s="56"/>
      <c r="AF531" s="52"/>
      <c r="AG531" s="51"/>
      <c r="AH531" s="70"/>
      <c r="AI531" s="58"/>
      <c r="AJ531" s="55"/>
      <c r="AK531" s="51"/>
      <c r="AL531" s="69"/>
      <c r="AM531" s="56"/>
      <c r="AN531" s="52"/>
      <c r="AO531" s="51"/>
      <c r="AP531" s="70"/>
      <c r="AQ531" s="58"/>
      <c r="AR531" s="55"/>
      <c r="AS531" s="51"/>
      <c r="AT531" s="69"/>
      <c r="AU531" s="56"/>
      <c r="AV531" s="52"/>
      <c r="AW531" s="51"/>
      <c r="BR531" s="34" t="str">
        <f>IF(E531="","",CONCATENATE(E531," ",F531," noches"))</f>
        <v/>
      </c>
      <c r="BS531" s="28" t="str">
        <f t="shared" ca="1" si="134"/>
        <v/>
      </c>
      <c r="BT531" s="28" t="str">
        <f t="shared" ca="1" si="135"/>
        <v/>
      </c>
    </row>
    <row r="532" spans="1:72" x14ac:dyDescent="0.2">
      <c r="A532" s="18" t="str" cm="1">
        <f t="array" aca="1" ref="A532" ca="1">IF(B532="","","Grupo N˚"&amp;SUMPRODUCT(($B$4:B532&lt;&gt;"")*($B$4:B532&lt;&gt;OFFSET($B$4,-1,0,ROWS($B$4:B532),1))))</f>
        <v/>
      </c>
      <c r="B532" s="31"/>
      <c r="C532" s="31"/>
      <c r="D532" s="31"/>
      <c r="E532" s="31"/>
      <c r="F532" s="32"/>
      <c r="G532" s="33"/>
      <c r="H532" s="33"/>
      <c r="I532" s="20" t="str">
        <f t="shared" si="124"/>
        <v/>
      </c>
      <c r="J532" s="21" t="str">
        <f>IFERROR(VLOOKUP(BR532,Pricing!$D$3:$E$58,2,FALSE),"")</f>
        <v/>
      </c>
      <c r="K532" s="32"/>
      <c r="L532" s="32"/>
      <c r="M532" s="32"/>
      <c r="N532" s="36" t="str" cm="1">
        <f t="array" ref="N532">IFERROR(_xlfn.IFS((AND(K532="SI",M532="$")),J532*0.2,AND(K532="SI",M532="%"),20),"")</f>
        <v/>
      </c>
      <c r="O532" s="29" t="str">
        <f t="shared" si="125"/>
        <v/>
      </c>
      <c r="P532" s="21" t="str">
        <f t="shared" si="126"/>
        <v/>
      </c>
      <c r="Q532" s="21" t="str">
        <f t="shared" si="127"/>
        <v/>
      </c>
      <c r="R532" s="21" t="str">
        <f t="shared" si="128"/>
        <v/>
      </c>
      <c r="S532" s="39"/>
      <c r="T532" s="43" t="str">
        <f t="shared" si="136"/>
        <v/>
      </c>
      <c r="U532" s="49" t="str">
        <f t="shared" si="137"/>
        <v/>
      </c>
      <c r="V532" s="48" t="str">
        <f t="shared" si="138"/>
        <v/>
      </c>
      <c r="W532" s="48" t="str">
        <f t="shared" si="129"/>
        <v/>
      </c>
      <c r="X532" s="50" t="str">
        <f>IF(W532="","",SUMIF($B$4:$B$1002,B532,$W$4:$W$1000))</f>
        <v/>
      </c>
      <c r="Y532" s="43" t="str">
        <f t="shared" si="130"/>
        <v/>
      </c>
      <c r="Z532" s="49" t="str">
        <f t="shared" si="131"/>
        <v/>
      </c>
      <c r="AA532" s="48" t="str">
        <f t="shared" si="132"/>
        <v/>
      </c>
      <c r="AB532" s="49" t="str">
        <f t="shared" si="133"/>
        <v/>
      </c>
      <c r="AC532" s="50" t="str">
        <f>IF(AB532="","",SUMIF($B$4:$B$1002,B532,$AB$4:$AB$1000))</f>
        <v/>
      </c>
      <c r="AD532" s="69"/>
      <c r="AE532" s="56"/>
      <c r="AF532" s="52"/>
      <c r="AG532" s="51"/>
      <c r="AH532" s="70"/>
      <c r="AI532" s="58"/>
      <c r="AJ532" s="55"/>
      <c r="AK532" s="51"/>
      <c r="AL532" s="69"/>
      <c r="AM532" s="56"/>
      <c r="AN532" s="52"/>
      <c r="AO532" s="51"/>
      <c r="AP532" s="70"/>
      <c r="AQ532" s="58"/>
      <c r="AR532" s="55"/>
      <c r="AS532" s="51"/>
      <c r="AT532" s="69"/>
      <c r="AU532" s="56"/>
      <c r="AV532" s="52"/>
      <c r="AW532" s="51"/>
      <c r="BR532" s="34" t="str">
        <f>IF(E532="","",CONCATENATE(E532," ",F532," noches"))</f>
        <v/>
      </c>
      <c r="BS532" s="28" t="str">
        <f t="shared" ca="1" si="134"/>
        <v/>
      </c>
      <c r="BT532" s="28" t="str">
        <f t="shared" ca="1" si="135"/>
        <v/>
      </c>
    </row>
    <row r="533" spans="1:72" x14ac:dyDescent="0.2">
      <c r="A533" s="18" t="str" cm="1">
        <f t="array" aca="1" ref="A533" ca="1">IF(B533="","","Grupo N˚"&amp;SUMPRODUCT(($B$4:B533&lt;&gt;"")*($B$4:B533&lt;&gt;OFFSET($B$4,-1,0,ROWS($B$4:B533),1))))</f>
        <v/>
      </c>
      <c r="B533" s="31"/>
      <c r="C533" s="31"/>
      <c r="D533" s="31"/>
      <c r="E533" s="31"/>
      <c r="F533" s="32"/>
      <c r="G533" s="33"/>
      <c r="H533" s="33"/>
      <c r="I533" s="20" t="str">
        <f t="shared" si="124"/>
        <v/>
      </c>
      <c r="J533" s="21" t="str">
        <f>IFERROR(VLOOKUP(BR533,Pricing!$D$3:$E$58,2,FALSE),"")</f>
        <v/>
      </c>
      <c r="K533" s="32"/>
      <c r="L533" s="32"/>
      <c r="M533" s="32"/>
      <c r="N533" s="36" t="str" cm="1">
        <f t="array" ref="N533">IFERROR(_xlfn.IFS((AND(K533="SI",M533="$")),J533*0.2,AND(K533="SI",M533="%"),20),"")</f>
        <v/>
      </c>
      <c r="O533" s="29" t="str">
        <f t="shared" si="125"/>
        <v/>
      </c>
      <c r="P533" s="21" t="str">
        <f t="shared" si="126"/>
        <v/>
      </c>
      <c r="Q533" s="21" t="str">
        <f t="shared" si="127"/>
        <v/>
      </c>
      <c r="R533" s="21" t="str">
        <f t="shared" si="128"/>
        <v/>
      </c>
      <c r="S533" s="39"/>
      <c r="T533" s="43" t="str">
        <f t="shared" si="136"/>
        <v/>
      </c>
      <c r="U533" s="49" t="str">
        <f t="shared" si="137"/>
        <v/>
      </c>
      <c r="V533" s="48" t="str">
        <f t="shared" si="138"/>
        <v/>
      </c>
      <c r="W533" s="48" t="str">
        <f t="shared" si="129"/>
        <v/>
      </c>
      <c r="X533" s="50" t="str">
        <f>IF(W533="","",SUMIF($B$4:$B$1002,B533,$W$4:$W$1000))</f>
        <v/>
      </c>
      <c r="Y533" s="43" t="str">
        <f t="shared" si="130"/>
        <v/>
      </c>
      <c r="Z533" s="49" t="str">
        <f t="shared" si="131"/>
        <v/>
      </c>
      <c r="AA533" s="48" t="str">
        <f t="shared" si="132"/>
        <v/>
      </c>
      <c r="AB533" s="49" t="str">
        <f t="shared" si="133"/>
        <v/>
      </c>
      <c r="AC533" s="50" t="str">
        <f>IF(AB533="","",SUMIF($B$4:$B$1002,B533,$AB$4:$AB$1000))</f>
        <v/>
      </c>
      <c r="AD533" s="69"/>
      <c r="AE533" s="56"/>
      <c r="AF533" s="52"/>
      <c r="AG533" s="51"/>
      <c r="AH533" s="70"/>
      <c r="AI533" s="58"/>
      <c r="AJ533" s="55"/>
      <c r="AK533" s="51"/>
      <c r="AL533" s="69"/>
      <c r="AM533" s="56"/>
      <c r="AN533" s="52"/>
      <c r="AO533" s="51"/>
      <c r="AP533" s="70"/>
      <c r="AQ533" s="58"/>
      <c r="AR533" s="55"/>
      <c r="AS533" s="51"/>
      <c r="AT533" s="69"/>
      <c r="AU533" s="56"/>
      <c r="AV533" s="52"/>
      <c r="AW533" s="51"/>
      <c r="BR533" s="34" t="str">
        <f>IF(E533="","",CONCATENATE(E533," ",F533," noches"))</f>
        <v/>
      </c>
      <c r="BS533" s="28" t="str">
        <f t="shared" ca="1" si="134"/>
        <v/>
      </c>
      <c r="BT533" s="28" t="str">
        <f t="shared" ca="1" si="135"/>
        <v/>
      </c>
    </row>
    <row r="534" spans="1:72" x14ac:dyDescent="0.2">
      <c r="A534" s="18" t="str" cm="1">
        <f t="array" aca="1" ref="A534" ca="1">IF(B534="","","Grupo N˚"&amp;SUMPRODUCT(($B$4:B534&lt;&gt;"")*($B$4:B534&lt;&gt;OFFSET($B$4,-1,0,ROWS($B$4:B534),1))))</f>
        <v/>
      </c>
      <c r="B534" s="31"/>
      <c r="C534" s="31"/>
      <c r="D534" s="31"/>
      <c r="E534" s="31"/>
      <c r="F534" s="32"/>
      <c r="G534" s="33"/>
      <c r="H534" s="33"/>
      <c r="I534" s="20" t="str">
        <f t="shared" si="124"/>
        <v/>
      </c>
      <c r="J534" s="21" t="str">
        <f>IFERROR(VLOOKUP(BR534,Pricing!$D$3:$E$58,2,FALSE),"")</f>
        <v/>
      </c>
      <c r="K534" s="32"/>
      <c r="L534" s="32"/>
      <c r="M534" s="32"/>
      <c r="N534" s="36" t="str" cm="1">
        <f t="array" ref="N534">IFERROR(_xlfn.IFS((AND(K534="SI",M534="$")),J534*0.2,AND(K534="SI",M534="%"),20),"")</f>
        <v/>
      </c>
      <c r="O534" s="29" t="str">
        <f t="shared" si="125"/>
        <v/>
      </c>
      <c r="P534" s="21" t="str">
        <f t="shared" si="126"/>
        <v/>
      </c>
      <c r="Q534" s="21" t="str">
        <f t="shared" si="127"/>
        <v/>
      </c>
      <c r="R534" s="21" t="str">
        <f t="shared" si="128"/>
        <v/>
      </c>
      <c r="S534" s="39"/>
      <c r="T534" s="43" t="str">
        <f t="shared" si="136"/>
        <v/>
      </c>
      <c r="U534" s="49" t="str">
        <f t="shared" si="137"/>
        <v/>
      </c>
      <c r="V534" s="48" t="str">
        <f t="shared" si="138"/>
        <v/>
      </c>
      <c r="W534" s="48" t="str">
        <f t="shared" si="129"/>
        <v/>
      </c>
      <c r="X534" s="50" t="str">
        <f>IF(W534="","",SUMIF($B$4:$B$1002,B534,$W$4:$W$1000))</f>
        <v/>
      </c>
      <c r="Y534" s="43" t="str">
        <f t="shared" si="130"/>
        <v/>
      </c>
      <c r="Z534" s="49" t="str">
        <f t="shared" si="131"/>
        <v/>
      </c>
      <c r="AA534" s="48" t="str">
        <f t="shared" si="132"/>
        <v/>
      </c>
      <c r="AB534" s="49" t="str">
        <f t="shared" si="133"/>
        <v/>
      </c>
      <c r="AC534" s="50" t="str">
        <f>IF(AB534="","",SUMIF($B$4:$B$1002,B534,$AB$4:$AB$1000))</f>
        <v/>
      </c>
      <c r="AD534" s="69"/>
      <c r="AE534" s="56"/>
      <c r="AF534" s="52"/>
      <c r="AG534" s="51"/>
      <c r="AH534" s="70"/>
      <c r="AI534" s="58"/>
      <c r="AJ534" s="55"/>
      <c r="AK534" s="51"/>
      <c r="AL534" s="69"/>
      <c r="AM534" s="56"/>
      <c r="AN534" s="52"/>
      <c r="AO534" s="51"/>
      <c r="AP534" s="70"/>
      <c r="AQ534" s="58"/>
      <c r="AR534" s="55"/>
      <c r="AS534" s="51"/>
      <c r="AT534" s="69"/>
      <c r="AU534" s="56"/>
      <c r="AV534" s="52"/>
      <c r="AW534" s="51"/>
      <c r="BR534" s="34" t="str">
        <f>IF(E534="","",CONCATENATE(E534," ",F534," noches"))</f>
        <v/>
      </c>
      <c r="BS534" s="28" t="str">
        <f t="shared" ca="1" si="134"/>
        <v/>
      </c>
      <c r="BT534" s="28" t="str">
        <f t="shared" ca="1" si="135"/>
        <v/>
      </c>
    </row>
    <row r="535" spans="1:72" x14ac:dyDescent="0.2">
      <c r="A535" s="18" t="str" cm="1">
        <f t="array" aca="1" ref="A535" ca="1">IF(B535="","","Grupo N˚"&amp;SUMPRODUCT(($B$4:B535&lt;&gt;"")*($B$4:B535&lt;&gt;OFFSET($B$4,-1,0,ROWS($B$4:B535),1))))</f>
        <v/>
      </c>
      <c r="B535" s="31"/>
      <c r="C535" s="31"/>
      <c r="D535" s="31"/>
      <c r="E535" s="31"/>
      <c r="F535" s="32"/>
      <c r="G535" s="33"/>
      <c r="H535" s="33"/>
      <c r="I535" s="20" t="str">
        <f t="shared" si="124"/>
        <v/>
      </c>
      <c r="J535" s="21" t="str">
        <f>IFERROR(VLOOKUP(BR535,Pricing!$D$3:$E$58,2,FALSE),"")</f>
        <v/>
      </c>
      <c r="K535" s="32"/>
      <c r="L535" s="32"/>
      <c r="M535" s="32"/>
      <c r="N535" s="36" t="str" cm="1">
        <f t="array" ref="N535">IFERROR(_xlfn.IFS((AND(K535="SI",M535="$")),J535*0.2,AND(K535="SI",M535="%"),20),"")</f>
        <v/>
      </c>
      <c r="O535" s="29" t="str">
        <f t="shared" si="125"/>
        <v/>
      </c>
      <c r="P535" s="21" t="str">
        <f t="shared" si="126"/>
        <v/>
      </c>
      <c r="Q535" s="21" t="str">
        <f t="shared" si="127"/>
        <v/>
      </c>
      <c r="R535" s="21" t="str">
        <f t="shared" si="128"/>
        <v/>
      </c>
      <c r="S535" s="39"/>
      <c r="T535" s="43" t="str">
        <f t="shared" si="136"/>
        <v/>
      </c>
      <c r="U535" s="49" t="str">
        <f t="shared" si="137"/>
        <v/>
      </c>
      <c r="V535" s="48" t="str">
        <f t="shared" si="138"/>
        <v/>
      </c>
      <c r="W535" s="48" t="str">
        <f t="shared" si="129"/>
        <v/>
      </c>
      <c r="X535" s="50" t="str">
        <f>IF(W535="","",SUMIF($B$4:$B$1002,B535,$W$4:$W$1000))</f>
        <v/>
      </c>
      <c r="Y535" s="43" t="str">
        <f t="shared" si="130"/>
        <v/>
      </c>
      <c r="Z535" s="49" t="str">
        <f t="shared" si="131"/>
        <v/>
      </c>
      <c r="AA535" s="48" t="str">
        <f t="shared" si="132"/>
        <v/>
      </c>
      <c r="AB535" s="49" t="str">
        <f t="shared" si="133"/>
        <v/>
      </c>
      <c r="AC535" s="50" t="str">
        <f>IF(AB535="","",SUMIF($B$4:$B$1002,B535,$AB$4:$AB$1000))</f>
        <v/>
      </c>
      <c r="AD535" s="69"/>
      <c r="AE535" s="56"/>
      <c r="AF535" s="52"/>
      <c r="AG535" s="51"/>
      <c r="AH535" s="70"/>
      <c r="AI535" s="58"/>
      <c r="AJ535" s="55"/>
      <c r="AK535" s="51"/>
      <c r="AL535" s="69"/>
      <c r="AM535" s="56"/>
      <c r="AN535" s="52"/>
      <c r="AO535" s="51"/>
      <c r="AP535" s="70"/>
      <c r="AQ535" s="58"/>
      <c r="AR535" s="55"/>
      <c r="AS535" s="51"/>
      <c r="AT535" s="69"/>
      <c r="AU535" s="56"/>
      <c r="AV535" s="52"/>
      <c r="AW535" s="51"/>
      <c r="BR535" s="34" t="str">
        <f>IF(E535="","",CONCATENATE(E535," ",F535," noches"))</f>
        <v/>
      </c>
      <c r="BS535" s="28" t="str">
        <f t="shared" ca="1" si="134"/>
        <v/>
      </c>
      <c r="BT535" s="28" t="str">
        <f t="shared" ca="1" si="135"/>
        <v/>
      </c>
    </row>
    <row r="536" spans="1:72" x14ac:dyDescent="0.2">
      <c r="A536" s="18" t="str" cm="1">
        <f t="array" aca="1" ref="A536" ca="1">IF(B536="","","Grupo N˚"&amp;SUMPRODUCT(($B$4:B536&lt;&gt;"")*($B$4:B536&lt;&gt;OFFSET($B$4,-1,0,ROWS($B$4:B536),1))))</f>
        <v/>
      </c>
      <c r="B536" s="31"/>
      <c r="C536" s="31"/>
      <c r="D536" s="31"/>
      <c r="E536" s="31"/>
      <c r="F536" s="32"/>
      <c r="G536" s="33"/>
      <c r="H536" s="33"/>
      <c r="I536" s="20" t="str">
        <f t="shared" si="124"/>
        <v/>
      </c>
      <c r="J536" s="21" t="str">
        <f>IFERROR(VLOOKUP(BR536,Pricing!$D$3:$E$58,2,FALSE),"")</f>
        <v/>
      </c>
      <c r="K536" s="32"/>
      <c r="L536" s="32"/>
      <c r="M536" s="32"/>
      <c r="N536" s="36" t="str" cm="1">
        <f t="array" ref="N536">IFERROR(_xlfn.IFS((AND(K536="SI",M536="$")),J536*0.2,AND(K536="SI",M536="%"),20),"")</f>
        <v/>
      </c>
      <c r="O536" s="29" t="str">
        <f t="shared" si="125"/>
        <v/>
      </c>
      <c r="P536" s="21" t="str">
        <f t="shared" si="126"/>
        <v/>
      </c>
      <c r="Q536" s="21" t="str">
        <f t="shared" si="127"/>
        <v/>
      </c>
      <c r="R536" s="21" t="str">
        <f t="shared" si="128"/>
        <v/>
      </c>
      <c r="S536" s="39"/>
      <c r="T536" s="43" t="str">
        <f t="shared" si="136"/>
        <v/>
      </c>
      <c r="U536" s="49" t="str">
        <f t="shared" si="137"/>
        <v/>
      </c>
      <c r="V536" s="48" t="str">
        <f t="shared" si="138"/>
        <v/>
      </c>
      <c r="W536" s="48" t="str">
        <f t="shared" si="129"/>
        <v/>
      </c>
      <c r="X536" s="50" t="str">
        <f>IF(W536="","",SUMIF($B$4:$B$1002,B536,$W$4:$W$1000))</f>
        <v/>
      </c>
      <c r="Y536" s="43" t="str">
        <f t="shared" si="130"/>
        <v/>
      </c>
      <c r="Z536" s="49" t="str">
        <f t="shared" si="131"/>
        <v/>
      </c>
      <c r="AA536" s="48" t="str">
        <f t="shared" si="132"/>
        <v/>
      </c>
      <c r="AB536" s="49" t="str">
        <f t="shared" si="133"/>
        <v/>
      </c>
      <c r="AC536" s="50" t="str">
        <f>IF(AB536="","",SUMIF($B$4:$B$1002,B536,$AB$4:$AB$1000))</f>
        <v/>
      </c>
      <c r="AD536" s="69"/>
      <c r="AE536" s="56"/>
      <c r="AF536" s="52"/>
      <c r="AG536" s="51"/>
      <c r="AH536" s="70"/>
      <c r="AI536" s="58"/>
      <c r="AJ536" s="55"/>
      <c r="AK536" s="51"/>
      <c r="AL536" s="69"/>
      <c r="AM536" s="56"/>
      <c r="AN536" s="52"/>
      <c r="AO536" s="51"/>
      <c r="AP536" s="70"/>
      <c r="AQ536" s="58"/>
      <c r="AR536" s="55"/>
      <c r="AS536" s="51"/>
      <c r="AT536" s="69"/>
      <c r="AU536" s="56"/>
      <c r="AV536" s="52"/>
      <c r="AW536" s="51"/>
      <c r="BR536" s="34" t="str">
        <f>IF(E536="","",CONCATENATE(E536," ",F536," noches"))</f>
        <v/>
      </c>
      <c r="BS536" s="28" t="str">
        <f t="shared" ca="1" si="134"/>
        <v/>
      </c>
      <c r="BT536" s="28" t="str">
        <f t="shared" ca="1" si="135"/>
        <v/>
      </c>
    </row>
    <row r="537" spans="1:72" x14ac:dyDescent="0.2">
      <c r="A537" s="18" t="str" cm="1">
        <f t="array" aca="1" ref="A537" ca="1">IF(B537="","","Grupo N˚"&amp;SUMPRODUCT(($B$4:B537&lt;&gt;"")*($B$4:B537&lt;&gt;OFFSET($B$4,-1,0,ROWS($B$4:B537),1))))</f>
        <v/>
      </c>
      <c r="B537" s="31"/>
      <c r="C537" s="31"/>
      <c r="D537" s="31"/>
      <c r="E537" s="31"/>
      <c r="F537" s="32"/>
      <c r="G537" s="33"/>
      <c r="H537" s="33"/>
      <c r="I537" s="20" t="str">
        <f t="shared" si="124"/>
        <v/>
      </c>
      <c r="J537" s="21" t="str">
        <f>IFERROR(VLOOKUP(BR537,Pricing!$D$3:$E$58,2,FALSE),"")</f>
        <v/>
      </c>
      <c r="K537" s="32"/>
      <c r="L537" s="32"/>
      <c r="M537" s="32"/>
      <c r="N537" s="36" t="str" cm="1">
        <f t="array" ref="N537">IFERROR(_xlfn.IFS((AND(K537="SI",M537="$")),J537*0.2,AND(K537="SI",M537="%"),20),"")</f>
        <v/>
      </c>
      <c r="O537" s="29" t="str">
        <f t="shared" si="125"/>
        <v/>
      </c>
      <c r="P537" s="21" t="str">
        <f t="shared" si="126"/>
        <v/>
      </c>
      <c r="Q537" s="21" t="str">
        <f t="shared" si="127"/>
        <v/>
      </c>
      <c r="R537" s="21" t="str">
        <f t="shared" si="128"/>
        <v/>
      </c>
      <c r="S537" s="39"/>
      <c r="T537" s="43" t="str">
        <f t="shared" si="136"/>
        <v/>
      </c>
      <c r="U537" s="49" t="str">
        <f t="shared" si="137"/>
        <v/>
      </c>
      <c r="V537" s="48" t="str">
        <f t="shared" si="138"/>
        <v/>
      </c>
      <c r="W537" s="48" t="str">
        <f t="shared" si="129"/>
        <v/>
      </c>
      <c r="X537" s="50" t="str">
        <f>IF(W537="","",SUMIF($B$4:$B$1002,B537,$W$4:$W$1000))</f>
        <v/>
      </c>
      <c r="Y537" s="43" t="str">
        <f t="shared" si="130"/>
        <v/>
      </c>
      <c r="Z537" s="49" t="str">
        <f t="shared" si="131"/>
        <v/>
      </c>
      <c r="AA537" s="48" t="str">
        <f t="shared" si="132"/>
        <v/>
      </c>
      <c r="AB537" s="49" t="str">
        <f t="shared" si="133"/>
        <v/>
      </c>
      <c r="AC537" s="50" t="str">
        <f>IF(AB537="","",SUMIF($B$4:$B$1002,B537,$AB$4:$AB$1000))</f>
        <v/>
      </c>
      <c r="AD537" s="69"/>
      <c r="AE537" s="56"/>
      <c r="AF537" s="52"/>
      <c r="AG537" s="51"/>
      <c r="AH537" s="70"/>
      <c r="AI537" s="58"/>
      <c r="AJ537" s="55"/>
      <c r="AK537" s="51"/>
      <c r="AL537" s="69"/>
      <c r="AM537" s="56"/>
      <c r="AN537" s="52"/>
      <c r="AO537" s="51"/>
      <c r="AP537" s="70"/>
      <c r="AQ537" s="58"/>
      <c r="AR537" s="55"/>
      <c r="AS537" s="51"/>
      <c r="AT537" s="69"/>
      <c r="AU537" s="56"/>
      <c r="AV537" s="52"/>
      <c r="AW537" s="51"/>
      <c r="BR537" s="34" t="str">
        <f>IF(E537="","",CONCATENATE(E537," ",F537," noches"))</f>
        <v/>
      </c>
      <c r="BS537" s="28" t="str">
        <f t="shared" ca="1" si="134"/>
        <v/>
      </c>
      <c r="BT537" s="28" t="str">
        <f t="shared" ca="1" si="135"/>
        <v/>
      </c>
    </row>
    <row r="538" spans="1:72" x14ac:dyDescent="0.2">
      <c r="A538" s="18" t="str" cm="1">
        <f t="array" aca="1" ref="A538" ca="1">IF(B538="","","Grupo N˚"&amp;SUMPRODUCT(($B$4:B538&lt;&gt;"")*($B$4:B538&lt;&gt;OFFSET($B$4,-1,0,ROWS($B$4:B538),1))))</f>
        <v/>
      </c>
      <c r="B538" s="31"/>
      <c r="C538" s="31"/>
      <c r="D538" s="31"/>
      <c r="E538" s="31"/>
      <c r="F538" s="32"/>
      <c r="G538" s="33"/>
      <c r="H538" s="33"/>
      <c r="I538" s="20" t="str">
        <f t="shared" si="124"/>
        <v/>
      </c>
      <c r="J538" s="21" t="str">
        <f>IFERROR(VLOOKUP(BR538,Pricing!$D$3:$E$58,2,FALSE),"")</f>
        <v/>
      </c>
      <c r="K538" s="32"/>
      <c r="L538" s="32"/>
      <c r="M538" s="32"/>
      <c r="N538" s="36" t="str" cm="1">
        <f t="array" ref="N538">IFERROR(_xlfn.IFS((AND(K538="SI",M538="$")),J538*0.2,AND(K538="SI",M538="%"),20),"")</f>
        <v/>
      </c>
      <c r="O538" s="29" t="str">
        <f t="shared" si="125"/>
        <v/>
      </c>
      <c r="P538" s="21" t="str">
        <f t="shared" si="126"/>
        <v/>
      </c>
      <c r="Q538" s="21" t="str">
        <f t="shared" si="127"/>
        <v/>
      </c>
      <c r="R538" s="21" t="str">
        <f t="shared" si="128"/>
        <v/>
      </c>
      <c r="S538" s="39"/>
      <c r="T538" s="43" t="str">
        <f t="shared" si="136"/>
        <v/>
      </c>
      <c r="U538" s="49" t="str">
        <f t="shared" si="137"/>
        <v/>
      </c>
      <c r="V538" s="48" t="str">
        <f t="shared" si="138"/>
        <v/>
      </c>
      <c r="W538" s="48" t="str">
        <f t="shared" si="129"/>
        <v/>
      </c>
      <c r="X538" s="50" t="str">
        <f>IF(W538="","",SUMIF($B$4:$B$1002,B538,$W$4:$W$1000))</f>
        <v/>
      </c>
      <c r="Y538" s="43" t="str">
        <f t="shared" si="130"/>
        <v/>
      </c>
      <c r="Z538" s="49" t="str">
        <f t="shared" si="131"/>
        <v/>
      </c>
      <c r="AA538" s="48" t="str">
        <f t="shared" si="132"/>
        <v/>
      </c>
      <c r="AB538" s="49" t="str">
        <f t="shared" si="133"/>
        <v/>
      </c>
      <c r="AC538" s="50" t="str">
        <f>IF(AB538="","",SUMIF($B$4:$B$1002,B538,$AB$4:$AB$1000))</f>
        <v/>
      </c>
      <c r="AD538" s="69"/>
      <c r="AE538" s="56"/>
      <c r="AF538" s="52"/>
      <c r="AG538" s="51"/>
      <c r="AH538" s="70"/>
      <c r="AI538" s="58"/>
      <c r="AJ538" s="55"/>
      <c r="AK538" s="51"/>
      <c r="AL538" s="69"/>
      <c r="AM538" s="56"/>
      <c r="AN538" s="52"/>
      <c r="AO538" s="51"/>
      <c r="AP538" s="70"/>
      <c r="AQ538" s="58"/>
      <c r="AR538" s="55"/>
      <c r="AS538" s="51"/>
      <c r="AT538" s="69"/>
      <c r="AU538" s="56"/>
      <c r="AV538" s="52"/>
      <c r="AW538" s="51"/>
      <c r="BR538" s="34" t="str">
        <f>IF(E538="","",CONCATENATE(E538," ",F538," noches"))</f>
        <v/>
      </c>
      <c r="BS538" s="28" t="str">
        <f t="shared" ca="1" si="134"/>
        <v/>
      </c>
      <c r="BT538" s="28" t="str">
        <f t="shared" ca="1" si="135"/>
        <v/>
      </c>
    </row>
    <row r="539" spans="1:72" x14ac:dyDescent="0.2">
      <c r="A539" s="18" t="str" cm="1">
        <f t="array" aca="1" ref="A539" ca="1">IF(B539="","","Grupo N˚"&amp;SUMPRODUCT(($B$4:B539&lt;&gt;"")*($B$4:B539&lt;&gt;OFFSET($B$4,-1,0,ROWS($B$4:B539),1))))</f>
        <v/>
      </c>
      <c r="B539" s="31"/>
      <c r="C539" s="31"/>
      <c r="D539" s="31"/>
      <c r="E539" s="31"/>
      <c r="F539" s="32"/>
      <c r="G539" s="33"/>
      <c r="H539" s="33"/>
      <c r="I539" s="20" t="str">
        <f t="shared" si="124"/>
        <v/>
      </c>
      <c r="J539" s="21" t="str">
        <f>IFERROR(VLOOKUP(BR539,Pricing!$D$3:$E$58,2,FALSE),"")</f>
        <v/>
      </c>
      <c r="K539" s="32"/>
      <c r="L539" s="32"/>
      <c r="M539" s="32"/>
      <c r="N539" s="36" t="str" cm="1">
        <f t="array" ref="N539">IFERROR(_xlfn.IFS((AND(K539="SI",M539="$")),J539*0.2,AND(K539="SI",M539="%"),20),"")</f>
        <v/>
      </c>
      <c r="O539" s="29" t="str">
        <f t="shared" si="125"/>
        <v/>
      </c>
      <c r="P539" s="21" t="str">
        <f t="shared" si="126"/>
        <v/>
      </c>
      <c r="Q539" s="21" t="str">
        <f t="shared" si="127"/>
        <v/>
      </c>
      <c r="R539" s="21" t="str">
        <f t="shared" si="128"/>
        <v/>
      </c>
      <c r="S539" s="39"/>
      <c r="T539" s="43" t="str">
        <f t="shared" si="136"/>
        <v/>
      </c>
      <c r="U539" s="49" t="str">
        <f t="shared" si="137"/>
        <v/>
      </c>
      <c r="V539" s="48" t="str">
        <f t="shared" si="138"/>
        <v/>
      </c>
      <c r="W539" s="48" t="str">
        <f t="shared" si="129"/>
        <v/>
      </c>
      <c r="X539" s="50" t="str">
        <f>IF(W539="","",SUMIF($B$4:$B$1002,B539,$W$4:$W$1000))</f>
        <v/>
      </c>
      <c r="Y539" s="43" t="str">
        <f t="shared" si="130"/>
        <v/>
      </c>
      <c r="Z539" s="49" t="str">
        <f t="shared" si="131"/>
        <v/>
      </c>
      <c r="AA539" s="48" t="str">
        <f t="shared" si="132"/>
        <v/>
      </c>
      <c r="AB539" s="49" t="str">
        <f t="shared" si="133"/>
        <v/>
      </c>
      <c r="AC539" s="50" t="str">
        <f>IF(AB539="","",SUMIF($B$4:$B$1002,B539,$AB$4:$AB$1000))</f>
        <v/>
      </c>
      <c r="AD539" s="69"/>
      <c r="AE539" s="56"/>
      <c r="AF539" s="52"/>
      <c r="AG539" s="51"/>
      <c r="AH539" s="70"/>
      <c r="AI539" s="58"/>
      <c r="AJ539" s="55"/>
      <c r="AK539" s="51"/>
      <c r="AL539" s="69"/>
      <c r="AM539" s="56"/>
      <c r="AN539" s="52"/>
      <c r="AO539" s="51"/>
      <c r="AP539" s="70"/>
      <c r="AQ539" s="58"/>
      <c r="AR539" s="55"/>
      <c r="AS539" s="51"/>
      <c r="AT539" s="69"/>
      <c r="AU539" s="56"/>
      <c r="AV539" s="52"/>
      <c r="AW539" s="51"/>
      <c r="BR539" s="34" t="str">
        <f>IF(E539="","",CONCATENATE(E539," ",F539," noches"))</f>
        <v/>
      </c>
      <c r="BS539" s="28" t="str">
        <f t="shared" ca="1" si="134"/>
        <v/>
      </c>
      <c r="BT539" s="28" t="str">
        <f t="shared" ca="1" si="135"/>
        <v/>
      </c>
    </row>
    <row r="540" spans="1:72" x14ac:dyDescent="0.2">
      <c r="A540" s="18" t="str" cm="1">
        <f t="array" aca="1" ref="A540" ca="1">IF(B540="","","Grupo N˚"&amp;SUMPRODUCT(($B$4:B540&lt;&gt;"")*($B$4:B540&lt;&gt;OFFSET($B$4,-1,0,ROWS($B$4:B540),1))))</f>
        <v/>
      </c>
      <c r="B540" s="31"/>
      <c r="C540" s="31"/>
      <c r="D540" s="31"/>
      <c r="E540" s="31"/>
      <c r="F540" s="32"/>
      <c r="G540" s="33"/>
      <c r="H540" s="33"/>
      <c r="I540" s="20" t="str">
        <f t="shared" si="124"/>
        <v/>
      </c>
      <c r="J540" s="21" t="str">
        <f>IFERROR(VLOOKUP(BR540,Pricing!$D$3:$E$58,2,FALSE),"")</f>
        <v/>
      </c>
      <c r="K540" s="32"/>
      <c r="L540" s="32"/>
      <c r="M540" s="32"/>
      <c r="N540" s="36" t="str" cm="1">
        <f t="array" ref="N540">IFERROR(_xlfn.IFS((AND(K540="SI",M540="$")),J540*0.2,AND(K540="SI",M540="%"),20),"")</f>
        <v/>
      </c>
      <c r="O540" s="29" t="str">
        <f t="shared" si="125"/>
        <v/>
      </c>
      <c r="P540" s="21" t="str">
        <f t="shared" si="126"/>
        <v/>
      </c>
      <c r="Q540" s="21" t="str">
        <f t="shared" si="127"/>
        <v/>
      </c>
      <c r="R540" s="21" t="str">
        <f t="shared" si="128"/>
        <v/>
      </c>
      <c r="S540" s="39"/>
      <c r="T540" s="43" t="str">
        <f t="shared" si="136"/>
        <v/>
      </c>
      <c r="U540" s="49" t="str">
        <f t="shared" si="137"/>
        <v/>
      </c>
      <c r="V540" s="48" t="str">
        <f t="shared" si="138"/>
        <v/>
      </c>
      <c r="W540" s="48" t="str">
        <f t="shared" si="129"/>
        <v/>
      </c>
      <c r="X540" s="50" t="str">
        <f>IF(W540="","",SUMIF($B$4:$B$1002,B540,$W$4:$W$1000))</f>
        <v/>
      </c>
      <c r="Y540" s="43" t="str">
        <f t="shared" si="130"/>
        <v/>
      </c>
      <c r="Z540" s="49" t="str">
        <f t="shared" si="131"/>
        <v/>
      </c>
      <c r="AA540" s="48" t="str">
        <f t="shared" si="132"/>
        <v/>
      </c>
      <c r="AB540" s="49" t="str">
        <f t="shared" si="133"/>
        <v/>
      </c>
      <c r="AC540" s="50" t="str">
        <f>IF(AB540="","",SUMIF($B$4:$B$1002,B540,$AB$4:$AB$1000))</f>
        <v/>
      </c>
      <c r="AD540" s="69"/>
      <c r="AE540" s="56"/>
      <c r="AF540" s="52"/>
      <c r="AG540" s="51"/>
      <c r="AH540" s="70"/>
      <c r="AI540" s="58"/>
      <c r="AJ540" s="55"/>
      <c r="AK540" s="51"/>
      <c r="AL540" s="69"/>
      <c r="AM540" s="56"/>
      <c r="AN540" s="52"/>
      <c r="AO540" s="51"/>
      <c r="AP540" s="70"/>
      <c r="AQ540" s="58"/>
      <c r="AR540" s="55"/>
      <c r="AS540" s="51"/>
      <c r="AT540" s="69"/>
      <c r="AU540" s="56"/>
      <c r="AV540" s="52"/>
      <c r="AW540" s="51"/>
      <c r="BR540" s="34" t="str">
        <f>IF(E540="","",CONCATENATE(E540," ",F540," noches"))</f>
        <v/>
      </c>
      <c r="BS540" s="28" t="str">
        <f t="shared" ca="1" si="134"/>
        <v/>
      </c>
      <c r="BT540" s="28" t="str">
        <f t="shared" ca="1" si="135"/>
        <v/>
      </c>
    </row>
    <row r="541" spans="1:72" x14ac:dyDescent="0.2">
      <c r="A541" s="18" t="str" cm="1">
        <f t="array" aca="1" ref="A541" ca="1">IF(B541="","","Grupo N˚"&amp;SUMPRODUCT(($B$4:B541&lt;&gt;"")*($B$4:B541&lt;&gt;OFFSET($B$4,-1,0,ROWS($B$4:B541),1))))</f>
        <v/>
      </c>
      <c r="B541" s="31"/>
      <c r="C541" s="31"/>
      <c r="D541" s="31"/>
      <c r="E541" s="31"/>
      <c r="F541" s="32"/>
      <c r="G541" s="33"/>
      <c r="H541" s="33"/>
      <c r="I541" s="20" t="str">
        <f t="shared" si="124"/>
        <v/>
      </c>
      <c r="J541" s="21" t="str">
        <f>IFERROR(VLOOKUP(BR541,Pricing!$D$3:$E$58,2,FALSE),"")</f>
        <v/>
      </c>
      <c r="K541" s="32"/>
      <c r="L541" s="32"/>
      <c r="M541" s="32"/>
      <c r="N541" s="36" t="str" cm="1">
        <f t="array" ref="N541">IFERROR(_xlfn.IFS((AND(K541="SI",M541="$")),J541*0.2,AND(K541="SI",M541="%"),20),"")</f>
        <v/>
      </c>
      <c r="O541" s="29" t="str">
        <f t="shared" si="125"/>
        <v/>
      </c>
      <c r="P541" s="21" t="str">
        <f t="shared" si="126"/>
        <v/>
      </c>
      <c r="Q541" s="21" t="str">
        <f t="shared" si="127"/>
        <v/>
      </c>
      <c r="R541" s="21" t="str">
        <f t="shared" si="128"/>
        <v/>
      </c>
      <c r="S541" s="39"/>
      <c r="T541" s="43" t="str">
        <f t="shared" si="136"/>
        <v/>
      </c>
      <c r="U541" s="49" t="str">
        <f t="shared" si="137"/>
        <v/>
      </c>
      <c r="V541" s="48" t="str">
        <f t="shared" si="138"/>
        <v/>
      </c>
      <c r="W541" s="48" t="str">
        <f t="shared" si="129"/>
        <v/>
      </c>
      <c r="X541" s="50" t="str">
        <f>IF(W541="","",SUMIF($B$4:$B$1002,B541,$W$4:$W$1000))</f>
        <v/>
      </c>
      <c r="Y541" s="43" t="str">
        <f t="shared" si="130"/>
        <v/>
      </c>
      <c r="Z541" s="49" t="str">
        <f t="shared" si="131"/>
        <v/>
      </c>
      <c r="AA541" s="48" t="str">
        <f t="shared" si="132"/>
        <v/>
      </c>
      <c r="AB541" s="49" t="str">
        <f t="shared" si="133"/>
        <v/>
      </c>
      <c r="AC541" s="50" t="str">
        <f>IF(AB541="","",SUMIF($B$4:$B$1002,B541,$AB$4:$AB$1000))</f>
        <v/>
      </c>
      <c r="AD541" s="69"/>
      <c r="AE541" s="56"/>
      <c r="AF541" s="52"/>
      <c r="AG541" s="51"/>
      <c r="AH541" s="70"/>
      <c r="AI541" s="58"/>
      <c r="AJ541" s="55"/>
      <c r="AK541" s="51"/>
      <c r="AL541" s="69"/>
      <c r="AM541" s="56"/>
      <c r="AN541" s="52"/>
      <c r="AO541" s="51"/>
      <c r="AP541" s="70"/>
      <c r="AQ541" s="58"/>
      <c r="AR541" s="55"/>
      <c r="AS541" s="51"/>
      <c r="AT541" s="69"/>
      <c r="AU541" s="56"/>
      <c r="AV541" s="52"/>
      <c r="AW541" s="51"/>
      <c r="BR541" s="34" t="str">
        <f>IF(E541="","",CONCATENATE(E541," ",F541," noches"))</f>
        <v/>
      </c>
      <c r="BS541" s="28" t="str">
        <f t="shared" ca="1" si="134"/>
        <v/>
      </c>
      <c r="BT541" s="28" t="str">
        <f t="shared" ca="1" si="135"/>
        <v/>
      </c>
    </row>
    <row r="542" spans="1:72" x14ac:dyDescent="0.2">
      <c r="A542" s="18" t="str" cm="1">
        <f t="array" aca="1" ref="A542" ca="1">IF(B542="","","Grupo N˚"&amp;SUMPRODUCT(($B$4:B542&lt;&gt;"")*($B$4:B542&lt;&gt;OFFSET($B$4,-1,0,ROWS($B$4:B542),1))))</f>
        <v/>
      </c>
      <c r="B542" s="31"/>
      <c r="C542" s="31"/>
      <c r="D542" s="31"/>
      <c r="E542" s="31"/>
      <c r="F542" s="32"/>
      <c r="G542" s="33"/>
      <c r="H542" s="33"/>
      <c r="I542" s="20" t="str">
        <f t="shared" si="124"/>
        <v/>
      </c>
      <c r="J542" s="21" t="str">
        <f>IFERROR(VLOOKUP(BR542,Pricing!$D$3:$E$58,2,FALSE),"")</f>
        <v/>
      </c>
      <c r="K542" s="32"/>
      <c r="L542" s="32"/>
      <c r="M542" s="32"/>
      <c r="N542" s="36" t="str" cm="1">
        <f t="array" ref="N542">IFERROR(_xlfn.IFS((AND(K542="SI",M542="$")),J542*0.2,AND(K542="SI",M542="%"),20),"")</f>
        <v/>
      </c>
      <c r="O542" s="29" t="str">
        <f t="shared" si="125"/>
        <v/>
      </c>
      <c r="P542" s="21" t="str">
        <f t="shared" si="126"/>
        <v/>
      </c>
      <c r="Q542" s="21" t="str">
        <f t="shared" si="127"/>
        <v/>
      </c>
      <c r="R542" s="21" t="str">
        <f t="shared" si="128"/>
        <v/>
      </c>
      <c r="S542" s="39"/>
      <c r="T542" s="43" t="str">
        <f t="shared" si="136"/>
        <v/>
      </c>
      <c r="U542" s="49" t="str">
        <f t="shared" si="137"/>
        <v/>
      </c>
      <c r="V542" s="48" t="str">
        <f t="shared" si="138"/>
        <v/>
      </c>
      <c r="W542" s="48" t="str">
        <f t="shared" si="129"/>
        <v/>
      </c>
      <c r="X542" s="50" t="str">
        <f>IF(W542="","",SUMIF($B$4:$B$1002,B542,$W$4:$W$1000))</f>
        <v/>
      </c>
      <c r="Y542" s="43" t="str">
        <f t="shared" si="130"/>
        <v/>
      </c>
      <c r="Z542" s="49" t="str">
        <f t="shared" si="131"/>
        <v/>
      </c>
      <c r="AA542" s="48" t="str">
        <f t="shared" si="132"/>
        <v/>
      </c>
      <c r="AB542" s="49" t="str">
        <f t="shared" si="133"/>
        <v/>
      </c>
      <c r="AC542" s="50" t="str">
        <f>IF(AB542="","",SUMIF($B$4:$B$1002,B542,$AB$4:$AB$1000))</f>
        <v/>
      </c>
      <c r="AD542" s="69"/>
      <c r="AE542" s="56"/>
      <c r="AF542" s="52"/>
      <c r="AG542" s="51"/>
      <c r="AH542" s="70"/>
      <c r="AI542" s="58"/>
      <c r="AJ542" s="55"/>
      <c r="AK542" s="51"/>
      <c r="AL542" s="69"/>
      <c r="AM542" s="56"/>
      <c r="AN542" s="52"/>
      <c r="AO542" s="51"/>
      <c r="AP542" s="70"/>
      <c r="AQ542" s="58"/>
      <c r="AR542" s="55"/>
      <c r="AS542" s="51"/>
      <c r="AT542" s="69"/>
      <c r="AU542" s="56"/>
      <c r="AV542" s="52"/>
      <c r="AW542" s="51"/>
      <c r="BR542" s="34" t="str">
        <f>IF(E542="","",CONCATENATE(E542," ",F542," noches"))</f>
        <v/>
      </c>
      <c r="BS542" s="28" t="str">
        <f t="shared" ca="1" si="134"/>
        <v/>
      </c>
      <c r="BT542" s="28" t="str">
        <f t="shared" ca="1" si="135"/>
        <v/>
      </c>
    </row>
    <row r="543" spans="1:72" x14ac:dyDescent="0.2">
      <c r="A543" s="18" t="str" cm="1">
        <f t="array" aca="1" ref="A543" ca="1">IF(B543="","","Grupo N˚"&amp;SUMPRODUCT(($B$4:B543&lt;&gt;"")*($B$4:B543&lt;&gt;OFFSET($B$4,-1,0,ROWS($B$4:B543),1))))</f>
        <v/>
      </c>
      <c r="B543" s="31"/>
      <c r="C543" s="31"/>
      <c r="D543" s="31"/>
      <c r="E543" s="31"/>
      <c r="F543" s="32"/>
      <c r="G543" s="33"/>
      <c r="H543" s="33"/>
      <c r="I543" s="20" t="str">
        <f t="shared" si="124"/>
        <v/>
      </c>
      <c r="J543" s="21" t="str">
        <f>IFERROR(VLOOKUP(BR543,Pricing!$D$3:$E$58,2,FALSE),"")</f>
        <v/>
      </c>
      <c r="K543" s="32"/>
      <c r="L543" s="32"/>
      <c r="M543" s="32"/>
      <c r="N543" s="36" t="str" cm="1">
        <f t="array" ref="N543">IFERROR(_xlfn.IFS((AND(K543="SI",M543="$")),J543*0.2,AND(K543="SI",M543="%"),20),"")</f>
        <v/>
      </c>
      <c r="O543" s="29" t="str">
        <f t="shared" si="125"/>
        <v/>
      </c>
      <c r="P543" s="21" t="str">
        <f t="shared" si="126"/>
        <v/>
      </c>
      <c r="Q543" s="21" t="str">
        <f t="shared" si="127"/>
        <v/>
      </c>
      <c r="R543" s="21" t="str">
        <f t="shared" si="128"/>
        <v/>
      </c>
      <c r="S543" s="39"/>
      <c r="T543" s="43" t="str">
        <f t="shared" si="136"/>
        <v/>
      </c>
      <c r="U543" s="49" t="str">
        <f t="shared" si="137"/>
        <v/>
      </c>
      <c r="V543" s="48" t="str">
        <f t="shared" si="138"/>
        <v/>
      </c>
      <c r="W543" s="48" t="str">
        <f t="shared" si="129"/>
        <v/>
      </c>
      <c r="X543" s="50" t="str">
        <f>IF(W543="","",SUMIF($B$4:$B$1002,B543,$W$4:$W$1000))</f>
        <v/>
      </c>
      <c r="Y543" s="43" t="str">
        <f t="shared" si="130"/>
        <v/>
      </c>
      <c r="Z543" s="49" t="str">
        <f t="shared" si="131"/>
        <v/>
      </c>
      <c r="AA543" s="48" t="str">
        <f t="shared" si="132"/>
        <v/>
      </c>
      <c r="AB543" s="49" t="str">
        <f t="shared" si="133"/>
        <v/>
      </c>
      <c r="AC543" s="50" t="str">
        <f>IF(AB543="","",SUMIF($B$4:$B$1002,B543,$AB$4:$AB$1000))</f>
        <v/>
      </c>
      <c r="AD543" s="69"/>
      <c r="AE543" s="56"/>
      <c r="AF543" s="52"/>
      <c r="AG543" s="51"/>
      <c r="AH543" s="70"/>
      <c r="AI543" s="58"/>
      <c r="AJ543" s="55"/>
      <c r="AK543" s="51"/>
      <c r="AL543" s="69"/>
      <c r="AM543" s="56"/>
      <c r="AN543" s="52"/>
      <c r="AO543" s="51"/>
      <c r="AP543" s="70"/>
      <c r="AQ543" s="58"/>
      <c r="AR543" s="55"/>
      <c r="AS543" s="51"/>
      <c r="AT543" s="69"/>
      <c r="AU543" s="56"/>
      <c r="AV543" s="52"/>
      <c r="AW543" s="51"/>
      <c r="BR543" s="34" t="str">
        <f>IF(E543="","",CONCATENATE(E543," ",F543," noches"))</f>
        <v/>
      </c>
      <c r="BS543" s="28" t="str">
        <f t="shared" ca="1" si="134"/>
        <v/>
      </c>
      <c r="BT543" s="28" t="str">
        <f t="shared" ca="1" si="135"/>
        <v/>
      </c>
    </row>
    <row r="544" spans="1:72" x14ac:dyDescent="0.2">
      <c r="A544" s="18" t="str" cm="1">
        <f t="array" aca="1" ref="A544" ca="1">IF(B544="","","Grupo N˚"&amp;SUMPRODUCT(($B$4:B544&lt;&gt;"")*($B$4:B544&lt;&gt;OFFSET($B$4,-1,0,ROWS($B$4:B544),1))))</f>
        <v/>
      </c>
      <c r="B544" s="31"/>
      <c r="C544" s="31"/>
      <c r="D544" s="31"/>
      <c r="E544" s="31"/>
      <c r="F544" s="32"/>
      <c r="G544" s="33"/>
      <c r="H544" s="33"/>
      <c r="I544" s="20" t="str">
        <f t="shared" si="124"/>
        <v/>
      </c>
      <c r="J544" s="21" t="str">
        <f>IFERROR(VLOOKUP(BR544,Pricing!$D$3:$E$58,2,FALSE),"")</f>
        <v/>
      </c>
      <c r="K544" s="32"/>
      <c r="L544" s="32"/>
      <c r="M544" s="32"/>
      <c r="N544" s="36" t="str" cm="1">
        <f t="array" ref="N544">IFERROR(_xlfn.IFS((AND(K544="SI",M544="$")),J544*0.2,AND(K544="SI",M544="%"),20),"")</f>
        <v/>
      </c>
      <c r="O544" s="29" t="str">
        <f t="shared" si="125"/>
        <v/>
      </c>
      <c r="P544" s="21" t="str">
        <f t="shared" si="126"/>
        <v/>
      </c>
      <c r="Q544" s="21" t="str">
        <f t="shared" si="127"/>
        <v/>
      </c>
      <c r="R544" s="21" t="str">
        <f t="shared" si="128"/>
        <v/>
      </c>
      <c r="S544" s="39"/>
      <c r="T544" s="43" t="str">
        <f t="shared" si="136"/>
        <v/>
      </c>
      <c r="U544" s="49" t="str">
        <f t="shared" si="137"/>
        <v/>
      </c>
      <c r="V544" s="48" t="str">
        <f t="shared" si="138"/>
        <v/>
      </c>
      <c r="W544" s="48" t="str">
        <f t="shared" si="129"/>
        <v/>
      </c>
      <c r="X544" s="50" t="str">
        <f>IF(W544="","",SUMIF($B$4:$B$1002,B544,$W$4:$W$1000))</f>
        <v/>
      </c>
      <c r="Y544" s="43" t="str">
        <f t="shared" si="130"/>
        <v/>
      </c>
      <c r="Z544" s="49" t="str">
        <f t="shared" si="131"/>
        <v/>
      </c>
      <c r="AA544" s="48" t="str">
        <f t="shared" si="132"/>
        <v/>
      </c>
      <c r="AB544" s="49" t="str">
        <f t="shared" si="133"/>
        <v/>
      </c>
      <c r="AC544" s="50" t="str">
        <f>IF(AB544="","",SUMIF($B$4:$B$1002,B544,$AB$4:$AB$1000))</f>
        <v/>
      </c>
      <c r="AD544" s="69"/>
      <c r="AE544" s="56"/>
      <c r="AF544" s="52"/>
      <c r="AG544" s="51"/>
      <c r="AH544" s="70"/>
      <c r="AI544" s="58"/>
      <c r="AJ544" s="55"/>
      <c r="AK544" s="51"/>
      <c r="AL544" s="69"/>
      <c r="AM544" s="56"/>
      <c r="AN544" s="52"/>
      <c r="AO544" s="51"/>
      <c r="AP544" s="70"/>
      <c r="AQ544" s="58"/>
      <c r="AR544" s="55"/>
      <c r="AS544" s="51"/>
      <c r="AT544" s="69"/>
      <c r="AU544" s="56"/>
      <c r="AV544" s="52"/>
      <c r="AW544" s="51"/>
      <c r="BR544" s="34" t="str">
        <f>IF(E544="","",CONCATENATE(E544," ",F544," noches"))</f>
        <v/>
      </c>
      <c r="BS544" s="28" t="str">
        <f t="shared" ca="1" si="134"/>
        <v/>
      </c>
      <c r="BT544" s="28" t="str">
        <f t="shared" ca="1" si="135"/>
        <v/>
      </c>
    </row>
    <row r="545" spans="1:72" x14ac:dyDescent="0.2">
      <c r="A545" s="18" t="str" cm="1">
        <f t="array" aca="1" ref="A545" ca="1">IF(B545="","","Grupo N˚"&amp;SUMPRODUCT(($B$4:B545&lt;&gt;"")*($B$4:B545&lt;&gt;OFFSET($B$4,-1,0,ROWS($B$4:B545),1))))</f>
        <v/>
      </c>
      <c r="B545" s="31"/>
      <c r="C545" s="31"/>
      <c r="D545" s="31"/>
      <c r="E545" s="31"/>
      <c r="F545" s="32"/>
      <c r="G545" s="33"/>
      <c r="H545" s="33"/>
      <c r="I545" s="20" t="str">
        <f t="shared" si="124"/>
        <v/>
      </c>
      <c r="J545" s="21" t="str">
        <f>IFERROR(VLOOKUP(BR545,Pricing!$D$3:$E$58,2,FALSE),"")</f>
        <v/>
      </c>
      <c r="K545" s="32"/>
      <c r="L545" s="32"/>
      <c r="M545" s="32"/>
      <c r="N545" s="36" t="str" cm="1">
        <f t="array" ref="N545">IFERROR(_xlfn.IFS((AND(K545="SI",M545="$")),J545*0.2,AND(K545="SI",M545="%"),20),"")</f>
        <v/>
      </c>
      <c r="O545" s="29" t="str">
        <f t="shared" si="125"/>
        <v/>
      </c>
      <c r="P545" s="21" t="str">
        <f t="shared" si="126"/>
        <v/>
      </c>
      <c r="Q545" s="21" t="str">
        <f t="shared" si="127"/>
        <v/>
      </c>
      <c r="R545" s="21" t="str">
        <f t="shared" si="128"/>
        <v/>
      </c>
      <c r="S545" s="39"/>
      <c r="T545" s="43" t="str">
        <f t="shared" si="136"/>
        <v/>
      </c>
      <c r="U545" s="49" t="str">
        <f t="shared" si="137"/>
        <v/>
      </c>
      <c r="V545" s="48" t="str">
        <f t="shared" si="138"/>
        <v/>
      </c>
      <c r="W545" s="48" t="str">
        <f t="shared" si="129"/>
        <v/>
      </c>
      <c r="X545" s="50" t="str">
        <f>IF(W545="","",SUMIF($B$4:$B$1002,B545,$W$4:$W$1000))</f>
        <v/>
      </c>
      <c r="Y545" s="43" t="str">
        <f t="shared" si="130"/>
        <v/>
      </c>
      <c r="Z545" s="49" t="str">
        <f t="shared" si="131"/>
        <v/>
      </c>
      <c r="AA545" s="48" t="str">
        <f t="shared" si="132"/>
        <v/>
      </c>
      <c r="AB545" s="49" t="str">
        <f t="shared" si="133"/>
        <v/>
      </c>
      <c r="AC545" s="50" t="str">
        <f>IF(AB545="","",SUMIF($B$4:$B$1002,B545,$AB$4:$AB$1000))</f>
        <v/>
      </c>
      <c r="AD545" s="69"/>
      <c r="AE545" s="56"/>
      <c r="AF545" s="52"/>
      <c r="AG545" s="51"/>
      <c r="AH545" s="70"/>
      <c r="AI545" s="58"/>
      <c r="AJ545" s="55"/>
      <c r="AK545" s="51"/>
      <c r="AL545" s="69"/>
      <c r="AM545" s="56"/>
      <c r="AN545" s="52"/>
      <c r="AO545" s="51"/>
      <c r="AP545" s="70"/>
      <c r="AQ545" s="58"/>
      <c r="AR545" s="55"/>
      <c r="AS545" s="51"/>
      <c r="AT545" s="69"/>
      <c r="AU545" s="56"/>
      <c r="AV545" s="52"/>
      <c r="AW545" s="51"/>
      <c r="BR545" s="34" t="str">
        <f>IF(E545="","",CONCATENATE(E545," ",F545," noches"))</f>
        <v/>
      </c>
      <c r="BS545" s="28" t="str">
        <f t="shared" ca="1" si="134"/>
        <v/>
      </c>
      <c r="BT545" s="28" t="str">
        <f t="shared" ca="1" si="135"/>
        <v/>
      </c>
    </row>
    <row r="546" spans="1:72" x14ac:dyDescent="0.2">
      <c r="A546" s="18" t="str" cm="1">
        <f t="array" aca="1" ref="A546" ca="1">IF(B546="","","Grupo N˚"&amp;SUMPRODUCT(($B$4:B546&lt;&gt;"")*($B$4:B546&lt;&gt;OFFSET($B$4,-1,0,ROWS($B$4:B546),1))))</f>
        <v/>
      </c>
      <c r="B546" s="31"/>
      <c r="C546" s="31"/>
      <c r="D546" s="31"/>
      <c r="E546" s="31"/>
      <c r="F546" s="32"/>
      <c r="G546" s="33"/>
      <c r="H546" s="33"/>
      <c r="I546" s="20" t="str">
        <f t="shared" si="124"/>
        <v/>
      </c>
      <c r="J546" s="21" t="str">
        <f>IFERROR(VLOOKUP(BR546,Pricing!$D$3:$E$58,2,FALSE),"")</f>
        <v/>
      </c>
      <c r="K546" s="32"/>
      <c r="L546" s="32"/>
      <c r="M546" s="32"/>
      <c r="N546" s="36" t="str" cm="1">
        <f t="array" ref="N546">IFERROR(_xlfn.IFS((AND(K546="SI",M546="$")),J546*0.2,AND(K546="SI",M546="%"),20),"")</f>
        <v/>
      </c>
      <c r="O546" s="29" t="str">
        <f t="shared" si="125"/>
        <v/>
      </c>
      <c r="P546" s="21" t="str">
        <f t="shared" si="126"/>
        <v/>
      </c>
      <c r="Q546" s="21" t="str">
        <f t="shared" si="127"/>
        <v/>
      </c>
      <c r="R546" s="21" t="str">
        <f t="shared" si="128"/>
        <v/>
      </c>
      <c r="S546" s="39"/>
      <c r="T546" s="43" t="str">
        <f t="shared" si="136"/>
        <v/>
      </c>
      <c r="U546" s="49" t="str">
        <f t="shared" si="137"/>
        <v/>
      </c>
      <c r="V546" s="48" t="str">
        <f t="shared" si="138"/>
        <v/>
      </c>
      <c r="W546" s="48" t="str">
        <f t="shared" si="129"/>
        <v/>
      </c>
      <c r="X546" s="50" t="str">
        <f>IF(W546="","",SUMIF($B$4:$B$1002,B546,$W$4:$W$1000))</f>
        <v/>
      </c>
      <c r="Y546" s="43" t="str">
        <f t="shared" si="130"/>
        <v/>
      </c>
      <c r="Z546" s="49" t="str">
        <f t="shared" si="131"/>
        <v/>
      </c>
      <c r="AA546" s="48" t="str">
        <f t="shared" si="132"/>
        <v/>
      </c>
      <c r="AB546" s="49" t="str">
        <f t="shared" si="133"/>
        <v/>
      </c>
      <c r="AC546" s="50" t="str">
        <f>IF(AB546="","",SUMIF($B$4:$B$1002,B546,$AB$4:$AB$1000))</f>
        <v/>
      </c>
      <c r="AD546" s="69"/>
      <c r="AE546" s="56"/>
      <c r="AF546" s="52"/>
      <c r="AG546" s="51"/>
      <c r="AH546" s="70"/>
      <c r="AI546" s="58"/>
      <c r="AJ546" s="55"/>
      <c r="AK546" s="51"/>
      <c r="AL546" s="69"/>
      <c r="AM546" s="56"/>
      <c r="AN546" s="52"/>
      <c r="AO546" s="51"/>
      <c r="AP546" s="70"/>
      <c r="AQ546" s="58"/>
      <c r="AR546" s="55"/>
      <c r="AS546" s="51"/>
      <c r="AT546" s="69"/>
      <c r="AU546" s="56"/>
      <c r="AV546" s="52"/>
      <c r="AW546" s="51"/>
      <c r="BR546" s="34" t="str">
        <f>IF(E546="","",CONCATENATE(E546," ",F546," noches"))</f>
        <v/>
      </c>
      <c r="BS546" s="28" t="str">
        <f t="shared" ca="1" si="134"/>
        <v/>
      </c>
      <c r="BT546" s="28" t="str">
        <f t="shared" ca="1" si="135"/>
        <v/>
      </c>
    </row>
    <row r="547" spans="1:72" x14ac:dyDescent="0.2">
      <c r="A547" s="18" t="str" cm="1">
        <f t="array" aca="1" ref="A547" ca="1">IF(B547="","","Grupo N˚"&amp;SUMPRODUCT(($B$4:B547&lt;&gt;"")*($B$4:B547&lt;&gt;OFFSET($B$4,-1,0,ROWS($B$4:B547),1))))</f>
        <v/>
      </c>
      <c r="B547" s="31"/>
      <c r="C547" s="31"/>
      <c r="D547" s="31"/>
      <c r="E547" s="31"/>
      <c r="F547" s="32"/>
      <c r="G547" s="33"/>
      <c r="H547" s="33"/>
      <c r="I547" s="20" t="str">
        <f t="shared" si="124"/>
        <v/>
      </c>
      <c r="J547" s="21" t="str">
        <f>IFERROR(VLOOKUP(BR547,Pricing!$D$3:$E$58,2,FALSE),"")</f>
        <v/>
      </c>
      <c r="K547" s="32"/>
      <c r="L547" s="32"/>
      <c r="M547" s="32"/>
      <c r="N547" s="36" t="str" cm="1">
        <f t="array" ref="N547">IFERROR(_xlfn.IFS((AND(K547="SI",M547="$")),J547*0.2,AND(K547="SI",M547="%"),20),"")</f>
        <v/>
      </c>
      <c r="O547" s="29" t="str">
        <f t="shared" si="125"/>
        <v/>
      </c>
      <c r="P547" s="21" t="str">
        <f t="shared" si="126"/>
        <v/>
      </c>
      <c r="Q547" s="21" t="str">
        <f t="shared" si="127"/>
        <v/>
      </c>
      <c r="R547" s="21" t="str">
        <f t="shared" si="128"/>
        <v/>
      </c>
      <c r="S547" s="39"/>
      <c r="T547" s="43" t="str">
        <f t="shared" si="136"/>
        <v/>
      </c>
      <c r="U547" s="49" t="str">
        <f t="shared" si="137"/>
        <v/>
      </c>
      <c r="V547" s="48" t="str">
        <f t="shared" si="138"/>
        <v/>
      </c>
      <c r="W547" s="48" t="str">
        <f t="shared" si="129"/>
        <v/>
      </c>
      <c r="X547" s="50" t="str">
        <f>IF(W547="","",SUMIF($B$4:$B$1002,B547,$W$4:$W$1000))</f>
        <v/>
      </c>
      <c r="Y547" s="43" t="str">
        <f t="shared" si="130"/>
        <v/>
      </c>
      <c r="Z547" s="49" t="str">
        <f t="shared" si="131"/>
        <v/>
      </c>
      <c r="AA547" s="48" t="str">
        <f t="shared" si="132"/>
        <v/>
      </c>
      <c r="AB547" s="49" t="str">
        <f t="shared" si="133"/>
        <v/>
      </c>
      <c r="AC547" s="50" t="str">
        <f>IF(AB547="","",SUMIF($B$4:$B$1002,B547,$AB$4:$AB$1000))</f>
        <v/>
      </c>
      <c r="AD547" s="69"/>
      <c r="AE547" s="56"/>
      <c r="AF547" s="52"/>
      <c r="AG547" s="51"/>
      <c r="AH547" s="70"/>
      <c r="AI547" s="58"/>
      <c r="AJ547" s="55"/>
      <c r="AK547" s="51"/>
      <c r="AL547" s="69"/>
      <c r="AM547" s="56"/>
      <c r="AN547" s="52"/>
      <c r="AO547" s="51"/>
      <c r="AP547" s="70"/>
      <c r="AQ547" s="58"/>
      <c r="AR547" s="55"/>
      <c r="AS547" s="51"/>
      <c r="AT547" s="69"/>
      <c r="AU547" s="56"/>
      <c r="AV547" s="52"/>
      <c r="AW547" s="51"/>
      <c r="BR547" s="34" t="str">
        <f>IF(E547="","",CONCATENATE(E547," ",F547," noches"))</f>
        <v/>
      </c>
      <c r="BS547" s="28" t="str">
        <f t="shared" ca="1" si="134"/>
        <v/>
      </c>
      <c r="BT547" s="28" t="str">
        <f t="shared" ca="1" si="135"/>
        <v/>
      </c>
    </row>
    <row r="548" spans="1:72" x14ac:dyDescent="0.2">
      <c r="A548" s="18" t="str" cm="1">
        <f t="array" aca="1" ref="A548" ca="1">IF(B548="","","Grupo N˚"&amp;SUMPRODUCT(($B$4:B548&lt;&gt;"")*($B$4:B548&lt;&gt;OFFSET($B$4,-1,0,ROWS($B$4:B548),1))))</f>
        <v/>
      </c>
      <c r="B548" s="31"/>
      <c r="C548" s="31"/>
      <c r="D548" s="31"/>
      <c r="E548" s="31"/>
      <c r="F548" s="32"/>
      <c r="G548" s="33"/>
      <c r="H548" s="33"/>
      <c r="I548" s="20" t="str">
        <f t="shared" si="124"/>
        <v/>
      </c>
      <c r="J548" s="21" t="str">
        <f>IFERROR(VLOOKUP(BR548,Pricing!$D$3:$E$58,2,FALSE),"")</f>
        <v/>
      </c>
      <c r="K548" s="32"/>
      <c r="L548" s="32"/>
      <c r="M548" s="32"/>
      <c r="N548" s="36" t="str" cm="1">
        <f t="array" ref="N548">IFERROR(_xlfn.IFS((AND(K548="SI",M548="$")),J548*0.2,AND(K548="SI",M548="%"),20),"")</f>
        <v/>
      </c>
      <c r="O548" s="29" t="str">
        <f t="shared" si="125"/>
        <v/>
      </c>
      <c r="P548" s="21" t="str">
        <f t="shared" si="126"/>
        <v/>
      </c>
      <c r="Q548" s="21" t="str">
        <f t="shared" si="127"/>
        <v/>
      </c>
      <c r="R548" s="21" t="str">
        <f t="shared" si="128"/>
        <v/>
      </c>
      <c r="S548" s="39"/>
      <c r="T548" s="43" t="str">
        <f t="shared" si="136"/>
        <v/>
      </c>
      <c r="U548" s="49" t="str">
        <f t="shared" si="137"/>
        <v/>
      </c>
      <c r="V548" s="48" t="str">
        <f t="shared" si="138"/>
        <v/>
      </c>
      <c r="W548" s="48" t="str">
        <f t="shared" si="129"/>
        <v/>
      </c>
      <c r="X548" s="50" t="str">
        <f>IF(W548="","",SUMIF($B$4:$B$1002,B548,$W$4:$W$1000))</f>
        <v/>
      </c>
      <c r="Y548" s="43" t="str">
        <f t="shared" si="130"/>
        <v/>
      </c>
      <c r="Z548" s="49" t="str">
        <f t="shared" si="131"/>
        <v/>
      </c>
      <c r="AA548" s="48" t="str">
        <f t="shared" si="132"/>
        <v/>
      </c>
      <c r="AB548" s="49" t="str">
        <f t="shared" si="133"/>
        <v/>
      </c>
      <c r="AC548" s="50" t="str">
        <f>IF(AB548="","",SUMIF($B$4:$B$1002,B548,$AB$4:$AB$1000))</f>
        <v/>
      </c>
      <c r="AD548" s="69"/>
      <c r="AE548" s="56"/>
      <c r="AF548" s="52"/>
      <c r="AG548" s="51"/>
      <c r="AH548" s="70"/>
      <c r="AI548" s="58"/>
      <c r="AJ548" s="55"/>
      <c r="AK548" s="51"/>
      <c r="AL548" s="69"/>
      <c r="AM548" s="56"/>
      <c r="AN548" s="52"/>
      <c r="AO548" s="51"/>
      <c r="AP548" s="70"/>
      <c r="AQ548" s="58"/>
      <c r="AR548" s="55"/>
      <c r="AS548" s="51"/>
      <c r="AT548" s="69"/>
      <c r="AU548" s="56"/>
      <c r="AV548" s="52"/>
      <c r="AW548" s="51"/>
      <c r="BR548" s="34" t="str">
        <f>IF(E548="","",CONCATENATE(E548," ",F548," noches"))</f>
        <v/>
      </c>
      <c r="BS548" s="28" t="str">
        <f t="shared" ca="1" si="134"/>
        <v/>
      </c>
      <c r="BT548" s="28" t="str">
        <f t="shared" ca="1" si="135"/>
        <v/>
      </c>
    </row>
    <row r="549" spans="1:72" x14ac:dyDescent="0.2">
      <c r="A549" s="18" t="str" cm="1">
        <f t="array" aca="1" ref="A549" ca="1">IF(B549="","","Grupo N˚"&amp;SUMPRODUCT(($B$4:B549&lt;&gt;"")*($B$4:B549&lt;&gt;OFFSET($B$4,-1,0,ROWS($B$4:B549),1))))</f>
        <v/>
      </c>
      <c r="B549" s="31"/>
      <c r="C549" s="31"/>
      <c r="D549" s="31"/>
      <c r="E549" s="31"/>
      <c r="F549" s="32"/>
      <c r="G549" s="33"/>
      <c r="H549" s="33"/>
      <c r="I549" s="20" t="str">
        <f t="shared" si="124"/>
        <v/>
      </c>
      <c r="J549" s="21" t="str">
        <f>IFERROR(VLOOKUP(BR549,Pricing!$D$3:$E$58,2,FALSE),"")</f>
        <v/>
      </c>
      <c r="K549" s="32"/>
      <c r="L549" s="32"/>
      <c r="M549" s="32"/>
      <c r="N549" s="36" t="str" cm="1">
        <f t="array" ref="N549">IFERROR(_xlfn.IFS((AND(K549="SI",M549="$")),J549*0.2,AND(K549="SI",M549="%"),20),"")</f>
        <v/>
      </c>
      <c r="O549" s="29" t="str">
        <f t="shared" si="125"/>
        <v/>
      </c>
      <c r="P549" s="21" t="str">
        <f t="shared" si="126"/>
        <v/>
      </c>
      <c r="Q549" s="21" t="str">
        <f t="shared" si="127"/>
        <v/>
      </c>
      <c r="R549" s="21" t="str">
        <f t="shared" si="128"/>
        <v/>
      </c>
      <c r="S549" s="39"/>
      <c r="T549" s="43" t="str">
        <f t="shared" si="136"/>
        <v/>
      </c>
      <c r="U549" s="49" t="str">
        <f t="shared" si="137"/>
        <v/>
      </c>
      <c r="V549" s="48" t="str">
        <f t="shared" si="138"/>
        <v/>
      </c>
      <c r="W549" s="48" t="str">
        <f t="shared" si="129"/>
        <v/>
      </c>
      <c r="X549" s="50" t="str">
        <f>IF(W549="","",SUMIF($B$4:$B$1002,B549,$W$4:$W$1000))</f>
        <v/>
      </c>
      <c r="Y549" s="43" t="str">
        <f t="shared" si="130"/>
        <v/>
      </c>
      <c r="Z549" s="49" t="str">
        <f t="shared" si="131"/>
        <v/>
      </c>
      <c r="AA549" s="48" t="str">
        <f t="shared" si="132"/>
        <v/>
      </c>
      <c r="AB549" s="49" t="str">
        <f t="shared" si="133"/>
        <v/>
      </c>
      <c r="AC549" s="50" t="str">
        <f>IF(AB549="","",SUMIF($B$4:$B$1002,B549,$AB$4:$AB$1000))</f>
        <v/>
      </c>
      <c r="AD549" s="69"/>
      <c r="AE549" s="56"/>
      <c r="AF549" s="52"/>
      <c r="AG549" s="51"/>
      <c r="AH549" s="70"/>
      <c r="AI549" s="58"/>
      <c r="AJ549" s="55"/>
      <c r="AK549" s="51"/>
      <c r="AL549" s="69"/>
      <c r="AM549" s="56"/>
      <c r="AN549" s="52"/>
      <c r="AO549" s="51"/>
      <c r="AP549" s="70"/>
      <c r="AQ549" s="58"/>
      <c r="AR549" s="55"/>
      <c r="AS549" s="51"/>
      <c r="AT549" s="69"/>
      <c r="AU549" s="56"/>
      <c r="AV549" s="52"/>
      <c r="AW549" s="51"/>
      <c r="BR549" s="34" t="str">
        <f>IF(E549="","",CONCATENATE(E549," ",F549," noches"))</f>
        <v/>
      </c>
      <c r="BS549" s="28" t="str">
        <f t="shared" ca="1" si="134"/>
        <v/>
      </c>
      <c r="BT549" s="28" t="str">
        <f t="shared" ca="1" si="135"/>
        <v/>
      </c>
    </row>
    <row r="550" spans="1:72" x14ac:dyDescent="0.2">
      <c r="A550" s="18" t="str" cm="1">
        <f t="array" aca="1" ref="A550" ca="1">IF(B550="","","Grupo N˚"&amp;SUMPRODUCT(($B$4:B550&lt;&gt;"")*($B$4:B550&lt;&gt;OFFSET($B$4,-1,0,ROWS($B$4:B550),1))))</f>
        <v/>
      </c>
      <c r="B550" s="31"/>
      <c r="C550" s="31"/>
      <c r="D550" s="31"/>
      <c r="E550" s="31"/>
      <c r="F550" s="32"/>
      <c r="G550" s="33"/>
      <c r="H550" s="33"/>
      <c r="I550" s="20" t="str">
        <f t="shared" si="124"/>
        <v/>
      </c>
      <c r="J550" s="21" t="str">
        <f>IFERROR(VLOOKUP(BR550,Pricing!$D$3:$E$58,2,FALSE),"")</f>
        <v/>
      </c>
      <c r="K550" s="32"/>
      <c r="L550" s="32"/>
      <c r="M550" s="32"/>
      <c r="N550" s="36" t="str" cm="1">
        <f t="array" ref="N550">IFERROR(_xlfn.IFS((AND(K550="SI",M550="$")),J550*0.2,AND(K550="SI",M550="%"),20),"")</f>
        <v/>
      </c>
      <c r="O550" s="29" t="str">
        <f t="shared" si="125"/>
        <v/>
      </c>
      <c r="P550" s="21" t="str">
        <f t="shared" si="126"/>
        <v/>
      </c>
      <c r="Q550" s="21" t="str">
        <f t="shared" si="127"/>
        <v/>
      </c>
      <c r="R550" s="21" t="str">
        <f t="shared" si="128"/>
        <v/>
      </c>
      <c r="S550" s="39"/>
      <c r="T550" s="43" t="str">
        <f t="shared" si="136"/>
        <v/>
      </c>
      <c r="U550" s="49" t="str">
        <f t="shared" si="137"/>
        <v/>
      </c>
      <c r="V550" s="48" t="str">
        <f t="shared" si="138"/>
        <v/>
      </c>
      <c r="W550" s="48" t="str">
        <f t="shared" si="129"/>
        <v/>
      </c>
      <c r="X550" s="50" t="str">
        <f>IF(W550="","",SUMIF($B$4:$B$1002,B550,$W$4:$W$1000))</f>
        <v/>
      </c>
      <c r="Y550" s="43" t="str">
        <f t="shared" si="130"/>
        <v/>
      </c>
      <c r="Z550" s="49" t="str">
        <f t="shared" si="131"/>
        <v/>
      </c>
      <c r="AA550" s="48" t="str">
        <f t="shared" si="132"/>
        <v/>
      </c>
      <c r="AB550" s="49" t="str">
        <f t="shared" si="133"/>
        <v/>
      </c>
      <c r="AC550" s="50" t="str">
        <f>IF(AB550="","",SUMIF($B$4:$B$1002,B550,$AB$4:$AB$1000))</f>
        <v/>
      </c>
      <c r="AD550" s="69"/>
      <c r="AE550" s="56"/>
      <c r="AF550" s="52"/>
      <c r="AG550" s="51"/>
      <c r="AH550" s="70"/>
      <c r="AI550" s="58"/>
      <c r="AJ550" s="55"/>
      <c r="AK550" s="51"/>
      <c r="AL550" s="69"/>
      <c r="AM550" s="56"/>
      <c r="AN550" s="52"/>
      <c r="AO550" s="51"/>
      <c r="AP550" s="70"/>
      <c r="AQ550" s="58"/>
      <c r="AR550" s="55"/>
      <c r="AS550" s="51"/>
      <c r="AT550" s="69"/>
      <c r="AU550" s="56"/>
      <c r="AV550" s="52"/>
      <c r="AW550" s="51"/>
      <c r="BR550" s="34" t="str">
        <f>IF(E550="","",CONCATENATE(E550," ",F550," noches"))</f>
        <v/>
      </c>
      <c r="BS550" s="28" t="str">
        <f t="shared" ca="1" si="134"/>
        <v/>
      </c>
      <c r="BT550" s="28" t="str">
        <f t="shared" ca="1" si="135"/>
        <v/>
      </c>
    </row>
    <row r="551" spans="1:72" x14ac:dyDescent="0.2">
      <c r="A551" s="18" t="str" cm="1">
        <f t="array" aca="1" ref="A551" ca="1">IF(B551="","","Grupo N˚"&amp;SUMPRODUCT(($B$4:B551&lt;&gt;"")*($B$4:B551&lt;&gt;OFFSET($B$4,-1,0,ROWS($B$4:B551),1))))</f>
        <v/>
      </c>
      <c r="B551" s="31"/>
      <c r="C551" s="31"/>
      <c r="D551" s="31"/>
      <c r="E551" s="31"/>
      <c r="F551" s="32"/>
      <c r="G551" s="33"/>
      <c r="H551" s="33"/>
      <c r="I551" s="20" t="str">
        <f t="shared" si="124"/>
        <v/>
      </c>
      <c r="J551" s="21" t="str">
        <f>IFERROR(VLOOKUP(BR551,Pricing!$D$3:$E$58,2,FALSE),"")</f>
        <v/>
      </c>
      <c r="K551" s="32"/>
      <c r="L551" s="32"/>
      <c r="M551" s="32"/>
      <c r="N551" s="36" t="str" cm="1">
        <f t="array" ref="N551">IFERROR(_xlfn.IFS((AND(K551="SI",M551="$")),J551*0.2,AND(K551="SI",M551="%"),20),"")</f>
        <v/>
      </c>
      <c r="O551" s="29" t="str">
        <f t="shared" si="125"/>
        <v/>
      </c>
      <c r="P551" s="21" t="str">
        <f t="shared" si="126"/>
        <v/>
      </c>
      <c r="Q551" s="21" t="str">
        <f t="shared" si="127"/>
        <v/>
      </c>
      <c r="R551" s="21" t="str">
        <f t="shared" si="128"/>
        <v/>
      </c>
      <c r="S551" s="39"/>
      <c r="T551" s="43" t="str">
        <f t="shared" si="136"/>
        <v/>
      </c>
      <c r="U551" s="49" t="str">
        <f t="shared" si="137"/>
        <v/>
      </c>
      <c r="V551" s="48" t="str">
        <f t="shared" si="138"/>
        <v/>
      </c>
      <c r="W551" s="48" t="str">
        <f t="shared" si="129"/>
        <v/>
      </c>
      <c r="X551" s="50" t="str">
        <f>IF(W551="","",SUMIF($B$4:$B$1002,B551,$W$4:$W$1000))</f>
        <v/>
      </c>
      <c r="Y551" s="43" t="str">
        <f t="shared" si="130"/>
        <v/>
      </c>
      <c r="Z551" s="49" t="str">
        <f t="shared" si="131"/>
        <v/>
      </c>
      <c r="AA551" s="48" t="str">
        <f t="shared" si="132"/>
        <v/>
      </c>
      <c r="AB551" s="49" t="str">
        <f t="shared" si="133"/>
        <v/>
      </c>
      <c r="AC551" s="50" t="str">
        <f>IF(AB551="","",SUMIF($B$4:$B$1002,B551,$AB$4:$AB$1000))</f>
        <v/>
      </c>
      <c r="AD551" s="69"/>
      <c r="AE551" s="56"/>
      <c r="AF551" s="52"/>
      <c r="AG551" s="51"/>
      <c r="AH551" s="70"/>
      <c r="AI551" s="58"/>
      <c r="AJ551" s="55"/>
      <c r="AK551" s="51"/>
      <c r="AL551" s="69"/>
      <c r="AM551" s="56"/>
      <c r="AN551" s="52"/>
      <c r="AO551" s="51"/>
      <c r="AP551" s="70"/>
      <c r="AQ551" s="58"/>
      <c r="AR551" s="55"/>
      <c r="AS551" s="51"/>
      <c r="AT551" s="69"/>
      <c r="AU551" s="56"/>
      <c r="AV551" s="52"/>
      <c r="AW551" s="51"/>
      <c r="BR551" s="34" t="str">
        <f>IF(E551="","",CONCATENATE(E551," ",F551," noches"))</f>
        <v/>
      </c>
      <c r="BS551" s="28" t="str">
        <f t="shared" ca="1" si="134"/>
        <v/>
      </c>
      <c r="BT551" s="28" t="str">
        <f t="shared" ca="1" si="135"/>
        <v/>
      </c>
    </row>
    <row r="552" spans="1:72" x14ac:dyDescent="0.2">
      <c r="A552" s="18" t="str" cm="1">
        <f t="array" aca="1" ref="A552" ca="1">IF(B552="","","Grupo N˚"&amp;SUMPRODUCT(($B$4:B552&lt;&gt;"")*($B$4:B552&lt;&gt;OFFSET($B$4,-1,0,ROWS($B$4:B552),1))))</f>
        <v/>
      </c>
      <c r="B552" s="31"/>
      <c r="C552" s="31"/>
      <c r="D552" s="31"/>
      <c r="E552" s="31"/>
      <c r="F552" s="32"/>
      <c r="G552" s="33"/>
      <c r="H552" s="33"/>
      <c r="I552" s="20" t="str">
        <f t="shared" si="124"/>
        <v/>
      </c>
      <c r="J552" s="21" t="str">
        <f>IFERROR(VLOOKUP(BR552,Pricing!$D$3:$E$58,2,FALSE),"")</f>
        <v/>
      </c>
      <c r="K552" s="32"/>
      <c r="L552" s="32"/>
      <c r="M552" s="32"/>
      <c r="N552" s="36" t="str" cm="1">
        <f t="array" ref="N552">IFERROR(_xlfn.IFS((AND(K552="SI",M552="$")),J552*0.2,AND(K552="SI",M552="%"),20),"")</f>
        <v/>
      </c>
      <c r="O552" s="29" t="str">
        <f t="shared" si="125"/>
        <v/>
      </c>
      <c r="P552" s="21" t="str">
        <f t="shared" si="126"/>
        <v/>
      </c>
      <c r="Q552" s="21" t="str">
        <f t="shared" si="127"/>
        <v/>
      </c>
      <c r="R552" s="21" t="str">
        <f t="shared" si="128"/>
        <v/>
      </c>
      <c r="S552" s="39"/>
      <c r="T552" s="43" t="str">
        <f t="shared" si="136"/>
        <v/>
      </c>
      <c r="U552" s="49" t="str">
        <f t="shared" si="137"/>
        <v/>
      </c>
      <c r="V552" s="48" t="str">
        <f t="shared" si="138"/>
        <v/>
      </c>
      <c r="W552" s="48" t="str">
        <f t="shared" si="129"/>
        <v/>
      </c>
      <c r="X552" s="50" t="str">
        <f>IF(W552="","",SUMIF($B$4:$B$1002,B552,$W$4:$W$1000))</f>
        <v/>
      </c>
      <c r="Y552" s="43" t="str">
        <f t="shared" si="130"/>
        <v/>
      </c>
      <c r="Z552" s="49" t="str">
        <f t="shared" si="131"/>
        <v/>
      </c>
      <c r="AA552" s="48" t="str">
        <f t="shared" si="132"/>
        <v/>
      </c>
      <c r="AB552" s="49" t="str">
        <f t="shared" si="133"/>
        <v/>
      </c>
      <c r="AC552" s="50" t="str">
        <f>IF(AB552="","",SUMIF($B$4:$B$1002,B552,$AB$4:$AB$1000))</f>
        <v/>
      </c>
      <c r="AD552" s="69"/>
      <c r="AE552" s="56"/>
      <c r="AF552" s="52"/>
      <c r="AG552" s="51"/>
      <c r="AH552" s="70"/>
      <c r="AI552" s="58"/>
      <c r="AJ552" s="55"/>
      <c r="AK552" s="51"/>
      <c r="AL552" s="69"/>
      <c r="AM552" s="56"/>
      <c r="AN552" s="52"/>
      <c r="AO552" s="51"/>
      <c r="AP552" s="70"/>
      <c r="AQ552" s="58"/>
      <c r="AR552" s="55"/>
      <c r="AS552" s="51"/>
      <c r="AT552" s="69"/>
      <c r="AU552" s="56"/>
      <c r="AV552" s="52"/>
      <c r="AW552" s="51"/>
      <c r="BR552" s="34" t="str">
        <f>IF(E552="","",CONCATENATE(E552," ",F552," noches"))</f>
        <v/>
      </c>
      <c r="BS552" s="28" t="str">
        <f t="shared" ca="1" si="134"/>
        <v/>
      </c>
      <c r="BT552" s="28" t="str">
        <f t="shared" ca="1" si="135"/>
        <v/>
      </c>
    </row>
    <row r="553" spans="1:72" x14ac:dyDescent="0.2">
      <c r="A553" s="18" t="str" cm="1">
        <f t="array" aca="1" ref="A553" ca="1">IF(B553="","","Grupo N˚"&amp;SUMPRODUCT(($B$4:B553&lt;&gt;"")*($B$4:B553&lt;&gt;OFFSET($B$4,-1,0,ROWS($B$4:B553),1))))</f>
        <v/>
      </c>
      <c r="B553" s="31"/>
      <c r="C553" s="31"/>
      <c r="D553" s="31"/>
      <c r="E553" s="31"/>
      <c r="F553" s="32"/>
      <c r="G553" s="33"/>
      <c r="H553" s="33"/>
      <c r="I553" s="20" t="str">
        <f t="shared" si="124"/>
        <v/>
      </c>
      <c r="J553" s="21" t="str">
        <f>IFERROR(VLOOKUP(BR553,Pricing!$D$3:$E$58,2,FALSE),"")</f>
        <v/>
      </c>
      <c r="K553" s="32"/>
      <c r="L553" s="32"/>
      <c r="M553" s="32"/>
      <c r="N553" s="36" t="str" cm="1">
        <f t="array" ref="N553">IFERROR(_xlfn.IFS((AND(K553="SI",M553="$")),J553*0.2,AND(K553="SI",M553="%"),20),"")</f>
        <v/>
      </c>
      <c r="O553" s="29" t="str">
        <f t="shared" si="125"/>
        <v/>
      </c>
      <c r="P553" s="21" t="str">
        <f t="shared" si="126"/>
        <v/>
      </c>
      <c r="Q553" s="21" t="str">
        <f t="shared" si="127"/>
        <v/>
      </c>
      <c r="R553" s="21" t="str">
        <f t="shared" si="128"/>
        <v/>
      </c>
      <c r="S553" s="39"/>
      <c r="T553" s="43" t="str">
        <f t="shared" si="136"/>
        <v/>
      </c>
      <c r="U553" s="49" t="str">
        <f t="shared" si="137"/>
        <v/>
      </c>
      <c r="V553" s="48" t="str">
        <f t="shared" si="138"/>
        <v/>
      </c>
      <c r="W553" s="48" t="str">
        <f t="shared" si="129"/>
        <v/>
      </c>
      <c r="X553" s="50" t="str">
        <f>IF(W553="","",SUMIF($B$4:$B$1002,B553,$W$4:$W$1000))</f>
        <v/>
      </c>
      <c r="Y553" s="43" t="str">
        <f t="shared" si="130"/>
        <v/>
      </c>
      <c r="Z553" s="49" t="str">
        <f t="shared" si="131"/>
        <v/>
      </c>
      <c r="AA553" s="48" t="str">
        <f t="shared" si="132"/>
        <v/>
      </c>
      <c r="AB553" s="49" t="str">
        <f t="shared" si="133"/>
        <v/>
      </c>
      <c r="AC553" s="50" t="str">
        <f>IF(AB553="","",SUMIF($B$4:$B$1002,B553,$AB$4:$AB$1000))</f>
        <v/>
      </c>
      <c r="AD553" s="69"/>
      <c r="AE553" s="56"/>
      <c r="AF553" s="52"/>
      <c r="AG553" s="51"/>
      <c r="AH553" s="70"/>
      <c r="AI553" s="58"/>
      <c r="AJ553" s="55"/>
      <c r="AK553" s="51"/>
      <c r="AL553" s="69"/>
      <c r="AM553" s="56"/>
      <c r="AN553" s="52"/>
      <c r="AO553" s="51"/>
      <c r="AP553" s="70"/>
      <c r="AQ553" s="58"/>
      <c r="AR553" s="55"/>
      <c r="AS553" s="51"/>
      <c r="AT553" s="69"/>
      <c r="AU553" s="56"/>
      <c r="AV553" s="52"/>
      <c r="AW553" s="51"/>
      <c r="BR553" s="34" t="str">
        <f>IF(E553="","",CONCATENATE(E553," ",F553," noches"))</f>
        <v/>
      </c>
      <c r="BS553" s="28" t="str">
        <f t="shared" ca="1" si="134"/>
        <v/>
      </c>
      <c r="BT553" s="28" t="str">
        <f t="shared" ca="1" si="135"/>
        <v/>
      </c>
    </row>
    <row r="554" spans="1:72" x14ac:dyDescent="0.2">
      <c r="A554" s="18" t="str" cm="1">
        <f t="array" aca="1" ref="A554" ca="1">IF(B554="","","Grupo N˚"&amp;SUMPRODUCT(($B$4:B554&lt;&gt;"")*($B$4:B554&lt;&gt;OFFSET($B$4,-1,0,ROWS($B$4:B554),1))))</f>
        <v/>
      </c>
      <c r="B554" s="31"/>
      <c r="C554" s="31"/>
      <c r="D554" s="31"/>
      <c r="E554" s="31"/>
      <c r="F554" s="32"/>
      <c r="G554" s="33"/>
      <c r="H554" s="33"/>
      <c r="I554" s="20" t="str">
        <f t="shared" si="124"/>
        <v/>
      </c>
      <c r="J554" s="21" t="str">
        <f>IFERROR(VLOOKUP(BR554,Pricing!$D$3:$E$58,2,FALSE),"")</f>
        <v/>
      </c>
      <c r="K554" s="32"/>
      <c r="L554" s="32"/>
      <c r="M554" s="32"/>
      <c r="N554" s="36" t="str" cm="1">
        <f t="array" ref="N554">IFERROR(_xlfn.IFS((AND(K554="SI",M554="$")),J554*0.2,AND(K554="SI",M554="%"),20),"")</f>
        <v/>
      </c>
      <c r="O554" s="29" t="str">
        <f t="shared" si="125"/>
        <v/>
      </c>
      <c r="P554" s="21" t="str">
        <f t="shared" si="126"/>
        <v/>
      </c>
      <c r="Q554" s="21" t="str">
        <f t="shared" si="127"/>
        <v/>
      </c>
      <c r="R554" s="21" t="str">
        <f t="shared" si="128"/>
        <v/>
      </c>
      <c r="S554" s="39"/>
      <c r="T554" s="43" t="str">
        <f t="shared" si="136"/>
        <v/>
      </c>
      <c r="U554" s="49" t="str">
        <f t="shared" si="137"/>
        <v/>
      </c>
      <c r="V554" s="48" t="str">
        <f t="shared" si="138"/>
        <v/>
      </c>
      <c r="W554" s="48" t="str">
        <f t="shared" si="129"/>
        <v/>
      </c>
      <c r="X554" s="50" t="str">
        <f>IF(W554="","",SUMIF($B$4:$B$1002,B554,$W$4:$W$1000))</f>
        <v/>
      </c>
      <c r="Y554" s="43" t="str">
        <f t="shared" si="130"/>
        <v/>
      </c>
      <c r="Z554" s="49" t="str">
        <f t="shared" si="131"/>
        <v/>
      </c>
      <c r="AA554" s="48" t="str">
        <f t="shared" si="132"/>
        <v/>
      </c>
      <c r="AB554" s="49" t="str">
        <f t="shared" si="133"/>
        <v/>
      </c>
      <c r="AC554" s="50" t="str">
        <f>IF(AB554="","",SUMIF($B$4:$B$1002,B554,$AB$4:$AB$1000))</f>
        <v/>
      </c>
      <c r="AD554" s="69"/>
      <c r="AE554" s="56"/>
      <c r="AF554" s="52"/>
      <c r="AG554" s="51"/>
      <c r="AH554" s="70"/>
      <c r="AI554" s="58"/>
      <c r="AJ554" s="55"/>
      <c r="AK554" s="51"/>
      <c r="AL554" s="69"/>
      <c r="AM554" s="56"/>
      <c r="AN554" s="52"/>
      <c r="AO554" s="51"/>
      <c r="AP554" s="70"/>
      <c r="AQ554" s="58"/>
      <c r="AR554" s="55"/>
      <c r="AS554" s="51"/>
      <c r="AT554" s="69"/>
      <c r="AU554" s="56"/>
      <c r="AV554" s="52"/>
      <c r="AW554" s="51"/>
      <c r="BR554" s="34" t="str">
        <f>IF(E554="","",CONCATENATE(E554," ",F554," noches"))</f>
        <v/>
      </c>
      <c r="BS554" s="28" t="str">
        <f t="shared" ca="1" si="134"/>
        <v/>
      </c>
      <c r="BT554" s="28" t="str">
        <f t="shared" ca="1" si="135"/>
        <v/>
      </c>
    </row>
    <row r="555" spans="1:72" x14ac:dyDescent="0.2">
      <c r="A555" s="18" t="str" cm="1">
        <f t="array" aca="1" ref="A555" ca="1">IF(B555="","","Grupo N˚"&amp;SUMPRODUCT(($B$4:B555&lt;&gt;"")*($B$4:B555&lt;&gt;OFFSET($B$4,-1,0,ROWS($B$4:B555),1))))</f>
        <v/>
      </c>
      <c r="B555" s="31"/>
      <c r="C555" s="31"/>
      <c r="D555" s="31"/>
      <c r="E555" s="31"/>
      <c r="F555" s="32"/>
      <c r="G555" s="33"/>
      <c r="H555" s="33"/>
      <c r="I555" s="20" t="str">
        <f t="shared" si="124"/>
        <v/>
      </c>
      <c r="J555" s="21" t="str">
        <f>IFERROR(VLOOKUP(BR555,Pricing!$D$3:$E$58,2,FALSE),"")</f>
        <v/>
      </c>
      <c r="K555" s="32"/>
      <c r="L555" s="32"/>
      <c r="M555" s="32"/>
      <c r="N555" s="36" t="str" cm="1">
        <f t="array" ref="N555">IFERROR(_xlfn.IFS((AND(K555="SI",M555="$")),J555*0.2,AND(K555="SI",M555="%"),20),"")</f>
        <v/>
      </c>
      <c r="O555" s="29" t="str">
        <f t="shared" si="125"/>
        <v/>
      </c>
      <c r="P555" s="21" t="str">
        <f t="shared" si="126"/>
        <v/>
      </c>
      <c r="Q555" s="21" t="str">
        <f t="shared" si="127"/>
        <v/>
      </c>
      <c r="R555" s="21" t="str">
        <f t="shared" si="128"/>
        <v/>
      </c>
      <c r="S555" s="39"/>
      <c r="T555" s="43" t="str">
        <f t="shared" si="136"/>
        <v/>
      </c>
      <c r="U555" s="49" t="str">
        <f t="shared" si="137"/>
        <v/>
      </c>
      <c r="V555" s="48" t="str">
        <f t="shared" si="138"/>
        <v/>
      </c>
      <c r="W555" s="48" t="str">
        <f t="shared" si="129"/>
        <v/>
      </c>
      <c r="X555" s="50" t="str">
        <f>IF(W555="","",SUMIF($B$4:$B$1002,B555,$W$4:$W$1000))</f>
        <v/>
      </c>
      <c r="Y555" s="43" t="str">
        <f t="shared" si="130"/>
        <v/>
      </c>
      <c r="Z555" s="49" t="str">
        <f t="shared" si="131"/>
        <v/>
      </c>
      <c r="AA555" s="48" t="str">
        <f t="shared" si="132"/>
        <v/>
      </c>
      <c r="AB555" s="49" t="str">
        <f t="shared" si="133"/>
        <v/>
      </c>
      <c r="AC555" s="50" t="str">
        <f>IF(AB555="","",SUMIF($B$4:$B$1002,B555,$AB$4:$AB$1000))</f>
        <v/>
      </c>
      <c r="AD555" s="69"/>
      <c r="AE555" s="56"/>
      <c r="AF555" s="52"/>
      <c r="AG555" s="51"/>
      <c r="AH555" s="70"/>
      <c r="AI555" s="58"/>
      <c r="AJ555" s="55"/>
      <c r="AK555" s="51"/>
      <c r="AL555" s="69"/>
      <c r="AM555" s="56"/>
      <c r="AN555" s="52"/>
      <c r="AO555" s="51"/>
      <c r="AP555" s="70"/>
      <c r="AQ555" s="58"/>
      <c r="AR555" s="55"/>
      <c r="AS555" s="51"/>
      <c r="AT555" s="69"/>
      <c r="AU555" s="56"/>
      <c r="AV555" s="52"/>
      <c r="AW555" s="51"/>
      <c r="BR555" s="34" t="str">
        <f>IF(E555="","",CONCATENATE(E555," ",F555," noches"))</f>
        <v/>
      </c>
      <c r="BS555" s="28" t="str">
        <f t="shared" ca="1" si="134"/>
        <v/>
      </c>
      <c r="BT555" s="28" t="str">
        <f t="shared" ca="1" si="135"/>
        <v/>
      </c>
    </row>
    <row r="556" spans="1:72" x14ac:dyDescent="0.2">
      <c r="A556" s="18" t="str" cm="1">
        <f t="array" aca="1" ref="A556" ca="1">IF(B556="","","Grupo N˚"&amp;SUMPRODUCT(($B$4:B556&lt;&gt;"")*($B$4:B556&lt;&gt;OFFSET($B$4,-1,0,ROWS($B$4:B556),1))))</f>
        <v/>
      </c>
      <c r="B556" s="31"/>
      <c r="C556" s="31"/>
      <c r="D556" s="31"/>
      <c r="E556" s="31"/>
      <c r="F556" s="32"/>
      <c r="G556" s="33"/>
      <c r="H556" s="33"/>
      <c r="I556" s="20" t="str">
        <f t="shared" si="124"/>
        <v/>
      </c>
      <c r="J556" s="21" t="str">
        <f>IFERROR(VLOOKUP(BR556,Pricing!$D$3:$E$58,2,FALSE),"")</f>
        <v/>
      </c>
      <c r="K556" s="32"/>
      <c r="L556" s="32"/>
      <c r="M556" s="32"/>
      <c r="N556" s="36" t="str" cm="1">
        <f t="array" ref="N556">IFERROR(_xlfn.IFS((AND(K556="SI",M556="$")),J556*0.2,AND(K556="SI",M556="%"),20),"")</f>
        <v/>
      </c>
      <c r="O556" s="29" t="str">
        <f t="shared" si="125"/>
        <v/>
      </c>
      <c r="P556" s="21" t="str">
        <f t="shared" si="126"/>
        <v/>
      </c>
      <c r="Q556" s="21" t="str">
        <f t="shared" si="127"/>
        <v/>
      </c>
      <c r="R556" s="21" t="str">
        <f t="shared" si="128"/>
        <v/>
      </c>
      <c r="S556" s="39"/>
      <c r="T556" s="43" t="str">
        <f t="shared" si="136"/>
        <v/>
      </c>
      <c r="U556" s="49" t="str">
        <f t="shared" si="137"/>
        <v/>
      </c>
      <c r="V556" s="48" t="str">
        <f t="shared" si="138"/>
        <v/>
      </c>
      <c r="W556" s="48" t="str">
        <f t="shared" si="129"/>
        <v/>
      </c>
      <c r="X556" s="50" t="str">
        <f>IF(W556="","",SUMIF($B$4:$B$1002,B556,$W$4:$W$1000))</f>
        <v/>
      </c>
      <c r="Y556" s="43" t="str">
        <f t="shared" si="130"/>
        <v/>
      </c>
      <c r="Z556" s="49" t="str">
        <f t="shared" si="131"/>
        <v/>
      </c>
      <c r="AA556" s="48" t="str">
        <f t="shared" si="132"/>
        <v/>
      </c>
      <c r="AB556" s="49" t="str">
        <f t="shared" si="133"/>
        <v/>
      </c>
      <c r="AC556" s="50" t="str">
        <f>IF(AB556="","",SUMIF($B$4:$B$1002,B556,$AB$4:$AB$1000))</f>
        <v/>
      </c>
      <c r="AD556" s="69"/>
      <c r="AE556" s="56"/>
      <c r="AF556" s="52"/>
      <c r="AG556" s="51"/>
      <c r="AH556" s="70"/>
      <c r="AI556" s="58"/>
      <c r="AJ556" s="55"/>
      <c r="AK556" s="51"/>
      <c r="AL556" s="69"/>
      <c r="AM556" s="56"/>
      <c r="AN556" s="52"/>
      <c r="AO556" s="51"/>
      <c r="AP556" s="70"/>
      <c r="AQ556" s="58"/>
      <c r="AR556" s="55"/>
      <c r="AS556" s="51"/>
      <c r="AT556" s="69"/>
      <c r="AU556" s="56"/>
      <c r="AV556" s="52"/>
      <c r="AW556" s="51"/>
      <c r="BR556" s="34" t="str">
        <f>IF(E556="","",CONCATENATE(E556," ",F556," noches"))</f>
        <v/>
      </c>
      <c r="BS556" s="28" t="str">
        <f t="shared" ca="1" si="134"/>
        <v/>
      </c>
      <c r="BT556" s="28" t="str">
        <f t="shared" ca="1" si="135"/>
        <v/>
      </c>
    </row>
    <row r="557" spans="1:72" x14ac:dyDescent="0.2">
      <c r="A557" s="18" t="str" cm="1">
        <f t="array" aca="1" ref="A557" ca="1">IF(B557="","","Grupo N˚"&amp;SUMPRODUCT(($B$4:B557&lt;&gt;"")*($B$4:B557&lt;&gt;OFFSET($B$4,-1,0,ROWS($B$4:B557),1))))</f>
        <v/>
      </c>
      <c r="B557" s="31"/>
      <c r="C557" s="31"/>
      <c r="D557" s="31"/>
      <c r="E557" s="31"/>
      <c r="F557" s="32"/>
      <c r="G557" s="33"/>
      <c r="H557" s="33"/>
      <c r="I557" s="20" t="str">
        <f t="shared" si="124"/>
        <v/>
      </c>
      <c r="J557" s="21" t="str">
        <f>IFERROR(VLOOKUP(BR557,Pricing!$D$3:$E$58,2,FALSE),"")</f>
        <v/>
      </c>
      <c r="K557" s="32"/>
      <c r="L557" s="32"/>
      <c r="M557" s="32"/>
      <c r="N557" s="36" t="str" cm="1">
        <f t="array" ref="N557">IFERROR(_xlfn.IFS((AND(K557="SI",M557="$")),J557*0.2,AND(K557="SI",M557="%"),20),"")</f>
        <v/>
      </c>
      <c r="O557" s="29" t="str">
        <f t="shared" si="125"/>
        <v/>
      </c>
      <c r="P557" s="21" t="str">
        <f t="shared" si="126"/>
        <v/>
      </c>
      <c r="Q557" s="21" t="str">
        <f t="shared" si="127"/>
        <v/>
      </c>
      <c r="R557" s="21" t="str">
        <f t="shared" si="128"/>
        <v/>
      </c>
      <c r="S557" s="39"/>
      <c r="T557" s="43" t="str">
        <f t="shared" si="136"/>
        <v/>
      </c>
      <c r="U557" s="49" t="str">
        <f t="shared" si="137"/>
        <v/>
      </c>
      <c r="V557" s="48" t="str">
        <f t="shared" si="138"/>
        <v/>
      </c>
      <c r="W557" s="48" t="str">
        <f t="shared" si="129"/>
        <v/>
      </c>
      <c r="X557" s="50" t="str">
        <f>IF(W557="","",SUMIF($B$4:$B$1002,B557,$W$4:$W$1000))</f>
        <v/>
      </c>
      <c r="Y557" s="43" t="str">
        <f t="shared" si="130"/>
        <v/>
      </c>
      <c r="Z557" s="49" t="str">
        <f t="shared" si="131"/>
        <v/>
      </c>
      <c r="AA557" s="48" t="str">
        <f t="shared" si="132"/>
        <v/>
      </c>
      <c r="AB557" s="49" t="str">
        <f t="shared" si="133"/>
        <v/>
      </c>
      <c r="AC557" s="50" t="str">
        <f>IF(AB557="","",SUMIF($B$4:$B$1002,B557,$AB$4:$AB$1000))</f>
        <v/>
      </c>
      <c r="AD557" s="69"/>
      <c r="AE557" s="56"/>
      <c r="AF557" s="52"/>
      <c r="AG557" s="51"/>
      <c r="AH557" s="70"/>
      <c r="AI557" s="58"/>
      <c r="AJ557" s="55"/>
      <c r="AK557" s="51"/>
      <c r="AL557" s="69"/>
      <c r="AM557" s="56"/>
      <c r="AN557" s="52"/>
      <c r="AO557" s="51"/>
      <c r="AP557" s="70"/>
      <c r="AQ557" s="58"/>
      <c r="AR557" s="55"/>
      <c r="AS557" s="51"/>
      <c r="AT557" s="69"/>
      <c r="AU557" s="56"/>
      <c r="AV557" s="52"/>
      <c r="AW557" s="51"/>
      <c r="BR557" s="34" t="str">
        <f>IF(E557="","",CONCATENATE(E557," ",F557," noches"))</f>
        <v/>
      </c>
      <c r="BS557" s="28" t="str">
        <f t="shared" ca="1" si="134"/>
        <v/>
      </c>
      <c r="BT557" s="28" t="str">
        <f t="shared" ca="1" si="135"/>
        <v/>
      </c>
    </row>
    <row r="558" spans="1:72" x14ac:dyDescent="0.2">
      <c r="A558" s="18" t="str" cm="1">
        <f t="array" aca="1" ref="A558" ca="1">IF(B558="","","Grupo N˚"&amp;SUMPRODUCT(($B$4:B558&lt;&gt;"")*($B$4:B558&lt;&gt;OFFSET($B$4,-1,0,ROWS($B$4:B558),1))))</f>
        <v/>
      </c>
      <c r="B558" s="31"/>
      <c r="C558" s="31"/>
      <c r="D558" s="31"/>
      <c r="E558" s="31"/>
      <c r="F558" s="32"/>
      <c r="G558" s="33"/>
      <c r="H558" s="33"/>
      <c r="I558" s="20" t="str">
        <f t="shared" si="124"/>
        <v/>
      </c>
      <c r="J558" s="21" t="str">
        <f>IFERROR(VLOOKUP(BR558,Pricing!$D$3:$E$58,2,FALSE),"")</f>
        <v/>
      </c>
      <c r="K558" s="32"/>
      <c r="L558" s="32"/>
      <c r="M558" s="32"/>
      <c r="N558" s="36" t="str" cm="1">
        <f t="array" ref="N558">IFERROR(_xlfn.IFS((AND(K558="SI",M558="$")),J558*0.2,AND(K558="SI",M558="%"),20),"")</f>
        <v/>
      </c>
      <c r="O558" s="29" t="str">
        <f t="shared" si="125"/>
        <v/>
      </c>
      <c r="P558" s="21" t="str">
        <f t="shared" si="126"/>
        <v/>
      </c>
      <c r="Q558" s="21" t="str">
        <f t="shared" si="127"/>
        <v/>
      </c>
      <c r="R558" s="21" t="str">
        <f t="shared" si="128"/>
        <v/>
      </c>
      <c r="S558" s="39"/>
      <c r="T558" s="43" t="str">
        <f t="shared" si="136"/>
        <v/>
      </c>
      <c r="U558" s="49" t="str">
        <f t="shared" si="137"/>
        <v/>
      </c>
      <c r="V558" s="48" t="str">
        <f t="shared" si="138"/>
        <v/>
      </c>
      <c r="W558" s="48" t="str">
        <f t="shared" si="129"/>
        <v/>
      </c>
      <c r="X558" s="50" t="str">
        <f>IF(W558="","",SUMIF($B$4:$B$1002,B558,$W$4:$W$1000))</f>
        <v/>
      </c>
      <c r="Y558" s="43" t="str">
        <f t="shared" si="130"/>
        <v/>
      </c>
      <c r="Z558" s="49" t="str">
        <f t="shared" si="131"/>
        <v/>
      </c>
      <c r="AA558" s="48" t="str">
        <f t="shared" si="132"/>
        <v/>
      </c>
      <c r="AB558" s="49" t="str">
        <f t="shared" si="133"/>
        <v/>
      </c>
      <c r="AC558" s="50" t="str">
        <f>IF(AB558="","",SUMIF($B$4:$B$1002,B558,$AB$4:$AB$1000))</f>
        <v/>
      </c>
      <c r="AD558" s="69"/>
      <c r="AE558" s="56"/>
      <c r="AF558" s="52"/>
      <c r="AG558" s="51"/>
      <c r="AH558" s="70"/>
      <c r="AI558" s="58"/>
      <c r="AJ558" s="55"/>
      <c r="AK558" s="51"/>
      <c r="AL558" s="69"/>
      <c r="AM558" s="56"/>
      <c r="AN558" s="52"/>
      <c r="AO558" s="51"/>
      <c r="AP558" s="70"/>
      <c r="AQ558" s="58"/>
      <c r="AR558" s="55"/>
      <c r="AS558" s="51"/>
      <c r="AT558" s="69"/>
      <c r="AU558" s="56"/>
      <c r="AV558" s="52"/>
      <c r="AW558" s="51"/>
      <c r="BR558" s="34" t="str">
        <f>IF(E558="","",CONCATENATE(E558," ",F558," noches"))</f>
        <v/>
      </c>
      <c r="BS558" s="28" t="str">
        <f t="shared" ca="1" si="134"/>
        <v/>
      </c>
      <c r="BT558" s="28" t="str">
        <f t="shared" ca="1" si="135"/>
        <v/>
      </c>
    </row>
    <row r="559" spans="1:72" x14ac:dyDescent="0.2">
      <c r="A559" s="18" t="str" cm="1">
        <f t="array" aca="1" ref="A559" ca="1">IF(B559="","","Grupo N˚"&amp;SUMPRODUCT(($B$4:B559&lt;&gt;"")*($B$4:B559&lt;&gt;OFFSET($B$4,-1,0,ROWS($B$4:B559),1))))</f>
        <v/>
      </c>
      <c r="B559" s="31"/>
      <c r="C559" s="31"/>
      <c r="D559" s="31"/>
      <c r="E559" s="31"/>
      <c r="F559" s="32"/>
      <c r="G559" s="33"/>
      <c r="H559" s="33"/>
      <c r="I559" s="20" t="str">
        <f t="shared" si="124"/>
        <v/>
      </c>
      <c r="J559" s="21" t="str">
        <f>IFERROR(VLOOKUP(BR559,Pricing!$D$3:$E$58,2,FALSE),"")</f>
        <v/>
      </c>
      <c r="K559" s="32"/>
      <c r="L559" s="32"/>
      <c r="M559" s="32"/>
      <c r="N559" s="36" t="str" cm="1">
        <f t="array" ref="N559">IFERROR(_xlfn.IFS((AND(K559="SI",M559="$")),J559*0.2,AND(K559="SI",M559="%"),20),"")</f>
        <v/>
      </c>
      <c r="O559" s="29" t="str">
        <f t="shared" si="125"/>
        <v/>
      </c>
      <c r="P559" s="21" t="str">
        <f t="shared" si="126"/>
        <v/>
      </c>
      <c r="Q559" s="21" t="str">
        <f t="shared" si="127"/>
        <v/>
      </c>
      <c r="R559" s="21" t="str">
        <f t="shared" si="128"/>
        <v/>
      </c>
      <c r="S559" s="39"/>
      <c r="T559" s="43" t="str">
        <f t="shared" si="136"/>
        <v/>
      </c>
      <c r="U559" s="49" t="str">
        <f t="shared" si="137"/>
        <v/>
      </c>
      <c r="V559" s="48" t="str">
        <f t="shared" si="138"/>
        <v/>
      </c>
      <c r="W559" s="48" t="str">
        <f t="shared" si="129"/>
        <v/>
      </c>
      <c r="X559" s="50" t="str">
        <f>IF(W559="","",SUMIF($B$4:$B$1002,B559,$W$4:$W$1000))</f>
        <v/>
      </c>
      <c r="Y559" s="43" t="str">
        <f t="shared" si="130"/>
        <v/>
      </c>
      <c r="Z559" s="49" t="str">
        <f t="shared" si="131"/>
        <v/>
      </c>
      <c r="AA559" s="48" t="str">
        <f t="shared" si="132"/>
        <v/>
      </c>
      <c r="AB559" s="49" t="str">
        <f t="shared" si="133"/>
        <v/>
      </c>
      <c r="AC559" s="50" t="str">
        <f>IF(AB559="","",SUMIF($B$4:$B$1002,B559,$AB$4:$AB$1000))</f>
        <v/>
      </c>
      <c r="AD559" s="69"/>
      <c r="AE559" s="56"/>
      <c r="AF559" s="52"/>
      <c r="AG559" s="51"/>
      <c r="AH559" s="70"/>
      <c r="AI559" s="58"/>
      <c r="AJ559" s="55"/>
      <c r="AK559" s="51"/>
      <c r="AL559" s="69"/>
      <c r="AM559" s="56"/>
      <c r="AN559" s="52"/>
      <c r="AO559" s="51"/>
      <c r="AP559" s="70"/>
      <c r="AQ559" s="58"/>
      <c r="AR559" s="55"/>
      <c r="AS559" s="51"/>
      <c r="AT559" s="69"/>
      <c r="AU559" s="56"/>
      <c r="AV559" s="52"/>
      <c r="AW559" s="51"/>
      <c r="BR559" s="34" t="str">
        <f>IF(E559="","",CONCATENATE(E559," ",F559," noches"))</f>
        <v/>
      </c>
      <c r="BS559" s="28" t="str">
        <f t="shared" ca="1" si="134"/>
        <v/>
      </c>
      <c r="BT559" s="28" t="str">
        <f t="shared" ca="1" si="135"/>
        <v/>
      </c>
    </row>
    <row r="560" spans="1:72" x14ac:dyDescent="0.2">
      <c r="A560" s="18" t="str" cm="1">
        <f t="array" aca="1" ref="A560" ca="1">IF(B560="","","Grupo N˚"&amp;SUMPRODUCT(($B$4:B560&lt;&gt;"")*($B$4:B560&lt;&gt;OFFSET($B$4,-1,0,ROWS($B$4:B560),1))))</f>
        <v/>
      </c>
      <c r="B560" s="31"/>
      <c r="C560" s="31"/>
      <c r="D560" s="31"/>
      <c r="E560" s="31"/>
      <c r="F560" s="32"/>
      <c r="G560" s="33"/>
      <c r="H560" s="33"/>
      <c r="I560" s="20" t="str">
        <f t="shared" si="124"/>
        <v/>
      </c>
      <c r="J560" s="21" t="str">
        <f>IFERROR(VLOOKUP(BR560,Pricing!$D$3:$E$58,2,FALSE),"")</f>
        <v/>
      </c>
      <c r="K560" s="32"/>
      <c r="L560" s="32"/>
      <c r="M560" s="32"/>
      <c r="N560" s="36" t="str" cm="1">
        <f t="array" ref="N560">IFERROR(_xlfn.IFS((AND(K560="SI",M560="$")),J560*0.2,AND(K560="SI",M560="%"),20),"")</f>
        <v/>
      </c>
      <c r="O560" s="29" t="str">
        <f t="shared" si="125"/>
        <v/>
      </c>
      <c r="P560" s="21" t="str">
        <f t="shared" si="126"/>
        <v/>
      </c>
      <c r="Q560" s="21" t="str">
        <f t="shared" si="127"/>
        <v/>
      </c>
      <c r="R560" s="21" t="str">
        <f t="shared" si="128"/>
        <v/>
      </c>
      <c r="S560" s="39"/>
      <c r="T560" s="43" t="str">
        <f t="shared" si="136"/>
        <v/>
      </c>
      <c r="U560" s="49" t="str">
        <f t="shared" si="137"/>
        <v/>
      </c>
      <c r="V560" s="48" t="str">
        <f t="shared" si="138"/>
        <v/>
      </c>
      <c r="W560" s="48" t="str">
        <f t="shared" si="129"/>
        <v/>
      </c>
      <c r="X560" s="50" t="str">
        <f>IF(W560="","",SUMIF($B$4:$B$1002,B560,$W$4:$W$1000))</f>
        <v/>
      </c>
      <c r="Y560" s="43" t="str">
        <f t="shared" si="130"/>
        <v/>
      </c>
      <c r="Z560" s="49" t="str">
        <f t="shared" si="131"/>
        <v/>
      </c>
      <c r="AA560" s="48" t="str">
        <f t="shared" si="132"/>
        <v/>
      </c>
      <c r="AB560" s="49" t="str">
        <f t="shared" si="133"/>
        <v/>
      </c>
      <c r="AC560" s="50" t="str">
        <f>IF(AB560="","",SUMIF($B$4:$B$1002,B560,$AB$4:$AB$1000))</f>
        <v/>
      </c>
      <c r="AD560" s="69"/>
      <c r="AE560" s="56"/>
      <c r="AF560" s="52"/>
      <c r="AG560" s="51"/>
      <c r="AH560" s="70"/>
      <c r="AI560" s="58"/>
      <c r="AJ560" s="55"/>
      <c r="AK560" s="51"/>
      <c r="AL560" s="69"/>
      <c r="AM560" s="56"/>
      <c r="AN560" s="52"/>
      <c r="AO560" s="51"/>
      <c r="AP560" s="70"/>
      <c r="AQ560" s="58"/>
      <c r="AR560" s="55"/>
      <c r="AS560" s="51"/>
      <c r="AT560" s="69"/>
      <c r="AU560" s="56"/>
      <c r="AV560" s="52"/>
      <c r="AW560" s="51"/>
      <c r="BR560" s="34" t="str">
        <f>IF(E560="","",CONCATENATE(E560," ",F560," noches"))</f>
        <v/>
      </c>
      <c r="BS560" s="28" t="str">
        <f t="shared" ca="1" si="134"/>
        <v/>
      </c>
      <c r="BT560" s="28" t="str">
        <f t="shared" ca="1" si="135"/>
        <v/>
      </c>
    </row>
    <row r="561" spans="1:72" x14ac:dyDescent="0.2">
      <c r="A561" s="18" t="str" cm="1">
        <f t="array" aca="1" ref="A561" ca="1">IF(B561="","","Grupo N˚"&amp;SUMPRODUCT(($B$4:B561&lt;&gt;"")*($B$4:B561&lt;&gt;OFFSET($B$4,-1,0,ROWS($B$4:B561),1))))</f>
        <v/>
      </c>
      <c r="B561" s="31"/>
      <c r="C561" s="31"/>
      <c r="D561" s="31"/>
      <c r="E561" s="31"/>
      <c r="F561" s="32"/>
      <c r="G561" s="33"/>
      <c r="H561" s="33"/>
      <c r="I561" s="20" t="str">
        <f t="shared" si="124"/>
        <v/>
      </c>
      <c r="J561" s="21" t="str">
        <f>IFERROR(VLOOKUP(BR561,Pricing!$D$3:$E$58,2,FALSE),"")</f>
        <v/>
      </c>
      <c r="K561" s="32"/>
      <c r="L561" s="32"/>
      <c r="M561" s="32"/>
      <c r="N561" s="36" t="str" cm="1">
        <f t="array" ref="N561">IFERROR(_xlfn.IFS((AND(K561="SI",M561="$")),J561*0.2,AND(K561="SI",M561="%"),20),"")</f>
        <v/>
      </c>
      <c r="O561" s="29" t="str">
        <f t="shared" si="125"/>
        <v/>
      </c>
      <c r="P561" s="21" t="str">
        <f t="shared" si="126"/>
        <v/>
      </c>
      <c r="Q561" s="21" t="str">
        <f t="shared" si="127"/>
        <v/>
      </c>
      <c r="R561" s="21" t="str">
        <f t="shared" si="128"/>
        <v/>
      </c>
      <c r="S561" s="39"/>
      <c r="T561" s="43" t="str">
        <f t="shared" si="136"/>
        <v/>
      </c>
      <c r="U561" s="49" t="str">
        <f t="shared" si="137"/>
        <v/>
      </c>
      <c r="V561" s="48" t="str">
        <f t="shared" si="138"/>
        <v/>
      </c>
      <c r="W561" s="48" t="str">
        <f t="shared" si="129"/>
        <v/>
      </c>
      <c r="X561" s="50" t="str">
        <f>IF(W561="","",SUMIF($B$4:$B$1002,B561,$W$4:$W$1000))</f>
        <v/>
      </c>
      <c r="Y561" s="43" t="str">
        <f t="shared" si="130"/>
        <v/>
      </c>
      <c r="Z561" s="49" t="str">
        <f t="shared" si="131"/>
        <v/>
      </c>
      <c r="AA561" s="48" t="str">
        <f t="shared" si="132"/>
        <v/>
      </c>
      <c r="AB561" s="49" t="str">
        <f t="shared" si="133"/>
        <v/>
      </c>
      <c r="AC561" s="50" t="str">
        <f>IF(AB561="","",SUMIF($B$4:$B$1002,B561,$AB$4:$AB$1000))</f>
        <v/>
      </c>
      <c r="AD561" s="69"/>
      <c r="AE561" s="56"/>
      <c r="AF561" s="52"/>
      <c r="AG561" s="51"/>
      <c r="AH561" s="70"/>
      <c r="AI561" s="58"/>
      <c r="AJ561" s="55"/>
      <c r="AK561" s="51"/>
      <c r="AL561" s="69"/>
      <c r="AM561" s="56"/>
      <c r="AN561" s="52"/>
      <c r="AO561" s="51"/>
      <c r="AP561" s="70"/>
      <c r="AQ561" s="58"/>
      <c r="AR561" s="55"/>
      <c r="AS561" s="51"/>
      <c r="AT561" s="69"/>
      <c r="AU561" s="56"/>
      <c r="AV561" s="52"/>
      <c r="AW561" s="51"/>
      <c r="BR561" s="34" t="str">
        <f>IF(E561="","",CONCATENATE(E561," ",F561," noches"))</f>
        <v/>
      </c>
      <c r="BS561" s="28" t="str">
        <f t="shared" ca="1" si="134"/>
        <v/>
      </c>
      <c r="BT561" s="28" t="str">
        <f t="shared" ca="1" si="135"/>
        <v/>
      </c>
    </row>
    <row r="562" spans="1:72" x14ac:dyDescent="0.2">
      <c r="A562" s="18" t="str" cm="1">
        <f t="array" aca="1" ref="A562" ca="1">IF(B562="","","Grupo N˚"&amp;SUMPRODUCT(($B$4:B562&lt;&gt;"")*($B$4:B562&lt;&gt;OFFSET($B$4,-1,0,ROWS($B$4:B562),1))))</f>
        <v/>
      </c>
      <c r="B562" s="31"/>
      <c r="C562" s="31"/>
      <c r="D562" s="31"/>
      <c r="E562" s="31"/>
      <c r="F562" s="32"/>
      <c r="G562" s="33"/>
      <c r="H562" s="33"/>
      <c r="I562" s="20" t="str">
        <f t="shared" si="124"/>
        <v/>
      </c>
      <c r="J562" s="21" t="str">
        <f>IFERROR(VLOOKUP(BR562,Pricing!$D$3:$E$58,2,FALSE),"")</f>
        <v/>
      </c>
      <c r="K562" s="32"/>
      <c r="L562" s="32"/>
      <c r="M562" s="32"/>
      <c r="N562" s="36" t="str" cm="1">
        <f t="array" ref="N562">IFERROR(_xlfn.IFS((AND(K562="SI",M562="$")),J562*0.2,AND(K562="SI",M562="%"),20),"")</f>
        <v/>
      </c>
      <c r="O562" s="29" t="str">
        <f t="shared" si="125"/>
        <v/>
      </c>
      <c r="P562" s="21" t="str">
        <f t="shared" si="126"/>
        <v/>
      </c>
      <c r="Q562" s="21" t="str">
        <f t="shared" si="127"/>
        <v/>
      </c>
      <c r="R562" s="21" t="str">
        <f t="shared" si="128"/>
        <v/>
      </c>
      <c r="S562" s="39"/>
      <c r="T562" s="43" t="str">
        <f t="shared" si="136"/>
        <v/>
      </c>
      <c r="U562" s="49" t="str">
        <f t="shared" si="137"/>
        <v/>
      </c>
      <c r="V562" s="48" t="str">
        <f t="shared" si="138"/>
        <v/>
      </c>
      <c r="W562" s="48" t="str">
        <f t="shared" si="129"/>
        <v/>
      </c>
      <c r="X562" s="50" t="str">
        <f>IF(W562="","",SUMIF($B$4:$B$1002,B562,$W$4:$W$1000))</f>
        <v/>
      </c>
      <c r="Y562" s="43" t="str">
        <f t="shared" si="130"/>
        <v/>
      </c>
      <c r="Z562" s="49" t="str">
        <f t="shared" si="131"/>
        <v/>
      </c>
      <c r="AA562" s="48" t="str">
        <f t="shared" si="132"/>
        <v/>
      </c>
      <c r="AB562" s="49" t="str">
        <f t="shared" si="133"/>
        <v/>
      </c>
      <c r="AC562" s="50" t="str">
        <f>IF(AB562="","",SUMIF($B$4:$B$1002,B562,$AB$4:$AB$1000))</f>
        <v/>
      </c>
      <c r="AD562" s="69"/>
      <c r="AE562" s="56"/>
      <c r="AF562" s="52"/>
      <c r="AG562" s="51"/>
      <c r="AH562" s="70"/>
      <c r="AI562" s="58"/>
      <c r="AJ562" s="55"/>
      <c r="AK562" s="51"/>
      <c r="AL562" s="69"/>
      <c r="AM562" s="56"/>
      <c r="AN562" s="52"/>
      <c r="AO562" s="51"/>
      <c r="AP562" s="70"/>
      <c r="AQ562" s="58"/>
      <c r="AR562" s="55"/>
      <c r="AS562" s="51"/>
      <c r="AT562" s="69"/>
      <c r="AU562" s="56"/>
      <c r="AV562" s="52"/>
      <c r="AW562" s="51"/>
      <c r="BR562" s="34" t="str">
        <f>IF(E562="","",CONCATENATE(E562," ",F562," noches"))</f>
        <v/>
      </c>
      <c r="BS562" s="28" t="str">
        <f t="shared" ca="1" si="134"/>
        <v/>
      </c>
      <c r="BT562" s="28" t="str">
        <f t="shared" ca="1" si="135"/>
        <v/>
      </c>
    </row>
    <row r="563" spans="1:72" x14ac:dyDescent="0.2">
      <c r="A563" s="18" t="str" cm="1">
        <f t="array" aca="1" ref="A563" ca="1">IF(B563="","","Grupo N˚"&amp;SUMPRODUCT(($B$4:B563&lt;&gt;"")*($B$4:B563&lt;&gt;OFFSET($B$4,-1,0,ROWS($B$4:B563),1))))</f>
        <v/>
      </c>
      <c r="B563" s="31"/>
      <c r="C563" s="31"/>
      <c r="D563" s="31"/>
      <c r="E563" s="31"/>
      <c r="F563" s="32"/>
      <c r="G563" s="33"/>
      <c r="H563" s="33"/>
      <c r="I563" s="20" t="str">
        <f t="shared" si="124"/>
        <v/>
      </c>
      <c r="J563" s="21" t="str">
        <f>IFERROR(VLOOKUP(BR563,Pricing!$D$3:$E$58,2,FALSE),"")</f>
        <v/>
      </c>
      <c r="K563" s="32"/>
      <c r="L563" s="32"/>
      <c r="M563" s="32"/>
      <c r="N563" s="36" t="str" cm="1">
        <f t="array" ref="N563">IFERROR(_xlfn.IFS((AND(K563="SI",M563="$")),J563*0.2,AND(K563="SI",M563="%"),20),"")</f>
        <v/>
      </c>
      <c r="O563" s="29" t="str">
        <f t="shared" si="125"/>
        <v/>
      </c>
      <c r="P563" s="21" t="str">
        <f t="shared" si="126"/>
        <v/>
      </c>
      <c r="Q563" s="21" t="str">
        <f t="shared" si="127"/>
        <v/>
      </c>
      <c r="R563" s="21" t="str">
        <f t="shared" si="128"/>
        <v/>
      </c>
      <c r="S563" s="39"/>
      <c r="T563" s="43" t="str">
        <f t="shared" si="136"/>
        <v/>
      </c>
      <c r="U563" s="49" t="str">
        <f t="shared" si="137"/>
        <v/>
      </c>
      <c r="V563" s="48" t="str">
        <f t="shared" si="138"/>
        <v/>
      </c>
      <c r="W563" s="48" t="str">
        <f t="shared" si="129"/>
        <v/>
      </c>
      <c r="X563" s="50" t="str">
        <f>IF(W563="","",SUMIF($B$4:$B$1002,B563,$W$4:$W$1000))</f>
        <v/>
      </c>
      <c r="Y563" s="43" t="str">
        <f t="shared" si="130"/>
        <v/>
      </c>
      <c r="Z563" s="49" t="str">
        <f t="shared" si="131"/>
        <v/>
      </c>
      <c r="AA563" s="48" t="str">
        <f t="shared" si="132"/>
        <v/>
      </c>
      <c r="AB563" s="49" t="str">
        <f t="shared" si="133"/>
        <v/>
      </c>
      <c r="AC563" s="50" t="str">
        <f>IF(AB563="","",SUMIF($B$4:$B$1002,B563,$AB$4:$AB$1000))</f>
        <v/>
      </c>
      <c r="AD563" s="69"/>
      <c r="AE563" s="56"/>
      <c r="AF563" s="52"/>
      <c r="AG563" s="51"/>
      <c r="AH563" s="70"/>
      <c r="AI563" s="58"/>
      <c r="AJ563" s="55"/>
      <c r="AK563" s="51"/>
      <c r="AL563" s="69"/>
      <c r="AM563" s="56"/>
      <c r="AN563" s="52"/>
      <c r="AO563" s="51"/>
      <c r="AP563" s="70"/>
      <c r="AQ563" s="58"/>
      <c r="AR563" s="55"/>
      <c r="AS563" s="51"/>
      <c r="AT563" s="69"/>
      <c r="AU563" s="56"/>
      <c r="AV563" s="52"/>
      <c r="AW563" s="51"/>
      <c r="BR563" s="34" t="str">
        <f>IF(E563="","",CONCATENATE(E563," ",F563," noches"))</f>
        <v/>
      </c>
      <c r="BS563" s="28" t="str">
        <f t="shared" ca="1" si="134"/>
        <v/>
      </c>
      <c r="BT563" s="28" t="str">
        <f t="shared" ca="1" si="135"/>
        <v/>
      </c>
    </row>
    <row r="564" spans="1:72" x14ac:dyDescent="0.2">
      <c r="A564" s="18" t="str" cm="1">
        <f t="array" aca="1" ref="A564" ca="1">IF(B564="","","Grupo N˚"&amp;SUMPRODUCT(($B$4:B564&lt;&gt;"")*($B$4:B564&lt;&gt;OFFSET($B$4,-1,0,ROWS($B$4:B564),1))))</f>
        <v/>
      </c>
      <c r="B564" s="31"/>
      <c r="C564" s="31"/>
      <c r="D564" s="31"/>
      <c r="E564" s="31"/>
      <c r="F564" s="32"/>
      <c r="G564" s="33"/>
      <c r="H564" s="33"/>
      <c r="I564" s="20" t="str">
        <f t="shared" si="124"/>
        <v/>
      </c>
      <c r="J564" s="21" t="str">
        <f>IFERROR(VLOOKUP(BR564,Pricing!$D$3:$E$58,2,FALSE),"")</f>
        <v/>
      </c>
      <c r="K564" s="32"/>
      <c r="L564" s="32"/>
      <c r="M564" s="32"/>
      <c r="N564" s="36" t="str" cm="1">
        <f t="array" ref="N564">IFERROR(_xlfn.IFS((AND(K564="SI",M564="$")),J564*0.2,AND(K564="SI",M564="%"),20),"")</f>
        <v/>
      </c>
      <c r="O564" s="29" t="str">
        <f t="shared" si="125"/>
        <v/>
      </c>
      <c r="P564" s="21" t="str">
        <f t="shared" si="126"/>
        <v/>
      </c>
      <c r="Q564" s="21" t="str">
        <f t="shared" si="127"/>
        <v/>
      </c>
      <c r="R564" s="21" t="str">
        <f t="shared" si="128"/>
        <v/>
      </c>
      <c r="S564" s="39"/>
      <c r="T564" s="43" t="str">
        <f t="shared" si="136"/>
        <v/>
      </c>
      <c r="U564" s="49" t="str">
        <f t="shared" si="137"/>
        <v/>
      </c>
      <c r="V564" s="48" t="str">
        <f t="shared" si="138"/>
        <v/>
      </c>
      <c r="W564" s="48" t="str">
        <f t="shared" si="129"/>
        <v/>
      </c>
      <c r="X564" s="50" t="str">
        <f>IF(W564="","",SUMIF($B$4:$B$1002,B564,$W$4:$W$1000))</f>
        <v/>
      </c>
      <c r="Y564" s="43" t="str">
        <f t="shared" si="130"/>
        <v/>
      </c>
      <c r="Z564" s="49" t="str">
        <f t="shared" si="131"/>
        <v/>
      </c>
      <c r="AA564" s="48" t="str">
        <f t="shared" si="132"/>
        <v/>
      </c>
      <c r="AB564" s="49" t="str">
        <f t="shared" si="133"/>
        <v/>
      </c>
      <c r="AC564" s="50" t="str">
        <f>IF(AB564="","",SUMIF($B$4:$B$1002,B564,$AB$4:$AB$1000))</f>
        <v/>
      </c>
      <c r="AD564" s="69"/>
      <c r="AE564" s="56"/>
      <c r="AF564" s="52"/>
      <c r="AG564" s="51"/>
      <c r="AH564" s="70"/>
      <c r="AI564" s="58"/>
      <c r="AJ564" s="55"/>
      <c r="AK564" s="51"/>
      <c r="AL564" s="69"/>
      <c r="AM564" s="56"/>
      <c r="AN564" s="52"/>
      <c r="AO564" s="51"/>
      <c r="AP564" s="70"/>
      <c r="AQ564" s="58"/>
      <c r="AR564" s="55"/>
      <c r="AS564" s="51"/>
      <c r="AT564" s="69"/>
      <c r="AU564" s="56"/>
      <c r="AV564" s="52"/>
      <c r="AW564" s="51"/>
      <c r="BR564" s="34" t="str">
        <f>IF(E564="","",CONCATENATE(E564," ",F564," noches"))</f>
        <v/>
      </c>
      <c r="BS564" s="28" t="str">
        <f t="shared" ca="1" si="134"/>
        <v/>
      </c>
      <c r="BT564" s="28" t="str">
        <f t="shared" ca="1" si="135"/>
        <v/>
      </c>
    </row>
    <row r="565" spans="1:72" x14ac:dyDescent="0.2">
      <c r="A565" s="18" t="str" cm="1">
        <f t="array" aca="1" ref="A565" ca="1">IF(B565="","","Grupo N˚"&amp;SUMPRODUCT(($B$4:B565&lt;&gt;"")*($B$4:B565&lt;&gt;OFFSET($B$4,-1,0,ROWS($B$4:B565),1))))</f>
        <v/>
      </c>
      <c r="B565" s="31"/>
      <c r="C565" s="31"/>
      <c r="D565" s="31"/>
      <c r="E565" s="31"/>
      <c r="F565" s="32"/>
      <c r="G565" s="33"/>
      <c r="H565" s="33"/>
      <c r="I565" s="20" t="str">
        <f t="shared" si="124"/>
        <v/>
      </c>
      <c r="J565" s="21" t="str">
        <f>IFERROR(VLOOKUP(BR565,Pricing!$D$3:$E$58,2,FALSE),"")</f>
        <v/>
      </c>
      <c r="K565" s="32"/>
      <c r="L565" s="32"/>
      <c r="M565" s="32"/>
      <c r="N565" s="36" t="str" cm="1">
        <f t="array" ref="N565">IFERROR(_xlfn.IFS((AND(K565="SI",M565="$")),J565*0.2,AND(K565="SI",M565="%"),20),"")</f>
        <v/>
      </c>
      <c r="O565" s="29" t="str">
        <f t="shared" si="125"/>
        <v/>
      </c>
      <c r="P565" s="21" t="str">
        <f t="shared" si="126"/>
        <v/>
      </c>
      <c r="Q565" s="21" t="str">
        <f t="shared" si="127"/>
        <v/>
      </c>
      <c r="R565" s="21" t="str">
        <f t="shared" si="128"/>
        <v/>
      </c>
      <c r="S565" s="39"/>
      <c r="T565" s="43" t="str">
        <f t="shared" si="136"/>
        <v/>
      </c>
      <c r="U565" s="49" t="str">
        <f t="shared" si="137"/>
        <v/>
      </c>
      <c r="V565" s="48" t="str">
        <f t="shared" si="138"/>
        <v/>
      </c>
      <c r="W565" s="48" t="str">
        <f t="shared" si="129"/>
        <v/>
      </c>
      <c r="X565" s="50" t="str">
        <f>IF(W565="","",SUMIF($B$4:$B$1002,B565,$W$4:$W$1000))</f>
        <v/>
      </c>
      <c r="Y565" s="43" t="str">
        <f t="shared" si="130"/>
        <v/>
      </c>
      <c r="Z565" s="49" t="str">
        <f t="shared" si="131"/>
        <v/>
      </c>
      <c r="AA565" s="48" t="str">
        <f t="shared" si="132"/>
        <v/>
      </c>
      <c r="AB565" s="49" t="str">
        <f t="shared" si="133"/>
        <v/>
      </c>
      <c r="AC565" s="50" t="str">
        <f>IF(AB565="","",SUMIF($B$4:$B$1002,B565,$AB$4:$AB$1000))</f>
        <v/>
      </c>
      <c r="AD565" s="69"/>
      <c r="AE565" s="56"/>
      <c r="AF565" s="52"/>
      <c r="AG565" s="51"/>
      <c r="AH565" s="70"/>
      <c r="AI565" s="58"/>
      <c r="AJ565" s="55"/>
      <c r="AK565" s="51"/>
      <c r="AL565" s="69"/>
      <c r="AM565" s="56"/>
      <c r="AN565" s="52"/>
      <c r="AO565" s="51"/>
      <c r="AP565" s="70"/>
      <c r="AQ565" s="58"/>
      <c r="AR565" s="55"/>
      <c r="AS565" s="51"/>
      <c r="AT565" s="69"/>
      <c r="AU565" s="56"/>
      <c r="AV565" s="52"/>
      <c r="AW565" s="51"/>
      <c r="BR565" s="34" t="str">
        <f>IF(E565="","",CONCATENATE(E565," ",F565," noches"))</f>
        <v/>
      </c>
      <c r="BS565" s="28" t="str">
        <f t="shared" ca="1" si="134"/>
        <v/>
      </c>
      <c r="BT565" s="28" t="str">
        <f t="shared" ca="1" si="135"/>
        <v/>
      </c>
    </row>
    <row r="566" spans="1:72" x14ac:dyDescent="0.2">
      <c r="A566" s="18" t="str" cm="1">
        <f t="array" aca="1" ref="A566" ca="1">IF(B566="","","Grupo N˚"&amp;SUMPRODUCT(($B$4:B566&lt;&gt;"")*($B$4:B566&lt;&gt;OFFSET($B$4,-1,0,ROWS($B$4:B566),1))))</f>
        <v/>
      </c>
      <c r="B566" s="31"/>
      <c r="C566" s="31"/>
      <c r="D566" s="31"/>
      <c r="E566" s="31"/>
      <c r="F566" s="32"/>
      <c r="G566" s="33"/>
      <c r="H566" s="33"/>
      <c r="I566" s="20" t="str">
        <f t="shared" si="124"/>
        <v/>
      </c>
      <c r="J566" s="21" t="str">
        <f>IFERROR(VLOOKUP(BR566,Pricing!$D$3:$E$58,2,FALSE),"")</f>
        <v/>
      </c>
      <c r="K566" s="32"/>
      <c r="L566" s="32"/>
      <c r="M566" s="32"/>
      <c r="N566" s="36" t="str" cm="1">
        <f t="array" ref="N566">IFERROR(_xlfn.IFS((AND(K566="SI",M566="$")),J566*0.2,AND(K566="SI",M566="%"),20),"")</f>
        <v/>
      </c>
      <c r="O566" s="29" t="str">
        <f t="shared" si="125"/>
        <v/>
      </c>
      <c r="P566" s="21" t="str">
        <f t="shared" si="126"/>
        <v/>
      </c>
      <c r="Q566" s="21" t="str">
        <f t="shared" si="127"/>
        <v/>
      </c>
      <c r="R566" s="21" t="str">
        <f t="shared" si="128"/>
        <v/>
      </c>
      <c r="S566" s="39"/>
      <c r="T566" s="43" t="str">
        <f t="shared" si="136"/>
        <v/>
      </c>
      <c r="U566" s="49" t="str">
        <f t="shared" si="137"/>
        <v/>
      </c>
      <c r="V566" s="48" t="str">
        <f t="shared" si="138"/>
        <v/>
      </c>
      <c r="W566" s="48" t="str">
        <f t="shared" si="129"/>
        <v/>
      </c>
      <c r="X566" s="50" t="str">
        <f>IF(W566="","",SUMIF($B$4:$B$1002,B566,$W$4:$W$1000))</f>
        <v/>
      </c>
      <c r="Y566" s="43" t="str">
        <f t="shared" si="130"/>
        <v/>
      </c>
      <c r="Z566" s="49" t="str">
        <f t="shared" si="131"/>
        <v/>
      </c>
      <c r="AA566" s="48" t="str">
        <f t="shared" si="132"/>
        <v/>
      </c>
      <c r="AB566" s="49" t="str">
        <f t="shared" si="133"/>
        <v/>
      </c>
      <c r="AC566" s="50" t="str">
        <f>IF(AB566="","",SUMIF($B$4:$B$1002,B566,$AB$4:$AB$1000))</f>
        <v/>
      </c>
      <c r="AD566" s="69"/>
      <c r="AE566" s="56"/>
      <c r="AF566" s="52"/>
      <c r="AG566" s="51"/>
      <c r="AH566" s="70"/>
      <c r="AI566" s="58"/>
      <c r="AJ566" s="55"/>
      <c r="AK566" s="51"/>
      <c r="AL566" s="69"/>
      <c r="AM566" s="56"/>
      <c r="AN566" s="52"/>
      <c r="AO566" s="51"/>
      <c r="AP566" s="70"/>
      <c r="AQ566" s="58"/>
      <c r="AR566" s="55"/>
      <c r="AS566" s="51"/>
      <c r="AT566" s="69"/>
      <c r="AU566" s="56"/>
      <c r="AV566" s="52"/>
      <c r="AW566" s="51"/>
      <c r="BR566" s="34" t="str">
        <f>IF(E566="","",CONCATENATE(E566," ",F566," noches"))</f>
        <v/>
      </c>
      <c r="BS566" s="28" t="str">
        <f t="shared" ca="1" si="134"/>
        <v/>
      </c>
      <c r="BT566" s="28" t="str">
        <f t="shared" ca="1" si="135"/>
        <v/>
      </c>
    </row>
    <row r="567" spans="1:72" x14ac:dyDescent="0.2">
      <c r="A567" s="18" t="str" cm="1">
        <f t="array" aca="1" ref="A567" ca="1">IF(B567="","","Grupo N˚"&amp;SUMPRODUCT(($B$4:B567&lt;&gt;"")*($B$4:B567&lt;&gt;OFFSET($B$4,-1,0,ROWS($B$4:B567),1))))</f>
        <v/>
      </c>
      <c r="B567" s="31"/>
      <c r="C567" s="31"/>
      <c r="D567" s="31"/>
      <c r="E567" s="31"/>
      <c r="F567" s="32"/>
      <c r="G567" s="33"/>
      <c r="H567" s="33"/>
      <c r="I567" s="20" t="str">
        <f t="shared" si="124"/>
        <v/>
      </c>
      <c r="J567" s="21" t="str">
        <f>IFERROR(VLOOKUP(BR567,Pricing!$D$3:$E$58,2,FALSE),"")</f>
        <v/>
      </c>
      <c r="K567" s="32"/>
      <c r="L567" s="32"/>
      <c r="M567" s="32"/>
      <c r="N567" s="36" t="str" cm="1">
        <f t="array" ref="N567">IFERROR(_xlfn.IFS((AND(K567="SI",M567="$")),J567*0.2,AND(K567="SI",M567="%"),20),"")</f>
        <v/>
      </c>
      <c r="O567" s="29" t="str">
        <f t="shared" si="125"/>
        <v/>
      </c>
      <c r="P567" s="21" t="str">
        <f t="shared" si="126"/>
        <v/>
      </c>
      <c r="Q567" s="21" t="str">
        <f t="shared" si="127"/>
        <v/>
      </c>
      <c r="R567" s="21" t="str">
        <f t="shared" si="128"/>
        <v/>
      </c>
      <c r="S567" s="39"/>
      <c r="T567" s="43" t="str">
        <f t="shared" si="136"/>
        <v/>
      </c>
      <c r="U567" s="49" t="str">
        <f t="shared" si="137"/>
        <v/>
      </c>
      <c r="V567" s="48" t="str">
        <f t="shared" si="138"/>
        <v/>
      </c>
      <c r="W567" s="48" t="str">
        <f t="shared" si="129"/>
        <v/>
      </c>
      <c r="X567" s="50" t="str">
        <f>IF(W567="","",SUMIF($B$4:$B$1002,B567,$W$4:$W$1000))</f>
        <v/>
      </c>
      <c r="Y567" s="43" t="str">
        <f t="shared" si="130"/>
        <v/>
      </c>
      <c r="Z567" s="49" t="str">
        <f t="shared" si="131"/>
        <v/>
      </c>
      <c r="AA567" s="48" t="str">
        <f t="shared" si="132"/>
        <v/>
      </c>
      <c r="AB567" s="49" t="str">
        <f t="shared" si="133"/>
        <v/>
      </c>
      <c r="AC567" s="50" t="str">
        <f>IF(AB567="","",SUMIF($B$4:$B$1002,B567,$AB$4:$AB$1000))</f>
        <v/>
      </c>
      <c r="AD567" s="69"/>
      <c r="AE567" s="56"/>
      <c r="AF567" s="52"/>
      <c r="AG567" s="51"/>
      <c r="AH567" s="70"/>
      <c r="AI567" s="58"/>
      <c r="AJ567" s="55"/>
      <c r="AK567" s="51"/>
      <c r="AL567" s="69"/>
      <c r="AM567" s="56"/>
      <c r="AN567" s="52"/>
      <c r="AO567" s="51"/>
      <c r="AP567" s="70"/>
      <c r="AQ567" s="58"/>
      <c r="AR567" s="55"/>
      <c r="AS567" s="51"/>
      <c r="AT567" s="69"/>
      <c r="AU567" s="56"/>
      <c r="AV567" s="52"/>
      <c r="AW567" s="51"/>
      <c r="BR567" s="34" t="str">
        <f>IF(E567="","",CONCATENATE(E567," ",F567," noches"))</f>
        <v/>
      </c>
      <c r="BS567" s="28" t="str">
        <f t="shared" ca="1" si="134"/>
        <v/>
      </c>
      <c r="BT567" s="28" t="str">
        <f t="shared" ca="1" si="135"/>
        <v/>
      </c>
    </row>
    <row r="568" spans="1:72" x14ac:dyDescent="0.2">
      <c r="A568" s="18" t="str" cm="1">
        <f t="array" aca="1" ref="A568" ca="1">IF(B568="","","Grupo N˚"&amp;SUMPRODUCT(($B$4:B568&lt;&gt;"")*($B$4:B568&lt;&gt;OFFSET($B$4,-1,0,ROWS($B$4:B568),1))))</f>
        <v/>
      </c>
      <c r="B568" s="31"/>
      <c r="C568" s="31"/>
      <c r="D568" s="31"/>
      <c r="E568" s="31"/>
      <c r="F568" s="32"/>
      <c r="G568" s="33"/>
      <c r="H568" s="33"/>
      <c r="I568" s="20" t="str">
        <f t="shared" si="124"/>
        <v/>
      </c>
      <c r="J568" s="21" t="str">
        <f>IFERROR(VLOOKUP(BR568,Pricing!$D$3:$E$58,2,FALSE),"")</f>
        <v/>
      </c>
      <c r="K568" s="32"/>
      <c r="L568" s="32"/>
      <c r="M568" s="32"/>
      <c r="N568" s="36" t="str" cm="1">
        <f t="array" ref="N568">IFERROR(_xlfn.IFS((AND(K568="SI",M568="$")),J568*0.2,AND(K568="SI",M568="%"),20),"")</f>
        <v/>
      </c>
      <c r="O568" s="29" t="str">
        <f t="shared" si="125"/>
        <v/>
      </c>
      <c r="P568" s="21" t="str">
        <f t="shared" si="126"/>
        <v/>
      </c>
      <c r="Q568" s="21" t="str">
        <f t="shared" si="127"/>
        <v/>
      </c>
      <c r="R568" s="21" t="str">
        <f t="shared" si="128"/>
        <v/>
      </c>
      <c r="S568" s="39"/>
      <c r="T568" s="43" t="str">
        <f t="shared" si="136"/>
        <v/>
      </c>
      <c r="U568" s="49" t="str">
        <f t="shared" si="137"/>
        <v/>
      </c>
      <c r="V568" s="48" t="str">
        <f t="shared" si="138"/>
        <v/>
      </c>
      <c r="W568" s="48" t="str">
        <f t="shared" si="129"/>
        <v/>
      </c>
      <c r="X568" s="50" t="str">
        <f>IF(W568="","",SUMIF($B$4:$B$1002,B568,$W$4:$W$1000))</f>
        <v/>
      </c>
      <c r="Y568" s="43" t="str">
        <f t="shared" si="130"/>
        <v/>
      </c>
      <c r="Z568" s="49" t="str">
        <f t="shared" si="131"/>
        <v/>
      </c>
      <c r="AA568" s="48" t="str">
        <f t="shared" si="132"/>
        <v/>
      </c>
      <c r="AB568" s="49" t="str">
        <f t="shared" si="133"/>
        <v/>
      </c>
      <c r="AC568" s="50" t="str">
        <f>IF(AB568="","",SUMIF($B$4:$B$1002,B568,$AB$4:$AB$1000))</f>
        <v/>
      </c>
      <c r="AD568" s="69"/>
      <c r="AE568" s="56"/>
      <c r="AF568" s="52"/>
      <c r="AG568" s="51"/>
      <c r="AH568" s="70"/>
      <c r="AI568" s="58"/>
      <c r="AJ568" s="55"/>
      <c r="AK568" s="51"/>
      <c r="AL568" s="69"/>
      <c r="AM568" s="56"/>
      <c r="AN568" s="52"/>
      <c r="AO568" s="51"/>
      <c r="AP568" s="70"/>
      <c r="AQ568" s="58"/>
      <c r="AR568" s="55"/>
      <c r="AS568" s="51"/>
      <c r="AT568" s="69"/>
      <c r="AU568" s="56"/>
      <c r="AV568" s="52"/>
      <c r="AW568" s="51"/>
      <c r="BR568" s="34" t="str">
        <f>IF(E568="","",CONCATENATE(E568," ",F568," noches"))</f>
        <v/>
      </c>
      <c r="BS568" s="28" t="str">
        <f t="shared" ca="1" si="134"/>
        <v/>
      </c>
      <c r="BT568" s="28" t="str">
        <f t="shared" ca="1" si="135"/>
        <v/>
      </c>
    </row>
    <row r="569" spans="1:72" x14ac:dyDescent="0.2">
      <c r="A569" s="18" t="str" cm="1">
        <f t="array" aca="1" ref="A569" ca="1">IF(B569="","","Grupo N˚"&amp;SUMPRODUCT(($B$4:B569&lt;&gt;"")*($B$4:B569&lt;&gt;OFFSET($B$4,-1,0,ROWS($B$4:B569),1))))</f>
        <v/>
      </c>
      <c r="B569" s="31"/>
      <c r="C569" s="31"/>
      <c r="D569" s="31"/>
      <c r="E569" s="31"/>
      <c r="F569" s="32"/>
      <c r="G569" s="33"/>
      <c r="H569" s="33"/>
      <c r="I569" s="20" t="str">
        <f t="shared" si="124"/>
        <v/>
      </c>
      <c r="J569" s="21" t="str">
        <f>IFERROR(VLOOKUP(BR569,Pricing!$D$3:$E$58,2,FALSE),"")</f>
        <v/>
      </c>
      <c r="K569" s="32"/>
      <c r="L569" s="32"/>
      <c r="M569" s="32"/>
      <c r="N569" s="36" t="str" cm="1">
        <f t="array" ref="N569">IFERROR(_xlfn.IFS((AND(K569="SI",M569="$")),J569*0.2,AND(K569="SI",M569="%"),20),"")</f>
        <v/>
      </c>
      <c r="O569" s="29" t="str">
        <f t="shared" si="125"/>
        <v/>
      </c>
      <c r="P569" s="21" t="str">
        <f t="shared" si="126"/>
        <v/>
      </c>
      <c r="Q569" s="21" t="str">
        <f t="shared" si="127"/>
        <v/>
      </c>
      <c r="R569" s="21" t="str">
        <f t="shared" si="128"/>
        <v/>
      </c>
      <c r="S569" s="39"/>
      <c r="T569" s="43" t="str">
        <f t="shared" si="136"/>
        <v/>
      </c>
      <c r="U569" s="49" t="str">
        <f t="shared" si="137"/>
        <v/>
      </c>
      <c r="V569" s="48" t="str">
        <f t="shared" si="138"/>
        <v/>
      </c>
      <c r="W569" s="48" t="str">
        <f t="shared" si="129"/>
        <v/>
      </c>
      <c r="X569" s="50" t="str">
        <f>IF(W569="","",SUMIF($B$4:$B$1002,B569,$W$4:$W$1000))</f>
        <v/>
      </c>
      <c r="Y569" s="43" t="str">
        <f t="shared" si="130"/>
        <v/>
      </c>
      <c r="Z569" s="49" t="str">
        <f t="shared" si="131"/>
        <v/>
      </c>
      <c r="AA569" s="48" t="str">
        <f t="shared" si="132"/>
        <v/>
      </c>
      <c r="AB569" s="49" t="str">
        <f t="shared" si="133"/>
        <v/>
      </c>
      <c r="AC569" s="50" t="str">
        <f>IF(AB569="","",SUMIF($B$4:$B$1002,B569,$AB$4:$AB$1000))</f>
        <v/>
      </c>
      <c r="AD569" s="69"/>
      <c r="AE569" s="56"/>
      <c r="AF569" s="52"/>
      <c r="AG569" s="51"/>
      <c r="AH569" s="70"/>
      <c r="AI569" s="58"/>
      <c r="AJ569" s="55"/>
      <c r="AK569" s="51"/>
      <c r="AL569" s="69"/>
      <c r="AM569" s="56"/>
      <c r="AN569" s="52"/>
      <c r="AO569" s="51"/>
      <c r="AP569" s="70"/>
      <c r="AQ569" s="58"/>
      <c r="AR569" s="55"/>
      <c r="AS569" s="51"/>
      <c r="AT569" s="69"/>
      <c r="AU569" s="56"/>
      <c r="AV569" s="52"/>
      <c r="AW569" s="51"/>
      <c r="BR569" s="34" t="str">
        <f>IF(E569="","",CONCATENATE(E569," ",F569," noches"))</f>
        <v/>
      </c>
      <c r="BS569" s="28" t="str">
        <f t="shared" ca="1" si="134"/>
        <v/>
      </c>
      <c r="BT569" s="28" t="str">
        <f t="shared" ca="1" si="135"/>
        <v/>
      </c>
    </row>
    <row r="570" spans="1:72" x14ac:dyDescent="0.2">
      <c r="A570" s="18" t="str" cm="1">
        <f t="array" aca="1" ref="A570" ca="1">IF(B570="","","Grupo N˚"&amp;SUMPRODUCT(($B$4:B570&lt;&gt;"")*($B$4:B570&lt;&gt;OFFSET($B$4,-1,0,ROWS($B$4:B570),1))))</f>
        <v/>
      </c>
      <c r="B570" s="31"/>
      <c r="C570" s="31"/>
      <c r="D570" s="31"/>
      <c r="E570" s="31"/>
      <c r="F570" s="32"/>
      <c r="G570" s="33"/>
      <c r="H570" s="33"/>
      <c r="I570" s="20" t="str">
        <f t="shared" si="124"/>
        <v/>
      </c>
      <c r="J570" s="21" t="str">
        <f>IFERROR(VLOOKUP(BR570,Pricing!$D$3:$E$58,2,FALSE),"")</f>
        <v/>
      </c>
      <c r="K570" s="32"/>
      <c r="L570" s="32"/>
      <c r="M570" s="32"/>
      <c r="N570" s="36" t="str" cm="1">
        <f t="array" ref="N570">IFERROR(_xlfn.IFS((AND(K570="SI",M570="$")),J570*0.2,AND(K570="SI",M570="%"),20),"")</f>
        <v/>
      </c>
      <c r="O570" s="29" t="str">
        <f t="shared" si="125"/>
        <v/>
      </c>
      <c r="P570" s="21" t="str">
        <f t="shared" si="126"/>
        <v/>
      </c>
      <c r="Q570" s="21" t="str">
        <f t="shared" si="127"/>
        <v/>
      </c>
      <c r="R570" s="21" t="str">
        <f t="shared" si="128"/>
        <v/>
      </c>
      <c r="S570" s="39"/>
      <c r="T570" s="43" t="str">
        <f t="shared" si="136"/>
        <v/>
      </c>
      <c r="U570" s="49" t="str">
        <f t="shared" si="137"/>
        <v/>
      </c>
      <c r="V570" s="48" t="str">
        <f t="shared" si="138"/>
        <v/>
      </c>
      <c r="W570" s="48" t="str">
        <f t="shared" si="129"/>
        <v/>
      </c>
      <c r="X570" s="50" t="str">
        <f>IF(W570="","",SUMIF($B$4:$B$1002,B570,$W$4:$W$1000))</f>
        <v/>
      </c>
      <c r="Y570" s="43" t="str">
        <f t="shared" si="130"/>
        <v/>
      </c>
      <c r="Z570" s="49" t="str">
        <f t="shared" si="131"/>
        <v/>
      </c>
      <c r="AA570" s="48" t="str">
        <f t="shared" si="132"/>
        <v/>
      </c>
      <c r="AB570" s="49" t="str">
        <f t="shared" si="133"/>
        <v/>
      </c>
      <c r="AC570" s="50" t="str">
        <f>IF(AB570="","",SUMIF($B$4:$B$1002,B570,$AB$4:$AB$1000))</f>
        <v/>
      </c>
      <c r="AD570" s="69"/>
      <c r="AE570" s="56"/>
      <c r="AF570" s="52"/>
      <c r="AG570" s="51"/>
      <c r="AH570" s="70"/>
      <c r="AI570" s="58"/>
      <c r="AJ570" s="55"/>
      <c r="AK570" s="51"/>
      <c r="AL570" s="69"/>
      <c r="AM570" s="56"/>
      <c r="AN570" s="52"/>
      <c r="AO570" s="51"/>
      <c r="AP570" s="70"/>
      <c r="AQ570" s="58"/>
      <c r="AR570" s="55"/>
      <c r="AS570" s="51"/>
      <c r="AT570" s="69"/>
      <c r="AU570" s="56"/>
      <c r="AV570" s="52"/>
      <c r="AW570" s="51"/>
      <c r="BR570" s="34" t="str">
        <f>IF(E570="","",CONCATENATE(E570," ",F570," noches"))</f>
        <v/>
      </c>
      <c r="BS570" s="28" t="str">
        <f t="shared" ca="1" si="134"/>
        <v/>
      </c>
      <c r="BT570" s="28" t="str">
        <f t="shared" ca="1" si="135"/>
        <v/>
      </c>
    </row>
    <row r="571" spans="1:72" x14ac:dyDescent="0.2">
      <c r="A571" s="18" t="str" cm="1">
        <f t="array" aca="1" ref="A571" ca="1">IF(B571="","","Grupo N˚"&amp;SUMPRODUCT(($B$4:B571&lt;&gt;"")*($B$4:B571&lt;&gt;OFFSET($B$4,-1,0,ROWS($B$4:B571),1))))</f>
        <v/>
      </c>
      <c r="B571" s="31"/>
      <c r="C571" s="31"/>
      <c r="D571" s="31"/>
      <c r="E571" s="31"/>
      <c r="F571" s="32"/>
      <c r="G571" s="33"/>
      <c r="H571" s="33"/>
      <c r="I571" s="20" t="str">
        <f t="shared" si="124"/>
        <v/>
      </c>
      <c r="J571" s="21" t="str">
        <f>IFERROR(VLOOKUP(BR571,Pricing!$D$3:$E$58,2,FALSE),"")</f>
        <v/>
      </c>
      <c r="K571" s="32"/>
      <c r="L571" s="32"/>
      <c r="M571" s="32"/>
      <c r="N571" s="36" t="str" cm="1">
        <f t="array" ref="N571">IFERROR(_xlfn.IFS((AND(K571="SI",M571="$")),J571*0.2,AND(K571="SI",M571="%"),20),"")</f>
        <v/>
      </c>
      <c r="O571" s="29" t="str">
        <f t="shared" si="125"/>
        <v/>
      </c>
      <c r="P571" s="21" t="str">
        <f t="shared" si="126"/>
        <v/>
      </c>
      <c r="Q571" s="21" t="str">
        <f t="shared" si="127"/>
        <v/>
      </c>
      <c r="R571" s="21" t="str">
        <f t="shared" si="128"/>
        <v/>
      </c>
      <c r="S571" s="39"/>
      <c r="T571" s="43" t="str">
        <f t="shared" si="136"/>
        <v/>
      </c>
      <c r="U571" s="49" t="str">
        <f t="shared" si="137"/>
        <v/>
      </c>
      <c r="V571" s="48" t="str">
        <f t="shared" si="138"/>
        <v/>
      </c>
      <c r="W571" s="48" t="str">
        <f t="shared" si="129"/>
        <v/>
      </c>
      <c r="X571" s="50" t="str">
        <f>IF(W571="","",SUMIF($B$4:$B$1002,B571,$W$4:$W$1000))</f>
        <v/>
      </c>
      <c r="Y571" s="43" t="str">
        <f t="shared" si="130"/>
        <v/>
      </c>
      <c r="Z571" s="49" t="str">
        <f t="shared" si="131"/>
        <v/>
      </c>
      <c r="AA571" s="48" t="str">
        <f t="shared" si="132"/>
        <v/>
      </c>
      <c r="AB571" s="49" t="str">
        <f t="shared" si="133"/>
        <v/>
      </c>
      <c r="AC571" s="50" t="str">
        <f>IF(AB571="","",SUMIF($B$4:$B$1002,B571,$AB$4:$AB$1000))</f>
        <v/>
      </c>
      <c r="AD571" s="69"/>
      <c r="AE571" s="56"/>
      <c r="AF571" s="52"/>
      <c r="AG571" s="51"/>
      <c r="AH571" s="70"/>
      <c r="AI571" s="58"/>
      <c r="AJ571" s="55"/>
      <c r="AK571" s="51"/>
      <c r="AL571" s="69"/>
      <c r="AM571" s="56"/>
      <c r="AN571" s="52"/>
      <c r="AO571" s="51"/>
      <c r="AP571" s="70"/>
      <c r="AQ571" s="58"/>
      <c r="AR571" s="55"/>
      <c r="AS571" s="51"/>
      <c r="AT571" s="69"/>
      <c r="AU571" s="56"/>
      <c r="AV571" s="52"/>
      <c r="AW571" s="51"/>
      <c r="BR571" s="34" t="str">
        <f>IF(E571="","",CONCATENATE(E571," ",F571," noches"))</f>
        <v/>
      </c>
      <c r="BS571" s="28" t="str">
        <f t="shared" ca="1" si="134"/>
        <v/>
      </c>
      <c r="BT571" s="28" t="str">
        <f t="shared" ca="1" si="135"/>
        <v/>
      </c>
    </row>
    <row r="572" spans="1:72" x14ac:dyDescent="0.2">
      <c r="A572" s="18" t="str" cm="1">
        <f t="array" aca="1" ref="A572" ca="1">IF(B572="","","Grupo N˚"&amp;SUMPRODUCT(($B$4:B572&lt;&gt;"")*($B$4:B572&lt;&gt;OFFSET($B$4,-1,0,ROWS($B$4:B572),1))))</f>
        <v/>
      </c>
      <c r="B572" s="31"/>
      <c r="C572" s="31"/>
      <c r="D572" s="31"/>
      <c r="E572" s="31"/>
      <c r="F572" s="32"/>
      <c r="G572" s="33"/>
      <c r="H572" s="33"/>
      <c r="I572" s="20" t="str">
        <f t="shared" si="124"/>
        <v/>
      </c>
      <c r="J572" s="21" t="str">
        <f>IFERROR(VLOOKUP(BR572,Pricing!$D$3:$E$58,2,FALSE),"")</f>
        <v/>
      </c>
      <c r="K572" s="32"/>
      <c r="L572" s="32"/>
      <c r="M572" s="32"/>
      <c r="N572" s="36" t="str" cm="1">
        <f t="array" ref="N572">IFERROR(_xlfn.IFS((AND(K572="SI",M572="$")),J572*0.2,AND(K572="SI",M572="%"),20),"")</f>
        <v/>
      </c>
      <c r="O572" s="29" t="str">
        <f t="shared" si="125"/>
        <v/>
      </c>
      <c r="P572" s="21" t="str">
        <f t="shared" si="126"/>
        <v/>
      </c>
      <c r="Q572" s="21" t="str">
        <f t="shared" si="127"/>
        <v/>
      </c>
      <c r="R572" s="21" t="str">
        <f t="shared" si="128"/>
        <v/>
      </c>
      <c r="S572" s="39"/>
      <c r="T572" s="43" t="str">
        <f t="shared" si="136"/>
        <v/>
      </c>
      <c r="U572" s="49" t="str">
        <f t="shared" si="137"/>
        <v/>
      </c>
      <c r="V572" s="48" t="str">
        <f t="shared" si="138"/>
        <v/>
      </c>
      <c r="W572" s="48" t="str">
        <f t="shared" si="129"/>
        <v/>
      </c>
      <c r="X572" s="50" t="str">
        <f>IF(W572="","",SUMIF($B$4:$B$1002,B572,$W$4:$W$1000))</f>
        <v/>
      </c>
      <c r="Y572" s="43" t="str">
        <f t="shared" si="130"/>
        <v/>
      </c>
      <c r="Z572" s="49" t="str">
        <f t="shared" si="131"/>
        <v/>
      </c>
      <c r="AA572" s="48" t="str">
        <f t="shared" si="132"/>
        <v/>
      </c>
      <c r="AB572" s="49" t="str">
        <f t="shared" si="133"/>
        <v/>
      </c>
      <c r="AC572" s="50" t="str">
        <f>IF(AB572="","",SUMIF($B$4:$B$1002,B572,$AB$4:$AB$1000))</f>
        <v/>
      </c>
      <c r="AD572" s="69"/>
      <c r="AE572" s="56"/>
      <c r="AF572" s="52"/>
      <c r="AG572" s="51"/>
      <c r="AH572" s="70"/>
      <c r="AI572" s="58"/>
      <c r="AJ572" s="55"/>
      <c r="AK572" s="51"/>
      <c r="AL572" s="69"/>
      <c r="AM572" s="56"/>
      <c r="AN572" s="52"/>
      <c r="AO572" s="51"/>
      <c r="AP572" s="70"/>
      <c r="AQ572" s="58"/>
      <c r="AR572" s="55"/>
      <c r="AS572" s="51"/>
      <c r="AT572" s="69"/>
      <c r="AU572" s="56"/>
      <c r="AV572" s="52"/>
      <c r="AW572" s="51"/>
      <c r="BR572" s="34" t="str">
        <f>IF(E572="","",CONCATENATE(E572," ",F572," noches"))</f>
        <v/>
      </c>
      <c r="BS572" s="28" t="str">
        <f t="shared" ca="1" si="134"/>
        <v/>
      </c>
      <c r="BT572" s="28" t="str">
        <f t="shared" ca="1" si="135"/>
        <v/>
      </c>
    </row>
    <row r="573" spans="1:72" x14ac:dyDescent="0.2">
      <c r="A573" s="18" t="str" cm="1">
        <f t="array" aca="1" ref="A573" ca="1">IF(B573="","","Grupo N˚"&amp;SUMPRODUCT(($B$4:B573&lt;&gt;"")*($B$4:B573&lt;&gt;OFFSET($B$4,-1,0,ROWS($B$4:B573),1))))</f>
        <v/>
      </c>
      <c r="B573" s="31"/>
      <c r="C573" s="31"/>
      <c r="D573" s="31"/>
      <c r="E573" s="31"/>
      <c r="F573" s="32"/>
      <c r="G573" s="33"/>
      <c r="H573" s="33"/>
      <c r="I573" s="20" t="str">
        <f t="shared" si="124"/>
        <v/>
      </c>
      <c r="J573" s="21" t="str">
        <f>IFERROR(VLOOKUP(BR573,Pricing!$D$3:$E$58,2,FALSE),"")</f>
        <v/>
      </c>
      <c r="K573" s="32"/>
      <c r="L573" s="32"/>
      <c r="M573" s="32"/>
      <c r="N573" s="36" t="str" cm="1">
        <f t="array" ref="N573">IFERROR(_xlfn.IFS((AND(K573="SI",M573="$")),J573*0.2,AND(K573="SI",M573="%"),20),"")</f>
        <v/>
      </c>
      <c r="O573" s="29" t="str">
        <f t="shared" si="125"/>
        <v/>
      </c>
      <c r="P573" s="21" t="str">
        <f t="shared" si="126"/>
        <v/>
      </c>
      <c r="Q573" s="21" t="str">
        <f t="shared" si="127"/>
        <v/>
      </c>
      <c r="R573" s="21" t="str">
        <f t="shared" si="128"/>
        <v/>
      </c>
      <c r="S573" s="39"/>
      <c r="T573" s="43" t="str">
        <f t="shared" si="136"/>
        <v/>
      </c>
      <c r="U573" s="49" t="str">
        <f t="shared" si="137"/>
        <v/>
      </c>
      <c r="V573" s="48" t="str">
        <f t="shared" si="138"/>
        <v/>
      </c>
      <c r="W573" s="48" t="str">
        <f t="shared" si="129"/>
        <v/>
      </c>
      <c r="X573" s="50" t="str">
        <f>IF(W573="","",SUMIF($B$4:$B$1002,B573,$W$4:$W$1000))</f>
        <v/>
      </c>
      <c r="Y573" s="43" t="str">
        <f t="shared" si="130"/>
        <v/>
      </c>
      <c r="Z573" s="49" t="str">
        <f t="shared" si="131"/>
        <v/>
      </c>
      <c r="AA573" s="48" t="str">
        <f t="shared" si="132"/>
        <v/>
      </c>
      <c r="AB573" s="49" t="str">
        <f t="shared" si="133"/>
        <v/>
      </c>
      <c r="AC573" s="50" t="str">
        <f>IF(AB573="","",SUMIF($B$4:$B$1002,B573,$AB$4:$AB$1000))</f>
        <v/>
      </c>
      <c r="AD573" s="69"/>
      <c r="AE573" s="56"/>
      <c r="AF573" s="52"/>
      <c r="AG573" s="51"/>
      <c r="AH573" s="70"/>
      <c r="AI573" s="58"/>
      <c r="AJ573" s="55"/>
      <c r="AK573" s="51"/>
      <c r="AL573" s="69"/>
      <c r="AM573" s="56"/>
      <c r="AN573" s="52"/>
      <c r="AO573" s="51"/>
      <c r="AP573" s="70"/>
      <c r="AQ573" s="58"/>
      <c r="AR573" s="55"/>
      <c r="AS573" s="51"/>
      <c r="AT573" s="69"/>
      <c r="AU573" s="56"/>
      <c r="AV573" s="52"/>
      <c r="AW573" s="51"/>
      <c r="BR573" s="34" t="str">
        <f>IF(E573="","",CONCATENATE(E573," ",F573," noches"))</f>
        <v/>
      </c>
      <c r="BS573" s="28" t="str">
        <f t="shared" ca="1" si="134"/>
        <v/>
      </c>
      <c r="BT573" s="28" t="str">
        <f t="shared" ca="1" si="135"/>
        <v/>
      </c>
    </row>
    <row r="574" spans="1:72" x14ac:dyDescent="0.2">
      <c r="A574" s="18" t="str" cm="1">
        <f t="array" aca="1" ref="A574" ca="1">IF(B574="","","Grupo N˚"&amp;SUMPRODUCT(($B$4:B574&lt;&gt;"")*($B$4:B574&lt;&gt;OFFSET($B$4,-1,0,ROWS($B$4:B574),1))))</f>
        <v/>
      </c>
      <c r="B574" s="31"/>
      <c r="C574" s="31"/>
      <c r="D574" s="31"/>
      <c r="E574" s="31"/>
      <c r="F574" s="32"/>
      <c r="G574" s="33"/>
      <c r="H574" s="33"/>
      <c r="I574" s="20" t="str">
        <f t="shared" si="124"/>
        <v/>
      </c>
      <c r="J574" s="21" t="str">
        <f>IFERROR(VLOOKUP(BR574,Pricing!$D$3:$E$58,2,FALSE),"")</f>
        <v/>
      </c>
      <c r="K574" s="32"/>
      <c r="L574" s="32"/>
      <c r="M574" s="32"/>
      <c r="N574" s="36" t="str" cm="1">
        <f t="array" ref="N574">IFERROR(_xlfn.IFS((AND(K574="SI",M574="$")),J574*0.2,AND(K574="SI",M574="%"),20),"")</f>
        <v/>
      </c>
      <c r="O574" s="29" t="str">
        <f t="shared" si="125"/>
        <v/>
      </c>
      <c r="P574" s="21" t="str">
        <f t="shared" si="126"/>
        <v/>
      </c>
      <c r="Q574" s="21" t="str">
        <f t="shared" si="127"/>
        <v/>
      </c>
      <c r="R574" s="21" t="str">
        <f t="shared" si="128"/>
        <v/>
      </c>
      <c r="S574" s="39"/>
      <c r="T574" s="43" t="str">
        <f t="shared" si="136"/>
        <v/>
      </c>
      <c r="U574" s="49" t="str">
        <f t="shared" si="137"/>
        <v/>
      </c>
      <c r="V574" s="48" t="str">
        <f t="shared" si="138"/>
        <v/>
      </c>
      <c r="W574" s="48" t="str">
        <f t="shared" si="129"/>
        <v/>
      </c>
      <c r="X574" s="50" t="str">
        <f>IF(W574="","",SUMIF($B$4:$B$1002,B574,$W$4:$W$1000))</f>
        <v/>
      </c>
      <c r="Y574" s="43" t="str">
        <f t="shared" si="130"/>
        <v/>
      </c>
      <c r="Z574" s="49" t="str">
        <f t="shared" si="131"/>
        <v/>
      </c>
      <c r="AA574" s="48" t="str">
        <f t="shared" si="132"/>
        <v/>
      </c>
      <c r="AB574" s="49" t="str">
        <f t="shared" si="133"/>
        <v/>
      </c>
      <c r="AC574" s="50" t="str">
        <f>IF(AB574="","",SUMIF($B$4:$B$1002,B574,$AB$4:$AB$1000))</f>
        <v/>
      </c>
      <c r="AD574" s="69"/>
      <c r="AE574" s="56"/>
      <c r="AF574" s="52"/>
      <c r="AG574" s="51"/>
      <c r="AH574" s="70"/>
      <c r="AI574" s="58"/>
      <c r="AJ574" s="55"/>
      <c r="AK574" s="51"/>
      <c r="AL574" s="69"/>
      <c r="AM574" s="56"/>
      <c r="AN574" s="52"/>
      <c r="AO574" s="51"/>
      <c r="AP574" s="70"/>
      <c r="AQ574" s="58"/>
      <c r="AR574" s="55"/>
      <c r="AS574" s="51"/>
      <c r="AT574" s="69"/>
      <c r="AU574" s="56"/>
      <c r="AV574" s="52"/>
      <c r="AW574" s="51"/>
      <c r="BR574" s="34" t="str">
        <f>IF(E574="","",CONCATENATE(E574," ",F574," noches"))</f>
        <v/>
      </c>
      <c r="BS574" s="28" t="str">
        <f t="shared" ca="1" si="134"/>
        <v/>
      </c>
      <c r="BT574" s="28" t="str">
        <f t="shared" ca="1" si="135"/>
        <v/>
      </c>
    </row>
    <row r="575" spans="1:72" x14ac:dyDescent="0.2">
      <c r="A575" s="18" t="str" cm="1">
        <f t="array" aca="1" ref="A575" ca="1">IF(B575="","","Grupo N˚"&amp;SUMPRODUCT(($B$4:B575&lt;&gt;"")*($B$4:B575&lt;&gt;OFFSET($B$4,-1,0,ROWS($B$4:B575),1))))</f>
        <v/>
      </c>
      <c r="B575" s="31"/>
      <c r="C575" s="31"/>
      <c r="D575" s="31"/>
      <c r="E575" s="31"/>
      <c r="F575" s="32"/>
      <c r="G575" s="33"/>
      <c r="H575" s="33"/>
      <c r="I575" s="20" t="str">
        <f t="shared" si="124"/>
        <v/>
      </c>
      <c r="J575" s="21" t="str">
        <f>IFERROR(VLOOKUP(BR575,Pricing!$D$3:$E$58,2,FALSE),"")</f>
        <v/>
      </c>
      <c r="K575" s="32"/>
      <c r="L575" s="32"/>
      <c r="M575" s="32"/>
      <c r="N575" s="36" t="str" cm="1">
        <f t="array" ref="N575">IFERROR(_xlfn.IFS((AND(K575="SI",M575="$")),J575*0.2,AND(K575="SI",M575="%"),20),"")</f>
        <v/>
      </c>
      <c r="O575" s="29" t="str">
        <f t="shared" si="125"/>
        <v/>
      </c>
      <c r="P575" s="21" t="str">
        <f t="shared" si="126"/>
        <v/>
      </c>
      <c r="Q575" s="21" t="str">
        <f t="shared" si="127"/>
        <v/>
      </c>
      <c r="R575" s="21" t="str">
        <f t="shared" si="128"/>
        <v/>
      </c>
      <c r="S575" s="39"/>
      <c r="T575" s="43" t="str">
        <f t="shared" si="136"/>
        <v/>
      </c>
      <c r="U575" s="49" t="str">
        <f t="shared" si="137"/>
        <v/>
      </c>
      <c r="V575" s="48" t="str">
        <f t="shared" si="138"/>
        <v/>
      </c>
      <c r="W575" s="48" t="str">
        <f t="shared" si="129"/>
        <v/>
      </c>
      <c r="X575" s="50" t="str">
        <f>IF(W575="","",SUMIF($B$4:$B$1002,B575,$W$4:$W$1000))</f>
        <v/>
      </c>
      <c r="Y575" s="43" t="str">
        <f t="shared" si="130"/>
        <v/>
      </c>
      <c r="Z575" s="49" t="str">
        <f t="shared" si="131"/>
        <v/>
      </c>
      <c r="AA575" s="48" t="str">
        <f t="shared" si="132"/>
        <v/>
      </c>
      <c r="AB575" s="49" t="str">
        <f t="shared" si="133"/>
        <v/>
      </c>
      <c r="AC575" s="50" t="str">
        <f>IF(AB575="","",SUMIF($B$4:$B$1002,B575,$AB$4:$AB$1000))</f>
        <v/>
      </c>
      <c r="AD575" s="69"/>
      <c r="AE575" s="56"/>
      <c r="AF575" s="52"/>
      <c r="AG575" s="51"/>
      <c r="AH575" s="70"/>
      <c r="AI575" s="58"/>
      <c r="AJ575" s="55"/>
      <c r="AK575" s="51"/>
      <c r="AL575" s="69"/>
      <c r="AM575" s="56"/>
      <c r="AN575" s="52"/>
      <c r="AO575" s="51"/>
      <c r="AP575" s="70"/>
      <c r="AQ575" s="58"/>
      <c r="AR575" s="55"/>
      <c r="AS575" s="51"/>
      <c r="AT575" s="69"/>
      <c r="AU575" s="56"/>
      <c r="AV575" s="52"/>
      <c r="AW575" s="51"/>
      <c r="BR575" s="34" t="str">
        <f>IF(E575="","",CONCATENATE(E575," ",F575," noches"))</f>
        <v/>
      </c>
      <c r="BS575" s="28" t="str">
        <f t="shared" ca="1" si="134"/>
        <v/>
      </c>
      <c r="BT575" s="28" t="str">
        <f t="shared" ca="1" si="135"/>
        <v/>
      </c>
    </row>
    <row r="576" spans="1:72" x14ac:dyDescent="0.2">
      <c r="A576" s="18" t="str" cm="1">
        <f t="array" aca="1" ref="A576" ca="1">IF(B576="","","Grupo N˚"&amp;SUMPRODUCT(($B$4:B576&lt;&gt;"")*($B$4:B576&lt;&gt;OFFSET($B$4,-1,0,ROWS($B$4:B576),1))))</f>
        <v/>
      </c>
      <c r="B576" s="31"/>
      <c r="C576" s="31"/>
      <c r="D576" s="31"/>
      <c r="E576" s="31"/>
      <c r="F576" s="32"/>
      <c r="G576" s="33"/>
      <c r="H576" s="33"/>
      <c r="I576" s="20" t="str">
        <f t="shared" si="124"/>
        <v/>
      </c>
      <c r="J576" s="21" t="str">
        <f>IFERROR(VLOOKUP(BR576,Pricing!$D$3:$E$58,2,FALSE),"")</f>
        <v/>
      </c>
      <c r="K576" s="32"/>
      <c r="L576" s="32"/>
      <c r="M576" s="32"/>
      <c r="N576" s="36" t="str" cm="1">
        <f t="array" ref="N576">IFERROR(_xlfn.IFS((AND(K576="SI",M576="$")),J576*0.2,AND(K576="SI",M576="%"),20),"")</f>
        <v/>
      </c>
      <c r="O576" s="29" t="str">
        <f t="shared" si="125"/>
        <v/>
      </c>
      <c r="P576" s="21" t="str">
        <f t="shared" si="126"/>
        <v/>
      </c>
      <c r="Q576" s="21" t="str">
        <f t="shared" si="127"/>
        <v/>
      </c>
      <c r="R576" s="21" t="str">
        <f t="shared" si="128"/>
        <v/>
      </c>
      <c r="S576" s="39"/>
      <c r="T576" s="43" t="str">
        <f t="shared" si="136"/>
        <v/>
      </c>
      <c r="U576" s="49" t="str">
        <f t="shared" si="137"/>
        <v/>
      </c>
      <c r="V576" s="48" t="str">
        <f t="shared" si="138"/>
        <v/>
      </c>
      <c r="W576" s="48" t="str">
        <f t="shared" si="129"/>
        <v/>
      </c>
      <c r="X576" s="50" t="str">
        <f>IF(W576="","",SUMIF($B$4:$B$1002,B576,$W$4:$W$1000))</f>
        <v/>
      </c>
      <c r="Y576" s="43" t="str">
        <f t="shared" si="130"/>
        <v/>
      </c>
      <c r="Z576" s="49" t="str">
        <f t="shared" si="131"/>
        <v/>
      </c>
      <c r="AA576" s="48" t="str">
        <f t="shared" si="132"/>
        <v/>
      </c>
      <c r="AB576" s="49" t="str">
        <f t="shared" si="133"/>
        <v/>
      </c>
      <c r="AC576" s="50" t="str">
        <f>IF(AB576="","",SUMIF($B$4:$B$1002,B576,$AB$4:$AB$1000))</f>
        <v/>
      </c>
      <c r="AD576" s="69"/>
      <c r="AE576" s="56"/>
      <c r="AF576" s="52"/>
      <c r="AG576" s="51"/>
      <c r="AH576" s="70"/>
      <c r="AI576" s="58"/>
      <c r="AJ576" s="55"/>
      <c r="AK576" s="51"/>
      <c r="AL576" s="69"/>
      <c r="AM576" s="56"/>
      <c r="AN576" s="52"/>
      <c r="AO576" s="51"/>
      <c r="AP576" s="70"/>
      <c r="AQ576" s="58"/>
      <c r="AR576" s="55"/>
      <c r="AS576" s="51"/>
      <c r="AT576" s="69"/>
      <c r="AU576" s="56"/>
      <c r="AV576" s="52"/>
      <c r="AW576" s="51"/>
      <c r="BR576" s="34" t="str">
        <f>IF(E576="","",CONCATENATE(E576," ",F576," noches"))</f>
        <v/>
      </c>
      <c r="BS576" s="28" t="str">
        <f t="shared" ca="1" si="134"/>
        <v/>
      </c>
      <c r="BT576" s="28" t="str">
        <f t="shared" ca="1" si="135"/>
        <v/>
      </c>
    </row>
    <row r="577" spans="1:72" x14ac:dyDescent="0.2">
      <c r="A577" s="18" t="str" cm="1">
        <f t="array" aca="1" ref="A577" ca="1">IF(B577="","","Grupo N˚"&amp;SUMPRODUCT(($B$4:B577&lt;&gt;"")*($B$4:B577&lt;&gt;OFFSET($B$4,-1,0,ROWS($B$4:B577),1))))</f>
        <v/>
      </c>
      <c r="B577" s="31"/>
      <c r="C577" s="31"/>
      <c r="D577" s="31"/>
      <c r="E577" s="31"/>
      <c r="F577" s="32"/>
      <c r="G577" s="33"/>
      <c r="H577" s="33"/>
      <c r="I577" s="20" t="str">
        <f t="shared" si="124"/>
        <v/>
      </c>
      <c r="J577" s="21" t="str">
        <f>IFERROR(VLOOKUP(BR577,Pricing!$D$3:$E$58,2,FALSE),"")</f>
        <v/>
      </c>
      <c r="K577" s="32"/>
      <c r="L577" s="32"/>
      <c r="M577" s="32"/>
      <c r="N577" s="36" t="str" cm="1">
        <f t="array" ref="N577">IFERROR(_xlfn.IFS((AND(K577="SI",M577="$")),J577*0.2,AND(K577="SI",M577="%"),20),"")</f>
        <v/>
      </c>
      <c r="O577" s="29" t="str">
        <f t="shared" si="125"/>
        <v/>
      </c>
      <c r="P577" s="21" t="str">
        <f t="shared" si="126"/>
        <v/>
      </c>
      <c r="Q577" s="21" t="str">
        <f t="shared" si="127"/>
        <v/>
      </c>
      <c r="R577" s="21" t="str">
        <f t="shared" si="128"/>
        <v/>
      </c>
      <c r="S577" s="39"/>
      <c r="T577" s="43" t="str">
        <f t="shared" si="136"/>
        <v/>
      </c>
      <c r="U577" s="49" t="str">
        <f t="shared" si="137"/>
        <v/>
      </c>
      <c r="V577" s="48" t="str">
        <f t="shared" si="138"/>
        <v/>
      </c>
      <c r="W577" s="48" t="str">
        <f t="shared" si="129"/>
        <v/>
      </c>
      <c r="X577" s="50" t="str">
        <f>IF(W577="","",SUMIF($B$4:$B$1002,B577,$W$4:$W$1000))</f>
        <v/>
      </c>
      <c r="Y577" s="43" t="str">
        <f t="shared" si="130"/>
        <v/>
      </c>
      <c r="Z577" s="49" t="str">
        <f t="shared" si="131"/>
        <v/>
      </c>
      <c r="AA577" s="48" t="str">
        <f t="shared" si="132"/>
        <v/>
      </c>
      <c r="AB577" s="49" t="str">
        <f t="shared" si="133"/>
        <v/>
      </c>
      <c r="AC577" s="50" t="str">
        <f>IF(AB577="","",SUMIF($B$4:$B$1002,B577,$AB$4:$AB$1000))</f>
        <v/>
      </c>
      <c r="AD577" s="69"/>
      <c r="AE577" s="56"/>
      <c r="AF577" s="52"/>
      <c r="AG577" s="51"/>
      <c r="AH577" s="70"/>
      <c r="AI577" s="58"/>
      <c r="AJ577" s="55"/>
      <c r="AK577" s="51"/>
      <c r="AL577" s="69"/>
      <c r="AM577" s="56"/>
      <c r="AN577" s="52"/>
      <c r="AO577" s="51"/>
      <c r="AP577" s="70"/>
      <c r="AQ577" s="58"/>
      <c r="AR577" s="55"/>
      <c r="AS577" s="51"/>
      <c r="AT577" s="69"/>
      <c r="AU577" s="56"/>
      <c r="AV577" s="52"/>
      <c r="AW577" s="51"/>
      <c r="BR577" s="34" t="str">
        <f>IF(E577="","",CONCATENATE(E577," ",F577," noches"))</f>
        <v/>
      </c>
      <c r="BS577" s="28" t="str">
        <f t="shared" ca="1" si="134"/>
        <v/>
      </c>
      <c r="BT577" s="28" t="str">
        <f t="shared" ca="1" si="135"/>
        <v/>
      </c>
    </row>
    <row r="578" spans="1:72" x14ac:dyDescent="0.2">
      <c r="A578" s="18" t="str" cm="1">
        <f t="array" aca="1" ref="A578" ca="1">IF(B578="","","Grupo N˚"&amp;SUMPRODUCT(($B$4:B578&lt;&gt;"")*($B$4:B578&lt;&gt;OFFSET($B$4,-1,0,ROWS($B$4:B578),1))))</f>
        <v/>
      </c>
      <c r="B578" s="31"/>
      <c r="C578" s="31"/>
      <c r="D578" s="31"/>
      <c r="E578" s="31"/>
      <c r="F578" s="32"/>
      <c r="G578" s="33"/>
      <c r="H578" s="33"/>
      <c r="I578" s="20" t="str">
        <f t="shared" si="124"/>
        <v/>
      </c>
      <c r="J578" s="21" t="str">
        <f>IFERROR(VLOOKUP(BR578,Pricing!$D$3:$E$58,2,FALSE),"")</f>
        <v/>
      </c>
      <c r="K578" s="32"/>
      <c r="L578" s="32"/>
      <c r="M578" s="32"/>
      <c r="N578" s="36" t="str" cm="1">
        <f t="array" ref="N578">IFERROR(_xlfn.IFS((AND(K578="SI",M578="$")),J578*0.2,AND(K578="SI",M578="%"),20),"")</f>
        <v/>
      </c>
      <c r="O578" s="29" t="str">
        <f t="shared" si="125"/>
        <v/>
      </c>
      <c r="P578" s="21" t="str">
        <f t="shared" si="126"/>
        <v/>
      </c>
      <c r="Q578" s="21" t="str">
        <f t="shared" si="127"/>
        <v/>
      </c>
      <c r="R578" s="21" t="str">
        <f t="shared" si="128"/>
        <v/>
      </c>
      <c r="S578" s="39"/>
      <c r="T578" s="43" t="str">
        <f t="shared" si="136"/>
        <v/>
      </c>
      <c r="U578" s="49" t="str">
        <f t="shared" si="137"/>
        <v/>
      </c>
      <c r="V578" s="48" t="str">
        <f t="shared" si="138"/>
        <v/>
      </c>
      <c r="W578" s="48" t="str">
        <f t="shared" si="129"/>
        <v/>
      </c>
      <c r="X578" s="50" t="str">
        <f>IF(W578="","",SUMIF($B$4:$B$1002,B578,$W$4:$W$1000))</f>
        <v/>
      </c>
      <c r="Y578" s="43" t="str">
        <f t="shared" si="130"/>
        <v/>
      </c>
      <c r="Z578" s="49" t="str">
        <f t="shared" si="131"/>
        <v/>
      </c>
      <c r="AA578" s="48" t="str">
        <f t="shared" si="132"/>
        <v/>
      </c>
      <c r="AB578" s="49" t="str">
        <f t="shared" si="133"/>
        <v/>
      </c>
      <c r="AC578" s="50" t="str">
        <f>IF(AB578="","",SUMIF($B$4:$B$1002,B578,$AB$4:$AB$1000))</f>
        <v/>
      </c>
      <c r="AD578" s="69"/>
      <c r="AE578" s="56"/>
      <c r="AF578" s="52"/>
      <c r="AG578" s="51"/>
      <c r="AH578" s="70"/>
      <c r="AI578" s="58"/>
      <c r="AJ578" s="55"/>
      <c r="AK578" s="51"/>
      <c r="AL578" s="69"/>
      <c r="AM578" s="56"/>
      <c r="AN578" s="52"/>
      <c r="AO578" s="51"/>
      <c r="AP578" s="70"/>
      <c r="AQ578" s="58"/>
      <c r="AR578" s="55"/>
      <c r="AS578" s="51"/>
      <c r="AT578" s="69"/>
      <c r="AU578" s="56"/>
      <c r="AV578" s="52"/>
      <c r="AW578" s="51"/>
      <c r="BR578" s="34" t="str">
        <f>IF(E578="","",CONCATENATE(E578," ",F578," noches"))</f>
        <v/>
      </c>
      <c r="BS578" s="28" t="str">
        <f t="shared" ca="1" si="134"/>
        <v/>
      </c>
      <c r="BT578" s="28" t="str">
        <f t="shared" ca="1" si="135"/>
        <v/>
      </c>
    </row>
    <row r="579" spans="1:72" x14ac:dyDescent="0.2">
      <c r="A579" s="18" t="str" cm="1">
        <f t="array" aca="1" ref="A579" ca="1">IF(B579="","","Grupo N˚"&amp;SUMPRODUCT(($B$4:B579&lt;&gt;"")*($B$4:B579&lt;&gt;OFFSET($B$4,-1,0,ROWS($B$4:B579),1))))</f>
        <v/>
      </c>
      <c r="B579" s="31"/>
      <c r="C579" s="31"/>
      <c r="D579" s="31"/>
      <c r="E579" s="31"/>
      <c r="F579" s="32"/>
      <c r="G579" s="33"/>
      <c r="H579" s="33"/>
      <c r="I579" s="20" t="str">
        <f t="shared" si="124"/>
        <v/>
      </c>
      <c r="J579" s="21" t="str">
        <f>IFERROR(VLOOKUP(BR579,Pricing!$D$3:$E$58,2,FALSE),"")</f>
        <v/>
      </c>
      <c r="K579" s="32"/>
      <c r="L579" s="32"/>
      <c r="M579" s="32"/>
      <c r="N579" s="36" t="str" cm="1">
        <f t="array" ref="N579">IFERROR(_xlfn.IFS((AND(K579="SI",M579="$")),J579*0.2,AND(K579="SI",M579="%"),20),"")</f>
        <v/>
      </c>
      <c r="O579" s="29" t="str">
        <f t="shared" si="125"/>
        <v/>
      </c>
      <c r="P579" s="21" t="str">
        <f t="shared" si="126"/>
        <v/>
      </c>
      <c r="Q579" s="21" t="str">
        <f t="shared" si="127"/>
        <v/>
      </c>
      <c r="R579" s="21" t="str">
        <f t="shared" si="128"/>
        <v/>
      </c>
      <c r="S579" s="39"/>
      <c r="T579" s="43" t="str">
        <f t="shared" si="136"/>
        <v/>
      </c>
      <c r="U579" s="49" t="str">
        <f t="shared" si="137"/>
        <v/>
      </c>
      <c r="V579" s="48" t="str">
        <f t="shared" si="138"/>
        <v/>
      </c>
      <c r="W579" s="48" t="str">
        <f t="shared" si="129"/>
        <v/>
      </c>
      <c r="X579" s="50" t="str">
        <f>IF(W579="","",SUMIF($B$4:$B$1002,B579,$W$4:$W$1000))</f>
        <v/>
      </c>
      <c r="Y579" s="43" t="str">
        <f t="shared" si="130"/>
        <v/>
      </c>
      <c r="Z579" s="49" t="str">
        <f t="shared" si="131"/>
        <v/>
      </c>
      <c r="AA579" s="48" t="str">
        <f t="shared" si="132"/>
        <v/>
      </c>
      <c r="AB579" s="49" t="str">
        <f t="shared" si="133"/>
        <v/>
      </c>
      <c r="AC579" s="50" t="str">
        <f>IF(AB579="","",SUMIF($B$4:$B$1002,B579,$AB$4:$AB$1000))</f>
        <v/>
      </c>
      <c r="AD579" s="69"/>
      <c r="AE579" s="56"/>
      <c r="AF579" s="52"/>
      <c r="AG579" s="51"/>
      <c r="AH579" s="70"/>
      <c r="AI579" s="58"/>
      <c r="AJ579" s="55"/>
      <c r="AK579" s="51"/>
      <c r="AL579" s="69"/>
      <c r="AM579" s="56"/>
      <c r="AN579" s="52"/>
      <c r="AO579" s="51"/>
      <c r="AP579" s="70"/>
      <c r="AQ579" s="58"/>
      <c r="AR579" s="55"/>
      <c r="AS579" s="51"/>
      <c r="AT579" s="69"/>
      <c r="AU579" s="56"/>
      <c r="AV579" s="52"/>
      <c r="AW579" s="51"/>
      <c r="BR579" s="34" t="str">
        <f>IF(E579="","",CONCATENATE(E579," ",F579," noches"))</f>
        <v/>
      </c>
      <c r="BS579" s="28" t="str">
        <f t="shared" ca="1" si="134"/>
        <v/>
      </c>
      <c r="BT579" s="28" t="str">
        <f t="shared" ca="1" si="135"/>
        <v/>
      </c>
    </row>
    <row r="580" spans="1:72" x14ac:dyDescent="0.2">
      <c r="A580" s="18" t="str" cm="1">
        <f t="array" aca="1" ref="A580" ca="1">IF(B580="","","Grupo N˚"&amp;SUMPRODUCT(($B$4:B580&lt;&gt;"")*($B$4:B580&lt;&gt;OFFSET($B$4,-1,0,ROWS($B$4:B580),1))))</f>
        <v/>
      </c>
      <c r="B580" s="31"/>
      <c r="C580" s="31"/>
      <c r="D580" s="31"/>
      <c r="E580" s="31"/>
      <c r="F580" s="32"/>
      <c r="G580" s="33"/>
      <c r="H580" s="33"/>
      <c r="I580" s="20" t="str">
        <f t="shared" si="124"/>
        <v/>
      </c>
      <c r="J580" s="21" t="str">
        <f>IFERROR(VLOOKUP(BR580,Pricing!$D$3:$E$58,2,FALSE),"")</f>
        <v/>
      </c>
      <c r="K580" s="32"/>
      <c r="L580" s="32"/>
      <c r="M580" s="32"/>
      <c r="N580" s="36" t="str" cm="1">
        <f t="array" ref="N580">IFERROR(_xlfn.IFS((AND(K580="SI",M580="$")),J580*0.2,AND(K580="SI",M580="%"),20),"")</f>
        <v/>
      </c>
      <c r="O580" s="29" t="str">
        <f t="shared" si="125"/>
        <v/>
      </c>
      <c r="P580" s="21" t="str">
        <f t="shared" si="126"/>
        <v/>
      </c>
      <c r="Q580" s="21" t="str">
        <f t="shared" si="127"/>
        <v/>
      </c>
      <c r="R580" s="21" t="str">
        <f t="shared" si="128"/>
        <v/>
      </c>
      <c r="S580" s="39"/>
      <c r="T580" s="43" t="str">
        <f t="shared" si="136"/>
        <v/>
      </c>
      <c r="U580" s="49" t="str">
        <f t="shared" si="137"/>
        <v/>
      </c>
      <c r="V580" s="48" t="str">
        <f t="shared" si="138"/>
        <v/>
      </c>
      <c r="W580" s="48" t="str">
        <f t="shared" si="129"/>
        <v/>
      </c>
      <c r="X580" s="50" t="str">
        <f>IF(W580="","",SUMIF($B$4:$B$1002,B580,$W$4:$W$1000))</f>
        <v/>
      </c>
      <c r="Y580" s="43" t="str">
        <f t="shared" si="130"/>
        <v/>
      </c>
      <c r="Z580" s="49" t="str">
        <f t="shared" si="131"/>
        <v/>
      </c>
      <c r="AA580" s="48" t="str">
        <f t="shared" si="132"/>
        <v/>
      </c>
      <c r="AB580" s="49" t="str">
        <f t="shared" si="133"/>
        <v/>
      </c>
      <c r="AC580" s="50" t="str">
        <f>IF(AB580="","",SUMIF($B$4:$B$1002,B580,$AB$4:$AB$1000))</f>
        <v/>
      </c>
      <c r="AD580" s="69"/>
      <c r="AE580" s="56"/>
      <c r="AF580" s="52"/>
      <c r="AG580" s="51"/>
      <c r="AH580" s="70"/>
      <c r="AI580" s="58"/>
      <c r="AJ580" s="55"/>
      <c r="AK580" s="51"/>
      <c r="AL580" s="69"/>
      <c r="AM580" s="56"/>
      <c r="AN580" s="52"/>
      <c r="AO580" s="51"/>
      <c r="AP580" s="70"/>
      <c r="AQ580" s="58"/>
      <c r="AR580" s="55"/>
      <c r="AS580" s="51"/>
      <c r="AT580" s="69"/>
      <c r="AU580" s="56"/>
      <c r="AV580" s="52"/>
      <c r="AW580" s="51"/>
      <c r="BR580" s="34" t="str">
        <f>IF(E580="","",CONCATENATE(E580," ",F580," noches"))</f>
        <v/>
      </c>
      <c r="BS580" s="28" t="str">
        <f t="shared" ca="1" si="134"/>
        <v/>
      </c>
      <c r="BT580" s="28" t="str">
        <f t="shared" ca="1" si="135"/>
        <v/>
      </c>
    </row>
    <row r="581" spans="1:72" x14ac:dyDescent="0.2">
      <c r="A581" s="18" t="str" cm="1">
        <f t="array" aca="1" ref="A581" ca="1">IF(B581="","","Grupo N˚"&amp;SUMPRODUCT(($B$4:B581&lt;&gt;"")*($B$4:B581&lt;&gt;OFFSET($B$4,-1,0,ROWS($B$4:B581),1))))</f>
        <v/>
      </c>
      <c r="B581" s="31"/>
      <c r="C581" s="31"/>
      <c r="D581" s="31"/>
      <c r="E581" s="31"/>
      <c r="F581" s="32"/>
      <c r="G581" s="33"/>
      <c r="H581" s="33"/>
      <c r="I581" s="20" t="str">
        <f t="shared" ref="I581:I644" si="139">+IF(H581="","",G581+H581)</f>
        <v/>
      </c>
      <c r="J581" s="21" t="str">
        <f>IFERROR(VLOOKUP(BR581,Pricing!$D$3:$E$58,2,FALSE),"")</f>
        <v/>
      </c>
      <c r="K581" s="32"/>
      <c r="L581" s="32"/>
      <c r="M581" s="32"/>
      <c r="N581" s="36" t="str" cm="1">
        <f t="array" ref="N581">IFERROR(_xlfn.IFS((AND(K581="SI",M581="$")),J581*0.2,AND(K581="SI",M581="%"),20),"")</f>
        <v/>
      </c>
      <c r="O581" s="29" t="str">
        <f t="shared" ref="O581:O644" si="140">IFERROR(IF($M581="%",
             IF(N(N581)&gt;1, N(N581)/100, N(N581)),
             IF(AND($J581&gt;0,$M581="$"), N(N581)/$J581, "")
            ),"")</f>
        <v/>
      </c>
      <c r="P581" s="21" t="str">
        <f t="shared" ref="P581:P644" si="141">IFERROR(IF(M581="$", N(N581), IF(M581="%", J581*N(N581/100), "")), "")</f>
        <v/>
      </c>
      <c r="Q581" s="21" t="str">
        <f t="shared" ref="Q581:Q644" si="142">IF(J581="","",J581*(1-N(O581)))</f>
        <v/>
      </c>
      <c r="R581" s="21" t="str">
        <f t="shared" ref="R581:R644" si="143">IF(Q581="","",Q581/1.19)</f>
        <v/>
      </c>
      <c r="S581" s="39"/>
      <c r="T581" s="43" t="str">
        <f t="shared" si="136"/>
        <v/>
      </c>
      <c r="U581" s="49" t="str">
        <f t="shared" si="137"/>
        <v/>
      </c>
      <c r="V581" s="48" t="str">
        <f t="shared" si="138"/>
        <v/>
      </c>
      <c r="W581" s="48" t="str">
        <f t="shared" ref="W581:W644" si="144">IFERROR(U581-N(V581),"")</f>
        <v/>
      </c>
      <c r="X581" s="50" t="str">
        <f>IF(W581="","",SUMIF($B$4:$B$1002,B581,$W$4:$W$1000))</f>
        <v/>
      </c>
      <c r="Y581" s="43" t="str">
        <f t="shared" ref="Y581:Y644" si="145">IF(AB581="","",IFERROR(
 IF(AND(ABS(N(AB581))&lt;0.5, BT581&gt;=23), "Sin deuda",
  IF(AND(N(AB581)&gt;0, BT581&gt;=23), "Con deuda",
   IF(AND(N(AB581)&gt;0, BT581&lt;23), "Moroso", "")
  )
),""))</f>
        <v/>
      </c>
      <c r="Z581" s="49" t="str">
        <f t="shared" ref="Z581:Z644" si="146">IF(R581="","",R581/2)</f>
        <v/>
      </c>
      <c r="AA581" s="48" t="str">
        <f t="shared" ref="AA581:AA644" si="147">IF(AD581="","",SUM(
 IF(ISNUMBER(SEARCH("saldo",AD581)),AF581,0),
 IF(ISNUMBER(SEARCH("saldo",AH581)),AJ581,0),
 IF(ISNUMBER(SEARCH("saldo",AL581)),AN581,0),
 IF(ISNUMBER(SEARCH("saldo",AP581)),AR581,0),
 IF(ISNUMBER(SEARCH("saldo",AT581)),AV581,0)
))</f>
        <v/>
      </c>
      <c r="AB581" s="49" t="str">
        <f t="shared" ref="AB581:AB644" si="148">IFERROR(Z581-N(AA581),"")</f>
        <v/>
      </c>
      <c r="AC581" s="50" t="str">
        <f>IF(AB581="","",SUMIF($B$4:$B$1002,B581,$AB$4:$AB$1000))</f>
        <v/>
      </c>
      <c r="AD581" s="69"/>
      <c r="AE581" s="56"/>
      <c r="AF581" s="52"/>
      <c r="AG581" s="51"/>
      <c r="AH581" s="70"/>
      <c r="AI581" s="58"/>
      <c r="AJ581" s="55"/>
      <c r="AK581" s="51"/>
      <c r="AL581" s="69"/>
      <c r="AM581" s="56"/>
      <c r="AN581" s="52"/>
      <c r="AO581" s="51"/>
      <c r="AP581" s="70"/>
      <c r="AQ581" s="58"/>
      <c r="AR581" s="55"/>
      <c r="AS581" s="51"/>
      <c r="AT581" s="69"/>
      <c r="AU581" s="56"/>
      <c r="AV581" s="52"/>
      <c r="AW581" s="51"/>
      <c r="BR581" s="34" t="str">
        <f>IF(E581="","",CONCATENATE(E581," ",F581," noches"))</f>
        <v/>
      </c>
      <c r="BS581" s="28" t="str">
        <f t="shared" ref="BS581:BS644" ca="1" si="149">IF(G581="","",+TODAY()-G581)</f>
        <v/>
      </c>
      <c r="BT581" s="28" t="str">
        <f t="shared" ref="BT581:BT644" ca="1" si="150">IF(H581="","",H581-TODAY())</f>
        <v/>
      </c>
    </row>
    <row r="582" spans="1:72" x14ac:dyDescent="0.2">
      <c r="A582" s="18" t="str" cm="1">
        <f t="array" aca="1" ref="A582" ca="1">IF(B582="","","Grupo N˚"&amp;SUMPRODUCT(($B$4:B582&lt;&gt;"")*($B$4:B582&lt;&gt;OFFSET($B$4,-1,0,ROWS($B$4:B582),1))))</f>
        <v/>
      </c>
      <c r="B582" s="31"/>
      <c r="C582" s="31"/>
      <c r="D582" s="31"/>
      <c r="E582" s="31"/>
      <c r="F582" s="32"/>
      <c r="G582" s="33"/>
      <c r="H582" s="33"/>
      <c r="I582" s="20" t="str">
        <f t="shared" si="139"/>
        <v/>
      </c>
      <c r="J582" s="21" t="str">
        <f>IFERROR(VLOOKUP(BR582,Pricing!$D$3:$E$58,2,FALSE),"")</f>
        <v/>
      </c>
      <c r="K582" s="32"/>
      <c r="L582" s="32"/>
      <c r="M582" s="32"/>
      <c r="N582" s="36" t="str" cm="1">
        <f t="array" ref="N582">IFERROR(_xlfn.IFS((AND(K582="SI",M582="$")),J582*0.2,AND(K582="SI",M582="%"),20),"")</f>
        <v/>
      </c>
      <c r="O582" s="29" t="str">
        <f t="shared" si="140"/>
        <v/>
      </c>
      <c r="P582" s="21" t="str">
        <f t="shared" si="141"/>
        <v/>
      </c>
      <c r="Q582" s="21" t="str">
        <f t="shared" si="142"/>
        <v/>
      </c>
      <c r="R582" s="21" t="str">
        <f t="shared" si="143"/>
        <v/>
      </c>
      <c r="S582" s="39"/>
      <c r="T582" s="43" t="str">
        <f t="shared" si="136"/>
        <v/>
      </c>
      <c r="U582" s="49" t="str">
        <f t="shared" si="137"/>
        <v/>
      </c>
      <c r="V582" s="48" t="str">
        <f t="shared" si="138"/>
        <v/>
      </c>
      <c r="W582" s="48" t="str">
        <f t="shared" si="144"/>
        <v/>
      </c>
      <c r="X582" s="50" t="str">
        <f>IF(W582="","",SUMIF($B$4:$B$1002,B582,$W$4:$W$1000))</f>
        <v/>
      </c>
      <c r="Y582" s="43" t="str">
        <f t="shared" si="145"/>
        <v/>
      </c>
      <c r="Z582" s="49" t="str">
        <f t="shared" si="146"/>
        <v/>
      </c>
      <c r="AA582" s="48" t="str">
        <f t="shared" si="147"/>
        <v/>
      </c>
      <c r="AB582" s="49" t="str">
        <f t="shared" si="148"/>
        <v/>
      </c>
      <c r="AC582" s="50" t="str">
        <f>IF(AB582="","",SUMIF($B$4:$B$1002,B582,$AB$4:$AB$1000))</f>
        <v/>
      </c>
      <c r="AD582" s="69"/>
      <c r="AE582" s="56"/>
      <c r="AF582" s="52"/>
      <c r="AG582" s="51"/>
      <c r="AH582" s="70"/>
      <c r="AI582" s="58"/>
      <c r="AJ582" s="55"/>
      <c r="AK582" s="51"/>
      <c r="AL582" s="69"/>
      <c r="AM582" s="56"/>
      <c r="AN582" s="52"/>
      <c r="AO582" s="51"/>
      <c r="AP582" s="70"/>
      <c r="AQ582" s="58"/>
      <c r="AR582" s="55"/>
      <c r="AS582" s="51"/>
      <c r="AT582" s="69"/>
      <c r="AU582" s="56"/>
      <c r="AV582" s="52"/>
      <c r="AW582" s="51"/>
      <c r="BR582" s="34" t="str">
        <f>IF(E582="","",CONCATENATE(E582," ",F582," noches"))</f>
        <v/>
      </c>
      <c r="BS582" s="28" t="str">
        <f t="shared" ca="1" si="149"/>
        <v/>
      </c>
      <c r="BT582" s="28" t="str">
        <f t="shared" ca="1" si="150"/>
        <v/>
      </c>
    </row>
    <row r="583" spans="1:72" x14ac:dyDescent="0.2">
      <c r="A583" s="18" t="str" cm="1">
        <f t="array" aca="1" ref="A583" ca="1">IF(B583="","","Grupo N˚"&amp;SUMPRODUCT(($B$4:B583&lt;&gt;"")*($B$4:B583&lt;&gt;OFFSET($B$4,-1,0,ROWS($B$4:B583),1))))</f>
        <v/>
      </c>
      <c r="B583" s="31"/>
      <c r="C583" s="31"/>
      <c r="D583" s="31"/>
      <c r="E583" s="31"/>
      <c r="F583" s="32"/>
      <c r="G583" s="33"/>
      <c r="H583" s="33"/>
      <c r="I583" s="20" t="str">
        <f t="shared" si="139"/>
        <v/>
      </c>
      <c r="J583" s="21" t="str">
        <f>IFERROR(VLOOKUP(BR583,Pricing!$D$3:$E$58,2,FALSE),"")</f>
        <v/>
      </c>
      <c r="K583" s="32"/>
      <c r="L583" s="32"/>
      <c r="M583" s="32"/>
      <c r="N583" s="36" t="str" cm="1">
        <f t="array" ref="N583">IFERROR(_xlfn.IFS((AND(K583="SI",M583="$")),J583*0.2,AND(K583="SI",M583="%"),20),"")</f>
        <v/>
      </c>
      <c r="O583" s="29" t="str">
        <f t="shared" si="140"/>
        <v/>
      </c>
      <c r="P583" s="21" t="str">
        <f t="shared" si="141"/>
        <v/>
      </c>
      <c r="Q583" s="21" t="str">
        <f t="shared" si="142"/>
        <v/>
      </c>
      <c r="R583" s="21" t="str">
        <f t="shared" si="143"/>
        <v/>
      </c>
      <c r="S583" s="39"/>
      <c r="T583" s="43" t="str">
        <f t="shared" si="136"/>
        <v/>
      </c>
      <c r="U583" s="49" t="str">
        <f t="shared" si="137"/>
        <v/>
      </c>
      <c r="V583" s="48" t="str">
        <f t="shared" si="138"/>
        <v/>
      </c>
      <c r="W583" s="48" t="str">
        <f t="shared" si="144"/>
        <v/>
      </c>
      <c r="X583" s="50" t="str">
        <f>IF(W583="","",SUMIF($B$4:$B$1002,B583,$W$4:$W$1000))</f>
        <v/>
      </c>
      <c r="Y583" s="43" t="str">
        <f t="shared" si="145"/>
        <v/>
      </c>
      <c r="Z583" s="49" t="str">
        <f t="shared" si="146"/>
        <v/>
      </c>
      <c r="AA583" s="48" t="str">
        <f t="shared" si="147"/>
        <v/>
      </c>
      <c r="AB583" s="49" t="str">
        <f t="shared" si="148"/>
        <v/>
      </c>
      <c r="AC583" s="50" t="str">
        <f>IF(AB583="","",SUMIF($B$4:$B$1002,B583,$AB$4:$AB$1000))</f>
        <v/>
      </c>
      <c r="AD583" s="69"/>
      <c r="AE583" s="56"/>
      <c r="AF583" s="52"/>
      <c r="AG583" s="51"/>
      <c r="AH583" s="70"/>
      <c r="AI583" s="58"/>
      <c r="AJ583" s="55"/>
      <c r="AK583" s="51"/>
      <c r="AL583" s="69"/>
      <c r="AM583" s="56"/>
      <c r="AN583" s="52"/>
      <c r="AO583" s="51"/>
      <c r="AP583" s="70"/>
      <c r="AQ583" s="58"/>
      <c r="AR583" s="55"/>
      <c r="AS583" s="51"/>
      <c r="AT583" s="69"/>
      <c r="AU583" s="56"/>
      <c r="AV583" s="52"/>
      <c r="AW583" s="51"/>
      <c r="BR583" s="34" t="str">
        <f>IF(E583="","",CONCATENATE(E583," ",F583," noches"))</f>
        <v/>
      </c>
      <c r="BS583" s="28" t="str">
        <f t="shared" ca="1" si="149"/>
        <v/>
      </c>
      <c r="BT583" s="28" t="str">
        <f t="shared" ca="1" si="150"/>
        <v/>
      </c>
    </row>
    <row r="584" spans="1:72" x14ac:dyDescent="0.2">
      <c r="A584" s="18" t="str" cm="1">
        <f t="array" aca="1" ref="A584" ca="1">IF(B584="","","Grupo N˚"&amp;SUMPRODUCT(($B$4:B584&lt;&gt;"")*($B$4:B584&lt;&gt;OFFSET($B$4,-1,0,ROWS($B$4:B584),1))))</f>
        <v/>
      </c>
      <c r="B584" s="31"/>
      <c r="C584" s="31"/>
      <c r="D584" s="31"/>
      <c r="E584" s="31"/>
      <c r="F584" s="32"/>
      <c r="G584" s="33"/>
      <c r="H584" s="33"/>
      <c r="I584" s="20" t="str">
        <f t="shared" si="139"/>
        <v/>
      </c>
      <c r="J584" s="21" t="str">
        <f>IFERROR(VLOOKUP(BR584,Pricing!$D$3:$E$58,2,FALSE),"")</f>
        <v/>
      </c>
      <c r="K584" s="32"/>
      <c r="L584" s="32"/>
      <c r="M584" s="32"/>
      <c r="N584" s="36" t="str" cm="1">
        <f t="array" ref="N584">IFERROR(_xlfn.IFS((AND(K584="SI",M584="$")),J584*0.2,AND(K584="SI",M584="%"),20),"")</f>
        <v/>
      </c>
      <c r="O584" s="29" t="str">
        <f t="shared" si="140"/>
        <v/>
      </c>
      <c r="P584" s="21" t="str">
        <f t="shared" si="141"/>
        <v/>
      </c>
      <c r="Q584" s="21" t="str">
        <f t="shared" si="142"/>
        <v/>
      </c>
      <c r="R584" s="21" t="str">
        <f t="shared" si="143"/>
        <v/>
      </c>
      <c r="S584" s="39"/>
      <c r="T584" s="43" t="str">
        <f t="shared" si="136"/>
        <v/>
      </c>
      <c r="U584" s="49" t="str">
        <f t="shared" si="137"/>
        <v/>
      </c>
      <c r="V584" s="48" t="str">
        <f t="shared" si="138"/>
        <v/>
      </c>
      <c r="W584" s="48" t="str">
        <f t="shared" si="144"/>
        <v/>
      </c>
      <c r="X584" s="50" t="str">
        <f>IF(W584="","",SUMIF($B$4:$B$1002,B584,$W$4:$W$1000))</f>
        <v/>
      </c>
      <c r="Y584" s="43" t="str">
        <f t="shared" si="145"/>
        <v/>
      </c>
      <c r="Z584" s="49" t="str">
        <f t="shared" si="146"/>
        <v/>
      </c>
      <c r="AA584" s="48" t="str">
        <f t="shared" si="147"/>
        <v/>
      </c>
      <c r="AB584" s="49" t="str">
        <f t="shared" si="148"/>
        <v/>
      </c>
      <c r="AC584" s="50" t="str">
        <f>IF(AB584="","",SUMIF($B$4:$B$1002,B584,$AB$4:$AB$1000))</f>
        <v/>
      </c>
      <c r="AD584" s="69"/>
      <c r="AE584" s="56"/>
      <c r="AF584" s="52"/>
      <c r="AG584" s="51"/>
      <c r="AH584" s="70"/>
      <c r="AI584" s="58"/>
      <c r="AJ584" s="55"/>
      <c r="AK584" s="51"/>
      <c r="AL584" s="69"/>
      <c r="AM584" s="56"/>
      <c r="AN584" s="52"/>
      <c r="AO584" s="51"/>
      <c r="AP584" s="70"/>
      <c r="AQ584" s="58"/>
      <c r="AR584" s="55"/>
      <c r="AS584" s="51"/>
      <c r="AT584" s="69"/>
      <c r="AU584" s="56"/>
      <c r="AV584" s="52"/>
      <c r="AW584" s="51"/>
      <c r="BR584" s="34" t="str">
        <f>IF(E584="","",CONCATENATE(E584," ",F584," noches"))</f>
        <v/>
      </c>
      <c r="BS584" s="28" t="str">
        <f t="shared" ca="1" si="149"/>
        <v/>
      </c>
      <c r="BT584" s="28" t="str">
        <f t="shared" ca="1" si="150"/>
        <v/>
      </c>
    </row>
    <row r="585" spans="1:72" x14ac:dyDescent="0.2">
      <c r="A585" s="18" t="str" cm="1">
        <f t="array" aca="1" ref="A585" ca="1">IF(B585="","","Grupo N˚"&amp;SUMPRODUCT(($B$4:B585&lt;&gt;"")*($B$4:B585&lt;&gt;OFFSET($B$4,-1,0,ROWS($B$4:B585),1))))</f>
        <v/>
      </c>
      <c r="B585" s="31"/>
      <c r="C585" s="31"/>
      <c r="D585" s="31"/>
      <c r="E585" s="31"/>
      <c r="F585" s="32"/>
      <c r="G585" s="33"/>
      <c r="H585" s="33"/>
      <c r="I585" s="20" t="str">
        <f t="shared" si="139"/>
        <v/>
      </c>
      <c r="J585" s="21" t="str">
        <f>IFERROR(VLOOKUP(BR585,Pricing!$D$3:$E$58,2,FALSE),"")</f>
        <v/>
      </c>
      <c r="K585" s="32"/>
      <c r="L585" s="32"/>
      <c r="M585" s="32"/>
      <c r="N585" s="36" t="str" cm="1">
        <f t="array" ref="N585">IFERROR(_xlfn.IFS((AND(K585="SI",M585="$")),J585*0.2,AND(K585="SI",M585="%"),20),"")</f>
        <v/>
      </c>
      <c r="O585" s="29" t="str">
        <f t="shared" si="140"/>
        <v/>
      </c>
      <c r="P585" s="21" t="str">
        <f t="shared" si="141"/>
        <v/>
      </c>
      <c r="Q585" s="21" t="str">
        <f t="shared" si="142"/>
        <v/>
      </c>
      <c r="R585" s="21" t="str">
        <f t="shared" si="143"/>
        <v/>
      </c>
      <c r="S585" s="39"/>
      <c r="T585" s="43" t="str">
        <f t="shared" ref="T585:T648" si="151">IF(W585="","",IFERROR(
 IF(AND(ABS(N(W585))&lt;0.5, BS585&lt;=7), "Sin deuda",
  IF(AND(N(W585)&gt;0, BS585&lt;=7), "Con deuda",
   IF(AND(N(W585)&gt;0, BS585&gt;7), "Moroso", "")
  )
)," "))</f>
        <v/>
      </c>
      <c r="U585" s="49" t="str">
        <f t="shared" si="137"/>
        <v/>
      </c>
      <c r="V585" s="48" t="str">
        <f t="shared" si="138"/>
        <v/>
      </c>
      <c r="W585" s="48" t="str">
        <f t="shared" si="144"/>
        <v/>
      </c>
      <c r="X585" s="50" t="str">
        <f>IF(W585="","",SUMIF($B$4:$B$1002,B585,$W$4:$W$1000))</f>
        <v/>
      </c>
      <c r="Y585" s="43" t="str">
        <f t="shared" si="145"/>
        <v/>
      </c>
      <c r="Z585" s="49" t="str">
        <f t="shared" si="146"/>
        <v/>
      </c>
      <c r="AA585" s="48" t="str">
        <f t="shared" si="147"/>
        <v/>
      </c>
      <c r="AB585" s="49" t="str">
        <f t="shared" si="148"/>
        <v/>
      </c>
      <c r="AC585" s="50" t="str">
        <f>IF(AB585="","",SUMIF($B$4:$B$1002,B585,$AB$4:$AB$1000))</f>
        <v/>
      </c>
      <c r="AD585" s="69"/>
      <c r="AE585" s="56"/>
      <c r="AF585" s="52"/>
      <c r="AG585" s="51"/>
      <c r="AH585" s="70"/>
      <c r="AI585" s="58"/>
      <c r="AJ585" s="55"/>
      <c r="AK585" s="51"/>
      <c r="AL585" s="69"/>
      <c r="AM585" s="56"/>
      <c r="AN585" s="52"/>
      <c r="AO585" s="51"/>
      <c r="AP585" s="70"/>
      <c r="AQ585" s="58"/>
      <c r="AR585" s="55"/>
      <c r="AS585" s="51"/>
      <c r="AT585" s="69"/>
      <c r="AU585" s="56"/>
      <c r="AV585" s="52"/>
      <c r="AW585" s="51"/>
      <c r="BR585" s="34" t="str">
        <f>IF(E585="","",CONCATENATE(E585," ",F585," noches"))</f>
        <v/>
      </c>
      <c r="BS585" s="28" t="str">
        <f t="shared" ca="1" si="149"/>
        <v/>
      </c>
      <c r="BT585" s="28" t="str">
        <f t="shared" ca="1" si="150"/>
        <v/>
      </c>
    </row>
    <row r="586" spans="1:72" x14ac:dyDescent="0.2">
      <c r="A586" s="18" t="str" cm="1">
        <f t="array" aca="1" ref="A586" ca="1">IF(B586="","","Grupo N˚"&amp;SUMPRODUCT(($B$4:B586&lt;&gt;"")*($B$4:B586&lt;&gt;OFFSET($B$4,-1,0,ROWS($B$4:B586),1))))</f>
        <v/>
      </c>
      <c r="B586" s="31"/>
      <c r="C586" s="31"/>
      <c r="D586" s="31"/>
      <c r="E586" s="31"/>
      <c r="F586" s="32"/>
      <c r="G586" s="33"/>
      <c r="H586" s="33"/>
      <c r="I586" s="20" t="str">
        <f t="shared" si="139"/>
        <v/>
      </c>
      <c r="J586" s="21" t="str">
        <f>IFERROR(VLOOKUP(BR586,Pricing!$D$3:$E$58,2,FALSE),"")</f>
        <v/>
      </c>
      <c r="K586" s="32"/>
      <c r="L586" s="32"/>
      <c r="M586" s="32"/>
      <c r="N586" s="36" t="str" cm="1">
        <f t="array" ref="N586">IFERROR(_xlfn.IFS((AND(K586="SI",M586="$")),J586*0.2,AND(K586="SI",M586="%"),20),"")</f>
        <v/>
      </c>
      <c r="O586" s="29" t="str">
        <f t="shared" si="140"/>
        <v/>
      </c>
      <c r="P586" s="21" t="str">
        <f t="shared" si="141"/>
        <v/>
      </c>
      <c r="Q586" s="21" t="str">
        <f t="shared" si="142"/>
        <v/>
      </c>
      <c r="R586" s="21" t="str">
        <f t="shared" si="143"/>
        <v/>
      </c>
      <c r="S586" s="39"/>
      <c r="T586" s="43" t="str">
        <f t="shared" si="151"/>
        <v/>
      </c>
      <c r="U586" s="49" t="str">
        <f t="shared" si="137"/>
        <v/>
      </c>
      <c r="V586" s="48" t="str">
        <f t="shared" si="138"/>
        <v/>
      </c>
      <c r="W586" s="48" t="str">
        <f t="shared" si="144"/>
        <v/>
      </c>
      <c r="X586" s="50" t="str">
        <f>IF(W586="","",SUMIF($B$4:$B$1002,B586,$W$4:$W$1000))</f>
        <v/>
      </c>
      <c r="Y586" s="43" t="str">
        <f t="shared" si="145"/>
        <v/>
      </c>
      <c r="Z586" s="49" t="str">
        <f t="shared" si="146"/>
        <v/>
      </c>
      <c r="AA586" s="48" t="str">
        <f t="shared" si="147"/>
        <v/>
      </c>
      <c r="AB586" s="49" t="str">
        <f t="shared" si="148"/>
        <v/>
      </c>
      <c r="AC586" s="50" t="str">
        <f>IF(AB586="","",SUMIF($B$4:$B$1002,B586,$AB$4:$AB$1000))</f>
        <v/>
      </c>
      <c r="AD586" s="69"/>
      <c r="AE586" s="56"/>
      <c r="AF586" s="52"/>
      <c r="AG586" s="51"/>
      <c r="AH586" s="70"/>
      <c r="AI586" s="58"/>
      <c r="AJ586" s="55"/>
      <c r="AK586" s="51"/>
      <c r="AL586" s="69"/>
      <c r="AM586" s="56"/>
      <c r="AN586" s="52"/>
      <c r="AO586" s="51"/>
      <c r="AP586" s="70"/>
      <c r="AQ586" s="58"/>
      <c r="AR586" s="55"/>
      <c r="AS586" s="51"/>
      <c r="AT586" s="69"/>
      <c r="AU586" s="56"/>
      <c r="AV586" s="52"/>
      <c r="AW586" s="51"/>
      <c r="BR586" s="34" t="str">
        <f>IF(E586="","",CONCATENATE(E586," ",F586," noches"))</f>
        <v/>
      </c>
      <c r="BS586" s="28" t="str">
        <f t="shared" ca="1" si="149"/>
        <v/>
      </c>
      <c r="BT586" s="28" t="str">
        <f t="shared" ca="1" si="150"/>
        <v/>
      </c>
    </row>
    <row r="587" spans="1:72" x14ac:dyDescent="0.2">
      <c r="A587" s="18" t="str" cm="1">
        <f t="array" aca="1" ref="A587" ca="1">IF(B587="","","Grupo N˚"&amp;SUMPRODUCT(($B$4:B587&lt;&gt;"")*($B$4:B587&lt;&gt;OFFSET($B$4,-1,0,ROWS($B$4:B587),1))))</f>
        <v/>
      </c>
      <c r="B587" s="31"/>
      <c r="C587" s="31"/>
      <c r="D587" s="31"/>
      <c r="E587" s="31"/>
      <c r="F587" s="32"/>
      <c r="G587" s="33"/>
      <c r="H587" s="33"/>
      <c r="I587" s="20" t="str">
        <f t="shared" si="139"/>
        <v/>
      </c>
      <c r="J587" s="21" t="str">
        <f>IFERROR(VLOOKUP(BR587,Pricing!$D$3:$E$58,2,FALSE),"")</f>
        <v/>
      </c>
      <c r="K587" s="32"/>
      <c r="L587" s="32"/>
      <c r="M587" s="32"/>
      <c r="N587" s="36" t="str" cm="1">
        <f t="array" ref="N587">IFERROR(_xlfn.IFS((AND(K587="SI",M587="$")),J587*0.2,AND(K587="SI",M587="%"),20),"")</f>
        <v/>
      </c>
      <c r="O587" s="29" t="str">
        <f t="shared" si="140"/>
        <v/>
      </c>
      <c r="P587" s="21" t="str">
        <f t="shared" si="141"/>
        <v/>
      </c>
      <c r="Q587" s="21" t="str">
        <f t="shared" si="142"/>
        <v/>
      </c>
      <c r="R587" s="21" t="str">
        <f t="shared" si="143"/>
        <v/>
      </c>
      <c r="S587" s="39"/>
      <c r="T587" s="43" t="str">
        <f t="shared" si="151"/>
        <v/>
      </c>
      <c r="U587" s="49" t="str">
        <f t="shared" si="137"/>
        <v/>
      </c>
      <c r="V587" s="48" t="str">
        <f t="shared" si="138"/>
        <v/>
      </c>
      <c r="W587" s="48" t="str">
        <f t="shared" si="144"/>
        <v/>
      </c>
      <c r="X587" s="50" t="str">
        <f>IF(W587="","",SUMIF($B$4:$B$1002,B587,$W$4:$W$1000))</f>
        <v/>
      </c>
      <c r="Y587" s="43" t="str">
        <f t="shared" si="145"/>
        <v/>
      </c>
      <c r="Z587" s="49" t="str">
        <f t="shared" si="146"/>
        <v/>
      </c>
      <c r="AA587" s="48" t="str">
        <f t="shared" si="147"/>
        <v/>
      </c>
      <c r="AB587" s="49" t="str">
        <f t="shared" si="148"/>
        <v/>
      </c>
      <c r="AC587" s="50" t="str">
        <f>IF(AB587="","",SUMIF($B$4:$B$1002,B587,$AB$4:$AB$1000))</f>
        <v/>
      </c>
      <c r="AD587" s="69"/>
      <c r="AE587" s="56"/>
      <c r="AF587" s="52"/>
      <c r="AG587" s="51"/>
      <c r="AH587" s="70"/>
      <c r="AI587" s="58"/>
      <c r="AJ587" s="55"/>
      <c r="AK587" s="51"/>
      <c r="AL587" s="69"/>
      <c r="AM587" s="56"/>
      <c r="AN587" s="52"/>
      <c r="AO587" s="51"/>
      <c r="AP587" s="70"/>
      <c r="AQ587" s="58"/>
      <c r="AR587" s="55"/>
      <c r="AS587" s="51"/>
      <c r="AT587" s="69"/>
      <c r="AU587" s="56"/>
      <c r="AV587" s="52"/>
      <c r="AW587" s="51"/>
      <c r="BR587" s="34" t="str">
        <f>IF(E587="","",CONCATENATE(E587," ",F587," noches"))</f>
        <v/>
      </c>
      <c r="BS587" s="28" t="str">
        <f t="shared" ca="1" si="149"/>
        <v/>
      </c>
      <c r="BT587" s="28" t="str">
        <f t="shared" ca="1" si="150"/>
        <v/>
      </c>
    </row>
    <row r="588" spans="1:72" x14ac:dyDescent="0.2">
      <c r="A588" s="18" t="str" cm="1">
        <f t="array" aca="1" ref="A588" ca="1">IF(B588="","","Grupo N˚"&amp;SUMPRODUCT(($B$4:B588&lt;&gt;"")*($B$4:B588&lt;&gt;OFFSET($B$4,-1,0,ROWS($B$4:B588),1))))</f>
        <v/>
      </c>
      <c r="B588" s="31"/>
      <c r="C588" s="31"/>
      <c r="D588" s="31"/>
      <c r="E588" s="31"/>
      <c r="F588" s="32"/>
      <c r="G588" s="33"/>
      <c r="H588" s="33"/>
      <c r="I588" s="20" t="str">
        <f t="shared" si="139"/>
        <v/>
      </c>
      <c r="J588" s="21" t="str">
        <f>IFERROR(VLOOKUP(BR588,Pricing!$D$3:$E$58,2,FALSE),"")</f>
        <v/>
      </c>
      <c r="K588" s="32"/>
      <c r="L588" s="32"/>
      <c r="M588" s="32"/>
      <c r="N588" s="36" t="str" cm="1">
        <f t="array" ref="N588">IFERROR(_xlfn.IFS((AND(K588="SI",M588="$")),J588*0.2,AND(K588="SI",M588="%"),20),"")</f>
        <v/>
      </c>
      <c r="O588" s="29" t="str">
        <f t="shared" si="140"/>
        <v/>
      </c>
      <c r="P588" s="21" t="str">
        <f t="shared" si="141"/>
        <v/>
      </c>
      <c r="Q588" s="21" t="str">
        <f t="shared" si="142"/>
        <v/>
      </c>
      <c r="R588" s="21" t="str">
        <f t="shared" si="143"/>
        <v/>
      </c>
      <c r="S588" s="39"/>
      <c r="T588" s="43" t="str">
        <f t="shared" si="151"/>
        <v/>
      </c>
      <c r="U588" s="49" t="str">
        <f t="shared" si="137"/>
        <v/>
      </c>
      <c r="V588" s="48" t="str">
        <f t="shared" si="138"/>
        <v/>
      </c>
      <c r="W588" s="48" t="str">
        <f t="shared" si="144"/>
        <v/>
      </c>
      <c r="X588" s="50" t="str">
        <f>IF(W588="","",SUMIF($B$4:$B$1002,B588,$W$4:$W$1000))</f>
        <v/>
      </c>
      <c r="Y588" s="43" t="str">
        <f t="shared" si="145"/>
        <v/>
      </c>
      <c r="Z588" s="49" t="str">
        <f t="shared" si="146"/>
        <v/>
      </c>
      <c r="AA588" s="48" t="str">
        <f t="shared" si="147"/>
        <v/>
      </c>
      <c r="AB588" s="49" t="str">
        <f t="shared" si="148"/>
        <v/>
      </c>
      <c r="AC588" s="50" t="str">
        <f>IF(AB588="","",SUMIF($B$4:$B$1002,B588,$AB$4:$AB$1000))</f>
        <v/>
      </c>
      <c r="AD588" s="69"/>
      <c r="AE588" s="56"/>
      <c r="AF588" s="52"/>
      <c r="AG588" s="51"/>
      <c r="AH588" s="70"/>
      <c r="AI588" s="58"/>
      <c r="AJ588" s="55"/>
      <c r="AK588" s="51"/>
      <c r="AL588" s="69"/>
      <c r="AM588" s="56"/>
      <c r="AN588" s="52"/>
      <c r="AO588" s="51"/>
      <c r="AP588" s="70"/>
      <c r="AQ588" s="58"/>
      <c r="AR588" s="55"/>
      <c r="AS588" s="51"/>
      <c r="AT588" s="69"/>
      <c r="AU588" s="56"/>
      <c r="AV588" s="52"/>
      <c r="AW588" s="51"/>
      <c r="BR588" s="34" t="str">
        <f>IF(E588="","",CONCATENATE(E588," ",F588," noches"))</f>
        <v/>
      </c>
      <c r="BS588" s="28" t="str">
        <f t="shared" ca="1" si="149"/>
        <v/>
      </c>
      <c r="BT588" s="28" t="str">
        <f t="shared" ca="1" si="150"/>
        <v/>
      </c>
    </row>
    <row r="589" spans="1:72" x14ac:dyDescent="0.2">
      <c r="A589" s="18" t="str" cm="1">
        <f t="array" aca="1" ref="A589" ca="1">IF(B589="","","Grupo N˚"&amp;SUMPRODUCT(($B$4:B589&lt;&gt;"")*($B$4:B589&lt;&gt;OFFSET($B$4,-1,0,ROWS($B$4:B589),1))))</f>
        <v/>
      </c>
      <c r="B589" s="31"/>
      <c r="C589" s="31"/>
      <c r="D589" s="31"/>
      <c r="E589" s="31"/>
      <c r="F589" s="32"/>
      <c r="G589" s="33"/>
      <c r="H589" s="33"/>
      <c r="I589" s="20" t="str">
        <f t="shared" si="139"/>
        <v/>
      </c>
      <c r="J589" s="21" t="str">
        <f>IFERROR(VLOOKUP(BR589,Pricing!$D$3:$E$58,2,FALSE),"")</f>
        <v/>
      </c>
      <c r="K589" s="32"/>
      <c r="L589" s="32"/>
      <c r="M589" s="32"/>
      <c r="N589" s="36" t="str" cm="1">
        <f t="array" ref="N589">IFERROR(_xlfn.IFS((AND(K589="SI",M589="$")),J589*0.2,AND(K589="SI",M589="%"),20),"")</f>
        <v/>
      </c>
      <c r="O589" s="29" t="str">
        <f t="shared" si="140"/>
        <v/>
      </c>
      <c r="P589" s="21" t="str">
        <f t="shared" si="141"/>
        <v/>
      </c>
      <c r="Q589" s="21" t="str">
        <f t="shared" si="142"/>
        <v/>
      </c>
      <c r="R589" s="21" t="str">
        <f t="shared" si="143"/>
        <v/>
      </c>
      <c r="S589" s="39"/>
      <c r="T589" s="43" t="str">
        <f t="shared" si="151"/>
        <v/>
      </c>
      <c r="U589" s="49" t="str">
        <f t="shared" ref="U589:U652" si="152">IF(R589="","",R589/2)</f>
        <v/>
      </c>
      <c r="V589" s="48" t="str">
        <f t="shared" ref="V589:V652" si="153">IF(AD589="","",SUM(
 IF(ISNUMBER(SEARCH("reserva",AD589)),AF589,0),
 IF(ISNUMBER(SEARCH("reserva",AH589)),AJ589,0),
 IF(ISNUMBER(SEARCH("reserva",AL589)),AN589,0),
 IF(ISNUMBER(SEARCH("reserva",AP589)),AR589,0),
 IF(ISNUMBER(SEARCH("reserva",AT589)),AV589,0)
))</f>
        <v/>
      </c>
      <c r="W589" s="48" t="str">
        <f t="shared" si="144"/>
        <v/>
      </c>
      <c r="X589" s="50" t="str">
        <f>IF(W589="","",SUMIF($B$4:$B$1002,B589,$W$4:$W$1000))</f>
        <v/>
      </c>
      <c r="Y589" s="43" t="str">
        <f t="shared" si="145"/>
        <v/>
      </c>
      <c r="Z589" s="49" t="str">
        <f t="shared" si="146"/>
        <v/>
      </c>
      <c r="AA589" s="48" t="str">
        <f t="shared" si="147"/>
        <v/>
      </c>
      <c r="AB589" s="49" t="str">
        <f t="shared" si="148"/>
        <v/>
      </c>
      <c r="AC589" s="50" t="str">
        <f>IF(AB589="","",SUMIF($B$4:$B$1002,B589,$AB$4:$AB$1000))</f>
        <v/>
      </c>
      <c r="AD589" s="69"/>
      <c r="AE589" s="56"/>
      <c r="AF589" s="52"/>
      <c r="AG589" s="51"/>
      <c r="AH589" s="70"/>
      <c r="AI589" s="58"/>
      <c r="AJ589" s="55"/>
      <c r="AK589" s="51"/>
      <c r="AL589" s="69"/>
      <c r="AM589" s="56"/>
      <c r="AN589" s="52"/>
      <c r="AO589" s="51"/>
      <c r="AP589" s="70"/>
      <c r="AQ589" s="58"/>
      <c r="AR589" s="55"/>
      <c r="AS589" s="51"/>
      <c r="AT589" s="69"/>
      <c r="AU589" s="56"/>
      <c r="AV589" s="52"/>
      <c r="AW589" s="51"/>
      <c r="BR589" s="34" t="str">
        <f>IF(E589="","",CONCATENATE(E589," ",F589," noches"))</f>
        <v/>
      </c>
      <c r="BS589" s="28" t="str">
        <f t="shared" ca="1" si="149"/>
        <v/>
      </c>
      <c r="BT589" s="28" t="str">
        <f t="shared" ca="1" si="150"/>
        <v/>
      </c>
    </row>
    <row r="590" spans="1:72" x14ac:dyDescent="0.2">
      <c r="A590" s="18" t="str" cm="1">
        <f t="array" aca="1" ref="A590" ca="1">IF(B590="","","Grupo N˚"&amp;SUMPRODUCT(($B$4:B590&lt;&gt;"")*($B$4:B590&lt;&gt;OFFSET($B$4,-1,0,ROWS($B$4:B590),1))))</f>
        <v/>
      </c>
      <c r="B590" s="31"/>
      <c r="C590" s="31"/>
      <c r="D590" s="31"/>
      <c r="E590" s="31"/>
      <c r="F590" s="32"/>
      <c r="G590" s="33"/>
      <c r="H590" s="33"/>
      <c r="I590" s="20" t="str">
        <f t="shared" si="139"/>
        <v/>
      </c>
      <c r="J590" s="21" t="str">
        <f>IFERROR(VLOOKUP(BR590,Pricing!$D$3:$E$58,2,FALSE),"")</f>
        <v/>
      </c>
      <c r="K590" s="32"/>
      <c r="L590" s="32"/>
      <c r="M590" s="32"/>
      <c r="N590" s="36" t="str" cm="1">
        <f t="array" ref="N590">IFERROR(_xlfn.IFS((AND(K590="SI",M590="$")),J590*0.2,AND(K590="SI",M590="%"),20),"")</f>
        <v/>
      </c>
      <c r="O590" s="29" t="str">
        <f t="shared" si="140"/>
        <v/>
      </c>
      <c r="P590" s="21" t="str">
        <f t="shared" si="141"/>
        <v/>
      </c>
      <c r="Q590" s="21" t="str">
        <f t="shared" si="142"/>
        <v/>
      </c>
      <c r="R590" s="21" t="str">
        <f t="shared" si="143"/>
        <v/>
      </c>
      <c r="S590" s="39"/>
      <c r="T590" s="43" t="str">
        <f t="shared" si="151"/>
        <v/>
      </c>
      <c r="U590" s="49" t="str">
        <f t="shared" si="152"/>
        <v/>
      </c>
      <c r="V590" s="48" t="str">
        <f t="shared" si="153"/>
        <v/>
      </c>
      <c r="W590" s="48" t="str">
        <f t="shared" si="144"/>
        <v/>
      </c>
      <c r="X590" s="50" t="str">
        <f>IF(W590="","",SUMIF($B$4:$B$1002,B590,$W$4:$W$1000))</f>
        <v/>
      </c>
      <c r="Y590" s="43" t="str">
        <f t="shared" si="145"/>
        <v/>
      </c>
      <c r="Z590" s="49" t="str">
        <f t="shared" si="146"/>
        <v/>
      </c>
      <c r="AA590" s="48" t="str">
        <f t="shared" si="147"/>
        <v/>
      </c>
      <c r="AB590" s="49" t="str">
        <f t="shared" si="148"/>
        <v/>
      </c>
      <c r="AC590" s="50" t="str">
        <f>IF(AB590="","",SUMIF($B$4:$B$1002,B590,$AB$4:$AB$1000))</f>
        <v/>
      </c>
      <c r="AD590" s="69"/>
      <c r="AE590" s="56"/>
      <c r="AF590" s="52"/>
      <c r="AG590" s="51"/>
      <c r="AH590" s="70"/>
      <c r="AI590" s="58"/>
      <c r="AJ590" s="55"/>
      <c r="AK590" s="51"/>
      <c r="AL590" s="69"/>
      <c r="AM590" s="56"/>
      <c r="AN590" s="52"/>
      <c r="AO590" s="51"/>
      <c r="AP590" s="70"/>
      <c r="AQ590" s="58"/>
      <c r="AR590" s="55"/>
      <c r="AS590" s="51"/>
      <c r="AT590" s="69"/>
      <c r="AU590" s="56"/>
      <c r="AV590" s="52"/>
      <c r="AW590" s="51"/>
      <c r="BR590" s="34" t="str">
        <f>IF(E590="","",CONCATENATE(E590," ",F590," noches"))</f>
        <v/>
      </c>
      <c r="BS590" s="28" t="str">
        <f t="shared" ca="1" si="149"/>
        <v/>
      </c>
      <c r="BT590" s="28" t="str">
        <f t="shared" ca="1" si="150"/>
        <v/>
      </c>
    </row>
    <row r="591" spans="1:72" x14ac:dyDescent="0.2">
      <c r="A591" s="18" t="str" cm="1">
        <f t="array" aca="1" ref="A591" ca="1">IF(B591="","","Grupo N˚"&amp;SUMPRODUCT(($B$4:B591&lt;&gt;"")*($B$4:B591&lt;&gt;OFFSET($B$4,-1,0,ROWS($B$4:B591),1))))</f>
        <v/>
      </c>
      <c r="B591" s="31"/>
      <c r="C591" s="31"/>
      <c r="D591" s="31"/>
      <c r="E591" s="31"/>
      <c r="F591" s="32"/>
      <c r="G591" s="33"/>
      <c r="H591" s="33"/>
      <c r="I591" s="20" t="str">
        <f t="shared" si="139"/>
        <v/>
      </c>
      <c r="J591" s="21" t="str">
        <f>IFERROR(VLOOKUP(BR591,Pricing!$D$3:$E$58,2,FALSE),"")</f>
        <v/>
      </c>
      <c r="K591" s="32"/>
      <c r="L591" s="32"/>
      <c r="M591" s="32"/>
      <c r="N591" s="36" t="str" cm="1">
        <f t="array" ref="N591">IFERROR(_xlfn.IFS((AND(K591="SI",M591="$")),J591*0.2,AND(K591="SI",M591="%"),20),"")</f>
        <v/>
      </c>
      <c r="O591" s="29" t="str">
        <f t="shared" si="140"/>
        <v/>
      </c>
      <c r="P591" s="21" t="str">
        <f t="shared" si="141"/>
        <v/>
      </c>
      <c r="Q591" s="21" t="str">
        <f t="shared" si="142"/>
        <v/>
      </c>
      <c r="R591" s="21" t="str">
        <f t="shared" si="143"/>
        <v/>
      </c>
      <c r="S591" s="39"/>
      <c r="T591" s="43" t="str">
        <f t="shared" si="151"/>
        <v/>
      </c>
      <c r="U591" s="49" t="str">
        <f t="shared" si="152"/>
        <v/>
      </c>
      <c r="V591" s="48" t="str">
        <f t="shared" si="153"/>
        <v/>
      </c>
      <c r="W591" s="48" t="str">
        <f t="shared" si="144"/>
        <v/>
      </c>
      <c r="X591" s="50" t="str">
        <f>IF(W591="","",SUMIF($B$4:$B$1002,B591,$W$4:$W$1000))</f>
        <v/>
      </c>
      <c r="Y591" s="43" t="str">
        <f t="shared" si="145"/>
        <v/>
      </c>
      <c r="Z591" s="49" t="str">
        <f t="shared" si="146"/>
        <v/>
      </c>
      <c r="AA591" s="48" t="str">
        <f t="shared" si="147"/>
        <v/>
      </c>
      <c r="AB591" s="49" t="str">
        <f t="shared" si="148"/>
        <v/>
      </c>
      <c r="AC591" s="50" t="str">
        <f>IF(AB591="","",SUMIF($B$4:$B$1002,B591,$AB$4:$AB$1000))</f>
        <v/>
      </c>
      <c r="AD591" s="69"/>
      <c r="AE591" s="56"/>
      <c r="AF591" s="52"/>
      <c r="AG591" s="51"/>
      <c r="AH591" s="70"/>
      <c r="AI591" s="58"/>
      <c r="AJ591" s="55"/>
      <c r="AK591" s="51"/>
      <c r="AL591" s="69"/>
      <c r="AM591" s="56"/>
      <c r="AN591" s="52"/>
      <c r="AO591" s="51"/>
      <c r="AP591" s="70"/>
      <c r="AQ591" s="58"/>
      <c r="AR591" s="55"/>
      <c r="AS591" s="51"/>
      <c r="AT591" s="69"/>
      <c r="AU591" s="56"/>
      <c r="AV591" s="52"/>
      <c r="AW591" s="51"/>
      <c r="BR591" s="34" t="str">
        <f>IF(E591="","",CONCATENATE(E591," ",F591," noches"))</f>
        <v/>
      </c>
      <c r="BS591" s="28" t="str">
        <f t="shared" ca="1" si="149"/>
        <v/>
      </c>
      <c r="BT591" s="28" t="str">
        <f t="shared" ca="1" si="150"/>
        <v/>
      </c>
    </row>
    <row r="592" spans="1:72" x14ac:dyDescent="0.2">
      <c r="A592" s="18" t="str" cm="1">
        <f t="array" aca="1" ref="A592" ca="1">IF(B592="","","Grupo N˚"&amp;SUMPRODUCT(($B$4:B592&lt;&gt;"")*($B$4:B592&lt;&gt;OFFSET($B$4,-1,0,ROWS($B$4:B592),1))))</f>
        <v/>
      </c>
      <c r="B592" s="31"/>
      <c r="C592" s="31"/>
      <c r="D592" s="31"/>
      <c r="E592" s="31"/>
      <c r="F592" s="32"/>
      <c r="G592" s="33"/>
      <c r="H592" s="33"/>
      <c r="I592" s="20" t="str">
        <f t="shared" si="139"/>
        <v/>
      </c>
      <c r="J592" s="21" t="str">
        <f>IFERROR(VLOOKUP(BR592,Pricing!$D$3:$E$58,2,FALSE),"")</f>
        <v/>
      </c>
      <c r="K592" s="32"/>
      <c r="L592" s="32"/>
      <c r="M592" s="32"/>
      <c r="N592" s="36" t="str" cm="1">
        <f t="array" ref="N592">IFERROR(_xlfn.IFS((AND(K592="SI",M592="$")),J592*0.2,AND(K592="SI",M592="%"),20),"")</f>
        <v/>
      </c>
      <c r="O592" s="29" t="str">
        <f t="shared" si="140"/>
        <v/>
      </c>
      <c r="P592" s="21" t="str">
        <f t="shared" si="141"/>
        <v/>
      </c>
      <c r="Q592" s="21" t="str">
        <f t="shared" si="142"/>
        <v/>
      </c>
      <c r="R592" s="21" t="str">
        <f t="shared" si="143"/>
        <v/>
      </c>
      <c r="S592" s="39"/>
      <c r="T592" s="43" t="str">
        <f t="shared" si="151"/>
        <v/>
      </c>
      <c r="U592" s="49" t="str">
        <f t="shared" si="152"/>
        <v/>
      </c>
      <c r="V592" s="48" t="str">
        <f t="shared" si="153"/>
        <v/>
      </c>
      <c r="W592" s="48" t="str">
        <f t="shared" si="144"/>
        <v/>
      </c>
      <c r="X592" s="50" t="str">
        <f>IF(W592="","",SUMIF($B$4:$B$1002,B592,$W$4:$W$1000))</f>
        <v/>
      </c>
      <c r="Y592" s="43" t="str">
        <f t="shared" si="145"/>
        <v/>
      </c>
      <c r="Z592" s="49" t="str">
        <f t="shared" si="146"/>
        <v/>
      </c>
      <c r="AA592" s="48" t="str">
        <f t="shared" si="147"/>
        <v/>
      </c>
      <c r="AB592" s="49" t="str">
        <f t="shared" si="148"/>
        <v/>
      </c>
      <c r="AC592" s="50" t="str">
        <f>IF(AB592="","",SUMIF($B$4:$B$1002,B592,$AB$4:$AB$1000))</f>
        <v/>
      </c>
      <c r="AD592" s="69"/>
      <c r="AE592" s="56"/>
      <c r="AF592" s="52"/>
      <c r="AG592" s="51"/>
      <c r="AH592" s="70"/>
      <c r="AI592" s="58"/>
      <c r="AJ592" s="55"/>
      <c r="AK592" s="51"/>
      <c r="AL592" s="69"/>
      <c r="AM592" s="56"/>
      <c r="AN592" s="52"/>
      <c r="AO592" s="51"/>
      <c r="AP592" s="70"/>
      <c r="AQ592" s="58"/>
      <c r="AR592" s="55"/>
      <c r="AS592" s="51"/>
      <c r="AT592" s="69"/>
      <c r="AU592" s="56"/>
      <c r="AV592" s="52"/>
      <c r="AW592" s="51"/>
      <c r="BR592" s="34" t="str">
        <f>IF(E592="","",CONCATENATE(E592," ",F592," noches"))</f>
        <v/>
      </c>
      <c r="BS592" s="28" t="str">
        <f t="shared" ca="1" si="149"/>
        <v/>
      </c>
      <c r="BT592" s="28" t="str">
        <f t="shared" ca="1" si="150"/>
        <v/>
      </c>
    </row>
    <row r="593" spans="1:72" x14ac:dyDescent="0.2">
      <c r="A593" s="18" t="str" cm="1">
        <f t="array" aca="1" ref="A593" ca="1">IF(B593="","","Grupo N˚"&amp;SUMPRODUCT(($B$4:B593&lt;&gt;"")*($B$4:B593&lt;&gt;OFFSET($B$4,-1,0,ROWS($B$4:B593),1))))</f>
        <v/>
      </c>
      <c r="B593" s="31"/>
      <c r="C593" s="31"/>
      <c r="D593" s="31"/>
      <c r="E593" s="31"/>
      <c r="F593" s="32"/>
      <c r="G593" s="33"/>
      <c r="H593" s="33"/>
      <c r="I593" s="20" t="str">
        <f t="shared" si="139"/>
        <v/>
      </c>
      <c r="J593" s="21" t="str">
        <f>IFERROR(VLOOKUP(BR593,Pricing!$D$3:$E$58,2,FALSE),"")</f>
        <v/>
      </c>
      <c r="K593" s="32"/>
      <c r="L593" s="32"/>
      <c r="M593" s="32"/>
      <c r="N593" s="36" t="str" cm="1">
        <f t="array" ref="N593">IFERROR(_xlfn.IFS((AND(K593="SI",M593="$")),J593*0.2,AND(K593="SI",M593="%"),20),"")</f>
        <v/>
      </c>
      <c r="O593" s="29" t="str">
        <f t="shared" si="140"/>
        <v/>
      </c>
      <c r="P593" s="21" t="str">
        <f t="shared" si="141"/>
        <v/>
      </c>
      <c r="Q593" s="21" t="str">
        <f t="shared" si="142"/>
        <v/>
      </c>
      <c r="R593" s="21" t="str">
        <f t="shared" si="143"/>
        <v/>
      </c>
      <c r="S593" s="39"/>
      <c r="T593" s="43" t="str">
        <f t="shared" si="151"/>
        <v/>
      </c>
      <c r="U593" s="49" t="str">
        <f t="shared" si="152"/>
        <v/>
      </c>
      <c r="V593" s="48" t="str">
        <f t="shared" si="153"/>
        <v/>
      </c>
      <c r="W593" s="48" t="str">
        <f t="shared" si="144"/>
        <v/>
      </c>
      <c r="X593" s="50" t="str">
        <f>IF(W593="","",SUMIF($B$4:$B$1002,B593,$W$4:$W$1000))</f>
        <v/>
      </c>
      <c r="Y593" s="43" t="str">
        <f t="shared" si="145"/>
        <v/>
      </c>
      <c r="Z593" s="49" t="str">
        <f t="shared" si="146"/>
        <v/>
      </c>
      <c r="AA593" s="48" t="str">
        <f t="shared" si="147"/>
        <v/>
      </c>
      <c r="AB593" s="49" t="str">
        <f t="shared" si="148"/>
        <v/>
      </c>
      <c r="AC593" s="50" t="str">
        <f>IF(AB593="","",SUMIF($B$4:$B$1002,B593,$AB$4:$AB$1000))</f>
        <v/>
      </c>
      <c r="AD593" s="69"/>
      <c r="AE593" s="56"/>
      <c r="AF593" s="52"/>
      <c r="AG593" s="51"/>
      <c r="AH593" s="70"/>
      <c r="AI593" s="58"/>
      <c r="AJ593" s="55"/>
      <c r="AK593" s="51"/>
      <c r="AL593" s="69"/>
      <c r="AM593" s="56"/>
      <c r="AN593" s="52"/>
      <c r="AO593" s="51"/>
      <c r="AP593" s="70"/>
      <c r="AQ593" s="58"/>
      <c r="AR593" s="55"/>
      <c r="AS593" s="51"/>
      <c r="AT593" s="69"/>
      <c r="AU593" s="56"/>
      <c r="AV593" s="52"/>
      <c r="AW593" s="51"/>
      <c r="BR593" s="34" t="str">
        <f>IF(E593="","",CONCATENATE(E593," ",F593," noches"))</f>
        <v/>
      </c>
      <c r="BS593" s="28" t="str">
        <f t="shared" ca="1" si="149"/>
        <v/>
      </c>
      <c r="BT593" s="28" t="str">
        <f t="shared" ca="1" si="150"/>
        <v/>
      </c>
    </row>
    <row r="594" spans="1:72" x14ac:dyDescent="0.2">
      <c r="A594" s="18" t="str" cm="1">
        <f t="array" aca="1" ref="A594" ca="1">IF(B594="","","Grupo N˚"&amp;SUMPRODUCT(($B$4:B594&lt;&gt;"")*($B$4:B594&lt;&gt;OFFSET($B$4,-1,0,ROWS($B$4:B594),1))))</f>
        <v/>
      </c>
      <c r="B594" s="31"/>
      <c r="C594" s="31"/>
      <c r="D594" s="31"/>
      <c r="E594" s="31"/>
      <c r="F594" s="32"/>
      <c r="G594" s="33"/>
      <c r="H594" s="33"/>
      <c r="I594" s="20" t="str">
        <f t="shared" si="139"/>
        <v/>
      </c>
      <c r="J594" s="21" t="str">
        <f>IFERROR(VLOOKUP(BR594,Pricing!$D$3:$E$58,2,FALSE),"")</f>
        <v/>
      </c>
      <c r="K594" s="32"/>
      <c r="L594" s="32"/>
      <c r="M594" s="32"/>
      <c r="N594" s="36" t="str" cm="1">
        <f t="array" ref="N594">IFERROR(_xlfn.IFS((AND(K594="SI",M594="$")),J594*0.2,AND(K594="SI",M594="%"),20),"")</f>
        <v/>
      </c>
      <c r="O594" s="29" t="str">
        <f t="shared" si="140"/>
        <v/>
      </c>
      <c r="P594" s="21" t="str">
        <f t="shared" si="141"/>
        <v/>
      </c>
      <c r="Q594" s="21" t="str">
        <f t="shared" si="142"/>
        <v/>
      </c>
      <c r="R594" s="21" t="str">
        <f t="shared" si="143"/>
        <v/>
      </c>
      <c r="S594" s="39"/>
      <c r="T594" s="43" t="str">
        <f t="shared" si="151"/>
        <v/>
      </c>
      <c r="U594" s="49" t="str">
        <f t="shared" si="152"/>
        <v/>
      </c>
      <c r="V594" s="48" t="str">
        <f t="shared" si="153"/>
        <v/>
      </c>
      <c r="W594" s="48" t="str">
        <f t="shared" si="144"/>
        <v/>
      </c>
      <c r="X594" s="50" t="str">
        <f>IF(W594="","",SUMIF($B$4:$B$1002,B594,$W$4:$W$1000))</f>
        <v/>
      </c>
      <c r="Y594" s="43" t="str">
        <f t="shared" si="145"/>
        <v/>
      </c>
      <c r="Z594" s="49" t="str">
        <f t="shared" si="146"/>
        <v/>
      </c>
      <c r="AA594" s="48" t="str">
        <f t="shared" si="147"/>
        <v/>
      </c>
      <c r="AB594" s="49" t="str">
        <f t="shared" si="148"/>
        <v/>
      </c>
      <c r="AC594" s="50" t="str">
        <f>IF(AB594="","",SUMIF($B$4:$B$1002,B594,$AB$4:$AB$1000))</f>
        <v/>
      </c>
      <c r="AD594" s="69"/>
      <c r="AE594" s="56"/>
      <c r="AF594" s="52"/>
      <c r="AG594" s="51"/>
      <c r="AH594" s="70"/>
      <c r="AI594" s="58"/>
      <c r="AJ594" s="55"/>
      <c r="AK594" s="51"/>
      <c r="AL594" s="69"/>
      <c r="AM594" s="56"/>
      <c r="AN594" s="52"/>
      <c r="AO594" s="51"/>
      <c r="AP594" s="70"/>
      <c r="AQ594" s="58"/>
      <c r="AR594" s="55"/>
      <c r="AS594" s="51"/>
      <c r="AT594" s="69"/>
      <c r="AU594" s="56"/>
      <c r="AV594" s="52"/>
      <c r="AW594" s="51"/>
      <c r="BR594" s="34" t="str">
        <f>IF(E594="","",CONCATENATE(E594," ",F594," noches"))</f>
        <v/>
      </c>
      <c r="BS594" s="28" t="str">
        <f t="shared" ca="1" si="149"/>
        <v/>
      </c>
      <c r="BT594" s="28" t="str">
        <f t="shared" ca="1" si="150"/>
        <v/>
      </c>
    </row>
    <row r="595" spans="1:72" x14ac:dyDescent="0.2">
      <c r="A595" s="18" t="str" cm="1">
        <f t="array" aca="1" ref="A595" ca="1">IF(B595="","","Grupo N˚"&amp;SUMPRODUCT(($B$4:B595&lt;&gt;"")*($B$4:B595&lt;&gt;OFFSET($B$4,-1,0,ROWS($B$4:B595),1))))</f>
        <v/>
      </c>
      <c r="B595" s="31"/>
      <c r="C595" s="31"/>
      <c r="D595" s="31"/>
      <c r="E595" s="31"/>
      <c r="F595" s="32"/>
      <c r="G595" s="33"/>
      <c r="H595" s="33"/>
      <c r="I595" s="20" t="str">
        <f t="shared" si="139"/>
        <v/>
      </c>
      <c r="J595" s="21" t="str">
        <f>IFERROR(VLOOKUP(BR595,Pricing!$D$3:$E$58,2,FALSE),"")</f>
        <v/>
      </c>
      <c r="K595" s="32"/>
      <c r="L595" s="32"/>
      <c r="M595" s="32"/>
      <c r="N595" s="36" t="str" cm="1">
        <f t="array" ref="N595">IFERROR(_xlfn.IFS((AND(K595="SI",M595="$")),J595*0.2,AND(K595="SI",M595="%"),20),"")</f>
        <v/>
      </c>
      <c r="O595" s="29" t="str">
        <f t="shared" si="140"/>
        <v/>
      </c>
      <c r="P595" s="21" t="str">
        <f t="shared" si="141"/>
        <v/>
      </c>
      <c r="Q595" s="21" t="str">
        <f t="shared" si="142"/>
        <v/>
      </c>
      <c r="R595" s="21" t="str">
        <f t="shared" si="143"/>
        <v/>
      </c>
      <c r="S595" s="39"/>
      <c r="T595" s="43" t="str">
        <f t="shared" si="151"/>
        <v/>
      </c>
      <c r="U595" s="49" t="str">
        <f t="shared" si="152"/>
        <v/>
      </c>
      <c r="V595" s="48" t="str">
        <f t="shared" si="153"/>
        <v/>
      </c>
      <c r="W595" s="48" t="str">
        <f t="shared" si="144"/>
        <v/>
      </c>
      <c r="X595" s="50" t="str">
        <f>IF(W595="","",SUMIF($B$4:$B$1002,B595,$W$4:$W$1000))</f>
        <v/>
      </c>
      <c r="Y595" s="43" t="str">
        <f t="shared" si="145"/>
        <v/>
      </c>
      <c r="Z595" s="49" t="str">
        <f t="shared" si="146"/>
        <v/>
      </c>
      <c r="AA595" s="48" t="str">
        <f t="shared" si="147"/>
        <v/>
      </c>
      <c r="AB595" s="49" t="str">
        <f t="shared" si="148"/>
        <v/>
      </c>
      <c r="AC595" s="50" t="str">
        <f>IF(AB595="","",SUMIF($B$4:$B$1002,B595,$AB$4:$AB$1000))</f>
        <v/>
      </c>
      <c r="AD595" s="69"/>
      <c r="AE595" s="56"/>
      <c r="AF595" s="52"/>
      <c r="AG595" s="51"/>
      <c r="AH595" s="70"/>
      <c r="AI595" s="58"/>
      <c r="AJ595" s="55"/>
      <c r="AK595" s="51"/>
      <c r="AL595" s="69"/>
      <c r="AM595" s="56"/>
      <c r="AN595" s="52"/>
      <c r="AO595" s="51"/>
      <c r="AP595" s="70"/>
      <c r="AQ595" s="58"/>
      <c r="AR595" s="55"/>
      <c r="AS595" s="51"/>
      <c r="AT595" s="69"/>
      <c r="AU595" s="56"/>
      <c r="AV595" s="52"/>
      <c r="AW595" s="51"/>
      <c r="BR595" s="34" t="str">
        <f>IF(E595="","",CONCATENATE(E595," ",F595," noches"))</f>
        <v/>
      </c>
      <c r="BS595" s="28" t="str">
        <f t="shared" ca="1" si="149"/>
        <v/>
      </c>
      <c r="BT595" s="28" t="str">
        <f t="shared" ca="1" si="150"/>
        <v/>
      </c>
    </row>
    <row r="596" spans="1:72" x14ac:dyDescent="0.2">
      <c r="A596" s="18" t="str" cm="1">
        <f t="array" aca="1" ref="A596" ca="1">IF(B596="","","Grupo N˚"&amp;SUMPRODUCT(($B$4:B596&lt;&gt;"")*($B$4:B596&lt;&gt;OFFSET($B$4,-1,0,ROWS($B$4:B596),1))))</f>
        <v/>
      </c>
      <c r="B596" s="31"/>
      <c r="C596" s="31"/>
      <c r="D596" s="31"/>
      <c r="E596" s="31"/>
      <c r="F596" s="32"/>
      <c r="G596" s="33"/>
      <c r="H596" s="33"/>
      <c r="I596" s="20" t="str">
        <f t="shared" si="139"/>
        <v/>
      </c>
      <c r="J596" s="21" t="str">
        <f>IFERROR(VLOOKUP(BR596,Pricing!$D$3:$E$58,2,FALSE),"")</f>
        <v/>
      </c>
      <c r="K596" s="32"/>
      <c r="L596" s="32"/>
      <c r="M596" s="32"/>
      <c r="N596" s="36" t="str" cm="1">
        <f t="array" ref="N596">IFERROR(_xlfn.IFS((AND(K596="SI",M596="$")),J596*0.2,AND(K596="SI",M596="%"),20),"")</f>
        <v/>
      </c>
      <c r="O596" s="29" t="str">
        <f t="shared" si="140"/>
        <v/>
      </c>
      <c r="P596" s="21" t="str">
        <f t="shared" si="141"/>
        <v/>
      </c>
      <c r="Q596" s="21" t="str">
        <f t="shared" si="142"/>
        <v/>
      </c>
      <c r="R596" s="21" t="str">
        <f t="shared" si="143"/>
        <v/>
      </c>
      <c r="S596" s="39"/>
      <c r="T596" s="43" t="str">
        <f t="shared" si="151"/>
        <v/>
      </c>
      <c r="U596" s="49" t="str">
        <f t="shared" si="152"/>
        <v/>
      </c>
      <c r="V596" s="48" t="str">
        <f t="shared" si="153"/>
        <v/>
      </c>
      <c r="W596" s="48" t="str">
        <f t="shared" si="144"/>
        <v/>
      </c>
      <c r="X596" s="50" t="str">
        <f>IF(W596="","",SUMIF($B$4:$B$1002,B596,$W$4:$W$1000))</f>
        <v/>
      </c>
      <c r="Y596" s="43" t="str">
        <f t="shared" si="145"/>
        <v/>
      </c>
      <c r="Z596" s="49" t="str">
        <f t="shared" si="146"/>
        <v/>
      </c>
      <c r="AA596" s="48" t="str">
        <f t="shared" si="147"/>
        <v/>
      </c>
      <c r="AB596" s="49" t="str">
        <f t="shared" si="148"/>
        <v/>
      </c>
      <c r="AC596" s="50" t="str">
        <f>IF(AB596="","",SUMIF($B$4:$B$1002,B596,$AB$4:$AB$1000))</f>
        <v/>
      </c>
      <c r="AD596" s="69"/>
      <c r="AE596" s="56"/>
      <c r="AF596" s="52"/>
      <c r="AG596" s="51"/>
      <c r="AH596" s="70"/>
      <c r="AI596" s="58"/>
      <c r="AJ596" s="55"/>
      <c r="AK596" s="51"/>
      <c r="AL596" s="69"/>
      <c r="AM596" s="56"/>
      <c r="AN596" s="52"/>
      <c r="AO596" s="51"/>
      <c r="AP596" s="70"/>
      <c r="AQ596" s="58"/>
      <c r="AR596" s="55"/>
      <c r="AS596" s="51"/>
      <c r="AT596" s="69"/>
      <c r="AU596" s="56"/>
      <c r="AV596" s="52"/>
      <c r="AW596" s="51"/>
      <c r="BR596" s="34" t="str">
        <f>IF(E596="","",CONCATENATE(E596," ",F596," noches"))</f>
        <v/>
      </c>
      <c r="BS596" s="28" t="str">
        <f t="shared" ca="1" si="149"/>
        <v/>
      </c>
      <c r="BT596" s="28" t="str">
        <f t="shared" ca="1" si="150"/>
        <v/>
      </c>
    </row>
    <row r="597" spans="1:72" x14ac:dyDescent="0.2">
      <c r="A597" s="18" t="str" cm="1">
        <f t="array" aca="1" ref="A597" ca="1">IF(B597="","","Grupo N˚"&amp;SUMPRODUCT(($B$4:B597&lt;&gt;"")*($B$4:B597&lt;&gt;OFFSET($B$4,-1,0,ROWS($B$4:B597),1))))</f>
        <v/>
      </c>
      <c r="B597" s="31"/>
      <c r="C597" s="31"/>
      <c r="D597" s="31"/>
      <c r="E597" s="31"/>
      <c r="F597" s="32"/>
      <c r="G597" s="33"/>
      <c r="H597" s="33"/>
      <c r="I597" s="20" t="str">
        <f t="shared" si="139"/>
        <v/>
      </c>
      <c r="J597" s="21" t="str">
        <f>IFERROR(VLOOKUP(BR597,Pricing!$D$3:$E$58,2,FALSE),"")</f>
        <v/>
      </c>
      <c r="K597" s="32"/>
      <c r="L597" s="32"/>
      <c r="M597" s="32"/>
      <c r="N597" s="36" t="str" cm="1">
        <f t="array" ref="N597">IFERROR(_xlfn.IFS((AND(K597="SI",M597="$")),J597*0.2,AND(K597="SI",M597="%"),20),"")</f>
        <v/>
      </c>
      <c r="O597" s="29" t="str">
        <f t="shared" si="140"/>
        <v/>
      </c>
      <c r="P597" s="21" t="str">
        <f t="shared" si="141"/>
        <v/>
      </c>
      <c r="Q597" s="21" t="str">
        <f t="shared" si="142"/>
        <v/>
      </c>
      <c r="R597" s="21" t="str">
        <f t="shared" si="143"/>
        <v/>
      </c>
      <c r="S597" s="39"/>
      <c r="T597" s="43" t="str">
        <f t="shared" si="151"/>
        <v/>
      </c>
      <c r="U597" s="49" t="str">
        <f t="shared" si="152"/>
        <v/>
      </c>
      <c r="V597" s="48" t="str">
        <f t="shared" si="153"/>
        <v/>
      </c>
      <c r="W597" s="48" t="str">
        <f t="shared" si="144"/>
        <v/>
      </c>
      <c r="X597" s="50" t="str">
        <f>IF(W597="","",SUMIF($B$4:$B$1002,B597,$W$4:$W$1000))</f>
        <v/>
      </c>
      <c r="Y597" s="43" t="str">
        <f t="shared" si="145"/>
        <v/>
      </c>
      <c r="Z597" s="49" t="str">
        <f t="shared" si="146"/>
        <v/>
      </c>
      <c r="AA597" s="48" t="str">
        <f t="shared" si="147"/>
        <v/>
      </c>
      <c r="AB597" s="49" t="str">
        <f t="shared" si="148"/>
        <v/>
      </c>
      <c r="AC597" s="50" t="str">
        <f>IF(AB597="","",SUMIF($B$4:$B$1002,B597,$AB$4:$AB$1000))</f>
        <v/>
      </c>
      <c r="AD597" s="69"/>
      <c r="AE597" s="56"/>
      <c r="AF597" s="52"/>
      <c r="AG597" s="51"/>
      <c r="AH597" s="70"/>
      <c r="AI597" s="58"/>
      <c r="AJ597" s="55"/>
      <c r="AK597" s="51"/>
      <c r="AL597" s="69"/>
      <c r="AM597" s="56"/>
      <c r="AN597" s="52"/>
      <c r="AO597" s="51"/>
      <c r="AP597" s="70"/>
      <c r="AQ597" s="58"/>
      <c r="AR597" s="55"/>
      <c r="AS597" s="51"/>
      <c r="AT597" s="69"/>
      <c r="AU597" s="56"/>
      <c r="AV597" s="52"/>
      <c r="AW597" s="51"/>
      <c r="BR597" s="34" t="str">
        <f>IF(E597="","",CONCATENATE(E597," ",F597," noches"))</f>
        <v/>
      </c>
      <c r="BS597" s="28" t="str">
        <f t="shared" ca="1" si="149"/>
        <v/>
      </c>
      <c r="BT597" s="28" t="str">
        <f t="shared" ca="1" si="150"/>
        <v/>
      </c>
    </row>
    <row r="598" spans="1:72" x14ac:dyDescent="0.2">
      <c r="A598" s="18" t="str" cm="1">
        <f t="array" aca="1" ref="A598" ca="1">IF(B598="","","Grupo N˚"&amp;SUMPRODUCT(($B$4:B598&lt;&gt;"")*($B$4:B598&lt;&gt;OFFSET($B$4,-1,0,ROWS($B$4:B598),1))))</f>
        <v/>
      </c>
      <c r="B598" s="31"/>
      <c r="C598" s="31"/>
      <c r="D598" s="31"/>
      <c r="E598" s="31"/>
      <c r="F598" s="32"/>
      <c r="G598" s="33"/>
      <c r="H598" s="33"/>
      <c r="I598" s="20" t="str">
        <f t="shared" si="139"/>
        <v/>
      </c>
      <c r="J598" s="21" t="str">
        <f>IFERROR(VLOOKUP(BR598,Pricing!$D$3:$E$58,2,FALSE),"")</f>
        <v/>
      </c>
      <c r="K598" s="32"/>
      <c r="L598" s="32"/>
      <c r="M598" s="32"/>
      <c r="N598" s="36" t="str" cm="1">
        <f t="array" ref="N598">IFERROR(_xlfn.IFS((AND(K598="SI",M598="$")),J598*0.2,AND(K598="SI",M598="%"),20),"")</f>
        <v/>
      </c>
      <c r="O598" s="29" t="str">
        <f t="shared" si="140"/>
        <v/>
      </c>
      <c r="P598" s="21" t="str">
        <f t="shared" si="141"/>
        <v/>
      </c>
      <c r="Q598" s="21" t="str">
        <f t="shared" si="142"/>
        <v/>
      </c>
      <c r="R598" s="21" t="str">
        <f t="shared" si="143"/>
        <v/>
      </c>
      <c r="S598" s="39"/>
      <c r="T598" s="43" t="str">
        <f t="shared" si="151"/>
        <v/>
      </c>
      <c r="U598" s="49" t="str">
        <f t="shared" si="152"/>
        <v/>
      </c>
      <c r="V598" s="48" t="str">
        <f t="shared" si="153"/>
        <v/>
      </c>
      <c r="W598" s="48" t="str">
        <f t="shared" si="144"/>
        <v/>
      </c>
      <c r="X598" s="50" t="str">
        <f>IF(W598="","",SUMIF($B$4:$B$1002,B598,$W$4:$W$1000))</f>
        <v/>
      </c>
      <c r="Y598" s="43" t="str">
        <f t="shared" si="145"/>
        <v/>
      </c>
      <c r="Z598" s="49" t="str">
        <f t="shared" si="146"/>
        <v/>
      </c>
      <c r="AA598" s="48" t="str">
        <f t="shared" si="147"/>
        <v/>
      </c>
      <c r="AB598" s="49" t="str">
        <f t="shared" si="148"/>
        <v/>
      </c>
      <c r="AC598" s="50" t="str">
        <f>IF(AB598="","",SUMIF($B$4:$B$1002,B598,$AB$4:$AB$1000))</f>
        <v/>
      </c>
      <c r="AD598" s="69"/>
      <c r="AE598" s="56"/>
      <c r="AF598" s="52"/>
      <c r="AG598" s="51"/>
      <c r="AH598" s="70"/>
      <c r="AI598" s="58"/>
      <c r="AJ598" s="55"/>
      <c r="AK598" s="51"/>
      <c r="AL598" s="69"/>
      <c r="AM598" s="56"/>
      <c r="AN598" s="52"/>
      <c r="AO598" s="51"/>
      <c r="AP598" s="70"/>
      <c r="AQ598" s="58"/>
      <c r="AR598" s="55"/>
      <c r="AS598" s="51"/>
      <c r="AT598" s="69"/>
      <c r="AU598" s="56"/>
      <c r="AV598" s="52"/>
      <c r="AW598" s="51"/>
      <c r="BR598" s="34" t="str">
        <f>IF(E598="","",CONCATENATE(E598," ",F598," noches"))</f>
        <v/>
      </c>
      <c r="BS598" s="28" t="str">
        <f t="shared" ca="1" si="149"/>
        <v/>
      </c>
      <c r="BT598" s="28" t="str">
        <f t="shared" ca="1" si="150"/>
        <v/>
      </c>
    </row>
    <row r="599" spans="1:72" x14ac:dyDescent="0.2">
      <c r="A599" s="18" t="str" cm="1">
        <f t="array" aca="1" ref="A599" ca="1">IF(B599="","","Grupo N˚"&amp;SUMPRODUCT(($B$4:B599&lt;&gt;"")*($B$4:B599&lt;&gt;OFFSET($B$4,-1,0,ROWS($B$4:B599),1))))</f>
        <v/>
      </c>
      <c r="B599" s="31"/>
      <c r="C599" s="31"/>
      <c r="D599" s="31"/>
      <c r="E599" s="31"/>
      <c r="F599" s="32"/>
      <c r="G599" s="33"/>
      <c r="H599" s="33"/>
      <c r="I599" s="20" t="str">
        <f t="shared" si="139"/>
        <v/>
      </c>
      <c r="J599" s="21" t="str">
        <f>IFERROR(VLOOKUP(BR599,Pricing!$D$3:$E$58,2,FALSE),"")</f>
        <v/>
      </c>
      <c r="K599" s="32"/>
      <c r="L599" s="32"/>
      <c r="M599" s="32"/>
      <c r="N599" s="36" t="str" cm="1">
        <f t="array" ref="N599">IFERROR(_xlfn.IFS((AND(K599="SI",M599="$")),J599*0.2,AND(K599="SI",M599="%"),20),"")</f>
        <v/>
      </c>
      <c r="O599" s="29" t="str">
        <f t="shared" si="140"/>
        <v/>
      </c>
      <c r="P599" s="21" t="str">
        <f t="shared" si="141"/>
        <v/>
      </c>
      <c r="Q599" s="21" t="str">
        <f t="shared" si="142"/>
        <v/>
      </c>
      <c r="R599" s="21" t="str">
        <f t="shared" si="143"/>
        <v/>
      </c>
      <c r="S599" s="39"/>
      <c r="T599" s="43" t="str">
        <f t="shared" si="151"/>
        <v/>
      </c>
      <c r="U599" s="49" t="str">
        <f t="shared" si="152"/>
        <v/>
      </c>
      <c r="V599" s="48" t="str">
        <f t="shared" si="153"/>
        <v/>
      </c>
      <c r="W599" s="48" t="str">
        <f t="shared" si="144"/>
        <v/>
      </c>
      <c r="X599" s="50" t="str">
        <f>IF(W599="","",SUMIF($B$4:$B$1002,B599,$W$4:$W$1000))</f>
        <v/>
      </c>
      <c r="Y599" s="43" t="str">
        <f t="shared" si="145"/>
        <v/>
      </c>
      <c r="Z599" s="49" t="str">
        <f t="shared" si="146"/>
        <v/>
      </c>
      <c r="AA599" s="48" t="str">
        <f t="shared" si="147"/>
        <v/>
      </c>
      <c r="AB599" s="49" t="str">
        <f t="shared" si="148"/>
        <v/>
      </c>
      <c r="AC599" s="50" t="str">
        <f>IF(AB599="","",SUMIF($B$4:$B$1002,B599,$AB$4:$AB$1000))</f>
        <v/>
      </c>
      <c r="AD599" s="69"/>
      <c r="AE599" s="56"/>
      <c r="AF599" s="52"/>
      <c r="AG599" s="51"/>
      <c r="AH599" s="70"/>
      <c r="AI599" s="58"/>
      <c r="AJ599" s="55"/>
      <c r="AK599" s="51"/>
      <c r="AL599" s="69"/>
      <c r="AM599" s="56"/>
      <c r="AN599" s="52"/>
      <c r="AO599" s="51"/>
      <c r="AP599" s="70"/>
      <c r="AQ599" s="58"/>
      <c r="AR599" s="55"/>
      <c r="AS599" s="51"/>
      <c r="AT599" s="69"/>
      <c r="AU599" s="56"/>
      <c r="AV599" s="52"/>
      <c r="AW599" s="51"/>
      <c r="BR599" s="34" t="str">
        <f>IF(E599="","",CONCATENATE(E599," ",F599," noches"))</f>
        <v/>
      </c>
      <c r="BS599" s="28" t="str">
        <f t="shared" ca="1" si="149"/>
        <v/>
      </c>
      <c r="BT599" s="28" t="str">
        <f t="shared" ca="1" si="150"/>
        <v/>
      </c>
    </row>
    <row r="600" spans="1:72" x14ac:dyDescent="0.2">
      <c r="A600" s="18" t="str" cm="1">
        <f t="array" aca="1" ref="A600" ca="1">IF(B600="","","Grupo N˚"&amp;SUMPRODUCT(($B$4:B600&lt;&gt;"")*($B$4:B600&lt;&gt;OFFSET($B$4,-1,0,ROWS($B$4:B600),1))))</f>
        <v/>
      </c>
      <c r="B600" s="31"/>
      <c r="C600" s="31"/>
      <c r="D600" s="31"/>
      <c r="E600" s="31"/>
      <c r="F600" s="32"/>
      <c r="G600" s="33"/>
      <c r="H600" s="33"/>
      <c r="I600" s="20" t="str">
        <f t="shared" si="139"/>
        <v/>
      </c>
      <c r="J600" s="21" t="str">
        <f>IFERROR(VLOOKUP(BR600,Pricing!$D$3:$E$58,2,FALSE),"")</f>
        <v/>
      </c>
      <c r="K600" s="32"/>
      <c r="L600" s="32"/>
      <c r="M600" s="32"/>
      <c r="N600" s="36" t="str" cm="1">
        <f t="array" ref="N600">IFERROR(_xlfn.IFS((AND(K600="SI",M600="$")),J600*0.2,AND(K600="SI",M600="%"),20),"")</f>
        <v/>
      </c>
      <c r="O600" s="29" t="str">
        <f t="shared" si="140"/>
        <v/>
      </c>
      <c r="P600" s="21" t="str">
        <f t="shared" si="141"/>
        <v/>
      </c>
      <c r="Q600" s="21" t="str">
        <f t="shared" si="142"/>
        <v/>
      </c>
      <c r="R600" s="21" t="str">
        <f t="shared" si="143"/>
        <v/>
      </c>
      <c r="S600" s="39"/>
      <c r="T600" s="43" t="str">
        <f t="shared" si="151"/>
        <v/>
      </c>
      <c r="U600" s="49" t="str">
        <f t="shared" si="152"/>
        <v/>
      </c>
      <c r="V600" s="48" t="str">
        <f t="shared" si="153"/>
        <v/>
      </c>
      <c r="W600" s="48" t="str">
        <f t="shared" si="144"/>
        <v/>
      </c>
      <c r="X600" s="50" t="str">
        <f>IF(W600="","",SUMIF($B$4:$B$1002,B600,$W$4:$W$1000))</f>
        <v/>
      </c>
      <c r="Y600" s="43" t="str">
        <f t="shared" si="145"/>
        <v/>
      </c>
      <c r="Z600" s="49" t="str">
        <f t="shared" si="146"/>
        <v/>
      </c>
      <c r="AA600" s="48" t="str">
        <f t="shared" si="147"/>
        <v/>
      </c>
      <c r="AB600" s="49" t="str">
        <f t="shared" si="148"/>
        <v/>
      </c>
      <c r="AC600" s="50" t="str">
        <f>IF(AB600="","",SUMIF($B$4:$B$1002,B600,$AB$4:$AB$1000))</f>
        <v/>
      </c>
      <c r="AD600" s="69"/>
      <c r="AE600" s="56"/>
      <c r="AF600" s="52"/>
      <c r="AG600" s="51"/>
      <c r="AH600" s="70"/>
      <c r="AI600" s="58"/>
      <c r="AJ600" s="55"/>
      <c r="AK600" s="51"/>
      <c r="AL600" s="69"/>
      <c r="AM600" s="56"/>
      <c r="AN600" s="52"/>
      <c r="AO600" s="51"/>
      <c r="AP600" s="70"/>
      <c r="AQ600" s="58"/>
      <c r="AR600" s="55"/>
      <c r="AS600" s="51"/>
      <c r="AT600" s="69"/>
      <c r="AU600" s="56"/>
      <c r="AV600" s="52"/>
      <c r="AW600" s="51"/>
      <c r="BR600" s="34" t="str">
        <f>IF(E600="","",CONCATENATE(E600," ",F600," noches"))</f>
        <v/>
      </c>
      <c r="BS600" s="28" t="str">
        <f t="shared" ca="1" si="149"/>
        <v/>
      </c>
      <c r="BT600" s="28" t="str">
        <f t="shared" ca="1" si="150"/>
        <v/>
      </c>
    </row>
    <row r="601" spans="1:72" x14ac:dyDescent="0.2">
      <c r="A601" s="18" t="str" cm="1">
        <f t="array" aca="1" ref="A601" ca="1">IF(B601="","","Grupo N˚"&amp;SUMPRODUCT(($B$4:B601&lt;&gt;"")*($B$4:B601&lt;&gt;OFFSET($B$4,-1,0,ROWS($B$4:B601),1))))</f>
        <v/>
      </c>
      <c r="B601" s="31"/>
      <c r="C601" s="31"/>
      <c r="D601" s="31"/>
      <c r="E601" s="31"/>
      <c r="F601" s="32"/>
      <c r="G601" s="33"/>
      <c r="H601" s="33"/>
      <c r="I601" s="20" t="str">
        <f t="shared" si="139"/>
        <v/>
      </c>
      <c r="J601" s="21" t="str">
        <f>IFERROR(VLOOKUP(BR601,Pricing!$D$3:$E$58,2,FALSE),"")</f>
        <v/>
      </c>
      <c r="K601" s="32"/>
      <c r="L601" s="32"/>
      <c r="M601" s="32"/>
      <c r="N601" s="36" t="str" cm="1">
        <f t="array" ref="N601">IFERROR(_xlfn.IFS((AND(K601="SI",M601="$")),J601*0.2,AND(K601="SI",M601="%"),20),"")</f>
        <v/>
      </c>
      <c r="O601" s="29" t="str">
        <f t="shared" si="140"/>
        <v/>
      </c>
      <c r="P601" s="21" t="str">
        <f t="shared" si="141"/>
        <v/>
      </c>
      <c r="Q601" s="21" t="str">
        <f t="shared" si="142"/>
        <v/>
      </c>
      <c r="R601" s="21" t="str">
        <f t="shared" si="143"/>
        <v/>
      </c>
      <c r="S601" s="39"/>
      <c r="T601" s="43" t="str">
        <f t="shared" si="151"/>
        <v/>
      </c>
      <c r="U601" s="49" t="str">
        <f t="shared" si="152"/>
        <v/>
      </c>
      <c r="V601" s="48" t="str">
        <f t="shared" si="153"/>
        <v/>
      </c>
      <c r="W601" s="48" t="str">
        <f t="shared" si="144"/>
        <v/>
      </c>
      <c r="X601" s="50" t="str">
        <f>IF(W601="","",SUMIF($B$4:$B$1002,B601,$W$4:$W$1000))</f>
        <v/>
      </c>
      <c r="Y601" s="43" t="str">
        <f t="shared" si="145"/>
        <v/>
      </c>
      <c r="Z601" s="49" t="str">
        <f t="shared" si="146"/>
        <v/>
      </c>
      <c r="AA601" s="48" t="str">
        <f t="shared" si="147"/>
        <v/>
      </c>
      <c r="AB601" s="49" t="str">
        <f t="shared" si="148"/>
        <v/>
      </c>
      <c r="AC601" s="50" t="str">
        <f>IF(AB601="","",SUMIF($B$4:$B$1002,B601,$AB$4:$AB$1000))</f>
        <v/>
      </c>
      <c r="AD601" s="69"/>
      <c r="AE601" s="56"/>
      <c r="AF601" s="52"/>
      <c r="AG601" s="51"/>
      <c r="AH601" s="70"/>
      <c r="AI601" s="58"/>
      <c r="AJ601" s="55"/>
      <c r="AK601" s="51"/>
      <c r="AL601" s="69"/>
      <c r="AM601" s="56"/>
      <c r="AN601" s="52"/>
      <c r="AO601" s="51"/>
      <c r="AP601" s="70"/>
      <c r="AQ601" s="58"/>
      <c r="AR601" s="55"/>
      <c r="AS601" s="51"/>
      <c r="AT601" s="69"/>
      <c r="AU601" s="56"/>
      <c r="AV601" s="52"/>
      <c r="AW601" s="51"/>
      <c r="BR601" s="34" t="str">
        <f>IF(E601="","",CONCATENATE(E601," ",F601," noches"))</f>
        <v/>
      </c>
      <c r="BS601" s="28" t="str">
        <f t="shared" ca="1" si="149"/>
        <v/>
      </c>
      <c r="BT601" s="28" t="str">
        <f t="shared" ca="1" si="150"/>
        <v/>
      </c>
    </row>
    <row r="602" spans="1:72" x14ac:dyDescent="0.2">
      <c r="A602" s="18" t="str" cm="1">
        <f t="array" aca="1" ref="A602" ca="1">IF(B602="","","Grupo N˚"&amp;SUMPRODUCT(($B$4:B602&lt;&gt;"")*($B$4:B602&lt;&gt;OFFSET($B$4,-1,0,ROWS($B$4:B602),1))))</f>
        <v/>
      </c>
      <c r="B602" s="31"/>
      <c r="C602" s="31"/>
      <c r="D602" s="31"/>
      <c r="E602" s="31"/>
      <c r="F602" s="32"/>
      <c r="G602" s="33"/>
      <c r="H602" s="33"/>
      <c r="I602" s="20" t="str">
        <f t="shared" si="139"/>
        <v/>
      </c>
      <c r="J602" s="21" t="str">
        <f>IFERROR(VLOOKUP(BR602,Pricing!$D$3:$E$58,2,FALSE),"")</f>
        <v/>
      </c>
      <c r="K602" s="32"/>
      <c r="L602" s="32"/>
      <c r="M602" s="32"/>
      <c r="N602" s="36" t="str" cm="1">
        <f t="array" ref="N602">IFERROR(_xlfn.IFS((AND(K602="SI",M602="$")),J602*0.2,AND(K602="SI",M602="%"),20),"")</f>
        <v/>
      </c>
      <c r="O602" s="29" t="str">
        <f t="shared" si="140"/>
        <v/>
      </c>
      <c r="P602" s="21" t="str">
        <f t="shared" si="141"/>
        <v/>
      </c>
      <c r="Q602" s="21" t="str">
        <f t="shared" si="142"/>
        <v/>
      </c>
      <c r="R602" s="21" t="str">
        <f t="shared" si="143"/>
        <v/>
      </c>
      <c r="S602" s="39"/>
      <c r="T602" s="43" t="str">
        <f t="shared" si="151"/>
        <v/>
      </c>
      <c r="U602" s="49" t="str">
        <f t="shared" si="152"/>
        <v/>
      </c>
      <c r="V602" s="48" t="str">
        <f t="shared" si="153"/>
        <v/>
      </c>
      <c r="W602" s="48" t="str">
        <f t="shared" si="144"/>
        <v/>
      </c>
      <c r="X602" s="50" t="str">
        <f>IF(W602="","",SUMIF($B$4:$B$1002,B602,$W$4:$W$1000))</f>
        <v/>
      </c>
      <c r="Y602" s="43" t="str">
        <f t="shared" si="145"/>
        <v/>
      </c>
      <c r="Z602" s="49" t="str">
        <f t="shared" si="146"/>
        <v/>
      </c>
      <c r="AA602" s="48" t="str">
        <f t="shared" si="147"/>
        <v/>
      </c>
      <c r="AB602" s="49" t="str">
        <f t="shared" si="148"/>
        <v/>
      </c>
      <c r="AC602" s="50" t="str">
        <f>IF(AB602="","",SUMIF($B$4:$B$1002,B602,$AB$4:$AB$1000))</f>
        <v/>
      </c>
      <c r="AD602" s="69"/>
      <c r="AE602" s="56"/>
      <c r="AF602" s="52"/>
      <c r="AG602" s="51"/>
      <c r="AH602" s="70"/>
      <c r="AI602" s="58"/>
      <c r="AJ602" s="55"/>
      <c r="AK602" s="51"/>
      <c r="AL602" s="69"/>
      <c r="AM602" s="56"/>
      <c r="AN602" s="52"/>
      <c r="AO602" s="51"/>
      <c r="AP602" s="70"/>
      <c r="AQ602" s="58"/>
      <c r="AR602" s="55"/>
      <c r="AS602" s="51"/>
      <c r="AT602" s="69"/>
      <c r="AU602" s="56"/>
      <c r="AV602" s="52"/>
      <c r="AW602" s="51"/>
      <c r="BR602" s="34" t="str">
        <f>IF(E602="","",CONCATENATE(E602," ",F602," noches"))</f>
        <v/>
      </c>
      <c r="BS602" s="28" t="str">
        <f t="shared" ca="1" si="149"/>
        <v/>
      </c>
      <c r="BT602" s="28" t="str">
        <f t="shared" ca="1" si="150"/>
        <v/>
      </c>
    </row>
    <row r="603" spans="1:72" x14ac:dyDescent="0.2">
      <c r="A603" s="18" t="str" cm="1">
        <f t="array" aca="1" ref="A603" ca="1">IF(B603="","","Grupo N˚"&amp;SUMPRODUCT(($B$4:B603&lt;&gt;"")*($B$4:B603&lt;&gt;OFFSET($B$4,-1,0,ROWS($B$4:B603),1))))</f>
        <v/>
      </c>
      <c r="B603" s="31"/>
      <c r="C603" s="31"/>
      <c r="D603" s="31"/>
      <c r="E603" s="31"/>
      <c r="F603" s="32"/>
      <c r="G603" s="33"/>
      <c r="H603" s="33"/>
      <c r="I603" s="20" t="str">
        <f t="shared" si="139"/>
        <v/>
      </c>
      <c r="J603" s="21" t="str">
        <f>IFERROR(VLOOKUP(BR603,Pricing!$D$3:$E$58,2,FALSE),"")</f>
        <v/>
      </c>
      <c r="K603" s="32"/>
      <c r="L603" s="32"/>
      <c r="M603" s="32"/>
      <c r="N603" s="36" t="str" cm="1">
        <f t="array" ref="N603">IFERROR(_xlfn.IFS((AND(K603="SI",M603="$")),J603*0.2,AND(K603="SI",M603="%"),20),"")</f>
        <v/>
      </c>
      <c r="O603" s="29" t="str">
        <f t="shared" si="140"/>
        <v/>
      </c>
      <c r="P603" s="21" t="str">
        <f t="shared" si="141"/>
        <v/>
      </c>
      <c r="Q603" s="21" t="str">
        <f t="shared" si="142"/>
        <v/>
      </c>
      <c r="R603" s="21" t="str">
        <f t="shared" si="143"/>
        <v/>
      </c>
      <c r="S603" s="39"/>
      <c r="T603" s="43" t="str">
        <f t="shared" si="151"/>
        <v/>
      </c>
      <c r="U603" s="49" t="str">
        <f t="shared" si="152"/>
        <v/>
      </c>
      <c r="V603" s="48" t="str">
        <f t="shared" si="153"/>
        <v/>
      </c>
      <c r="W603" s="48" t="str">
        <f t="shared" si="144"/>
        <v/>
      </c>
      <c r="X603" s="50" t="str">
        <f>IF(W603="","",SUMIF($B$4:$B$1002,B603,$W$4:$W$1000))</f>
        <v/>
      </c>
      <c r="Y603" s="43" t="str">
        <f t="shared" si="145"/>
        <v/>
      </c>
      <c r="Z603" s="49" t="str">
        <f t="shared" si="146"/>
        <v/>
      </c>
      <c r="AA603" s="48" t="str">
        <f t="shared" si="147"/>
        <v/>
      </c>
      <c r="AB603" s="49" t="str">
        <f t="shared" si="148"/>
        <v/>
      </c>
      <c r="AC603" s="50" t="str">
        <f>IF(AB603="","",SUMIF($B$4:$B$1002,B603,$AB$4:$AB$1000))</f>
        <v/>
      </c>
      <c r="AD603" s="69"/>
      <c r="AE603" s="56"/>
      <c r="AF603" s="52"/>
      <c r="AG603" s="51"/>
      <c r="AH603" s="70"/>
      <c r="AI603" s="58"/>
      <c r="AJ603" s="55"/>
      <c r="AK603" s="51"/>
      <c r="AL603" s="69"/>
      <c r="AM603" s="56"/>
      <c r="AN603" s="52"/>
      <c r="AO603" s="51"/>
      <c r="AP603" s="70"/>
      <c r="AQ603" s="58"/>
      <c r="AR603" s="55"/>
      <c r="AS603" s="51"/>
      <c r="AT603" s="69"/>
      <c r="AU603" s="56"/>
      <c r="AV603" s="52"/>
      <c r="AW603" s="51"/>
      <c r="BR603" s="34" t="str">
        <f>IF(E603="","",CONCATENATE(E603," ",F603," noches"))</f>
        <v/>
      </c>
      <c r="BS603" s="28" t="str">
        <f t="shared" ca="1" si="149"/>
        <v/>
      </c>
      <c r="BT603" s="28" t="str">
        <f t="shared" ca="1" si="150"/>
        <v/>
      </c>
    </row>
    <row r="604" spans="1:72" x14ac:dyDescent="0.2">
      <c r="A604" s="18" t="str" cm="1">
        <f t="array" aca="1" ref="A604" ca="1">IF(B604="","","Grupo N˚"&amp;SUMPRODUCT(($B$4:B604&lt;&gt;"")*($B$4:B604&lt;&gt;OFFSET($B$4,-1,0,ROWS($B$4:B604),1))))</f>
        <v/>
      </c>
      <c r="B604" s="31"/>
      <c r="C604" s="31"/>
      <c r="D604" s="31"/>
      <c r="E604" s="31"/>
      <c r="F604" s="32"/>
      <c r="G604" s="33"/>
      <c r="H604" s="33"/>
      <c r="I604" s="20" t="str">
        <f t="shared" si="139"/>
        <v/>
      </c>
      <c r="J604" s="21" t="str">
        <f>IFERROR(VLOOKUP(BR604,Pricing!$D$3:$E$58,2,FALSE),"")</f>
        <v/>
      </c>
      <c r="K604" s="32"/>
      <c r="L604" s="32"/>
      <c r="M604" s="32"/>
      <c r="N604" s="36" t="str" cm="1">
        <f t="array" ref="N604">IFERROR(_xlfn.IFS((AND(K604="SI",M604="$")),J604*0.2,AND(K604="SI",M604="%"),20),"")</f>
        <v/>
      </c>
      <c r="O604" s="29" t="str">
        <f t="shared" si="140"/>
        <v/>
      </c>
      <c r="P604" s="21" t="str">
        <f t="shared" si="141"/>
        <v/>
      </c>
      <c r="Q604" s="21" t="str">
        <f t="shared" si="142"/>
        <v/>
      </c>
      <c r="R604" s="21" t="str">
        <f t="shared" si="143"/>
        <v/>
      </c>
      <c r="S604" s="39"/>
      <c r="T604" s="43" t="str">
        <f t="shared" si="151"/>
        <v/>
      </c>
      <c r="U604" s="49" t="str">
        <f t="shared" si="152"/>
        <v/>
      </c>
      <c r="V604" s="48" t="str">
        <f t="shared" si="153"/>
        <v/>
      </c>
      <c r="W604" s="48" t="str">
        <f t="shared" si="144"/>
        <v/>
      </c>
      <c r="X604" s="50" t="str">
        <f>IF(W604="","",SUMIF($B$4:$B$1002,B604,$W$4:$W$1000))</f>
        <v/>
      </c>
      <c r="Y604" s="43" t="str">
        <f t="shared" si="145"/>
        <v/>
      </c>
      <c r="Z604" s="49" t="str">
        <f t="shared" si="146"/>
        <v/>
      </c>
      <c r="AA604" s="48" t="str">
        <f t="shared" si="147"/>
        <v/>
      </c>
      <c r="AB604" s="49" t="str">
        <f t="shared" si="148"/>
        <v/>
      </c>
      <c r="AC604" s="50" t="str">
        <f>IF(AB604="","",SUMIF($B$4:$B$1002,B604,$AB$4:$AB$1000))</f>
        <v/>
      </c>
      <c r="AD604" s="69"/>
      <c r="AE604" s="56"/>
      <c r="AF604" s="52"/>
      <c r="AG604" s="51"/>
      <c r="AH604" s="70"/>
      <c r="AI604" s="58"/>
      <c r="AJ604" s="55"/>
      <c r="AK604" s="51"/>
      <c r="AL604" s="69"/>
      <c r="AM604" s="56"/>
      <c r="AN604" s="52"/>
      <c r="AO604" s="51"/>
      <c r="AP604" s="70"/>
      <c r="AQ604" s="58"/>
      <c r="AR604" s="55"/>
      <c r="AS604" s="51"/>
      <c r="AT604" s="69"/>
      <c r="AU604" s="56"/>
      <c r="AV604" s="52"/>
      <c r="AW604" s="51"/>
      <c r="BR604" s="34" t="str">
        <f>IF(E604="","",CONCATENATE(E604," ",F604," noches"))</f>
        <v/>
      </c>
      <c r="BS604" s="28" t="str">
        <f t="shared" ca="1" si="149"/>
        <v/>
      </c>
      <c r="BT604" s="28" t="str">
        <f t="shared" ca="1" si="150"/>
        <v/>
      </c>
    </row>
    <row r="605" spans="1:72" x14ac:dyDescent="0.2">
      <c r="A605" s="18" t="str" cm="1">
        <f t="array" aca="1" ref="A605" ca="1">IF(B605="","","Grupo N˚"&amp;SUMPRODUCT(($B$4:B605&lt;&gt;"")*($B$4:B605&lt;&gt;OFFSET($B$4,-1,0,ROWS($B$4:B605),1))))</f>
        <v/>
      </c>
      <c r="B605" s="31"/>
      <c r="C605" s="31"/>
      <c r="D605" s="31"/>
      <c r="E605" s="31"/>
      <c r="F605" s="32"/>
      <c r="G605" s="33"/>
      <c r="H605" s="33"/>
      <c r="I605" s="20" t="str">
        <f t="shared" si="139"/>
        <v/>
      </c>
      <c r="J605" s="21" t="str">
        <f>IFERROR(VLOOKUP(BR605,Pricing!$D$3:$E$58,2,FALSE),"")</f>
        <v/>
      </c>
      <c r="K605" s="32"/>
      <c r="L605" s="32"/>
      <c r="M605" s="32"/>
      <c r="N605" s="36" t="str" cm="1">
        <f t="array" ref="N605">IFERROR(_xlfn.IFS((AND(K605="SI",M605="$")),J605*0.2,AND(K605="SI",M605="%"),20),"")</f>
        <v/>
      </c>
      <c r="O605" s="29" t="str">
        <f t="shared" si="140"/>
        <v/>
      </c>
      <c r="P605" s="21" t="str">
        <f t="shared" si="141"/>
        <v/>
      </c>
      <c r="Q605" s="21" t="str">
        <f t="shared" si="142"/>
        <v/>
      </c>
      <c r="R605" s="21" t="str">
        <f t="shared" si="143"/>
        <v/>
      </c>
      <c r="S605" s="39"/>
      <c r="T605" s="43" t="str">
        <f t="shared" si="151"/>
        <v/>
      </c>
      <c r="U605" s="49" t="str">
        <f t="shared" si="152"/>
        <v/>
      </c>
      <c r="V605" s="48" t="str">
        <f t="shared" si="153"/>
        <v/>
      </c>
      <c r="W605" s="48" t="str">
        <f t="shared" si="144"/>
        <v/>
      </c>
      <c r="X605" s="50" t="str">
        <f>IF(W605="","",SUMIF($B$4:$B$1002,B605,$W$4:$W$1000))</f>
        <v/>
      </c>
      <c r="Y605" s="43" t="str">
        <f t="shared" si="145"/>
        <v/>
      </c>
      <c r="Z605" s="49" t="str">
        <f t="shared" si="146"/>
        <v/>
      </c>
      <c r="AA605" s="48" t="str">
        <f t="shared" si="147"/>
        <v/>
      </c>
      <c r="AB605" s="49" t="str">
        <f t="shared" si="148"/>
        <v/>
      </c>
      <c r="AC605" s="50" t="str">
        <f>IF(AB605="","",SUMIF($B$4:$B$1002,B605,$AB$4:$AB$1000))</f>
        <v/>
      </c>
      <c r="AD605" s="69"/>
      <c r="AE605" s="56"/>
      <c r="AF605" s="52"/>
      <c r="AG605" s="51"/>
      <c r="AH605" s="70"/>
      <c r="AI605" s="58"/>
      <c r="AJ605" s="55"/>
      <c r="AK605" s="51"/>
      <c r="AL605" s="69"/>
      <c r="AM605" s="56"/>
      <c r="AN605" s="52"/>
      <c r="AO605" s="51"/>
      <c r="AP605" s="70"/>
      <c r="AQ605" s="58"/>
      <c r="AR605" s="55"/>
      <c r="AS605" s="51"/>
      <c r="AT605" s="69"/>
      <c r="AU605" s="56"/>
      <c r="AV605" s="52"/>
      <c r="AW605" s="51"/>
      <c r="BR605" s="34" t="str">
        <f>IF(E605="","",CONCATENATE(E605," ",F605," noches"))</f>
        <v/>
      </c>
      <c r="BS605" s="28" t="str">
        <f t="shared" ca="1" si="149"/>
        <v/>
      </c>
      <c r="BT605" s="28" t="str">
        <f t="shared" ca="1" si="150"/>
        <v/>
      </c>
    </row>
    <row r="606" spans="1:72" x14ac:dyDescent="0.2">
      <c r="A606" s="18" t="str" cm="1">
        <f t="array" aca="1" ref="A606" ca="1">IF(B606="","","Grupo N˚"&amp;SUMPRODUCT(($B$4:B606&lt;&gt;"")*($B$4:B606&lt;&gt;OFFSET($B$4,-1,0,ROWS($B$4:B606),1))))</f>
        <v/>
      </c>
      <c r="B606" s="31"/>
      <c r="C606" s="31"/>
      <c r="D606" s="31"/>
      <c r="E606" s="31"/>
      <c r="F606" s="32"/>
      <c r="G606" s="33"/>
      <c r="H606" s="33"/>
      <c r="I606" s="20" t="str">
        <f t="shared" si="139"/>
        <v/>
      </c>
      <c r="J606" s="21" t="str">
        <f>IFERROR(VLOOKUP(BR606,Pricing!$D$3:$E$58,2,FALSE),"")</f>
        <v/>
      </c>
      <c r="K606" s="32"/>
      <c r="L606" s="32"/>
      <c r="M606" s="32"/>
      <c r="N606" s="36" t="str" cm="1">
        <f t="array" ref="N606">IFERROR(_xlfn.IFS((AND(K606="SI",M606="$")),J606*0.2,AND(K606="SI",M606="%"),20),"")</f>
        <v/>
      </c>
      <c r="O606" s="29" t="str">
        <f t="shared" si="140"/>
        <v/>
      </c>
      <c r="P606" s="21" t="str">
        <f t="shared" si="141"/>
        <v/>
      </c>
      <c r="Q606" s="21" t="str">
        <f t="shared" si="142"/>
        <v/>
      </c>
      <c r="R606" s="21" t="str">
        <f t="shared" si="143"/>
        <v/>
      </c>
      <c r="S606" s="39"/>
      <c r="T606" s="43" t="str">
        <f t="shared" si="151"/>
        <v/>
      </c>
      <c r="U606" s="49" t="str">
        <f t="shared" si="152"/>
        <v/>
      </c>
      <c r="V606" s="48" t="str">
        <f t="shared" si="153"/>
        <v/>
      </c>
      <c r="W606" s="48" t="str">
        <f t="shared" si="144"/>
        <v/>
      </c>
      <c r="X606" s="50" t="str">
        <f>IF(W606="","",SUMIF($B$4:$B$1002,B606,$W$4:$W$1000))</f>
        <v/>
      </c>
      <c r="Y606" s="43" t="str">
        <f t="shared" si="145"/>
        <v/>
      </c>
      <c r="Z606" s="49" t="str">
        <f t="shared" si="146"/>
        <v/>
      </c>
      <c r="AA606" s="48" t="str">
        <f t="shared" si="147"/>
        <v/>
      </c>
      <c r="AB606" s="49" t="str">
        <f t="shared" si="148"/>
        <v/>
      </c>
      <c r="AC606" s="50" t="str">
        <f>IF(AB606="","",SUMIF($B$4:$B$1002,B606,$AB$4:$AB$1000))</f>
        <v/>
      </c>
      <c r="AD606" s="69"/>
      <c r="AE606" s="56"/>
      <c r="AF606" s="52"/>
      <c r="AG606" s="51"/>
      <c r="AH606" s="70"/>
      <c r="AI606" s="58"/>
      <c r="AJ606" s="55"/>
      <c r="AK606" s="51"/>
      <c r="AL606" s="69"/>
      <c r="AM606" s="56"/>
      <c r="AN606" s="52"/>
      <c r="AO606" s="51"/>
      <c r="AP606" s="70"/>
      <c r="AQ606" s="58"/>
      <c r="AR606" s="55"/>
      <c r="AS606" s="51"/>
      <c r="AT606" s="69"/>
      <c r="AU606" s="56"/>
      <c r="AV606" s="52"/>
      <c r="AW606" s="51"/>
      <c r="BR606" s="34" t="str">
        <f>IF(E606="","",CONCATENATE(E606," ",F606," noches"))</f>
        <v/>
      </c>
      <c r="BS606" s="28" t="str">
        <f t="shared" ca="1" si="149"/>
        <v/>
      </c>
      <c r="BT606" s="28" t="str">
        <f t="shared" ca="1" si="150"/>
        <v/>
      </c>
    </row>
    <row r="607" spans="1:72" x14ac:dyDescent="0.2">
      <c r="A607" s="18" t="str" cm="1">
        <f t="array" aca="1" ref="A607" ca="1">IF(B607="","","Grupo N˚"&amp;SUMPRODUCT(($B$4:B607&lt;&gt;"")*($B$4:B607&lt;&gt;OFFSET($B$4,-1,0,ROWS($B$4:B607),1))))</f>
        <v/>
      </c>
      <c r="B607" s="31"/>
      <c r="C607" s="31"/>
      <c r="D607" s="31"/>
      <c r="E607" s="31"/>
      <c r="F607" s="32"/>
      <c r="G607" s="33"/>
      <c r="H607" s="33"/>
      <c r="I607" s="20" t="str">
        <f t="shared" si="139"/>
        <v/>
      </c>
      <c r="J607" s="21" t="str">
        <f>IFERROR(VLOOKUP(BR607,Pricing!$D$3:$E$58,2,FALSE),"")</f>
        <v/>
      </c>
      <c r="K607" s="32"/>
      <c r="L607" s="32"/>
      <c r="M607" s="32"/>
      <c r="N607" s="36" t="str" cm="1">
        <f t="array" ref="N607">IFERROR(_xlfn.IFS((AND(K607="SI",M607="$")),J607*0.2,AND(K607="SI",M607="%"),20),"")</f>
        <v/>
      </c>
      <c r="O607" s="29" t="str">
        <f t="shared" si="140"/>
        <v/>
      </c>
      <c r="P607" s="21" t="str">
        <f t="shared" si="141"/>
        <v/>
      </c>
      <c r="Q607" s="21" t="str">
        <f t="shared" si="142"/>
        <v/>
      </c>
      <c r="R607" s="21" t="str">
        <f t="shared" si="143"/>
        <v/>
      </c>
      <c r="S607" s="39"/>
      <c r="T607" s="43" t="str">
        <f t="shared" si="151"/>
        <v/>
      </c>
      <c r="U607" s="49" t="str">
        <f t="shared" si="152"/>
        <v/>
      </c>
      <c r="V607" s="48" t="str">
        <f t="shared" si="153"/>
        <v/>
      </c>
      <c r="W607" s="48" t="str">
        <f t="shared" si="144"/>
        <v/>
      </c>
      <c r="X607" s="50" t="str">
        <f>IF(W607="","",SUMIF($B$4:$B$1002,B607,$W$4:$W$1000))</f>
        <v/>
      </c>
      <c r="Y607" s="43" t="str">
        <f t="shared" si="145"/>
        <v/>
      </c>
      <c r="Z607" s="49" t="str">
        <f t="shared" si="146"/>
        <v/>
      </c>
      <c r="AA607" s="48" t="str">
        <f t="shared" si="147"/>
        <v/>
      </c>
      <c r="AB607" s="49" t="str">
        <f t="shared" si="148"/>
        <v/>
      </c>
      <c r="AC607" s="50" t="str">
        <f>IF(AB607="","",SUMIF($B$4:$B$1002,B607,$AB$4:$AB$1000))</f>
        <v/>
      </c>
      <c r="AD607" s="69"/>
      <c r="AE607" s="56"/>
      <c r="AF607" s="52"/>
      <c r="AG607" s="51"/>
      <c r="AH607" s="70"/>
      <c r="AI607" s="58"/>
      <c r="AJ607" s="55"/>
      <c r="AK607" s="51"/>
      <c r="AL607" s="69"/>
      <c r="AM607" s="56"/>
      <c r="AN607" s="52"/>
      <c r="AO607" s="51"/>
      <c r="AP607" s="70"/>
      <c r="AQ607" s="58"/>
      <c r="AR607" s="55"/>
      <c r="AS607" s="51"/>
      <c r="AT607" s="69"/>
      <c r="AU607" s="56"/>
      <c r="AV607" s="52"/>
      <c r="AW607" s="51"/>
      <c r="BR607" s="34" t="str">
        <f>IF(E607="","",CONCATENATE(E607," ",F607," noches"))</f>
        <v/>
      </c>
      <c r="BS607" s="28" t="str">
        <f t="shared" ca="1" si="149"/>
        <v/>
      </c>
      <c r="BT607" s="28" t="str">
        <f t="shared" ca="1" si="150"/>
        <v/>
      </c>
    </row>
    <row r="608" spans="1:72" x14ac:dyDescent="0.2">
      <c r="A608" s="18" t="str" cm="1">
        <f t="array" aca="1" ref="A608" ca="1">IF(B608="","","Grupo N˚"&amp;SUMPRODUCT(($B$4:B608&lt;&gt;"")*($B$4:B608&lt;&gt;OFFSET($B$4,-1,0,ROWS($B$4:B608),1))))</f>
        <v/>
      </c>
      <c r="B608" s="31"/>
      <c r="C608" s="31"/>
      <c r="D608" s="31"/>
      <c r="E608" s="31"/>
      <c r="F608" s="32"/>
      <c r="G608" s="33"/>
      <c r="H608" s="33"/>
      <c r="I608" s="20" t="str">
        <f t="shared" si="139"/>
        <v/>
      </c>
      <c r="J608" s="21" t="str">
        <f>IFERROR(VLOOKUP(BR608,Pricing!$D$3:$E$58,2,FALSE),"")</f>
        <v/>
      </c>
      <c r="K608" s="32"/>
      <c r="L608" s="32"/>
      <c r="M608" s="32"/>
      <c r="N608" s="36" t="str" cm="1">
        <f t="array" ref="N608">IFERROR(_xlfn.IFS((AND(K608="SI",M608="$")),J608*0.2,AND(K608="SI",M608="%"),20),"")</f>
        <v/>
      </c>
      <c r="O608" s="29" t="str">
        <f t="shared" si="140"/>
        <v/>
      </c>
      <c r="P608" s="21" t="str">
        <f t="shared" si="141"/>
        <v/>
      </c>
      <c r="Q608" s="21" t="str">
        <f t="shared" si="142"/>
        <v/>
      </c>
      <c r="R608" s="21" t="str">
        <f t="shared" si="143"/>
        <v/>
      </c>
      <c r="S608" s="39"/>
      <c r="T608" s="43" t="str">
        <f t="shared" si="151"/>
        <v/>
      </c>
      <c r="U608" s="49" t="str">
        <f t="shared" si="152"/>
        <v/>
      </c>
      <c r="V608" s="48" t="str">
        <f t="shared" si="153"/>
        <v/>
      </c>
      <c r="W608" s="48" t="str">
        <f t="shared" si="144"/>
        <v/>
      </c>
      <c r="X608" s="50" t="str">
        <f>IF(W608="","",SUMIF($B$4:$B$1002,B608,$W$4:$W$1000))</f>
        <v/>
      </c>
      <c r="Y608" s="43" t="str">
        <f t="shared" si="145"/>
        <v/>
      </c>
      <c r="Z608" s="49" t="str">
        <f t="shared" si="146"/>
        <v/>
      </c>
      <c r="AA608" s="48" t="str">
        <f t="shared" si="147"/>
        <v/>
      </c>
      <c r="AB608" s="49" t="str">
        <f t="shared" si="148"/>
        <v/>
      </c>
      <c r="AC608" s="50" t="str">
        <f>IF(AB608="","",SUMIF($B$4:$B$1002,B608,$AB$4:$AB$1000))</f>
        <v/>
      </c>
      <c r="AD608" s="69"/>
      <c r="AE608" s="56"/>
      <c r="AF608" s="52"/>
      <c r="AG608" s="51"/>
      <c r="AH608" s="70"/>
      <c r="AI608" s="58"/>
      <c r="AJ608" s="55"/>
      <c r="AK608" s="51"/>
      <c r="AL608" s="69"/>
      <c r="AM608" s="56"/>
      <c r="AN608" s="52"/>
      <c r="AO608" s="51"/>
      <c r="AP608" s="70"/>
      <c r="AQ608" s="58"/>
      <c r="AR608" s="55"/>
      <c r="AS608" s="51"/>
      <c r="AT608" s="69"/>
      <c r="AU608" s="56"/>
      <c r="AV608" s="52"/>
      <c r="AW608" s="51"/>
      <c r="BR608" s="34" t="str">
        <f>IF(E608="","",CONCATENATE(E608," ",F608," noches"))</f>
        <v/>
      </c>
      <c r="BS608" s="28" t="str">
        <f t="shared" ca="1" si="149"/>
        <v/>
      </c>
      <c r="BT608" s="28" t="str">
        <f t="shared" ca="1" si="150"/>
        <v/>
      </c>
    </row>
    <row r="609" spans="1:72" x14ac:dyDescent="0.2">
      <c r="A609" s="18" t="str" cm="1">
        <f t="array" aca="1" ref="A609" ca="1">IF(B609="","","Grupo N˚"&amp;SUMPRODUCT(($B$4:B609&lt;&gt;"")*($B$4:B609&lt;&gt;OFFSET($B$4,-1,0,ROWS($B$4:B609),1))))</f>
        <v/>
      </c>
      <c r="B609" s="31"/>
      <c r="C609" s="31"/>
      <c r="D609" s="31"/>
      <c r="E609" s="31"/>
      <c r="F609" s="32"/>
      <c r="G609" s="33"/>
      <c r="H609" s="33"/>
      <c r="I609" s="20" t="str">
        <f t="shared" si="139"/>
        <v/>
      </c>
      <c r="J609" s="21" t="str">
        <f>IFERROR(VLOOKUP(BR609,Pricing!$D$3:$E$58,2,FALSE),"")</f>
        <v/>
      </c>
      <c r="K609" s="32"/>
      <c r="L609" s="32"/>
      <c r="M609" s="32"/>
      <c r="N609" s="36" t="str" cm="1">
        <f t="array" ref="N609">IFERROR(_xlfn.IFS((AND(K609="SI",M609="$")),J609*0.2,AND(K609="SI",M609="%"),20),"")</f>
        <v/>
      </c>
      <c r="O609" s="29" t="str">
        <f t="shared" si="140"/>
        <v/>
      </c>
      <c r="P609" s="21" t="str">
        <f t="shared" si="141"/>
        <v/>
      </c>
      <c r="Q609" s="21" t="str">
        <f t="shared" si="142"/>
        <v/>
      </c>
      <c r="R609" s="21" t="str">
        <f t="shared" si="143"/>
        <v/>
      </c>
      <c r="S609" s="39"/>
      <c r="T609" s="43" t="str">
        <f t="shared" si="151"/>
        <v/>
      </c>
      <c r="U609" s="49" t="str">
        <f t="shared" si="152"/>
        <v/>
      </c>
      <c r="V609" s="48" t="str">
        <f t="shared" si="153"/>
        <v/>
      </c>
      <c r="W609" s="48" t="str">
        <f t="shared" si="144"/>
        <v/>
      </c>
      <c r="X609" s="50" t="str">
        <f>IF(W609="","",SUMIF($B$4:$B$1002,B609,$W$4:$W$1000))</f>
        <v/>
      </c>
      <c r="Y609" s="43" t="str">
        <f t="shared" si="145"/>
        <v/>
      </c>
      <c r="Z609" s="49" t="str">
        <f t="shared" si="146"/>
        <v/>
      </c>
      <c r="AA609" s="48" t="str">
        <f t="shared" si="147"/>
        <v/>
      </c>
      <c r="AB609" s="49" t="str">
        <f t="shared" si="148"/>
        <v/>
      </c>
      <c r="AC609" s="50" t="str">
        <f>IF(AB609="","",SUMIF($B$4:$B$1002,B609,$AB$4:$AB$1000))</f>
        <v/>
      </c>
      <c r="AD609" s="69"/>
      <c r="AE609" s="56"/>
      <c r="AF609" s="52"/>
      <c r="AG609" s="51"/>
      <c r="AH609" s="70"/>
      <c r="AI609" s="58"/>
      <c r="AJ609" s="55"/>
      <c r="AK609" s="51"/>
      <c r="AL609" s="69"/>
      <c r="AM609" s="56"/>
      <c r="AN609" s="52"/>
      <c r="AO609" s="51"/>
      <c r="AP609" s="70"/>
      <c r="AQ609" s="58"/>
      <c r="AR609" s="55"/>
      <c r="AS609" s="51"/>
      <c r="AT609" s="69"/>
      <c r="AU609" s="56"/>
      <c r="AV609" s="52"/>
      <c r="AW609" s="51"/>
      <c r="BR609" s="34" t="str">
        <f>IF(E609="","",CONCATENATE(E609," ",F609," noches"))</f>
        <v/>
      </c>
      <c r="BS609" s="28" t="str">
        <f t="shared" ca="1" si="149"/>
        <v/>
      </c>
      <c r="BT609" s="28" t="str">
        <f t="shared" ca="1" si="150"/>
        <v/>
      </c>
    </row>
    <row r="610" spans="1:72" x14ac:dyDescent="0.2">
      <c r="A610" s="18" t="str" cm="1">
        <f t="array" aca="1" ref="A610" ca="1">IF(B610="","","Grupo N˚"&amp;SUMPRODUCT(($B$4:B610&lt;&gt;"")*($B$4:B610&lt;&gt;OFFSET($B$4,-1,0,ROWS($B$4:B610),1))))</f>
        <v/>
      </c>
      <c r="B610" s="31"/>
      <c r="C610" s="31"/>
      <c r="D610" s="31"/>
      <c r="E610" s="31"/>
      <c r="F610" s="32"/>
      <c r="G610" s="33"/>
      <c r="H610" s="33"/>
      <c r="I610" s="20" t="str">
        <f t="shared" si="139"/>
        <v/>
      </c>
      <c r="J610" s="21" t="str">
        <f>IFERROR(VLOOKUP(BR610,Pricing!$D$3:$E$58,2,FALSE),"")</f>
        <v/>
      </c>
      <c r="K610" s="32"/>
      <c r="L610" s="32"/>
      <c r="M610" s="32"/>
      <c r="N610" s="36" t="str" cm="1">
        <f t="array" ref="N610">IFERROR(_xlfn.IFS((AND(K610="SI",M610="$")),J610*0.2,AND(K610="SI",M610="%"),20),"")</f>
        <v/>
      </c>
      <c r="O610" s="29" t="str">
        <f t="shared" si="140"/>
        <v/>
      </c>
      <c r="P610" s="21" t="str">
        <f t="shared" si="141"/>
        <v/>
      </c>
      <c r="Q610" s="21" t="str">
        <f t="shared" si="142"/>
        <v/>
      </c>
      <c r="R610" s="21" t="str">
        <f t="shared" si="143"/>
        <v/>
      </c>
      <c r="S610" s="39"/>
      <c r="T610" s="43" t="str">
        <f t="shared" si="151"/>
        <v/>
      </c>
      <c r="U610" s="49" t="str">
        <f t="shared" si="152"/>
        <v/>
      </c>
      <c r="V610" s="48" t="str">
        <f t="shared" si="153"/>
        <v/>
      </c>
      <c r="W610" s="48" t="str">
        <f t="shared" si="144"/>
        <v/>
      </c>
      <c r="X610" s="50" t="str">
        <f>IF(W610="","",SUMIF($B$4:$B$1002,B610,$W$4:$W$1000))</f>
        <v/>
      </c>
      <c r="Y610" s="43" t="str">
        <f t="shared" si="145"/>
        <v/>
      </c>
      <c r="Z610" s="49" t="str">
        <f t="shared" si="146"/>
        <v/>
      </c>
      <c r="AA610" s="48" t="str">
        <f t="shared" si="147"/>
        <v/>
      </c>
      <c r="AB610" s="49" t="str">
        <f t="shared" si="148"/>
        <v/>
      </c>
      <c r="AC610" s="50" t="str">
        <f>IF(AB610="","",SUMIF($B$4:$B$1002,B610,$AB$4:$AB$1000))</f>
        <v/>
      </c>
      <c r="AD610" s="69"/>
      <c r="AE610" s="56"/>
      <c r="AF610" s="52"/>
      <c r="AG610" s="51"/>
      <c r="AH610" s="70"/>
      <c r="AI610" s="58"/>
      <c r="AJ610" s="55"/>
      <c r="AK610" s="51"/>
      <c r="AL610" s="69"/>
      <c r="AM610" s="56"/>
      <c r="AN610" s="52"/>
      <c r="AO610" s="51"/>
      <c r="AP610" s="70"/>
      <c r="AQ610" s="58"/>
      <c r="AR610" s="55"/>
      <c r="AS610" s="51"/>
      <c r="AT610" s="69"/>
      <c r="AU610" s="56"/>
      <c r="AV610" s="52"/>
      <c r="AW610" s="51"/>
      <c r="BR610" s="34" t="str">
        <f>IF(E610="","",CONCATENATE(E610," ",F610," noches"))</f>
        <v/>
      </c>
      <c r="BS610" s="28" t="str">
        <f t="shared" ca="1" si="149"/>
        <v/>
      </c>
      <c r="BT610" s="28" t="str">
        <f t="shared" ca="1" si="150"/>
        <v/>
      </c>
    </row>
    <row r="611" spans="1:72" x14ac:dyDescent="0.2">
      <c r="A611" s="18" t="str" cm="1">
        <f t="array" aca="1" ref="A611" ca="1">IF(B611="","","Grupo N˚"&amp;SUMPRODUCT(($B$4:B611&lt;&gt;"")*($B$4:B611&lt;&gt;OFFSET($B$4,-1,0,ROWS($B$4:B611),1))))</f>
        <v/>
      </c>
      <c r="B611" s="31"/>
      <c r="C611" s="31"/>
      <c r="D611" s="31"/>
      <c r="E611" s="31"/>
      <c r="F611" s="32"/>
      <c r="G611" s="33"/>
      <c r="H611" s="33"/>
      <c r="I611" s="20" t="str">
        <f t="shared" si="139"/>
        <v/>
      </c>
      <c r="J611" s="21" t="str">
        <f>IFERROR(VLOOKUP(BR611,Pricing!$D$3:$E$58,2,FALSE),"")</f>
        <v/>
      </c>
      <c r="K611" s="32"/>
      <c r="L611" s="32"/>
      <c r="M611" s="32"/>
      <c r="N611" s="36" t="str" cm="1">
        <f t="array" ref="N611">IFERROR(_xlfn.IFS((AND(K611="SI",M611="$")),J611*0.2,AND(K611="SI",M611="%"),20),"")</f>
        <v/>
      </c>
      <c r="O611" s="29" t="str">
        <f t="shared" si="140"/>
        <v/>
      </c>
      <c r="P611" s="21" t="str">
        <f t="shared" si="141"/>
        <v/>
      </c>
      <c r="Q611" s="21" t="str">
        <f t="shared" si="142"/>
        <v/>
      </c>
      <c r="R611" s="21" t="str">
        <f t="shared" si="143"/>
        <v/>
      </c>
      <c r="S611" s="39"/>
      <c r="T611" s="43" t="str">
        <f t="shared" si="151"/>
        <v/>
      </c>
      <c r="U611" s="49" t="str">
        <f t="shared" si="152"/>
        <v/>
      </c>
      <c r="V611" s="48" t="str">
        <f t="shared" si="153"/>
        <v/>
      </c>
      <c r="W611" s="48" t="str">
        <f t="shared" si="144"/>
        <v/>
      </c>
      <c r="X611" s="50" t="str">
        <f>IF(W611="","",SUMIF($B$4:$B$1002,B611,$W$4:$W$1000))</f>
        <v/>
      </c>
      <c r="Y611" s="43" t="str">
        <f t="shared" si="145"/>
        <v/>
      </c>
      <c r="Z611" s="49" t="str">
        <f t="shared" si="146"/>
        <v/>
      </c>
      <c r="AA611" s="48" t="str">
        <f t="shared" si="147"/>
        <v/>
      </c>
      <c r="AB611" s="49" t="str">
        <f t="shared" si="148"/>
        <v/>
      </c>
      <c r="AC611" s="50" t="str">
        <f>IF(AB611="","",SUMIF($B$4:$B$1002,B611,$AB$4:$AB$1000))</f>
        <v/>
      </c>
      <c r="AD611" s="69"/>
      <c r="AE611" s="56"/>
      <c r="AF611" s="52"/>
      <c r="AG611" s="51"/>
      <c r="AH611" s="70"/>
      <c r="AI611" s="58"/>
      <c r="AJ611" s="55"/>
      <c r="AK611" s="51"/>
      <c r="AL611" s="69"/>
      <c r="AM611" s="56"/>
      <c r="AN611" s="52"/>
      <c r="AO611" s="51"/>
      <c r="AP611" s="70"/>
      <c r="AQ611" s="58"/>
      <c r="AR611" s="55"/>
      <c r="AS611" s="51"/>
      <c r="AT611" s="69"/>
      <c r="AU611" s="56"/>
      <c r="AV611" s="52"/>
      <c r="AW611" s="51"/>
      <c r="BR611" s="34" t="str">
        <f>IF(E611="","",CONCATENATE(E611," ",F611," noches"))</f>
        <v/>
      </c>
      <c r="BS611" s="28" t="str">
        <f t="shared" ca="1" si="149"/>
        <v/>
      </c>
      <c r="BT611" s="28" t="str">
        <f t="shared" ca="1" si="150"/>
        <v/>
      </c>
    </row>
    <row r="612" spans="1:72" x14ac:dyDescent="0.2">
      <c r="A612" s="18" t="str" cm="1">
        <f t="array" aca="1" ref="A612" ca="1">IF(B612="","","Grupo N˚"&amp;SUMPRODUCT(($B$4:B612&lt;&gt;"")*($B$4:B612&lt;&gt;OFFSET($B$4,-1,0,ROWS($B$4:B612),1))))</f>
        <v/>
      </c>
      <c r="B612" s="31"/>
      <c r="C612" s="31"/>
      <c r="D612" s="31"/>
      <c r="E612" s="31"/>
      <c r="F612" s="32"/>
      <c r="G612" s="33"/>
      <c r="H612" s="33"/>
      <c r="I612" s="20" t="str">
        <f t="shared" si="139"/>
        <v/>
      </c>
      <c r="J612" s="21" t="str">
        <f>IFERROR(VLOOKUP(BR612,Pricing!$D$3:$E$58,2,FALSE),"")</f>
        <v/>
      </c>
      <c r="K612" s="32"/>
      <c r="L612" s="32"/>
      <c r="M612" s="32"/>
      <c r="N612" s="36" t="str" cm="1">
        <f t="array" ref="N612">IFERROR(_xlfn.IFS((AND(K612="SI",M612="$")),J612*0.2,AND(K612="SI",M612="%"),20),"")</f>
        <v/>
      </c>
      <c r="O612" s="29" t="str">
        <f t="shared" si="140"/>
        <v/>
      </c>
      <c r="P612" s="21" t="str">
        <f t="shared" si="141"/>
        <v/>
      </c>
      <c r="Q612" s="21" t="str">
        <f t="shared" si="142"/>
        <v/>
      </c>
      <c r="R612" s="21" t="str">
        <f t="shared" si="143"/>
        <v/>
      </c>
      <c r="S612" s="39"/>
      <c r="T612" s="43" t="str">
        <f t="shared" si="151"/>
        <v/>
      </c>
      <c r="U612" s="49" t="str">
        <f t="shared" si="152"/>
        <v/>
      </c>
      <c r="V612" s="48" t="str">
        <f t="shared" si="153"/>
        <v/>
      </c>
      <c r="W612" s="48" t="str">
        <f t="shared" si="144"/>
        <v/>
      </c>
      <c r="X612" s="50" t="str">
        <f>IF(W612="","",SUMIF($B$4:$B$1002,B612,$W$4:$W$1000))</f>
        <v/>
      </c>
      <c r="Y612" s="43" t="str">
        <f t="shared" si="145"/>
        <v/>
      </c>
      <c r="Z612" s="49" t="str">
        <f t="shared" si="146"/>
        <v/>
      </c>
      <c r="AA612" s="48" t="str">
        <f t="shared" si="147"/>
        <v/>
      </c>
      <c r="AB612" s="49" t="str">
        <f t="shared" si="148"/>
        <v/>
      </c>
      <c r="AC612" s="50" t="str">
        <f>IF(AB612="","",SUMIF($B$4:$B$1002,B612,$AB$4:$AB$1000))</f>
        <v/>
      </c>
      <c r="AD612" s="69"/>
      <c r="AE612" s="56"/>
      <c r="AF612" s="52"/>
      <c r="AG612" s="51"/>
      <c r="AH612" s="70"/>
      <c r="AI612" s="58"/>
      <c r="AJ612" s="55"/>
      <c r="AK612" s="51"/>
      <c r="AL612" s="69"/>
      <c r="AM612" s="56"/>
      <c r="AN612" s="52"/>
      <c r="AO612" s="51"/>
      <c r="AP612" s="70"/>
      <c r="AQ612" s="58"/>
      <c r="AR612" s="55"/>
      <c r="AS612" s="51"/>
      <c r="AT612" s="69"/>
      <c r="AU612" s="56"/>
      <c r="AV612" s="52"/>
      <c r="AW612" s="51"/>
      <c r="BR612" s="34" t="str">
        <f>IF(E612="","",CONCATENATE(E612," ",F612," noches"))</f>
        <v/>
      </c>
      <c r="BS612" s="28" t="str">
        <f t="shared" ca="1" si="149"/>
        <v/>
      </c>
      <c r="BT612" s="28" t="str">
        <f t="shared" ca="1" si="150"/>
        <v/>
      </c>
    </row>
    <row r="613" spans="1:72" x14ac:dyDescent="0.2">
      <c r="A613" s="18" t="str" cm="1">
        <f t="array" aca="1" ref="A613" ca="1">IF(B613="","","Grupo N˚"&amp;SUMPRODUCT(($B$4:B613&lt;&gt;"")*($B$4:B613&lt;&gt;OFFSET($B$4,-1,0,ROWS($B$4:B613),1))))</f>
        <v/>
      </c>
      <c r="B613" s="31"/>
      <c r="C613" s="31"/>
      <c r="D613" s="31"/>
      <c r="E613" s="31"/>
      <c r="F613" s="32"/>
      <c r="G613" s="33"/>
      <c r="H613" s="33"/>
      <c r="I613" s="20" t="str">
        <f t="shared" si="139"/>
        <v/>
      </c>
      <c r="J613" s="21" t="str">
        <f>IFERROR(VLOOKUP(BR613,Pricing!$D$3:$E$58,2,FALSE),"")</f>
        <v/>
      </c>
      <c r="K613" s="32"/>
      <c r="L613" s="32"/>
      <c r="M613" s="32"/>
      <c r="N613" s="36" t="str" cm="1">
        <f t="array" ref="N613">IFERROR(_xlfn.IFS((AND(K613="SI",M613="$")),J613*0.2,AND(K613="SI",M613="%"),20),"")</f>
        <v/>
      </c>
      <c r="O613" s="29" t="str">
        <f t="shared" si="140"/>
        <v/>
      </c>
      <c r="P613" s="21" t="str">
        <f t="shared" si="141"/>
        <v/>
      </c>
      <c r="Q613" s="21" t="str">
        <f t="shared" si="142"/>
        <v/>
      </c>
      <c r="R613" s="21" t="str">
        <f t="shared" si="143"/>
        <v/>
      </c>
      <c r="S613" s="39"/>
      <c r="T613" s="43" t="str">
        <f t="shared" si="151"/>
        <v/>
      </c>
      <c r="U613" s="49" t="str">
        <f t="shared" si="152"/>
        <v/>
      </c>
      <c r="V613" s="48" t="str">
        <f t="shared" si="153"/>
        <v/>
      </c>
      <c r="W613" s="48" t="str">
        <f t="shared" si="144"/>
        <v/>
      </c>
      <c r="X613" s="50" t="str">
        <f>IF(W613="","",SUMIF($B$4:$B$1002,B613,$W$4:$W$1000))</f>
        <v/>
      </c>
      <c r="Y613" s="43" t="str">
        <f t="shared" si="145"/>
        <v/>
      </c>
      <c r="Z613" s="49" t="str">
        <f t="shared" si="146"/>
        <v/>
      </c>
      <c r="AA613" s="48" t="str">
        <f t="shared" si="147"/>
        <v/>
      </c>
      <c r="AB613" s="49" t="str">
        <f t="shared" si="148"/>
        <v/>
      </c>
      <c r="AC613" s="50" t="str">
        <f>IF(AB613="","",SUMIF($B$4:$B$1002,B613,$AB$4:$AB$1000))</f>
        <v/>
      </c>
      <c r="AD613" s="69"/>
      <c r="AE613" s="56"/>
      <c r="AF613" s="52"/>
      <c r="AG613" s="51"/>
      <c r="AH613" s="70"/>
      <c r="AI613" s="58"/>
      <c r="AJ613" s="55"/>
      <c r="AK613" s="51"/>
      <c r="AL613" s="69"/>
      <c r="AM613" s="56"/>
      <c r="AN613" s="52"/>
      <c r="AO613" s="51"/>
      <c r="AP613" s="70"/>
      <c r="AQ613" s="58"/>
      <c r="AR613" s="55"/>
      <c r="AS613" s="51"/>
      <c r="AT613" s="69"/>
      <c r="AU613" s="56"/>
      <c r="AV613" s="52"/>
      <c r="AW613" s="51"/>
      <c r="BR613" s="34" t="str">
        <f>IF(E613="","",CONCATENATE(E613," ",F613," noches"))</f>
        <v/>
      </c>
      <c r="BS613" s="28" t="str">
        <f t="shared" ca="1" si="149"/>
        <v/>
      </c>
      <c r="BT613" s="28" t="str">
        <f t="shared" ca="1" si="150"/>
        <v/>
      </c>
    </row>
    <row r="614" spans="1:72" x14ac:dyDescent="0.2">
      <c r="A614" s="18" t="str" cm="1">
        <f t="array" aca="1" ref="A614" ca="1">IF(B614="","","Grupo N˚"&amp;SUMPRODUCT(($B$4:B614&lt;&gt;"")*($B$4:B614&lt;&gt;OFFSET($B$4,-1,0,ROWS($B$4:B614),1))))</f>
        <v/>
      </c>
      <c r="B614" s="31"/>
      <c r="C614" s="31"/>
      <c r="D614" s="31"/>
      <c r="E614" s="31"/>
      <c r="F614" s="32"/>
      <c r="G614" s="33"/>
      <c r="H614" s="33"/>
      <c r="I614" s="20" t="str">
        <f t="shared" si="139"/>
        <v/>
      </c>
      <c r="J614" s="21" t="str">
        <f>IFERROR(VLOOKUP(BR614,Pricing!$D$3:$E$58,2,FALSE),"")</f>
        <v/>
      </c>
      <c r="K614" s="32"/>
      <c r="L614" s="32"/>
      <c r="M614" s="32"/>
      <c r="N614" s="36" t="str" cm="1">
        <f t="array" ref="N614">IFERROR(_xlfn.IFS((AND(K614="SI",M614="$")),J614*0.2,AND(K614="SI",M614="%"),20),"")</f>
        <v/>
      </c>
      <c r="O614" s="29" t="str">
        <f t="shared" si="140"/>
        <v/>
      </c>
      <c r="P614" s="21" t="str">
        <f t="shared" si="141"/>
        <v/>
      </c>
      <c r="Q614" s="21" t="str">
        <f t="shared" si="142"/>
        <v/>
      </c>
      <c r="R614" s="21" t="str">
        <f t="shared" si="143"/>
        <v/>
      </c>
      <c r="S614" s="39"/>
      <c r="T614" s="43" t="str">
        <f t="shared" si="151"/>
        <v/>
      </c>
      <c r="U614" s="49" t="str">
        <f t="shared" si="152"/>
        <v/>
      </c>
      <c r="V614" s="48" t="str">
        <f t="shared" si="153"/>
        <v/>
      </c>
      <c r="W614" s="48" t="str">
        <f t="shared" si="144"/>
        <v/>
      </c>
      <c r="X614" s="50" t="str">
        <f>IF(W614="","",SUMIF($B$4:$B$1002,B614,$W$4:$W$1000))</f>
        <v/>
      </c>
      <c r="Y614" s="43" t="str">
        <f t="shared" si="145"/>
        <v/>
      </c>
      <c r="Z614" s="49" t="str">
        <f t="shared" si="146"/>
        <v/>
      </c>
      <c r="AA614" s="48" t="str">
        <f t="shared" si="147"/>
        <v/>
      </c>
      <c r="AB614" s="49" t="str">
        <f t="shared" si="148"/>
        <v/>
      </c>
      <c r="AC614" s="50" t="str">
        <f>IF(AB614="","",SUMIF($B$4:$B$1002,B614,$AB$4:$AB$1000))</f>
        <v/>
      </c>
      <c r="AD614" s="69"/>
      <c r="AE614" s="56"/>
      <c r="AF614" s="52"/>
      <c r="AG614" s="51"/>
      <c r="AH614" s="70"/>
      <c r="AI614" s="58"/>
      <c r="AJ614" s="55"/>
      <c r="AK614" s="51"/>
      <c r="AL614" s="69"/>
      <c r="AM614" s="56"/>
      <c r="AN614" s="52"/>
      <c r="AO614" s="51"/>
      <c r="AP614" s="70"/>
      <c r="AQ614" s="58"/>
      <c r="AR614" s="55"/>
      <c r="AS614" s="51"/>
      <c r="AT614" s="69"/>
      <c r="AU614" s="56"/>
      <c r="AV614" s="52"/>
      <c r="AW614" s="51"/>
      <c r="BR614" s="34" t="str">
        <f>IF(E614="","",CONCATENATE(E614," ",F614," noches"))</f>
        <v/>
      </c>
      <c r="BS614" s="28" t="str">
        <f t="shared" ca="1" si="149"/>
        <v/>
      </c>
      <c r="BT614" s="28" t="str">
        <f t="shared" ca="1" si="150"/>
        <v/>
      </c>
    </row>
    <row r="615" spans="1:72" x14ac:dyDescent="0.2">
      <c r="A615" s="18" t="str" cm="1">
        <f t="array" aca="1" ref="A615" ca="1">IF(B615="","","Grupo N˚"&amp;SUMPRODUCT(($B$4:B615&lt;&gt;"")*($B$4:B615&lt;&gt;OFFSET($B$4,-1,0,ROWS($B$4:B615),1))))</f>
        <v/>
      </c>
      <c r="B615" s="31"/>
      <c r="C615" s="31"/>
      <c r="D615" s="31"/>
      <c r="E615" s="31"/>
      <c r="F615" s="32"/>
      <c r="G615" s="33"/>
      <c r="H615" s="33"/>
      <c r="I615" s="20" t="str">
        <f t="shared" si="139"/>
        <v/>
      </c>
      <c r="J615" s="21" t="str">
        <f>IFERROR(VLOOKUP(BR615,Pricing!$D$3:$E$58,2,FALSE),"")</f>
        <v/>
      </c>
      <c r="K615" s="32"/>
      <c r="L615" s="32"/>
      <c r="M615" s="32"/>
      <c r="N615" s="36" t="str" cm="1">
        <f t="array" ref="N615">IFERROR(_xlfn.IFS((AND(K615="SI",M615="$")),J615*0.2,AND(K615="SI",M615="%"),20),"")</f>
        <v/>
      </c>
      <c r="O615" s="29" t="str">
        <f t="shared" si="140"/>
        <v/>
      </c>
      <c r="P615" s="21" t="str">
        <f t="shared" si="141"/>
        <v/>
      </c>
      <c r="Q615" s="21" t="str">
        <f t="shared" si="142"/>
        <v/>
      </c>
      <c r="R615" s="21" t="str">
        <f t="shared" si="143"/>
        <v/>
      </c>
      <c r="S615" s="39"/>
      <c r="T615" s="43" t="str">
        <f t="shared" si="151"/>
        <v/>
      </c>
      <c r="U615" s="49" t="str">
        <f t="shared" si="152"/>
        <v/>
      </c>
      <c r="V615" s="48" t="str">
        <f t="shared" si="153"/>
        <v/>
      </c>
      <c r="W615" s="48" t="str">
        <f t="shared" si="144"/>
        <v/>
      </c>
      <c r="X615" s="50" t="str">
        <f>IF(W615="","",SUMIF($B$4:$B$1002,B615,$W$4:$W$1000))</f>
        <v/>
      </c>
      <c r="Y615" s="43" t="str">
        <f t="shared" si="145"/>
        <v/>
      </c>
      <c r="Z615" s="49" t="str">
        <f t="shared" si="146"/>
        <v/>
      </c>
      <c r="AA615" s="48" t="str">
        <f t="shared" si="147"/>
        <v/>
      </c>
      <c r="AB615" s="49" t="str">
        <f t="shared" si="148"/>
        <v/>
      </c>
      <c r="AC615" s="50" t="str">
        <f>IF(AB615="","",SUMIF($B$4:$B$1002,B615,$AB$4:$AB$1000))</f>
        <v/>
      </c>
      <c r="AD615" s="69"/>
      <c r="AE615" s="56"/>
      <c r="AF615" s="52"/>
      <c r="AG615" s="51"/>
      <c r="AH615" s="70"/>
      <c r="AI615" s="58"/>
      <c r="AJ615" s="55"/>
      <c r="AK615" s="51"/>
      <c r="AL615" s="69"/>
      <c r="AM615" s="56"/>
      <c r="AN615" s="52"/>
      <c r="AO615" s="51"/>
      <c r="AP615" s="70"/>
      <c r="AQ615" s="58"/>
      <c r="AR615" s="55"/>
      <c r="AS615" s="51"/>
      <c r="AT615" s="69"/>
      <c r="AU615" s="56"/>
      <c r="AV615" s="52"/>
      <c r="AW615" s="51"/>
      <c r="BR615" s="34" t="str">
        <f>IF(E615="","",CONCATENATE(E615," ",F615," noches"))</f>
        <v/>
      </c>
      <c r="BS615" s="28" t="str">
        <f t="shared" ca="1" si="149"/>
        <v/>
      </c>
      <c r="BT615" s="28" t="str">
        <f t="shared" ca="1" si="150"/>
        <v/>
      </c>
    </row>
    <row r="616" spans="1:72" x14ac:dyDescent="0.2">
      <c r="A616" s="18" t="str" cm="1">
        <f t="array" aca="1" ref="A616" ca="1">IF(B616="","","Grupo N˚"&amp;SUMPRODUCT(($B$4:B616&lt;&gt;"")*($B$4:B616&lt;&gt;OFFSET($B$4,-1,0,ROWS($B$4:B616),1))))</f>
        <v/>
      </c>
      <c r="B616" s="31"/>
      <c r="C616" s="31"/>
      <c r="D616" s="31"/>
      <c r="E616" s="31"/>
      <c r="F616" s="32"/>
      <c r="G616" s="33"/>
      <c r="H616" s="33"/>
      <c r="I616" s="20" t="str">
        <f t="shared" si="139"/>
        <v/>
      </c>
      <c r="J616" s="21" t="str">
        <f>IFERROR(VLOOKUP(BR616,Pricing!$D$3:$E$58,2,FALSE),"")</f>
        <v/>
      </c>
      <c r="K616" s="32"/>
      <c r="L616" s="32"/>
      <c r="M616" s="32"/>
      <c r="N616" s="36" t="str" cm="1">
        <f t="array" ref="N616">IFERROR(_xlfn.IFS((AND(K616="SI",M616="$")),J616*0.2,AND(K616="SI",M616="%"),20),"")</f>
        <v/>
      </c>
      <c r="O616" s="29" t="str">
        <f t="shared" si="140"/>
        <v/>
      </c>
      <c r="P616" s="21" t="str">
        <f t="shared" si="141"/>
        <v/>
      </c>
      <c r="Q616" s="21" t="str">
        <f t="shared" si="142"/>
        <v/>
      </c>
      <c r="R616" s="21" t="str">
        <f t="shared" si="143"/>
        <v/>
      </c>
      <c r="S616" s="39"/>
      <c r="T616" s="43" t="str">
        <f t="shared" si="151"/>
        <v/>
      </c>
      <c r="U616" s="49" t="str">
        <f t="shared" si="152"/>
        <v/>
      </c>
      <c r="V616" s="48" t="str">
        <f t="shared" si="153"/>
        <v/>
      </c>
      <c r="W616" s="48" t="str">
        <f t="shared" si="144"/>
        <v/>
      </c>
      <c r="X616" s="50" t="str">
        <f>IF(W616="","",SUMIF($B$4:$B$1002,B616,$W$4:$W$1000))</f>
        <v/>
      </c>
      <c r="Y616" s="43" t="str">
        <f t="shared" si="145"/>
        <v/>
      </c>
      <c r="Z616" s="49" t="str">
        <f t="shared" si="146"/>
        <v/>
      </c>
      <c r="AA616" s="48" t="str">
        <f t="shared" si="147"/>
        <v/>
      </c>
      <c r="AB616" s="49" t="str">
        <f t="shared" si="148"/>
        <v/>
      </c>
      <c r="AC616" s="50" t="str">
        <f>IF(AB616="","",SUMIF($B$4:$B$1002,B616,$AB$4:$AB$1000))</f>
        <v/>
      </c>
      <c r="AD616" s="69"/>
      <c r="AE616" s="56"/>
      <c r="AF616" s="52"/>
      <c r="AG616" s="51"/>
      <c r="AH616" s="70"/>
      <c r="AI616" s="58"/>
      <c r="AJ616" s="55"/>
      <c r="AK616" s="51"/>
      <c r="AL616" s="69"/>
      <c r="AM616" s="56"/>
      <c r="AN616" s="52"/>
      <c r="AO616" s="51"/>
      <c r="AP616" s="70"/>
      <c r="AQ616" s="58"/>
      <c r="AR616" s="55"/>
      <c r="AS616" s="51"/>
      <c r="AT616" s="69"/>
      <c r="AU616" s="56"/>
      <c r="AV616" s="52"/>
      <c r="AW616" s="51"/>
      <c r="BR616" s="34" t="str">
        <f>IF(E616="","",CONCATENATE(E616," ",F616," noches"))</f>
        <v/>
      </c>
      <c r="BS616" s="28" t="str">
        <f t="shared" ca="1" si="149"/>
        <v/>
      </c>
      <c r="BT616" s="28" t="str">
        <f t="shared" ca="1" si="150"/>
        <v/>
      </c>
    </row>
    <row r="617" spans="1:72" x14ac:dyDescent="0.2">
      <c r="A617" s="18" t="str" cm="1">
        <f t="array" aca="1" ref="A617" ca="1">IF(B617="","","Grupo N˚"&amp;SUMPRODUCT(($B$4:B617&lt;&gt;"")*($B$4:B617&lt;&gt;OFFSET($B$4,-1,0,ROWS($B$4:B617),1))))</f>
        <v/>
      </c>
      <c r="B617" s="31"/>
      <c r="C617" s="31"/>
      <c r="D617" s="31"/>
      <c r="E617" s="31"/>
      <c r="F617" s="32"/>
      <c r="G617" s="33"/>
      <c r="H617" s="33"/>
      <c r="I617" s="20" t="str">
        <f t="shared" si="139"/>
        <v/>
      </c>
      <c r="J617" s="21" t="str">
        <f>IFERROR(VLOOKUP(BR617,Pricing!$D$3:$E$58,2,FALSE),"")</f>
        <v/>
      </c>
      <c r="K617" s="32"/>
      <c r="L617" s="32"/>
      <c r="M617" s="32"/>
      <c r="N617" s="36" t="str" cm="1">
        <f t="array" ref="N617">IFERROR(_xlfn.IFS((AND(K617="SI",M617="$")),J617*0.2,AND(K617="SI",M617="%"),20),"")</f>
        <v/>
      </c>
      <c r="O617" s="29" t="str">
        <f t="shared" si="140"/>
        <v/>
      </c>
      <c r="P617" s="21" t="str">
        <f t="shared" si="141"/>
        <v/>
      </c>
      <c r="Q617" s="21" t="str">
        <f t="shared" si="142"/>
        <v/>
      </c>
      <c r="R617" s="21" t="str">
        <f t="shared" si="143"/>
        <v/>
      </c>
      <c r="S617" s="39"/>
      <c r="T617" s="43" t="str">
        <f t="shared" si="151"/>
        <v/>
      </c>
      <c r="U617" s="49" t="str">
        <f t="shared" si="152"/>
        <v/>
      </c>
      <c r="V617" s="48" t="str">
        <f t="shared" si="153"/>
        <v/>
      </c>
      <c r="W617" s="48" t="str">
        <f t="shared" si="144"/>
        <v/>
      </c>
      <c r="X617" s="50" t="str">
        <f>IF(W617="","",SUMIF($B$4:$B$1002,B617,$W$4:$W$1000))</f>
        <v/>
      </c>
      <c r="Y617" s="43" t="str">
        <f t="shared" si="145"/>
        <v/>
      </c>
      <c r="Z617" s="49" t="str">
        <f t="shared" si="146"/>
        <v/>
      </c>
      <c r="AA617" s="48" t="str">
        <f t="shared" si="147"/>
        <v/>
      </c>
      <c r="AB617" s="49" t="str">
        <f t="shared" si="148"/>
        <v/>
      </c>
      <c r="AC617" s="50" t="str">
        <f>IF(AB617="","",SUMIF($B$4:$B$1002,B617,$AB$4:$AB$1000))</f>
        <v/>
      </c>
      <c r="AD617" s="69"/>
      <c r="AE617" s="56"/>
      <c r="AF617" s="52"/>
      <c r="AG617" s="51"/>
      <c r="AH617" s="70"/>
      <c r="AI617" s="58"/>
      <c r="AJ617" s="55"/>
      <c r="AK617" s="51"/>
      <c r="AL617" s="69"/>
      <c r="AM617" s="56"/>
      <c r="AN617" s="52"/>
      <c r="AO617" s="51"/>
      <c r="AP617" s="70"/>
      <c r="AQ617" s="58"/>
      <c r="AR617" s="55"/>
      <c r="AS617" s="51"/>
      <c r="AT617" s="69"/>
      <c r="AU617" s="56"/>
      <c r="AV617" s="52"/>
      <c r="AW617" s="51"/>
      <c r="BR617" s="34" t="str">
        <f>IF(E617="","",CONCATENATE(E617," ",F617," noches"))</f>
        <v/>
      </c>
      <c r="BS617" s="28" t="str">
        <f t="shared" ca="1" si="149"/>
        <v/>
      </c>
      <c r="BT617" s="28" t="str">
        <f t="shared" ca="1" si="150"/>
        <v/>
      </c>
    </row>
    <row r="618" spans="1:72" x14ac:dyDescent="0.2">
      <c r="A618" s="18" t="str" cm="1">
        <f t="array" aca="1" ref="A618" ca="1">IF(B618="","","Grupo N˚"&amp;SUMPRODUCT(($B$4:B618&lt;&gt;"")*($B$4:B618&lt;&gt;OFFSET($B$4,-1,0,ROWS($B$4:B618),1))))</f>
        <v/>
      </c>
      <c r="B618" s="31"/>
      <c r="C618" s="31"/>
      <c r="D618" s="31"/>
      <c r="E618" s="31"/>
      <c r="F618" s="32"/>
      <c r="G618" s="33"/>
      <c r="H618" s="33"/>
      <c r="I618" s="20" t="str">
        <f t="shared" si="139"/>
        <v/>
      </c>
      <c r="J618" s="21" t="str">
        <f>IFERROR(VLOOKUP(BR618,Pricing!$D$3:$E$58,2,FALSE),"")</f>
        <v/>
      </c>
      <c r="K618" s="32"/>
      <c r="L618" s="32"/>
      <c r="M618" s="32"/>
      <c r="N618" s="36" t="str" cm="1">
        <f t="array" ref="N618">IFERROR(_xlfn.IFS((AND(K618="SI",M618="$")),J618*0.2,AND(K618="SI",M618="%"),20),"")</f>
        <v/>
      </c>
      <c r="O618" s="29" t="str">
        <f t="shared" si="140"/>
        <v/>
      </c>
      <c r="P618" s="21" t="str">
        <f t="shared" si="141"/>
        <v/>
      </c>
      <c r="Q618" s="21" t="str">
        <f t="shared" si="142"/>
        <v/>
      </c>
      <c r="R618" s="21" t="str">
        <f t="shared" si="143"/>
        <v/>
      </c>
      <c r="S618" s="39"/>
      <c r="T618" s="43" t="str">
        <f t="shared" si="151"/>
        <v/>
      </c>
      <c r="U618" s="49" t="str">
        <f t="shared" si="152"/>
        <v/>
      </c>
      <c r="V618" s="48" t="str">
        <f t="shared" si="153"/>
        <v/>
      </c>
      <c r="W618" s="48" t="str">
        <f t="shared" si="144"/>
        <v/>
      </c>
      <c r="X618" s="50" t="str">
        <f>IF(W618="","",SUMIF($B$4:$B$1002,B618,$W$4:$W$1000))</f>
        <v/>
      </c>
      <c r="Y618" s="43" t="str">
        <f t="shared" si="145"/>
        <v/>
      </c>
      <c r="Z618" s="49" t="str">
        <f t="shared" si="146"/>
        <v/>
      </c>
      <c r="AA618" s="48" t="str">
        <f t="shared" si="147"/>
        <v/>
      </c>
      <c r="AB618" s="49" t="str">
        <f t="shared" si="148"/>
        <v/>
      </c>
      <c r="AC618" s="50" t="str">
        <f>IF(AB618="","",SUMIF($B$4:$B$1002,B618,$AB$4:$AB$1000))</f>
        <v/>
      </c>
      <c r="AD618" s="69"/>
      <c r="AE618" s="56"/>
      <c r="AF618" s="52"/>
      <c r="AG618" s="51"/>
      <c r="AH618" s="70"/>
      <c r="AI618" s="58"/>
      <c r="AJ618" s="55"/>
      <c r="AK618" s="51"/>
      <c r="AL618" s="69"/>
      <c r="AM618" s="56"/>
      <c r="AN618" s="52"/>
      <c r="AO618" s="51"/>
      <c r="AP618" s="70"/>
      <c r="AQ618" s="58"/>
      <c r="AR618" s="55"/>
      <c r="AS618" s="51"/>
      <c r="AT618" s="69"/>
      <c r="AU618" s="56"/>
      <c r="AV618" s="52"/>
      <c r="AW618" s="51"/>
      <c r="BR618" s="34" t="str">
        <f>IF(E618="","",CONCATENATE(E618," ",F618," noches"))</f>
        <v/>
      </c>
      <c r="BS618" s="28" t="str">
        <f t="shared" ca="1" si="149"/>
        <v/>
      </c>
      <c r="BT618" s="28" t="str">
        <f t="shared" ca="1" si="150"/>
        <v/>
      </c>
    </row>
    <row r="619" spans="1:72" x14ac:dyDescent="0.2">
      <c r="A619" s="18" t="str" cm="1">
        <f t="array" aca="1" ref="A619" ca="1">IF(B619="","","Grupo N˚"&amp;SUMPRODUCT(($B$4:B619&lt;&gt;"")*($B$4:B619&lt;&gt;OFFSET($B$4,-1,0,ROWS($B$4:B619),1))))</f>
        <v/>
      </c>
      <c r="B619" s="31"/>
      <c r="C619" s="31"/>
      <c r="D619" s="31"/>
      <c r="E619" s="31"/>
      <c r="F619" s="32"/>
      <c r="G619" s="33"/>
      <c r="H619" s="33"/>
      <c r="I619" s="20" t="str">
        <f t="shared" si="139"/>
        <v/>
      </c>
      <c r="J619" s="21" t="str">
        <f>IFERROR(VLOOKUP(BR619,Pricing!$D$3:$E$58,2,FALSE),"")</f>
        <v/>
      </c>
      <c r="K619" s="32"/>
      <c r="L619" s="32"/>
      <c r="M619" s="32"/>
      <c r="N619" s="36" t="str" cm="1">
        <f t="array" ref="N619">IFERROR(_xlfn.IFS((AND(K619="SI",M619="$")),J619*0.2,AND(K619="SI",M619="%"),20),"")</f>
        <v/>
      </c>
      <c r="O619" s="29" t="str">
        <f t="shared" si="140"/>
        <v/>
      </c>
      <c r="P619" s="21" t="str">
        <f t="shared" si="141"/>
        <v/>
      </c>
      <c r="Q619" s="21" t="str">
        <f t="shared" si="142"/>
        <v/>
      </c>
      <c r="R619" s="21" t="str">
        <f t="shared" si="143"/>
        <v/>
      </c>
      <c r="S619" s="39"/>
      <c r="T619" s="43" t="str">
        <f t="shared" si="151"/>
        <v/>
      </c>
      <c r="U619" s="49" t="str">
        <f t="shared" si="152"/>
        <v/>
      </c>
      <c r="V619" s="48" t="str">
        <f t="shared" si="153"/>
        <v/>
      </c>
      <c r="W619" s="48" t="str">
        <f t="shared" si="144"/>
        <v/>
      </c>
      <c r="X619" s="50" t="str">
        <f>IF(W619="","",SUMIF($B$4:$B$1002,B619,$W$4:$W$1000))</f>
        <v/>
      </c>
      <c r="Y619" s="43" t="str">
        <f t="shared" si="145"/>
        <v/>
      </c>
      <c r="Z619" s="49" t="str">
        <f t="shared" si="146"/>
        <v/>
      </c>
      <c r="AA619" s="48" t="str">
        <f t="shared" si="147"/>
        <v/>
      </c>
      <c r="AB619" s="49" t="str">
        <f t="shared" si="148"/>
        <v/>
      </c>
      <c r="AC619" s="50" t="str">
        <f>IF(AB619="","",SUMIF($B$4:$B$1002,B619,$AB$4:$AB$1000))</f>
        <v/>
      </c>
      <c r="AD619" s="69"/>
      <c r="AE619" s="56"/>
      <c r="AF619" s="52"/>
      <c r="AG619" s="51"/>
      <c r="AH619" s="70"/>
      <c r="AI619" s="58"/>
      <c r="AJ619" s="55"/>
      <c r="AK619" s="51"/>
      <c r="AL619" s="69"/>
      <c r="AM619" s="56"/>
      <c r="AN619" s="52"/>
      <c r="AO619" s="51"/>
      <c r="AP619" s="70"/>
      <c r="AQ619" s="58"/>
      <c r="AR619" s="55"/>
      <c r="AS619" s="51"/>
      <c r="AT619" s="69"/>
      <c r="AU619" s="56"/>
      <c r="AV619" s="52"/>
      <c r="AW619" s="51"/>
      <c r="BR619" s="34" t="str">
        <f>IF(E619="","",CONCATENATE(E619," ",F619," noches"))</f>
        <v/>
      </c>
      <c r="BS619" s="28" t="str">
        <f t="shared" ca="1" si="149"/>
        <v/>
      </c>
      <c r="BT619" s="28" t="str">
        <f t="shared" ca="1" si="150"/>
        <v/>
      </c>
    </row>
    <row r="620" spans="1:72" x14ac:dyDescent="0.2">
      <c r="A620" s="18" t="str" cm="1">
        <f t="array" aca="1" ref="A620" ca="1">IF(B620="","","Grupo N˚"&amp;SUMPRODUCT(($B$4:B620&lt;&gt;"")*($B$4:B620&lt;&gt;OFFSET($B$4,-1,0,ROWS($B$4:B620),1))))</f>
        <v/>
      </c>
      <c r="B620" s="31"/>
      <c r="C620" s="31"/>
      <c r="D620" s="31"/>
      <c r="E620" s="31"/>
      <c r="F620" s="32"/>
      <c r="G620" s="33"/>
      <c r="H620" s="33"/>
      <c r="I620" s="20" t="str">
        <f t="shared" si="139"/>
        <v/>
      </c>
      <c r="J620" s="21" t="str">
        <f>IFERROR(VLOOKUP(BR620,Pricing!$D$3:$E$58,2,FALSE),"")</f>
        <v/>
      </c>
      <c r="K620" s="32"/>
      <c r="L620" s="32"/>
      <c r="M620" s="32"/>
      <c r="N620" s="36" t="str" cm="1">
        <f t="array" ref="N620">IFERROR(_xlfn.IFS((AND(K620="SI",M620="$")),J620*0.2,AND(K620="SI",M620="%"),20),"")</f>
        <v/>
      </c>
      <c r="O620" s="29" t="str">
        <f t="shared" si="140"/>
        <v/>
      </c>
      <c r="P620" s="21" t="str">
        <f t="shared" si="141"/>
        <v/>
      </c>
      <c r="Q620" s="21" t="str">
        <f t="shared" si="142"/>
        <v/>
      </c>
      <c r="R620" s="21" t="str">
        <f t="shared" si="143"/>
        <v/>
      </c>
      <c r="S620" s="39"/>
      <c r="T620" s="43" t="str">
        <f t="shared" si="151"/>
        <v/>
      </c>
      <c r="U620" s="49" t="str">
        <f t="shared" si="152"/>
        <v/>
      </c>
      <c r="V620" s="48" t="str">
        <f t="shared" si="153"/>
        <v/>
      </c>
      <c r="W620" s="48" t="str">
        <f t="shared" si="144"/>
        <v/>
      </c>
      <c r="X620" s="50" t="str">
        <f>IF(W620="","",SUMIF($B$4:$B$1002,B620,$W$4:$W$1000))</f>
        <v/>
      </c>
      <c r="Y620" s="43" t="str">
        <f t="shared" si="145"/>
        <v/>
      </c>
      <c r="Z620" s="49" t="str">
        <f t="shared" si="146"/>
        <v/>
      </c>
      <c r="AA620" s="48" t="str">
        <f t="shared" si="147"/>
        <v/>
      </c>
      <c r="AB620" s="49" t="str">
        <f t="shared" si="148"/>
        <v/>
      </c>
      <c r="AC620" s="50" t="str">
        <f>IF(AB620="","",SUMIF($B$4:$B$1002,B620,$AB$4:$AB$1000))</f>
        <v/>
      </c>
      <c r="AD620" s="69"/>
      <c r="AE620" s="56"/>
      <c r="AF620" s="52"/>
      <c r="AG620" s="51"/>
      <c r="AH620" s="70"/>
      <c r="AI620" s="58"/>
      <c r="AJ620" s="55"/>
      <c r="AK620" s="51"/>
      <c r="AL620" s="69"/>
      <c r="AM620" s="56"/>
      <c r="AN620" s="52"/>
      <c r="AO620" s="51"/>
      <c r="AP620" s="70"/>
      <c r="AQ620" s="58"/>
      <c r="AR620" s="55"/>
      <c r="AS620" s="51"/>
      <c r="AT620" s="69"/>
      <c r="AU620" s="56"/>
      <c r="AV620" s="52"/>
      <c r="AW620" s="51"/>
      <c r="BR620" s="34" t="str">
        <f>IF(E620="","",CONCATENATE(E620," ",F620," noches"))</f>
        <v/>
      </c>
      <c r="BS620" s="28" t="str">
        <f t="shared" ca="1" si="149"/>
        <v/>
      </c>
      <c r="BT620" s="28" t="str">
        <f t="shared" ca="1" si="150"/>
        <v/>
      </c>
    </row>
    <row r="621" spans="1:72" x14ac:dyDescent="0.2">
      <c r="A621" s="18" t="str" cm="1">
        <f t="array" aca="1" ref="A621" ca="1">IF(B621="","","Grupo N˚"&amp;SUMPRODUCT(($B$4:B621&lt;&gt;"")*($B$4:B621&lt;&gt;OFFSET($B$4,-1,0,ROWS($B$4:B621),1))))</f>
        <v/>
      </c>
      <c r="B621" s="31"/>
      <c r="C621" s="31"/>
      <c r="D621" s="31"/>
      <c r="E621" s="31"/>
      <c r="F621" s="32"/>
      <c r="G621" s="33"/>
      <c r="H621" s="33"/>
      <c r="I621" s="20" t="str">
        <f t="shared" si="139"/>
        <v/>
      </c>
      <c r="J621" s="21" t="str">
        <f>IFERROR(VLOOKUP(BR621,Pricing!$D$3:$E$58,2,FALSE),"")</f>
        <v/>
      </c>
      <c r="K621" s="32"/>
      <c r="L621" s="32"/>
      <c r="M621" s="32"/>
      <c r="N621" s="36" t="str" cm="1">
        <f t="array" ref="N621">IFERROR(_xlfn.IFS((AND(K621="SI",M621="$")),J621*0.2,AND(K621="SI",M621="%"),20),"")</f>
        <v/>
      </c>
      <c r="O621" s="29" t="str">
        <f t="shared" si="140"/>
        <v/>
      </c>
      <c r="P621" s="21" t="str">
        <f t="shared" si="141"/>
        <v/>
      </c>
      <c r="Q621" s="21" t="str">
        <f t="shared" si="142"/>
        <v/>
      </c>
      <c r="R621" s="21" t="str">
        <f t="shared" si="143"/>
        <v/>
      </c>
      <c r="S621" s="39"/>
      <c r="T621" s="43" t="str">
        <f t="shared" si="151"/>
        <v/>
      </c>
      <c r="U621" s="49" t="str">
        <f t="shared" si="152"/>
        <v/>
      </c>
      <c r="V621" s="48" t="str">
        <f t="shared" si="153"/>
        <v/>
      </c>
      <c r="W621" s="48" t="str">
        <f t="shared" si="144"/>
        <v/>
      </c>
      <c r="X621" s="50" t="str">
        <f>IF(W621="","",SUMIF($B$4:$B$1002,B621,$W$4:$W$1000))</f>
        <v/>
      </c>
      <c r="Y621" s="43" t="str">
        <f t="shared" si="145"/>
        <v/>
      </c>
      <c r="Z621" s="49" t="str">
        <f t="shared" si="146"/>
        <v/>
      </c>
      <c r="AA621" s="48" t="str">
        <f t="shared" si="147"/>
        <v/>
      </c>
      <c r="AB621" s="49" t="str">
        <f t="shared" si="148"/>
        <v/>
      </c>
      <c r="AC621" s="50" t="str">
        <f>IF(AB621="","",SUMIF($B$4:$B$1002,B621,$AB$4:$AB$1000))</f>
        <v/>
      </c>
      <c r="AD621" s="69"/>
      <c r="AE621" s="56"/>
      <c r="AF621" s="52"/>
      <c r="AG621" s="51"/>
      <c r="AH621" s="70"/>
      <c r="AI621" s="58"/>
      <c r="AJ621" s="55"/>
      <c r="AK621" s="51"/>
      <c r="AL621" s="69"/>
      <c r="AM621" s="56"/>
      <c r="AN621" s="52"/>
      <c r="AO621" s="51"/>
      <c r="AP621" s="70"/>
      <c r="AQ621" s="58"/>
      <c r="AR621" s="55"/>
      <c r="AS621" s="51"/>
      <c r="AT621" s="69"/>
      <c r="AU621" s="56"/>
      <c r="AV621" s="52"/>
      <c r="AW621" s="51"/>
      <c r="BR621" s="34" t="str">
        <f>IF(E621="","",CONCATENATE(E621," ",F621," noches"))</f>
        <v/>
      </c>
      <c r="BS621" s="28" t="str">
        <f t="shared" ca="1" si="149"/>
        <v/>
      </c>
      <c r="BT621" s="28" t="str">
        <f t="shared" ca="1" si="150"/>
        <v/>
      </c>
    </row>
    <row r="622" spans="1:72" x14ac:dyDescent="0.2">
      <c r="A622" s="18" t="str" cm="1">
        <f t="array" aca="1" ref="A622" ca="1">IF(B622="","","Grupo N˚"&amp;SUMPRODUCT(($B$4:B622&lt;&gt;"")*($B$4:B622&lt;&gt;OFFSET($B$4,-1,0,ROWS($B$4:B622),1))))</f>
        <v/>
      </c>
      <c r="B622" s="31"/>
      <c r="C622" s="31"/>
      <c r="D622" s="31"/>
      <c r="E622" s="31"/>
      <c r="F622" s="32"/>
      <c r="G622" s="33"/>
      <c r="H622" s="33"/>
      <c r="I622" s="20" t="str">
        <f t="shared" si="139"/>
        <v/>
      </c>
      <c r="J622" s="21" t="str">
        <f>IFERROR(VLOOKUP(BR622,Pricing!$D$3:$E$58,2,FALSE),"")</f>
        <v/>
      </c>
      <c r="K622" s="32"/>
      <c r="L622" s="32"/>
      <c r="M622" s="32"/>
      <c r="N622" s="36" t="str" cm="1">
        <f t="array" ref="N622">IFERROR(_xlfn.IFS((AND(K622="SI",M622="$")),J622*0.2,AND(K622="SI",M622="%"),20),"")</f>
        <v/>
      </c>
      <c r="O622" s="29" t="str">
        <f t="shared" si="140"/>
        <v/>
      </c>
      <c r="P622" s="21" t="str">
        <f t="shared" si="141"/>
        <v/>
      </c>
      <c r="Q622" s="21" t="str">
        <f t="shared" si="142"/>
        <v/>
      </c>
      <c r="R622" s="21" t="str">
        <f t="shared" si="143"/>
        <v/>
      </c>
      <c r="S622" s="39"/>
      <c r="T622" s="43" t="str">
        <f t="shared" si="151"/>
        <v/>
      </c>
      <c r="U622" s="49" t="str">
        <f t="shared" si="152"/>
        <v/>
      </c>
      <c r="V622" s="48" t="str">
        <f t="shared" si="153"/>
        <v/>
      </c>
      <c r="W622" s="48" t="str">
        <f t="shared" si="144"/>
        <v/>
      </c>
      <c r="X622" s="50" t="str">
        <f>IF(W622="","",SUMIF($B$4:$B$1002,B622,$W$4:$W$1000))</f>
        <v/>
      </c>
      <c r="Y622" s="43" t="str">
        <f t="shared" si="145"/>
        <v/>
      </c>
      <c r="Z622" s="49" t="str">
        <f t="shared" si="146"/>
        <v/>
      </c>
      <c r="AA622" s="48" t="str">
        <f t="shared" si="147"/>
        <v/>
      </c>
      <c r="AB622" s="49" t="str">
        <f t="shared" si="148"/>
        <v/>
      </c>
      <c r="AC622" s="50" t="str">
        <f>IF(AB622="","",SUMIF($B$4:$B$1002,B622,$AB$4:$AB$1000))</f>
        <v/>
      </c>
      <c r="AD622" s="69"/>
      <c r="AE622" s="56"/>
      <c r="AF622" s="52"/>
      <c r="AG622" s="51"/>
      <c r="AH622" s="70"/>
      <c r="AI622" s="58"/>
      <c r="AJ622" s="55"/>
      <c r="AK622" s="51"/>
      <c r="AL622" s="69"/>
      <c r="AM622" s="56"/>
      <c r="AN622" s="52"/>
      <c r="AO622" s="51"/>
      <c r="AP622" s="70"/>
      <c r="AQ622" s="58"/>
      <c r="AR622" s="55"/>
      <c r="AS622" s="51"/>
      <c r="AT622" s="69"/>
      <c r="AU622" s="56"/>
      <c r="AV622" s="52"/>
      <c r="AW622" s="51"/>
      <c r="BR622" s="34" t="str">
        <f>IF(E622="","",CONCATENATE(E622," ",F622," noches"))</f>
        <v/>
      </c>
      <c r="BS622" s="28" t="str">
        <f t="shared" ca="1" si="149"/>
        <v/>
      </c>
      <c r="BT622" s="28" t="str">
        <f t="shared" ca="1" si="150"/>
        <v/>
      </c>
    </row>
    <row r="623" spans="1:72" x14ac:dyDescent="0.2">
      <c r="A623" s="18" t="str" cm="1">
        <f t="array" aca="1" ref="A623" ca="1">IF(B623="","","Grupo N˚"&amp;SUMPRODUCT(($B$4:B623&lt;&gt;"")*($B$4:B623&lt;&gt;OFFSET($B$4,-1,0,ROWS($B$4:B623),1))))</f>
        <v/>
      </c>
      <c r="B623" s="31"/>
      <c r="C623" s="31"/>
      <c r="D623" s="31"/>
      <c r="E623" s="31"/>
      <c r="F623" s="32"/>
      <c r="G623" s="33"/>
      <c r="H623" s="33"/>
      <c r="I623" s="20" t="str">
        <f t="shared" si="139"/>
        <v/>
      </c>
      <c r="J623" s="21" t="str">
        <f>IFERROR(VLOOKUP(BR623,Pricing!$D$3:$E$58,2,FALSE),"")</f>
        <v/>
      </c>
      <c r="K623" s="32"/>
      <c r="L623" s="32"/>
      <c r="M623" s="32"/>
      <c r="N623" s="36" t="str" cm="1">
        <f t="array" ref="N623">IFERROR(_xlfn.IFS((AND(K623="SI",M623="$")),J623*0.2,AND(K623="SI",M623="%"),20),"")</f>
        <v/>
      </c>
      <c r="O623" s="29" t="str">
        <f t="shared" si="140"/>
        <v/>
      </c>
      <c r="P623" s="21" t="str">
        <f t="shared" si="141"/>
        <v/>
      </c>
      <c r="Q623" s="21" t="str">
        <f t="shared" si="142"/>
        <v/>
      </c>
      <c r="R623" s="21" t="str">
        <f t="shared" si="143"/>
        <v/>
      </c>
      <c r="S623" s="39"/>
      <c r="T623" s="43" t="str">
        <f t="shared" si="151"/>
        <v/>
      </c>
      <c r="U623" s="49" t="str">
        <f t="shared" si="152"/>
        <v/>
      </c>
      <c r="V623" s="48" t="str">
        <f t="shared" si="153"/>
        <v/>
      </c>
      <c r="W623" s="48" t="str">
        <f t="shared" si="144"/>
        <v/>
      </c>
      <c r="X623" s="50" t="str">
        <f>IF(W623="","",SUMIF($B$4:$B$1002,B623,$W$4:$W$1000))</f>
        <v/>
      </c>
      <c r="Y623" s="43" t="str">
        <f t="shared" si="145"/>
        <v/>
      </c>
      <c r="Z623" s="49" t="str">
        <f t="shared" si="146"/>
        <v/>
      </c>
      <c r="AA623" s="48" t="str">
        <f t="shared" si="147"/>
        <v/>
      </c>
      <c r="AB623" s="49" t="str">
        <f t="shared" si="148"/>
        <v/>
      </c>
      <c r="AC623" s="50" t="str">
        <f>IF(AB623="","",SUMIF($B$4:$B$1002,B623,$AB$4:$AB$1000))</f>
        <v/>
      </c>
      <c r="AD623" s="69"/>
      <c r="AE623" s="56"/>
      <c r="AF623" s="52"/>
      <c r="AG623" s="51"/>
      <c r="AH623" s="70"/>
      <c r="AI623" s="58"/>
      <c r="AJ623" s="55"/>
      <c r="AK623" s="51"/>
      <c r="AL623" s="69"/>
      <c r="AM623" s="56"/>
      <c r="AN623" s="52"/>
      <c r="AO623" s="51"/>
      <c r="AP623" s="70"/>
      <c r="AQ623" s="58"/>
      <c r="AR623" s="55"/>
      <c r="AS623" s="51"/>
      <c r="AT623" s="69"/>
      <c r="AU623" s="56"/>
      <c r="AV623" s="52"/>
      <c r="AW623" s="51"/>
      <c r="BR623" s="34" t="str">
        <f>IF(E623="","",CONCATENATE(E623," ",F623," noches"))</f>
        <v/>
      </c>
      <c r="BS623" s="28" t="str">
        <f t="shared" ca="1" si="149"/>
        <v/>
      </c>
      <c r="BT623" s="28" t="str">
        <f t="shared" ca="1" si="150"/>
        <v/>
      </c>
    </row>
    <row r="624" spans="1:72" x14ac:dyDescent="0.2">
      <c r="A624" s="18" t="str" cm="1">
        <f t="array" aca="1" ref="A624" ca="1">IF(B624="","","Grupo N˚"&amp;SUMPRODUCT(($B$4:B624&lt;&gt;"")*($B$4:B624&lt;&gt;OFFSET($B$4,-1,0,ROWS($B$4:B624),1))))</f>
        <v/>
      </c>
      <c r="B624" s="31"/>
      <c r="C624" s="31"/>
      <c r="D624" s="31"/>
      <c r="E624" s="31"/>
      <c r="F624" s="32"/>
      <c r="G624" s="33"/>
      <c r="H624" s="33"/>
      <c r="I624" s="20" t="str">
        <f t="shared" si="139"/>
        <v/>
      </c>
      <c r="J624" s="21" t="str">
        <f>IFERROR(VLOOKUP(BR624,Pricing!$D$3:$E$58,2,FALSE),"")</f>
        <v/>
      </c>
      <c r="K624" s="32"/>
      <c r="L624" s="32"/>
      <c r="M624" s="32"/>
      <c r="N624" s="36" t="str" cm="1">
        <f t="array" ref="N624">IFERROR(_xlfn.IFS((AND(K624="SI",M624="$")),J624*0.2,AND(K624="SI",M624="%"),20),"")</f>
        <v/>
      </c>
      <c r="O624" s="29" t="str">
        <f t="shared" si="140"/>
        <v/>
      </c>
      <c r="P624" s="21" t="str">
        <f t="shared" si="141"/>
        <v/>
      </c>
      <c r="Q624" s="21" t="str">
        <f t="shared" si="142"/>
        <v/>
      </c>
      <c r="R624" s="21" t="str">
        <f t="shared" si="143"/>
        <v/>
      </c>
      <c r="S624" s="39"/>
      <c r="T624" s="43" t="str">
        <f t="shared" si="151"/>
        <v/>
      </c>
      <c r="U624" s="49" t="str">
        <f t="shared" si="152"/>
        <v/>
      </c>
      <c r="V624" s="48" t="str">
        <f t="shared" si="153"/>
        <v/>
      </c>
      <c r="W624" s="48" t="str">
        <f t="shared" si="144"/>
        <v/>
      </c>
      <c r="X624" s="50" t="str">
        <f>IF(W624="","",SUMIF($B$4:$B$1002,B624,$W$4:$W$1000))</f>
        <v/>
      </c>
      <c r="Y624" s="43" t="str">
        <f t="shared" si="145"/>
        <v/>
      </c>
      <c r="Z624" s="49" t="str">
        <f t="shared" si="146"/>
        <v/>
      </c>
      <c r="AA624" s="48" t="str">
        <f t="shared" si="147"/>
        <v/>
      </c>
      <c r="AB624" s="49" t="str">
        <f t="shared" si="148"/>
        <v/>
      </c>
      <c r="AC624" s="50" t="str">
        <f>IF(AB624="","",SUMIF($B$4:$B$1002,B624,$AB$4:$AB$1000))</f>
        <v/>
      </c>
      <c r="AD624" s="69"/>
      <c r="AE624" s="56"/>
      <c r="AF624" s="52"/>
      <c r="AG624" s="51"/>
      <c r="AH624" s="70"/>
      <c r="AI624" s="58"/>
      <c r="AJ624" s="55"/>
      <c r="AK624" s="51"/>
      <c r="AL624" s="69"/>
      <c r="AM624" s="56"/>
      <c r="AN624" s="52"/>
      <c r="AO624" s="51"/>
      <c r="AP624" s="70"/>
      <c r="AQ624" s="58"/>
      <c r="AR624" s="55"/>
      <c r="AS624" s="51"/>
      <c r="AT624" s="69"/>
      <c r="AU624" s="56"/>
      <c r="AV624" s="52"/>
      <c r="AW624" s="51"/>
      <c r="BR624" s="34" t="str">
        <f>IF(E624="","",CONCATENATE(E624," ",F624," noches"))</f>
        <v/>
      </c>
      <c r="BS624" s="28" t="str">
        <f t="shared" ca="1" si="149"/>
        <v/>
      </c>
      <c r="BT624" s="28" t="str">
        <f t="shared" ca="1" si="150"/>
        <v/>
      </c>
    </row>
    <row r="625" spans="1:72" x14ac:dyDescent="0.2">
      <c r="A625" s="18" t="str" cm="1">
        <f t="array" aca="1" ref="A625" ca="1">IF(B625="","","Grupo N˚"&amp;SUMPRODUCT(($B$4:B625&lt;&gt;"")*($B$4:B625&lt;&gt;OFFSET($B$4,-1,0,ROWS($B$4:B625),1))))</f>
        <v/>
      </c>
      <c r="B625" s="31"/>
      <c r="C625" s="31"/>
      <c r="D625" s="31"/>
      <c r="E625" s="31"/>
      <c r="F625" s="32"/>
      <c r="G625" s="33"/>
      <c r="H625" s="33"/>
      <c r="I625" s="20" t="str">
        <f t="shared" si="139"/>
        <v/>
      </c>
      <c r="J625" s="21" t="str">
        <f>IFERROR(VLOOKUP(BR625,Pricing!$D$3:$E$58,2,FALSE),"")</f>
        <v/>
      </c>
      <c r="K625" s="32"/>
      <c r="L625" s="32"/>
      <c r="M625" s="32"/>
      <c r="N625" s="36" t="str" cm="1">
        <f t="array" ref="N625">IFERROR(_xlfn.IFS((AND(K625="SI",M625="$")),J625*0.2,AND(K625="SI",M625="%"),20),"")</f>
        <v/>
      </c>
      <c r="O625" s="29" t="str">
        <f t="shared" si="140"/>
        <v/>
      </c>
      <c r="P625" s="21" t="str">
        <f t="shared" si="141"/>
        <v/>
      </c>
      <c r="Q625" s="21" t="str">
        <f t="shared" si="142"/>
        <v/>
      </c>
      <c r="R625" s="21" t="str">
        <f t="shared" si="143"/>
        <v/>
      </c>
      <c r="S625" s="39"/>
      <c r="T625" s="43" t="str">
        <f t="shared" si="151"/>
        <v/>
      </c>
      <c r="U625" s="49" t="str">
        <f t="shared" si="152"/>
        <v/>
      </c>
      <c r="V625" s="48" t="str">
        <f t="shared" si="153"/>
        <v/>
      </c>
      <c r="W625" s="48" t="str">
        <f t="shared" si="144"/>
        <v/>
      </c>
      <c r="X625" s="50" t="str">
        <f>IF(W625="","",SUMIF($B$4:$B$1002,B625,$W$4:$W$1000))</f>
        <v/>
      </c>
      <c r="Y625" s="43" t="str">
        <f t="shared" si="145"/>
        <v/>
      </c>
      <c r="Z625" s="49" t="str">
        <f t="shared" si="146"/>
        <v/>
      </c>
      <c r="AA625" s="48" t="str">
        <f t="shared" si="147"/>
        <v/>
      </c>
      <c r="AB625" s="49" t="str">
        <f t="shared" si="148"/>
        <v/>
      </c>
      <c r="AC625" s="50" t="str">
        <f>IF(AB625="","",SUMIF($B$4:$B$1002,B625,$AB$4:$AB$1000))</f>
        <v/>
      </c>
      <c r="AD625" s="69"/>
      <c r="AE625" s="56"/>
      <c r="AF625" s="52"/>
      <c r="AG625" s="51"/>
      <c r="AH625" s="70"/>
      <c r="AI625" s="58"/>
      <c r="AJ625" s="55"/>
      <c r="AK625" s="51"/>
      <c r="AL625" s="69"/>
      <c r="AM625" s="56"/>
      <c r="AN625" s="52"/>
      <c r="AO625" s="51"/>
      <c r="AP625" s="70"/>
      <c r="AQ625" s="58"/>
      <c r="AR625" s="55"/>
      <c r="AS625" s="51"/>
      <c r="AT625" s="69"/>
      <c r="AU625" s="56"/>
      <c r="AV625" s="52"/>
      <c r="AW625" s="51"/>
      <c r="BR625" s="34" t="str">
        <f>IF(E625="","",CONCATENATE(E625," ",F625," noches"))</f>
        <v/>
      </c>
      <c r="BS625" s="28" t="str">
        <f t="shared" ca="1" si="149"/>
        <v/>
      </c>
      <c r="BT625" s="28" t="str">
        <f t="shared" ca="1" si="150"/>
        <v/>
      </c>
    </row>
    <row r="626" spans="1:72" x14ac:dyDescent="0.2">
      <c r="A626" s="18" t="str" cm="1">
        <f t="array" aca="1" ref="A626" ca="1">IF(B626="","","Grupo N˚"&amp;SUMPRODUCT(($B$4:B626&lt;&gt;"")*($B$4:B626&lt;&gt;OFFSET($B$4,-1,0,ROWS($B$4:B626),1))))</f>
        <v/>
      </c>
      <c r="B626" s="31"/>
      <c r="C626" s="31"/>
      <c r="D626" s="31"/>
      <c r="E626" s="31"/>
      <c r="F626" s="32"/>
      <c r="G626" s="33"/>
      <c r="H626" s="33"/>
      <c r="I626" s="20" t="str">
        <f t="shared" si="139"/>
        <v/>
      </c>
      <c r="J626" s="21" t="str">
        <f>IFERROR(VLOOKUP(BR626,Pricing!$D$3:$E$58,2,FALSE),"")</f>
        <v/>
      </c>
      <c r="K626" s="32"/>
      <c r="L626" s="32"/>
      <c r="M626" s="32"/>
      <c r="N626" s="36" t="str" cm="1">
        <f t="array" ref="N626">IFERROR(_xlfn.IFS((AND(K626="SI",M626="$")),J626*0.2,AND(K626="SI",M626="%"),20),"")</f>
        <v/>
      </c>
      <c r="O626" s="29" t="str">
        <f t="shared" si="140"/>
        <v/>
      </c>
      <c r="P626" s="21" t="str">
        <f t="shared" si="141"/>
        <v/>
      </c>
      <c r="Q626" s="21" t="str">
        <f t="shared" si="142"/>
        <v/>
      </c>
      <c r="R626" s="21" t="str">
        <f t="shared" si="143"/>
        <v/>
      </c>
      <c r="S626" s="39"/>
      <c r="T626" s="43" t="str">
        <f t="shared" si="151"/>
        <v/>
      </c>
      <c r="U626" s="49" t="str">
        <f t="shared" si="152"/>
        <v/>
      </c>
      <c r="V626" s="48" t="str">
        <f t="shared" si="153"/>
        <v/>
      </c>
      <c r="W626" s="48" t="str">
        <f t="shared" si="144"/>
        <v/>
      </c>
      <c r="X626" s="50" t="str">
        <f>IF(W626="","",SUMIF($B$4:$B$1002,B626,$W$4:$W$1000))</f>
        <v/>
      </c>
      <c r="Y626" s="43" t="str">
        <f t="shared" si="145"/>
        <v/>
      </c>
      <c r="Z626" s="49" t="str">
        <f t="shared" si="146"/>
        <v/>
      </c>
      <c r="AA626" s="48" t="str">
        <f t="shared" si="147"/>
        <v/>
      </c>
      <c r="AB626" s="49" t="str">
        <f t="shared" si="148"/>
        <v/>
      </c>
      <c r="AC626" s="50" t="str">
        <f>IF(AB626="","",SUMIF($B$4:$B$1002,B626,$AB$4:$AB$1000))</f>
        <v/>
      </c>
      <c r="AD626" s="69"/>
      <c r="AE626" s="56"/>
      <c r="AF626" s="52"/>
      <c r="AG626" s="51"/>
      <c r="AH626" s="70"/>
      <c r="AI626" s="58"/>
      <c r="AJ626" s="55"/>
      <c r="AK626" s="51"/>
      <c r="AL626" s="69"/>
      <c r="AM626" s="56"/>
      <c r="AN626" s="52"/>
      <c r="AO626" s="51"/>
      <c r="AP626" s="70"/>
      <c r="AQ626" s="58"/>
      <c r="AR626" s="55"/>
      <c r="AS626" s="51"/>
      <c r="AT626" s="69"/>
      <c r="AU626" s="56"/>
      <c r="AV626" s="52"/>
      <c r="AW626" s="51"/>
      <c r="BR626" s="34" t="str">
        <f>IF(E626="","",CONCATENATE(E626," ",F626," noches"))</f>
        <v/>
      </c>
      <c r="BS626" s="28" t="str">
        <f t="shared" ca="1" si="149"/>
        <v/>
      </c>
      <c r="BT626" s="28" t="str">
        <f t="shared" ca="1" si="150"/>
        <v/>
      </c>
    </row>
    <row r="627" spans="1:72" x14ac:dyDescent="0.2">
      <c r="A627" s="18" t="str" cm="1">
        <f t="array" aca="1" ref="A627" ca="1">IF(B627="","","Grupo N˚"&amp;SUMPRODUCT(($B$4:B627&lt;&gt;"")*($B$4:B627&lt;&gt;OFFSET($B$4,-1,0,ROWS($B$4:B627),1))))</f>
        <v/>
      </c>
      <c r="B627" s="31"/>
      <c r="C627" s="31"/>
      <c r="D627" s="31"/>
      <c r="E627" s="31"/>
      <c r="F627" s="32"/>
      <c r="G627" s="33"/>
      <c r="H627" s="33"/>
      <c r="I627" s="20" t="str">
        <f t="shared" si="139"/>
        <v/>
      </c>
      <c r="J627" s="21" t="str">
        <f>IFERROR(VLOOKUP(BR627,Pricing!$D$3:$E$58,2,FALSE),"")</f>
        <v/>
      </c>
      <c r="K627" s="32"/>
      <c r="L627" s="32"/>
      <c r="M627" s="32"/>
      <c r="N627" s="36" t="str" cm="1">
        <f t="array" ref="N627">IFERROR(_xlfn.IFS((AND(K627="SI",M627="$")),J627*0.2,AND(K627="SI",M627="%"),20),"")</f>
        <v/>
      </c>
      <c r="O627" s="29" t="str">
        <f t="shared" si="140"/>
        <v/>
      </c>
      <c r="P627" s="21" t="str">
        <f t="shared" si="141"/>
        <v/>
      </c>
      <c r="Q627" s="21" t="str">
        <f t="shared" si="142"/>
        <v/>
      </c>
      <c r="R627" s="21" t="str">
        <f t="shared" si="143"/>
        <v/>
      </c>
      <c r="S627" s="39"/>
      <c r="T627" s="43" t="str">
        <f t="shared" si="151"/>
        <v/>
      </c>
      <c r="U627" s="49" t="str">
        <f t="shared" si="152"/>
        <v/>
      </c>
      <c r="V627" s="48" t="str">
        <f t="shared" si="153"/>
        <v/>
      </c>
      <c r="W627" s="48" t="str">
        <f t="shared" si="144"/>
        <v/>
      </c>
      <c r="X627" s="50" t="str">
        <f>IF(W627="","",SUMIF($B$4:$B$1002,B627,$W$4:$W$1000))</f>
        <v/>
      </c>
      <c r="Y627" s="43" t="str">
        <f t="shared" si="145"/>
        <v/>
      </c>
      <c r="Z627" s="49" t="str">
        <f t="shared" si="146"/>
        <v/>
      </c>
      <c r="AA627" s="48" t="str">
        <f t="shared" si="147"/>
        <v/>
      </c>
      <c r="AB627" s="49" t="str">
        <f t="shared" si="148"/>
        <v/>
      </c>
      <c r="AC627" s="50" t="str">
        <f>IF(AB627="","",SUMIF($B$4:$B$1002,B627,$AB$4:$AB$1000))</f>
        <v/>
      </c>
      <c r="AD627" s="69"/>
      <c r="AE627" s="56"/>
      <c r="AF627" s="52"/>
      <c r="AG627" s="51"/>
      <c r="AH627" s="70"/>
      <c r="AI627" s="58"/>
      <c r="AJ627" s="55"/>
      <c r="AK627" s="51"/>
      <c r="AL627" s="69"/>
      <c r="AM627" s="56"/>
      <c r="AN627" s="52"/>
      <c r="AO627" s="51"/>
      <c r="AP627" s="70"/>
      <c r="AQ627" s="58"/>
      <c r="AR627" s="55"/>
      <c r="AS627" s="51"/>
      <c r="AT627" s="69"/>
      <c r="AU627" s="56"/>
      <c r="AV627" s="52"/>
      <c r="AW627" s="51"/>
      <c r="BR627" s="34" t="str">
        <f>IF(E627="","",CONCATENATE(E627," ",F627," noches"))</f>
        <v/>
      </c>
      <c r="BS627" s="28" t="str">
        <f t="shared" ca="1" si="149"/>
        <v/>
      </c>
      <c r="BT627" s="28" t="str">
        <f t="shared" ca="1" si="150"/>
        <v/>
      </c>
    </row>
    <row r="628" spans="1:72" x14ac:dyDescent="0.2">
      <c r="A628" s="18" t="str" cm="1">
        <f t="array" aca="1" ref="A628" ca="1">IF(B628="","","Grupo N˚"&amp;SUMPRODUCT(($B$4:B628&lt;&gt;"")*($B$4:B628&lt;&gt;OFFSET($B$4,-1,0,ROWS($B$4:B628),1))))</f>
        <v/>
      </c>
      <c r="B628" s="31"/>
      <c r="C628" s="31"/>
      <c r="D628" s="31"/>
      <c r="E628" s="31"/>
      <c r="F628" s="32"/>
      <c r="G628" s="33"/>
      <c r="H628" s="33"/>
      <c r="I628" s="20" t="str">
        <f t="shared" si="139"/>
        <v/>
      </c>
      <c r="J628" s="21" t="str">
        <f>IFERROR(VLOOKUP(BR628,Pricing!$D$3:$E$58,2,FALSE),"")</f>
        <v/>
      </c>
      <c r="K628" s="32"/>
      <c r="L628" s="32"/>
      <c r="M628" s="32"/>
      <c r="N628" s="36" t="str" cm="1">
        <f t="array" ref="N628">IFERROR(_xlfn.IFS((AND(K628="SI",M628="$")),J628*0.2,AND(K628="SI",M628="%"),20),"")</f>
        <v/>
      </c>
      <c r="O628" s="29" t="str">
        <f t="shared" si="140"/>
        <v/>
      </c>
      <c r="P628" s="21" t="str">
        <f t="shared" si="141"/>
        <v/>
      </c>
      <c r="Q628" s="21" t="str">
        <f t="shared" si="142"/>
        <v/>
      </c>
      <c r="R628" s="21" t="str">
        <f t="shared" si="143"/>
        <v/>
      </c>
      <c r="S628" s="39"/>
      <c r="T628" s="43" t="str">
        <f t="shared" si="151"/>
        <v/>
      </c>
      <c r="U628" s="49" t="str">
        <f t="shared" si="152"/>
        <v/>
      </c>
      <c r="V628" s="48" t="str">
        <f t="shared" si="153"/>
        <v/>
      </c>
      <c r="W628" s="48" t="str">
        <f t="shared" si="144"/>
        <v/>
      </c>
      <c r="X628" s="50" t="str">
        <f>IF(W628="","",SUMIF($B$4:$B$1002,B628,$W$4:$W$1000))</f>
        <v/>
      </c>
      <c r="Y628" s="43" t="str">
        <f t="shared" si="145"/>
        <v/>
      </c>
      <c r="Z628" s="49" t="str">
        <f t="shared" si="146"/>
        <v/>
      </c>
      <c r="AA628" s="48" t="str">
        <f t="shared" si="147"/>
        <v/>
      </c>
      <c r="AB628" s="49" t="str">
        <f t="shared" si="148"/>
        <v/>
      </c>
      <c r="AC628" s="50" t="str">
        <f>IF(AB628="","",SUMIF($B$4:$B$1002,B628,$AB$4:$AB$1000))</f>
        <v/>
      </c>
      <c r="AD628" s="69"/>
      <c r="AE628" s="56"/>
      <c r="AF628" s="52"/>
      <c r="AG628" s="51"/>
      <c r="AH628" s="70"/>
      <c r="AI628" s="58"/>
      <c r="AJ628" s="55"/>
      <c r="AK628" s="51"/>
      <c r="AL628" s="69"/>
      <c r="AM628" s="56"/>
      <c r="AN628" s="52"/>
      <c r="AO628" s="51"/>
      <c r="AP628" s="70"/>
      <c r="AQ628" s="58"/>
      <c r="AR628" s="55"/>
      <c r="AS628" s="51"/>
      <c r="AT628" s="69"/>
      <c r="AU628" s="56"/>
      <c r="AV628" s="52"/>
      <c r="AW628" s="51"/>
      <c r="BR628" s="34" t="str">
        <f>IF(E628="","",CONCATENATE(E628," ",F628," noches"))</f>
        <v/>
      </c>
      <c r="BS628" s="28" t="str">
        <f t="shared" ca="1" si="149"/>
        <v/>
      </c>
      <c r="BT628" s="28" t="str">
        <f t="shared" ca="1" si="150"/>
        <v/>
      </c>
    </row>
    <row r="629" spans="1:72" x14ac:dyDescent="0.2">
      <c r="A629" s="18" t="str" cm="1">
        <f t="array" aca="1" ref="A629" ca="1">IF(B629="","","Grupo N˚"&amp;SUMPRODUCT(($B$4:B629&lt;&gt;"")*($B$4:B629&lt;&gt;OFFSET($B$4,-1,0,ROWS($B$4:B629),1))))</f>
        <v/>
      </c>
      <c r="B629" s="31"/>
      <c r="C629" s="31"/>
      <c r="D629" s="31"/>
      <c r="E629" s="31"/>
      <c r="F629" s="32"/>
      <c r="G629" s="33"/>
      <c r="H629" s="33"/>
      <c r="I629" s="20" t="str">
        <f t="shared" si="139"/>
        <v/>
      </c>
      <c r="J629" s="21" t="str">
        <f>IFERROR(VLOOKUP(BR629,Pricing!$D$3:$E$58,2,FALSE),"")</f>
        <v/>
      </c>
      <c r="K629" s="32"/>
      <c r="L629" s="32"/>
      <c r="M629" s="32"/>
      <c r="N629" s="36" t="str" cm="1">
        <f t="array" ref="N629">IFERROR(_xlfn.IFS((AND(K629="SI",M629="$")),J629*0.2,AND(K629="SI",M629="%"),20),"")</f>
        <v/>
      </c>
      <c r="O629" s="29" t="str">
        <f t="shared" si="140"/>
        <v/>
      </c>
      <c r="P629" s="21" t="str">
        <f t="shared" si="141"/>
        <v/>
      </c>
      <c r="Q629" s="21" t="str">
        <f t="shared" si="142"/>
        <v/>
      </c>
      <c r="R629" s="21" t="str">
        <f t="shared" si="143"/>
        <v/>
      </c>
      <c r="S629" s="39"/>
      <c r="T629" s="43" t="str">
        <f t="shared" si="151"/>
        <v/>
      </c>
      <c r="U629" s="49" t="str">
        <f t="shared" si="152"/>
        <v/>
      </c>
      <c r="V629" s="48" t="str">
        <f t="shared" si="153"/>
        <v/>
      </c>
      <c r="W629" s="48" t="str">
        <f t="shared" si="144"/>
        <v/>
      </c>
      <c r="X629" s="50" t="str">
        <f>IF(W629="","",SUMIF($B$4:$B$1002,B629,$W$4:$W$1000))</f>
        <v/>
      </c>
      <c r="Y629" s="43" t="str">
        <f t="shared" si="145"/>
        <v/>
      </c>
      <c r="Z629" s="49" t="str">
        <f t="shared" si="146"/>
        <v/>
      </c>
      <c r="AA629" s="48" t="str">
        <f t="shared" si="147"/>
        <v/>
      </c>
      <c r="AB629" s="49" t="str">
        <f t="shared" si="148"/>
        <v/>
      </c>
      <c r="AC629" s="50" t="str">
        <f>IF(AB629="","",SUMIF($B$4:$B$1002,B629,$AB$4:$AB$1000))</f>
        <v/>
      </c>
      <c r="AD629" s="69"/>
      <c r="AE629" s="56"/>
      <c r="AF629" s="52"/>
      <c r="AG629" s="51"/>
      <c r="AH629" s="70"/>
      <c r="AI629" s="58"/>
      <c r="AJ629" s="55"/>
      <c r="AK629" s="51"/>
      <c r="AL629" s="69"/>
      <c r="AM629" s="56"/>
      <c r="AN629" s="52"/>
      <c r="AO629" s="51"/>
      <c r="AP629" s="70"/>
      <c r="AQ629" s="58"/>
      <c r="AR629" s="55"/>
      <c r="AS629" s="51"/>
      <c r="AT629" s="69"/>
      <c r="AU629" s="56"/>
      <c r="AV629" s="52"/>
      <c r="AW629" s="51"/>
      <c r="BR629" s="34" t="str">
        <f>IF(E629="","",CONCATENATE(E629," ",F629," noches"))</f>
        <v/>
      </c>
      <c r="BS629" s="28" t="str">
        <f t="shared" ca="1" si="149"/>
        <v/>
      </c>
      <c r="BT629" s="28" t="str">
        <f t="shared" ca="1" si="150"/>
        <v/>
      </c>
    </row>
    <row r="630" spans="1:72" x14ac:dyDescent="0.2">
      <c r="A630" s="18" t="str" cm="1">
        <f t="array" aca="1" ref="A630" ca="1">IF(B630="","","Grupo N˚"&amp;SUMPRODUCT(($B$4:B630&lt;&gt;"")*($B$4:B630&lt;&gt;OFFSET($B$4,-1,0,ROWS($B$4:B630),1))))</f>
        <v/>
      </c>
      <c r="B630" s="31"/>
      <c r="C630" s="31"/>
      <c r="D630" s="31"/>
      <c r="E630" s="31"/>
      <c r="F630" s="32"/>
      <c r="G630" s="33"/>
      <c r="H630" s="33"/>
      <c r="I630" s="20" t="str">
        <f t="shared" si="139"/>
        <v/>
      </c>
      <c r="J630" s="21" t="str">
        <f>IFERROR(VLOOKUP(BR630,Pricing!$D$3:$E$58,2,FALSE),"")</f>
        <v/>
      </c>
      <c r="K630" s="32"/>
      <c r="L630" s="32"/>
      <c r="M630" s="32"/>
      <c r="N630" s="36" t="str" cm="1">
        <f t="array" ref="N630">IFERROR(_xlfn.IFS((AND(K630="SI",M630="$")),J630*0.2,AND(K630="SI",M630="%"),20),"")</f>
        <v/>
      </c>
      <c r="O630" s="29" t="str">
        <f t="shared" si="140"/>
        <v/>
      </c>
      <c r="P630" s="21" t="str">
        <f t="shared" si="141"/>
        <v/>
      </c>
      <c r="Q630" s="21" t="str">
        <f t="shared" si="142"/>
        <v/>
      </c>
      <c r="R630" s="21" t="str">
        <f t="shared" si="143"/>
        <v/>
      </c>
      <c r="S630" s="39"/>
      <c r="T630" s="43" t="str">
        <f t="shared" si="151"/>
        <v/>
      </c>
      <c r="U630" s="49" t="str">
        <f t="shared" si="152"/>
        <v/>
      </c>
      <c r="V630" s="48" t="str">
        <f t="shared" si="153"/>
        <v/>
      </c>
      <c r="W630" s="48" t="str">
        <f t="shared" si="144"/>
        <v/>
      </c>
      <c r="X630" s="50" t="str">
        <f>IF(W630="","",SUMIF($B$4:$B$1002,B630,$W$4:$W$1000))</f>
        <v/>
      </c>
      <c r="Y630" s="43" t="str">
        <f t="shared" si="145"/>
        <v/>
      </c>
      <c r="Z630" s="49" t="str">
        <f t="shared" si="146"/>
        <v/>
      </c>
      <c r="AA630" s="48" t="str">
        <f t="shared" si="147"/>
        <v/>
      </c>
      <c r="AB630" s="49" t="str">
        <f t="shared" si="148"/>
        <v/>
      </c>
      <c r="AC630" s="50" t="str">
        <f>IF(AB630="","",SUMIF($B$4:$B$1002,B630,$AB$4:$AB$1000))</f>
        <v/>
      </c>
      <c r="AD630" s="69"/>
      <c r="AE630" s="56"/>
      <c r="AF630" s="52"/>
      <c r="AG630" s="51"/>
      <c r="AH630" s="70"/>
      <c r="AI630" s="58"/>
      <c r="AJ630" s="55"/>
      <c r="AK630" s="51"/>
      <c r="AL630" s="69"/>
      <c r="AM630" s="56"/>
      <c r="AN630" s="52"/>
      <c r="AO630" s="51"/>
      <c r="AP630" s="70"/>
      <c r="AQ630" s="58"/>
      <c r="AR630" s="55"/>
      <c r="AS630" s="51"/>
      <c r="AT630" s="69"/>
      <c r="AU630" s="56"/>
      <c r="AV630" s="52"/>
      <c r="AW630" s="51"/>
      <c r="BR630" s="34" t="str">
        <f>IF(E630="","",CONCATENATE(E630," ",F630," noches"))</f>
        <v/>
      </c>
      <c r="BS630" s="28" t="str">
        <f t="shared" ca="1" si="149"/>
        <v/>
      </c>
      <c r="BT630" s="28" t="str">
        <f t="shared" ca="1" si="150"/>
        <v/>
      </c>
    </row>
    <row r="631" spans="1:72" x14ac:dyDescent="0.2">
      <c r="A631" s="18" t="str" cm="1">
        <f t="array" aca="1" ref="A631" ca="1">IF(B631="","","Grupo N˚"&amp;SUMPRODUCT(($B$4:B631&lt;&gt;"")*($B$4:B631&lt;&gt;OFFSET($B$4,-1,0,ROWS($B$4:B631),1))))</f>
        <v/>
      </c>
      <c r="B631" s="31"/>
      <c r="C631" s="31"/>
      <c r="D631" s="31"/>
      <c r="E631" s="31"/>
      <c r="F631" s="32"/>
      <c r="G631" s="33"/>
      <c r="H631" s="33"/>
      <c r="I631" s="20" t="str">
        <f t="shared" si="139"/>
        <v/>
      </c>
      <c r="J631" s="21" t="str">
        <f>IFERROR(VLOOKUP(BR631,Pricing!$D$3:$E$58,2,FALSE),"")</f>
        <v/>
      </c>
      <c r="K631" s="32"/>
      <c r="L631" s="32"/>
      <c r="M631" s="32"/>
      <c r="N631" s="36" t="str" cm="1">
        <f t="array" ref="N631">IFERROR(_xlfn.IFS((AND(K631="SI",M631="$")),J631*0.2,AND(K631="SI",M631="%"),20),"")</f>
        <v/>
      </c>
      <c r="O631" s="29" t="str">
        <f t="shared" si="140"/>
        <v/>
      </c>
      <c r="P631" s="21" t="str">
        <f t="shared" si="141"/>
        <v/>
      </c>
      <c r="Q631" s="21" t="str">
        <f t="shared" si="142"/>
        <v/>
      </c>
      <c r="R631" s="21" t="str">
        <f t="shared" si="143"/>
        <v/>
      </c>
      <c r="S631" s="39"/>
      <c r="T631" s="43" t="str">
        <f t="shared" si="151"/>
        <v/>
      </c>
      <c r="U631" s="49" t="str">
        <f t="shared" si="152"/>
        <v/>
      </c>
      <c r="V631" s="48" t="str">
        <f t="shared" si="153"/>
        <v/>
      </c>
      <c r="W631" s="48" t="str">
        <f t="shared" si="144"/>
        <v/>
      </c>
      <c r="X631" s="50" t="str">
        <f>IF(W631="","",SUMIF($B$4:$B$1002,B631,$W$4:$W$1000))</f>
        <v/>
      </c>
      <c r="Y631" s="43" t="str">
        <f t="shared" si="145"/>
        <v/>
      </c>
      <c r="Z631" s="49" t="str">
        <f t="shared" si="146"/>
        <v/>
      </c>
      <c r="AA631" s="48" t="str">
        <f t="shared" si="147"/>
        <v/>
      </c>
      <c r="AB631" s="49" t="str">
        <f t="shared" si="148"/>
        <v/>
      </c>
      <c r="AC631" s="50" t="str">
        <f>IF(AB631="","",SUMIF($B$4:$B$1002,B631,$AB$4:$AB$1000))</f>
        <v/>
      </c>
      <c r="AD631" s="69"/>
      <c r="AE631" s="56"/>
      <c r="AF631" s="52"/>
      <c r="AG631" s="51"/>
      <c r="AH631" s="70"/>
      <c r="AI631" s="58"/>
      <c r="AJ631" s="55"/>
      <c r="AK631" s="51"/>
      <c r="AL631" s="69"/>
      <c r="AM631" s="56"/>
      <c r="AN631" s="52"/>
      <c r="AO631" s="51"/>
      <c r="AP631" s="70"/>
      <c r="AQ631" s="58"/>
      <c r="AR631" s="55"/>
      <c r="AS631" s="51"/>
      <c r="AT631" s="69"/>
      <c r="AU631" s="56"/>
      <c r="AV631" s="52"/>
      <c r="AW631" s="51"/>
      <c r="BR631" s="34" t="str">
        <f>IF(E631="","",CONCATENATE(E631," ",F631," noches"))</f>
        <v/>
      </c>
      <c r="BS631" s="28" t="str">
        <f t="shared" ca="1" si="149"/>
        <v/>
      </c>
      <c r="BT631" s="28" t="str">
        <f t="shared" ca="1" si="150"/>
        <v/>
      </c>
    </row>
    <row r="632" spans="1:72" x14ac:dyDescent="0.2">
      <c r="A632" s="18" t="str" cm="1">
        <f t="array" aca="1" ref="A632" ca="1">IF(B632="","","Grupo N˚"&amp;SUMPRODUCT(($B$4:B632&lt;&gt;"")*($B$4:B632&lt;&gt;OFFSET($B$4,-1,0,ROWS($B$4:B632),1))))</f>
        <v/>
      </c>
      <c r="B632" s="31"/>
      <c r="C632" s="31"/>
      <c r="D632" s="31"/>
      <c r="E632" s="31"/>
      <c r="F632" s="32"/>
      <c r="G632" s="33"/>
      <c r="H632" s="33"/>
      <c r="I632" s="20" t="str">
        <f t="shared" si="139"/>
        <v/>
      </c>
      <c r="J632" s="21" t="str">
        <f>IFERROR(VLOOKUP(BR632,Pricing!$D$3:$E$58,2,FALSE),"")</f>
        <v/>
      </c>
      <c r="K632" s="32"/>
      <c r="L632" s="32"/>
      <c r="M632" s="32"/>
      <c r="N632" s="36" t="str" cm="1">
        <f t="array" ref="N632">IFERROR(_xlfn.IFS((AND(K632="SI",M632="$")),J632*0.2,AND(K632="SI",M632="%"),20),"")</f>
        <v/>
      </c>
      <c r="O632" s="29" t="str">
        <f t="shared" si="140"/>
        <v/>
      </c>
      <c r="P632" s="21" t="str">
        <f t="shared" si="141"/>
        <v/>
      </c>
      <c r="Q632" s="21" t="str">
        <f t="shared" si="142"/>
        <v/>
      </c>
      <c r="R632" s="21" t="str">
        <f t="shared" si="143"/>
        <v/>
      </c>
      <c r="S632" s="39"/>
      <c r="T632" s="43" t="str">
        <f t="shared" si="151"/>
        <v/>
      </c>
      <c r="U632" s="49" t="str">
        <f t="shared" si="152"/>
        <v/>
      </c>
      <c r="V632" s="48" t="str">
        <f t="shared" si="153"/>
        <v/>
      </c>
      <c r="W632" s="48" t="str">
        <f t="shared" si="144"/>
        <v/>
      </c>
      <c r="X632" s="50" t="str">
        <f>IF(W632="","",SUMIF($B$4:$B$1002,B632,$W$4:$W$1000))</f>
        <v/>
      </c>
      <c r="Y632" s="43" t="str">
        <f t="shared" si="145"/>
        <v/>
      </c>
      <c r="Z632" s="49" t="str">
        <f t="shared" si="146"/>
        <v/>
      </c>
      <c r="AA632" s="48" t="str">
        <f t="shared" si="147"/>
        <v/>
      </c>
      <c r="AB632" s="49" t="str">
        <f t="shared" si="148"/>
        <v/>
      </c>
      <c r="AC632" s="50" t="str">
        <f>IF(AB632="","",SUMIF($B$4:$B$1002,B632,$AB$4:$AB$1000))</f>
        <v/>
      </c>
      <c r="AD632" s="69"/>
      <c r="AE632" s="56"/>
      <c r="AF632" s="52"/>
      <c r="AG632" s="51"/>
      <c r="AH632" s="70"/>
      <c r="AI632" s="58"/>
      <c r="AJ632" s="55"/>
      <c r="AK632" s="51"/>
      <c r="AL632" s="69"/>
      <c r="AM632" s="56"/>
      <c r="AN632" s="52"/>
      <c r="AO632" s="51"/>
      <c r="AP632" s="70"/>
      <c r="AQ632" s="58"/>
      <c r="AR632" s="55"/>
      <c r="AS632" s="51"/>
      <c r="AT632" s="69"/>
      <c r="AU632" s="56"/>
      <c r="AV632" s="52"/>
      <c r="AW632" s="51"/>
      <c r="BR632" s="34" t="str">
        <f>IF(E632="","",CONCATENATE(E632," ",F632," noches"))</f>
        <v/>
      </c>
      <c r="BS632" s="28" t="str">
        <f t="shared" ca="1" si="149"/>
        <v/>
      </c>
      <c r="BT632" s="28" t="str">
        <f t="shared" ca="1" si="150"/>
        <v/>
      </c>
    </row>
    <row r="633" spans="1:72" x14ac:dyDescent="0.2">
      <c r="A633" s="18" t="str" cm="1">
        <f t="array" aca="1" ref="A633" ca="1">IF(B633="","","Grupo N˚"&amp;SUMPRODUCT(($B$4:B633&lt;&gt;"")*($B$4:B633&lt;&gt;OFFSET($B$4,-1,0,ROWS($B$4:B633),1))))</f>
        <v/>
      </c>
      <c r="B633" s="31"/>
      <c r="C633" s="31"/>
      <c r="D633" s="31"/>
      <c r="E633" s="31"/>
      <c r="F633" s="32"/>
      <c r="G633" s="33"/>
      <c r="H633" s="33"/>
      <c r="I633" s="20" t="str">
        <f t="shared" si="139"/>
        <v/>
      </c>
      <c r="J633" s="21" t="str">
        <f>IFERROR(VLOOKUP(BR633,Pricing!$D$3:$E$58,2,FALSE),"")</f>
        <v/>
      </c>
      <c r="K633" s="32"/>
      <c r="L633" s="32"/>
      <c r="M633" s="32"/>
      <c r="N633" s="36" t="str" cm="1">
        <f t="array" ref="N633">IFERROR(_xlfn.IFS((AND(K633="SI",M633="$")),J633*0.2,AND(K633="SI",M633="%"),20),"")</f>
        <v/>
      </c>
      <c r="O633" s="29" t="str">
        <f t="shared" si="140"/>
        <v/>
      </c>
      <c r="P633" s="21" t="str">
        <f t="shared" si="141"/>
        <v/>
      </c>
      <c r="Q633" s="21" t="str">
        <f t="shared" si="142"/>
        <v/>
      </c>
      <c r="R633" s="21" t="str">
        <f t="shared" si="143"/>
        <v/>
      </c>
      <c r="S633" s="39"/>
      <c r="T633" s="43" t="str">
        <f t="shared" si="151"/>
        <v/>
      </c>
      <c r="U633" s="49" t="str">
        <f t="shared" si="152"/>
        <v/>
      </c>
      <c r="V633" s="48" t="str">
        <f t="shared" si="153"/>
        <v/>
      </c>
      <c r="W633" s="48" t="str">
        <f t="shared" si="144"/>
        <v/>
      </c>
      <c r="X633" s="50" t="str">
        <f>IF(W633="","",SUMIF($B$4:$B$1002,B633,$W$4:$W$1000))</f>
        <v/>
      </c>
      <c r="Y633" s="43" t="str">
        <f t="shared" si="145"/>
        <v/>
      </c>
      <c r="Z633" s="49" t="str">
        <f t="shared" si="146"/>
        <v/>
      </c>
      <c r="AA633" s="48" t="str">
        <f t="shared" si="147"/>
        <v/>
      </c>
      <c r="AB633" s="49" t="str">
        <f t="shared" si="148"/>
        <v/>
      </c>
      <c r="AC633" s="50" t="str">
        <f>IF(AB633="","",SUMIF($B$4:$B$1002,B633,$AB$4:$AB$1000))</f>
        <v/>
      </c>
      <c r="AD633" s="69"/>
      <c r="AE633" s="56"/>
      <c r="AF633" s="52"/>
      <c r="AG633" s="51"/>
      <c r="AH633" s="70"/>
      <c r="AI633" s="58"/>
      <c r="AJ633" s="55"/>
      <c r="AK633" s="51"/>
      <c r="AL633" s="69"/>
      <c r="AM633" s="56"/>
      <c r="AN633" s="52"/>
      <c r="AO633" s="51"/>
      <c r="AP633" s="70"/>
      <c r="AQ633" s="58"/>
      <c r="AR633" s="55"/>
      <c r="AS633" s="51"/>
      <c r="AT633" s="69"/>
      <c r="AU633" s="56"/>
      <c r="AV633" s="52"/>
      <c r="AW633" s="51"/>
      <c r="BR633" s="34" t="str">
        <f>IF(E633="","",CONCATENATE(E633," ",F633," noches"))</f>
        <v/>
      </c>
      <c r="BS633" s="28" t="str">
        <f t="shared" ca="1" si="149"/>
        <v/>
      </c>
      <c r="BT633" s="28" t="str">
        <f t="shared" ca="1" si="150"/>
        <v/>
      </c>
    </row>
    <row r="634" spans="1:72" x14ac:dyDescent="0.2">
      <c r="A634" s="18" t="str" cm="1">
        <f t="array" aca="1" ref="A634" ca="1">IF(B634="","","Grupo N˚"&amp;SUMPRODUCT(($B$4:B634&lt;&gt;"")*($B$4:B634&lt;&gt;OFFSET($B$4,-1,0,ROWS($B$4:B634),1))))</f>
        <v/>
      </c>
      <c r="B634" s="31"/>
      <c r="C634" s="31"/>
      <c r="D634" s="31"/>
      <c r="E634" s="31"/>
      <c r="F634" s="32"/>
      <c r="G634" s="33"/>
      <c r="H634" s="33"/>
      <c r="I634" s="20" t="str">
        <f t="shared" si="139"/>
        <v/>
      </c>
      <c r="J634" s="21" t="str">
        <f>IFERROR(VLOOKUP(BR634,Pricing!$D$3:$E$58,2,FALSE),"")</f>
        <v/>
      </c>
      <c r="K634" s="32"/>
      <c r="L634" s="32"/>
      <c r="M634" s="32"/>
      <c r="N634" s="36" t="str" cm="1">
        <f t="array" ref="N634">IFERROR(_xlfn.IFS((AND(K634="SI",M634="$")),J634*0.2,AND(K634="SI",M634="%"),20),"")</f>
        <v/>
      </c>
      <c r="O634" s="29" t="str">
        <f t="shared" si="140"/>
        <v/>
      </c>
      <c r="P634" s="21" t="str">
        <f t="shared" si="141"/>
        <v/>
      </c>
      <c r="Q634" s="21" t="str">
        <f t="shared" si="142"/>
        <v/>
      </c>
      <c r="R634" s="21" t="str">
        <f t="shared" si="143"/>
        <v/>
      </c>
      <c r="S634" s="39"/>
      <c r="T634" s="43" t="str">
        <f t="shared" si="151"/>
        <v/>
      </c>
      <c r="U634" s="49" t="str">
        <f t="shared" si="152"/>
        <v/>
      </c>
      <c r="V634" s="48" t="str">
        <f t="shared" si="153"/>
        <v/>
      </c>
      <c r="W634" s="48" t="str">
        <f t="shared" si="144"/>
        <v/>
      </c>
      <c r="X634" s="50" t="str">
        <f>IF(W634="","",SUMIF($B$4:$B$1002,B634,$W$4:$W$1000))</f>
        <v/>
      </c>
      <c r="Y634" s="43" t="str">
        <f t="shared" si="145"/>
        <v/>
      </c>
      <c r="Z634" s="49" t="str">
        <f t="shared" si="146"/>
        <v/>
      </c>
      <c r="AA634" s="48" t="str">
        <f t="shared" si="147"/>
        <v/>
      </c>
      <c r="AB634" s="49" t="str">
        <f t="shared" si="148"/>
        <v/>
      </c>
      <c r="AC634" s="50" t="str">
        <f>IF(AB634="","",SUMIF($B$4:$B$1002,B634,$AB$4:$AB$1000))</f>
        <v/>
      </c>
      <c r="AD634" s="69"/>
      <c r="AE634" s="56"/>
      <c r="AF634" s="52"/>
      <c r="AG634" s="51"/>
      <c r="AH634" s="70"/>
      <c r="AI634" s="58"/>
      <c r="AJ634" s="55"/>
      <c r="AK634" s="51"/>
      <c r="AL634" s="69"/>
      <c r="AM634" s="56"/>
      <c r="AN634" s="52"/>
      <c r="AO634" s="51"/>
      <c r="AP634" s="70"/>
      <c r="AQ634" s="58"/>
      <c r="AR634" s="55"/>
      <c r="AS634" s="51"/>
      <c r="AT634" s="69"/>
      <c r="AU634" s="56"/>
      <c r="AV634" s="52"/>
      <c r="AW634" s="51"/>
      <c r="BR634" s="34" t="str">
        <f>IF(E634="","",CONCATENATE(E634," ",F634," noches"))</f>
        <v/>
      </c>
      <c r="BS634" s="28" t="str">
        <f t="shared" ca="1" si="149"/>
        <v/>
      </c>
      <c r="BT634" s="28" t="str">
        <f t="shared" ca="1" si="150"/>
        <v/>
      </c>
    </row>
    <row r="635" spans="1:72" x14ac:dyDescent="0.2">
      <c r="A635" s="18" t="str" cm="1">
        <f t="array" aca="1" ref="A635" ca="1">IF(B635="","","Grupo N˚"&amp;SUMPRODUCT(($B$4:B635&lt;&gt;"")*($B$4:B635&lt;&gt;OFFSET($B$4,-1,0,ROWS($B$4:B635),1))))</f>
        <v/>
      </c>
      <c r="B635" s="31"/>
      <c r="C635" s="31"/>
      <c r="D635" s="31"/>
      <c r="E635" s="31"/>
      <c r="F635" s="32"/>
      <c r="G635" s="33"/>
      <c r="H635" s="33"/>
      <c r="I635" s="20" t="str">
        <f t="shared" si="139"/>
        <v/>
      </c>
      <c r="J635" s="21" t="str">
        <f>IFERROR(VLOOKUP(BR635,Pricing!$D$3:$E$58,2,FALSE),"")</f>
        <v/>
      </c>
      <c r="K635" s="32"/>
      <c r="L635" s="32"/>
      <c r="M635" s="32"/>
      <c r="N635" s="36" t="str" cm="1">
        <f t="array" ref="N635">IFERROR(_xlfn.IFS((AND(K635="SI",M635="$")),J635*0.2,AND(K635="SI",M635="%"),20),"")</f>
        <v/>
      </c>
      <c r="O635" s="29" t="str">
        <f t="shared" si="140"/>
        <v/>
      </c>
      <c r="P635" s="21" t="str">
        <f t="shared" si="141"/>
        <v/>
      </c>
      <c r="Q635" s="21" t="str">
        <f t="shared" si="142"/>
        <v/>
      </c>
      <c r="R635" s="21" t="str">
        <f t="shared" si="143"/>
        <v/>
      </c>
      <c r="S635" s="39"/>
      <c r="T635" s="43" t="str">
        <f t="shared" si="151"/>
        <v/>
      </c>
      <c r="U635" s="49" t="str">
        <f t="shared" si="152"/>
        <v/>
      </c>
      <c r="V635" s="48" t="str">
        <f t="shared" si="153"/>
        <v/>
      </c>
      <c r="W635" s="48" t="str">
        <f t="shared" si="144"/>
        <v/>
      </c>
      <c r="X635" s="50" t="str">
        <f>IF(W635="","",SUMIF($B$4:$B$1002,B635,$W$4:$W$1000))</f>
        <v/>
      </c>
      <c r="Y635" s="43" t="str">
        <f t="shared" si="145"/>
        <v/>
      </c>
      <c r="Z635" s="49" t="str">
        <f t="shared" si="146"/>
        <v/>
      </c>
      <c r="AA635" s="48" t="str">
        <f t="shared" si="147"/>
        <v/>
      </c>
      <c r="AB635" s="49" t="str">
        <f t="shared" si="148"/>
        <v/>
      </c>
      <c r="AC635" s="50" t="str">
        <f>IF(AB635="","",SUMIF($B$4:$B$1002,B635,$AB$4:$AB$1000))</f>
        <v/>
      </c>
      <c r="AD635" s="69"/>
      <c r="AE635" s="56"/>
      <c r="AF635" s="52"/>
      <c r="AG635" s="51"/>
      <c r="AH635" s="70"/>
      <c r="AI635" s="58"/>
      <c r="AJ635" s="55"/>
      <c r="AK635" s="51"/>
      <c r="AL635" s="69"/>
      <c r="AM635" s="56"/>
      <c r="AN635" s="52"/>
      <c r="AO635" s="51"/>
      <c r="AP635" s="70"/>
      <c r="AQ635" s="58"/>
      <c r="AR635" s="55"/>
      <c r="AS635" s="51"/>
      <c r="AT635" s="69"/>
      <c r="AU635" s="56"/>
      <c r="AV635" s="52"/>
      <c r="AW635" s="51"/>
      <c r="BR635" s="34" t="str">
        <f>IF(E635="","",CONCATENATE(E635," ",F635," noches"))</f>
        <v/>
      </c>
      <c r="BS635" s="28" t="str">
        <f t="shared" ca="1" si="149"/>
        <v/>
      </c>
      <c r="BT635" s="28" t="str">
        <f t="shared" ca="1" si="150"/>
        <v/>
      </c>
    </row>
    <row r="636" spans="1:72" x14ac:dyDescent="0.2">
      <c r="A636" s="18" t="str" cm="1">
        <f t="array" aca="1" ref="A636" ca="1">IF(B636="","","Grupo N˚"&amp;SUMPRODUCT(($B$4:B636&lt;&gt;"")*($B$4:B636&lt;&gt;OFFSET($B$4,-1,0,ROWS($B$4:B636),1))))</f>
        <v/>
      </c>
      <c r="B636" s="31"/>
      <c r="C636" s="31"/>
      <c r="D636" s="31"/>
      <c r="E636" s="31"/>
      <c r="F636" s="32"/>
      <c r="G636" s="33"/>
      <c r="H636" s="33"/>
      <c r="I636" s="20" t="str">
        <f t="shared" si="139"/>
        <v/>
      </c>
      <c r="J636" s="21" t="str">
        <f>IFERROR(VLOOKUP(BR636,Pricing!$D$3:$E$58,2,FALSE),"")</f>
        <v/>
      </c>
      <c r="K636" s="32"/>
      <c r="L636" s="32"/>
      <c r="M636" s="32"/>
      <c r="N636" s="36" t="str" cm="1">
        <f t="array" ref="N636">IFERROR(_xlfn.IFS((AND(K636="SI",M636="$")),J636*0.2,AND(K636="SI",M636="%"),20),"")</f>
        <v/>
      </c>
      <c r="O636" s="29" t="str">
        <f t="shared" si="140"/>
        <v/>
      </c>
      <c r="P636" s="21" t="str">
        <f t="shared" si="141"/>
        <v/>
      </c>
      <c r="Q636" s="21" t="str">
        <f t="shared" si="142"/>
        <v/>
      </c>
      <c r="R636" s="21" t="str">
        <f t="shared" si="143"/>
        <v/>
      </c>
      <c r="S636" s="39"/>
      <c r="T636" s="43" t="str">
        <f t="shared" si="151"/>
        <v/>
      </c>
      <c r="U636" s="49" t="str">
        <f t="shared" si="152"/>
        <v/>
      </c>
      <c r="V636" s="48" t="str">
        <f t="shared" si="153"/>
        <v/>
      </c>
      <c r="W636" s="48" t="str">
        <f t="shared" si="144"/>
        <v/>
      </c>
      <c r="X636" s="50" t="str">
        <f>IF(W636="","",SUMIF($B$4:$B$1002,B636,$W$4:$W$1000))</f>
        <v/>
      </c>
      <c r="Y636" s="43" t="str">
        <f t="shared" si="145"/>
        <v/>
      </c>
      <c r="Z636" s="49" t="str">
        <f t="shared" si="146"/>
        <v/>
      </c>
      <c r="AA636" s="48" t="str">
        <f t="shared" si="147"/>
        <v/>
      </c>
      <c r="AB636" s="49" t="str">
        <f t="shared" si="148"/>
        <v/>
      </c>
      <c r="AC636" s="50" t="str">
        <f>IF(AB636="","",SUMIF($B$4:$B$1002,B636,$AB$4:$AB$1000))</f>
        <v/>
      </c>
      <c r="AD636" s="69"/>
      <c r="AE636" s="56"/>
      <c r="AF636" s="52"/>
      <c r="AG636" s="51"/>
      <c r="AH636" s="70"/>
      <c r="AI636" s="58"/>
      <c r="AJ636" s="55"/>
      <c r="AK636" s="51"/>
      <c r="AL636" s="69"/>
      <c r="AM636" s="56"/>
      <c r="AN636" s="52"/>
      <c r="AO636" s="51"/>
      <c r="AP636" s="70"/>
      <c r="AQ636" s="58"/>
      <c r="AR636" s="55"/>
      <c r="AS636" s="51"/>
      <c r="AT636" s="69"/>
      <c r="AU636" s="56"/>
      <c r="AV636" s="52"/>
      <c r="AW636" s="51"/>
      <c r="BR636" s="34" t="str">
        <f>IF(E636="","",CONCATENATE(E636," ",F636," noches"))</f>
        <v/>
      </c>
      <c r="BS636" s="28" t="str">
        <f t="shared" ca="1" si="149"/>
        <v/>
      </c>
      <c r="BT636" s="28" t="str">
        <f t="shared" ca="1" si="150"/>
        <v/>
      </c>
    </row>
    <row r="637" spans="1:72" x14ac:dyDescent="0.2">
      <c r="A637" s="18" t="str" cm="1">
        <f t="array" aca="1" ref="A637" ca="1">IF(B637="","","Grupo N˚"&amp;SUMPRODUCT(($B$4:B637&lt;&gt;"")*($B$4:B637&lt;&gt;OFFSET($B$4,-1,0,ROWS($B$4:B637),1))))</f>
        <v/>
      </c>
      <c r="B637" s="31"/>
      <c r="C637" s="31"/>
      <c r="D637" s="31"/>
      <c r="E637" s="31"/>
      <c r="F637" s="32"/>
      <c r="G637" s="33"/>
      <c r="H637" s="33"/>
      <c r="I637" s="20" t="str">
        <f t="shared" si="139"/>
        <v/>
      </c>
      <c r="J637" s="21" t="str">
        <f>IFERROR(VLOOKUP(BR637,Pricing!$D$3:$E$58,2,FALSE),"")</f>
        <v/>
      </c>
      <c r="K637" s="32"/>
      <c r="L637" s="32"/>
      <c r="M637" s="32"/>
      <c r="N637" s="36" t="str" cm="1">
        <f t="array" ref="N637">IFERROR(_xlfn.IFS((AND(K637="SI",M637="$")),J637*0.2,AND(K637="SI",M637="%"),20),"")</f>
        <v/>
      </c>
      <c r="O637" s="29" t="str">
        <f t="shared" si="140"/>
        <v/>
      </c>
      <c r="P637" s="21" t="str">
        <f t="shared" si="141"/>
        <v/>
      </c>
      <c r="Q637" s="21" t="str">
        <f t="shared" si="142"/>
        <v/>
      </c>
      <c r="R637" s="21" t="str">
        <f t="shared" si="143"/>
        <v/>
      </c>
      <c r="S637" s="39"/>
      <c r="T637" s="43" t="str">
        <f t="shared" si="151"/>
        <v/>
      </c>
      <c r="U637" s="49" t="str">
        <f t="shared" si="152"/>
        <v/>
      </c>
      <c r="V637" s="48" t="str">
        <f t="shared" si="153"/>
        <v/>
      </c>
      <c r="W637" s="48" t="str">
        <f t="shared" si="144"/>
        <v/>
      </c>
      <c r="X637" s="50" t="str">
        <f>IF(W637="","",SUMIF($B$4:$B$1002,B637,$W$4:$W$1000))</f>
        <v/>
      </c>
      <c r="Y637" s="43" t="str">
        <f t="shared" si="145"/>
        <v/>
      </c>
      <c r="Z637" s="49" t="str">
        <f t="shared" si="146"/>
        <v/>
      </c>
      <c r="AA637" s="48" t="str">
        <f t="shared" si="147"/>
        <v/>
      </c>
      <c r="AB637" s="49" t="str">
        <f t="shared" si="148"/>
        <v/>
      </c>
      <c r="AC637" s="50" t="str">
        <f>IF(AB637="","",SUMIF($B$4:$B$1002,B637,$AB$4:$AB$1000))</f>
        <v/>
      </c>
      <c r="AD637" s="69"/>
      <c r="AE637" s="56"/>
      <c r="AF637" s="52"/>
      <c r="AG637" s="51"/>
      <c r="AH637" s="70"/>
      <c r="AI637" s="58"/>
      <c r="AJ637" s="55"/>
      <c r="AK637" s="51"/>
      <c r="AL637" s="69"/>
      <c r="AM637" s="56"/>
      <c r="AN637" s="52"/>
      <c r="AO637" s="51"/>
      <c r="AP637" s="70"/>
      <c r="AQ637" s="58"/>
      <c r="AR637" s="55"/>
      <c r="AS637" s="51"/>
      <c r="AT637" s="69"/>
      <c r="AU637" s="56"/>
      <c r="AV637" s="52"/>
      <c r="AW637" s="51"/>
      <c r="BR637" s="34" t="str">
        <f>IF(E637="","",CONCATENATE(E637," ",F637," noches"))</f>
        <v/>
      </c>
      <c r="BS637" s="28" t="str">
        <f t="shared" ca="1" si="149"/>
        <v/>
      </c>
      <c r="BT637" s="28" t="str">
        <f t="shared" ca="1" si="150"/>
        <v/>
      </c>
    </row>
    <row r="638" spans="1:72" x14ac:dyDescent="0.2">
      <c r="A638" s="18" t="str" cm="1">
        <f t="array" aca="1" ref="A638" ca="1">IF(B638="","","Grupo N˚"&amp;SUMPRODUCT(($B$4:B638&lt;&gt;"")*($B$4:B638&lt;&gt;OFFSET($B$4,-1,0,ROWS($B$4:B638),1))))</f>
        <v/>
      </c>
      <c r="B638" s="31"/>
      <c r="C638" s="31"/>
      <c r="D638" s="31"/>
      <c r="E638" s="31"/>
      <c r="F638" s="32"/>
      <c r="G638" s="33"/>
      <c r="H638" s="33"/>
      <c r="I638" s="20" t="str">
        <f t="shared" si="139"/>
        <v/>
      </c>
      <c r="J638" s="21" t="str">
        <f>IFERROR(VLOOKUP(BR638,Pricing!$D$3:$E$58,2,FALSE),"")</f>
        <v/>
      </c>
      <c r="K638" s="32"/>
      <c r="L638" s="32"/>
      <c r="M638" s="32"/>
      <c r="N638" s="36" t="str" cm="1">
        <f t="array" ref="N638">IFERROR(_xlfn.IFS((AND(K638="SI",M638="$")),J638*0.2,AND(K638="SI",M638="%"),20),"")</f>
        <v/>
      </c>
      <c r="O638" s="29" t="str">
        <f t="shared" si="140"/>
        <v/>
      </c>
      <c r="P638" s="21" t="str">
        <f t="shared" si="141"/>
        <v/>
      </c>
      <c r="Q638" s="21" t="str">
        <f t="shared" si="142"/>
        <v/>
      </c>
      <c r="R638" s="21" t="str">
        <f t="shared" si="143"/>
        <v/>
      </c>
      <c r="S638" s="39"/>
      <c r="T638" s="43" t="str">
        <f t="shared" si="151"/>
        <v/>
      </c>
      <c r="U638" s="49" t="str">
        <f t="shared" si="152"/>
        <v/>
      </c>
      <c r="V638" s="48" t="str">
        <f t="shared" si="153"/>
        <v/>
      </c>
      <c r="W638" s="48" t="str">
        <f t="shared" si="144"/>
        <v/>
      </c>
      <c r="X638" s="50" t="str">
        <f>IF(W638="","",SUMIF($B$4:$B$1002,B638,$W$4:$W$1000))</f>
        <v/>
      </c>
      <c r="Y638" s="43" t="str">
        <f t="shared" si="145"/>
        <v/>
      </c>
      <c r="Z638" s="49" t="str">
        <f t="shared" si="146"/>
        <v/>
      </c>
      <c r="AA638" s="48" t="str">
        <f t="shared" si="147"/>
        <v/>
      </c>
      <c r="AB638" s="49" t="str">
        <f t="shared" si="148"/>
        <v/>
      </c>
      <c r="AC638" s="50" t="str">
        <f>IF(AB638="","",SUMIF($B$4:$B$1002,B638,$AB$4:$AB$1000))</f>
        <v/>
      </c>
      <c r="AD638" s="69"/>
      <c r="AE638" s="56"/>
      <c r="AF638" s="52"/>
      <c r="AG638" s="51"/>
      <c r="AH638" s="70"/>
      <c r="AI638" s="58"/>
      <c r="AJ638" s="55"/>
      <c r="AK638" s="51"/>
      <c r="AL638" s="69"/>
      <c r="AM638" s="56"/>
      <c r="AN638" s="52"/>
      <c r="AO638" s="51"/>
      <c r="AP638" s="70"/>
      <c r="AQ638" s="58"/>
      <c r="AR638" s="55"/>
      <c r="AS638" s="51"/>
      <c r="AT638" s="69"/>
      <c r="AU638" s="56"/>
      <c r="AV638" s="52"/>
      <c r="AW638" s="51"/>
      <c r="BR638" s="34" t="str">
        <f>IF(E638="","",CONCATENATE(E638," ",F638," noches"))</f>
        <v/>
      </c>
      <c r="BS638" s="28" t="str">
        <f t="shared" ca="1" si="149"/>
        <v/>
      </c>
      <c r="BT638" s="28" t="str">
        <f t="shared" ca="1" si="150"/>
        <v/>
      </c>
    </row>
    <row r="639" spans="1:72" x14ac:dyDescent="0.2">
      <c r="A639" s="18" t="str" cm="1">
        <f t="array" aca="1" ref="A639" ca="1">IF(B639="","","Grupo N˚"&amp;SUMPRODUCT(($B$4:B639&lt;&gt;"")*($B$4:B639&lt;&gt;OFFSET($B$4,-1,0,ROWS($B$4:B639),1))))</f>
        <v/>
      </c>
      <c r="B639" s="31"/>
      <c r="C639" s="31"/>
      <c r="D639" s="31"/>
      <c r="E639" s="31"/>
      <c r="F639" s="32"/>
      <c r="G639" s="33"/>
      <c r="H639" s="33"/>
      <c r="I639" s="20" t="str">
        <f t="shared" si="139"/>
        <v/>
      </c>
      <c r="J639" s="21" t="str">
        <f>IFERROR(VLOOKUP(BR639,Pricing!$D$3:$E$58,2,FALSE),"")</f>
        <v/>
      </c>
      <c r="K639" s="32"/>
      <c r="L639" s="32"/>
      <c r="M639" s="32"/>
      <c r="N639" s="36" t="str" cm="1">
        <f t="array" ref="N639">IFERROR(_xlfn.IFS((AND(K639="SI",M639="$")),J639*0.2,AND(K639="SI",M639="%"),20),"")</f>
        <v/>
      </c>
      <c r="O639" s="29" t="str">
        <f t="shared" si="140"/>
        <v/>
      </c>
      <c r="P639" s="21" t="str">
        <f t="shared" si="141"/>
        <v/>
      </c>
      <c r="Q639" s="21" t="str">
        <f t="shared" si="142"/>
        <v/>
      </c>
      <c r="R639" s="21" t="str">
        <f t="shared" si="143"/>
        <v/>
      </c>
      <c r="S639" s="39"/>
      <c r="T639" s="43" t="str">
        <f t="shared" si="151"/>
        <v/>
      </c>
      <c r="U639" s="49" t="str">
        <f t="shared" si="152"/>
        <v/>
      </c>
      <c r="V639" s="48" t="str">
        <f t="shared" si="153"/>
        <v/>
      </c>
      <c r="W639" s="48" t="str">
        <f t="shared" si="144"/>
        <v/>
      </c>
      <c r="X639" s="50" t="str">
        <f>IF(W639="","",SUMIF($B$4:$B$1002,B639,$W$4:$W$1000))</f>
        <v/>
      </c>
      <c r="Y639" s="43" t="str">
        <f t="shared" si="145"/>
        <v/>
      </c>
      <c r="Z639" s="49" t="str">
        <f t="shared" si="146"/>
        <v/>
      </c>
      <c r="AA639" s="48" t="str">
        <f t="shared" si="147"/>
        <v/>
      </c>
      <c r="AB639" s="49" t="str">
        <f t="shared" si="148"/>
        <v/>
      </c>
      <c r="AC639" s="50" t="str">
        <f>IF(AB639="","",SUMIF($B$4:$B$1002,B639,$AB$4:$AB$1000))</f>
        <v/>
      </c>
      <c r="AD639" s="69"/>
      <c r="AE639" s="56"/>
      <c r="AF639" s="52"/>
      <c r="AG639" s="51"/>
      <c r="AH639" s="70"/>
      <c r="AI639" s="58"/>
      <c r="AJ639" s="55"/>
      <c r="AK639" s="51"/>
      <c r="AL639" s="69"/>
      <c r="AM639" s="56"/>
      <c r="AN639" s="52"/>
      <c r="AO639" s="51"/>
      <c r="AP639" s="70"/>
      <c r="AQ639" s="58"/>
      <c r="AR639" s="55"/>
      <c r="AS639" s="51"/>
      <c r="AT639" s="69"/>
      <c r="AU639" s="56"/>
      <c r="AV639" s="52"/>
      <c r="AW639" s="51"/>
      <c r="BR639" s="34" t="str">
        <f>IF(E639="","",CONCATENATE(E639," ",F639," noches"))</f>
        <v/>
      </c>
      <c r="BS639" s="28" t="str">
        <f t="shared" ca="1" si="149"/>
        <v/>
      </c>
      <c r="BT639" s="28" t="str">
        <f t="shared" ca="1" si="150"/>
        <v/>
      </c>
    </row>
    <row r="640" spans="1:72" x14ac:dyDescent="0.2">
      <c r="A640" s="18" t="str" cm="1">
        <f t="array" aca="1" ref="A640" ca="1">IF(B640="","","Grupo N˚"&amp;SUMPRODUCT(($B$4:B640&lt;&gt;"")*($B$4:B640&lt;&gt;OFFSET($B$4,-1,0,ROWS($B$4:B640),1))))</f>
        <v/>
      </c>
      <c r="B640" s="31"/>
      <c r="C640" s="31"/>
      <c r="D640" s="31"/>
      <c r="E640" s="31"/>
      <c r="F640" s="32"/>
      <c r="G640" s="33"/>
      <c r="H640" s="33"/>
      <c r="I640" s="20" t="str">
        <f t="shared" si="139"/>
        <v/>
      </c>
      <c r="J640" s="21" t="str">
        <f>IFERROR(VLOOKUP(BR640,Pricing!$D$3:$E$58,2,FALSE),"")</f>
        <v/>
      </c>
      <c r="K640" s="32"/>
      <c r="L640" s="32"/>
      <c r="M640" s="32"/>
      <c r="N640" s="36" t="str" cm="1">
        <f t="array" ref="N640">IFERROR(_xlfn.IFS((AND(K640="SI",M640="$")),J640*0.2,AND(K640="SI",M640="%"),20),"")</f>
        <v/>
      </c>
      <c r="O640" s="29" t="str">
        <f t="shared" si="140"/>
        <v/>
      </c>
      <c r="P640" s="21" t="str">
        <f t="shared" si="141"/>
        <v/>
      </c>
      <c r="Q640" s="21" t="str">
        <f t="shared" si="142"/>
        <v/>
      </c>
      <c r="R640" s="21" t="str">
        <f t="shared" si="143"/>
        <v/>
      </c>
      <c r="S640" s="39"/>
      <c r="T640" s="43" t="str">
        <f t="shared" si="151"/>
        <v/>
      </c>
      <c r="U640" s="49" t="str">
        <f t="shared" si="152"/>
        <v/>
      </c>
      <c r="V640" s="48" t="str">
        <f t="shared" si="153"/>
        <v/>
      </c>
      <c r="W640" s="48" t="str">
        <f t="shared" si="144"/>
        <v/>
      </c>
      <c r="X640" s="50" t="str">
        <f>IF(W640="","",SUMIF($B$4:$B$1002,B640,$W$4:$W$1000))</f>
        <v/>
      </c>
      <c r="Y640" s="43" t="str">
        <f t="shared" si="145"/>
        <v/>
      </c>
      <c r="Z640" s="49" t="str">
        <f t="shared" si="146"/>
        <v/>
      </c>
      <c r="AA640" s="48" t="str">
        <f t="shared" si="147"/>
        <v/>
      </c>
      <c r="AB640" s="49" t="str">
        <f t="shared" si="148"/>
        <v/>
      </c>
      <c r="AC640" s="50" t="str">
        <f>IF(AB640="","",SUMIF($B$4:$B$1002,B640,$AB$4:$AB$1000))</f>
        <v/>
      </c>
      <c r="AD640" s="69"/>
      <c r="AE640" s="56"/>
      <c r="AF640" s="52"/>
      <c r="AG640" s="51"/>
      <c r="AH640" s="70"/>
      <c r="AI640" s="58"/>
      <c r="AJ640" s="55"/>
      <c r="AK640" s="51"/>
      <c r="AL640" s="69"/>
      <c r="AM640" s="56"/>
      <c r="AN640" s="52"/>
      <c r="AO640" s="51"/>
      <c r="AP640" s="70"/>
      <c r="AQ640" s="58"/>
      <c r="AR640" s="55"/>
      <c r="AS640" s="51"/>
      <c r="AT640" s="69"/>
      <c r="AU640" s="56"/>
      <c r="AV640" s="52"/>
      <c r="AW640" s="51"/>
      <c r="BR640" s="34" t="str">
        <f>IF(E640="","",CONCATENATE(E640," ",F640," noches"))</f>
        <v/>
      </c>
      <c r="BS640" s="28" t="str">
        <f t="shared" ca="1" si="149"/>
        <v/>
      </c>
      <c r="BT640" s="28" t="str">
        <f t="shared" ca="1" si="150"/>
        <v/>
      </c>
    </row>
    <row r="641" spans="1:72" x14ac:dyDescent="0.2">
      <c r="A641" s="18" t="str" cm="1">
        <f t="array" aca="1" ref="A641" ca="1">IF(B641="","","Grupo N˚"&amp;SUMPRODUCT(($B$4:B641&lt;&gt;"")*($B$4:B641&lt;&gt;OFFSET($B$4,-1,0,ROWS($B$4:B641),1))))</f>
        <v/>
      </c>
      <c r="B641" s="31"/>
      <c r="C641" s="31"/>
      <c r="D641" s="31"/>
      <c r="E641" s="31"/>
      <c r="F641" s="32"/>
      <c r="G641" s="33"/>
      <c r="H641" s="33"/>
      <c r="I641" s="20" t="str">
        <f t="shared" si="139"/>
        <v/>
      </c>
      <c r="J641" s="21" t="str">
        <f>IFERROR(VLOOKUP(BR641,Pricing!$D$3:$E$58,2,FALSE),"")</f>
        <v/>
      </c>
      <c r="K641" s="32"/>
      <c r="L641" s="32"/>
      <c r="M641" s="32"/>
      <c r="N641" s="36" t="str" cm="1">
        <f t="array" ref="N641">IFERROR(_xlfn.IFS((AND(K641="SI",M641="$")),J641*0.2,AND(K641="SI",M641="%"),20),"")</f>
        <v/>
      </c>
      <c r="O641" s="29" t="str">
        <f t="shared" si="140"/>
        <v/>
      </c>
      <c r="P641" s="21" t="str">
        <f t="shared" si="141"/>
        <v/>
      </c>
      <c r="Q641" s="21" t="str">
        <f t="shared" si="142"/>
        <v/>
      </c>
      <c r="R641" s="21" t="str">
        <f t="shared" si="143"/>
        <v/>
      </c>
      <c r="S641" s="39"/>
      <c r="T641" s="43" t="str">
        <f t="shared" si="151"/>
        <v/>
      </c>
      <c r="U641" s="49" t="str">
        <f t="shared" si="152"/>
        <v/>
      </c>
      <c r="V641" s="48" t="str">
        <f t="shared" si="153"/>
        <v/>
      </c>
      <c r="W641" s="48" t="str">
        <f t="shared" si="144"/>
        <v/>
      </c>
      <c r="X641" s="50" t="str">
        <f>IF(W641="","",SUMIF($B$4:$B$1002,B641,$W$4:$W$1000))</f>
        <v/>
      </c>
      <c r="Y641" s="43" t="str">
        <f t="shared" si="145"/>
        <v/>
      </c>
      <c r="Z641" s="49" t="str">
        <f t="shared" si="146"/>
        <v/>
      </c>
      <c r="AA641" s="48" t="str">
        <f t="shared" si="147"/>
        <v/>
      </c>
      <c r="AB641" s="49" t="str">
        <f t="shared" si="148"/>
        <v/>
      </c>
      <c r="AC641" s="50" t="str">
        <f>IF(AB641="","",SUMIF($B$4:$B$1002,B641,$AB$4:$AB$1000))</f>
        <v/>
      </c>
      <c r="AD641" s="69"/>
      <c r="AE641" s="56"/>
      <c r="AF641" s="52"/>
      <c r="AG641" s="51"/>
      <c r="AH641" s="70"/>
      <c r="AI641" s="58"/>
      <c r="AJ641" s="55"/>
      <c r="AK641" s="51"/>
      <c r="AL641" s="69"/>
      <c r="AM641" s="56"/>
      <c r="AN641" s="52"/>
      <c r="AO641" s="51"/>
      <c r="AP641" s="70"/>
      <c r="AQ641" s="58"/>
      <c r="AR641" s="55"/>
      <c r="AS641" s="51"/>
      <c r="AT641" s="69"/>
      <c r="AU641" s="56"/>
      <c r="AV641" s="52"/>
      <c r="AW641" s="51"/>
      <c r="BR641" s="34" t="str">
        <f>IF(E641="","",CONCATENATE(E641," ",F641," noches"))</f>
        <v/>
      </c>
      <c r="BS641" s="28" t="str">
        <f t="shared" ca="1" si="149"/>
        <v/>
      </c>
      <c r="BT641" s="28" t="str">
        <f t="shared" ca="1" si="150"/>
        <v/>
      </c>
    </row>
    <row r="642" spans="1:72" x14ac:dyDescent="0.2">
      <c r="A642" s="18" t="str" cm="1">
        <f t="array" aca="1" ref="A642" ca="1">IF(B642="","","Grupo N˚"&amp;SUMPRODUCT(($B$4:B642&lt;&gt;"")*($B$4:B642&lt;&gt;OFFSET($B$4,-1,0,ROWS($B$4:B642),1))))</f>
        <v/>
      </c>
      <c r="B642" s="31"/>
      <c r="C642" s="31"/>
      <c r="D642" s="31"/>
      <c r="E642" s="31"/>
      <c r="F642" s="32"/>
      <c r="G642" s="33"/>
      <c r="H642" s="33"/>
      <c r="I642" s="20" t="str">
        <f t="shared" si="139"/>
        <v/>
      </c>
      <c r="J642" s="21" t="str">
        <f>IFERROR(VLOOKUP(BR642,Pricing!$D$3:$E$58,2,FALSE),"")</f>
        <v/>
      </c>
      <c r="K642" s="32"/>
      <c r="L642" s="32"/>
      <c r="M642" s="32"/>
      <c r="N642" s="36" t="str" cm="1">
        <f t="array" ref="N642">IFERROR(_xlfn.IFS((AND(K642="SI",M642="$")),J642*0.2,AND(K642="SI",M642="%"),20),"")</f>
        <v/>
      </c>
      <c r="O642" s="29" t="str">
        <f t="shared" si="140"/>
        <v/>
      </c>
      <c r="P642" s="21" t="str">
        <f t="shared" si="141"/>
        <v/>
      </c>
      <c r="Q642" s="21" t="str">
        <f t="shared" si="142"/>
        <v/>
      </c>
      <c r="R642" s="21" t="str">
        <f t="shared" si="143"/>
        <v/>
      </c>
      <c r="S642" s="39"/>
      <c r="T642" s="43" t="str">
        <f t="shared" si="151"/>
        <v/>
      </c>
      <c r="U642" s="49" t="str">
        <f t="shared" si="152"/>
        <v/>
      </c>
      <c r="V642" s="48" t="str">
        <f t="shared" si="153"/>
        <v/>
      </c>
      <c r="W642" s="48" t="str">
        <f t="shared" si="144"/>
        <v/>
      </c>
      <c r="X642" s="50" t="str">
        <f>IF(W642="","",SUMIF($B$4:$B$1002,B642,$W$4:$W$1000))</f>
        <v/>
      </c>
      <c r="Y642" s="43" t="str">
        <f t="shared" si="145"/>
        <v/>
      </c>
      <c r="Z642" s="49" t="str">
        <f t="shared" si="146"/>
        <v/>
      </c>
      <c r="AA642" s="48" t="str">
        <f t="shared" si="147"/>
        <v/>
      </c>
      <c r="AB642" s="49" t="str">
        <f t="shared" si="148"/>
        <v/>
      </c>
      <c r="AC642" s="50" t="str">
        <f>IF(AB642="","",SUMIF($B$4:$B$1002,B642,$AB$4:$AB$1000))</f>
        <v/>
      </c>
      <c r="AD642" s="69"/>
      <c r="AE642" s="56"/>
      <c r="AF642" s="52"/>
      <c r="AG642" s="51"/>
      <c r="AH642" s="70"/>
      <c r="AI642" s="58"/>
      <c r="AJ642" s="55"/>
      <c r="AK642" s="51"/>
      <c r="AL642" s="69"/>
      <c r="AM642" s="56"/>
      <c r="AN642" s="52"/>
      <c r="AO642" s="51"/>
      <c r="AP642" s="70"/>
      <c r="AQ642" s="58"/>
      <c r="AR642" s="55"/>
      <c r="AS642" s="51"/>
      <c r="AT642" s="69"/>
      <c r="AU642" s="56"/>
      <c r="AV642" s="52"/>
      <c r="AW642" s="51"/>
      <c r="BR642" s="34" t="str">
        <f>IF(E642="","",CONCATENATE(E642," ",F642," noches"))</f>
        <v/>
      </c>
      <c r="BS642" s="28" t="str">
        <f t="shared" ca="1" si="149"/>
        <v/>
      </c>
      <c r="BT642" s="28" t="str">
        <f t="shared" ca="1" si="150"/>
        <v/>
      </c>
    </row>
    <row r="643" spans="1:72" x14ac:dyDescent="0.2">
      <c r="A643" s="18" t="str" cm="1">
        <f t="array" aca="1" ref="A643" ca="1">IF(B643="","","Grupo N˚"&amp;SUMPRODUCT(($B$4:B643&lt;&gt;"")*($B$4:B643&lt;&gt;OFFSET($B$4,-1,0,ROWS($B$4:B643),1))))</f>
        <v/>
      </c>
      <c r="B643" s="31"/>
      <c r="C643" s="31"/>
      <c r="D643" s="31"/>
      <c r="E643" s="31"/>
      <c r="F643" s="32"/>
      <c r="G643" s="33"/>
      <c r="H643" s="33"/>
      <c r="I643" s="20" t="str">
        <f t="shared" si="139"/>
        <v/>
      </c>
      <c r="J643" s="21" t="str">
        <f>IFERROR(VLOOKUP(BR643,Pricing!$D$3:$E$58,2,FALSE),"")</f>
        <v/>
      </c>
      <c r="K643" s="32"/>
      <c r="L643" s="32"/>
      <c r="M643" s="32"/>
      <c r="N643" s="36" t="str" cm="1">
        <f t="array" ref="N643">IFERROR(_xlfn.IFS((AND(K643="SI",M643="$")),J643*0.2,AND(K643="SI",M643="%"),20),"")</f>
        <v/>
      </c>
      <c r="O643" s="29" t="str">
        <f t="shared" si="140"/>
        <v/>
      </c>
      <c r="P643" s="21" t="str">
        <f t="shared" si="141"/>
        <v/>
      </c>
      <c r="Q643" s="21" t="str">
        <f t="shared" si="142"/>
        <v/>
      </c>
      <c r="R643" s="21" t="str">
        <f t="shared" si="143"/>
        <v/>
      </c>
      <c r="S643" s="39"/>
      <c r="T643" s="43" t="str">
        <f t="shared" si="151"/>
        <v/>
      </c>
      <c r="U643" s="49" t="str">
        <f t="shared" si="152"/>
        <v/>
      </c>
      <c r="V643" s="48" t="str">
        <f t="shared" si="153"/>
        <v/>
      </c>
      <c r="W643" s="48" t="str">
        <f t="shared" si="144"/>
        <v/>
      </c>
      <c r="X643" s="50" t="str">
        <f>IF(W643="","",SUMIF($B$4:$B$1002,B643,$W$4:$W$1000))</f>
        <v/>
      </c>
      <c r="Y643" s="43" t="str">
        <f t="shared" si="145"/>
        <v/>
      </c>
      <c r="Z643" s="49" t="str">
        <f t="shared" si="146"/>
        <v/>
      </c>
      <c r="AA643" s="48" t="str">
        <f t="shared" si="147"/>
        <v/>
      </c>
      <c r="AB643" s="49" t="str">
        <f t="shared" si="148"/>
        <v/>
      </c>
      <c r="AC643" s="50" t="str">
        <f>IF(AB643="","",SUMIF($B$4:$B$1002,B643,$AB$4:$AB$1000))</f>
        <v/>
      </c>
      <c r="AD643" s="69"/>
      <c r="AE643" s="56"/>
      <c r="AF643" s="52"/>
      <c r="AG643" s="51"/>
      <c r="AH643" s="70"/>
      <c r="AI643" s="58"/>
      <c r="AJ643" s="55"/>
      <c r="AK643" s="51"/>
      <c r="AL643" s="69"/>
      <c r="AM643" s="56"/>
      <c r="AN643" s="52"/>
      <c r="AO643" s="51"/>
      <c r="AP643" s="70"/>
      <c r="AQ643" s="58"/>
      <c r="AR643" s="55"/>
      <c r="AS643" s="51"/>
      <c r="AT643" s="69"/>
      <c r="AU643" s="56"/>
      <c r="AV643" s="52"/>
      <c r="AW643" s="51"/>
      <c r="BR643" s="34" t="str">
        <f>IF(E643="","",CONCATENATE(E643," ",F643," noches"))</f>
        <v/>
      </c>
      <c r="BS643" s="28" t="str">
        <f t="shared" ca="1" si="149"/>
        <v/>
      </c>
      <c r="BT643" s="28" t="str">
        <f t="shared" ca="1" si="150"/>
        <v/>
      </c>
    </row>
    <row r="644" spans="1:72" x14ac:dyDescent="0.2">
      <c r="A644" s="18" t="str" cm="1">
        <f t="array" aca="1" ref="A644" ca="1">IF(B644="","","Grupo N˚"&amp;SUMPRODUCT(($B$4:B644&lt;&gt;"")*($B$4:B644&lt;&gt;OFFSET($B$4,-1,0,ROWS($B$4:B644),1))))</f>
        <v/>
      </c>
      <c r="B644" s="31"/>
      <c r="C644" s="31"/>
      <c r="D644" s="31"/>
      <c r="E644" s="31"/>
      <c r="F644" s="32"/>
      <c r="G644" s="33"/>
      <c r="H644" s="33"/>
      <c r="I644" s="20" t="str">
        <f t="shared" si="139"/>
        <v/>
      </c>
      <c r="J644" s="21" t="str">
        <f>IFERROR(VLOOKUP(BR644,Pricing!$D$3:$E$58,2,FALSE),"")</f>
        <v/>
      </c>
      <c r="K644" s="32"/>
      <c r="L644" s="32"/>
      <c r="M644" s="32"/>
      <c r="N644" s="36" t="str" cm="1">
        <f t="array" ref="N644">IFERROR(_xlfn.IFS((AND(K644="SI",M644="$")),J644*0.2,AND(K644="SI",M644="%"),20),"")</f>
        <v/>
      </c>
      <c r="O644" s="29" t="str">
        <f t="shared" si="140"/>
        <v/>
      </c>
      <c r="P644" s="21" t="str">
        <f t="shared" si="141"/>
        <v/>
      </c>
      <c r="Q644" s="21" t="str">
        <f t="shared" si="142"/>
        <v/>
      </c>
      <c r="R644" s="21" t="str">
        <f t="shared" si="143"/>
        <v/>
      </c>
      <c r="S644" s="39"/>
      <c r="T644" s="43" t="str">
        <f t="shared" si="151"/>
        <v/>
      </c>
      <c r="U644" s="49" t="str">
        <f t="shared" si="152"/>
        <v/>
      </c>
      <c r="V644" s="48" t="str">
        <f t="shared" si="153"/>
        <v/>
      </c>
      <c r="W644" s="48" t="str">
        <f t="shared" si="144"/>
        <v/>
      </c>
      <c r="X644" s="50" t="str">
        <f>IF(W644="","",SUMIF($B$4:$B$1002,B644,$W$4:$W$1000))</f>
        <v/>
      </c>
      <c r="Y644" s="43" t="str">
        <f t="shared" si="145"/>
        <v/>
      </c>
      <c r="Z644" s="49" t="str">
        <f t="shared" si="146"/>
        <v/>
      </c>
      <c r="AA644" s="48" t="str">
        <f t="shared" si="147"/>
        <v/>
      </c>
      <c r="AB644" s="49" t="str">
        <f t="shared" si="148"/>
        <v/>
      </c>
      <c r="AC644" s="50" t="str">
        <f>IF(AB644="","",SUMIF($B$4:$B$1002,B644,$AB$4:$AB$1000))</f>
        <v/>
      </c>
      <c r="AD644" s="69"/>
      <c r="AE644" s="56"/>
      <c r="AF644" s="52"/>
      <c r="AG644" s="51"/>
      <c r="AH644" s="70"/>
      <c r="AI644" s="58"/>
      <c r="AJ644" s="55"/>
      <c r="AK644" s="51"/>
      <c r="AL644" s="69"/>
      <c r="AM644" s="56"/>
      <c r="AN644" s="52"/>
      <c r="AO644" s="51"/>
      <c r="AP644" s="70"/>
      <c r="AQ644" s="58"/>
      <c r="AR644" s="55"/>
      <c r="AS644" s="51"/>
      <c r="AT644" s="69"/>
      <c r="AU644" s="56"/>
      <c r="AV644" s="52"/>
      <c r="AW644" s="51"/>
      <c r="BR644" s="34" t="str">
        <f>IF(E644="","",CONCATENATE(E644," ",F644," noches"))</f>
        <v/>
      </c>
      <c r="BS644" s="28" t="str">
        <f t="shared" ca="1" si="149"/>
        <v/>
      </c>
      <c r="BT644" s="28" t="str">
        <f t="shared" ca="1" si="150"/>
        <v/>
      </c>
    </row>
    <row r="645" spans="1:72" x14ac:dyDescent="0.2">
      <c r="A645" s="18" t="str" cm="1">
        <f t="array" aca="1" ref="A645" ca="1">IF(B645="","","Grupo N˚"&amp;SUMPRODUCT(($B$4:B645&lt;&gt;"")*($B$4:B645&lt;&gt;OFFSET($B$4,-1,0,ROWS($B$4:B645),1))))</f>
        <v/>
      </c>
      <c r="B645" s="31"/>
      <c r="C645" s="31"/>
      <c r="D645" s="31"/>
      <c r="E645" s="31"/>
      <c r="F645" s="32"/>
      <c r="G645" s="33"/>
      <c r="H645" s="33"/>
      <c r="I645" s="20" t="str">
        <f t="shared" ref="I645:I708" si="154">+IF(H645="","",G645+H645)</f>
        <v/>
      </c>
      <c r="J645" s="21" t="str">
        <f>IFERROR(VLOOKUP(BR645,Pricing!$D$3:$E$58,2,FALSE),"")</f>
        <v/>
      </c>
      <c r="K645" s="32"/>
      <c r="L645" s="32"/>
      <c r="M645" s="32"/>
      <c r="N645" s="36" t="str" cm="1">
        <f t="array" ref="N645">IFERROR(_xlfn.IFS((AND(K645="SI",M645="$")),J645*0.2,AND(K645="SI",M645="%"),20),"")</f>
        <v/>
      </c>
      <c r="O645" s="29" t="str">
        <f t="shared" ref="O645:O708" si="155">IFERROR(IF($M645="%",
             IF(N(N645)&gt;1, N(N645)/100, N(N645)),
             IF(AND($J645&gt;0,$M645="$"), N(N645)/$J645, "")
            ),"")</f>
        <v/>
      </c>
      <c r="P645" s="21" t="str">
        <f t="shared" ref="P645:P708" si="156">IFERROR(IF(M645="$", N(N645), IF(M645="%", J645*N(N645/100), "")), "")</f>
        <v/>
      </c>
      <c r="Q645" s="21" t="str">
        <f t="shared" ref="Q645:Q708" si="157">IF(J645="","",J645*(1-N(O645)))</f>
        <v/>
      </c>
      <c r="R645" s="21" t="str">
        <f t="shared" ref="R645:R708" si="158">IF(Q645="","",Q645/1.19)</f>
        <v/>
      </c>
      <c r="S645" s="39"/>
      <c r="T645" s="43" t="str">
        <f t="shared" si="151"/>
        <v/>
      </c>
      <c r="U645" s="49" t="str">
        <f t="shared" si="152"/>
        <v/>
      </c>
      <c r="V645" s="48" t="str">
        <f t="shared" si="153"/>
        <v/>
      </c>
      <c r="W645" s="48" t="str">
        <f t="shared" ref="W645:W708" si="159">IFERROR(U645-N(V645),"")</f>
        <v/>
      </c>
      <c r="X645" s="50" t="str">
        <f>IF(W645="","",SUMIF($B$4:$B$1002,B645,$W$4:$W$1000))</f>
        <v/>
      </c>
      <c r="Y645" s="43" t="str">
        <f t="shared" ref="Y645:Y708" si="160">IF(AB645="","",IFERROR(
 IF(AND(ABS(N(AB645))&lt;0.5, BT645&gt;=23), "Sin deuda",
  IF(AND(N(AB645)&gt;0, BT645&gt;=23), "Con deuda",
   IF(AND(N(AB645)&gt;0, BT645&lt;23), "Moroso", "")
  )
),""))</f>
        <v/>
      </c>
      <c r="Z645" s="49" t="str">
        <f t="shared" ref="Z645:Z708" si="161">IF(R645="","",R645/2)</f>
        <v/>
      </c>
      <c r="AA645" s="48" t="str">
        <f t="shared" ref="AA645:AA708" si="162">IF(AD645="","",SUM(
 IF(ISNUMBER(SEARCH("saldo",AD645)),AF645,0),
 IF(ISNUMBER(SEARCH("saldo",AH645)),AJ645,0),
 IF(ISNUMBER(SEARCH("saldo",AL645)),AN645,0),
 IF(ISNUMBER(SEARCH("saldo",AP645)),AR645,0),
 IF(ISNUMBER(SEARCH("saldo",AT645)),AV645,0)
))</f>
        <v/>
      </c>
      <c r="AB645" s="49" t="str">
        <f t="shared" ref="AB645:AB708" si="163">IFERROR(Z645-N(AA645),"")</f>
        <v/>
      </c>
      <c r="AC645" s="50" t="str">
        <f>IF(AB645="","",SUMIF($B$4:$B$1002,B645,$AB$4:$AB$1000))</f>
        <v/>
      </c>
      <c r="AD645" s="69"/>
      <c r="AE645" s="56"/>
      <c r="AF645" s="52"/>
      <c r="AG645" s="51"/>
      <c r="AH645" s="70"/>
      <c r="AI645" s="58"/>
      <c r="AJ645" s="55"/>
      <c r="AK645" s="51"/>
      <c r="AL645" s="69"/>
      <c r="AM645" s="56"/>
      <c r="AN645" s="52"/>
      <c r="AO645" s="51"/>
      <c r="AP645" s="70"/>
      <c r="AQ645" s="58"/>
      <c r="AR645" s="55"/>
      <c r="AS645" s="51"/>
      <c r="AT645" s="69"/>
      <c r="AU645" s="56"/>
      <c r="AV645" s="52"/>
      <c r="AW645" s="51"/>
      <c r="BR645" s="34" t="str">
        <f>IF(E645="","",CONCATENATE(E645," ",F645," noches"))</f>
        <v/>
      </c>
      <c r="BS645" s="28" t="str">
        <f t="shared" ref="BS645:BS708" ca="1" si="164">IF(G645="","",+TODAY()-G645)</f>
        <v/>
      </c>
      <c r="BT645" s="28" t="str">
        <f t="shared" ref="BT645:BT708" ca="1" si="165">IF(H645="","",H645-TODAY())</f>
        <v/>
      </c>
    </row>
    <row r="646" spans="1:72" x14ac:dyDescent="0.2">
      <c r="A646" s="18" t="str" cm="1">
        <f t="array" aca="1" ref="A646" ca="1">IF(B646="","","Grupo N˚"&amp;SUMPRODUCT(($B$4:B646&lt;&gt;"")*($B$4:B646&lt;&gt;OFFSET($B$4,-1,0,ROWS($B$4:B646),1))))</f>
        <v/>
      </c>
      <c r="B646" s="31"/>
      <c r="C646" s="31"/>
      <c r="D646" s="31"/>
      <c r="E646" s="31"/>
      <c r="F646" s="32"/>
      <c r="G646" s="33"/>
      <c r="H646" s="33"/>
      <c r="I646" s="20" t="str">
        <f t="shared" si="154"/>
        <v/>
      </c>
      <c r="J646" s="21" t="str">
        <f>IFERROR(VLOOKUP(BR646,Pricing!$D$3:$E$58,2,FALSE),"")</f>
        <v/>
      </c>
      <c r="K646" s="32"/>
      <c r="L646" s="32"/>
      <c r="M646" s="32"/>
      <c r="N646" s="36" t="str" cm="1">
        <f t="array" ref="N646">IFERROR(_xlfn.IFS((AND(K646="SI",M646="$")),J646*0.2,AND(K646="SI",M646="%"),20),"")</f>
        <v/>
      </c>
      <c r="O646" s="29" t="str">
        <f t="shared" si="155"/>
        <v/>
      </c>
      <c r="P646" s="21" t="str">
        <f t="shared" si="156"/>
        <v/>
      </c>
      <c r="Q646" s="21" t="str">
        <f t="shared" si="157"/>
        <v/>
      </c>
      <c r="R646" s="21" t="str">
        <f t="shared" si="158"/>
        <v/>
      </c>
      <c r="S646" s="39"/>
      <c r="T646" s="43" t="str">
        <f t="shared" si="151"/>
        <v/>
      </c>
      <c r="U646" s="49" t="str">
        <f t="shared" si="152"/>
        <v/>
      </c>
      <c r="V646" s="48" t="str">
        <f t="shared" si="153"/>
        <v/>
      </c>
      <c r="W646" s="48" t="str">
        <f t="shared" si="159"/>
        <v/>
      </c>
      <c r="X646" s="50" t="str">
        <f>IF(W646="","",SUMIF($B$4:$B$1002,B646,$W$4:$W$1000))</f>
        <v/>
      </c>
      <c r="Y646" s="43" t="str">
        <f t="shared" si="160"/>
        <v/>
      </c>
      <c r="Z646" s="49" t="str">
        <f t="shared" si="161"/>
        <v/>
      </c>
      <c r="AA646" s="48" t="str">
        <f t="shared" si="162"/>
        <v/>
      </c>
      <c r="AB646" s="49" t="str">
        <f t="shared" si="163"/>
        <v/>
      </c>
      <c r="AC646" s="50" t="str">
        <f>IF(AB646="","",SUMIF($B$4:$B$1002,B646,$AB$4:$AB$1000))</f>
        <v/>
      </c>
      <c r="AD646" s="69"/>
      <c r="AE646" s="56"/>
      <c r="AF646" s="52"/>
      <c r="AG646" s="51"/>
      <c r="AH646" s="70"/>
      <c r="AI646" s="58"/>
      <c r="AJ646" s="55"/>
      <c r="AK646" s="51"/>
      <c r="AL646" s="69"/>
      <c r="AM646" s="56"/>
      <c r="AN646" s="52"/>
      <c r="AO646" s="51"/>
      <c r="AP646" s="70"/>
      <c r="AQ646" s="58"/>
      <c r="AR646" s="55"/>
      <c r="AS646" s="51"/>
      <c r="AT646" s="69"/>
      <c r="AU646" s="56"/>
      <c r="AV646" s="52"/>
      <c r="AW646" s="51"/>
      <c r="BR646" s="34" t="str">
        <f>IF(E646="","",CONCATENATE(E646," ",F646," noches"))</f>
        <v/>
      </c>
      <c r="BS646" s="28" t="str">
        <f t="shared" ca="1" si="164"/>
        <v/>
      </c>
      <c r="BT646" s="28" t="str">
        <f t="shared" ca="1" si="165"/>
        <v/>
      </c>
    </row>
    <row r="647" spans="1:72" x14ac:dyDescent="0.2">
      <c r="A647" s="18" t="str" cm="1">
        <f t="array" aca="1" ref="A647" ca="1">IF(B647="","","Grupo N˚"&amp;SUMPRODUCT(($B$4:B647&lt;&gt;"")*($B$4:B647&lt;&gt;OFFSET($B$4,-1,0,ROWS($B$4:B647),1))))</f>
        <v/>
      </c>
      <c r="B647" s="31"/>
      <c r="C647" s="31"/>
      <c r="D647" s="31"/>
      <c r="E647" s="31"/>
      <c r="F647" s="32"/>
      <c r="G647" s="33"/>
      <c r="H647" s="33"/>
      <c r="I647" s="20" t="str">
        <f t="shared" si="154"/>
        <v/>
      </c>
      <c r="J647" s="21" t="str">
        <f>IFERROR(VLOOKUP(BR647,Pricing!$D$3:$E$58,2,FALSE),"")</f>
        <v/>
      </c>
      <c r="K647" s="32"/>
      <c r="L647" s="32"/>
      <c r="M647" s="32"/>
      <c r="N647" s="36" t="str" cm="1">
        <f t="array" ref="N647">IFERROR(_xlfn.IFS((AND(K647="SI",M647="$")),J647*0.2,AND(K647="SI",M647="%"),20),"")</f>
        <v/>
      </c>
      <c r="O647" s="29" t="str">
        <f t="shared" si="155"/>
        <v/>
      </c>
      <c r="P647" s="21" t="str">
        <f t="shared" si="156"/>
        <v/>
      </c>
      <c r="Q647" s="21" t="str">
        <f t="shared" si="157"/>
        <v/>
      </c>
      <c r="R647" s="21" t="str">
        <f t="shared" si="158"/>
        <v/>
      </c>
      <c r="S647" s="39"/>
      <c r="T647" s="43" t="str">
        <f t="shared" si="151"/>
        <v/>
      </c>
      <c r="U647" s="49" t="str">
        <f t="shared" si="152"/>
        <v/>
      </c>
      <c r="V647" s="48" t="str">
        <f t="shared" si="153"/>
        <v/>
      </c>
      <c r="W647" s="48" t="str">
        <f t="shared" si="159"/>
        <v/>
      </c>
      <c r="X647" s="50" t="str">
        <f>IF(W647="","",SUMIF($B$4:$B$1002,B647,$W$4:$W$1000))</f>
        <v/>
      </c>
      <c r="Y647" s="43" t="str">
        <f t="shared" si="160"/>
        <v/>
      </c>
      <c r="Z647" s="49" t="str">
        <f t="shared" si="161"/>
        <v/>
      </c>
      <c r="AA647" s="48" t="str">
        <f t="shared" si="162"/>
        <v/>
      </c>
      <c r="AB647" s="49" t="str">
        <f t="shared" si="163"/>
        <v/>
      </c>
      <c r="AC647" s="50" t="str">
        <f>IF(AB647="","",SUMIF($B$4:$B$1002,B647,$AB$4:$AB$1000))</f>
        <v/>
      </c>
      <c r="AD647" s="69"/>
      <c r="AE647" s="56"/>
      <c r="AF647" s="52"/>
      <c r="AG647" s="51"/>
      <c r="AH647" s="70"/>
      <c r="AI647" s="58"/>
      <c r="AJ647" s="55"/>
      <c r="AK647" s="51"/>
      <c r="AL647" s="69"/>
      <c r="AM647" s="56"/>
      <c r="AN647" s="52"/>
      <c r="AO647" s="51"/>
      <c r="AP647" s="70"/>
      <c r="AQ647" s="58"/>
      <c r="AR647" s="55"/>
      <c r="AS647" s="51"/>
      <c r="AT647" s="69"/>
      <c r="AU647" s="56"/>
      <c r="AV647" s="52"/>
      <c r="AW647" s="51"/>
      <c r="BR647" s="34" t="str">
        <f>IF(E647="","",CONCATENATE(E647," ",F647," noches"))</f>
        <v/>
      </c>
      <c r="BS647" s="28" t="str">
        <f t="shared" ca="1" si="164"/>
        <v/>
      </c>
      <c r="BT647" s="28" t="str">
        <f t="shared" ca="1" si="165"/>
        <v/>
      </c>
    </row>
    <row r="648" spans="1:72" x14ac:dyDescent="0.2">
      <c r="A648" s="18" t="str" cm="1">
        <f t="array" aca="1" ref="A648" ca="1">IF(B648="","","Grupo N˚"&amp;SUMPRODUCT(($B$4:B648&lt;&gt;"")*($B$4:B648&lt;&gt;OFFSET($B$4,-1,0,ROWS($B$4:B648),1))))</f>
        <v/>
      </c>
      <c r="B648" s="31"/>
      <c r="C648" s="31"/>
      <c r="D648" s="31"/>
      <c r="E648" s="31"/>
      <c r="F648" s="32"/>
      <c r="G648" s="33"/>
      <c r="H648" s="33"/>
      <c r="I648" s="20" t="str">
        <f t="shared" si="154"/>
        <v/>
      </c>
      <c r="J648" s="21" t="str">
        <f>IFERROR(VLOOKUP(BR648,Pricing!$D$3:$E$58,2,FALSE),"")</f>
        <v/>
      </c>
      <c r="K648" s="32"/>
      <c r="L648" s="32"/>
      <c r="M648" s="32"/>
      <c r="N648" s="36" t="str" cm="1">
        <f t="array" ref="N648">IFERROR(_xlfn.IFS((AND(K648="SI",M648="$")),J648*0.2,AND(K648="SI",M648="%"),20),"")</f>
        <v/>
      </c>
      <c r="O648" s="29" t="str">
        <f t="shared" si="155"/>
        <v/>
      </c>
      <c r="P648" s="21" t="str">
        <f t="shared" si="156"/>
        <v/>
      </c>
      <c r="Q648" s="21" t="str">
        <f t="shared" si="157"/>
        <v/>
      </c>
      <c r="R648" s="21" t="str">
        <f t="shared" si="158"/>
        <v/>
      </c>
      <c r="S648" s="39"/>
      <c r="T648" s="43" t="str">
        <f t="shared" si="151"/>
        <v/>
      </c>
      <c r="U648" s="49" t="str">
        <f t="shared" si="152"/>
        <v/>
      </c>
      <c r="V648" s="48" t="str">
        <f t="shared" si="153"/>
        <v/>
      </c>
      <c r="W648" s="48" t="str">
        <f t="shared" si="159"/>
        <v/>
      </c>
      <c r="X648" s="50" t="str">
        <f>IF(W648="","",SUMIF($B$4:$B$1002,B648,$W$4:$W$1000))</f>
        <v/>
      </c>
      <c r="Y648" s="43" t="str">
        <f t="shared" si="160"/>
        <v/>
      </c>
      <c r="Z648" s="49" t="str">
        <f t="shared" si="161"/>
        <v/>
      </c>
      <c r="AA648" s="48" t="str">
        <f t="shared" si="162"/>
        <v/>
      </c>
      <c r="AB648" s="49" t="str">
        <f t="shared" si="163"/>
        <v/>
      </c>
      <c r="AC648" s="50" t="str">
        <f>IF(AB648="","",SUMIF($B$4:$B$1002,B648,$AB$4:$AB$1000))</f>
        <v/>
      </c>
      <c r="AD648" s="69"/>
      <c r="AE648" s="56"/>
      <c r="AF648" s="52"/>
      <c r="AG648" s="51"/>
      <c r="AH648" s="70"/>
      <c r="AI648" s="58"/>
      <c r="AJ648" s="55"/>
      <c r="AK648" s="51"/>
      <c r="AL648" s="69"/>
      <c r="AM648" s="56"/>
      <c r="AN648" s="52"/>
      <c r="AO648" s="51"/>
      <c r="AP648" s="70"/>
      <c r="AQ648" s="58"/>
      <c r="AR648" s="55"/>
      <c r="AS648" s="51"/>
      <c r="AT648" s="69"/>
      <c r="AU648" s="56"/>
      <c r="AV648" s="52"/>
      <c r="AW648" s="51"/>
      <c r="BR648" s="34" t="str">
        <f>IF(E648="","",CONCATENATE(E648," ",F648," noches"))</f>
        <v/>
      </c>
      <c r="BS648" s="28" t="str">
        <f t="shared" ca="1" si="164"/>
        <v/>
      </c>
      <c r="BT648" s="28" t="str">
        <f t="shared" ca="1" si="165"/>
        <v/>
      </c>
    </row>
    <row r="649" spans="1:72" x14ac:dyDescent="0.2">
      <c r="A649" s="18" t="str" cm="1">
        <f t="array" aca="1" ref="A649" ca="1">IF(B649="","","Grupo N˚"&amp;SUMPRODUCT(($B$4:B649&lt;&gt;"")*($B$4:B649&lt;&gt;OFFSET($B$4,-1,0,ROWS($B$4:B649),1))))</f>
        <v/>
      </c>
      <c r="B649" s="31"/>
      <c r="C649" s="31"/>
      <c r="D649" s="31"/>
      <c r="E649" s="31"/>
      <c r="F649" s="32"/>
      <c r="G649" s="33"/>
      <c r="H649" s="33"/>
      <c r="I649" s="20" t="str">
        <f t="shared" si="154"/>
        <v/>
      </c>
      <c r="J649" s="21" t="str">
        <f>IFERROR(VLOOKUP(BR649,Pricing!$D$3:$E$58,2,FALSE),"")</f>
        <v/>
      </c>
      <c r="K649" s="32"/>
      <c r="L649" s="32"/>
      <c r="M649" s="32"/>
      <c r="N649" s="36" t="str" cm="1">
        <f t="array" ref="N649">IFERROR(_xlfn.IFS((AND(K649="SI",M649="$")),J649*0.2,AND(K649="SI",M649="%"),20),"")</f>
        <v/>
      </c>
      <c r="O649" s="29" t="str">
        <f t="shared" si="155"/>
        <v/>
      </c>
      <c r="P649" s="21" t="str">
        <f t="shared" si="156"/>
        <v/>
      </c>
      <c r="Q649" s="21" t="str">
        <f t="shared" si="157"/>
        <v/>
      </c>
      <c r="R649" s="21" t="str">
        <f t="shared" si="158"/>
        <v/>
      </c>
      <c r="S649" s="39"/>
      <c r="T649" s="43" t="str">
        <f t="shared" ref="T649:T712" si="166">IF(W649="","",IFERROR(
 IF(AND(ABS(N(W649))&lt;0.5, BS649&lt;=7), "Sin deuda",
  IF(AND(N(W649)&gt;0, BS649&lt;=7), "Con deuda",
   IF(AND(N(W649)&gt;0, BS649&gt;7), "Moroso", "")
  )
)," "))</f>
        <v/>
      </c>
      <c r="U649" s="49" t="str">
        <f t="shared" si="152"/>
        <v/>
      </c>
      <c r="V649" s="48" t="str">
        <f t="shared" si="153"/>
        <v/>
      </c>
      <c r="W649" s="48" t="str">
        <f t="shared" si="159"/>
        <v/>
      </c>
      <c r="X649" s="50" t="str">
        <f>IF(W649="","",SUMIF($B$4:$B$1002,B649,$W$4:$W$1000))</f>
        <v/>
      </c>
      <c r="Y649" s="43" t="str">
        <f t="shared" si="160"/>
        <v/>
      </c>
      <c r="Z649" s="49" t="str">
        <f t="shared" si="161"/>
        <v/>
      </c>
      <c r="AA649" s="48" t="str">
        <f t="shared" si="162"/>
        <v/>
      </c>
      <c r="AB649" s="49" t="str">
        <f t="shared" si="163"/>
        <v/>
      </c>
      <c r="AC649" s="50" t="str">
        <f>IF(AB649="","",SUMIF($B$4:$B$1002,B649,$AB$4:$AB$1000))</f>
        <v/>
      </c>
      <c r="AD649" s="69"/>
      <c r="AE649" s="56"/>
      <c r="AF649" s="52"/>
      <c r="AG649" s="51"/>
      <c r="AH649" s="70"/>
      <c r="AI649" s="58"/>
      <c r="AJ649" s="55"/>
      <c r="AK649" s="51"/>
      <c r="AL649" s="69"/>
      <c r="AM649" s="56"/>
      <c r="AN649" s="52"/>
      <c r="AO649" s="51"/>
      <c r="AP649" s="70"/>
      <c r="AQ649" s="58"/>
      <c r="AR649" s="55"/>
      <c r="AS649" s="51"/>
      <c r="AT649" s="69"/>
      <c r="AU649" s="56"/>
      <c r="AV649" s="52"/>
      <c r="AW649" s="51"/>
      <c r="BR649" s="34" t="str">
        <f>IF(E649="","",CONCATENATE(E649," ",F649," noches"))</f>
        <v/>
      </c>
      <c r="BS649" s="28" t="str">
        <f t="shared" ca="1" si="164"/>
        <v/>
      </c>
      <c r="BT649" s="28" t="str">
        <f t="shared" ca="1" si="165"/>
        <v/>
      </c>
    </row>
    <row r="650" spans="1:72" x14ac:dyDescent="0.2">
      <c r="A650" s="18" t="str" cm="1">
        <f t="array" aca="1" ref="A650" ca="1">IF(B650="","","Grupo N˚"&amp;SUMPRODUCT(($B$4:B650&lt;&gt;"")*($B$4:B650&lt;&gt;OFFSET($B$4,-1,0,ROWS($B$4:B650),1))))</f>
        <v/>
      </c>
      <c r="B650" s="31"/>
      <c r="C650" s="31"/>
      <c r="D650" s="31"/>
      <c r="E650" s="31"/>
      <c r="F650" s="32"/>
      <c r="G650" s="33"/>
      <c r="H650" s="33"/>
      <c r="I650" s="20" t="str">
        <f t="shared" si="154"/>
        <v/>
      </c>
      <c r="J650" s="21" t="str">
        <f>IFERROR(VLOOKUP(BR650,Pricing!$D$3:$E$58,2,FALSE),"")</f>
        <v/>
      </c>
      <c r="K650" s="32"/>
      <c r="L650" s="32"/>
      <c r="M650" s="32"/>
      <c r="N650" s="36" t="str" cm="1">
        <f t="array" ref="N650">IFERROR(_xlfn.IFS((AND(K650="SI",M650="$")),J650*0.2,AND(K650="SI",M650="%"),20),"")</f>
        <v/>
      </c>
      <c r="O650" s="29" t="str">
        <f t="shared" si="155"/>
        <v/>
      </c>
      <c r="P650" s="21" t="str">
        <f t="shared" si="156"/>
        <v/>
      </c>
      <c r="Q650" s="21" t="str">
        <f t="shared" si="157"/>
        <v/>
      </c>
      <c r="R650" s="21" t="str">
        <f t="shared" si="158"/>
        <v/>
      </c>
      <c r="S650" s="39"/>
      <c r="T650" s="43" t="str">
        <f t="shared" si="166"/>
        <v/>
      </c>
      <c r="U650" s="49" t="str">
        <f t="shared" si="152"/>
        <v/>
      </c>
      <c r="V650" s="48" t="str">
        <f t="shared" si="153"/>
        <v/>
      </c>
      <c r="W650" s="48" t="str">
        <f t="shared" si="159"/>
        <v/>
      </c>
      <c r="X650" s="50" t="str">
        <f>IF(W650="","",SUMIF($B$4:$B$1002,B650,$W$4:$W$1000))</f>
        <v/>
      </c>
      <c r="Y650" s="43" t="str">
        <f t="shared" si="160"/>
        <v/>
      </c>
      <c r="Z650" s="49" t="str">
        <f t="shared" si="161"/>
        <v/>
      </c>
      <c r="AA650" s="48" t="str">
        <f t="shared" si="162"/>
        <v/>
      </c>
      <c r="AB650" s="49" t="str">
        <f t="shared" si="163"/>
        <v/>
      </c>
      <c r="AC650" s="50" t="str">
        <f>IF(AB650="","",SUMIF($B$4:$B$1002,B650,$AB$4:$AB$1000))</f>
        <v/>
      </c>
      <c r="AD650" s="69"/>
      <c r="AE650" s="56"/>
      <c r="AF650" s="52"/>
      <c r="AG650" s="51"/>
      <c r="AH650" s="70"/>
      <c r="AI650" s="58"/>
      <c r="AJ650" s="55"/>
      <c r="AK650" s="51"/>
      <c r="AL650" s="69"/>
      <c r="AM650" s="56"/>
      <c r="AN650" s="52"/>
      <c r="AO650" s="51"/>
      <c r="AP650" s="70"/>
      <c r="AQ650" s="58"/>
      <c r="AR650" s="55"/>
      <c r="AS650" s="51"/>
      <c r="AT650" s="69"/>
      <c r="AU650" s="56"/>
      <c r="AV650" s="52"/>
      <c r="AW650" s="51"/>
      <c r="BR650" s="34" t="str">
        <f>IF(E650="","",CONCATENATE(E650," ",F650," noches"))</f>
        <v/>
      </c>
      <c r="BS650" s="28" t="str">
        <f t="shared" ca="1" si="164"/>
        <v/>
      </c>
      <c r="BT650" s="28" t="str">
        <f t="shared" ca="1" si="165"/>
        <v/>
      </c>
    </row>
    <row r="651" spans="1:72" x14ac:dyDescent="0.2">
      <c r="A651" s="18" t="str" cm="1">
        <f t="array" aca="1" ref="A651" ca="1">IF(B651="","","Grupo N˚"&amp;SUMPRODUCT(($B$4:B651&lt;&gt;"")*($B$4:B651&lt;&gt;OFFSET($B$4,-1,0,ROWS($B$4:B651),1))))</f>
        <v/>
      </c>
      <c r="B651" s="31"/>
      <c r="C651" s="31"/>
      <c r="D651" s="31"/>
      <c r="E651" s="31"/>
      <c r="F651" s="32"/>
      <c r="G651" s="33"/>
      <c r="H651" s="33"/>
      <c r="I651" s="20" t="str">
        <f t="shared" si="154"/>
        <v/>
      </c>
      <c r="J651" s="21" t="str">
        <f>IFERROR(VLOOKUP(BR651,Pricing!$D$3:$E$58,2,FALSE),"")</f>
        <v/>
      </c>
      <c r="K651" s="32"/>
      <c r="L651" s="32"/>
      <c r="M651" s="32"/>
      <c r="N651" s="36" t="str" cm="1">
        <f t="array" ref="N651">IFERROR(_xlfn.IFS((AND(K651="SI",M651="$")),J651*0.2,AND(K651="SI",M651="%"),20),"")</f>
        <v/>
      </c>
      <c r="O651" s="29" t="str">
        <f t="shared" si="155"/>
        <v/>
      </c>
      <c r="P651" s="21" t="str">
        <f t="shared" si="156"/>
        <v/>
      </c>
      <c r="Q651" s="21" t="str">
        <f t="shared" si="157"/>
        <v/>
      </c>
      <c r="R651" s="21" t="str">
        <f t="shared" si="158"/>
        <v/>
      </c>
      <c r="S651" s="39"/>
      <c r="T651" s="43" t="str">
        <f t="shared" si="166"/>
        <v/>
      </c>
      <c r="U651" s="49" t="str">
        <f t="shared" si="152"/>
        <v/>
      </c>
      <c r="V651" s="48" t="str">
        <f t="shared" si="153"/>
        <v/>
      </c>
      <c r="W651" s="48" t="str">
        <f t="shared" si="159"/>
        <v/>
      </c>
      <c r="X651" s="50" t="str">
        <f>IF(W651="","",SUMIF($B$4:$B$1002,B651,$W$4:$W$1000))</f>
        <v/>
      </c>
      <c r="Y651" s="43" t="str">
        <f t="shared" si="160"/>
        <v/>
      </c>
      <c r="Z651" s="49" t="str">
        <f t="shared" si="161"/>
        <v/>
      </c>
      <c r="AA651" s="48" t="str">
        <f t="shared" si="162"/>
        <v/>
      </c>
      <c r="AB651" s="49" t="str">
        <f t="shared" si="163"/>
        <v/>
      </c>
      <c r="AC651" s="50" t="str">
        <f>IF(AB651="","",SUMIF($B$4:$B$1002,B651,$AB$4:$AB$1000))</f>
        <v/>
      </c>
      <c r="AD651" s="69"/>
      <c r="AE651" s="56"/>
      <c r="AF651" s="52"/>
      <c r="AG651" s="51"/>
      <c r="AH651" s="70"/>
      <c r="AI651" s="58"/>
      <c r="AJ651" s="55"/>
      <c r="AK651" s="51"/>
      <c r="AL651" s="69"/>
      <c r="AM651" s="56"/>
      <c r="AN651" s="52"/>
      <c r="AO651" s="51"/>
      <c r="AP651" s="70"/>
      <c r="AQ651" s="58"/>
      <c r="AR651" s="55"/>
      <c r="AS651" s="51"/>
      <c r="AT651" s="69"/>
      <c r="AU651" s="56"/>
      <c r="AV651" s="52"/>
      <c r="AW651" s="51"/>
      <c r="BR651" s="34" t="str">
        <f>IF(E651="","",CONCATENATE(E651," ",F651," noches"))</f>
        <v/>
      </c>
      <c r="BS651" s="28" t="str">
        <f t="shared" ca="1" si="164"/>
        <v/>
      </c>
      <c r="BT651" s="28" t="str">
        <f t="shared" ca="1" si="165"/>
        <v/>
      </c>
    </row>
    <row r="652" spans="1:72" x14ac:dyDescent="0.2">
      <c r="A652" s="18" t="str" cm="1">
        <f t="array" aca="1" ref="A652" ca="1">IF(B652="","","Grupo N˚"&amp;SUMPRODUCT(($B$4:B652&lt;&gt;"")*($B$4:B652&lt;&gt;OFFSET($B$4,-1,0,ROWS($B$4:B652),1))))</f>
        <v/>
      </c>
      <c r="B652" s="31"/>
      <c r="C652" s="31"/>
      <c r="D652" s="31"/>
      <c r="E652" s="31"/>
      <c r="F652" s="32"/>
      <c r="G652" s="33"/>
      <c r="H652" s="33"/>
      <c r="I652" s="20" t="str">
        <f t="shared" si="154"/>
        <v/>
      </c>
      <c r="J652" s="21" t="str">
        <f>IFERROR(VLOOKUP(BR652,Pricing!$D$3:$E$58,2,FALSE),"")</f>
        <v/>
      </c>
      <c r="K652" s="32"/>
      <c r="L652" s="32"/>
      <c r="M652" s="32"/>
      <c r="N652" s="36" t="str" cm="1">
        <f t="array" ref="N652">IFERROR(_xlfn.IFS((AND(K652="SI",M652="$")),J652*0.2,AND(K652="SI",M652="%"),20),"")</f>
        <v/>
      </c>
      <c r="O652" s="29" t="str">
        <f t="shared" si="155"/>
        <v/>
      </c>
      <c r="P652" s="21" t="str">
        <f t="shared" si="156"/>
        <v/>
      </c>
      <c r="Q652" s="21" t="str">
        <f t="shared" si="157"/>
        <v/>
      </c>
      <c r="R652" s="21" t="str">
        <f t="shared" si="158"/>
        <v/>
      </c>
      <c r="S652" s="39"/>
      <c r="T652" s="43" t="str">
        <f t="shared" si="166"/>
        <v/>
      </c>
      <c r="U652" s="49" t="str">
        <f t="shared" si="152"/>
        <v/>
      </c>
      <c r="V652" s="48" t="str">
        <f t="shared" si="153"/>
        <v/>
      </c>
      <c r="W652" s="48" t="str">
        <f t="shared" si="159"/>
        <v/>
      </c>
      <c r="X652" s="50" t="str">
        <f>IF(W652="","",SUMIF($B$4:$B$1002,B652,$W$4:$W$1000))</f>
        <v/>
      </c>
      <c r="Y652" s="43" t="str">
        <f t="shared" si="160"/>
        <v/>
      </c>
      <c r="Z652" s="49" t="str">
        <f t="shared" si="161"/>
        <v/>
      </c>
      <c r="AA652" s="48" t="str">
        <f t="shared" si="162"/>
        <v/>
      </c>
      <c r="AB652" s="49" t="str">
        <f t="shared" si="163"/>
        <v/>
      </c>
      <c r="AC652" s="50" t="str">
        <f>IF(AB652="","",SUMIF($B$4:$B$1002,B652,$AB$4:$AB$1000))</f>
        <v/>
      </c>
      <c r="AD652" s="69"/>
      <c r="AE652" s="56"/>
      <c r="AF652" s="52"/>
      <c r="AG652" s="51"/>
      <c r="AH652" s="70"/>
      <c r="AI652" s="58"/>
      <c r="AJ652" s="55"/>
      <c r="AK652" s="51"/>
      <c r="AL652" s="69"/>
      <c r="AM652" s="56"/>
      <c r="AN652" s="52"/>
      <c r="AO652" s="51"/>
      <c r="AP652" s="70"/>
      <c r="AQ652" s="58"/>
      <c r="AR652" s="55"/>
      <c r="AS652" s="51"/>
      <c r="AT652" s="69"/>
      <c r="AU652" s="56"/>
      <c r="AV652" s="52"/>
      <c r="AW652" s="51"/>
      <c r="BR652" s="34" t="str">
        <f>IF(E652="","",CONCATENATE(E652," ",F652," noches"))</f>
        <v/>
      </c>
      <c r="BS652" s="28" t="str">
        <f t="shared" ca="1" si="164"/>
        <v/>
      </c>
      <c r="BT652" s="28" t="str">
        <f t="shared" ca="1" si="165"/>
        <v/>
      </c>
    </row>
    <row r="653" spans="1:72" x14ac:dyDescent="0.2">
      <c r="A653" s="18" t="str" cm="1">
        <f t="array" aca="1" ref="A653" ca="1">IF(B653="","","Grupo N˚"&amp;SUMPRODUCT(($B$4:B653&lt;&gt;"")*($B$4:B653&lt;&gt;OFFSET($B$4,-1,0,ROWS($B$4:B653),1))))</f>
        <v/>
      </c>
      <c r="B653" s="31"/>
      <c r="C653" s="31"/>
      <c r="D653" s="31"/>
      <c r="E653" s="31"/>
      <c r="F653" s="32"/>
      <c r="G653" s="33"/>
      <c r="H653" s="33"/>
      <c r="I653" s="20" t="str">
        <f t="shared" si="154"/>
        <v/>
      </c>
      <c r="J653" s="21" t="str">
        <f>IFERROR(VLOOKUP(BR653,Pricing!$D$3:$E$58,2,FALSE),"")</f>
        <v/>
      </c>
      <c r="K653" s="32"/>
      <c r="L653" s="32"/>
      <c r="M653" s="32"/>
      <c r="N653" s="36" t="str" cm="1">
        <f t="array" ref="N653">IFERROR(_xlfn.IFS((AND(K653="SI",M653="$")),J653*0.2,AND(K653="SI",M653="%"),20),"")</f>
        <v/>
      </c>
      <c r="O653" s="29" t="str">
        <f t="shared" si="155"/>
        <v/>
      </c>
      <c r="P653" s="21" t="str">
        <f t="shared" si="156"/>
        <v/>
      </c>
      <c r="Q653" s="21" t="str">
        <f t="shared" si="157"/>
        <v/>
      </c>
      <c r="R653" s="21" t="str">
        <f t="shared" si="158"/>
        <v/>
      </c>
      <c r="S653" s="39"/>
      <c r="T653" s="43" t="str">
        <f t="shared" si="166"/>
        <v/>
      </c>
      <c r="U653" s="49" t="str">
        <f t="shared" ref="U653:U716" si="167">IF(R653="","",R653/2)</f>
        <v/>
      </c>
      <c r="V653" s="48" t="str">
        <f t="shared" ref="V653:V716" si="168">IF(AD653="","",SUM(
 IF(ISNUMBER(SEARCH("reserva",AD653)),AF653,0),
 IF(ISNUMBER(SEARCH("reserva",AH653)),AJ653,0),
 IF(ISNUMBER(SEARCH("reserva",AL653)),AN653,0),
 IF(ISNUMBER(SEARCH("reserva",AP653)),AR653,0),
 IF(ISNUMBER(SEARCH("reserva",AT653)),AV653,0)
))</f>
        <v/>
      </c>
      <c r="W653" s="48" t="str">
        <f t="shared" si="159"/>
        <v/>
      </c>
      <c r="X653" s="50" t="str">
        <f>IF(W653="","",SUMIF($B$4:$B$1002,B653,$W$4:$W$1000))</f>
        <v/>
      </c>
      <c r="Y653" s="43" t="str">
        <f t="shared" si="160"/>
        <v/>
      </c>
      <c r="Z653" s="49" t="str">
        <f t="shared" si="161"/>
        <v/>
      </c>
      <c r="AA653" s="48" t="str">
        <f t="shared" si="162"/>
        <v/>
      </c>
      <c r="AB653" s="49" t="str">
        <f t="shared" si="163"/>
        <v/>
      </c>
      <c r="AC653" s="50" t="str">
        <f>IF(AB653="","",SUMIF($B$4:$B$1002,B653,$AB$4:$AB$1000))</f>
        <v/>
      </c>
      <c r="AD653" s="69"/>
      <c r="AE653" s="56"/>
      <c r="AF653" s="52"/>
      <c r="AG653" s="51"/>
      <c r="AH653" s="70"/>
      <c r="AI653" s="58"/>
      <c r="AJ653" s="55"/>
      <c r="AK653" s="51"/>
      <c r="AL653" s="69"/>
      <c r="AM653" s="56"/>
      <c r="AN653" s="52"/>
      <c r="AO653" s="51"/>
      <c r="AP653" s="70"/>
      <c r="AQ653" s="58"/>
      <c r="AR653" s="55"/>
      <c r="AS653" s="51"/>
      <c r="AT653" s="69"/>
      <c r="AU653" s="56"/>
      <c r="AV653" s="52"/>
      <c r="AW653" s="51"/>
      <c r="BR653" s="34" t="str">
        <f>IF(E653="","",CONCATENATE(E653," ",F653," noches"))</f>
        <v/>
      </c>
      <c r="BS653" s="28" t="str">
        <f t="shared" ca="1" si="164"/>
        <v/>
      </c>
      <c r="BT653" s="28" t="str">
        <f t="shared" ca="1" si="165"/>
        <v/>
      </c>
    </row>
    <row r="654" spans="1:72" x14ac:dyDescent="0.2">
      <c r="A654" s="18" t="str" cm="1">
        <f t="array" aca="1" ref="A654" ca="1">IF(B654="","","Grupo N˚"&amp;SUMPRODUCT(($B$4:B654&lt;&gt;"")*($B$4:B654&lt;&gt;OFFSET($B$4,-1,0,ROWS($B$4:B654),1))))</f>
        <v/>
      </c>
      <c r="B654" s="31"/>
      <c r="C654" s="31"/>
      <c r="D654" s="31"/>
      <c r="E654" s="31"/>
      <c r="F654" s="32"/>
      <c r="G654" s="33"/>
      <c r="H654" s="33"/>
      <c r="I654" s="20" t="str">
        <f t="shared" si="154"/>
        <v/>
      </c>
      <c r="J654" s="21" t="str">
        <f>IFERROR(VLOOKUP(BR654,Pricing!$D$3:$E$58,2,FALSE),"")</f>
        <v/>
      </c>
      <c r="K654" s="32"/>
      <c r="L654" s="32"/>
      <c r="M654" s="32"/>
      <c r="N654" s="36" t="str" cm="1">
        <f t="array" ref="N654">IFERROR(_xlfn.IFS((AND(K654="SI",M654="$")),J654*0.2,AND(K654="SI",M654="%"),20),"")</f>
        <v/>
      </c>
      <c r="O654" s="29" t="str">
        <f t="shared" si="155"/>
        <v/>
      </c>
      <c r="P654" s="21" t="str">
        <f t="shared" si="156"/>
        <v/>
      </c>
      <c r="Q654" s="21" t="str">
        <f t="shared" si="157"/>
        <v/>
      </c>
      <c r="R654" s="21" t="str">
        <f t="shared" si="158"/>
        <v/>
      </c>
      <c r="S654" s="39"/>
      <c r="T654" s="43" t="str">
        <f t="shared" si="166"/>
        <v/>
      </c>
      <c r="U654" s="49" t="str">
        <f t="shared" si="167"/>
        <v/>
      </c>
      <c r="V654" s="48" t="str">
        <f t="shared" si="168"/>
        <v/>
      </c>
      <c r="W654" s="48" t="str">
        <f t="shared" si="159"/>
        <v/>
      </c>
      <c r="X654" s="50" t="str">
        <f>IF(W654="","",SUMIF($B$4:$B$1002,B654,$W$4:$W$1000))</f>
        <v/>
      </c>
      <c r="Y654" s="43" t="str">
        <f t="shared" si="160"/>
        <v/>
      </c>
      <c r="Z654" s="49" t="str">
        <f t="shared" si="161"/>
        <v/>
      </c>
      <c r="AA654" s="48" t="str">
        <f t="shared" si="162"/>
        <v/>
      </c>
      <c r="AB654" s="49" t="str">
        <f t="shared" si="163"/>
        <v/>
      </c>
      <c r="AC654" s="50" t="str">
        <f>IF(AB654="","",SUMIF($B$4:$B$1002,B654,$AB$4:$AB$1000))</f>
        <v/>
      </c>
      <c r="AD654" s="69"/>
      <c r="AE654" s="56"/>
      <c r="AF654" s="52"/>
      <c r="AG654" s="51"/>
      <c r="AH654" s="70"/>
      <c r="AI654" s="58"/>
      <c r="AJ654" s="55"/>
      <c r="AK654" s="51"/>
      <c r="AL654" s="69"/>
      <c r="AM654" s="56"/>
      <c r="AN654" s="52"/>
      <c r="AO654" s="51"/>
      <c r="AP654" s="70"/>
      <c r="AQ654" s="58"/>
      <c r="AR654" s="55"/>
      <c r="AS654" s="51"/>
      <c r="AT654" s="69"/>
      <c r="AU654" s="56"/>
      <c r="AV654" s="52"/>
      <c r="AW654" s="51"/>
      <c r="BR654" s="34" t="str">
        <f>IF(E654="","",CONCATENATE(E654," ",F654," noches"))</f>
        <v/>
      </c>
      <c r="BS654" s="28" t="str">
        <f t="shared" ca="1" si="164"/>
        <v/>
      </c>
      <c r="BT654" s="28" t="str">
        <f t="shared" ca="1" si="165"/>
        <v/>
      </c>
    </row>
    <row r="655" spans="1:72" x14ac:dyDescent="0.2">
      <c r="A655" s="18" t="str" cm="1">
        <f t="array" aca="1" ref="A655" ca="1">IF(B655="","","Grupo N˚"&amp;SUMPRODUCT(($B$4:B655&lt;&gt;"")*($B$4:B655&lt;&gt;OFFSET($B$4,-1,0,ROWS($B$4:B655),1))))</f>
        <v/>
      </c>
      <c r="B655" s="31"/>
      <c r="C655" s="31"/>
      <c r="D655" s="31"/>
      <c r="E655" s="31"/>
      <c r="F655" s="32"/>
      <c r="G655" s="33"/>
      <c r="H655" s="33"/>
      <c r="I655" s="20" t="str">
        <f t="shared" si="154"/>
        <v/>
      </c>
      <c r="J655" s="21" t="str">
        <f>IFERROR(VLOOKUP(BR655,Pricing!$D$3:$E$58,2,FALSE),"")</f>
        <v/>
      </c>
      <c r="K655" s="32"/>
      <c r="L655" s="32"/>
      <c r="M655" s="32"/>
      <c r="N655" s="36" t="str" cm="1">
        <f t="array" ref="N655">IFERROR(_xlfn.IFS((AND(K655="SI",M655="$")),J655*0.2,AND(K655="SI",M655="%"),20),"")</f>
        <v/>
      </c>
      <c r="O655" s="29" t="str">
        <f t="shared" si="155"/>
        <v/>
      </c>
      <c r="P655" s="21" t="str">
        <f t="shared" si="156"/>
        <v/>
      </c>
      <c r="Q655" s="21" t="str">
        <f t="shared" si="157"/>
        <v/>
      </c>
      <c r="R655" s="21" t="str">
        <f t="shared" si="158"/>
        <v/>
      </c>
      <c r="S655" s="39"/>
      <c r="T655" s="43" t="str">
        <f t="shared" si="166"/>
        <v/>
      </c>
      <c r="U655" s="49" t="str">
        <f t="shared" si="167"/>
        <v/>
      </c>
      <c r="V655" s="48" t="str">
        <f t="shared" si="168"/>
        <v/>
      </c>
      <c r="W655" s="48" t="str">
        <f t="shared" si="159"/>
        <v/>
      </c>
      <c r="X655" s="50" t="str">
        <f>IF(W655="","",SUMIF($B$4:$B$1002,B655,$W$4:$W$1000))</f>
        <v/>
      </c>
      <c r="Y655" s="43" t="str">
        <f t="shared" si="160"/>
        <v/>
      </c>
      <c r="Z655" s="49" t="str">
        <f t="shared" si="161"/>
        <v/>
      </c>
      <c r="AA655" s="48" t="str">
        <f t="shared" si="162"/>
        <v/>
      </c>
      <c r="AB655" s="49" t="str">
        <f t="shared" si="163"/>
        <v/>
      </c>
      <c r="AC655" s="50" t="str">
        <f>IF(AB655="","",SUMIF($B$4:$B$1002,B655,$AB$4:$AB$1000))</f>
        <v/>
      </c>
      <c r="AD655" s="69"/>
      <c r="AE655" s="56"/>
      <c r="AF655" s="52"/>
      <c r="AG655" s="51"/>
      <c r="AH655" s="70"/>
      <c r="AI655" s="58"/>
      <c r="AJ655" s="55"/>
      <c r="AK655" s="51"/>
      <c r="AL655" s="69"/>
      <c r="AM655" s="56"/>
      <c r="AN655" s="52"/>
      <c r="AO655" s="51"/>
      <c r="AP655" s="70"/>
      <c r="AQ655" s="58"/>
      <c r="AR655" s="55"/>
      <c r="AS655" s="51"/>
      <c r="AT655" s="69"/>
      <c r="AU655" s="56"/>
      <c r="AV655" s="52"/>
      <c r="AW655" s="51"/>
      <c r="BR655" s="34" t="str">
        <f>IF(E655="","",CONCATENATE(E655," ",F655," noches"))</f>
        <v/>
      </c>
      <c r="BS655" s="28" t="str">
        <f t="shared" ca="1" si="164"/>
        <v/>
      </c>
      <c r="BT655" s="28" t="str">
        <f t="shared" ca="1" si="165"/>
        <v/>
      </c>
    </row>
    <row r="656" spans="1:72" x14ac:dyDescent="0.2">
      <c r="A656" s="18" t="str" cm="1">
        <f t="array" aca="1" ref="A656" ca="1">IF(B656="","","Grupo N˚"&amp;SUMPRODUCT(($B$4:B656&lt;&gt;"")*($B$4:B656&lt;&gt;OFFSET($B$4,-1,0,ROWS($B$4:B656),1))))</f>
        <v/>
      </c>
      <c r="B656" s="31"/>
      <c r="C656" s="31"/>
      <c r="D656" s="31"/>
      <c r="E656" s="31"/>
      <c r="F656" s="32"/>
      <c r="G656" s="33"/>
      <c r="H656" s="33"/>
      <c r="I656" s="20" t="str">
        <f t="shared" si="154"/>
        <v/>
      </c>
      <c r="J656" s="21" t="str">
        <f>IFERROR(VLOOKUP(BR656,Pricing!$D$3:$E$58,2,FALSE),"")</f>
        <v/>
      </c>
      <c r="K656" s="32"/>
      <c r="L656" s="32"/>
      <c r="M656" s="32"/>
      <c r="N656" s="36" t="str" cm="1">
        <f t="array" ref="N656">IFERROR(_xlfn.IFS((AND(K656="SI",M656="$")),J656*0.2,AND(K656="SI",M656="%"),20),"")</f>
        <v/>
      </c>
      <c r="O656" s="29" t="str">
        <f t="shared" si="155"/>
        <v/>
      </c>
      <c r="P656" s="21" t="str">
        <f t="shared" si="156"/>
        <v/>
      </c>
      <c r="Q656" s="21" t="str">
        <f t="shared" si="157"/>
        <v/>
      </c>
      <c r="R656" s="21" t="str">
        <f t="shared" si="158"/>
        <v/>
      </c>
      <c r="S656" s="39"/>
      <c r="T656" s="43" t="str">
        <f t="shared" si="166"/>
        <v/>
      </c>
      <c r="U656" s="49" t="str">
        <f t="shared" si="167"/>
        <v/>
      </c>
      <c r="V656" s="48" t="str">
        <f t="shared" si="168"/>
        <v/>
      </c>
      <c r="W656" s="48" t="str">
        <f t="shared" si="159"/>
        <v/>
      </c>
      <c r="X656" s="50" t="str">
        <f>IF(W656="","",SUMIF($B$4:$B$1002,B656,$W$4:$W$1000))</f>
        <v/>
      </c>
      <c r="Y656" s="43" t="str">
        <f t="shared" si="160"/>
        <v/>
      </c>
      <c r="Z656" s="49" t="str">
        <f t="shared" si="161"/>
        <v/>
      </c>
      <c r="AA656" s="48" t="str">
        <f t="shared" si="162"/>
        <v/>
      </c>
      <c r="AB656" s="49" t="str">
        <f t="shared" si="163"/>
        <v/>
      </c>
      <c r="AC656" s="50" t="str">
        <f>IF(AB656="","",SUMIF($B$4:$B$1002,B656,$AB$4:$AB$1000))</f>
        <v/>
      </c>
      <c r="AD656" s="69"/>
      <c r="AE656" s="56"/>
      <c r="AF656" s="52"/>
      <c r="AG656" s="51"/>
      <c r="AH656" s="70"/>
      <c r="AI656" s="58"/>
      <c r="AJ656" s="55"/>
      <c r="AK656" s="51"/>
      <c r="AL656" s="69"/>
      <c r="AM656" s="56"/>
      <c r="AN656" s="52"/>
      <c r="AO656" s="51"/>
      <c r="AP656" s="70"/>
      <c r="AQ656" s="58"/>
      <c r="AR656" s="55"/>
      <c r="AS656" s="51"/>
      <c r="AT656" s="69"/>
      <c r="AU656" s="56"/>
      <c r="AV656" s="52"/>
      <c r="AW656" s="51"/>
      <c r="BR656" s="34" t="str">
        <f>IF(E656="","",CONCATENATE(E656," ",F656," noches"))</f>
        <v/>
      </c>
      <c r="BS656" s="28" t="str">
        <f t="shared" ca="1" si="164"/>
        <v/>
      </c>
      <c r="BT656" s="28" t="str">
        <f t="shared" ca="1" si="165"/>
        <v/>
      </c>
    </row>
    <row r="657" spans="1:72" x14ac:dyDescent="0.2">
      <c r="A657" s="18" t="str" cm="1">
        <f t="array" aca="1" ref="A657" ca="1">IF(B657="","","Grupo N˚"&amp;SUMPRODUCT(($B$4:B657&lt;&gt;"")*($B$4:B657&lt;&gt;OFFSET($B$4,-1,0,ROWS($B$4:B657),1))))</f>
        <v/>
      </c>
      <c r="B657" s="31"/>
      <c r="C657" s="31"/>
      <c r="D657" s="31"/>
      <c r="E657" s="31"/>
      <c r="F657" s="32"/>
      <c r="G657" s="33"/>
      <c r="H657" s="33"/>
      <c r="I657" s="20" t="str">
        <f t="shared" si="154"/>
        <v/>
      </c>
      <c r="J657" s="21" t="str">
        <f>IFERROR(VLOOKUP(BR657,Pricing!$D$3:$E$58,2,FALSE),"")</f>
        <v/>
      </c>
      <c r="K657" s="32"/>
      <c r="L657" s="32"/>
      <c r="M657" s="32"/>
      <c r="N657" s="36" t="str" cm="1">
        <f t="array" ref="N657">IFERROR(_xlfn.IFS((AND(K657="SI",M657="$")),J657*0.2,AND(K657="SI",M657="%"),20),"")</f>
        <v/>
      </c>
      <c r="O657" s="29" t="str">
        <f t="shared" si="155"/>
        <v/>
      </c>
      <c r="P657" s="21" t="str">
        <f t="shared" si="156"/>
        <v/>
      </c>
      <c r="Q657" s="21" t="str">
        <f t="shared" si="157"/>
        <v/>
      </c>
      <c r="R657" s="21" t="str">
        <f t="shared" si="158"/>
        <v/>
      </c>
      <c r="S657" s="39"/>
      <c r="T657" s="43" t="str">
        <f t="shared" si="166"/>
        <v/>
      </c>
      <c r="U657" s="49" t="str">
        <f t="shared" si="167"/>
        <v/>
      </c>
      <c r="V657" s="48" t="str">
        <f t="shared" si="168"/>
        <v/>
      </c>
      <c r="W657" s="48" t="str">
        <f t="shared" si="159"/>
        <v/>
      </c>
      <c r="X657" s="50" t="str">
        <f>IF(W657="","",SUMIF($B$4:$B$1002,B657,$W$4:$W$1000))</f>
        <v/>
      </c>
      <c r="Y657" s="43" t="str">
        <f t="shared" si="160"/>
        <v/>
      </c>
      <c r="Z657" s="49" t="str">
        <f t="shared" si="161"/>
        <v/>
      </c>
      <c r="AA657" s="48" t="str">
        <f t="shared" si="162"/>
        <v/>
      </c>
      <c r="AB657" s="49" t="str">
        <f t="shared" si="163"/>
        <v/>
      </c>
      <c r="AC657" s="50" t="str">
        <f>IF(AB657="","",SUMIF($B$4:$B$1002,B657,$AB$4:$AB$1000))</f>
        <v/>
      </c>
      <c r="AD657" s="69"/>
      <c r="AE657" s="56"/>
      <c r="AF657" s="52"/>
      <c r="AG657" s="51"/>
      <c r="AH657" s="70"/>
      <c r="AI657" s="58"/>
      <c r="AJ657" s="55"/>
      <c r="AK657" s="51"/>
      <c r="AL657" s="69"/>
      <c r="AM657" s="56"/>
      <c r="AN657" s="52"/>
      <c r="AO657" s="51"/>
      <c r="AP657" s="70"/>
      <c r="AQ657" s="58"/>
      <c r="AR657" s="55"/>
      <c r="AS657" s="51"/>
      <c r="AT657" s="69"/>
      <c r="AU657" s="56"/>
      <c r="AV657" s="52"/>
      <c r="AW657" s="51"/>
      <c r="BR657" s="34" t="str">
        <f>IF(E657="","",CONCATENATE(E657," ",F657," noches"))</f>
        <v/>
      </c>
      <c r="BS657" s="28" t="str">
        <f t="shared" ca="1" si="164"/>
        <v/>
      </c>
      <c r="BT657" s="28" t="str">
        <f t="shared" ca="1" si="165"/>
        <v/>
      </c>
    </row>
    <row r="658" spans="1:72" x14ac:dyDescent="0.2">
      <c r="A658" s="18" t="str" cm="1">
        <f t="array" aca="1" ref="A658" ca="1">IF(B658="","","Grupo N˚"&amp;SUMPRODUCT(($B$4:B658&lt;&gt;"")*($B$4:B658&lt;&gt;OFFSET($B$4,-1,0,ROWS($B$4:B658),1))))</f>
        <v/>
      </c>
      <c r="B658" s="31"/>
      <c r="C658" s="31"/>
      <c r="D658" s="31"/>
      <c r="E658" s="31"/>
      <c r="F658" s="32"/>
      <c r="G658" s="33"/>
      <c r="H658" s="33"/>
      <c r="I658" s="20" t="str">
        <f t="shared" si="154"/>
        <v/>
      </c>
      <c r="J658" s="21" t="str">
        <f>IFERROR(VLOOKUP(BR658,Pricing!$D$3:$E$58,2,FALSE),"")</f>
        <v/>
      </c>
      <c r="K658" s="32"/>
      <c r="L658" s="32"/>
      <c r="M658" s="32"/>
      <c r="N658" s="36" t="str" cm="1">
        <f t="array" ref="N658">IFERROR(_xlfn.IFS((AND(K658="SI",M658="$")),J658*0.2,AND(K658="SI",M658="%"),20),"")</f>
        <v/>
      </c>
      <c r="O658" s="29" t="str">
        <f t="shared" si="155"/>
        <v/>
      </c>
      <c r="P658" s="21" t="str">
        <f t="shared" si="156"/>
        <v/>
      </c>
      <c r="Q658" s="21" t="str">
        <f t="shared" si="157"/>
        <v/>
      </c>
      <c r="R658" s="21" t="str">
        <f t="shared" si="158"/>
        <v/>
      </c>
      <c r="S658" s="39"/>
      <c r="T658" s="43" t="str">
        <f t="shared" si="166"/>
        <v/>
      </c>
      <c r="U658" s="49" t="str">
        <f t="shared" si="167"/>
        <v/>
      </c>
      <c r="V658" s="48" t="str">
        <f t="shared" si="168"/>
        <v/>
      </c>
      <c r="W658" s="48" t="str">
        <f t="shared" si="159"/>
        <v/>
      </c>
      <c r="X658" s="50" t="str">
        <f>IF(W658="","",SUMIF($B$4:$B$1002,B658,$W$4:$W$1000))</f>
        <v/>
      </c>
      <c r="Y658" s="43" t="str">
        <f t="shared" si="160"/>
        <v/>
      </c>
      <c r="Z658" s="49" t="str">
        <f t="shared" si="161"/>
        <v/>
      </c>
      <c r="AA658" s="48" t="str">
        <f t="shared" si="162"/>
        <v/>
      </c>
      <c r="AB658" s="49" t="str">
        <f t="shared" si="163"/>
        <v/>
      </c>
      <c r="AC658" s="50" t="str">
        <f>IF(AB658="","",SUMIF($B$4:$B$1002,B658,$AB$4:$AB$1000))</f>
        <v/>
      </c>
      <c r="AD658" s="69"/>
      <c r="AE658" s="56"/>
      <c r="AF658" s="52"/>
      <c r="AG658" s="51"/>
      <c r="AH658" s="70"/>
      <c r="AI658" s="58"/>
      <c r="AJ658" s="55"/>
      <c r="AK658" s="51"/>
      <c r="AL658" s="69"/>
      <c r="AM658" s="56"/>
      <c r="AN658" s="52"/>
      <c r="AO658" s="51"/>
      <c r="AP658" s="70"/>
      <c r="AQ658" s="58"/>
      <c r="AR658" s="55"/>
      <c r="AS658" s="51"/>
      <c r="AT658" s="69"/>
      <c r="AU658" s="56"/>
      <c r="AV658" s="52"/>
      <c r="AW658" s="51"/>
      <c r="BR658" s="34" t="str">
        <f>IF(E658="","",CONCATENATE(E658," ",F658," noches"))</f>
        <v/>
      </c>
      <c r="BS658" s="28" t="str">
        <f t="shared" ca="1" si="164"/>
        <v/>
      </c>
      <c r="BT658" s="28" t="str">
        <f t="shared" ca="1" si="165"/>
        <v/>
      </c>
    </row>
    <row r="659" spans="1:72" x14ac:dyDescent="0.2">
      <c r="A659" s="18" t="str" cm="1">
        <f t="array" aca="1" ref="A659" ca="1">IF(B659="","","Grupo N˚"&amp;SUMPRODUCT(($B$4:B659&lt;&gt;"")*($B$4:B659&lt;&gt;OFFSET($B$4,-1,0,ROWS($B$4:B659),1))))</f>
        <v/>
      </c>
      <c r="B659" s="31"/>
      <c r="C659" s="31"/>
      <c r="D659" s="31"/>
      <c r="E659" s="31"/>
      <c r="F659" s="32"/>
      <c r="G659" s="33"/>
      <c r="H659" s="33"/>
      <c r="I659" s="20" t="str">
        <f t="shared" si="154"/>
        <v/>
      </c>
      <c r="J659" s="21" t="str">
        <f>IFERROR(VLOOKUP(BR659,Pricing!$D$3:$E$58,2,FALSE),"")</f>
        <v/>
      </c>
      <c r="K659" s="32"/>
      <c r="L659" s="32"/>
      <c r="M659" s="32"/>
      <c r="N659" s="36" t="str" cm="1">
        <f t="array" ref="N659">IFERROR(_xlfn.IFS((AND(K659="SI",M659="$")),J659*0.2,AND(K659="SI",M659="%"),20),"")</f>
        <v/>
      </c>
      <c r="O659" s="29" t="str">
        <f t="shared" si="155"/>
        <v/>
      </c>
      <c r="P659" s="21" t="str">
        <f t="shared" si="156"/>
        <v/>
      </c>
      <c r="Q659" s="21" t="str">
        <f t="shared" si="157"/>
        <v/>
      </c>
      <c r="R659" s="21" t="str">
        <f t="shared" si="158"/>
        <v/>
      </c>
      <c r="S659" s="39"/>
      <c r="T659" s="43" t="str">
        <f t="shared" si="166"/>
        <v/>
      </c>
      <c r="U659" s="49" t="str">
        <f t="shared" si="167"/>
        <v/>
      </c>
      <c r="V659" s="48" t="str">
        <f t="shared" si="168"/>
        <v/>
      </c>
      <c r="W659" s="48" t="str">
        <f t="shared" si="159"/>
        <v/>
      </c>
      <c r="X659" s="50" t="str">
        <f>IF(W659="","",SUMIF($B$4:$B$1002,B659,$W$4:$W$1000))</f>
        <v/>
      </c>
      <c r="Y659" s="43" t="str">
        <f t="shared" si="160"/>
        <v/>
      </c>
      <c r="Z659" s="49" t="str">
        <f t="shared" si="161"/>
        <v/>
      </c>
      <c r="AA659" s="48" t="str">
        <f t="shared" si="162"/>
        <v/>
      </c>
      <c r="AB659" s="49" t="str">
        <f t="shared" si="163"/>
        <v/>
      </c>
      <c r="AC659" s="50" t="str">
        <f>IF(AB659="","",SUMIF($B$4:$B$1002,B659,$AB$4:$AB$1000))</f>
        <v/>
      </c>
      <c r="AD659" s="69"/>
      <c r="AE659" s="56"/>
      <c r="AF659" s="52"/>
      <c r="AG659" s="51"/>
      <c r="AH659" s="70"/>
      <c r="AI659" s="58"/>
      <c r="AJ659" s="55"/>
      <c r="AK659" s="51"/>
      <c r="AL659" s="69"/>
      <c r="AM659" s="56"/>
      <c r="AN659" s="52"/>
      <c r="AO659" s="51"/>
      <c r="AP659" s="70"/>
      <c r="AQ659" s="58"/>
      <c r="AR659" s="55"/>
      <c r="AS659" s="51"/>
      <c r="AT659" s="69"/>
      <c r="AU659" s="56"/>
      <c r="AV659" s="52"/>
      <c r="AW659" s="51"/>
      <c r="BR659" s="34" t="str">
        <f>IF(E659="","",CONCATENATE(E659," ",F659," noches"))</f>
        <v/>
      </c>
      <c r="BS659" s="28" t="str">
        <f t="shared" ca="1" si="164"/>
        <v/>
      </c>
      <c r="BT659" s="28" t="str">
        <f t="shared" ca="1" si="165"/>
        <v/>
      </c>
    </row>
    <row r="660" spans="1:72" x14ac:dyDescent="0.2">
      <c r="A660" s="18" t="str" cm="1">
        <f t="array" aca="1" ref="A660" ca="1">IF(B660="","","Grupo N˚"&amp;SUMPRODUCT(($B$4:B660&lt;&gt;"")*($B$4:B660&lt;&gt;OFFSET($B$4,-1,0,ROWS($B$4:B660),1))))</f>
        <v/>
      </c>
      <c r="B660" s="31"/>
      <c r="C660" s="31"/>
      <c r="D660" s="31"/>
      <c r="E660" s="31"/>
      <c r="F660" s="32"/>
      <c r="G660" s="33"/>
      <c r="H660" s="33"/>
      <c r="I660" s="20" t="str">
        <f t="shared" si="154"/>
        <v/>
      </c>
      <c r="J660" s="21" t="str">
        <f>IFERROR(VLOOKUP(BR660,Pricing!$D$3:$E$58,2,FALSE),"")</f>
        <v/>
      </c>
      <c r="K660" s="32"/>
      <c r="L660" s="32"/>
      <c r="M660" s="32"/>
      <c r="N660" s="36" t="str" cm="1">
        <f t="array" ref="N660">IFERROR(_xlfn.IFS((AND(K660="SI",M660="$")),J660*0.2,AND(K660="SI",M660="%"),20),"")</f>
        <v/>
      </c>
      <c r="O660" s="29" t="str">
        <f t="shared" si="155"/>
        <v/>
      </c>
      <c r="P660" s="21" t="str">
        <f t="shared" si="156"/>
        <v/>
      </c>
      <c r="Q660" s="21" t="str">
        <f t="shared" si="157"/>
        <v/>
      </c>
      <c r="R660" s="21" t="str">
        <f t="shared" si="158"/>
        <v/>
      </c>
      <c r="S660" s="39"/>
      <c r="T660" s="43" t="str">
        <f t="shared" si="166"/>
        <v/>
      </c>
      <c r="U660" s="49" t="str">
        <f t="shared" si="167"/>
        <v/>
      </c>
      <c r="V660" s="48" t="str">
        <f t="shared" si="168"/>
        <v/>
      </c>
      <c r="W660" s="48" t="str">
        <f t="shared" si="159"/>
        <v/>
      </c>
      <c r="X660" s="50" t="str">
        <f>IF(W660="","",SUMIF($B$4:$B$1002,B660,$W$4:$W$1000))</f>
        <v/>
      </c>
      <c r="Y660" s="43" t="str">
        <f t="shared" si="160"/>
        <v/>
      </c>
      <c r="Z660" s="49" t="str">
        <f t="shared" si="161"/>
        <v/>
      </c>
      <c r="AA660" s="48" t="str">
        <f t="shared" si="162"/>
        <v/>
      </c>
      <c r="AB660" s="49" t="str">
        <f t="shared" si="163"/>
        <v/>
      </c>
      <c r="AC660" s="50" t="str">
        <f>IF(AB660="","",SUMIF($B$4:$B$1002,B660,$AB$4:$AB$1000))</f>
        <v/>
      </c>
      <c r="AD660" s="69"/>
      <c r="AE660" s="56"/>
      <c r="AF660" s="52"/>
      <c r="AG660" s="51"/>
      <c r="AH660" s="70"/>
      <c r="AI660" s="58"/>
      <c r="AJ660" s="55"/>
      <c r="AK660" s="51"/>
      <c r="AL660" s="69"/>
      <c r="AM660" s="56"/>
      <c r="AN660" s="52"/>
      <c r="AO660" s="51"/>
      <c r="AP660" s="70"/>
      <c r="AQ660" s="58"/>
      <c r="AR660" s="55"/>
      <c r="AS660" s="51"/>
      <c r="AT660" s="69"/>
      <c r="AU660" s="56"/>
      <c r="AV660" s="52"/>
      <c r="AW660" s="51"/>
      <c r="BR660" s="34" t="str">
        <f>IF(E660="","",CONCATENATE(E660," ",F660," noches"))</f>
        <v/>
      </c>
      <c r="BS660" s="28" t="str">
        <f t="shared" ca="1" si="164"/>
        <v/>
      </c>
      <c r="BT660" s="28" t="str">
        <f t="shared" ca="1" si="165"/>
        <v/>
      </c>
    </row>
    <row r="661" spans="1:72" x14ac:dyDescent="0.2">
      <c r="A661" s="18" t="str" cm="1">
        <f t="array" aca="1" ref="A661" ca="1">IF(B661="","","Grupo N˚"&amp;SUMPRODUCT(($B$4:B661&lt;&gt;"")*($B$4:B661&lt;&gt;OFFSET($B$4,-1,0,ROWS($B$4:B661),1))))</f>
        <v/>
      </c>
      <c r="B661" s="31"/>
      <c r="C661" s="31"/>
      <c r="D661" s="31"/>
      <c r="E661" s="31"/>
      <c r="F661" s="32"/>
      <c r="G661" s="33"/>
      <c r="H661" s="33"/>
      <c r="I661" s="20" t="str">
        <f t="shared" si="154"/>
        <v/>
      </c>
      <c r="J661" s="21" t="str">
        <f>IFERROR(VLOOKUP(BR661,Pricing!$D$3:$E$58,2,FALSE),"")</f>
        <v/>
      </c>
      <c r="K661" s="32"/>
      <c r="L661" s="32"/>
      <c r="M661" s="32"/>
      <c r="N661" s="36" t="str" cm="1">
        <f t="array" ref="N661">IFERROR(_xlfn.IFS((AND(K661="SI",M661="$")),J661*0.2,AND(K661="SI",M661="%"),20),"")</f>
        <v/>
      </c>
      <c r="O661" s="29" t="str">
        <f t="shared" si="155"/>
        <v/>
      </c>
      <c r="P661" s="21" t="str">
        <f t="shared" si="156"/>
        <v/>
      </c>
      <c r="Q661" s="21" t="str">
        <f t="shared" si="157"/>
        <v/>
      </c>
      <c r="R661" s="21" t="str">
        <f t="shared" si="158"/>
        <v/>
      </c>
      <c r="S661" s="39"/>
      <c r="T661" s="43" t="str">
        <f t="shared" si="166"/>
        <v/>
      </c>
      <c r="U661" s="49" t="str">
        <f t="shared" si="167"/>
        <v/>
      </c>
      <c r="V661" s="48" t="str">
        <f t="shared" si="168"/>
        <v/>
      </c>
      <c r="W661" s="48" t="str">
        <f t="shared" si="159"/>
        <v/>
      </c>
      <c r="X661" s="50" t="str">
        <f>IF(W661="","",SUMIF($B$4:$B$1002,B661,$W$4:$W$1000))</f>
        <v/>
      </c>
      <c r="Y661" s="43" t="str">
        <f t="shared" si="160"/>
        <v/>
      </c>
      <c r="Z661" s="49" t="str">
        <f t="shared" si="161"/>
        <v/>
      </c>
      <c r="AA661" s="48" t="str">
        <f t="shared" si="162"/>
        <v/>
      </c>
      <c r="AB661" s="49" t="str">
        <f t="shared" si="163"/>
        <v/>
      </c>
      <c r="AC661" s="50" t="str">
        <f>IF(AB661="","",SUMIF($B$4:$B$1002,B661,$AB$4:$AB$1000))</f>
        <v/>
      </c>
      <c r="AD661" s="69"/>
      <c r="AE661" s="56"/>
      <c r="AF661" s="52"/>
      <c r="AG661" s="51"/>
      <c r="AH661" s="70"/>
      <c r="AI661" s="58"/>
      <c r="AJ661" s="55"/>
      <c r="AK661" s="51"/>
      <c r="AL661" s="69"/>
      <c r="AM661" s="56"/>
      <c r="AN661" s="52"/>
      <c r="AO661" s="51"/>
      <c r="AP661" s="70"/>
      <c r="AQ661" s="58"/>
      <c r="AR661" s="55"/>
      <c r="AS661" s="51"/>
      <c r="AT661" s="69"/>
      <c r="AU661" s="56"/>
      <c r="AV661" s="52"/>
      <c r="AW661" s="51"/>
      <c r="BR661" s="34" t="str">
        <f>IF(E661="","",CONCATENATE(E661," ",F661," noches"))</f>
        <v/>
      </c>
      <c r="BS661" s="28" t="str">
        <f t="shared" ca="1" si="164"/>
        <v/>
      </c>
      <c r="BT661" s="28" t="str">
        <f t="shared" ca="1" si="165"/>
        <v/>
      </c>
    </row>
    <row r="662" spans="1:72" x14ac:dyDescent="0.2">
      <c r="A662" s="18" t="str" cm="1">
        <f t="array" aca="1" ref="A662" ca="1">IF(B662="","","Grupo N˚"&amp;SUMPRODUCT(($B$4:B662&lt;&gt;"")*($B$4:B662&lt;&gt;OFFSET($B$4,-1,0,ROWS($B$4:B662),1))))</f>
        <v/>
      </c>
      <c r="B662" s="31"/>
      <c r="C662" s="31"/>
      <c r="D662" s="31"/>
      <c r="E662" s="31"/>
      <c r="F662" s="32"/>
      <c r="G662" s="33"/>
      <c r="H662" s="33"/>
      <c r="I662" s="20" t="str">
        <f t="shared" si="154"/>
        <v/>
      </c>
      <c r="J662" s="21" t="str">
        <f>IFERROR(VLOOKUP(BR662,Pricing!$D$3:$E$58,2,FALSE),"")</f>
        <v/>
      </c>
      <c r="K662" s="32"/>
      <c r="L662" s="32"/>
      <c r="M662" s="32"/>
      <c r="N662" s="36" t="str" cm="1">
        <f t="array" ref="N662">IFERROR(_xlfn.IFS((AND(K662="SI",M662="$")),J662*0.2,AND(K662="SI",M662="%"),20),"")</f>
        <v/>
      </c>
      <c r="O662" s="29" t="str">
        <f t="shared" si="155"/>
        <v/>
      </c>
      <c r="P662" s="21" t="str">
        <f t="shared" si="156"/>
        <v/>
      </c>
      <c r="Q662" s="21" t="str">
        <f t="shared" si="157"/>
        <v/>
      </c>
      <c r="R662" s="21" t="str">
        <f t="shared" si="158"/>
        <v/>
      </c>
      <c r="S662" s="39"/>
      <c r="T662" s="43" t="str">
        <f t="shared" si="166"/>
        <v/>
      </c>
      <c r="U662" s="49" t="str">
        <f t="shared" si="167"/>
        <v/>
      </c>
      <c r="V662" s="48" t="str">
        <f t="shared" si="168"/>
        <v/>
      </c>
      <c r="W662" s="48" t="str">
        <f t="shared" si="159"/>
        <v/>
      </c>
      <c r="X662" s="50" t="str">
        <f>IF(W662="","",SUMIF($B$4:$B$1002,B662,$W$4:$W$1000))</f>
        <v/>
      </c>
      <c r="Y662" s="43" t="str">
        <f t="shared" si="160"/>
        <v/>
      </c>
      <c r="Z662" s="49" t="str">
        <f t="shared" si="161"/>
        <v/>
      </c>
      <c r="AA662" s="48" t="str">
        <f t="shared" si="162"/>
        <v/>
      </c>
      <c r="AB662" s="49" t="str">
        <f t="shared" si="163"/>
        <v/>
      </c>
      <c r="AC662" s="50" t="str">
        <f>IF(AB662="","",SUMIF($B$4:$B$1002,B662,$AB$4:$AB$1000))</f>
        <v/>
      </c>
      <c r="AD662" s="69"/>
      <c r="AE662" s="56"/>
      <c r="AF662" s="52"/>
      <c r="AG662" s="51"/>
      <c r="AH662" s="70"/>
      <c r="AI662" s="58"/>
      <c r="AJ662" s="55"/>
      <c r="AK662" s="51"/>
      <c r="AL662" s="69"/>
      <c r="AM662" s="56"/>
      <c r="AN662" s="52"/>
      <c r="AO662" s="51"/>
      <c r="AP662" s="70"/>
      <c r="AQ662" s="58"/>
      <c r="AR662" s="55"/>
      <c r="AS662" s="51"/>
      <c r="AT662" s="69"/>
      <c r="AU662" s="56"/>
      <c r="AV662" s="52"/>
      <c r="AW662" s="51"/>
      <c r="BR662" s="34" t="str">
        <f>IF(E662="","",CONCATENATE(E662," ",F662," noches"))</f>
        <v/>
      </c>
      <c r="BS662" s="28" t="str">
        <f t="shared" ca="1" si="164"/>
        <v/>
      </c>
      <c r="BT662" s="28" t="str">
        <f t="shared" ca="1" si="165"/>
        <v/>
      </c>
    </row>
    <row r="663" spans="1:72" x14ac:dyDescent="0.2">
      <c r="A663" s="18" t="str" cm="1">
        <f t="array" aca="1" ref="A663" ca="1">IF(B663="","","Grupo N˚"&amp;SUMPRODUCT(($B$4:B663&lt;&gt;"")*($B$4:B663&lt;&gt;OFFSET($B$4,-1,0,ROWS($B$4:B663),1))))</f>
        <v/>
      </c>
      <c r="B663" s="31"/>
      <c r="C663" s="31"/>
      <c r="D663" s="31"/>
      <c r="E663" s="31"/>
      <c r="F663" s="32"/>
      <c r="G663" s="33"/>
      <c r="H663" s="33"/>
      <c r="I663" s="20" t="str">
        <f t="shared" si="154"/>
        <v/>
      </c>
      <c r="J663" s="21" t="str">
        <f>IFERROR(VLOOKUP(BR663,Pricing!$D$3:$E$58,2,FALSE),"")</f>
        <v/>
      </c>
      <c r="K663" s="32"/>
      <c r="L663" s="32"/>
      <c r="M663" s="32"/>
      <c r="N663" s="36" t="str" cm="1">
        <f t="array" ref="N663">IFERROR(_xlfn.IFS((AND(K663="SI",M663="$")),J663*0.2,AND(K663="SI",M663="%"),20),"")</f>
        <v/>
      </c>
      <c r="O663" s="29" t="str">
        <f t="shared" si="155"/>
        <v/>
      </c>
      <c r="P663" s="21" t="str">
        <f t="shared" si="156"/>
        <v/>
      </c>
      <c r="Q663" s="21" t="str">
        <f t="shared" si="157"/>
        <v/>
      </c>
      <c r="R663" s="21" t="str">
        <f t="shared" si="158"/>
        <v/>
      </c>
      <c r="S663" s="39"/>
      <c r="T663" s="43" t="str">
        <f t="shared" si="166"/>
        <v/>
      </c>
      <c r="U663" s="49" t="str">
        <f t="shared" si="167"/>
        <v/>
      </c>
      <c r="V663" s="48" t="str">
        <f t="shared" si="168"/>
        <v/>
      </c>
      <c r="W663" s="48" t="str">
        <f t="shared" si="159"/>
        <v/>
      </c>
      <c r="X663" s="50" t="str">
        <f>IF(W663="","",SUMIF($B$4:$B$1002,B663,$W$4:$W$1000))</f>
        <v/>
      </c>
      <c r="Y663" s="43" t="str">
        <f t="shared" si="160"/>
        <v/>
      </c>
      <c r="Z663" s="49" t="str">
        <f t="shared" si="161"/>
        <v/>
      </c>
      <c r="AA663" s="48" t="str">
        <f t="shared" si="162"/>
        <v/>
      </c>
      <c r="AB663" s="49" t="str">
        <f t="shared" si="163"/>
        <v/>
      </c>
      <c r="AC663" s="50" t="str">
        <f>IF(AB663="","",SUMIF($B$4:$B$1002,B663,$AB$4:$AB$1000))</f>
        <v/>
      </c>
      <c r="AD663" s="69"/>
      <c r="AE663" s="56"/>
      <c r="AF663" s="52"/>
      <c r="AG663" s="51"/>
      <c r="AH663" s="70"/>
      <c r="AI663" s="58"/>
      <c r="AJ663" s="55"/>
      <c r="AK663" s="51"/>
      <c r="AL663" s="69"/>
      <c r="AM663" s="56"/>
      <c r="AN663" s="52"/>
      <c r="AO663" s="51"/>
      <c r="AP663" s="70"/>
      <c r="AQ663" s="58"/>
      <c r="AR663" s="55"/>
      <c r="AS663" s="51"/>
      <c r="AT663" s="69"/>
      <c r="AU663" s="56"/>
      <c r="AV663" s="52"/>
      <c r="AW663" s="51"/>
      <c r="BR663" s="34" t="str">
        <f>IF(E663="","",CONCATENATE(E663," ",F663," noches"))</f>
        <v/>
      </c>
      <c r="BS663" s="28" t="str">
        <f t="shared" ca="1" si="164"/>
        <v/>
      </c>
      <c r="BT663" s="28" t="str">
        <f t="shared" ca="1" si="165"/>
        <v/>
      </c>
    </row>
    <row r="664" spans="1:72" x14ac:dyDescent="0.2">
      <c r="A664" s="18" t="str" cm="1">
        <f t="array" aca="1" ref="A664" ca="1">IF(B664="","","Grupo N˚"&amp;SUMPRODUCT(($B$4:B664&lt;&gt;"")*($B$4:B664&lt;&gt;OFFSET($B$4,-1,0,ROWS($B$4:B664),1))))</f>
        <v/>
      </c>
      <c r="B664" s="31"/>
      <c r="C664" s="31"/>
      <c r="D664" s="31"/>
      <c r="E664" s="31"/>
      <c r="F664" s="32"/>
      <c r="G664" s="33"/>
      <c r="H664" s="33"/>
      <c r="I664" s="20" t="str">
        <f t="shared" si="154"/>
        <v/>
      </c>
      <c r="J664" s="21" t="str">
        <f>IFERROR(VLOOKUP(BR664,Pricing!$D$3:$E$58,2,FALSE),"")</f>
        <v/>
      </c>
      <c r="K664" s="32"/>
      <c r="L664" s="32"/>
      <c r="M664" s="32"/>
      <c r="N664" s="36" t="str" cm="1">
        <f t="array" ref="N664">IFERROR(_xlfn.IFS((AND(K664="SI",M664="$")),J664*0.2,AND(K664="SI",M664="%"),20),"")</f>
        <v/>
      </c>
      <c r="O664" s="29" t="str">
        <f t="shared" si="155"/>
        <v/>
      </c>
      <c r="P664" s="21" t="str">
        <f t="shared" si="156"/>
        <v/>
      </c>
      <c r="Q664" s="21" t="str">
        <f t="shared" si="157"/>
        <v/>
      </c>
      <c r="R664" s="21" t="str">
        <f t="shared" si="158"/>
        <v/>
      </c>
      <c r="S664" s="39"/>
      <c r="T664" s="43" t="str">
        <f t="shared" si="166"/>
        <v/>
      </c>
      <c r="U664" s="49" t="str">
        <f t="shared" si="167"/>
        <v/>
      </c>
      <c r="V664" s="48" t="str">
        <f t="shared" si="168"/>
        <v/>
      </c>
      <c r="W664" s="48" t="str">
        <f t="shared" si="159"/>
        <v/>
      </c>
      <c r="X664" s="50" t="str">
        <f>IF(W664="","",SUMIF($B$4:$B$1002,B664,$W$4:$W$1000))</f>
        <v/>
      </c>
      <c r="Y664" s="43" t="str">
        <f t="shared" si="160"/>
        <v/>
      </c>
      <c r="Z664" s="49" t="str">
        <f t="shared" si="161"/>
        <v/>
      </c>
      <c r="AA664" s="48" t="str">
        <f t="shared" si="162"/>
        <v/>
      </c>
      <c r="AB664" s="49" t="str">
        <f t="shared" si="163"/>
        <v/>
      </c>
      <c r="AC664" s="50" t="str">
        <f>IF(AB664="","",SUMIF($B$4:$B$1002,B664,$AB$4:$AB$1000))</f>
        <v/>
      </c>
      <c r="AD664" s="69"/>
      <c r="AE664" s="56"/>
      <c r="AF664" s="52"/>
      <c r="AG664" s="51"/>
      <c r="AH664" s="70"/>
      <c r="AI664" s="58"/>
      <c r="AJ664" s="55"/>
      <c r="AK664" s="51"/>
      <c r="AL664" s="69"/>
      <c r="AM664" s="56"/>
      <c r="AN664" s="52"/>
      <c r="AO664" s="51"/>
      <c r="AP664" s="70"/>
      <c r="AQ664" s="58"/>
      <c r="AR664" s="55"/>
      <c r="AS664" s="51"/>
      <c r="AT664" s="69"/>
      <c r="AU664" s="56"/>
      <c r="AV664" s="52"/>
      <c r="AW664" s="51"/>
      <c r="BR664" s="34" t="str">
        <f>IF(E664="","",CONCATENATE(E664," ",F664," noches"))</f>
        <v/>
      </c>
      <c r="BS664" s="28" t="str">
        <f t="shared" ca="1" si="164"/>
        <v/>
      </c>
      <c r="BT664" s="28" t="str">
        <f t="shared" ca="1" si="165"/>
        <v/>
      </c>
    </row>
    <row r="665" spans="1:72" x14ac:dyDescent="0.2">
      <c r="A665" s="18" t="str" cm="1">
        <f t="array" aca="1" ref="A665" ca="1">IF(B665="","","Grupo N˚"&amp;SUMPRODUCT(($B$4:B665&lt;&gt;"")*($B$4:B665&lt;&gt;OFFSET($B$4,-1,0,ROWS($B$4:B665),1))))</f>
        <v/>
      </c>
      <c r="B665" s="31"/>
      <c r="C665" s="31"/>
      <c r="D665" s="31"/>
      <c r="E665" s="31"/>
      <c r="F665" s="32"/>
      <c r="G665" s="33"/>
      <c r="H665" s="33"/>
      <c r="I665" s="20" t="str">
        <f t="shared" si="154"/>
        <v/>
      </c>
      <c r="J665" s="21" t="str">
        <f>IFERROR(VLOOKUP(BR665,Pricing!$D$3:$E$58,2,FALSE),"")</f>
        <v/>
      </c>
      <c r="K665" s="32"/>
      <c r="L665" s="32"/>
      <c r="M665" s="32"/>
      <c r="N665" s="36" t="str" cm="1">
        <f t="array" ref="N665">IFERROR(_xlfn.IFS((AND(K665="SI",M665="$")),J665*0.2,AND(K665="SI",M665="%"),20),"")</f>
        <v/>
      </c>
      <c r="O665" s="29" t="str">
        <f t="shared" si="155"/>
        <v/>
      </c>
      <c r="P665" s="21" t="str">
        <f t="shared" si="156"/>
        <v/>
      </c>
      <c r="Q665" s="21" t="str">
        <f t="shared" si="157"/>
        <v/>
      </c>
      <c r="R665" s="21" t="str">
        <f t="shared" si="158"/>
        <v/>
      </c>
      <c r="S665" s="39"/>
      <c r="T665" s="43" t="str">
        <f t="shared" si="166"/>
        <v/>
      </c>
      <c r="U665" s="49" t="str">
        <f t="shared" si="167"/>
        <v/>
      </c>
      <c r="V665" s="48" t="str">
        <f t="shared" si="168"/>
        <v/>
      </c>
      <c r="W665" s="48" t="str">
        <f t="shared" si="159"/>
        <v/>
      </c>
      <c r="X665" s="50" t="str">
        <f>IF(W665="","",SUMIF($B$4:$B$1002,B665,$W$4:$W$1000))</f>
        <v/>
      </c>
      <c r="Y665" s="43" t="str">
        <f t="shared" si="160"/>
        <v/>
      </c>
      <c r="Z665" s="49" t="str">
        <f t="shared" si="161"/>
        <v/>
      </c>
      <c r="AA665" s="48" t="str">
        <f t="shared" si="162"/>
        <v/>
      </c>
      <c r="AB665" s="49" t="str">
        <f t="shared" si="163"/>
        <v/>
      </c>
      <c r="AC665" s="50" t="str">
        <f>IF(AB665="","",SUMIF($B$4:$B$1002,B665,$AB$4:$AB$1000))</f>
        <v/>
      </c>
      <c r="AD665" s="69"/>
      <c r="AE665" s="56"/>
      <c r="AF665" s="52"/>
      <c r="AG665" s="51"/>
      <c r="AH665" s="70"/>
      <c r="AI665" s="58"/>
      <c r="AJ665" s="55"/>
      <c r="AK665" s="51"/>
      <c r="AL665" s="69"/>
      <c r="AM665" s="56"/>
      <c r="AN665" s="52"/>
      <c r="AO665" s="51"/>
      <c r="AP665" s="70"/>
      <c r="AQ665" s="58"/>
      <c r="AR665" s="55"/>
      <c r="AS665" s="51"/>
      <c r="AT665" s="69"/>
      <c r="AU665" s="56"/>
      <c r="AV665" s="52"/>
      <c r="AW665" s="51"/>
      <c r="BR665" s="34" t="str">
        <f>IF(E665="","",CONCATENATE(E665," ",F665," noches"))</f>
        <v/>
      </c>
      <c r="BS665" s="28" t="str">
        <f t="shared" ca="1" si="164"/>
        <v/>
      </c>
      <c r="BT665" s="28" t="str">
        <f t="shared" ca="1" si="165"/>
        <v/>
      </c>
    </row>
    <row r="666" spans="1:72" x14ac:dyDescent="0.2">
      <c r="A666" s="18" t="str" cm="1">
        <f t="array" aca="1" ref="A666" ca="1">IF(B666="","","Grupo N˚"&amp;SUMPRODUCT(($B$4:B666&lt;&gt;"")*($B$4:B666&lt;&gt;OFFSET($B$4,-1,0,ROWS($B$4:B666),1))))</f>
        <v/>
      </c>
      <c r="B666" s="31"/>
      <c r="C666" s="31"/>
      <c r="D666" s="31"/>
      <c r="E666" s="31"/>
      <c r="F666" s="32"/>
      <c r="G666" s="33"/>
      <c r="H666" s="33"/>
      <c r="I666" s="20" t="str">
        <f t="shared" si="154"/>
        <v/>
      </c>
      <c r="J666" s="21" t="str">
        <f>IFERROR(VLOOKUP(BR666,Pricing!$D$3:$E$58,2,FALSE),"")</f>
        <v/>
      </c>
      <c r="K666" s="32"/>
      <c r="L666" s="32"/>
      <c r="M666" s="32"/>
      <c r="N666" s="36" t="str" cm="1">
        <f t="array" ref="N666">IFERROR(_xlfn.IFS((AND(K666="SI",M666="$")),J666*0.2,AND(K666="SI",M666="%"),20),"")</f>
        <v/>
      </c>
      <c r="O666" s="29" t="str">
        <f t="shared" si="155"/>
        <v/>
      </c>
      <c r="P666" s="21" t="str">
        <f t="shared" si="156"/>
        <v/>
      </c>
      <c r="Q666" s="21" t="str">
        <f t="shared" si="157"/>
        <v/>
      </c>
      <c r="R666" s="21" t="str">
        <f t="shared" si="158"/>
        <v/>
      </c>
      <c r="S666" s="39"/>
      <c r="T666" s="43" t="str">
        <f t="shared" si="166"/>
        <v/>
      </c>
      <c r="U666" s="49" t="str">
        <f t="shared" si="167"/>
        <v/>
      </c>
      <c r="V666" s="48" t="str">
        <f t="shared" si="168"/>
        <v/>
      </c>
      <c r="W666" s="48" t="str">
        <f t="shared" si="159"/>
        <v/>
      </c>
      <c r="X666" s="50" t="str">
        <f>IF(W666="","",SUMIF($B$4:$B$1002,B666,$W$4:$W$1000))</f>
        <v/>
      </c>
      <c r="Y666" s="43" t="str">
        <f t="shared" si="160"/>
        <v/>
      </c>
      <c r="Z666" s="49" t="str">
        <f t="shared" si="161"/>
        <v/>
      </c>
      <c r="AA666" s="48" t="str">
        <f t="shared" si="162"/>
        <v/>
      </c>
      <c r="AB666" s="49" t="str">
        <f t="shared" si="163"/>
        <v/>
      </c>
      <c r="AC666" s="50" t="str">
        <f>IF(AB666="","",SUMIF($B$4:$B$1002,B666,$AB$4:$AB$1000))</f>
        <v/>
      </c>
      <c r="AD666" s="69"/>
      <c r="AE666" s="56"/>
      <c r="AF666" s="52"/>
      <c r="AG666" s="51"/>
      <c r="AH666" s="70"/>
      <c r="AI666" s="58"/>
      <c r="AJ666" s="55"/>
      <c r="AK666" s="51"/>
      <c r="AL666" s="69"/>
      <c r="AM666" s="56"/>
      <c r="AN666" s="52"/>
      <c r="AO666" s="51"/>
      <c r="AP666" s="70"/>
      <c r="AQ666" s="58"/>
      <c r="AR666" s="55"/>
      <c r="AS666" s="51"/>
      <c r="AT666" s="69"/>
      <c r="AU666" s="56"/>
      <c r="AV666" s="52"/>
      <c r="AW666" s="51"/>
      <c r="BR666" s="34" t="str">
        <f>IF(E666="","",CONCATENATE(E666," ",F666," noches"))</f>
        <v/>
      </c>
      <c r="BS666" s="28" t="str">
        <f t="shared" ca="1" si="164"/>
        <v/>
      </c>
      <c r="BT666" s="28" t="str">
        <f t="shared" ca="1" si="165"/>
        <v/>
      </c>
    </row>
    <row r="667" spans="1:72" x14ac:dyDescent="0.2">
      <c r="A667" s="18" t="str" cm="1">
        <f t="array" aca="1" ref="A667" ca="1">IF(B667="","","Grupo N˚"&amp;SUMPRODUCT(($B$4:B667&lt;&gt;"")*($B$4:B667&lt;&gt;OFFSET($B$4,-1,0,ROWS($B$4:B667),1))))</f>
        <v/>
      </c>
      <c r="B667" s="31"/>
      <c r="C667" s="31"/>
      <c r="D667" s="31"/>
      <c r="E667" s="31"/>
      <c r="F667" s="32"/>
      <c r="G667" s="33"/>
      <c r="H667" s="33"/>
      <c r="I667" s="20" t="str">
        <f t="shared" si="154"/>
        <v/>
      </c>
      <c r="J667" s="21" t="str">
        <f>IFERROR(VLOOKUP(BR667,Pricing!$D$3:$E$58,2,FALSE),"")</f>
        <v/>
      </c>
      <c r="K667" s="32"/>
      <c r="L667" s="32"/>
      <c r="M667" s="32"/>
      <c r="N667" s="36" t="str" cm="1">
        <f t="array" ref="N667">IFERROR(_xlfn.IFS((AND(K667="SI",M667="$")),J667*0.2,AND(K667="SI",M667="%"),20),"")</f>
        <v/>
      </c>
      <c r="O667" s="29" t="str">
        <f t="shared" si="155"/>
        <v/>
      </c>
      <c r="P667" s="21" t="str">
        <f t="shared" si="156"/>
        <v/>
      </c>
      <c r="Q667" s="21" t="str">
        <f t="shared" si="157"/>
        <v/>
      </c>
      <c r="R667" s="21" t="str">
        <f t="shared" si="158"/>
        <v/>
      </c>
      <c r="S667" s="39"/>
      <c r="T667" s="43" t="str">
        <f t="shared" si="166"/>
        <v/>
      </c>
      <c r="U667" s="49" t="str">
        <f t="shared" si="167"/>
        <v/>
      </c>
      <c r="V667" s="48" t="str">
        <f t="shared" si="168"/>
        <v/>
      </c>
      <c r="W667" s="48" t="str">
        <f t="shared" si="159"/>
        <v/>
      </c>
      <c r="X667" s="50" t="str">
        <f>IF(W667="","",SUMIF($B$4:$B$1002,B667,$W$4:$W$1000))</f>
        <v/>
      </c>
      <c r="Y667" s="43" t="str">
        <f t="shared" si="160"/>
        <v/>
      </c>
      <c r="Z667" s="49" t="str">
        <f t="shared" si="161"/>
        <v/>
      </c>
      <c r="AA667" s="48" t="str">
        <f t="shared" si="162"/>
        <v/>
      </c>
      <c r="AB667" s="49" t="str">
        <f t="shared" si="163"/>
        <v/>
      </c>
      <c r="AC667" s="50" t="str">
        <f>IF(AB667="","",SUMIF($B$4:$B$1002,B667,$AB$4:$AB$1000))</f>
        <v/>
      </c>
      <c r="AD667" s="69"/>
      <c r="AE667" s="56"/>
      <c r="AF667" s="52"/>
      <c r="AG667" s="51"/>
      <c r="AH667" s="70"/>
      <c r="AI667" s="58"/>
      <c r="AJ667" s="55"/>
      <c r="AK667" s="51"/>
      <c r="AL667" s="69"/>
      <c r="AM667" s="56"/>
      <c r="AN667" s="52"/>
      <c r="AO667" s="51"/>
      <c r="AP667" s="70"/>
      <c r="AQ667" s="58"/>
      <c r="AR667" s="55"/>
      <c r="AS667" s="51"/>
      <c r="AT667" s="69"/>
      <c r="AU667" s="56"/>
      <c r="AV667" s="52"/>
      <c r="AW667" s="51"/>
      <c r="BR667" s="34" t="str">
        <f>IF(E667="","",CONCATENATE(E667," ",F667," noches"))</f>
        <v/>
      </c>
      <c r="BS667" s="28" t="str">
        <f t="shared" ca="1" si="164"/>
        <v/>
      </c>
      <c r="BT667" s="28" t="str">
        <f t="shared" ca="1" si="165"/>
        <v/>
      </c>
    </row>
    <row r="668" spans="1:72" x14ac:dyDescent="0.2">
      <c r="A668" s="18" t="str" cm="1">
        <f t="array" aca="1" ref="A668" ca="1">IF(B668="","","Grupo N˚"&amp;SUMPRODUCT(($B$4:B668&lt;&gt;"")*($B$4:B668&lt;&gt;OFFSET($B$4,-1,0,ROWS($B$4:B668),1))))</f>
        <v/>
      </c>
      <c r="B668" s="31"/>
      <c r="C668" s="31"/>
      <c r="D668" s="31"/>
      <c r="E668" s="31"/>
      <c r="F668" s="32"/>
      <c r="G668" s="33"/>
      <c r="H668" s="33"/>
      <c r="I668" s="20" t="str">
        <f t="shared" si="154"/>
        <v/>
      </c>
      <c r="J668" s="21" t="str">
        <f>IFERROR(VLOOKUP(BR668,Pricing!$D$3:$E$58,2,FALSE),"")</f>
        <v/>
      </c>
      <c r="K668" s="32"/>
      <c r="L668" s="32"/>
      <c r="M668" s="32"/>
      <c r="N668" s="36" t="str" cm="1">
        <f t="array" ref="N668">IFERROR(_xlfn.IFS((AND(K668="SI",M668="$")),J668*0.2,AND(K668="SI",M668="%"),20),"")</f>
        <v/>
      </c>
      <c r="O668" s="29" t="str">
        <f t="shared" si="155"/>
        <v/>
      </c>
      <c r="P668" s="21" t="str">
        <f t="shared" si="156"/>
        <v/>
      </c>
      <c r="Q668" s="21" t="str">
        <f t="shared" si="157"/>
        <v/>
      </c>
      <c r="R668" s="21" t="str">
        <f t="shared" si="158"/>
        <v/>
      </c>
      <c r="S668" s="39"/>
      <c r="T668" s="43" t="str">
        <f t="shared" si="166"/>
        <v/>
      </c>
      <c r="U668" s="49" t="str">
        <f t="shared" si="167"/>
        <v/>
      </c>
      <c r="V668" s="48" t="str">
        <f t="shared" si="168"/>
        <v/>
      </c>
      <c r="W668" s="48" t="str">
        <f t="shared" si="159"/>
        <v/>
      </c>
      <c r="X668" s="50" t="str">
        <f>IF(W668="","",SUMIF($B$4:$B$1002,B668,$W$4:$W$1000))</f>
        <v/>
      </c>
      <c r="Y668" s="43" t="str">
        <f t="shared" si="160"/>
        <v/>
      </c>
      <c r="Z668" s="49" t="str">
        <f t="shared" si="161"/>
        <v/>
      </c>
      <c r="AA668" s="48" t="str">
        <f t="shared" si="162"/>
        <v/>
      </c>
      <c r="AB668" s="49" t="str">
        <f t="shared" si="163"/>
        <v/>
      </c>
      <c r="AC668" s="50" t="str">
        <f>IF(AB668="","",SUMIF($B$4:$B$1002,B668,$AB$4:$AB$1000))</f>
        <v/>
      </c>
      <c r="AD668" s="69"/>
      <c r="AE668" s="56"/>
      <c r="AF668" s="52"/>
      <c r="AG668" s="51"/>
      <c r="AH668" s="70"/>
      <c r="AI668" s="58"/>
      <c r="AJ668" s="55"/>
      <c r="AK668" s="51"/>
      <c r="AL668" s="69"/>
      <c r="AM668" s="56"/>
      <c r="AN668" s="52"/>
      <c r="AO668" s="51"/>
      <c r="AP668" s="70"/>
      <c r="AQ668" s="58"/>
      <c r="AR668" s="55"/>
      <c r="AS668" s="51"/>
      <c r="AT668" s="69"/>
      <c r="AU668" s="56"/>
      <c r="AV668" s="52"/>
      <c r="AW668" s="51"/>
      <c r="BR668" s="34" t="str">
        <f>IF(E668="","",CONCATENATE(E668," ",F668," noches"))</f>
        <v/>
      </c>
      <c r="BS668" s="28" t="str">
        <f t="shared" ca="1" si="164"/>
        <v/>
      </c>
      <c r="BT668" s="28" t="str">
        <f t="shared" ca="1" si="165"/>
        <v/>
      </c>
    </row>
    <row r="669" spans="1:72" x14ac:dyDescent="0.2">
      <c r="A669" s="18" t="str" cm="1">
        <f t="array" aca="1" ref="A669" ca="1">IF(B669="","","Grupo N˚"&amp;SUMPRODUCT(($B$4:B669&lt;&gt;"")*($B$4:B669&lt;&gt;OFFSET($B$4,-1,0,ROWS($B$4:B669),1))))</f>
        <v/>
      </c>
      <c r="B669" s="31"/>
      <c r="C669" s="31"/>
      <c r="D669" s="31"/>
      <c r="E669" s="31"/>
      <c r="F669" s="32"/>
      <c r="G669" s="33"/>
      <c r="H669" s="33"/>
      <c r="I669" s="20" t="str">
        <f t="shared" si="154"/>
        <v/>
      </c>
      <c r="J669" s="21" t="str">
        <f>IFERROR(VLOOKUP(BR669,Pricing!$D$3:$E$58,2,FALSE),"")</f>
        <v/>
      </c>
      <c r="K669" s="32"/>
      <c r="L669" s="32"/>
      <c r="M669" s="32"/>
      <c r="N669" s="36" t="str" cm="1">
        <f t="array" ref="N669">IFERROR(_xlfn.IFS((AND(K669="SI",M669="$")),J669*0.2,AND(K669="SI",M669="%"),20),"")</f>
        <v/>
      </c>
      <c r="O669" s="29" t="str">
        <f t="shared" si="155"/>
        <v/>
      </c>
      <c r="P669" s="21" t="str">
        <f t="shared" si="156"/>
        <v/>
      </c>
      <c r="Q669" s="21" t="str">
        <f t="shared" si="157"/>
        <v/>
      </c>
      <c r="R669" s="21" t="str">
        <f t="shared" si="158"/>
        <v/>
      </c>
      <c r="S669" s="39"/>
      <c r="T669" s="43" t="str">
        <f t="shared" si="166"/>
        <v/>
      </c>
      <c r="U669" s="49" t="str">
        <f t="shared" si="167"/>
        <v/>
      </c>
      <c r="V669" s="48" t="str">
        <f t="shared" si="168"/>
        <v/>
      </c>
      <c r="W669" s="48" t="str">
        <f t="shared" si="159"/>
        <v/>
      </c>
      <c r="X669" s="50" t="str">
        <f>IF(W669="","",SUMIF($B$4:$B$1002,B669,$W$4:$W$1000))</f>
        <v/>
      </c>
      <c r="Y669" s="43" t="str">
        <f t="shared" si="160"/>
        <v/>
      </c>
      <c r="Z669" s="49" t="str">
        <f t="shared" si="161"/>
        <v/>
      </c>
      <c r="AA669" s="48" t="str">
        <f t="shared" si="162"/>
        <v/>
      </c>
      <c r="AB669" s="49" t="str">
        <f t="shared" si="163"/>
        <v/>
      </c>
      <c r="AC669" s="50" t="str">
        <f>IF(AB669="","",SUMIF($B$4:$B$1002,B669,$AB$4:$AB$1000))</f>
        <v/>
      </c>
      <c r="AD669" s="69"/>
      <c r="AE669" s="56"/>
      <c r="AF669" s="52"/>
      <c r="AG669" s="51"/>
      <c r="AH669" s="70"/>
      <c r="AI669" s="58"/>
      <c r="AJ669" s="55"/>
      <c r="AK669" s="51"/>
      <c r="AL669" s="69"/>
      <c r="AM669" s="56"/>
      <c r="AN669" s="52"/>
      <c r="AO669" s="51"/>
      <c r="AP669" s="70"/>
      <c r="AQ669" s="58"/>
      <c r="AR669" s="55"/>
      <c r="AS669" s="51"/>
      <c r="AT669" s="69"/>
      <c r="AU669" s="56"/>
      <c r="AV669" s="52"/>
      <c r="AW669" s="51"/>
      <c r="BR669" s="34" t="str">
        <f>IF(E669="","",CONCATENATE(E669," ",F669," noches"))</f>
        <v/>
      </c>
      <c r="BS669" s="28" t="str">
        <f t="shared" ca="1" si="164"/>
        <v/>
      </c>
      <c r="BT669" s="28" t="str">
        <f t="shared" ca="1" si="165"/>
        <v/>
      </c>
    </row>
    <row r="670" spans="1:72" x14ac:dyDescent="0.2">
      <c r="A670" s="18" t="str" cm="1">
        <f t="array" aca="1" ref="A670" ca="1">IF(B670="","","Grupo N˚"&amp;SUMPRODUCT(($B$4:B670&lt;&gt;"")*($B$4:B670&lt;&gt;OFFSET($B$4,-1,0,ROWS($B$4:B670),1))))</f>
        <v/>
      </c>
      <c r="B670" s="31"/>
      <c r="C670" s="31"/>
      <c r="D670" s="31"/>
      <c r="E670" s="31"/>
      <c r="F670" s="32"/>
      <c r="G670" s="33"/>
      <c r="H670" s="33"/>
      <c r="I670" s="20" t="str">
        <f t="shared" si="154"/>
        <v/>
      </c>
      <c r="J670" s="21" t="str">
        <f>IFERROR(VLOOKUP(BR670,Pricing!$D$3:$E$58,2,FALSE),"")</f>
        <v/>
      </c>
      <c r="K670" s="32"/>
      <c r="L670" s="32"/>
      <c r="M670" s="32"/>
      <c r="N670" s="36" t="str" cm="1">
        <f t="array" ref="N670">IFERROR(_xlfn.IFS((AND(K670="SI",M670="$")),J670*0.2,AND(K670="SI",M670="%"),20),"")</f>
        <v/>
      </c>
      <c r="O670" s="29" t="str">
        <f t="shared" si="155"/>
        <v/>
      </c>
      <c r="P670" s="21" t="str">
        <f t="shared" si="156"/>
        <v/>
      </c>
      <c r="Q670" s="21" t="str">
        <f t="shared" si="157"/>
        <v/>
      </c>
      <c r="R670" s="21" t="str">
        <f t="shared" si="158"/>
        <v/>
      </c>
      <c r="S670" s="39"/>
      <c r="T670" s="43" t="str">
        <f t="shared" si="166"/>
        <v/>
      </c>
      <c r="U670" s="49" t="str">
        <f t="shared" si="167"/>
        <v/>
      </c>
      <c r="V670" s="48" t="str">
        <f t="shared" si="168"/>
        <v/>
      </c>
      <c r="W670" s="48" t="str">
        <f t="shared" si="159"/>
        <v/>
      </c>
      <c r="X670" s="50" t="str">
        <f>IF(W670="","",SUMIF($B$4:$B$1002,B670,$W$4:$W$1000))</f>
        <v/>
      </c>
      <c r="Y670" s="43" t="str">
        <f t="shared" si="160"/>
        <v/>
      </c>
      <c r="Z670" s="49" t="str">
        <f t="shared" si="161"/>
        <v/>
      </c>
      <c r="AA670" s="48" t="str">
        <f t="shared" si="162"/>
        <v/>
      </c>
      <c r="AB670" s="49" t="str">
        <f t="shared" si="163"/>
        <v/>
      </c>
      <c r="AC670" s="50" t="str">
        <f>IF(AB670="","",SUMIF($B$4:$B$1002,B670,$AB$4:$AB$1000))</f>
        <v/>
      </c>
      <c r="AD670" s="69"/>
      <c r="AE670" s="56"/>
      <c r="AF670" s="52"/>
      <c r="AG670" s="51"/>
      <c r="AH670" s="70"/>
      <c r="AI670" s="58"/>
      <c r="AJ670" s="55"/>
      <c r="AK670" s="51"/>
      <c r="AL670" s="69"/>
      <c r="AM670" s="56"/>
      <c r="AN670" s="52"/>
      <c r="AO670" s="51"/>
      <c r="AP670" s="70"/>
      <c r="AQ670" s="58"/>
      <c r="AR670" s="55"/>
      <c r="AS670" s="51"/>
      <c r="AT670" s="69"/>
      <c r="AU670" s="56"/>
      <c r="AV670" s="52"/>
      <c r="AW670" s="51"/>
      <c r="BR670" s="34" t="str">
        <f>IF(E670="","",CONCATENATE(E670," ",F670," noches"))</f>
        <v/>
      </c>
      <c r="BS670" s="28" t="str">
        <f t="shared" ca="1" si="164"/>
        <v/>
      </c>
      <c r="BT670" s="28" t="str">
        <f t="shared" ca="1" si="165"/>
        <v/>
      </c>
    </row>
    <row r="671" spans="1:72" x14ac:dyDescent="0.2">
      <c r="A671" s="18" t="str" cm="1">
        <f t="array" aca="1" ref="A671" ca="1">IF(B671="","","Grupo N˚"&amp;SUMPRODUCT(($B$4:B671&lt;&gt;"")*($B$4:B671&lt;&gt;OFFSET($B$4,-1,0,ROWS($B$4:B671),1))))</f>
        <v/>
      </c>
      <c r="B671" s="31"/>
      <c r="C671" s="31"/>
      <c r="D671" s="31"/>
      <c r="E671" s="31"/>
      <c r="F671" s="32"/>
      <c r="G671" s="33"/>
      <c r="H671" s="33"/>
      <c r="I671" s="20" t="str">
        <f t="shared" si="154"/>
        <v/>
      </c>
      <c r="J671" s="21" t="str">
        <f>IFERROR(VLOOKUP(BR671,Pricing!$D$3:$E$58,2,FALSE),"")</f>
        <v/>
      </c>
      <c r="K671" s="32"/>
      <c r="L671" s="32"/>
      <c r="M671" s="32"/>
      <c r="N671" s="36" t="str" cm="1">
        <f t="array" ref="N671">IFERROR(_xlfn.IFS((AND(K671="SI",M671="$")),J671*0.2,AND(K671="SI",M671="%"),20),"")</f>
        <v/>
      </c>
      <c r="O671" s="29" t="str">
        <f t="shared" si="155"/>
        <v/>
      </c>
      <c r="P671" s="21" t="str">
        <f t="shared" si="156"/>
        <v/>
      </c>
      <c r="Q671" s="21" t="str">
        <f t="shared" si="157"/>
        <v/>
      </c>
      <c r="R671" s="21" t="str">
        <f t="shared" si="158"/>
        <v/>
      </c>
      <c r="S671" s="39"/>
      <c r="T671" s="43" t="str">
        <f t="shared" si="166"/>
        <v/>
      </c>
      <c r="U671" s="49" t="str">
        <f t="shared" si="167"/>
        <v/>
      </c>
      <c r="V671" s="48" t="str">
        <f t="shared" si="168"/>
        <v/>
      </c>
      <c r="W671" s="48" t="str">
        <f t="shared" si="159"/>
        <v/>
      </c>
      <c r="X671" s="50" t="str">
        <f>IF(W671="","",SUMIF($B$4:$B$1002,B671,$W$4:$W$1000))</f>
        <v/>
      </c>
      <c r="Y671" s="43" t="str">
        <f t="shared" si="160"/>
        <v/>
      </c>
      <c r="Z671" s="49" t="str">
        <f t="shared" si="161"/>
        <v/>
      </c>
      <c r="AA671" s="48" t="str">
        <f t="shared" si="162"/>
        <v/>
      </c>
      <c r="AB671" s="49" t="str">
        <f t="shared" si="163"/>
        <v/>
      </c>
      <c r="AC671" s="50" t="str">
        <f>IF(AB671="","",SUMIF($B$4:$B$1002,B671,$AB$4:$AB$1000))</f>
        <v/>
      </c>
      <c r="AD671" s="69"/>
      <c r="AE671" s="56"/>
      <c r="AF671" s="52"/>
      <c r="AG671" s="51"/>
      <c r="AH671" s="70"/>
      <c r="AI671" s="58"/>
      <c r="AJ671" s="55"/>
      <c r="AK671" s="51"/>
      <c r="AL671" s="69"/>
      <c r="AM671" s="56"/>
      <c r="AN671" s="52"/>
      <c r="AO671" s="51"/>
      <c r="AP671" s="70"/>
      <c r="AQ671" s="58"/>
      <c r="AR671" s="55"/>
      <c r="AS671" s="51"/>
      <c r="AT671" s="69"/>
      <c r="AU671" s="56"/>
      <c r="AV671" s="52"/>
      <c r="AW671" s="51"/>
      <c r="BR671" s="34" t="str">
        <f>IF(E671="","",CONCATENATE(E671," ",F671," noches"))</f>
        <v/>
      </c>
      <c r="BS671" s="28" t="str">
        <f t="shared" ca="1" si="164"/>
        <v/>
      </c>
      <c r="BT671" s="28" t="str">
        <f t="shared" ca="1" si="165"/>
        <v/>
      </c>
    </row>
    <row r="672" spans="1:72" x14ac:dyDescent="0.2">
      <c r="A672" s="18" t="str" cm="1">
        <f t="array" aca="1" ref="A672" ca="1">IF(B672="","","Grupo N˚"&amp;SUMPRODUCT(($B$4:B672&lt;&gt;"")*($B$4:B672&lt;&gt;OFFSET($B$4,-1,0,ROWS($B$4:B672),1))))</f>
        <v/>
      </c>
      <c r="B672" s="31"/>
      <c r="C672" s="31"/>
      <c r="D672" s="31"/>
      <c r="E672" s="31"/>
      <c r="F672" s="32"/>
      <c r="G672" s="33"/>
      <c r="H672" s="33"/>
      <c r="I672" s="20" t="str">
        <f t="shared" si="154"/>
        <v/>
      </c>
      <c r="J672" s="21" t="str">
        <f>IFERROR(VLOOKUP(BR672,Pricing!$D$3:$E$58,2,FALSE),"")</f>
        <v/>
      </c>
      <c r="K672" s="32"/>
      <c r="L672" s="32"/>
      <c r="M672" s="32"/>
      <c r="N672" s="36" t="str" cm="1">
        <f t="array" ref="N672">IFERROR(_xlfn.IFS((AND(K672="SI",M672="$")),J672*0.2,AND(K672="SI",M672="%"),20),"")</f>
        <v/>
      </c>
      <c r="O672" s="29" t="str">
        <f t="shared" si="155"/>
        <v/>
      </c>
      <c r="P672" s="21" t="str">
        <f t="shared" si="156"/>
        <v/>
      </c>
      <c r="Q672" s="21" t="str">
        <f t="shared" si="157"/>
        <v/>
      </c>
      <c r="R672" s="21" t="str">
        <f t="shared" si="158"/>
        <v/>
      </c>
      <c r="S672" s="39"/>
      <c r="T672" s="43" t="str">
        <f t="shared" si="166"/>
        <v/>
      </c>
      <c r="U672" s="49" t="str">
        <f t="shared" si="167"/>
        <v/>
      </c>
      <c r="V672" s="48" t="str">
        <f t="shared" si="168"/>
        <v/>
      </c>
      <c r="W672" s="48" t="str">
        <f t="shared" si="159"/>
        <v/>
      </c>
      <c r="X672" s="50" t="str">
        <f>IF(W672="","",SUMIF($B$4:$B$1002,B672,$W$4:$W$1000))</f>
        <v/>
      </c>
      <c r="Y672" s="43" t="str">
        <f t="shared" si="160"/>
        <v/>
      </c>
      <c r="Z672" s="49" t="str">
        <f t="shared" si="161"/>
        <v/>
      </c>
      <c r="AA672" s="48" t="str">
        <f t="shared" si="162"/>
        <v/>
      </c>
      <c r="AB672" s="49" t="str">
        <f t="shared" si="163"/>
        <v/>
      </c>
      <c r="AC672" s="50" t="str">
        <f>IF(AB672="","",SUMIF($B$4:$B$1002,B672,$AB$4:$AB$1000))</f>
        <v/>
      </c>
      <c r="AD672" s="69"/>
      <c r="AE672" s="56"/>
      <c r="AF672" s="52"/>
      <c r="AG672" s="51"/>
      <c r="AH672" s="70"/>
      <c r="AI672" s="58"/>
      <c r="AJ672" s="55"/>
      <c r="AK672" s="51"/>
      <c r="AL672" s="69"/>
      <c r="AM672" s="56"/>
      <c r="AN672" s="52"/>
      <c r="AO672" s="51"/>
      <c r="AP672" s="70"/>
      <c r="AQ672" s="58"/>
      <c r="AR672" s="55"/>
      <c r="AS672" s="51"/>
      <c r="AT672" s="69"/>
      <c r="AU672" s="56"/>
      <c r="AV672" s="52"/>
      <c r="AW672" s="51"/>
      <c r="BR672" s="34" t="str">
        <f>IF(E672="","",CONCATENATE(E672," ",F672," noches"))</f>
        <v/>
      </c>
      <c r="BS672" s="28" t="str">
        <f t="shared" ca="1" si="164"/>
        <v/>
      </c>
      <c r="BT672" s="28" t="str">
        <f t="shared" ca="1" si="165"/>
        <v/>
      </c>
    </row>
    <row r="673" spans="1:72" x14ac:dyDescent="0.2">
      <c r="A673" s="18" t="str" cm="1">
        <f t="array" aca="1" ref="A673" ca="1">IF(B673="","","Grupo N˚"&amp;SUMPRODUCT(($B$4:B673&lt;&gt;"")*($B$4:B673&lt;&gt;OFFSET($B$4,-1,0,ROWS($B$4:B673),1))))</f>
        <v/>
      </c>
      <c r="B673" s="31"/>
      <c r="C673" s="31"/>
      <c r="D673" s="31"/>
      <c r="E673" s="31"/>
      <c r="F673" s="32"/>
      <c r="G673" s="33"/>
      <c r="H673" s="33"/>
      <c r="I673" s="20" t="str">
        <f t="shared" si="154"/>
        <v/>
      </c>
      <c r="J673" s="21" t="str">
        <f>IFERROR(VLOOKUP(BR673,Pricing!$D$3:$E$58,2,FALSE),"")</f>
        <v/>
      </c>
      <c r="K673" s="32"/>
      <c r="L673" s="32"/>
      <c r="M673" s="32"/>
      <c r="N673" s="36" t="str" cm="1">
        <f t="array" ref="N673">IFERROR(_xlfn.IFS((AND(K673="SI",M673="$")),J673*0.2,AND(K673="SI",M673="%"),20),"")</f>
        <v/>
      </c>
      <c r="O673" s="29" t="str">
        <f t="shared" si="155"/>
        <v/>
      </c>
      <c r="P673" s="21" t="str">
        <f t="shared" si="156"/>
        <v/>
      </c>
      <c r="Q673" s="21" t="str">
        <f t="shared" si="157"/>
        <v/>
      </c>
      <c r="R673" s="21" t="str">
        <f t="shared" si="158"/>
        <v/>
      </c>
      <c r="S673" s="39"/>
      <c r="T673" s="43" t="str">
        <f t="shared" si="166"/>
        <v/>
      </c>
      <c r="U673" s="49" t="str">
        <f t="shared" si="167"/>
        <v/>
      </c>
      <c r="V673" s="48" t="str">
        <f t="shared" si="168"/>
        <v/>
      </c>
      <c r="W673" s="48" t="str">
        <f t="shared" si="159"/>
        <v/>
      </c>
      <c r="X673" s="50" t="str">
        <f>IF(W673="","",SUMIF($B$4:$B$1002,B673,$W$4:$W$1000))</f>
        <v/>
      </c>
      <c r="Y673" s="43" t="str">
        <f t="shared" si="160"/>
        <v/>
      </c>
      <c r="Z673" s="49" t="str">
        <f t="shared" si="161"/>
        <v/>
      </c>
      <c r="AA673" s="48" t="str">
        <f t="shared" si="162"/>
        <v/>
      </c>
      <c r="AB673" s="49" t="str">
        <f t="shared" si="163"/>
        <v/>
      </c>
      <c r="AC673" s="50" t="str">
        <f>IF(AB673="","",SUMIF($B$4:$B$1002,B673,$AB$4:$AB$1000))</f>
        <v/>
      </c>
      <c r="AD673" s="69"/>
      <c r="AE673" s="56"/>
      <c r="AF673" s="52"/>
      <c r="AG673" s="51"/>
      <c r="AH673" s="70"/>
      <c r="AI673" s="58"/>
      <c r="AJ673" s="55"/>
      <c r="AK673" s="51"/>
      <c r="AL673" s="69"/>
      <c r="AM673" s="56"/>
      <c r="AN673" s="52"/>
      <c r="AO673" s="51"/>
      <c r="AP673" s="70"/>
      <c r="AQ673" s="58"/>
      <c r="AR673" s="55"/>
      <c r="AS673" s="51"/>
      <c r="AT673" s="69"/>
      <c r="AU673" s="56"/>
      <c r="AV673" s="52"/>
      <c r="AW673" s="51"/>
      <c r="BR673" s="34" t="str">
        <f>IF(E673="","",CONCATENATE(E673," ",F673," noches"))</f>
        <v/>
      </c>
      <c r="BS673" s="28" t="str">
        <f t="shared" ca="1" si="164"/>
        <v/>
      </c>
      <c r="BT673" s="28" t="str">
        <f t="shared" ca="1" si="165"/>
        <v/>
      </c>
    </row>
    <row r="674" spans="1:72" x14ac:dyDescent="0.2">
      <c r="A674" s="18" t="str" cm="1">
        <f t="array" aca="1" ref="A674" ca="1">IF(B674="","","Grupo N˚"&amp;SUMPRODUCT(($B$4:B674&lt;&gt;"")*($B$4:B674&lt;&gt;OFFSET($B$4,-1,0,ROWS($B$4:B674),1))))</f>
        <v/>
      </c>
      <c r="B674" s="31"/>
      <c r="C674" s="31"/>
      <c r="D674" s="31"/>
      <c r="E674" s="31"/>
      <c r="F674" s="32"/>
      <c r="G674" s="33"/>
      <c r="H674" s="33"/>
      <c r="I674" s="20" t="str">
        <f t="shared" si="154"/>
        <v/>
      </c>
      <c r="J674" s="21" t="str">
        <f>IFERROR(VLOOKUP(BR674,Pricing!$D$3:$E$58,2,FALSE),"")</f>
        <v/>
      </c>
      <c r="K674" s="32"/>
      <c r="L674" s="32"/>
      <c r="M674" s="32"/>
      <c r="N674" s="36" t="str" cm="1">
        <f t="array" ref="N674">IFERROR(_xlfn.IFS((AND(K674="SI",M674="$")),J674*0.2,AND(K674="SI",M674="%"),20),"")</f>
        <v/>
      </c>
      <c r="O674" s="29" t="str">
        <f t="shared" si="155"/>
        <v/>
      </c>
      <c r="P674" s="21" t="str">
        <f t="shared" si="156"/>
        <v/>
      </c>
      <c r="Q674" s="21" t="str">
        <f t="shared" si="157"/>
        <v/>
      </c>
      <c r="R674" s="21" t="str">
        <f t="shared" si="158"/>
        <v/>
      </c>
      <c r="S674" s="39"/>
      <c r="T674" s="43" t="str">
        <f t="shared" si="166"/>
        <v/>
      </c>
      <c r="U674" s="49" t="str">
        <f t="shared" si="167"/>
        <v/>
      </c>
      <c r="V674" s="48" t="str">
        <f t="shared" si="168"/>
        <v/>
      </c>
      <c r="W674" s="48" t="str">
        <f t="shared" si="159"/>
        <v/>
      </c>
      <c r="X674" s="50" t="str">
        <f>IF(W674="","",SUMIF($B$4:$B$1002,B674,$W$4:$W$1000))</f>
        <v/>
      </c>
      <c r="Y674" s="43" t="str">
        <f t="shared" si="160"/>
        <v/>
      </c>
      <c r="Z674" s="49" t="str">
        <f t="shared" si="161"/>
        <v/>
      </c>
      <c r="AA674" s="48" t="str">
        <f t="shared" si="162"/>
        <v/>
      </c>
      <c r="AB674" s="49" t="str">
        <f t="shared" si="163"/>
        <v/>
      </c>
      <c r="AC674" s="50" t="str">
        <f>IF(AB674="","",SUMIF($B$4:$B$1002,B674,$AB$4:$AB$1000))</f>
        <v/>
      </c>
      <c r="AD674" s="69"/>
      <c r="AE674" s="56"/>
      <c r="AF674" s="52"/>
      <c r="AG674" s="51"/>
      <c r="AH674" s="70"/>
      <c r="AI674" s="58"/>
      <c r="AJ674" s="55"/>
      <c r="AK674" s="51"/>
      <c r="AL674" s="69"/>
      <c r="AM674" s="56"/>
      <c r="AN674" s="52"/>
      <c r="AO674" s="51"/>
      <c r="AP674" s="70"/>
      <c r="AQ674" s="58"/>
      <c r="AR674" s="55"/>
      <c r="AS674" s="51"/>
      <c r="AT674" s="69"/>
      <c r="AU674" s="56"/>
      <c r="AV674" s="52"/>
      <c r="AW674" s="51"/>
      <c r="BR674" s="34" t="str">
        <f>IF(E674="","",CONCATENATE(E674," ",F674," noches"))</f>
        <v/>
      </c>
      <c r="BS674" s="28" t="str">
        <f t="shared" ca="1" si="164"/>
        <v/>
      </c>
      <c r="BT674" s="28" t="str">
        <f t="shared" ca="1" si="165"/>
        <v/>
      </c>
    </row>
    <row r="675" spans="1:72" x14ac:dyDescent="0.2">
      <c r="A675" s="18" t="str" cm="1">
        <f t="array" aca="1" ref="A675" ca="1">IF(B675="","","Grupo N˚"&amp;SUMPRODUCT(($B$4:B675&lt;&gt;"")*($B$4:B675&lt;&gt;OFFSET($B$4,-1,0,ROWS($B$4:B675),1))))</f>
        <v/>
      </c>
      <c r="B675" s="31"/>
      <c r="C675" s="31"/>
      <c r="D675" s="31"/>
      <c r="E675" s="31"/>
      <c r="F675" s="32"/>
      <c r="G675" s="33"/>
      <c r="H675" s="33"/>
      <c r="I675" s="20" t="str">
        <f t="shared" si="154"/>
        <v/>
      </c>
      <c r="J675" s="21" t="str">
        <f>IFERROR(VLOOKUP(BR675,Pricing!$D$3:$E$58,2,FALSE),"")</f>
        <v/>
      </c>
      <c r="K675" s="32"/>
      <c r="L675" s="32"/>
      <c r="M675" s="32"/>
      <c r="N675" s="36" t="str" cm="1">
        <f t="array" ref="N675">IFERROR(_xlfn.IFS((AND(K675="SI",M675="$")),J675*0.2,AND(K675="SI",M675="%"),20),"")</f>
        <v/>
      </c>
      <c r="O675" s="29" t="str">
        <f t="shared" si="155"/>
        <v/>
      </c>
      <c r="P675" s="21" t="str">
        <f t="shared" si="156"/>
        <v/>
      </c>
      <c r="Q675" s="21" t="str">
        <f t="shared" si="157"/>
        <v/>
      </c>
      <c r="R675" s="21" t="str">
        <f t="shared" si="158"/>
        <v/>
      </c>
      <c r="S675" s="39"/>
      <c r="T675" s="43" t="str">
        <f t="shared" si="166"/>
        <v/>
      </c>
      <c r="U675" s="49" t="str">
        <f t="shared" si="167"/>
        <v/>
      </c>
      <c r="V675" s="48" t="str">
        <f t="shared" si="168"/>
        <v/>
      </c>
      <c r="W675" s="48" t="str">
        <f t="shared" si="159"/>
        <v/>
      </c>
      <c r="X675" s="50" t="str">
        <f>IF(W675="","",SUMIF($B$4:$B$1002,B675,$W$4:$W$1000))</f>
        <v/>
      </c>
      <c r="Y675" s="43" t="str">
        <f t="shared" si="160"/>
        <v/>
      </c>
      <c r="Z675" s="49" t="str">
        <f t="shared" si="161"/>
        <v/>
      </c>
      <c r="AA675" s="48" t="str">
        <f t="shared" si="162"/>
        <v/>
      </c>
      <c r="AB675" s="49" t="str">
        <f t="shared" si="163"/>
        <v/>
      </c>
      <c r="AC675" s="50" t="str">
        <f>IF(AB675="","",SUMIF($B$4:$B$1002,B675,$AB$4:$AB$1000))</f>
        <v/>
      </c>
      <c r="AD675" s="69"/>
      <c r="AE675" s="56"/>
      <c r="AF675" s="52"/>
      <c r="AG675" s="51"/>
      <c r="AH675" s="70"/>
      <c r="AI675" s="58"/>
      <c r="AJ675" s="55"/>
      <c r="AK675" s="51"/>
      <c r="AL675" s="69"/>
      <c r="AM675" s="56"/>
      <c r="AN675" s="52"/>
      <c r="AO675" s="51"/>
      <c r="AP675" s="70"/>
      <c r="AQ675" s="58"/>
      <c r="AR675" s="55"/>
      <c r="AS675" s="51"/>
      <c r="AT675" s="69"/>
      <c r="AU675" s="56"/>
      <c r="AV675" s="52"/>
      <c r="AW675" s="51"/>
      <c r="BR675" s="34" t="str">
        <f>IF(E675="","",CONCATENATE(E675," ",F675," noches"))</f>
        <v/>
      </c>
      <c r="BS675" s="28" t="str">
        <f t="shared" ca="1" si="164"/>
        <v/>
      </c>
      <c r="BT675" s="28" t="str">
        <f t="shared" ca="1" si="165"/>
        <v/>
      </c>
    </row>
    <row r="676" spans="1:72" x14ac:dyDescent="0.2">
      <c r="A676" s="18" t="str" cm="1">
        <f t="array" aca="1" ref="A676" ca="1">IF(B676="","","Grupo N˚"&amp;SUMPRODUCT(($B$4:B676&lt;&gt;"")*($B$4:B676&lt;&gt;OFFSET($B$4,-1,0,ROWS($B$4:B676),1))))</f>
        <v/>
      </c>
      <c r="B676" s="31"/>
      <c r="C676" s="31"/>
      <c r="D676" s="31"/>
      <c r="E676" s="31"/>
      <c r="F676" s="32"/>
      <c r="G676" s="33"/>
      <c r="H676" s="33"/>
      <c r="I676" s="20" t="str">
        <f t="shared" si="154"/>
        <v/>
      </c>
      <c r="J676" s="21" t="str">
        <f>IFERROR(VLOOKUP(BR676,Pricing!$D$3:$E$58,2,FALSE),"")</f>
        <v/>
      </c>
      <c r="K676" s="32"/>
      <c r="L676" s="32"/>
      <c r="M676" s="32"/>
      <c r="N676" s="36" t="str" cm="1">
        <f t="array" ref="N676">IFERROR(_xlfn.IFS((AND(K676="SI",M676="$")),J676*0.2,AND(K676="SI",M676="%"),20),"")</f>
        <v/>
      </c>
      <c r="O676" s="29" t="str">
        <f t="shared" si="155"/>
        <v/>
      </c>
      <c r="P676" s="21" t="str">
        <f t="shared" si="156"/>
        <v/>
      </c>
      <c r="Q676" s="21" t="str">
        <f t="shared" si="157"/>
        <v/>
      </c>
      <c r="R676" s="21" t="str">
        <f t="shared" si="158"/>
        <v/>
      </c>
      <c r="S676" s="39"/>
      <c r="T676" s="43" t="str">
        <f t="shared" si="166"/>
        <v/>
      </c>
      <c r="U676" s="49" t="str">
        <f t="shared" si="167"/>
        <v/>
      </c>
      <c r="V676" s="48" t="str">
        <f t="shared" si="168"/>
        <v/>
      </c>
      <c r="W676" s="48" t="str">
        <f t="shared" si="159"/>
        <v/>
      </c>
      <c r="X676" s="50" t="str">
        <f>IF(W676="","",SUMIF($B$4:$B$1002,B676,$W$4:$W$1000))</f>
        <v/>
      </c>
      <c r="Y676" s="43" t="str">
        <f t="shared" si="160"/>
        <v/>
      </c>
      <c r="Z676" s="49" t="str">
        <f t="shared" si="161"/>
        <v/>
      </c>
      <c r="AA676" s="48" t="str">
        <f t="shared" si="162"/>
        <v/>
      </c>
      <c r="AB676" s="49" t="str">
        <f t="shared" si="163"/>
        <v/>
      </c>
      <c r="AC676" s="50" t="str">
        <f>IF(AB676="","",SUMIF($B$4:$B$1002,B676,$AB$4:$AB$1000))</f>
        <v/>
      </c>
      <c r="AD676" s="69"/>
      <c r="AE676" s="56"/>
      <c r="AF676" s="52"/>
      <c r="AG676" s="51"/>
      <c r="AH676" s="70"/>
      <c r="AI676" s="58"/>
      <c r="AJ676" s="55"/>
      <c r="AK676" s="51"/>
      <c r="AL676" s="69"/>
      <c r="AM676" s="56"/>
      <c r="AN676" s="52"/>
      <c r="AO676" s="51"/>
      <c r="AP676" s="70"/>
      <c r="AQ676" s="58"/>
      <c r="AR676" s="55"/>
      <c r="AS676" s="51"/>
      <c r="AT676" s="69"/>
      <c r="AU676" s="56"/>
      <c r="AV676" s="52"/>
      <c r="AW676" s="51"/>
      <c r="BR676" s="34" t="str">
        <f>IF(E676="","",CONCATENATE(E676," ",F676," noches"))</f>
        <v/>
      </c>
      <c r="BS676" s="28" t="str">
        <f t="shared" ca="1" si="164"/>
        <v/>
      </c>
      <c r="BT676" s="28" t="str">
        <f t="shared" ca="1" si="165"/>
        <v/>
      </c>
    </row>
    <row r="677" spans="1:72" x14ac:dyDescent="0.2">
      <c r="A677" s="18" t="str" cm="1">
        <f t="array" aca="1" ref="A677" ca="1">IF(B677="","","Grupo N˚"&amp;SUMPRODUCT(($B$4:B677&lt;&gt;"")*($B$4:B677&lt;&gt;OFFSET($B$4,-1,0,ROWS($B$4:B677),1))))</f>
        <v/>
      </c>
      <c r="B677" s="31"/>
      <c r="C677" s="31"/>
      <c r="D677" s="31"/>
      <c r="E677" s="31"/>
      <c r="F677" s="32"/>
      <c r="G677" s="33"/>
      <c r="H677" s="33"/>
      <c r="I677" s="20" t="str">
        <f t="shared" si="154"/>
        <v/>
      </c>
      <c r="J677" s="21" t="str">
        <f>IFERROR(VLOOKUP(BR677,Pricing!$D$3:$E$58,2,FALSE),"")</f>
        <v/>
      </c>
      <c r="K677" s="32"/>
      <c r="L677" s="32"/>
      <c r="M677" s="32"/>
      <c r="N677" s="36" t="str" cm="1">
        <f t="array" ref="N677">IFERROR(_xlfn.IFS((AND(K677="SI",M677="$")),J677*0.2,AND(K677="SI",M677="%"),20),"")</f>
        <v/>
      </c>
      <c r="O677" s="29" t="str">
        <f t="shared" si="155"/>
        <v/>
      </c>
      <c r="P677" s="21" t="str">
        <f t="shared" si="156"/>
        <v/>
      </c>
      <c r="Q677" s="21" t="str">
        <f t="shared" si="157"/>
        <v/>
      </c>
      <c r="R677" s="21" t="str">
        <f t="shared" si="158"/>
        <v/>
      </c>
      <c r="S677" s="39"/>
      <c r="T677" s="43" t="str">
        <f t="shared" si="166"/>
        <v/>
      </c>
      <c r="U677" s="49" t="str">
        <f t="shared" si="167"/>
        <v/>
      </c>
      <c r="V677" s="48" t="str">
        <f t="shared" si="168"/>
        <v/>
      </c>
      <c r="W677" s="48" t="str">
        <f t="shared" si="159"/>
        <v/>
      </c>
      <c r="X677" s="50" t="str">
        <f>IF(W677="","",SUMIF($B$4:$B$1002,B677,$W$4:$W$1000))</f>
        <v/>
      </c>
      <c r="Y677" s="43" t="str">
        <f t="shared" si="160"/>
        <v/>
      </c>
      <c r="Z677" s="49" t="str">
        <f t="shared" si="161"/>
        <v/>
      </c>
      <c r="AA677" s="48" t="str">
        <f t="shared" si="162"/>
        <v/>
      </c>
      <c r="AB677" s="49" t="str">
        <f t="shared" si="163"/>
        <v/>
      </c>
      <c r="AC677" s="50" t="str">
        <f>IF(AB677="","",SUMIF($B$4:$B$1002,B677,$AB$4:$AB$1000))</f>
        <v/>
      </c>
      <c r="AD677" s="69"/>
      <c r="AE677" s="56"/>
      <c r="AF677" s="52"/>
      <c r="AG677" s="51"/>
      <c r="AH677" s="70"/>
      <c r="AI677" s="58"/>
      <c r="AJ677" s="55"/>
      <c r="AK677" s="51"/>
      <c r="AL677" s="69"/>
      <c r="AM677" s="56"/>
      <c r="AN677" s="52"/>
      <c r="AO677" s="51"/>
      <c r="AP677" s="70"/>
      <c r="AQ677" s="58"/>
      <c r="AR677" s="55"/>
      <c r="AS677" s="51"/>
      <c r="AT677" s="69"/>
      <c r="AU677" s="56"/>
      <c r="AV677" s="52"/>
      <c r="AW677" s="51"/>
      <c r="BR677" s="34" t="str">
        <f>IF(E677="","",CONCATENATE(E677," ",F677," noches"))</f>
        <v/>
      </c>
      <c r="BS677" s="28" t="str">
        <f t="shared" ca="1" si="164"/>
        <v/>
      </c>
      <c r="BT677" s="28" t="str">
        <f t="shared" ca="1" si="165"/>
        <v/>
      </c>
    </row>
    <row r="678" spans="1:72" x14ac:dyDescent="0.2">
      <c r="A678" s="18" t="str" cm="1">
        <f t="array" aca="1" ref="A678" ca="1">IF(B678="","","Grupo N˚"&amp;SUMPRODUCT(($B$4:B678&lt;&gt;"")*($B$4:B678&lt;&gt;OFFSET($B$4,-1,0,ROWS($B$4:B678),1))))</f>
        <v/>
      </c>
      <c r="B678" s="31"/>
      <c r="C678" s="31"/>
      <c r="D678" s="31"/>
      <c r="E678" s="31"/>
      <c r="F678" s="32"/>
      <c r="G678" s="33"/>
      <c r="H678" s="33"/>
      <c r="I678" s="20" t="str">
        <f t="shared" si="154"/>
        <v/>
      </c>
      <c r="J678" s="21" t="str">
        <f>IFERROR(VLOOKUP(BR678,Pricing!$D$3:$E$58,2,FALSE),"")</f>
        <v/>
      </c>
      <c r="K678" s="32"/>
      <c r="L678" s="32"/>
      <c r="M678" s="32"/>
      <c r="N678" s="36" t="str" cm="1">
        <f t="array" ref="N678">IFERROR(_xlfn.IFS((AND(K678="SI",M678="$")),J678*0.2,AND(K678="SI",M678="%"),20),"")</f>
        <v/>
      </c>
      <c r="O678" s="29" t="str">
        <f t="shared" si="155"/>
        <v/>
      </c>
      <c r="P678" s="21" t="str">
        <f t="shared" si="156"/>
        <v/>
      </c>
      <c r="Q678" s="21" t="str">
        <f t="shared" si="157"/>
        <v/>
      </c>
      <c r="R678" s="21" t="str">
        <f t="shared" si="158"/>
        <v/>
      </c>
      <c r="S678" s="39"/>
      <c r="T678" s="43" t="str">
        <f t="shared" si="166"/>
        <v/>
      </c>
      <c r="U678" s="49" t="str">
        <f t="shared" si="167"/>
        <v/>
      </c>
      <c r="V678" s="48" t="str">
        <f t="shared" si="168"/>
        <v/>
      </c>
      <c r="W678" s="48" t="str">
        <f t="shared" si="159"/>
        <v/>
      </c>
      <c r="X678" s="50" t="str">
        <f>IF(W678="","",SUMIF($B$4:$B$1002,B678,$W$4:$W$1000))</f>
        <v/>
      </c>
      <c r="Y678" s="43" t="str">
        <f t="shared" si="160"/>
        <v/>
      </c>
      <c r="Z678" s="49" t="str">
        <f t="shared" si="161"/>
        <v/>
      </c>
      <c r="AA678" s="48" t="str">
        <f t="shared" si="162"/>
        <v/>
      </c>
      <c r="AB678" s="49" t="str">
        <f t="shared" si="163"/>
        <v/>
      </c>
      <c r="AC678" s="50" t="str">
        <f>IF(AB678="","",SUMIF($B$4:$B$1002,B678,$AB$4:$AB$1000))</f>
        <v/>
      </c>
      <c r="AD678" s="69"/>
      <c r="AE678" s="56"/>
      <c r="AF678" s="52"/>
      <c r="AG678" s="51"/>
      <c r="AH678" s="70"/>
      <c r="AI678" s="58"/>
      <c r="AJ678" s="55"/>
      <c r="AK678" s="51"/>
      <c r="AL678" s="69"/>
      <c r="AM678" s="56"/>
      <c r="AN678" s="52"/>
      <c r="AO678" s="51"/>
      <c r="AP678" s="70"/>
      <c r="AQ678" s="58"/>
      <c r="AR678" s="55"/>
      <c r="AS678" s="51"/>
      <c r="AT678" s="69"/>
      <c r="AU678" s="56"/>
      <c r="AV678" s="52"/>
      <c r="AW678" s="51"/>
      <c r="BR678" s="34" t="str">
        <f>IF(E678="","",CONCATENATE(E678," ",F678," noches"))</f>
        <v/>
      </c>
      <c r="BS678" s="28" t="str">
        <f t="shared" ca="1" si="164"/>
        <v/>
      </c>
      <c r="BT678" s="28" t="str">
        <f t="shared" ca="1" si="165"/>
        <v/>
      </c>
    </row>
    <row r="679" spans="1:72" x14ac:dyDescent="0.2">
      <c r="A679" s="18" t="str" cm="1">
        <f t="array" aca="1" ref="A679" ca="1">IF(B679="","","Grupo N˚"&amp;SUMPRODUCT(($B$4:B679&lt;&gt;"")*($B$4:B679&lt;&gt;OFFSET($B$4,-1,0,ROWS($B$4:B679),1))))</f>
        <v/>
      </c>
      <c r="B679" s="31"/>
      <c r="C679" s="31"/>
      <c r="D679" s="31"/>
      <c r="E679" s="31"/>
      <c r="F679" s="32"/>
      <c r="G679" s="33"/>
      <c r="H679" s="33"/>
      <c r="I679" s="20" t="str">
        <f t="shared" si="154"/>
        <v/>
      </c>
      <c r="J679" s="21" t="str">
        <f>IFERROR(VLOOKUP(BR679,Pricing!$D$3:$E$58,2,FALSE),"")</f>
        <v/>
      </c>
      <c r="K679" s="32"/>
      <c r="L679" s="32"/>
      <c r="M679" s="32"/>
      <c r="N679" s="36" t="str" cm="1">
        <f t="array" ref="N679">IFERROR(_xlfn.IFS((AND(K679="SI",M679="$")),J679*0.2,AND(K679="SI",M679="%"),20),"")</f>
        <v/>
      </c>
      <c r="O679" s="29" t="str">
        <f t="shared" si="155"/>
        <v/>
      </c>
      <c r="P679" s="21" t="str">
        <f t="shared" si="156"/>
        <v/>
      </c>
      <c r="Q679" s="21" t="str">
        <f t="shared" si="157"/>
        <v/>
      </c>
      <c r="R679" s="21" t="str">
        <f t="shared" si="158"/>
        <v/>
      </c>
      <c r="S679" s="39"/>
      <c r="T679" s="43" t="str">
        <f t="shared" si="166"/>
        <v/>
      </c>
      <c r="U679" s="49" t="str">
        <f t="shared" si="167"/>
        <v/>
      </c>
      <c r="V679" s="48" t="str">
        <f t="shared" si="168"/>
        <v/>
      </c>
      <c r="W679" s="48" t="str">
        <f t="shared" si="159"/>
        <v/>
      </c>
      <c r="X679" s="50" t="str">
        <f>IF(W679="","",SUMIF($B$4:$B$1002,B679,$W$4:$W$1000))</f>
        <v/>
      </c>
      <c r="Y679" s="43" t="str">
        <f t="shared" si="160"/>
        <v/>
      </c>
      <c r="Z679" s="49" t="str">
        <f t="shared" si="161"/>
        <v/>
      </c>
      <c r="AA679" s="48" t="str">
        <f t="shared" si="162"/>
        <v/>
      </c>
      <c r="AB679" s="49" t="str">
        <f t="shared" si="163"/>
        <v/>
      </c>
      <c r="AC679" s="50" t="str">
        <f>IF(AB679="","",SUMIF($B$4:$B$1002,B679,$AB$4:$AB$1000))</f>
        <v/>
      </c>
      <c r="AD679" s="69"/>
      <c r="AE679" s="56"/>
      <c r="AF679" s="52"/>
      <c r="AG679" s="51"/>
      <c r="AH679" s="70"/>
      <c r="AI679" s="58"/>
      <c r="AJ679" s="55"/>
      <c r="AK679" s="51"/>
      <c r="AL679" s="69"/>
      <c r="AM679" s="56"/>
      <c r="AN679" s="52"/>
      <c r="AO679" s="51"/>
      <c r="AP679" s="70"/>
      <c r="AQ679" s="58"/>
      <c r="AR679" s="55"/>
      <c r="AS679" s="51"/>
      <c r="AT679" s="69"/>
      <c r="AU679" s="56"/>
      <c r="AV679" s="52"/>
      <c r="AW679" s="51"/>
      <c r="BR679" s="34" t="str">
        <f>IF(E679="","",CONCATENATE(E679," ",F679," noches"))</f>
        <v/>
      </c>
      <c r="BS679" s="28" t="str">
        <f t="shared" ca="1" si="164"/>
        <v/>
      </c>
      <c r="BT679" s="28" t="str">
        <f t="shared" ca="1" si="165"/>
        <v/>
      </c>
    </row>
    <row r="680" spans="1:72" x14ac:dyDescent="0.2">
      <c r="A680" s="18" t="str" cm="1">
        <f t="array" aca="1" ref="A680" ca="1">IF(B680="","","Grupo N˚"&amp;SUMPRODUCT(($B$4:B680&lt;&gt;"")*($B$4:B680&lt;&gt;OFFSET($B$4,-1,0,ROWS($B$4:B680),1))))</f>
        <v/>
      </c>
      <c r="B680" s="31"/>
      <c r="C680" s="31"/>
      <c r="D680" s="31"/>
      <c r="E680" s="31"/>
      <c r="F680" s="32"/>
      <c r="G680" s="33"/>
      <c r="H680" s="33"/>
      <c r="I680" s="20" t="str">
        <f t="shared" si="154"/>
        <v/>
      </c>
      <c r="J680" s="21" t="str">
        <f>IFERROR(VLOOKUP(BR680,Pricing!$D$3:$E$58,2,FALSE),"")</f>
        <v/>
      </c>
      <c r="K680" s="32"/>
      <c r="L680" s="32"/>
      <c r="M680" s="32"/>
      <c r="N680" s="36" t="str" cm="1">
        <f t="array" ref="N680">IFERROR(_xlfn.IFS((AND(K680="SI",M680="$")),J680*0.2,AND(K680="SI",M680="%"),20),"")</f>
        <v/>
      </c>
      <c r="O680" s="29" t="str">
        <f t="shared" si="155"/>
        <v/>
      </c>
      <c r="P680" s="21" t="str">
        <f t="shared" si="156"/>
        <v/>
      </c>
      <c r="Q680" s="21" t="str">
        <f t="shared" si="157"/>
        <v/>
      </c>
      <c r="R680" s="21" t="str">
        <f t="shared" si="158"/>
        <v/>
      </c>
      <c r="S680" s="39"/>
      <c r="T680" s="43" t="str">
        <f t="shared" si="166"/>
        <v/>
      </c>
      <c r="U680" s="49" t="str">
        <f t="shared" si="167"/>
        <v/>
      </c>
      <c r="V680" s="48" t="str">
        <f t="shared" si="168"/>
        <v/>
      </c>
      <c r="W680" s="48" t="str">
        <f t="shared" si="159"/>
        <v/>
      </c>
      <c r="X680" s="50" t="str">
        <f>IF(W680="","",SUMIF($B$4:$B$1002,B680,$W$4:$W$1000))</f>
        <v/>
      </c>
      <c r="Y680" s="43" t="str">
        <f t="shared" si="160"/>
        <v/>
      </c>
      <c r="Z680" s="49" t="str">
        <f t="shared" si="161"/>
        <v/>
      </c>
      <c r="AA680" s="48" t="str">
        <f t="shared" si="162"/>
        <v/>
      </c>
      <c r="AB680" s="49" t="str">
        <f t="shared" si="163"/>
        <v/>
      </c>
      <c r="AC680" s="50" t="str">
        <f>IF(AB680="","",SUMIF($B$4:$B$1002,B680,$AB$4:$AB$1000))</f>
        <v/>
      </c>
      <c r="AD680" s="69"/>
      <c r="AE680" s="56"/>
      <c r="AF680" s="52"/>
      <c r="AG680" s="51"/>
      <c r="AH680" s="70"/>
      <c r="AI680" s="58"/>
      <c r="AJ680" s="55"/>
      <c r="AK680" s="51"/>
      <c r="AL680" s="69"/>
      <c r="AM680" s="56"/>
      <c r="AN680" s="52"/>
      <c r="AO680" s="51"/>
      <c r="AP680" s="70"/>
      <c r="AQ680" s="58"/>
      <c r="AR680" s="55"/>
      <c r="AS680" s="51"/>
      <c r="AT680" s="69"/>
      <c r="AU680" s="56"/>
      <c r="AV680" s="52"/>
      <c r="AW680" s="51"/>
      <c r="BR680" s="34" t="str">
        <f>IF(E680="","",CONCATENATE(E680," ",F680," noches"))</f>
        <v/>
      </c>
      <c r="BS680" s="28" t="str">
        <f t="shared" ca="1" si="164"/>
        <v/>
      </c>
      <c r="BT680" s="28" t="str">
        <f t="shared" ca="1" si="165"/>
        <v/>
      </c>
    </row>
    <row r="681" spans="1:72" x14ac:dyDescent="0.2">
      <c r="A681" s="18" t="str" cm="1">
        <f t="array" aca="1" ref="A681" ca="1">IF(B681="","","Grupo N˚"&amp;SUMPRODUCT(($B$4:B681&lt;&gt;"")*($B$4:B681&lt;&gt;OFFSET($B$4,-1,0,ROWS($B$4:B681),1))))</f>
        <v/>
      </c>
      <c r="B681" s="31"/>
      <c r="C681" s="31"/>
      <c r="D681" s="31"/>
      <c r="E681" s="31"/>
      <c r="F681" s="32"/>
      <c r="G681" s="33"/>
      <c r="H681" s="33"/>
      <c r="I681" s="20" t="str">
        <f t="shared" si="154"/>
        <v/>
      </c>
      <c r="J681" s="21" t="str">
        <f>IFERROR(VLOOKUP(BR681,Pricing!$D$3:$E$58,2,FALSE),"")</f>
        <v/>
      </c>
      <c r="K681" s="32"/>
      <c r="L681" s="32"/>
      <c r="M681" s="32"/>
      <c r="N681" s="36" t="str" cm="1">
        <f t="array" ref="N681">IFERROR(_xlfn.IFS((AND(K681="SI",M681="$")),J681*0.2,AND(K681="SI",M681="%"),20),"")</f>
        <v/>
      </c>
      <c r="O681" s="29" t="str">
        <f t="shared" si="155"/>
        <v/>
      </c>
      <c r="P681" s="21" t="str">
        <f t="shared" si="156"/>
        <v/>
      </c>
      <c r="Q681" s="21" t="str">
        <f t="shared" si="157"/>
        <v/>
      </c>
      <c r="R681" s="21" t="str">
        <f t="shared" si="158"/>
        <v/>
      </c>
      <c r="S681" s="39"/>
      <c r="T681" s="43" t="str">
        <f t="shared" si="166"/>
        <v/>
      </c>
      <c r="U681" s="49" t="str">
        <f t="shared" si="167"/>
        <v/>
      </c>
      <c r="V681" s="48" t="str">
        <f t="shared" si="168"/>
        <v/>
      </c>
      <c r="W681" s="48" t="str">
        <f t="shared" si="159"/>
        <v/>
      </c>
      <c r="X681" s="50" t="str">
        <f>IF(W681="","",SUMIF($B$4:$B$1002,B681,$W$4:$W$1000))</f>
        <v/>
      </c>
      <c r="Y681" s="43" t="str">
        <f t="shared" si="160"/>
        <v/>
      </c>
      <c r="Z681" s="49" t="str">
        <f t="shared" si="161"/>
        <v/>
      </c>
      <c r="AA681" s="48" t="str">
        <f t="shared" si="162"/>
        <v/>
      </c>
      <c r="AB681" s="49" t="str">
        <f t="shared" si="163"/>
        <v/>
      </c>
      <c r="AC681" s="50" t="str">
        <f>IF(AB681="","",SUMIF($B$4:$B$1002,B681,$AB$4:$AB$1000))</f>
        <v/>
      </c>
      <c r="AD681" s="69"/>
      <c r="AE681" s="56"/>
      <c r="AF681" s="52"/>
      <c r="AG681" s="51"/>
      <c r="AH681" s="70"/>
      <c r="AI681" s="58"/>
      <c r="AJ681" s="55"/>
      <c r="AK681" s="51"/>
      <c r="AL681" s="69"/>
      <c r="AM681" s="56"/>
      <c r="AN681" s="52"/>
      <c r="AO681" s="51"/>
      <c r="AP681" s="70"/>
      <c r="AQ681" s="58"/>
      <c r="AR681" s="55"/>
      <c r="AS681" s="51"/>
      <c r="AT681" s="69"/>
      <c r="AU681" s="56"/>
      <c r="AV681" s="52"/>
      <c r="AW681" s="51"/>
      <c r="BR681" s="34" t="str">
        <f>IF(E681="","",CONCATENATE(E681," ",F681," noches"))</f>
        <v/>
      </c>
      <c r="BS681" s="28" t="str">
        <f t="shared" ca="1" si="164"/>
        <v/>
      </c>
      <c r="BT681" s="28" t="str">
        <f t="shared" ca="1" si="165"/>
        <v/>
      </c>
    </row>
    <row r="682" spans="1:72" x14ac:dyDescent="0.2">
      <c r="A682" s="18" t="str" cm="1">
        <f t="array" aca="1" ref="A682" ca="1">IF(B682="","","Grupo N˚"&amp;SUMPRODUCT(($B$4:B682&lt;&gt;"")*($B$4:B682&lt;&gt;OFFSET($B$4,-1,0,ROWS($B$4:B682),1))))</f>
        <v/>
      </c>
      <c r="B682" s="31"/>
      <c r="C682" s="31"/>
      <c r="D682" s="31"/>
      <c r="E682" s="31"/>
      <c r="F682" s="32"/>
      <c r="G682" s="33"/>
      <c r="H682" s="33"/>
      <c r="I682" s="20" t="str">
        <f t="shared" si="154"/>
        <v/>
      </c>
      <c r="J682" s="21" t="str">
        <f>IFERROR(VLOOKUP(BR682,Pricing!$D$3:$E$58,2,FALSE),"")</f>
        <v/>
      </c>
      <c r="K682" s="32"/>
      <c r="L682" s="32"/>
      <c r="M682" s="32"/>
      <c r="N682" s="36" t="str" cm="1">
        <f t="array" ref="N682">IFERROR(_xlfn.IFS((AND(K682="SI",M682="$")),J682*0.2,AND(K682="SI",M682="%"),20),"")</f>
        <v/>
      </c>
      <c r="O682" s="29" t="str">
        <f t="shared" si="155"/>
        <v/>
      </c>
      <c r="P682" s="21" t="str">
        <f t="shared" si="156"/>
        <v/>
      </c>
      <c r="Q682" s="21" t="str">
        <f t="shared" si="157"/>
        <v/>
      </c>
      <c r="R682" s="21" t="str">
        <f t="shared" si="158"/>
        <v/>
      </c>
      <c r="S682" s="39"/>
      <c r="T682" s="43" t="str">
        <f t="shared" si="166"/>
        <v/>
      </c>
      <c r="U682" s="49" t="str">
        <f t="shared" si="167"/>
        <v/>
      </c>
      <c r="V682" s="48" t="str">
        <f t="shared" si="168"/>
        <v/>
      </c>
      <c r="W682" s="48" t="str">
        <f t="shared" si="159"/>
        <v/>
      </c>
      <c r="X682" s="50" t="str">
        <f>IF(W682="","",SUMIF($B$4:$B$1002,B682,$W$4:$W$1000))</f>
        <v/>
      </c>
      <c r="Y682" s="43" t="str">
        <f t="shared" si="160"/>
        <v/>
      </c>
      <c r="Z682" s="49" t="str">
        <f t="shared" si="161"/>
        <v/>
      </c>
      <c r="AA682" s="48" t="str">
        <f t="shared" si="162"/>
        <v/>
      </c>
      <c r="AB682" s="49" t="str">
        <f t="shared" si="163"/>
        <v/>
      </c>
      <c r="AC682" s="50" t="str">
        <f>IF(AB682="","",SUMIF($B$4:$B$1002,B682,$AB$4:$AB$1000))</f>
        <v/>
      </c>
      <c r="AD682" s="69"/>
      <c r="AE682" s="56"/>
      <c r="AF682" s="52"/>
      <c r="AG682" s="51"/>
      <c r="AH682" s="70"/>
      <c r="AI682" s="58"/>
      <c r="AJ682" s="55"/>
      <c r="AK682" s="51"/>
      <c r="AL682" s="69"/>
      <c r="AM682" s="56"/>
      <c r="AN682" s="52"/>
      <c r="AO682" s="51"/>
      <c r="AP682" s="70"/>
      <c r="AQ682" s="58"/>
      <c r="AR682" s="55"/>
      <c r="AS682" s="51"/>
      <c r="AT682" s="69"/>
      <c r="AU682" s="56"/>
      <c r="AV682" s="52"/>
      <c r="AW682" s="51"/>
      <c r="BR682" s="34" t="str">
        <f>IF(E682="","",CONCATENATE(E682," ",F682," noches"))</f>
        <v/>
      </c>
      <c r="BS682" s="28" t="str">
        <f t="shared" ca="1" si="164"/>
        <v/>
      </c>
      <c r="BT682" s="28" t="str">
        <f t="shared" ca="1" si="165"/>
        <v/>
      </c>
    </row>
    <row r="683" spans="1:72" x14ac:dyDescent="0.2">
      <c r="A683" s="18" t="str" cm="1">
        <f t="array" aca="1" ref="A683" ca="1">IF(B683="","","Grupo N˚"&amp;SUMPRODUCT(($B$4:B683&lt;&gt;"")*($B$4:B683&lt;&gt;OFFSET($B$4,-1,0,ROWS($B$4:B683),1))))</f>
        <v/>
      </c>
      <c r="B683" s="31"/>
      <c r="C683" s="31"/>
      <c r="D683" s="31"/>
      <c r="E683" s="31"/>
      <c r="F683" s="32"/>
      <c r="G683" s="33"/>
      <c r="H683" s="33"/>
      <c r="I683" s="20" t="str">
        <f t="shared" si="154"/>
        <v/>
      </c>
      <c r="J683" s="21" t="str">
        <f>IFERROR(VLOOKUP(BR683,Pricing!$D$3:$E$58,2,FALSE),"")</f>
        <v/>
      </c>
      <c r="K683" s="32"/>
      <c r="L683" s="32"/>
      <c r="M683" s="32"/>
      <c r="N683" s="36" t="str" cm="1">
        <f t="array" ref="N683">IFERROR(_xlfn.IFS((AND(K683="SI",M683="$")),J683*0.2,AND(K683="SI",M683="%"),20),"")</f>
        <v/>
      </c>
      <c r="O683" s="29" t="str">
        <f t="shared" si="155"/>
        <v/>
      </c>
      <c r="P683" s="21" t="str">
        <f t="shared" si="156"/>
        <v/>
      </c>
      <c r="Q683" s="21" t="str">
        <f t="shared" si="157"/>
        <v/>
      </c>
      <c r="R683" s="21" t="str">
        <f t="shared" si="158"/>
        <v/>
      </c>
      <c r="S683" s="39"/>
      <c r="T683" s="43" t="str">
        <f t="shared" si="166"/>
        <v/>
      </c>
      <c r="U683" s="49" t="str">
        <f t="shared" si="167"/>
        <v/>
      </c>
      <c r="V683" s="48" t="str">
        <f t="shared" si="168"/>
        <v/>
      </c>
      <c r="W683" s="48" t="str">
        <f t="shared" si="159"/>
        <v/>
      </c>
      <c r="X683" s="50" t="str">
        <f>IF(W683="","",SUMIF($B$4:$B$1002,B683,$W$4:$W$1000))</f>
        <v/>
      </c>
      <c r="Y683" s="43" t="str">
        <f t="shared" si="160"/>
        <v/>
      </c>
      <c r="Z683" s="49" t="str">
        <f t="shared" si="161"/>
        <v/>
      </c>
      <c r="AA683" s="48" t="str">
        <f t="shared" si="162"/>
        <v/>
      </c>
      <c r="AB683" s="49" t="str">
        <f t="shared" si="163"/>
        <v/>
      </c>
      <c r="AC683" s="50" t="str">
        <f>IF(AB683="","",SUMIF($B$4:$B$1002,B683,$AB$4:$AB$1000))</f>
        <v/>
      </c>
      <c r="AD683" s="69"/>
      <c r="AE683" s="56"/>
      <c r="AF683" s="52"/>
      <c r="AG683" s="51"/>
      <c r="AH683" s="70"/>
      <c r="AI683" s="58"/>
      <c r="AJ683" s="55"/>
      <c r="AK683" s="51"/>
      <c r="AL683" s="69"/>
      <c r="AM683" s="56"/>
      <c r="AN683" s="52"/>
      <c r="AO683" s="51"/>
      <c r="AP683" s="70"/>
      <c r="AQ683" s="58"/>
      <c r="AR683" s="55"/>
      <c r="AS683" s="51"/>
      <c r="AT683" s="69"/>
      <c r="AU683" s="56"/>
      <c r="AV683" s="52"/>
      <c r="AW683" s="51"/>
      <c r="BR683" s="34" t="str">
        <f>IF(E683="","",CONCATENATE(E683," ",F683," noches"))</f>
        <v/>
      </c>
      <c r="BS683" s="28" t="str">
        <f t="shared" ca="1" si="164"/>
        <v/>
      </c>
      <c r="BT683" s="28" t="str">
        <f t="shared" ca="1" si="165"/>
        <v/>
      </c>
    </row>
    <row r="684" spans="1:72" x14ac:dyDescent="0.2">
      <c r="A684" s="18" t="str" cm="1">
        <f t="array" aca="1" ref="A684" ca="1">IF(B684="","","Grupo N˚"&amp;SUMPRODUCT(($B$4:B684&lt;&gt;"")*($B$4:B684&lt;&gt;OFFSET($B$4,-1,0,ROWS($B$4:B684),1))))</f>
        <v/>
      </c>
      <c r="B684" s="31"/>
      <c r="C684" s="31"/>
      <c r="D684" s="31"/>
      <c r="E684" s="31"/>
      <c r="F684" s="32"/>
      <c r="G684" s="33"/>
      <c r="H684" s="33"/>
      <c r="I684" s="20" t="str">
        <f t="shared" si="154"/>
        <v/>
      </c>
      <c r="J684" s="21" t="str">
        <f>IFERROR(VLOOKUP(BR684,Pricing!$D$3:$E$58,2,FALSE),"")</f>
        <v/>
      </c>
      <c r="K684" s="32"/>
      <c r="L684" s="32"/>
      <c r="M684" s="32"/>
      <c r="N684" s="36" t="str" cm="1">
        <f t="array" ref="N684">IFERROR(_xlfn.IFS((AND(K684="SI",M684="$")),J684*0.2,AND(K684="SI",M684="%"),20),"")</f>
        <v/>
      </c>
      <c r="O684" s="29" t="str">
        <f t="shared" si="155"/>
        <v/>
      </c>
      <c r="P684" s="21" t="str">
        <f t="shared" si="156"/>
        <v/>
      </c>
      <c r="Q684" s="21" t="str">
        <f t="shared" si="157"/>
        <v/>
      </c>
      <c r="R684" s="21" t="str">
        <f t="shared" si="158"/>
        <v/>
      </c>
      <c r="S684" s="39"/>
      <c r="T684" s="43" t="str">
        <f t="shared" si="166"/>
        <v/>
      </c>
      <c r="U684" s="49" t="str">
        <f t="shared" si="167"/>
        <v/>
      </c>
      <c r="V684" s="48" t="str">
        <f t="shared" si="168"/>
        <v/>
      </c>
      <c r="W684" s="48" t="str">
        <f t="shared" si="159"/>
        <v/>
      </c>
      <c r="X684" s="50" t="str">
        <f>IF(W684="","",SUMIF($B$4:$B$1002,B684,$W$4:$W$1000))</f>
        <v/>
      </c>
      <c r="Y684" s="43" t="str">
        <f t="shared" si="160"/>
        <v/>
      </c>
      <c r="Z684" s="49" t="str">
        <f t="shared" si="161"/>
        <v/>
      </c>
      <c r="AA684" s="48" t="str">
        <f t="shared" si="162"/>
        <v/>
      </c>
      <c r="AB684" s="49" t="str">
        <f t="shared" si="163"/>
        <v/>
      </c>
      <c r="AC684" s="50" t="str">
        <f>IF(AB684="","",SUMIF($B$4:$B$1002,B684,$AB$4:$AB$1000))</f>
        <v/>
      </c>
      <c r="AD684" s="69"/>
      <c r="AE684" s="56"/>
      <c r="AF684" s="52"/>
      <c r="AG684" s="51"/>
      <c r="AH684" s="70"/>
      <c r="AI684" s="58"/>
      <c r="AJ684" s="55"/>
      <c r="AK684" s="51"/>
      <c r="AL684" s="69"/>
      <c r="AM684" s="56"/>
      <c r="AN684" s="52"/>
      <c r="AO684" s="51"/>
      <c r="AP684" s="70"/>
      <c r="AQ684" s="58"/>
      <c r="AR684" s="55"/>
      <c r="AS684" s="51"/>
      <c r="AT684" s="69"/>
      <c r="AU684" s="56"/>
      <c r="AV684" s="52"/>
      <c r="AW684" s="51"/>
      <c r="BR684" s="34" t="str">
        <f>IF(E684="","",CONCATENATE(E684," ",F684," noches"))</f>
        <v/>
      </c>
      <c r="BS684" s="28" t="str">
        <f t="shared" ca="1" si="164"/>
        <v/>
      </c>
      <c r="BT684" s="28" t="str">
        <f t="shared" ca="1" si="165"/>
        <v/>
      </c>
    </row>
    <row r="685" spans="1:72" x14ac:dyDescent="0.2">
      <c r="A685" s="18" t="str" cm="1">
        <f t="array" aca="1" ref="A685" ca="1">IF(B685="","","Grupo N˚"&amp;SUMPRODUCT(($B$4:B685&lt;&gt;"")*($B$4:B685&lt;&gt;OFFSET($B$4,-1,0,ROWS($B$4:B685),1))))</f>
        <v/>
      </c>
      <c r="B685" s="31"/>
      <c r="C685" s="31"/>
      <c r="D685" s="31"/>
      <c r="E685" s="31"/>
      <c r="F685" s="32"/>
      <c r="G685" s="33"/>
      <c r="H685" s="33"/>
      <c r="I685" s="20" t="str">
        <f t="shared" si="154"/>
        <v/>
      </c>
      <c r="J685" s="21" t="str">
        <f>IFERROR(VLOOKUP(BR685,Pricing!$D$3:$E$58,2,FALSE),"")</f>
        <v/>
      </c>
      <c r="K685" s="32"/>
      <c r="L685" s="32"/>
      <c r="M685" s="32"/>
      <c r="N685" s="36" t="str" cm="1">
        <f t="array" ref="N685">IFERROR(_xlfn.IFS((AND(K685="SI",M685="$")),J685*0.2,AND(K685="SI",M685="%"),20),"")</f>
        <v/>
      </c>
      <c r="O685" s="29" t="str">
        <f t="shared" si="155"/>
        <v/>
      </c>
      <c r="P685" s="21" t="str">
        <f t="shared" si="156"/>
        <v/>
      </c>
      <c r="Q685" s="21" t="str">
        <f t="shared" si="157"/>
        <v/>
      </c>
      <c r="R685" s="21" t="str">
        <f t="shared" si="158"/>
        <v/>
      </c>
      <c r="S685" s="39"/>
      <c r="T685" s="43" t="str">
        <f t="shared" si="166"/>
        <v/>
      </c>
      <c r="U685" s="49" t="str">
        <f t="shared" si="167"/>
        <v/>
      </c>
      <c r="V685" s="48" t="str">
        <f t="shared" si="168"/>
        <v/>
      </c>
      <c r="W685" s="48" t="str">
        <f t="shared" si="159"/>
        <v/>
      </c>
      <c r="X685" s="50" t="str">
        <f>IF(W685="","",SUMIF($B$4:$B$1002,B685,$W$4:$W$1000))</f>
        <v/>
      </c>
      <c r="Y685" s="43" t="str">
        <f t="shared" si="160"/>
        <v/>
      </c>
      <c r="Z685" s="49" t="str">
        <f t="shared" si="161"/>
        <v/>
      </c>
      <c r="AA685" s="48" t="str">
        <f t="shared" si="162"/>
        <v/>
      </c>
      <c r="AB685" s="49" t="str">
        <f t="shared" si="163"/>
        <v/>
      </c>
      <c r="AC685" s="50" t="str">
        <f>IF(AB685="","",SUMIF($B$4:$B$1002,B685,$AB$4:$AB$1000))</f>
        <v/>
      </c>
      <c r="AD685" s="69"/>
      <c r="AE685" s="56"/>
      <c r="AF685" s="52"/>
      <c r="AG685" s="51"/>
      <c r="AH685" s="70"/>
      <c r="AI685" s="58"/>
      <c r="AJ685" s="55"/>
      <c r="AK685" s="51"/>
      <c r="AL685" s="69"/>
      <c r="AM685" s="56"/>
      <c r="AN685" s="52"/>
      <c r="AO685" s="51"/>
      <c r="AP685" s="70"/>
      <c r="AQ685" s="58"/>
      <c r="AR685" s="55"/>
      <c r="AS685" s="51"/>
      <c r="AT685" s="69"/>
      <c r="AU685" s="56"/>
      <c r="AV685" s="52"/>
      <c r="AW685" s="51"/>
      <c r="BR685" s="34" t="str">
        <f>IF(E685="","",CONCATENATE(E685," ",F685," noches"))</f>
        <v/>
      </c>
      <c r="BS685" s="28" t="str">
        <f t="shared" ca="1" si="164"/>
        <v/>
      </c>
      <c r="BT685" s="28" t="str">
        <f t="shared" ca="1" si="165"/>
        <v/>
      </c>
    </row>
    <row r="686" spans="1:72" x14ac:dyDescent="0.2">
      <c r="A686" s="18" t="str" cm="1">
        <f t="array" aca="1" ref="A686" ca="1">IF(B686="","","Grupo N˚"&amp;SUMPRODUCT(($B$4:B686&lt;&gt;"")*($B$4:B686&lt;&gt;OFFSET($B$4,-1,0,ROWS($B$4:B686),1))))</f>
        <v/>
      </c>
      <c r="B686" s="31"/>
      <c r="C686" s="31"/>
      <c r="D686" s="31"/>
      <c r="E686" s="31"/>
      <c r="F686" s="32"/>
      <c r="G686" s="33"/>
      <c r="H686" s="33"/>
      <c r="I686" s="20" t="str">
        <f t="shared" si="154"/>
        <v/>
      </c>
      <c r="J686" s="21" t="str">
        <f>IFERROR(VLOOKUP(BR686,Pricing!$D$3:$E$58,2,FALSE),"")</f>
        <v/>
      </c>
      <c r="K686" s="32"/>
      <c r="L686" s="32"/>
      <c r="M686" s="32"/>
      <c r="N686" s="36" t="str" cm="1">
        <f t="array" ref="N686">IFERROR(_xlfn.IFS((AND(K686="SI",M686="$")),J686*0.2,AND(K686="SI",M686="%"),20),"")</f>
        <v/>
      </c>
      <c r="O686" s="29" t="str">
        <f t="shared" si="155"/>
        <v/>
      </c>
      <c r="P686" s="21" t="str">
        <f t="shared" si="156"/>
        <v/>
      </c>
      <c r="Q686" s="21" t="str">
        <f t="shared" si="157"/>
        <v/>
      </c>
      <c r="R686" s="21" t="str">
        <f t="shared" si="158"/>
        <v/>
      </c>
      <c r="S686" s="39"/>
      <c r="T686" s="43" t="str">
        <f t="shared" si="166"/>
        <v/>
      </c>
      <c r="U686" s="49" t="str">
        <f t="shared" si="167"/>
        <v/>
      </c>
      <c r="V686" s="48" t="str">
        <f t="shared" si="168"/>
        <v/>
      </c>
      <c r="W686" s="48" t="str">
        <f t="shared" si="159"/>
        <v/>
      </c>
      <c r="X686" s="50" t="str">
        <f>IF(W686="","",SUMIF($B$4:$B$1002,B686,$W$4:$W$1000))</f>
        <v/>
      </c>
      <c r="Y686" s="43" t="str">
        <f t="shared" si="160"/>
        <v/>
      </c>
      <c r="Z686" s="49" t="str">
        <f t="shared" si="161"/>
        <v/>
      </c>
      <c r="AA686" s="48" t="str">
        <f t="shared" si="162"/>
        <v/>
      </c>
      <c r="AB686" s="49" t="str">
        <f t="shared" si="163"/>
        <v/>
      </c>
      <c r="AC686" s="50" t="str">
        <f>IF(AB686="","",SUMIF($B$4:$B$1002,B686,$AB$4:$AB$1000))</f>
        <v/>
      </c>
      <c r="AD686" s="69"/>
      <c r="AE686" s="56"/>
      <c r="AF686" s="52"/>
      <c r="AG686" s="51"/>
      <c r="AH686" s="70"/>
      <c r="AI686" s="58"/>
      <c r="AJ686" s="55"/>
      <c r="AK686" s="51"/>
      <c r="AL686" s="69"/>
      <c r="AM686" s="56"/>
      <c r="AN686" s="52"/>
      <c r="AO686" s="51"/>
      <c r="AP686" s="70"/>
      <c r="AQ686" s="58"/>
      <c r="AR686" s="55"/>
      <c r="AS686" s="51"/>
      <c r="AT686" s="69"/>
      <c r="AU686" s="56"/>
      <c r="AV686" s="52"/>
      <c r="AW686" s="51"/>
      <c r="BR686" s="34" t="str">
        <f>IF(E686="","",CONCATENATE(E686," ",F686," noches"))</f>
        <v/>
      </c>
      <c r="BS686" s="28" t="str">
        <f t="shared" ca="1" si="164"/>
        <v/>
      </c>
      <c r="BT686" s="28" t="str">
        <f t="shared" ca="1" si="165"/>
        <v/>
      </c>
    </row>
    <row r="687" spans="1:72" x14ac:dyDescent="0.2">
      <c r="A687" s="18" t="str" cm="1">
        <f t="array" aca="1" ref="A687" ca="1">IF(B687="","","Grupo N˚"&amp;SUMPRODUCT(($B$4:B687&lt;&gt;"")*($B$4:B687&lt;&gt;OFFSET($B$4,-1,0,ROWS($B$4:B687),1))))</f>
        <v/>
      </c>
      <c r="B687" s="31"/>
      <c r="C687" s="31"/>
      <c r="D687" s="31"/>
      <c r="E687" s="31"/>
      <c r="F687" s="32"/>
      <c r="G687" s="33"/>
      <c r="H687" s="33"/>
      <c r="I687" s="20" t="str">
        <f t="shared" si="154"/>
        <v/>
      </c>
      <c r="J687" s="21" t="str">
        <f>IFERROR(VLOOKUP(BR687,Pricing!$D$3:$E$58,2,FALSE),"")</f>
        <v/>
      </c>
      <c r="K687" s="32"/>
      <c r="L687" s="32"/>
      <c r="M687" s="32"/>
      <c r="N687" s="36" t="str" cm="1">
        <f t="array" ref="N687">IFERROR(_xlfn.IFS((AND(K687="SI",M687="$")),J687*0.2,AND(K687="SI",M687="%"),20),"")</f>
        <v/>
      </c>
      <c r="O687" s="29" t="str">
        <f t="shared" si="155"/>
        <v/>
      </c>
      <c r="P687" s="21" t="str">
        <f t="shared" si="156"/>
        <v/>
      </c>
      <c r="Q687" s="21" t="str">
        <f t="shared" si="157"/>
        <v/>
      </c>
      <c r="R687" s="21" t="str">
        <f t="shared" si="158"/>
        <v/>
      </c>
      <c r="S687" s="39"/>
      <c r="T687" s="43" t="str">
        <f t="shared" si="166"/>
        <v/>
      </c>
      <c r="U687" s="49" t="str">
        <f t="shared" si="167"/>
        <v/>
      </c>
      <c r="V687" s="48" t="str">
        <f t="shared" si="168"/>
        <v/>
      </c>
      <c r="W687" s="48" t="str">
        <f t="shared" si="159"/>
        <v/>
      </c>
      <c r="X687" s="50" t="str">
        <f>IF(W687="","",SUMIF($B$4:$B$1002,B687,$W$4:$W$1000))</f>
        <v/>
      </c>
      <c r="Y687" s="43" t="str">
        <f t="shared" si="160"/>
        <v/>
      </c>
      <c r="Z687" s="49" t="str">
        <f t="shared" si="161"/>
        <v/>
      </c>
      <c r="AA687" s="48" t="str">
        <f t="shared" si="162"/>
        <v/>
      </c>
      <c r="AB687" s="49" t="str">
        <f t="shared" si="163"/>
        <v/>
      </c>
      <c r="AC687" s="50" t="str">
        <f>IF(AB687="","",SUMIF($B$4:$B$1002,B687,$AB$4:$AB$1000))</f>
        <v/>
      </c>
      <c r="AD687" s="69"/>
      <c r="AE687" s="56"/>
      <c r="AF687" s="52"/>
      <c r="AG687" s="51"/>
      <c r="AH687" s="70"/>
      <c r="AI687" s="58"/>
      <c r="AJ687" s="55"/>
      <c r="AK687" s="51"/>
      <c r="AL687" s="69"/>
      <c r="AM687" s="56"/>
      <c r="AN687" s="52"/>
      <c r="AO687" s="51"/>
      <c r="AP687" s="70"/>
      <c r="AQ687" s="58"/>
      <c r="AR687" s="55"/>
      <c r="AS687" s="51"/>
      <c r="AT687" s="69"/>
      <c r="AU687" s="56"/>
      <c r="AV687" s="52"/>
      <c r="AW687" s="51"/>
      <c r="BR687" s="34" t="str">
        <f>IF(E687="","",CONCATENATE(E687," ",F687," noches"))</f>
        <v/>
      </c>
      <c r="BS687" s="28" t="str">
        <f t="shared" ca="1" si="164"/>
        <v/>
      </c>
      <c r="BT687" s="28" t="str">
        <f t="shared" ca="1" si="165"/>
        <v/>
      </c>
    </row>
    <row r="688" spans="1:72" x14ac:dyDescent="0.2">
      <c r="A688" s="18" t="str" cm="1">
        <f t="array" aca="1" ref="A688" ca="1">IF(B688="","","Grupo N˚"&amp;SUMPRODUCT(($B$4:B688&lt;&gt;"")*($B$4:B688&lt;&gt;OFFSET($B$4,-1,0,ROWS($B$4:B688),1))))</f>
        <v/>
      </c>
      <c r="B688" s="31"/>
      <c r="C688" s="31"/>
      <c r="D688" s="31"/>
      <c r="E688" s="31"/>
      <c r="F688" s="32"/>
      <c r="G688" s="33"/>
      <c r="H688" s="33"/>
      <c r="I688" s="20" t="str">
        <f t="shared" si="154"/>
        <v/>
      </c>
      <c r="J688" s="21" t="str">
        <f>IFERROR(VLOOKUP(BR688,Pricing!$D$3:$E$58,2,FALSE),"")</f>
        <v/>
      </c>
      <c r="K688" s="32"/>
      <c r="L688" s="32"/>
      <c r="M688" s="32"/>
      <c r="N688" s="36" t="str" cm="1">
        <f t="array" ref="N688">IFERROR(_xlfn.IFS((AND(K688="SI",M688="$")),J688*0.2,AND(K688="SI",M688="%"),20),"")</f>
        <v/>
      </c>
      <c r="O688" s="29" t="str">
        <f t="shared" si="155"/>
        <v/>
      </c>
      <c r="P688" s="21" t="str">
        <f t="shared" si="156"/>
        <v/>
      </c>
      <c r="Q688" s="21" t="str">
        <f t="shared" si="157"/>
        <v/>
      </c>
      <c r="R688" s="21" t="str">
        <f t="shared" si="158"/>
        <v/>
      </c>
      <c r="S688" s="39"/>
      <c r="T688" s="43" t="str">
        <f t="shared" si="166"/>
        <v/>
      </c>
      <c r="U688" s="49" t="str">
        <f t="shared" si="167"/>
        <v/>
      </c>
      <c r="V688" s="48" t="str">
        <f t="shared" si="168"/>
        <v/>
      </c>
      <c r="W688" s="48" t="str">
        <f t="shared" si="159"/>
        <v/>
      </c>
      <c r="X688" s="50" t="str">
        <f>IF(W688="","",SUMIF($B$4:$B$1002,B688,$W$4:$W$1000))</f>
        <v/>
      </c>
      <c r="Y688" s="43" t="str">
        <f t="shared" si="160"/>
        <v/>
      </c>
      <c r="Z688" s="49" t="str">
        <f t="shared" si="161"/>
        <v/>
      </c>
      <c r="AA688" s="48" t="str">
        <f t="shared" si="162"/>
        <v/>
      </c>
      <c r="AB688" s="49" t="str">
        <f t="shared" si="163"/>
        <v/>
      </c>
      <c r="AC688" s="50" t="str">
        <f>IF(AB688="","",SUMIF($B$4:$B$1002,B688,$AB$4:$AB$1000))</f>
        <v/>
      </c>
      <c r="AD688" s="69"/>
      <c r="AE688" s="56"/>
      <c r="AF688" s="52"/>
      <c r="AG688" s="51"/>
      <c r="AH688" s="70"/>
      <c r="AI688" s="58"/>
      <c r="AJ688" s="55"/>
      <c r="AK688" s="51"/>
      <c r="AL688" s="69"/>
      <c r="AM688" s="56"/>
      <c r="AN688" s="52"/>
      <c r="AO688" s="51"/>
      <c r="AP688" s="70"/>
      <c r="AQ688" s="58"/>
      <c r="AR688" s="55"/>
      <c r="AS688" s="51"/>
      <c r="AT688" s="69"/>
      <c r="AU688" s="56"/>
      <c r="AV688" s="52"/>
      <c r="AW688" s="51"/>
      <c r="BR688" s="34" t="str">
        <f>IF(E688="","",CONCATENATE(E688," ",F688," noches"))</f>
        <v/>
      </c>
      <c r="BS688" s="28" t="str">
        <f t="shared" ca="1" si="164"/>
        <v/>
      </c>
      <c r="BT688" s="28" t="str">
        <f t="shared" ca="1" si="165"/>
        <v/>
      </c>
    </row>
    <row r="689" spans="1:72" x14ac:dyDescent="0.2">
      <c r="A689" s="18" t="str" cm="1">
        <f t="array" aca="1" ref="A689" ca="1">IF(B689="","","Grupo N˚"&amp;SUMPRODUCT(($B$4:B689&lt;&gt;"")*($B$4:B689&lt;&gt;OFFSET($B$4,-1,0,ROWS($B$4:B689),1))))</f>
        <v/>
      </c>
      <c r="B689" s="31"/>
      <c r="C689" s="31"/>
      <c r="D689" s="31"/>
      <c r="E689" s="31"/>
      <c r="F689" s="32"/>
      <c r="G689" s="33"/>
      <c r="H689" s="33"/>
      <c r="I689" s="20" t="str">
        <f t="shared" si="154"/>
        <v/>
      </c>
      <c r="J689" s="21" t="str">
        <f>IFERROR(VLOOKUP(BR689,Pricing!$D$3:$E$58,2,FALSE),"")</f>
        <v/>
      </c>
      <c r="K689" s="32"/>
      <c r="L689" s="32"/>
      <c r="M689" s="32"/>
      <c r="N689" s="36" t="str" cm="1">
        <f t="array" ref="N689">IFERROR(_xlfn.IFS((AND(K689="SI",M689="$")),J689*0.2,AND(K689="SI",M689="%"),20),"")</f>
        <v/>
      </c>
      <c r="O689" s="29" t="str">
        <f t="shared" si="155"/>
        <v/>
      </c>
      <c r="P689" s="21" t="str">
        <f t="shared" si="156"/>
        <v/>
      </c>
      <c r="Q689" s="21" t="str">
        <f t="shared" si="157"/>
        <v/>
      </c>
      <c r="R689" s="21" t="str">
        <f t="shared" si="158"/>
        <v/>
      </c>
      <c r="S689" s="39"/>
      <c r="T689" s="43" t="str">
        <f t="shared" si="166"/>
        <v/>
      </c>
      <c r="U689" s="49" t="str">
        <f t="shared" si="167"/>
        <v/>
      </c>
      <c r="V689" s="48" t="str">
        <f t="shared" si="168"/>
        <v/>
      </c>
      <c r="W689" s="48" t="str">
        <f t="shared" si="159"/>
        <v/>
      </c>
      <c r="X689" s="50" t="str">
        <f>IF(W689="","",SUMIF($B$4:$B$1002,B689,$W$4:$W$1000))</f>
        <v/>
      </c>
      <c r="Y689" s="43" t="str">
        <f t="shared" si="160"/>
        <v/>
      </c>
      <c r="Z689" s="49" t="str">
        <f t="shared" si="161"/>
        <v/>
      </c>
      <c r="AA689" s="48" t="str">
        <f t="shared" si="162"/>
        <v/>
      </c>
      <c r="AB689" s="49" t="str">
        <f t="shared" si="163"/>
        <v/>
      </c>
      <c r="AC689" s="50" t="str">
        <f>IF(AB689="","",SUMIF($B$4:$B$1002,B689,$AB$4:$AB$1000))</f>
        <v/>
      </c>
      <c r="AD689" s="69"/>
      <c r="AE689" s="56"/>
      <c r="AF689" s="52"/>
      <c r="AG689" s="51"/>
      <c r="AH689" s="70"/>
      <c r="AI689" s="58"/>
      <c r="AJ689" s="55"/>
      <c r="AK689" s="51"/>
      <c r="AL689" s="69"/>
      <c r="AM689" s="56"/>
      <c r="AN689" s="52"/>
      <c r="AO689" s="51"/>
      <c r="AP689" s="70"/>
      <c r="AQ689" s="58"/>
      <c r="AR689" s="55"/>
      <c r="AS689" s="51"/>
      <c r="AT689" s="69"/>
      <c r="AU689" s="56"/>
      <c r="AV689" s="52"/>
      <c r="AW689" s="51"/>
      <c r="BR689" s="34" t="str">
        <f>IF(E689="","",CONCATENATE(E689," ",F689," noches"))</f>
        <v/>
      </c>
      <c r="BS689" s="28" t="str">
        <f t="shared" ca="1" si="164"/>
        <v/>
      </c>
      <c r="BT689" s="28" t="str">
        <f t="shared" ca="1" si="165"/>
        <v/>
      </c>
    </row>
    <row r="690" spans="1:72" x14ac:dyDescent="0.2">
      <c r="A690" s="18" t="str" cm="1">
        <f t="array" aca="1" ref="A690" ca="1">IF(B690="","","Grupo N˚"&amp;SUMPRODUCT(($B$4:B690&lt;&gt;"")*($B$4:B690&lt;&gt;OFFSET($B$4,-1,0,ROWS($B$4:B690),1))))</f>
        <v/>
      </c>
      <c r="B690" s="31"/>
      <c r="C690" s="31"/>
      <c r="D690" s="31"/>
      <c r="E690" s="31"/>
      <c r="F690" s="32"/>
      <c r="G690" s="33"/>
      <c r="H690" s="33"/>
      <c r="I690" s="20" t="str">
        <f t="shared" si="154"/>
        <v/>
      </c>
      <c r="J690" s="21" t="str">
        <f>IFERROR(VLOOKUP(BR690,Pricing!$D$3:$E$58,2,FALSE),"")</f>
        <v/>
      </c>
      <c r="K690" s="32"/>
      <c r="L690" s="32"/>
      <c r="M690" s="32"/>
      <c r="N690" s="36" t="str" cm="1">
        <f t="array" ref="N690">IFERROR(_xlfn.IFS((AND(K690="SI",M690="$")),J690*0.2,AND(K690="SI",M690="%"),20),"")</f>
        <v/>
      </c>
      <c r="O690" s="29" t="str">
        <f t="shared" si="155"/>
        <v/>
      </c>
      <c r="P690" s="21" t="str">
        <f t="shared" si="156"/>
        <v/>
      </c>
      <c r="Q690" s="21" t="str">
        <f t="shared" si="157"/>
        <v/>
      </c>
      <c r="R690" s="21" t="str">
        <f t="shared" si="158"/>
        <v/>
      </c>
      <c r="S690" s="39"/>
      <c r="T690" s="43" t="str">
        <f t="shared" si="166"/>
        <v/>
      </c>
      <c r="U690" s="49" t="str">
        <f t="shared" si="167"/>
        <v/>
      </c>
      <c r="V690" s="48" t="str">
        <f t="shared" si="168"/>
        <v/>
      </c>
      <c r="W690" s="48" t="str">
        <f t="shared" si="159"/>
        <v/>
      </c>
      <c r="X690" s="50" t="str">
        <f>IF(W690="","",SUMIF($B$4:$B$1002,B690,$W$4:$W$1000))</f>
        <v/>
      </c>
      <c r="Y690" s="43" t="str">
        <f t="shared" si="160"/>
        <v/>
      </c>
      <c r="Z690" s="49" t="str">
        <f t="shared" si="161"/>
        <v/>
      </c>
      <c r="AA690" s="48" t="str">
        <f t="shared" si="162"/>
        <v/>
      </c>
      <c r="AB690" s="49" t="str">
        <f t="shared" si="163"/>
        <v/>
      </c>
      <c r="AC690" s="50" t="str">
        <f>IF(AB690="","",SUMIF($B$4:$B$1002,B690,$AB$4:$AB$1000))</f>
        <v/>
      </c>
      <c r="AD690" s="69"/>
      <c r="AE690" s="56"/>
      <c r="AF690" s="52"/>
      <c r="AG690" s="51"/>
      <c r="AH690" s="70"/>
      <c r="AI690" s="58"/>
      <c r="AJ690" s="55"/>
      <c r="AK690" s="51"/>
      <c r="AL690" s="69"/>
      <c r="AM690" s="56"/>
      <c r="AN690" s="52"/>
      <c r="AO690" s="51"/>
      <c r="AP690" s="70"/>
      <c r="AQ690" s="58"/>
      <c r="AR690" s="55"/>
      <c r="AS690" s="51"/>
      <c r="AT690" s="69"/>
      <c r="AU690" s="56"/>
      <c r="AV690" s="52"/>
      <c r="AW690" s="51"/>
      <c r="BR690" s="34" t="str">
        <f>IF(E690="","",CONCATENATE(E690," ",F690," noches"))</f>
        <v/>
      </c>
      <c r="BS690" s="28" t="str">
        <f t="shared" ca="1" si="164"/>
        <v/>
      </c>
      <c r="BT690" s="28" t="str">
        <f t="shared" ca="1" si="165"/>
        <v/>
      </c>
    </row>
    <row r="691" spans="1:72" x14ac:dyDescent="0.2">
      <c r="A691" s="18" t="str" cm="1">
        <f t="array" aca="1" ref="A691" ca="1">IF(B691="","","Grupo N˚"&amp;SUMPRODUCT(($B$4:B691&lt;&gt;"")*($B$4:B691&lt;&gt;OFFSET($B$4,-1,0,ROWS($B$4:B691),1))))</f>
        <v/>
      </c>
      <c r="B691" s="31"/>
      <c r="C691" s="31"/>
      <c r="D691" s="31"/>
      <c r="E691" s="31"/>
      <c r="F691" s="32"/>
      <c r="G691" s="33"/>
      <c r="H691" s="33"/>
      <c r="I691" s="20" t="str">
        <f t="shared" si="154"/>
        <v/>
      </c>
      <c r="J691" s="21" t="str">
        <f>IFERROR(VLOOKUP(BR691,Pricing!$D$3:$E$58,2,FALSE),"")</f>
        <v/>
      </c>
      <c r="K691" s="32"/>
      <c r="L691" s="32"/>
      <c r="M691" s="32"/>
      <c r="N691" s="36" t="str" cm="1">
        <f t="array" ref="N691">IFERROR(_xlfn.IFS((AND(K691="SI",M691="$")),J691*0.2,AND(K691="SI",M691="%"),20),"")</f>
        <v/>
      </c>
      <c r="O691" s="29" t="str">
        <f t="shared" si="155"/>
        <v/>
      </c>
      <c r="P691" s="21" t="str">
        <f t="shared" si="156"/>
        <v/>
      </c>
      <c r="Q691" s="21" t="str">
        <f t="shared" si="157"/>
        <v/>
      </c>
      <c r="R691" s="21" t="str">
        <f t="shared" si="158"/>
        <v/>
      </c>
      <c r="S691" s="39"/>
      <c r="T691" s="43" t="str">
        <f t="shared" si="166"/>
        <v/>
      </c>
      <c r="U691" s="49" t="str">
        <f t="shared" si="167"/>
        <v/>
      </c>
      <c r="V691" s="48" t="str">
        <f t="shared" si="168"/>
        <v/>
      </c>
      <c r="W691" s="48" t="str">
        <f t="shared" si="159"/>
        <v/>
      </c>
      <c r="X691" s="50" t="str">
        <f>IF(W691="","",SUMIF($B$4:$B$1002,B691,$W$4:$W$1000))</f>
        <v/>
      </c>
      <c r="Y691" s="43" t="str">
        <f t="shared" si="160"/>
        <v/>
      </c>
      <c r="Z691" s="49" t="str">
        <f t="shared" si="161"/>
        <v/>
      </c>
      <c r="AA691" s="48" t="str">
        <f t="shared" si="162"/>
        <v/>
      </c>
      <c r="AB691" s="49" t="str">
        <f t="shared" si="163"/>
        <v/>
      </c>
      <c r="AC691" s="50" t="str">
        <f>IF(AB691="","",SUMIF($B$4:$B$1002,B691,$AB$4:$AB$1000))</f>
        <v/>
      </c>
      <c r="AD691" s="69"/>
      <c r="AE691" s="56"/>
      <c r="AF691" s="52"/>
      <c r="AG691" s="51"/>
      <c r="AH691" s="70"/>
      <c r="AI691" s="58"/>
      <c r="AJ691" s="55"/>
      <c r="AK691" s="51"/>
      <c r="AL691" s="69"/>
      <c r="AM691" s="56"/>
      <c r="AN691" s="52"/>
      <c r="AO691" s="51"/>
      <c r="AP691" s="70"/>
      <c r="AQ691" s="58"/>
      <c r="AR691" s="55"/>
      <c r="AS691" s="51"/>
      <c r="AT691" s="69"/>
      <c r="AU691" s="56"/>
      <c r="AV691" s="52"/>
      <c r="AW691" s="51"/>
      <c r="BR691" s="34" t="str">
        <f>IF(E691="","",CONCATENATE(E691," ",F691," noches"))</f>
        <v/>
      </c>
      <c r="BS691" s="28" t="str">
        <f t="shared" ca="1" si="164"/>
        <v/>
      </c>
      <c r="BT691" s="28" t="str">
        <f t="shared" ca="1" si="165"/>
        <v/>
      </c>
    </row>
    <row r="692" spans="1:72" x14ac:dyDescent="0.2">
      <c r="A692" s="18" t="str" cm="1">
        <f t="array" aca="1" ref="A692" ca="1">IF(B692="","","Grupo N˚"&amp;SUMPRODUCT(($B$4:B692&lt;&gt;"")*($B$4:B692&lt;&gt;OFFSET($B$4,-1,0,ROWS($B$4:B692),1))))</f>
        <v/>
      </c>
      <c r="B692" s="31"/>
      <c r="C692" s="31"/>
      <c r="D692" s="31"/>
      <c r="E692" s="31"/>
      <c r="F692" s="32"/>
      <c r="G692" s="33"/>
      <c r="H692" s="33"/>
      <c r="I692" s="20" t="str">
        <f t="shared" si="154"/>
        <v/>
      </c>
      <c r="J692" s="21" t="str">
        <f>IFERROR(VLOOKUP(BR692,Pricing!$D$3:$E$58,2,FALSE),"")</f>
        <v/>
      </c>
      <c r="K692" s="32"/>
      <c r="L692" s="32"/>
      <c r="M692" s="32"/>
      <c r="N692" s="36" t="str" cm="1">
        <f t="array" ref="N692">IFERROR(_xlfn.IFS((AND(K692="SI",M692="$")),J692*0.2,AND(K692="SI",M692="%"),20),"")</f>
        <v/>
      </c>
      <c r="O692" s="29" t="str">
        <f t="shared" si="155"/>
        <v/>
      </c>
      <c r="P692" s="21" t="str">
        <f t="shared" si="156"/>
        <v/>
      </c>
      <c r="Q692" s="21" t="str">
        <f t="shared" si="157"/>
        <v/>
      </c>
      <c r="R692" s="21" t="str">
        <f t="shared" si="158"/>
        <v/>
      </c>
      <c r="S692" s="39"/>
      <c r="T692" s="43" t="str">
        <f t="shared" si="166"/>
        <v/>
      </c>
      <c r="U692" s="49" t="str">
        <f t="shared" si="167"/>
        <v/>
      </c>
      <c r="V692" s="48" t="str">
        <f t="shared" si="168"/>
        <v/>
      </c>
      <c r="W692" s="48" t="str">
        <f t="shared" si="159"/>
        <v/>
      </c>
      <c r="X692" s="50" t="str">
        <f>IF(W692="","",SUMIF($B$4:$B$1002,B692,$W$4:$W$1000))</f>
        <v/>
      </c>
      <c r="Y692" s="43" t="str">
        <f t="shared" si="160"/>
        <v/>
      </c>
      <c r="Z692" s="49" t="str">
        <f t="shared" si="161"/>
        <v/>
      </c>
      <c r="AA692" s="48" t="str">
        <f t="shared" si="162"/>
        <v/>
      </c>
      <c r="AB692" s="49" t="str">
        <f t="shared" si="163"/>
        <v/>
      </c>
      <c r="AC692" s="50" t="str">
        <f>IF(AB692="","",SUMIF($B$4:$B$1002,B692,$AB$4:$AB$1000))</f>
        <v/>
      </c>
      <c r="AD692" s="69"/>
      <c r="AE692" s="56"/>
      <c r="AF692" s="52"/>
      <c r="AG692" s="51"/>
      <c r="AH692" s="70"/>
      <c r="AI692" s="58"/>
      <c r="AJ692" s="55"/>
      <c r="AK692" s="51"/>
      <c r="AL692" s="69"/>
      <c r="AM692" s="56"/>
      <c r="AN692" s="52"/>
      <c r="AO692" s="51"/>
      <c r="AP692" s="70"/>
      <c r="AQ692" s="58"/>
      <c r="AR692" s="55"/>
      <c r="AS692" s="51"/>
      <c r="AT692" s="69"/>
      <c r="AU692" s="56"/>
      <c r="AV692" s="52"/>
      <c r="AW692" s="51"/>
      <c r="BR692" s="34" t="str">
        <f>IF(E692="","",CONCATENATE(E692," ",F692," noches"))</f>
        <v/>
      </c>
      <c r="BS692" s="28" t="str">
        <f t="shared" ca="1" si="164"/>
        <v/>
      </c>
      <c r="BT692" s="28" t="str">
        <f t="shared" ca="1" si="165"/>
        <v/>
      </c>
    </row>
    <row r="693" spans="1:72" x14ac:dyDescent="0.2">
      <c r="A693" s="18" t="str" cm="1">
        <f t="array" aca="1" ref="A693" ca="1">IF(B693="","","Grupo N˚"&amp;SUMPRODUCT(($B$4:B693&lt;&gt;"")*($B$4:B693&lt;&gt;OFFSET($B$4,-1,0,ROWS($B$4:B693),1))))</f>
        <v/>
      </c>
      <c r="B693" s="31"/>
      <c r="C693" s="31"/>
      <c r="D693" s="31"/>
      <c r="E693" s="31"/>
      <c r="F693" s="32"/>
      <c r="G693" s="33"/>
      <c r="H693" s="33"/>
      <c r="I693" s="20" t="str">
        <f t="shared" si="154"/>
        <v/>
      </c>
      <c r="J693" s="21" t="str">
        <f>IFERROR(VLOOKUP(BR693,Pricing!$D$3:$E$58,2,FALSE),"")</f>
        <v/>
      </c>
      <c r="K693" s="32"/>
      <c r="L693" s="32"/>
      <c r="M693" s="32"/>
      <c r="N693" s="36" t="str" cm="1">
        <f t="array" ref="N693">IFERROR(_xlfn.IFS((AND(K693="SI",M693="$")),J693*0.2,AND(K693="SI",M693="%"),20),"")</f>
        <v/>
      </c>
      <c r="O693" s="29" t="str">
        <f t="shared" si="155"/>
        <v/>
      </c>
      <c r="P693" s="21" t="str">
        <f t="shared" si="156"/>
        <v/>
      </c>
      <c r="Q693" s="21" t="str">
        <f t="shared" si="157"/>
        <v/>
      </c>
      <c r="R693" s="21" t="str">
        <f t="shared" si="158"/>
        <v/>
      </c>
      <c r="S693" s="39"/>
      <c r="T693" s="43" t="str">
        <f t="shared" si="166"/>
        <v/>
      </c>
      <c r="U693" s="49" t="str">
        <f t="shared" si="167"/>
        <v/>
      </c>
      <c r="V693" s="48" t="str">
        <f t="shared" si="168"/>
        <v/>
      </c>
      <c r="W693" s="48" t="str">
        <f t="shared" si="159"/>
        <v/>
      </c>
      <c r="X693" s="50" t="str">
        <f>IF(W693="","",SUMIF($B$4:$B$1002,B693,$W$4:$W$1000))</f>
        <v/>
      </c>
      <c r="Y693" s="43" t="str">
        <f t="shared" si="160"/>
        <v/>
      </c>
      <c r="Z693" s="49" t="str">
        <f t="shared" si="161"/>
        <v/>
      </c>
      <c r="AA693" s="48" t="str">
        <f t="shared" si="162"/>
        <v/>
      </c>
      <c r="AB693" s="49" t="str">
        <f t="shared" si="163"/>
        <v/>
      </c>
      <c r="AC693" s="50" t="str">
        <f>IF(AB693="","",SUMIF($B$4:$B$1002,B693,$AB$4:$AB$1000))</f>
        <v/>
      </c>
      <c r="AD693" s="69"/>
      <c r="AE693" s="56"/>
      <c r="AF693" s="52"/>
      <c r="AG693" s="51"/>
      <c r="AH693" s="70"/>
      <c r="AI693" s="58"/>
      <c r="AJ693" s="55"/>
      <c r="AK693" s="51"/>
      <c r="AL693" s="69"/>
      <c r="AM693" s="56"/>
      <c r="AN693" s="52"/>
      <c r="AO693" s="51"/>
      <c r="AP693" s="70"/>
      <c r="AQ693" s="58"/>
      <c r="AR693" s="55"/>
      <c r="AS693" s="51"/>
      <c r="AT693" s="69"/>
      <c r="AU693" s="56"/>
      <c r="AV693" s="52"/>
      <c r="AW693" s="51"/>
      <c r="BR693" s="34" t="str">
        <f>IF(E693="","",CONCATENATE(E693," ",F693," noches"))</f>
        <v/>
      </c>
      <c r="BS693" s="28" t="str">
        <f t="shared" ca="1" si="164"/>
        <v/>
      </c>
      <c r="BT693" s="28" t="str">
        <f t="shared" ca="1" si="165"/>
        <v/>
      </c>
    </row>
    <row r="694" spans="1:72" x14ac:dyDescent="0.2">
      <c r="A694" s="18" t="str" cm="1">
        <f t="array" aca="1" ref="A694" ca="1">IF(B694="","","Grupo N˚"&amp;SUMPRODUCT(($B$4:B694&lt;&gt;"")*($B$4:B694&lt;&gt;OFFSET($B$4,-1,0,ROWS($B$4:B694),1))))</f>
        <v/>
      </c>
      <c r="B694" s="31"/>
      <c r="C694" s="31"/>
      <c r="D694" s="31"/>
      <c r="E694" s="31"/>
      <c r="F694" s="32"/>
      <c r="G694" s="33"/>
      <c r="H694" s="33"/>
      <c r="I694" s="20" t="str">
        <f t="shared" si="154"/>
        <v/>
      </c>
      <c r="J694" s="21" t="str">
        <f>IFERROR(VLOOKUP(BR694,Pricing!$D$3:$E$58,2,FALSE),"")</f>
        <v/>
      </c>
      <c r="K694" s="32"/>
      <c r="L694" s="32"/>
      <c r="M694" s="32"/>
      <c r="N694" s="36" t="str" cm="1">
        <f t="array" ref="N694">IFERROR(_xlfn.IFS((AND(K694="SI",M694="$")),J694*0.2,AND(K694="SI",M694="%"),20),"")</f>
        <v/>
      </c>
      <c r="O694" s="29" t="str">
        <f t="shared" si="155"/>
        <v/>
      </c>
      <c r="P694" s="21" t="str">
        <f t="shared" si="156"/>
        <v/>
      </c>
      <c r="Q694" s="21" t="str">
        <f t="shared" si="157"/>
        <v/>
      </c>
      <c r="R694" s="21" t="str">
        <f t="shared" si="158"/>
        <v/>
      </c>
      <c r="S694" s="39"/>
      <c r="T694" s="43" t="str">
        <f t="shared" si="166"/>
        <v/>
      </c>
      <c r="U694" s="49" t="str">
        <f t="shared" si="167"/>
        <v/>
      </c>
      <c r="V694" s="48" t="str">
        <f t="shared" si="168"/>
        <v/>
      </c>
      <c r="W694" s="48" t="str">
        <f t="shared" si="159"/>
        <v/>
      </c>
      <c r="X694" s="50" t="str">
        <f>IF(W694="","",SUMIF($B$4:$B$1002,B694,$W$4:$W$1000))</f>
        <v/>
      </c>
      <c r="Y694" s="43" t="str">
        <f t="shared" si="160"/>
        <v/>
      </c>
      <c r="Z694" s="49" t="str">
        <f t="shared" si="161"/>
        <v/>
      </c>
      <c r="AA694" s="48" t="str">
        <f t="shared" si="162"/>
        <v/>
      </c>
      <c r="AB694" s="49" t="str">
        <f t="shared" si="163"/>
        <v/>
      </c>
      <c r="AC694" s="50" t="str">
        <f>IF(AB694="","",SUMIF($B$4:$B$1002,B694,$AB$4:$AB$1000))</f>
        <v/>
      </c>
      <c r="AD694" s="69"/>
      <c r="AE694" s="56"/>
      <c r="AF694" s="52"/>
      <c r="AG694" s="51"/>
      <c r="AH694" s="70"/>
      <c r="AI694" s="58"/>
      <c r="AJ694" s="55"/>
      <c r="AK694" s="51"/>
      <c r="AL694" s="69"/>
      <c r="AM694" s="56"/>
      <c r="AN694" s="52"/>
      <c r="AO694" s="51"/>
      <c r="AP694" s="70"/>
      <c r="AQ694" s="58"/>
      <c r="AR694" s="55"/>
      <c r="AS694" s="51"/>
      <c r="AT694" s="69"/>
      <c r="AU694" s="56"/>
      <c r="AV694" s="52"/>
      <c r="AW694" s="51"/>
      <c r="BR694" s="34" t="str">
        <f>IF(E694="","",CONCATENATE(E694," ",F694," noches"))</f>
        <v/>
      </c>
      <c r="BS694" s="28" t="str">
        <f t="shared" ca="1" si="164"/>
        <v/>
      </c>
      <c r="BT694" s="28" t="str">
        <f t="shared" ca="1" si="165"/>
        <v/>
      </c>
    </row>
    <row r="695" spans="1:72" x14ac:dyDescent="0.2">
      <c r="A695" s="18" t="str" cm="1">
        <f t="array" aca="1" ref="A695" ca="1">IF(B695="","","Grupo N˚"&amp;SUMPRODUCT(($B$4:B695&lt;&gt;"")*($B$4:B695&lt;&gt;OFFSET($B$4,-1,0,ROWS($B$4:B695),1))))</f>
        <v/>
      </c>
      <c r="B695" s="31"/>
      <c r="C695" s="31"/>
      <c r="D695" s="31"/>
      <c r="E695" s="31"/>
      <c r="F695" s="32"/>
      <c r="G695" s="33"/>
      <c r="H695" s="33"/>
      <c r="I695" s="20" t="str">
        <f t="shared" si="154"/>
        <v/>
      </c>
      <c r="J695" s="21" t="str">
        <f>IFERROR(VLOOKUP(BR695,Pricing!$D$3:$E$58,2,FALSE),"")</f>
        <v/>
      </c>
      <c r="K695" s="32"/>
      <c r="L695" s="32"/>
      <c r="M695" s="32"/>
      <c r="N695" s="36" t="str" cm="1">
        <f t="array" ref="N695">IFERROR(_xlfn.IFS((AND(K695="SI",M695="$")),J695*0.2,AND(K695="SI",M695="%"),20),"")</f>
        <v/>
      </c>
      <c r="O695" s="29" t="str">
        <f t="shared" si="155"/>
        <v/>
      </c>
      <c r="P695" s="21" t="str">
        <f t="shared" si="156"/>
        <v/>
      </c>
      <c r="Q695" s="21" t="str">
        <f t="shared" si="157"/>
        <v/>
      </c>
      <c r="R695" s="21" t="str">
        <f t="shared" si="158"/>
        <v/>
      </c>
      <c r="S695" s="39"/>
      <c r="T695" s="43" t="str">
        <f t="shared" si="166"/>
        <v/>
      </c>
      <c r="U695" s="49" t="str">
        <f t="shared" si="167"/>
        <v/>
      </c>
      <c r="V695" s="48" t="str">
        <f t="shared" si="168"/>
        <v/>
      </c>
      <c r="W695" s="48" t="str">
        <f t="shared" si="159"/>
        <v/>
      </c>
      <c r="X695" s="50" t="str">
        <f>IF(W695="","",SUMIF($B$4:$B$1002,B695,$W$4:$W$1000))</f>
        <v/>
      </c>
      <c r="Y695" s="43" t="str">
        <f t="shared" si="160"/>
        <v/>
      </c>
      <c r="Z695" s="49" t="str">
        <f t="shared" si="161"/>
        <v/>
      </c>
      <c r="AA695" s="48" t="str">
        <f t="shared" si="162"/>
        <v/>
      </c>
      <c r="AB695" s="49" t="str">
        <f t="shared" si="163"/>
        <v/>
      </c>
      <c r="AC695" s="50" t="str">
        <f>IF(AB695="","",SUMIF($B$4:$B$1002,B695,$AB$4:$AB$1000))</f>
        <v/>
      </c>
      <c r="AD695" s="69"/>
      <c r="AE695" s="56"/>
      <c r="AF695" s="52"/>
      <c r="AG695" s="51"/>
      <c r="AH695" s="70"/>
      <c r="AI695" s="58"/>
      <c r="AJ695" s="55"/>
      <c r="AK695" s="51"/>
      <c r="AL695" s="69"/>
      <c r="AM695" s="56"/>
      <c r="AN695" s="52"/>
      <c r="AO695" s="51"/>
      <c r="AP695" s="70"/>
      <c r="AQ695" s="58"/>
      <c r="AR695" s="55"/>
      <c r="AS695" s="51"/>
      <c r="AT695" s="69"/>
      <c r="AU695" s="56"/>
      <c r="AV695" s="52"/>
      <c r="AW695" s="51"/>
      <c r="BR695" s="34" t="str">
        <f>IF(E695="","",CONCATENATE(E695," ",F695," noches"))</f>
        <v/>
      </c>
      <c r="BS695" s="28" t="str">
        <f t="shared" ca="1" si="164"/>
        <v/>
      </c>
      <c r="BT695" s="28" t="str">
        <f t="shared" ca="1" si="165"/>
        <v/>
      </c>
    </row>
    <row r="696" spans="1:72" x14ac:dyDescent="0.2">
      <c r="A696" s="18" t="str" cm="1">
        <f t="array" aca="1" ref="A696" ca="1">IF(B696="","","Grupo N˚"&amp;SUMPRODUCT(($B$4:B696&lt;&gt;"")*($B$4:B696&lt;&gt;OFFSET($B$4,-1,0,ROWS($B$4:B696),1))))</f>
        <v/>
      </c>
      <c r="B696" s="31"/>
      <c r="C696" s="31"/>
      <c r="D696" s="31"/>
      <c r="E696" s="31"/>
      <c r="F696" s="32"/>
      <c r="G696" s="33"/>
      <c r="H696" s="33"/>
      <c r="I696" s="20" t="str">
        <f t="shared" si="154"/>
        <v/>
      </c>
      <c r="J696" s="21" t="str">
        <f>IFERROR(VLOOKUP(BR696,Pricing!$D$3:$E$58,2,FALSE),"")</f>
        <v/>
      </c>
      <c r="K696" s="32"/>
      <c r="L696" s="32"/>
      <c r="M696" s="32"/>
      <c r="N696" s="36" t="str" cm="1">
        <f t="array" ref="N696">IFERROR(_xlfn.IFS((AND(K696="SI",M696="$")),J696*0.2,AND(K696="SI",M696="%"),20),"")</f>
        <v/>
      </c>
      <c r="O696" s="29" t="str">
        <f t="shared" si="155"/>
        <v/>
      </c>
      <c r="P696" s="21" t="str">
        <f t="shared" si="156"/>
        <v/>
      </c>
      <c r="Q696" s="21" t="str">
        <f t="shared" si="157"/>
        <v/>
      </c>
      <c r="R696" s="21" t="str">
        <f t="shared" si="158"/>
        <v/>
      </c>
      <c r="S696" s="39"/>
      <c r="T696" s="43" t="str">
        <f t="shared" si="166"/>
        <v/>
      </c>
      <c r="U696" s="49" t="str">
        <f t="shared" si="167"/>
        <v/>
      </c>
      <c r="V696" s="48" t="str">
        <f t="shared" si="168"/>
        <v/>
      </c>
      <c r="W696" s="48" t="str">
        <f t="shared" si="159"/>
        <v/>
      </c>
      <c r="X696" s="50" t="str">
        <f>IF(W696="","",SUMIF($B$4:$B$1002,B696,$W$4:$W$1000))</f>
        <v/>
      </c>
      <c r="Y696" s="43" t="str">
        <f t="shared" si="160"/>
        <v/>
      </c>
      <c r="Z696" s="49" t="str">
        <f t="shared" si="161"/>
        <v/>
      </c>
      <c r="AA696" s="48" t="str">
        <f t="shared" si="162"/>
        <v/>
      </c>
      <c r="AB696" s="49" t="str">
        <f t="shared" si="163"/>
        <v/>
      </c>
      <c r="AC696" s="50" t="str">
        <f>IF(AB696="","",SUMIF($B$4:$B$1002,B696,$AB$4:$AB$1000))</f>
        <v/>
      </c>
      <c r="AD696" s="69"/>
      <c r="AE696" s="56"/>
      <c r="AF696" s="52"/>
      <c r="AG696" s="51"/>
      <c r="AH696" s="70"/>
      <c r="AI696" s="58"/>
      <c r="AJ696" s="55"/>
      <c r="AK696" s="51"/>
      <c r="AL696" s="69"/>
      <c r="AM696" s="56"/>
      <c r="AN696" s="52"/>
      <c r="AO696" s="51"/>
      <c r="AP696" s="70"/>
      <c r="AQ696" s="58"/>
      <c r="AR696" s="55"/>
      <c r="AS696" s="51"/>
      <c r="AT696" s="69"/>
      <c r="AU696" s="56"/>
      <c r="AV696" s="52"/>
      <c r="AW696" s="51"/>
      <c r="BR696" s="34" t="str">
        <f>IF(E696="","",CONCATENATE(E696," ",F696," noches"))</f>
        <v/>
      </c>
      <c r="BS696" s="28" t="str">
        <f t="shared" ca="1" si="164"/>
        <v/>
      </c>
      <c r="BT696" s="28" t="str">
        <f t="shared" ca="1" si="165"/>
        <v/>
      </c>
    </row>
    <row r="697" spans="1:72" x14ac:dyDescent="0.2">
      <c r="A697" s="18" t="str" cm="1">
        <f t="array" aca="1" ref="A697" ca="1">IF(B697="","","Grupo N˚"&amp;SUMPRODUCT(($B$4:B697&lt;&gt;"")*($B$4:B697&lt;&gt;OFFSET($B$4,-1,0,ROWS($B$4:B697),1))))</f>
        <v/>
      </c>
      <c r="B697" s="31"/>
      <c r="C697" s="31"/>
      <c r="D697" s="31"/>
      <c r="E697" s="31"/>
      <c r="F697" s="32"/>
      <c r="G697" s="33"/>
      <c r="H697" s="33"/>
      <c r="I697" s="20" t="str">
        <f t="shared" si="154"/>
        <v/>
      </c>
      <c r="J697" s="21" t="str">
        <f>IFERROR(VLOOKUP(BR697,Pricing!$D$3:$E$58,2,FALSE),"")</f>
        <v/>
      </c>
      <c r="K697" s="32"/>
      <c r="L697" s="32"/>
      <c r="M697" s="32"/>
      <c r="N697" s="36" t="str" cm="1">
        <f t="array" ref="N697">IFERROR(_xlfn.IFS((AND(K697="SI",M697="$")),J697*0.2,AND(K697="SI",M697="%"),20),"")</f>
        <v/>
      </c>
      <c r="O697" s="29" t="str">
        <f t="shared" si="155"/>
        <v/>
      </c>
      <c r="P697" s="21" t="str">
        <f t="shared" si="156"/>
        <v/>
      </c>
      <c r="Q697" s="21" t="str">
        <f t="shared" si="157"/>
        <v/>
      </c>
      <c r="R697" s="21" t="str">
        <f t="shared" si="158"/>
        <v/>
      </c>
      <c r="S697" s="39"/>
      <c r="T697" s="43" t="str">
        <f t="shared" si="166"/>
        <v/>
      </c>
      <c r="U697" s="49" t="str">
        <f t="shared" si="167"/>
        <v/>
      </c>
      <c r="V697" s="48" t="str">
        <f t="shared" si="168"/>
        <v/>
      </c>
      <c r="W697" s="48" t="str">
        <f t="shared" si="159"/>
        <v/>
      </c>
      <c r="X697" s="50" t="str">
        <f>IF(W697="","",SUMIF($B$4:$B$1002,B697,$W$4:$W$1000))</f>
        <v/>
      </c>
      <c r="Y697" s="43" t="str">
        <f t="shared" si="160"/>
        <v/>
      </c>
      <c r="Z697" s="49" t="str">
        <f t="shared" si="161"/>
        <v/>
      </c>
      <c r="AA697" s="48" t="str">
        <f t="shared" si="162"/>
        <v/>
      </c>
      <c r="AB697" s="49" t="str">
        <f t="shared" si="163"/>
        <v/>
      </c>
      <c r="AC697" s="50" t="str">
        <f>IF(AB697="","",SUMIF($B$4:$B$1002,B697,$AB$4:$AB$1000))</f>
        <v/>
      </c>
      <c r="AD697" s="69"/>
      <c r="AE697" s="56"/>
      <c r="AF697" s="52"/>
      <c r="AG697" s="51"/>
      <c r="AH697" s="70"/>
      <c r="AI697" s="58"/>
      <c r="AJ697" s="55"/>
      <c r="AK697" s="51"/>
      <c r="AL697" s="69"/>
      <c r="AM697" s="56"/>
      <c r="AN697" s="52"/>
      <c r="AO697" s="51"/>
      <c r="AP697" s="70"/>
      <c r="AQ697" s="58"/>
      <c r="AR697" s="55"/>
      <c r="AS697" s="51"/>
      <c r="AT697" s="69"/>
      <c r="AU697" s="56"/>
      <c r="AV697" s="52"/>
      <c r="AW697" s="51"/>
      <c r="BR697" s="34" t="str">
        <f>IF(E697="","",CONCATENATE(E697," ",F697," noches"))</f>
        <v/>
      </c>
      <c r="BS697" s="28" t="str">
        <f t="shared" ca="1" si="164"/>
        <v/>
      </c>
      <c r="BT697" s="28" t="str">
        <f t="shared" ca="1" si="165"/>
        <v/>
      </c>
    </row>
    <row r="698" spans="1:72" x14ac:dyDescent="0.2">
      <c r="A698" s="18" t="str" cm="1">
        <f t="array" aca="1" ref="A698" ca="1">IF(B698="","","Grupo N˚"&amp;SUMPRODUCT(($B$4:B698&lt;&gt;"")*($B$4:B698&lt;&gt;OFFSET($B$4,-1,0,ROWS($B$4:B698),1))))</f>
        <v/>
      </c>
      <c r="B698" s="31"/>
      <c r="C698" s="31"/>
      <c r="D698" s="31"/>
      <c r="E698" s="31"/>
      <c r="F698" s="32"/>
      <c r="G698" s="33"/>
      <c r="H698" s="33"/>
      <c r="I698" s="20" t="str">
        <f t="shared" si="154"/>
        <v/>
      </c>
      <c r="J698" s="21" t="str">
        <f>IFERROR(VLOOKUP(BR698,Pricing!$D$3:$E$58,2,FALSE),"")</f>
        <v/>
      </c>
      <c r="K698" s="32"/>
      <c r="L698" s="32"/>
      <c r="M698" s="32"/>
      <c r="N698" s="36" t="str" cm="1">
        <f t="array" ref="N698">IFERROR(_xlfn.IFS((AND(K698="SI",M698="$")),J698*0.2,AND(K698="SI",M698="%"),20),"")</f>
        <v/>
      </c>
      <c r="O698" s="29" t="str">
        <f t="shared" si="155"/>
        <v/>
      </c>
      <c r="P698" s="21" t="str">
        <f t="shared" si="156"/>
        <v/>
      </c>
      <c r="Q698" s="21" t="str">
        <f t="shared" si="157"/>
        <v/>
      </c>
      <c r="R698" s="21" t="str">
        <f t="shared" si="158"/>
        <v/>
      </c>
      <c r="S698" s="39"/>
      <c r="T698" s="43" t="str">
        <f t="shared" si="166"/>
        <v/>
      </c>
      <c r="U698" s="49" t="str">
        <f t="shared" si="167"/>
        <v/>
      </c>
      <c r="V698" s="48" t="str">
        <f t="shared" si="168"/>
        <v/>
      </c>
      <c r="W698" s="48" t="str">
        <f t="shared" si="159"/>
        <v/>
      </c>
      <c r="X698" s="50" t="str">
        <f>IF(W698="","",SUMIF($B$4:$B$1002,B698,$W$4:$W$1000))</f>
        <v/>
      </c>
      <c r="Y698" s="43" t="str">
        <f t="shared" si="160"/>
        <v/>
      </c>
      <c r="Z698" s="49" t="str">
        <f t="shared" si="161"/>
        <v/>
      </c>
      <c r="AA698" s="48" t="str">
        <f t="shared" si="162"/>
        <v/>
      </c>
      <c r="AB698" s="49" t="str">
        <f t="shared" si="163"/>
        <v/>
      </c>
      <c r="AC698" s="50" t="str">
        <f>IF(AB698="","",SUMIF($B$4:$B$1002,B698,$AB$4:$AB$1000))</f>
        <v/>
      </c>
      <c r="AD698" s="69"/>
      <c r="AE698" s="56"/>
      <c r="AF698" s="52"/>
      <c r="AG698" s="51"/>
      <c r="AH698" s="70"/>
      <c r="AI698" s="58"/>
      <c r="AJ698" s="55"/>
      <c r="AK698" s="51"/>
      <c r="AL698" s="69"/>
      <c r="AM698" s="56"/>
      <c r="AN698" s="52"/>
      <c r="AO698" s="51"/>
      <c r="AP698" s="70"/>
      <c r="AQ698" s="58"/>
      <c r="AR698" s="55"/>
      <c r="AS698" s="51"/>
      <c r="AT698" s="69"/>
      <c r="AU698" s="56"/>
      <c r="AV698" s="52"/>
      <c r="AW698" s="51"/>
      <c r="BR698" s="34" t="str">
        <f>IF(E698="","",CONCATENATE(E698," ",F698," noches"))</f>
        <v/>
      </c>
      <c r="BS698" s="28" t="str">
        <f t="shared" ca="1" si="164"/>
        <v/>
      </c>
      <c r="BT698" s="28" t="str">
        <f t="shared" ca="1" si="165"/>
        <v/>
      </c>
    </row>
    <row r="699" spans="1:72" x14ac:dyDescent="0.2">
      <c r="A699" s="18" t="str" cm="1">
        <f t="array" aca="1" ref="A699" ca="1">IF(B699="","","Grupo N˚"&amp;SUMPRODUCT(($B$4:B699&lt;&gt;"")*($B$4:B699&lt;&gt;OFFSET($B$4,-1,0,ROWS($B$4:B699),1))))</f>
        <v/>
      </c>
      <c r="B699" s="31"/>
      <c r="C699" s="31"/>
      <c r="D699" s="31"/>
      <c r="E699" s="31"/>
      <c r="F699" s="32"/>
      <c r="G699" s="33"/>
      <c r="H699" s="33"/>
      <c r="I699" s="20" t="str">
        <f t="shared" si="154"/>
        <v/>
      </c>
      <c r="J699" s="21" t="str">
        <f>IFERROR(VLOOKUP(BR699,Pricing!$D$3:$E$58,2,FALSE),"")</f>
        <v/>
      </c>
      <c r="K699" s="32"/>
      <c r="L699" s="32"/>
      <c r="M699" s="32"/>
      <c r="N699" s="36" t="str" cm="1">
        <f t="array" ref="N699">IFERROR(_xlfn.IFS((AND(K699="SI",M699="$")),J699*0.2,AND(K699="SI",M699="%"),20),"")</f>
        <v/>
      </c>
      <c r="O699" s="29" t="str">
        <f t="shared" si="155"/>
        <v/>
      </c>
      <c r="P699" s="21" t="str">
        <f t="shared" si="156"/>
        <v/>
      </c>
      <c r="Q699" s="21" t="str">
        <f t="shared" si="157"/>
        <v/>
      </c>
      <c r="R699" s="21" t="str">
        <f t="shared" si="158"/>
        <v/>
      </c>
      <c r="S699" s="39"/>
      <c r="T699" s="43" t="str">
        <f t="shared" si="166"/>
        <v/>
      </c>
      <c r="U699" s="49" t="str">
        <f t="shared" si="167"/>
        <v/>
      </c>
      <c r="V699" s="48" t="str">
        <f t="shared" si="168"/>
        <v/>
      </c>
      <c r="W699" s="48" t="str">
        <f t="shared" si="159"/>
        <v/>
      </c>
      <c r="X699" s="50" t="str">
        <f>IF(W699="","",SUMIF($B$4:$B$1002,B699,$W$4:$W$1000))</f>
        <v/>
      </c>
      <c r="Y699" s="43" t="str">
        <f t="shared" si="160"/>
        <v/>
      </c>
      <c r="Z699" s="49" t="str">
        <f t="shared" si="161"/>
        <v/>
      </c>
      <c r="AA699" s="48" t="str">
        <f t="shared" si="162"/>
        <v/>
      </c>
      <c r="AB699" s="49" t="str">
        <f t="shared" si="163"/>
        <v/>
      </c>
      <c r="AC699" s="50" t="str">
        <f>IF(AB699="","",SUMIF($B$4:$B$1002,B699,$AB$4:$AB$1000))</f>
        <v/>
      </c>
      <c r="AD699" s="69"/>
      <c r="AE699" s="56"/>
      <c r="AF699" s="52"/>
      <c r="AG699" s="51"/>
      <c r="AH699" s="70"/>
      <c r="AI699" s="58"/>
      <c r="AJ699" s="55"/>
      <c r="AK699" s="51"/>
      <c r="AL699" s="69"/>
      <c r="AM699" s="56"/>
      <c r="AN699" s="52"/>
      <c r="AO699" s="51"/>
      <c r="AP699" s="70"/>
      <c r="AQ699" s="58"/>
      <c r="AR699" s="55"/>
      <c r="AS699" s="51"/>
      <c r="AT699" s="69"/>
      <c r="AU699" s="56"/>
      <c r="AV699" s="52"/>
      <c r="AW699" s="51"/>
      <c r="BR699" s="34" t="str">
        <f>IF(E699="","",CONCATENATE(E699," ",F699," noches"))</f>
        <v/>
      </c>
      <c r="BS699" s="28" t="str">
        <f t="shared" ca="1" si="164"/>
        <v/>
      </c>
      <c r="BT699" s="28" t="str">
        <f t="shared" ca="1" si="165"/>
        <v/>
      </c>
    </row>
    <row r="700" spans="1:72" x14ac:dyDescent="0.2">
      <c r="A700" s="18" t="str" cm="1">
        <f t="array" aca="1" ref="A700" ca="1">IF(B700="","","Grupo N˚"&amp;SUMPRODUCT(($B$4:B700&lt;&gt;"")*($B$4:B700&lt;&gt;OFFSET($B$4,-1,0,ROWS($B$4:B700),1))))</f>
        <v/>
      </c>
      <c r="B700" s="31"/>
      <c r="C700" s="31"/>
      <c r="D700" s="31"/>
      <c r="E700" s="31"/>
      <c r="F700" s="32"/>
      <c r="G700" s="33"/>
      <c r="H700" s="33"/>
      <c r="I700" s="20" t="str">
        <f t="shared" si="154"/>
        <v/>
      </c>
      <c r="J700" s="21" t="str">
        <f>IFERROR(VLOOKUP(BR700,Pricing!$D$3:$E$58,2,FALSE),"")</f>
        <v/>
      </c>
      <c r="K700" s="32"/>
      <c r="L700" s="32"/>
      <c r="M700" s="32"/>
      <c r="N700" s="36" t="str" cm="1">
        <f t="array" ref="N700">IFERROR(_xlfn.IFS((AND(K700="SI",M700="$")),J700*0.2,AND(K700="SI",M700="%"),20),"")</f>
        <v/>
      </c>
      <c r="O700" s="29" t="str">
        <f t="shared" si="155"/>
        <v/>
      </c>
      <c r="P700" s="21" t="str">
        <f t="shared" si="156"/>
        <v/>
      </c>
      <c r="Q700" s="21" t="str">
        <f t="shared" si="157"/>
        <v/>
      </c>
      <c r="R700" s="21" t="str">
        <f t="shared" si="158"/>
        <v/>
      </c>
      <c r="S700" s="39"/>
      <c r="T700" s="43" t="str">
        <f t="shared" si="166"/>
        <v/>
      </c>
      <c r="U700" s="49" t="str">
        <f t="shared" si="167"/>
        <v/>
      </c>
      <c r="V700" s="48" t="str">
        <f t="shared" si="168"/>
        <v/>
      </c>
      <c r="W700" s="48" t="str">
        <f t="shared" si="159"/>
        <v/>
      </c>
      <c r="X700" s="50" t="str">
        <f>IF(W700="","",SUMIF($B$4:$B$1002,B700,$W$4:$W$1000))</f>
        <v/>
      </c>
      <c r="Y700" s="43" t="str">
        <f t="shared" si="160"/>
        <v/>
      </c>
      <c r="Z700" s="49" t="str">
        <f t="shared" si="161"/>
        <v/>
      </c>
      <c r="AA700" s="48" t="str">
        <f t="shared" si="162"/>
        <v/>
      </c>
      <c r="AB700" s="49" t="str">
        <f t="shared" si="163"/>
        <v/>
      </c>
      <c r="AC700" s="50" t="str">
        <f>IF(AB700="","",SUMIF($B$4:$B$1002,B700,$AB$4:$AB$1000))</f>
        <v/>
      </c>
      <c r="AD700" s="69"/>
      <c r="AE700" s="56"/>
      <c r="AF700" s="52"/>
      <c r="AG700" s="51"/>
      <c r="AH700" s="70"/>
      <c r="AI700" s="58"/>
      <c r="AJ700" s="55"/>
      <c r="AK700" s="51"/>
      <c r="AL700" s="69"/>
      <c r="AM700" s="56"/>
      <c r="AN700" s="52"/>
      <c r="AO700" s="51"/>
      <c r="AP700" s="70"/>
      <c r="AQ700" s="58"/>
      <c r="AR700" s="55"/>
      <c r="AS700" s="51"/>
      <c r="AT700" s="69"/>
      <c r="AU700" s="56"/>
      <c r="AV700" s="52"/>
      <c r="AW700" s="51"/>
      <c r="BR700" s="34" t="str">
        <f>IF(E700="","",CONCATENATE(E700," ",F700," noches"))</f>
        <v/>
      </c>
      <c r="BS700" s="28" t="str">
        <f t="shared" ca="1" si="164"/>
        <v/>
      </c>
      <c r="BT700" s="28" t="str">
        <f t="shared" ca="1" si="165"/>
        <v/>
      </c>
    </row>
    <row r="701" spans="1:72" x14ac:dyDescent="0.2">
      <c r="A701" s="18" t="str" cm="1">
        <f t="array" aca="1" ref="A701" ca="1">IF(B701="","","Grupo N˚"&amp;SUMPRODUCT(($B$4:B701&lt;&gt;"")*($B$4:B701&lt;&gt;OFFSET($B$4,-1,0,ROWS($B$4:B701),1))))</f>
        <v/>
      </c>
      <c r="B701" s="31"/>
      <c r="C701" s="31"/>
      <c r="D701" s="31"/>
      <c r="E701" s="31"/>
      <c r="F701" s="32"/>
      <c r="G701" s="33"/>
      <c r="H701" s="33"/>
      <c r="I701" s="20" t="str">
        <f t="shared" si="154"/>
        <v/>
      </c>
      <c r="J701" s="21" t="str">
        <f>IFERROR(VLOOKUP(BR701,Pricing!$D$3:$E$58,2,FALSE),"")</f>
        <v/>
      </c>
      <c r="K701" s="32"/>
      <c r="L701" s="32"/>
      <c r="M701" s="32"/>
      <c r="N701" s="36" t="str" cm="1">
        <f t="array" ref="N701">IFERROR(_xlfn.IFS((AND(K701="SI",M701="$")),J701*0.2,AND(K701="SI",M701="%"),20),"")</f>
        <v/>
      </c>
      <c r="O701" s="29" t="str">
        <f t="shared" si="155"/>
        <v/>
      </c>
      <c r="P701" s="21" t="str">
        <f t="shared" si="156"/>
        <v/>
      </c>
      <c r="Q701" s="21" t="str">
        <f t="shared" si="157"/>
        <v/>
      </c>
      <c r="R701" s="21" t="str">
        <f t="shared" si="158"/>
        <v/>
      </c>
      <c r="S701" s="39"/>
      <c r="T701" s="43" t="str">
        <f t="shared" si="166"/>
        <v/>
      </c>
      <c r="U701" s="49" t="str">
        <f t="shared" si="167"/>
        <v/>
      </c>
      <c r="V701" s="48" t="str">
        <f t="shared" si="168"/>
        <v/>
      </c>
      <c r="W701" s="48" t="str">
        <f t="shared" si="159"/>
        <v/>
      </c>
      <c r="X701" s="50" t="str">
        <f>IF(W701="","",SUMIF($B$4:$B$1002,B701,$W$4:$W$1000))</f>
        <v/>
      </c>
      <c r="Y701" s="43" t="str">
        <f t="shared" si="160"/>
        <v/>
      </c>
      <c r="Z701" s="49" t="str">
        <f t="shared" si="161"/>
        <v/>
      </c>
      <c r="AA701" s="48" t="str">
        <f t="shared" si="162"/>
        <v/>
      </c>
      <c r="AB701" s="49" t="str">
        <f t="shared" si="163"/>
        <v/>
      </c>
      <c r="AC701" s="50" t="str">
        <f>IF(AB701="","",SUMIF($B$4:$B$1002,B701,$AB$4:$AB$1000))</f>
        <v/>
      </c>
      <c r="AD701" s="69"/>
      <c r="AE701" s="56"/>
      <c r="AF701" s="52"/>
      <c r="AG701" s="51"/>
      <c r="AH701" s="70"/>
      <c r="AI701" s="58"/>
      <c r="AJ701" s="55"/>
      <c r="AK701" s="51"/>
      <c r="AL701" s="69"/>
      <c r="AM701" s="56"/>
      <c r="AN701" s="52"/>
      <c r="AO701" s="51"/>
      <c r="AP701" s="70"/>
      <c r="AQ701" s="58"/>
      <c r="AR701" s="55"/>
      <c r="AS701" s="51"/>
      <c r="AT701" s="69"/>
      <c r="AU701" s="56"/>
      <c r="AV701" s="52"/>
      <c r="AW701" s="51"/>
      <c r="BR701" s="34" t="str">
        <f>IF(E701="","",CONCATENATE(E701," ",F701," noches"))</f>
        <v/>
      </c>
      <c r="BS701" s="28" t="str">
        <f t="shared" ca="1" si="164"/>
        <v/>
      </c>
      <c r="BT701" s="28" t="str">
        <f t="shared" ca="1" si="165"/>
        <v/>
      </c>
    </row>
    <row r="702" spans="1:72" x14ac:dyDescent="0.2">
      <c r="A702" s="18" t="str" cm="1">
        <f t="array" aca="1" ref="A702" ca="1">IF(B702="","","Grupo N˚"&amp;SUMPRODUCT(($B$4:B702&lt;&gt;"")*($B$4:B702&lt;&gt;OFFSET($B$4,-1,0,ROWS($B$4:B702),1))))</f>
        <v/>
      </c>
      <c r="B702" s="31"/>
      <c r="C702" s="31"/>
      <c r="D702" s="31"/>
      <c r="E702" s="31"/>
      <c r="F702" s="32"/>
      <c r="G702" s="33"/>
      <c r="H702" s="33"/>
      <c r="I702" s="20" t="str">
        <f t="shared" si="154"/>
        <v/>
      </c>
      <c r="J702" s="21" t="str">
        <f>IFERROR(VLOOKUP(BR702,Pricing!$D$3:$E$58,2,FALSE),"")</f>
        <v/>
      </c>
      <c r="K702" s="32"/>
      <c r="L702" s="32"/>
      <c r="M702" s="32"/>
      <c r="N702" s="36" t="str" cm="1">
        <f t="array" ref="N702">IFERROR(_xlfn.IFS((AND(K702="SI",M702="$")),J702*0.2,AND(K702="SI",M702="%"),20),"")</f>
        <v/>
      </c>
      <c r="O702" s="29" t="str">
        <f t="shared" si="155"/>
        <v/>
      </c>
      <c r="P702" s="21" t="str">
        <f t="shared" si="156"/>
        <v/>
      </c>
      <c r="Q702" s="21" t="str">
        <f t="shared" si="157"/>
        <v/>
      </c>
      <c r="R702" s="21" t="str">
        <f t="shared" si="158"/>
        <v/>
      </c>
      <c r="S702" s="39"/>
      <c r="T702" s="43" t="str">
        <f t="shared" si="166"/>
        <v/>
      </c>
      <c r="U702" s="49" t="str">
        <f t="shared" si="167"/>
        <v/>
      </c>
      <c r="V702" s="48" t="str">
        <f t="shared" si="168"/>
        <v/>
      </c>
      <c r="W702" s="48" t="str">
        <f t="shared" si="159"/>
        <v/>
      </c>
      <c r="X702" s="50" t="str">
        <f>IF(W702="","",SUMIF($B$4:$B$1002,B702,$W$4:$W$1000))</f>
        <v/>
      </c>
      <c r="Y702" s="43" t="str">
        <f t="shared" si="160"/>
        <v/>
      </c>
      <c r="Z702" s="49" t="str">
        <f t="shared" si="161"/>
        <v/>
      </c>
      <c r="AA702" s="48" t="str">
        <f t="shared" si="162"/>
        <v/>
      </c>
      <c r="AB702" s="49" t="str">
        <f t="shared" si="163"/>
        <v/>
      </c>
      <c r="AC702" s="50" t="str">
        <f>IF(AB702="","",SUMIF($B$4:$B$1002,B702,$AB$4:$AB$1000))</f>
        <v/>
      </c>
      <c r="AD702" s="69"/>
      <c r="AE702" s="56"/>
      <c r="AF702" s="52"/>
      <c r="AG702" s="51"/>
      <c r="AH702" s="70"/>
      <c r="AI702" s="58"/>
      <c r="AJ702" s="55"/>
      <c r="AK702" s="51"/>
      <c r="AL702" s="69"/>
      <c r="AM702" s="56"/>
      <c r="AN702" s="52"/>
      <c r="AO702" s="51"/>
      <c r="AP702" s="70"/>
      <c r="AQ702" s="58"/>
      <c r="AR702" s="55"/>
      <c r="AS702" s="51"/>
      <c r="AT702" s="69"/>
      <c r="AU702" s="56"/>
      <c r="AV702" s="52"/>
      <c r="AW702" s="51"/>
      <c r="BR702" s="34" t="str">
        <f>IF(E702="","",CONCATENATE(E702," ",F702," noches"))</f>
        <v/>
      </c>
      <c r="BS702" s="28" t="str">
        <f t="shared" ca="1" si="164"/>
        <v/>
      </c>
      <c r="BT702" s="28" t="str">
        <f t="shared" ca="1" si="165"/>
        <v/>
      </c>
    </row>
    <row r="703" spans="1:72" x14ac:dyDescent="0.2">
      <c r="A703" s="18" t="str" cm="1">
        <f t="array" aca="1" ref="A703" ca="1">IF(B703="","","Grupo N˚"&amp;SUMPRODUCT(($B$4:B703&lt;&gt;"")*($B$4:B703&lt;&gt;OFFSET($B$4,-1,0,ROWS($B$4:B703),1))))</f>
        <v/>
      </c>
      <c r="B703" s="31"/>
      <c r="C703" s="31"/>
      <c r="D703" s="31"/>
      <c r="E703" s="31"/>
      <c r="F703" s="32"/>
      <c r="G703" s="33"/>
      <c r="H703" s="33"/>
      <c r="I703" s="20" t="str">
        <f t="shared" si="154"/>
        <v/>
      </c>
      <c r="J703" s="21" t="str">
        <f>IFERROR(VLOOKUP(BR703,Pricing!$D$3:$E$58,2,FALSE),"")</f>
        <v/>
      </c>
      <c r="K703" s="32"/>
      <c r="L703" s="32"/>
      <c r="M703" s="32"/>
      <c r="N703" s="36" t="str" cm="1">
        <f t="array" ref="N703">IFERROR(_xlfn.IFS((AND(K703="SI",M703="$")),J703*0.2,AND(K703="SI",M703="%"),20),"")</f>
        <v/>
      </c>
      <c r="O703" s="29" t="str">
        <f t="shared" si="155"/>
        <v/>
      </c>
      <c r="P703" s="21" t="str">
        <f t="shared" si="156"/>
        <v/>
      </c>
      <c r="Q703" s="21" t="str">
        <f t="shared" si="157"/>
        <v/>
      </c>
      <c r="R703" s="21" t="str">
        <f t="shared" si="158"/>
        <v/>
      </c>
      <c r="S703" s="39"/>
      <c r="T703" s="43" t="str">
        <f t="shared" si="166"/>
        <v/>
      </c>
      <c r="U703" s="49" t="str">
        <f t="shared" si="167"/>
        <v/>
      </c>
      <c r="V703" s="48" t="str">
        <f t="shared" si="168"/>
        <v/>
      </c>
      <c r="W703" s="48" t="str">
        <f t="shared" si="159"/>
        <v/>
      </c>
      <c r="X703" s="50" t="str">
        <f>IF(W703="","",SUMIF($B$4:$B$1002,B703,$W$4:$W$1000))</f>
        <v/>
      </c>
      <c r="Y703" s="43" t="str">
        <f t="shared" si="160"/>
        <v/>
      </c>
      <c r="Z703" s="49" t="str">
        <f t="shared" si="161"/>
        <v/>
      </c>
      <c r="AA703" s="48" t="str">
        <f t="shared" si="162"/>
        <v/>
      </c>
      <c r="AB703" s="49" t="str">
        <f t="shared" si="163"/>
        <v/>
      </c>
      <c r="AC703" s="50" t="str">
        <f>IF(AB703="","",SUMIF($B$4:$B$1002,B703,$AB$4:$AB$1000))</f>
        <v/>
      </c>
      <c r="AD703" s="69"/>
      <c r="AE703" s="56"/>
      <c r="AF703" s="52"/>
      <c r="AG703" s="51"/>
      <c r="AH703" s="70"/>
      <c r="AI703" s="58"/>
      <c r="AJ703" s="55"/>
      <c r="AK703" s="51"/>
      <c r="AL703" s="69"/>
      <c r="AM703" s="56"/>
      <c r="AN703" s="52"/>
      <c r="AO703" s="51"/>
      <c r="AP703" s="70"/>
      <c r="AQ703" s="58"/>
      <c r="AR703" s="55"/>
      <c r="AS703" s="51"/>
      <c r="AT703" s="69"/>
      <c r="AU703" s="56"/>
      <c r="AV703" s="52"/>
      <c r="AW703" s="51"/>
      <c r="BR703" s="34" t="str">
        <f>IF(E703="","",CONCATENATE(E703," ",F703," noches"))</f>
        <v/>
      </c>
      <c r="BS703" s="28" t="str">
        <f t="shared" ca="1" si="164"/>
        <v/>
      </c>
      <c r="BT703" s="28" t="str">
        <f t="shared" ca="1" si="165"/>
        <v/>
      </c>
    </row>
    <row r="704" spans="1:72" x14ac:dyDescent="0.2">
      <c r="A704" s="18" t="str" cm="1">
        <f t="array" aca="1" ref="A704" ca="1">IF(B704="","","Grupo N˚"&amp;SUMPRODUCT(($B$4:B704&lt;&gt;"")*($B$4:B704&lt;&gt;OFFSET($B$4,-1,0,ROWS($B$4:B704),1))))</f>
        <v/>
      </c>
      <c r="B704" s="31"/>
      <c r="C704" s="31"/>
      <c r="D704" s="31"/>
      <c r="E704" s="31"/>
      <c r="F704" s="32"/>
      <c r="G704" s="33"/>
      <c r="H704" s="33"/>
      <c r="I704" s="20" t="str">
        <f t="shared" si="154"/>
        <v/>
      </c>
      <c r="J704" s="21" t="str">
        <f>IFERROR(VLOOKUP(BR704,Pricing!$D$3:$E$58,2,FALSE),"")</f>
        <v/>
      </c>
      <c r="K704" s="32"/>
      <c r="L704" s="32"/>
      <c r="M704" s="32"/>
      <c r="N704" s="36" t="str" cm="1">
        <f t="array" ref="N704">IFERROR(_xlfn.IFS((AND(K704="SI",M704="$")),J704*0.2,AND(K704="SI",M704="%"),20),"")</f>
        <v/>
      </c>
      <c r="O704" s="29" t="str">
        <f t="shared" si="155"/>
        <v/>
      </c>
      <c r="P704" s="21" t="str">
        <f t="shared" si="156"/>
        <v/>
      </c>
      <c r="Q704" s="21" t="str">
        <f t="shared" si="157"/>
        <v/>
      </c>
      <c r="R704" s="21" t="str">
        <f t="shared" si="158"/>
        <v/>
      </c>
      <c r="S704" s="39"/>
      <c r="T704" s="43" t="str">
        <f t="shared" si="166"/>
        <v/>
      </c>
      <c r="U704" s="49" t="str">
        <f t="shared" si="167"/>
        <v/>
      </c>
      <c r="V704" s="48" t="str">
        <f t="shared" si="168"/>
        <v/>
      </c>
      <c r="W704" s="48" t="str">
        <f t="shared" si="159"/>
        <v/>
      </c>
      <c r="X704" s="50" t="str">
        <f>IF(W704="","",SUMIF($B$4:$B$1002,B704,$W$4:$W$1000))</f>
        <v/>
      </c>
      <c r="Y704" s="43" t="str">
        <f t="shared" si="160"/>
        <v/>
      </c>
      <c r="Z704" s="49" t="str">
        <f t="shared" si="161"/>
        <v/>
      </c>
      <c r="AA704" s="48" t="str">
        <f t="shared" si="162"/>
        <v/>
      </c>
      <c r="AB704" s="49" t="str">
        <f t="shared" si="163"/>
        <v/>
      </c>
      <c r="AC704" s="50" t="str">
        <f>IF(AB704="","",SUMIF($B$4:$B$1002,B704,$AB$4:$AB$1000))</f>
        <v/>
      </c>
      <c r="AD704" s="69"/>
      <c r="AE704" s="56"/>
      <c r="AF704" s="52"/>
      <c r="AG704" s="51"/>
      <c r="AH704" s="70"/>
      <c r="AI704" s="58"/>
      <c r="AJ704" s="55"/>
      <c r="AK704" s="51"/>
      <c r="AL704" s="69"/>
      <c r="AM704" s="56"/>
      <c r="AN704" s="52"/>
      <c r="AO704" s="51"/>
      <c r="AP704" s="70"/>
      <c r="AQ704" s="58"/>
      <c r="AR704" s="55"/>
      <c r="AS704" s="51"/>
      <c r="AT704" s="69"/>
      <c r="AU704" s="56"/>
      <c r="AV704" s="52"/>
      <c r="AW704" s="51"/>
      <c r="BR704" s="34" t="str">
        <f>IF(E704="","",CONCATENATE(E704," ",F704," noches"))</f>
        <v/>
      </c>
      <c r="BS704" s="28" t="str">
        <f t="shared" ca="1" si="164"/>
        <v/>
      </c>
      <c r="BT704" s="28" t="str">
        <f t="shared" ca="1" si="165"/>
        <v/>
      </c>
    </row>
    <row r="705" spans="1:72" x14ac:dyDescent="0.2">
      <c r="A705" s="18" t="str" cm="1">
        <f t="array" aca="1" ref="A705" ca="1">IF(B705="","","Grupo N˚"&amp;SUMPRODUCT(($B$4:B705&lt;&gt;"")*($B$4:B705&lt;&gt;OFFSET($B$4,-1,0,ROWS($B$4:B705),1))))</f>
        <v/>
      </c>
      <c r="B705" s="31"/>
      <c r="C705" s="31"/>
      <c r="D705" s="31"/>
      <c r="E705" s="31"/>
      <c r="F705" s="32"/>
      <c r="G705" s="33"/>
      <c r="H705" s="33"/>
      <c r="I705" s="20" t="str">
        <f t="shared" si="154"/>
        <v/>
      </c>
      <c r="J705" s="21" t="str">
        <f>IFERROR(VLOOKUP(BR705,Pricing!$D$3:$E$58,2,FALSE),"")</f>
        <v/>
      </c>
      <c r="K705" s="32"/>
      <c r="L705" s="32"/>
      <c r="M705" s="32"/>
      <c r="N705" s="36" t="str" cm="1">
        <f t="array" ref="N705">IFERROR(_xlfn.IFS((AND(K705="SI",M705="$")),J705*0.2,AND(K705="SI",M705="%"),20),"")</f>
        <v/>
      </c>
      <c r="O705" s="29" t="str">
        <f t="shared" si="155"/>
        <v/>
      </c>
      <c r="P705" s="21" t="str">
        <f t="shared" si="156"/>
        <v/>
      </c>
      <c r="Q705" s="21" t="str">
        <f t="shared" si="157"/>
        <v/>
      </c>
      <c r="R705" s="21" t="str">
        <f t="shared" si="158"/>
        <v/>
      </c>
      <c r="S705" s="39"/>
      <c r="T705" s="43" t="str">
        <f t="shared" si="166"/>
        <v/>
      </c>
      <c r="U705" s="49" t="str">
        <f t="shared" si="167"/>
        <v/>
      </c>
      <c r="V705" s="48" t="str">
        <f t="shared" si="168"/>
        <v/>
      </c>
      <c r="W705" s="48" t="str">
        <f t="shared" si="159"/>
        <v/>
      </c>
      <c r="X705" s="50" t="str">
        <f>IF(W705="","",SUMIF($B$4:$B$1002,B705,$W$4:$W$1000))</f>
        <v/>
      </c>
      <c r="Y705" s="43" t="str">
        <f t="shared" si="160"/>
        <v/>
      </c>
      <c r="Z705" s="49" t="str">
        <f t="shared" si="161"/>
        <v/>
      </c>
      <c r="AA705" s="48" t="str">
        <f t="shared" si="162"/>
        <v/>
      </c>
      <c r="AB705" s="49" t="str">
        <f t="shared" si="163"/>
        <v/>
      </c>
      <c r="AC705" s="50" t="str">
        <f>IF(AB705="","",SUMIF($B$4:$B$1002,B705,$AB$4:$AB$1000))</f>
        <v/>
      </c>
      <c r="AD705" s="69"/>
      <c r="AE705" s="56"/>
      <c r="AF705" s="52"/>
      <c r="AG705" s="51"/>
      <c r="AH705" s="70"/>
      <c r="AI705" s="58"/>
      <c r="AJ705" s="55"/>
      <c r="AK705" s="51"/>
      <c r="AL705" s="69"/>
      <c r="AM705" s="56"/>
      <c r="AN705" s="52"/>
      <c r="AO705" s="51"/>
      <c r="AP705" s="70"/>
      <c r="AQ705" s="58"/>
      <c r="AR705" s="55"/>
      <c r="AS705" s="51"/>
      <c r="AT705" s="69"/>
      <c r="AU705" s="56"/>
      <c r="AV705" s="52"/>
      <c r="AW705" s="51"/>
      <c r="BR705" s="34" t="str">
        <f>IF(E705="","",CONCATENATE(E705," ",F705," noches"))</f>
        <v/>
      </c>
      <c r="BS705" s="28" t="str">
        <f t="shared" ca="1" si="164"/>
        <v/>
      </c>
      <c r="BT705" s="28" t="str">
        <f t="shared" ca="1" si="165"/>
        <v/>
      </c>
    </row>
    <row r="706" spans="1:72" x14ac:dyDescent="0.2">
      <c r="A706" s="18" t="str" cm="1">
        <f t="array" aca="1" ref="A706" ca="1">IF(B706="","","Grupo N˚"&amp;SUMPRODUCT(($B$4:B706&lt;&gt;"")*($B$4:B706&lt;&gt;OFFSET($B$4,-1,0,ROWS($B$4:B706),1))))</f>
        <v/>
      </c>
      <c r="B706" s="31"/>
      <c r="C706" s="31"/>
      <c r="D706" s="31"/>
      <c r="E706" s="31"/>
      <c r="F706" s="32"/>
      <c r="G706" s="33"/>
      <c r="H706" s="33"/>
      <c r="I706" s="20" t="str">
        <f t="shared" si="154"/>
        <v/>
      </c>
      <c r="J706" s="21" t="str">
        <f>IFERROR(VLOOKUP(BR706,Pricing!$D$3:$E$58,2,FALSE),"")</f>
        <v/>
      </c>
      <c r="K706" s="32"/>
      <c r="L706" s="32"/>
      <c r="M706" s="32"/>
      <c r="N706" s="36" t="str" cm="1">
        <f t="array" ref="N706">IFERROR(_xlfn.IFS((AND(K706="SI",M706="$")),J706*0.2,AND(K706="SI",M706="%"),20),"")</f>
        <v/>
      </c>
      <c r="O706" s="29" t="str">
        <f t="shared" si="155"/>
        <v/>
      </c>
      <c r="P706" s="21" t="str">
        <f t="shared" si="156"/>
        <v/>
      </c>
      <c r="Q706" s="21" t="str">
        <f t="shared" si="157"/>
        <v/>
      </c>
      <c r="R706" s="21" t="str">
        <f t="shared" si="158"/>
        <v/>
      </c>
      <c r="S706" s="39"/>
      <c r="T706" s="43" t="str">
        <f t="shared" si="166"/>
        <v/>
      </c>
      <c r="U706" s="49" t="str">
        <f t="shared" si="167"/>
        <v/>
      </c>
      <c r="V706" s="48" t="str">
        <f t="shared" si="168"/>
        <v/>
      </c>
      <c r="W706" s="48" t="str">
        <f t="shared" si="159"/>
        <v/>
      </c>
      <c r="X706" s="50" t="str">
        <f>IF(W706="","",SUMIF($B$4:$B$1002,B706,$W$4:$W$1000))</f>
        <v/>
      </c>
      <c r="Y706" s="43" t="str">
        <f t="shared" si="160"/>
        <v/>
      </c>
      <c r="Z706" s="49" t="str">
        <f t="shared" si="161"/>
        <v/>
      </c>
      <c r="AA706" s="48" t="str">
        <f t="shared" si="162"/>
        <v/>
      </c>
      <c r="AB706" s="49" t="str">
        <f t="shared" si="163"/>
        <v/>
      </c>
      <c r="AC706" s="50" t="str">
        <f>IF(AB706="","",SUMIF($B$4:$B$1002,B706,$AB$4:$AB$1000))</f>
        <v/>
      </c>
      <c r="AD706" s="69"/>
      <c r="AE706" s="56"/>
      <c r="AF706" s="52"/>
      <c r="AG706" s="51"/>
      <c r="AH706" s="70"/>
      <c r="AI706" s="58"/>
      <c r="AJ706" s="55"/>
      <c r="AK706" s="51"/>
      <c r="AL706" s="69"/>
      <c r="AM706" s="56"/>
      <c r="AN706" s="52"/>
      <c r="AO706" s="51"/>
      <c r="AP706" s="70"/>
      <c r="AQ706" s="58"/>
      <c r="AR706" s="55"/>
      <c r="AS706" s="51"/>
      <c r="AT706" s="69"/>
      <c r="AU706" s="56"/>
      <c r="AV706" s="52"/>
      <c r="AW706" s="51"/>
      <c r="BR706" s="34" t="str">
        <f>IF(E706="","",CONCATENATE(E706," ",F706," noches"))</f>
        <v/>
      </c>
      <c r="BS706" s="28" t="str">
        <f t="shared" ca="1" si="164"/>
        <v/>
      </c>
      <c r="BT706" s="28" t="str">
        <f t="shared" ca="1" si="165"/>
        <v/>
      </c>
    </row>
    <row r="707" spans="1:72" x14ac:dyDescent="0.2">
      <c r="A707" s="18" t="str" cm="1">
        <f t="array" aca="1" ref="A707" ca="1">IF(B707="","","Grupo N˚"&amp;SUMPRODUCT(($B$4:B707&lt;&gt;"")*($B$4:B707&lt;&gt;OFFSET($B$4,-1,0,ROWS($B$4:B707),1))))</f>
        <v/>
      </c>
      <c r="B707" s="31"/>
      <c r="C707" s="31"/>
      <c r="D707" s="31"/>
      <c r="E707" s="31"/>
      <c r="F707" s="32"/>
      <c r="G707" s="33"/>
      <c r="H707" s="33"/>
      <c r="I707" s="20" t="str">
        <f t="shared" si="154"/>
        <v/>
      </c>
      <c r="J707" s="21" t="str">
        <f>IFERROR(VLOOKUP(BR707,Pricing!$D$3:$E$58,2,FALSE),"")</f>
        <v/>
      </c>
      <c r="K707" s="32"/>
      <c r="L707" s="32"/>
      <c r="M707" s="32"/>
      <c r="N707" s="36" t="str" cm="1">
        <f t="array" ref="N707">IFERROR(_xlfn.IFS((AND(K707="SI",M707="$")),J707*0.2,AND(K707="SI",M707="%"),20),"")</f>
        <v/>
      </c>
      <c r="O707" s="29" t="str">
        <f t="shared" si="155"/>
        <v/>
      </c>
      <c r="P707" s="21" t="str">
        <f t="shared" si="156"/>
        <v/>
      </c>
      <c r="Q707" s="21" t="str">
        <f t="shared" si="157"/>
        <v/>
      </c>
      <c r="R707" s="21" t="str">
        <f t="shared" si="158"/>
        <v/>
      </c>
      <c r="S707" s="39"/>
      <c r="T707" s="43" t="str">
        <f t="shared" si="166"/>
        <v/>
      </c>
      <c r="U707" s="49" t="str">
        <f t="shared" si="167"/>
        <v/>
      </c>
      <c r="V707" s="48" t="str">
        <f t="shared" si="168"/>
        <v/>
      </c>
      <c r="W707" s="48" t="str">
        <f t="shared" si="159"/>
        <v/>
      </c>
      <c r="X707" s="50" t="str">
        <f>IF(W707="","",SUMIF($B$4:$B$1002,B707,$W$4:$W$1000))</f>
        <v/>
      </c>
      <c r="Y707" s="43" t="str">
        <f t="shared" si="160"/>
        <v/>
      </c>
      <c r="Z707" s="49" t="str">
        <f t="shared" si="161"/>
        <v/>
      </c>
      <c r="AA707" s="48" t="str">
        <f t="shared" si="162"/>
        <v/>
      </c>
      <c r="AB707" s="49" t="str">
        <f t="shared" si="163"/>
        <v/>
      </c>
      <c r="AC707" s="50" t="str">
        <f>IF(AB707="","",SUMIF($B$4:$B$1002,B707,$AB$4:$AB$1000))</f>
        <v/>
      </c>
      <c r="AD707" s="69"/>
      <c r="AE707" s="56"/>
      <c r="AF707" s="52"/>
      <c r="AG707" s="51"/>
      <c r="AH707" s="70"/>
      <c r="AI707" s="58"/>
      <c r="AJ707" s="55"/>
      <c r="AK707" s="51"/>
      <c r="AL707" s="69"/>
      <c r="AM707" s="56"/>
      <c r="AN707" s="52"/>
      <c r="AO707" s="51"/>
      <c r="AP707" s="70"/>
      <c r="AQ707" s="58"/>
      <c r="AR707" s="55"/>
      <c r="AS707" s="51"/>
      <c r="AT707" s="69"/>
      <c r="AU707" s="56"/>
      <c r="AV707" s="52"/>
      <c r="AW707" s="51"/>
      <c r="BR707" s="34" t="str">
        <f>IF(E707="","",CONCATENATE(E707," ",F707," noches"))</f>
        <v/>
      </c>
      <c r="BS707" s="28" t="str">
        <f t="shared" ca="1" si="164"/>
        <v/>
      </c>
      <c r="BT707" s="28" t="str">
        <f t="shared" ca="1" si="165"/>
        <v/>
      </c>
    </row>
    <row r="708" spans="1:72" x14ac:dyDescent="0.2">
      <c r="A708" s="18" t="str" cm="1">
        <f t="array" aca="1" ref="A708" ca="1">IF(B708="","","Grupo N˚"&amp;SUMPRODUCT(($B$4:B708&lt;&gt;"")*($B$4:B708&lt;&gt;OFFSET($B$4,-1,0,ROWS($B$4:B708),1))))</f>
        <v/>
      </c>
      <c r="B708" s="31"/>
      <c r="C708" s="31"/>
      <c r="D708" s="31"/>
      <c r="E708" s="31"/>
      <c r="F708" s="32"/>
      <c r="G708" s="33"/>
      <c r="H708" s="33"/>
      <c r="I708" s="20" t="str">
        <f t="shared" si="154"/>
        <v/>
      </c>
      <c r="J708" s="21" t="str">
        <f>IFERROR(VLOOKUP(BR708,Pricing!$D$3:$E$58,2,FALSE),"")</f>
        <v/>
      </c>
      <c r="K708" s="32"/>
      <c r="L708" s="32"/>
      <c r="M708" s="32"/>
      <c r="N708" s="36" t="str" cm="1">
        <f t="array" ref="N708">IFERROR(_xlfn.IFS((AND(K708="SI",M708="$")),J708*0.2,AND(K708="SI",M708="%"),20),"")</f>
        <v/>
      </c>
      <c r="O708" s="29" t="str">
        <f t="shared" si="155"/>
        <v/>
      </c>
      <c r="P708" s="21" t="str">
        <f t="shared" si="156"/>
        <v/>
      </c>
      <c r="Q708" s="21" t="str">
        <f t="shared" si="157"/>
        <v/>
      </c>
      <c r="R708" s="21" t="str">
        <f t="shared" si="158"/>
        <v/>
      </c>
      <c r="S708" s="39"/>
      <c r="T708" s="43" t="str">
        <f t="shared" si="166"/>
        <v/>
      </c>
      <c r="U708" s="49" t="str">
        <f t="shared" si="167"/>
        <v/>
      </c>
      <c r="V708" s="48" t="str">
        <f t="shared" si="168"/>
        <v/>
      </c>
      <c r="W708" s="48" t="str">
        <f t="shared" si="159"/>
        <v/>
      </c>
      <c r="X708" s="50" t="str">
        <f>IF(W708="","",SUMIF($B$4:$B$1002,B708,$W$4:$W$1000))</f>
        <v/>
      </c>
      <c r="Y708" s="43" t="str">
        <f t="shared" si="160"/>
        <v/>
      </c>
      <c r="Z708" s="49" t="str">
        <f t="shared" si="161"/>
        <v/>
      </c>
      <c r="AA708" s="48" t="str">
        <f t="shared" si="162"/>
        <v/>
      </c>
      <c r="AB708" s="49" t="str">
        <f t="shared" si="163"/>
        <v/>
      </c>
      <c r="AC708" s="50" t="str">
        <f>IF(AB708="","",SUMIF($B$4:$B$1002,B708,$AB$4:$AB$1000))</f>
        <v/>
      </c>
      <c r="AD708" s="69"/>
      <c r="AE708" s="56"/>
      <c r="AF708" s="52"/>
      <c r="AG708" s="51"/>
      <c r="AH708" s="70"/>
      <c r="AI708" s="58"/>
      <c r="AJ708" s="55"/>
      <c r="AK708" s="51"/>
      <c r="AL708" s="69"/>
      <c r="AM708" s="56"/>
      <c r="AN708" s="52"/>
      <c r="AO708" s="51"/>
      <c r="AP708" s="70"/>
      <c r="AQ708" s="58"/>
      <c r="AR708" s="55"/>
      <c r="AS708" s="51"/>
      <c r="AT708" s="69"/>
      <c r="AU708" s="56"/>
      <c r="AV708" s="52"/>
      <c r="AW708" s="51"/>
      <c r="BR708" s="34" t="str">
        <f>IF(E708="","",CONCATENATE(E708," ",F708," noches"))</f>
        <v/>
      </c>
      <c r="BS708" s="28" t="str">
        <f t="shared" ca="1" si="164"/>
        <v/>
      </c>
      <c r="BT708" s="28" t="str">
        <f t="shared" ca="1" si="165"/>
        <v/>
      </c>
    </row>
    <row r="709" spans="1:72" x14ac:dyDescent="0.2">
      <c r="A709" s="18" t="str" cm="1">
        <f t="array" aca="1" ref="A709" ca="1">IF(B709="","","Grupo N˚"&amp;SUMPRODUCT(($B$4:B709&lt;&gt;"")*($B$4:B709&lt;&gt;OFFSET($B$4,-1,0,ROWS($B$4:B709),1))))</f>
        <v/>
      </c>
      <c r="B709" s="31"/>
      <c r="C709" s="31"/>
      <c r="D709" s="31"/>
      <c r="E709" s="31"/>
      <c r="F709" s="32"/>
      <c r="G709" s="33"/>
      <c r="H709" s="33"/>
      <c r="I709" s="20" t="str">
        <f t="shared" ref="I709:I772" si="169">+IF(H709="","",G709+H709)</f>
        <v/>
      </c>
      <c r="J709" s="21" t="str">
        <f>IFERROR(VLOOKUP(BR709,Pricing!$D$3:$E$58,2,FALSE),"")</f>
        <v/>
      </c>
      <c r="K709" s="32"/>
      <c r="L709" s="32"/>
      <c r="M709" s="32"/>
      <c r="N709" s="36" t="str" cm="1">
        <f t="array" ref="N709">IFERROR(_xlfn.IFS((AND(K709="SI",M709="$")),J709*0.2,AND(K709="SI",M709="%"),20),"")</f>
        <v/>
      </c>
      <c r="O709" s="29" t="str">
        <f t="shared" ref="O709:O772" si="170">IFERROR(IF($M709="%",
             IF(N(N709)&gt;1, N(N709)/100, N(N709)),
             IF(AND($J709&gt;0,$M709="$"), N(N709)/$J709, "")
            ),"")</f>
        <v/>
      </c>
      <c r="P709" s="21" t="str">
        <f t="shared" ref="P709:P772" si="171">IFERROR(IF(M709="$", N(N709), IF(M709="%", J709*N(N709/100), "")), "")</f>
        <v/>
      </c>
      <c r="Q709" s="21" t="str">
        <f t="shared" ref="Q709:Q772" si="172">IF(J709="","",J709*(1-N(O709)))</f>
        <v/>
      </c>
      <c r="R709" s="21" t="str">
        <f t="shared" ref="R709:R772" si="173">IF(Q709="","",Q709/1.19)</f>
        <v/>
      </c>
      <c r="S709" s="39"/>
      <c r="T709" s="43" t="str">
        <f t="shared" si="166"/>
        <v/>
      </c>
      <c r="U709" s="49" t="str">
        <f t="shared" si="167"/>
        <v/>
      </c>
      <c r="V709" s="48" t="str">
        <f t="shared" si="168"/>
        <v/>
      </c>
      <c r="W709" s="48" t="str">
        <f t="shared" ref="W709:W772" si="174">IFERROR(U709-N(V709),"")</f>
        <v/>
      </c>
      <c r="X709" s="50" t="str">
        <f>IF(W709="","",SUMIF($B$4:$B$1002,B709,$W$4:$W$1000))</f>
        <v/>
      </c>
      <c r="Y709" s="43" t="str">
        <f t="shared" ref="Y709:Y772" si="175">IF(AB709="","",IFERROR(
 IF(AND(ABS(N(AB709))&lt;0.5, BT709&gt;=23), "Sin deuda",
  IF(AND(N(AB709)&gt;0, BT709&gt;=23), "Con deuda",
   IF(AND(N(AB709)&gt;0, BT709&lt;23), "Moroso", "")
  )
),""))</f>
        <v/>
      </c>
      <c r="Z709" s="49" t="str">
        <f t="shared" ref="Z709:Z772" si="176">IF(R709="","",R709/2)</f>
        <v/>
      </c>
      <c r="AA709" s="48" t="str">
        <f t="shared" ref="AA709:AA772" si="177">IF(AD709="","",SUM(
 IF(ISNUMBER(SEARCH("saldo",AD709)),AF709,0),
 IF(ISNUMBER(SEARCH("saldo",AH709)),AJ709,0),
 IF(ISNUMBER(SEARCH("saldo",AL709)),AN709,0),
 IF(ISNUMBER(SEARCH("saldo",AP709)),AR709,0),
 IF(ISNUMBER(SEARCH("saldo",AT709)),AV709,0)
))</f>
        <v/>
      </c>
      <c r="AB709" s="49" t="str">
        <f t="shared" ref="AB709:AB772" si="178">IFERROR(Z709-N(AA709),"")</f>
        <v/>
      </c>
      <c r="AC709" s="50" t="str">
        <f>IF(AB709="","",SUMIF($B$4:$B$1002,B709,$AB$4:$AB$1000))</f>
        <v/>
      </c>
      <c r="AD709" s="69"/>
      <c r="AE709" s="56"/>
      <c r="AF709" s="52"/>
      <c r="AG709" s="51"/>
      <c r="AH709" s="70"/>
      <c r="AI709" s="58"/>
      <c r="AJ709" s="55"/>
      <c r="AK709" s="51"/>
      <c r="AL709" s="69"/>
      <c r="AM709" s="56"/>
      <c r="AN709" s="52"/>
      <c r="AO709" s="51"/>
      <c r="AP709" s="70"/>
      <c r="AQ709" s="58"/>
      <c r="AR709" s="55"/>
      <c r="AS709" s="51"/>
      <c r="AT709" s="69"/>
      <c r="AU709" s="56"/>
      <c r="AV709" s="52"/>
      <c r="AW709" s="51"/>
      <c r="BR709" s="34" t="str">
        <f>IF(E709="","",CONCATENATE(E709," ",F709," noches"))</f>
        <v/>
      </c>
      <c r="BS709" s="28" t="str">
        <f t="shared" ref="BS709:BS772" ca="1" si="179">IF(G709="","",+TODAY()-G709)</f>
        <v/>
      </c>
      <c r="BT709" s="28" t="str">
        <f t="shared" ref="BT709:BT772" ca="1" si="180">IF(H709="","",H709-TODAY())</f>
        <v/>
      </c>
    </row>
    <row r="710" spans="1:72" x14ac:dyDescent="0.2">
      <c r="A710" s="18" t="str" cm="1">
        <f t="array" aca="1" ref="A710" ca="1">IF(B710="","","Grupo N˚"&amp;SUMPRODUCT(($B$4:B710&lt;&gt;"")*($B$4:B710&lt;&gt;OFFSET($B$4,-1,0,ROWS($B$4:B710),1))))</f>
        <v/>
      </c>
      <c r="B710" s="31"/>
      <c r="C710" s="31"/>
      <c r="D710" s="31"/>
      <c r="E710" s="31"/>
      <c r="F710" s="32"/>
      <c r="G710" s="33"/>
      <c r="H710" s="33"/>
      <c r="I710" s="20" t="str">
        <f t="shared" si="169"/>
        <v/>
      </c>
      <c r="J710" s="21" t="str">
        <f>IFERROR(VLOOKUP(BR710,Pricing!$D$3:$E$58,2,FALSE),"")</f>
        <v/>
      </c>
      <c r="K710" s="32"/>
      <c r="L710" s="32"/>
      <c r="M710" s="32"/>
      <c r="N710" s="36" t="str" cm="1">
        <f t="array" ref="N710">IFERROR(_xlfn.IFS((AND(K710="SI",M710="$")),J710*0.2,AND(K710="SI",M710="%"),20),"")</f>
        <v/>
      </c>
      <c r="O710" s="29" t="str">
        <f t="shared" si="170"/>
        <v/>
      </c>
      <c r="P710" s="21" t="str">
        <f t="shared" si="171"/>
        <v/>
      </c>
      <c r="Q710" s="21" t="str">
        <f t="shared" si="172"/>
        <v/>
      </c>
      <c r="R710" s="21" t="str">
        <f t="shared" si="173"/>
        <v/>
      </c>
      <c r="S710" s="39"/>
      <c r="T710" s="43" t="str">
        <f t="shared" si="166"/>
        <v/>
      </c>
      <c r="U710" s="49" t="str">
        <f t="shared" si="167"/>
        <v/>
      </c>
      <c r="V710" s="48" t="str">
        <f t="shared" si="168"/>
        <v/>
      </c>
      <c r="W710" s="48" t="str">
        <f t="shared" si="174"/>
        <v/>
      </c>
      <c r="X710" s="50" t="str">
        <f>IF(W710="","",SUMIF($B$4:$B$1002,B710,$W$4:$W$1000))</f>
        <v/>
      </c>
      <c r="Y710" s="43" t="str">
        <f t="shared" si="175"/>
        <v/>
      </c>
      <c r="Z710" s="49" t="str">
        <f t="shared" si="176"/>
        <v/>
      </c>
      <c r="AA710" s="48" t="str">
        <f t="shared" si="177"/>
        <v/>
      </c>
      <c r="AB710" s="49" t="str">
        <f t="shared" si="178"/>
        <v/>
      </c>
      <c r="AC710" s="50" t="str">
        <f>IF(AB710="","",SUMIF($B$4:$B$1002,B710,$AB$4:$AB$1000))</f>
        <v/>
      </c>
      <c r="AD710" s="69"/>
      <c r="AE710" s="56"/>
      <c r="AF710" s="52"/>
      <c r="AG710" s="51"/>
      <c r="AH710" s="70"/>
      <c r="AI710" s="58"/>
      <c r="AJ710" s="55"/>
      <c r="AK710" s="51"/>
      <c r="AL710" s="69"/>
      <c r="AM710" s="56"/>
      <c r="AN710" s="52"/>
      <c r="AO710" s="51"/>
      <c r="AP710" s="70"/>
      <c r="AQ710" s="58"/>
      <c r="AR710" s="55"/>
      <c r="AS710" s="51"/>
      <c r="AT710" s="69"/>
      <c r="AU710" s="56"/>
      <c r="AV710" s="52"/>
      <c r="AW710" s="51"/>
      <c r="BR710" s="34" t="str">
        <f>IF(E710="","",CONCATENATE(E710," ",F710," noches"))</f>
        <v/>
      </c>
      <c r="BS710" s="28" t="str">
        <f t="shared" ca="1" si="179"/>
        <v/>
      </c>
      <c r="BT710" s="28" t="str">
        <f t="shared" ca="1" si="180"/>
        <v/>
      </c>
    </row>
    <row r="711" spans="1:72" x14ac:dyDescent="0.2">
      <c r="A711" s="18" t="str" cm="1">
        <f t="array" aca="1" ref="A711" ca="1">IF(B711="","","Grupo N˚"&amp;SUMPRODUCT(($B$4:B711&lt;&gt;"")*($B$4:B711&lt;&gt;OFFSET($B$4,-1,0,ROWS($B$4:B711),1))))</f>
        <v/>
      </c>
      <c r="B711" s="31"/>
      <c r="C711" s="31"/>
      <c r="D711" s="31"/>
      <c r="E711" s="31"/>
      <c r="F711" s="32"/>
      <c r="G711" s="33"/>
      <c r="H711" s="33"/>
      <c r="I711" s="20" t="str">
        <f t="shared" si="169"/>
        <v/>
      </c>
      <c r="J711" s="21" t="str">
        <f>IFERROR(VLOOKUP(BR711,Pricing!$D$3:$E$58,2,FALSE),"")</f>
        <v/>
      </c>
      <c r="K711" s="32"/>
      <c r="L711" s="32"/>
      <c r="M711" s="32"/>
      <c r="N711" s="36" t="str" cm="1">
        <f t="array" ref="N711">IFERROR(_xlfn.IFS((AND(K711="SI",M711="$")),J711*0.2,AND(K711="SI",M711="%"),20),"")</f>
        <v/>
      </c>
      <c r="O711" s="29" t="str">
        <f t="shared" si="170"/>
        <v/>
      </c>
      <c r="P711" s="21" t="str">
        <f t="shared" si="171"/>
        <v/>
      </c>
      <c r="Q711" s="21" t="str">
        <f t="shared" si="172"/>
        <v/>
      </c>
      <c r="R711" s="21" t="str">
        <f t="shared" si="173"/>
        <v/>
      </c>
      <c r="S711" s="39"/>
      <c r="T711" s="43" t="str">
        <f t="shared" si="166"/>
        <v/>
      </c>
      <c r="U711" s="49" t="str">
        <f t="shared" si="167"/>
        <v/>
      </c>
      <c r="V711" s="48" t="str">
        <f t="shared" si="168"/>
        <v/>
      </c>
      <c r="W711" s="48" t="str">
        <f t="shared" si="174"/>
        <v/>
      </c>
      <c r="X711" s="50" t="str">
        <f>IF(W711="","",SUMIF($B$4:$B$1002,B711,$W$4:$W$1000))</f>
        <v/>
      </c>
      <c r="Y711" s="43" t="str">
        <f t="shared" si="175"/>
        <v/>
      </c>
      <c r="Z711" s="49" t="str">
        <f t="shared" si="176"/>
        <v/>
      </c>
      <c r="AA711" s="48" t="str">
        <f t="shared" si="177"/>
        <v/>
      </c>
      <c r="AB711" s="49" t="str">
        <f t="shared" si="178"/>
        <v/>
      </c>
      <c r="AC711" s="50" t="str">
        <f>IF(AB711="","",SUMIF($B$4:$B$1002,B711,$AB$4:$AB$1000))</f>
        <v/>
      </c>
      <c r="AD711" s="69"/>
      <c r="AE711" s="56"/>
      <c r="AF711" s="52"/>
      <c r="AG711" s="51"/>
      <c r="AH711" s="70"/>
      <c r="AI711" s="58"/>
      <c r="AJ711" s="55"/>
      <c r="AK711" s="51"/>
      <c r="AL711" s="69"/>
      <c r="AM711" s="56"/>
      <c r="AN711" s="52"/>
      <c r="AO711" s="51"/>
      <c r="AP711" s="70"/>
      <c r="AQ711" s="58"/>
      <c r="AR711" s="55"/>
      <c r="AS711" s="51"/>
      <c r="AT711" s="69"/>
      <c r="AU711" s="56"/>
      <c r="AV711" s="52"/>
      <c r="AW711" s="51"/>
      <c r="BR711" s="34" t="str">
        <f>IF(E711="","",CONCATENATE(E711," ",F711," noches"))</f>
        <v/>
      </c>
      <c r="BS711" s="28" t="str">
        <f t="shared" ca="1" si="179"/>
        <v/>
      </c>
      <c r="BT711" s="28" t="str">
        <f t="shared" ca="1" si="180"/>
        <v/>
      </c>
    </row>
    <row r="712" spans="1:72" x14ac:dyDescent="0.2">
      <c r="A712" s="18" t="str" cm="1">
        <f t="array" aca="1" ref="A712" ca="1">IF(B712="","","Grupo N˚"&amp;SUMPRODUCT(($B$4:B712&lt;&gt;"")*($B$4:B712&lt;&gt;OFFSET($B$4,-1,0,ROWS($B$4:B712),1))))</f>
        <v/>
      </c>
      <c r="B712" s="31"/>
      <c r="C712" s="31"/>
      <c r="D712" s="31"/>
      <c r="E712" s="31"/>
      <c r="F712" s="32"/>
      <c r="G712" s="33"/>
      <c r="H712" s="33"/>
      <c r="I712" s="20" t="str">
        <f t="shared" si="169"/>
        <v/>
      </c>
      <c r="J712" s="21" t="str">
        <f>IFERROR(VLOOKUP(BR712,Pricing!$D$3:$E$58,2,FALSE),"")</f>
        <v/>
      </c>
      <c r="K712" s="32"/>
      <c r="L712" s="32"/>
      <c r="M712" s="32"/>
      <c r="N712" s="36" t="str" cm="1">
        <f t="array" ref="N712">IFERROR(_xlfn.IFS((AND(K712="SI",M712="$")),J712*0.2,AND(K712="SI",M712="%"),20),"")</f>
        <v/>
      </c>
      <c r="O712" s="29" t="str">
        <f t="shared" si="170"/>
        <v/>
      </c>
      <c r="P712" s="21" t="str">
        <f t="shared" si="171"/>
        <v/>
      </c>
      <c r="Q712" s="21" t="str">
        <f t="shared" si="172"/>
        <v/>
      </c>
      <c r="R712" s="21" t="str">
        <f t="shared" si="173"/>
        <v/>
      </c>
      <c r="S712" s="39"/>
      <c r="T712" s="43" t="str">
        <f t="shared" si="166"/>
        <v/>
      </c>
      <c r="U712" s="49" t="str">
        <f t="shared" si="167"/>
        <v/>
      </c>
      <c r="V712" s="48" t="str">
        <f t="shared" si="168"/>
        <v/>
      </c>
      <c r="W712" s="48" t="str">
        <f t="shared" si="174"/>
        <v/>
      </c>
      <c r="X712" s="50" t="str">
        <f>IF(W712="","",SUMIF($B$4:$B$1002,B712,$W$4:$W$1000))</f>
        <v/>
      </c>
      <c r="Y712" s="43" t="str">
        <f t="shared" si="175"/>
        <v/>
      </c>
      <c r="Z712" s="49" t="str">
        <f t="shared" si="176"/>
        <v/>
      </c>
      <c r="AA712" s="48" t="str">
        <f t="shared" si="177"/>
        <v/>
      </c>
      <c r="AB712" s="49" t="str">
        <f t="shared" si="178"/>
        <v/>
      </c>
      <c r="AC712" s="50" t="str">
        <f>IF(AB712="","",SUMIF($B$4:$B$1002,B712,$AB$4:$AB$1000))</f>
        <v/>
      </c>
      <c r="AD712" s="69"/>
      <c r="AE712" s="56"/>
      <c r="AF712" s="52"/>
      <c r="AG712" s="51"/>
      <c r="AH712" s="70"/>
      <c r="AI712" s="58"/>
      <c r="AJ712" s="55"/>
      <c r="AK712" s="51"/>
      <c r="AL712" s="69"/>
      <c r="AM712" s="56"/>
      <c r="AN712" s="52"/>
      <c r="AO712" s="51"/>
      <c r="AP712" s="70"/>
      <c r="AQ712" s="58"/>
      <c r="AR712" s="55"/>
      <c r="AS712" s="51"/>
      <c r="AT712" s="69"/>
      <c r="AU712" s="56"/>
      <c r="AV712" s="52"/>
      <c r="AW712" s="51"/>
      <c r="BR712" s="34" t="str">
        <f>IF(E712="","",CONCATENATE(E712," ",F712," noches"))</f>
        <v/>
      </c>
      <c r="BS712" s="28" t="str">
        <f t="shared" ca="1" si="179"/>
        <v/>
      </c>
      <c r="BT712" s="28" t="str">
        <f t="shared" ca="1" si="180"/>
        <v/>
      </c>
    </row>
    <row r="713" spans="1:72" x14ac:dyDescent="0.2">
      <c r="A713" s="18" t="str" cm="1">
        <f t="array" aca="1" ref="A713" ca="1">IF(B713="","","Grupo N˚"&amp;SUMPRODUCT(($B$4:B713&lt;&gt;"")*($B$4:B713&lt;&gt;OFFSET($B$4,-1,0,ROWS($B$4:B713),1))))</f>
        <v/>
      </c>
      <c r="B713" s="31"/>
      <c r="C713" s="31"/>
      <c r="D713" s="31"/>
      <c r="E713" s="31"/>
      <c r="F713" s="32"/>
      <c r="G713" s="33"/>
      <c r="H713" s="33"/>
      <c r="I713" s="20" t="str">
        <f t="shared" si="169"/>
        <v/>
      </c>
      <c r="J713" s="21" t="str">
        <f>IFERROR(VLOOKUP(BR713,Pricing!$D$3:$E$58,2,FALSE),"")</f>
        <v/>
      </c>
      <c r="K713" s="32"/>
      <c r="L713" s="32"/>
      <c r="M713" s="32"/>
      <c r="N713" s="36" t="str" cm="1">
        <f t="array" ref="N713">IFERROR(_xlfn.IFS((AND(K713="SI",M713="$")),J713*0.2,AND(K713="SI",M713="%"),20),"")</f>
        <v/>
      </c>
      <c r="O713" s="29" t="str">
        <f t="shared" si="170"/>
        <v/>
      </c>
      <c r="P713" s="21" t="str">
        <f t="shared" si="171"/>
        <v/>
      </c>
      <c r="Q713" s="21" t="str">
        <f t="shared" si="172"/>
        <v/>
      </c>
      <c r="R713" s="21" t="str">
        <f t="shared" si="173"/>
        <v/>
      </c>
      <c r="S713" s="39"/>
      <c r="T713" s="43" t="str">
        <f t="shared" ref="T713:T776" si="181">IF(W713="","",IFERROR(
 IF(AND(ABS(N(W713))&lt;0.5, BS713&lt;=7), "Sin deuda",
  IF(AND(N(W713)&gt;0, BS713&lt;=7), "Con deuda",
   IF(AND(N(W713)&gt;0, BS713&gt;7), "Moroso", "")
  )
)," "))</f>
        <v/>
      </c>
      <c r="U713" s="49" t="str">
        <f t="shared" si="167"/>
        <v/>
      </c>
      <c r="V713" s="48" t="str">
        <f t="shared" si="168"/>
        <v/>
      </c>
      <c r="W713" s="48" t="str">
        <f t="shared" si="174"/>
        <v/>
      </c>
      <c r="X713" s="50" t="str">
        <f>IF(W713="","",SUMIF($B$4:$B$1002,B713,$W$4:$W$1000))</f>
        <v/>
      </c>
      <c r="Y713" s="43" t="str">
        <f t="shared" si="175"/>
        <v/>
      </c>
      <c r="Z713" s="49" t="str">
        <f t="shared" si="176"/>
        <v/>
      </c>
      <c r="AA713" s="48" t="str">
        <f t="shared" si="177"/>
        <v/>
      </c>
      <c r="AB713" s="49" t="str">
        <f t="shared" si="178"/>
        <v/>
      </c>
      <c r="AC713" s="50" t="str">
        <f>IF(AB713="","",SUMIF($B$4:$B$1002,B713,$AB$4:$AB$1000))</f>
        <v/>
      </c>
      <c r="AD713" s="69"/>
      <c r="AE713" s="56"/>
      <c r="AF713" s="52"/>
      <c r="AG713" s="51"/>
      <c r="AH713" s="70"/>
      <c r="AI713" s="58"/>
      <c r="AJ713" s="55"/>
      <c r="AK713" s="51"/>
      <c r="AL713" s="69"/>
      <c r="AM713" s="56"/>
      <c r="AN713" s="52"/>
      <c r="AO713" s="51"/>
      <c r="AP713" s="70"/>
      <c r="AQ713" s="58"/>
      <c r="AR713" s="55"/>
      <c r="AS713" s="51"/>
      <c r="AT713" s="69"/>
      <c r="AU713" s="56"/>
      <c r="AV713" s="52"/>
      <c r="AW713" s="51"/>
      <c r="BR713" s="34" t="str">
        <f>IF(E713="","",CONCATENATE(E713," ",F713," noches"))</f>
        <v/>
      </c>
      <c r="BS713" s="28" t="str">
        <f t="shared" ca="1" si="179"/>
        <v/>
      </c>
      <c r="BT713" s="28" t="str">
        <f t="shared" ca="1" si="180"/>
        <v/>
      </c>
    </row>
    <row r="714" spans="1:72" x14ac:dyDescent="0.2">
      <c r="A714" s="18" t="str" cm="1">
        <f t="array" aca="1" ref="A714" ca="1">IF(B714="","","Grupo N˚"&amp;SUMPRODUCT(($B$4:B714&lt;&gt;"")*($B$4:B714&lt;&gt;OFFSET($B$4,-1,0,ROWS($B$4:B714),1))))</f>
        <v/>
      </c>
      <c r="B714" s="31"/>
      <c r="C714" s="31"/>
      <c r="D714" s="31"/>
      <c r="E714" s="31"/>
      <c r="F714" s="32"/>
      <c r="G714" s="33"/>
      <c r="H714" s="33"/>
      <c r="I714" s="20" t="str">
        <f t="shared" si="169"/>
        <v/>
      </c>
      <c r="J714" s="21" t="str">
        <f>IFERROR(VLOOKUP(BR714,Pricing!$D$3:$E$58,2,FALSE),"")</f>
        <v/>
      </c>
      <c r="K714" s="32"/>
      <c r="L714" s="32"/>
      <c r="M714" s="32"/>
      <c r="N714" s="36" t="str" cm="1">
        <f t="array" ref="N714">IFERROR(_xlfn.IFS((AND(K714="SI",M714="$")),J714*0.2,AND(K714="SI",M714="%"),20),"")</f>
        <v/>
      </c>
      <c r="O714" s="29" t="str">
        <f t="shared" si="170"/>
        <v/>
      </c>
      <c r="P714" s="21" t="str">
        <f t="shared" si="171"/>
        <v/>
      </c>
      <c r="Q714" s="21" t="str">
        <f t="shared" si="172"/>
        <v/>
      </c>
      <c r="R714" s="21" t="str">
        <f t="shared" si="173"/>
        <v/>
      </c>
      <c r="S714" s="39"/>
      <c r="T714" s="43" t="str">
        <f t="shared" si="181"/>
        <v/>
      </c>
      <c r="U714" s="49" t="str">
        <f t="shared" si="167"/>
        <v/>
      </c>
      <c r="V714" s="48" t="str">
        <f t="shared" si="168"/>
        <v/>
      </c>
      <c r="W714" s="48" t="str">
        <f t="shared" si="174"/>
        <v/>
      </c>
      <c r="X714" s="50" t="str">
        <f>IF(W714="","",SUMIF($B$4:$B$1002,B714,$W$4:$W$1000))</f>
        <v/>
      </c>
      <c r="Y714" s="43" t="str">
        <f t="shared" si="175"/>
        <v/>
      </c>
      <c r="Z714" s="49" t="str">
        <f t="shared" si="176"/>
        <v/>
      </c>
      <c r="AA714" s="48" t="str">
        <f t="shared" si="177"/>
        <v/>
      </c>
      <c r="AB714" s="49" t="str">
        <f t="shared" si="178"/>
        <v/>
      </c>
      <c r="AC714" s="50" t="str">
        <f>IF(AB714="","",SUMIF($B$4:$B$1002,B714,$AB$4:$AB$1000))</f>
        <v/>
      </c>
      <c r="AD714" s="69"/>
      <c r="AE714" s="56"/>
      <c r="AF714" s="52"/>
      <c r="AG714" s="51"/>
      <c r="AH714" s="70"/>
      <c r="AI714" s="58"/>
      <c r="AJ714" s="55"/>
      <c r="AK714" s="51"/>
      <c r="AL714" s="69"/>
      <c r="AM714" s="56"/>
      <c r="AN714" s="52"/>
      <c r="AO714" s="51"/>
      <c r="AP714" s="70"/>
      <c r="AQ714" s="58"/>
      <c r="AR714" s="55"/>
      <c r="AS714" s="51"/>
      <c r="AT714" s="69"/>
      <c r="AU714" s="56"/>
      <c r="AV714" s="52"/>
      <c r="AW714" s="51"/>
      <c r="BR714" s="34" t="str">
        <f>IF(E714="","",CONCATENATE(E714," ",F714," noches"))</f>
        <v/>
      </c>
      <c r="BS714" s="28" t="str">
        <f t="shared" ca="1" si="179"/>
        <v/>
      </c>
      <c r="BT714" s="28" t="str">
        <f t="shared" ca="1" si="180"/>
        <v/>
      </c>
    </row>
    <row r="715" spans="1:72" x14ac:dyDescent="0.2">
      <c r="A715" s="18" t="str" cm="1">
        <f t="array" aca="1" ref="A715" ca="1">IF(B715="","","Grupo N˚"&amp;SUMPRODUCT(($B$4:B715&lt;&gt;"")*($B$4:B715&lt;&gt;OFFSET($B$4,-1,0,ROWS($B$4:B715),1))))</f>
        <v/>
      </c>
      <c r="B715" s="31"/>
      <c r="C715" s="31"/>
      <c r="D715" s="31"/>
      <c r="E715" s="31"/>
      <c r="F715" s="32"/>
      <c r="G715" s="33"/>
      <c r="H715" s="33"/>
      <c r="I715" s="20" t="str">
        <f t="shared" si="169"/>
        <v/>
      </c>
      <c r="J715" s="21" t="str">
        <f>IFERROR(VLOOKUP(BR715,Pricing!$D$3:$E$58,2,FALSE),"")</f>
        <v/>
      </c>
      <c r="K715" s="32"/>
      <c r="L715" s="32"/>
      <c r="M715" s="32"/>
      <c r="N715" s="36" t="str" cm="1">
        <f t="array" ref="N715">IFERROR(_xlfn.IFS((AND(K715="SI",M715="$")),J715*0.2,AND(K715="SI",M715="%"),20),"")</f>
        <v/>
      </c>
      <c r="O715" s="29" t="str">
        <f t="shared" si="170"/>
        <v/>
      </c>
      <c r="P715" s="21" t="str">
        <f t="shared" si="171"/>
        <v/>
      </c>
      <c r="Q715" s="21" t="str">
        <f t="shared" si="172"/>
        <v/>
      </c>
      <c r="R715" s="21" t="str">
        <f t="shared" si="173"/>
        <v/>
      </c>
      <c r="S715" s="39"/>
      <c r="T715" s="43" t="str">
        <f t="shared" si="181"/>
        <v/>
      </c>
      <c r="U715" s="49" t="str">
        <f t="shared" si="167"/>
        <v/>
      </c>
      <c r="V715" s="48" t="str">
        <f t="shared" si="168"/>
        <v/>
      </c>
      <c r="W715" s="48" t="str">
        <f t="shared" si="174"/>
        <v/>
      </c>
      <c r="X715" s="50" t="str">
        <f>IF(W715="","",SUMIF($B$4:$B$1002,B715,$W$4:$W$1000))</f>
        <v/>
      </c>
      <c r="Y715" s="43" t="str">
        <f t="shared" si="175"/>
        <v/>
      </c>
      <c r="Z715" s="49" t="str">
        <f t="shared" si="176"/>
        <v/>
      </c>
      <c r="AA715" s="48" t="str">
        <f t="shared" si="177"/>
        <v/>
      </c>
      <c r="AB715" s="49" t="str">
        <f t="shared" si="178"/>
        <v/>
      </c>
      <c r="AC715" s="50" t="str">
        <f>IF(AB715="","",SUMIF($B$4:$B$1002,B715,$AB$4:$AB$1000))</f>
        <v/>
      </c>
      <c r="AD715" s="69"/>
      <c r="AE715" s="56"/>
      <c r="AF715" s="52"/>
      <c r="AG715" s="51"/>
      <c r="AH715" s="70"/>
      <c r="AI715" s="58"/>
      <c r="AJ715" s="55"/>
      <c r="AK715" s="51"/>
      <c r="AL715" s="69"/>
      <c r="AM715" s="56"/>
      <c r="AN715" s="52"/>
      <c r="AO715" s="51"/>
      <c r="AP715" s="70"/>
      <c r="AQ715" s="58"/>
      <c r="AR715" s="55"/>
      <c r="AS715" s="51"/>
      <c r="AT715" s="69"/>
      <c r="AU715" s="56"/>
      <c r="AV715" s="52"/>
      <c r="AW715" s="51"/>
      <c r="BR715" s="34" t="str">
        <f>IF(E715="","",CONCATENATE(E715," ",F715," noches"))</f>
        <v/>
      </c>
      <c r="BS715" s="28" t="str">
        <f t="shared" ca="1" si="179"/>
        <v/>
      </c>
      <c r="BT715" s="28" t="str">
        <f t="shared" ca="1" si="180"/>
        <v/>
      </c>
    </row>
    <row r="716" spans="1:72" x14ac:dyDescent="0.2">
      <c r="A716" s="18" t="str" cm="1">
        <f t="array" aca="1" ref="A716" ca="1">IF(B716="","","Grupo N˚"&amp;SUMPRODUCT(($B$4:B716&lt;&gt;"")*($B$4:B716&lt;&gt;OFFSET($B$4,-1,0,ROWS($B$4:B716),1))))</f>
        <v/>
      </c>
      <c r="B716" s="31"/>
      <c r="C716" s="31"/>
      <c r="D716" s="31"/>
      <c r="E716" s="31"/>
      <c r="F716" s="32"/>
      <c r="G716" s="33"/>
      <c r="H716" s="33"/>
      <c r="I716" s="20" t="str">
        <f t="shared" si="169"/>
        <v/>
      </c>
      <c r="J716" s="21" t="str">
        <f>IFERROR(VLOOKUP(BR716,Pricing!$D$3:$E$58,2,FALSE),"")</f>
        <v/>
      </c>
      <c r="K716" s="32"/>
      <c r="L716" s="32"/>
      <c r="M716" s="32"/>
      <c r="N716" s="36" t="str" cm="1">
        <f t="array" ref="N716">IFERROR(_xlfn.IFS((AND(K716="SI",M716="$")),J716*0.2,AND(K716="SI",M716="%"),20),"")</f>
        <v/>
      </c>
      <c r="O716" s="29" t="str">
        <f t="shared" si="170"/>
        <v/>
      </c>
      <c r="P716" s="21" t="str">
        <f t="shared" si="171"/>
        <v/>
      </c>
      <c r="Q716" s="21" t="str">
        <f t="shared" si="172"/>
        <v/>
      </c>
      <c r="R716" s="21" t="str">
        <f t="shared" si="173"/>
        <v/>
      </c>
      <c r="S716" s="39"/>
      <c r="T716" s="43" t="str">
        <f t="shared" si="181"/>
        <v/>
      </c>
      <c r="U716" s="49" t="str">
        <f t="shared" si="167"/>
        <v/>
      </c>
      <c r="V716" s="48" t="str">
        <f t="shared" si="168"/>
        <v/>
      </c>
      <c r="W716" s="48" t="str">
        <f t="shared" si="174"/>
        <v/>
      </c>
      <c r="X716" s="50" t="str">
        <f>IF(W716="","",SUMIF($B$4:$B$1002,B716,$W$4:$W$1000))</f>
        <v/>
      </c>
      <c r="Y716" s="43" t="str">
        <f t="shared" si="175"/>
        <v/>
      </c>
      <c r="Z716" s="49" t="str">
        <f t="shared" si="176"/>
        <v/>
      </c>
      <c r="AA716" s="48" t="str">
        <f t="shared" si="177"/>
        <v/>
      </c>
      <c r="AB716" s="49" t="str">
        <f t="shared" si="178"/>
        <v/>
      </c>
      <c r="AC716" s="50" t="str">
        <f>IF(AB716="","",SUMIF($B$4:$B$1002,B716,$AB$4:$AB$1000))</f>
        <v/>
      </c>
      <c r="AD716" s="69"/>
      <c r="AE716" s="56"/>
      <c r="AF716" s="52"/>
      <c r="AG716" s="51"/>
      <c r="AH716" s="70"/>
      <c r="AI716" s="58"/>
      <c r="AJ716" s="55"/>
      <c r="AK716" s="51"/>
      <c r="AL716" s="69"/>
      <c r="AM716" s="56"/>
      <c r="AN716" s="52"/>
      <c r="AO716" s="51"/>
      <c r="AP716" s="70"/>
      <c r="AQ716" s="58"/>
      <c r="AR716" s="55"/>
      <c r="AS716" s="51"/>
      <c r="AT716" s="69"/>
      <c r="AU716" s="56"/>
      <c r="AV716" s="52"/>
      <c r="AW716" s="51"/>
      <c r="BR716" s="34" t="str">
        <f>IF(E716="","",CONCATENATE(E716," ",F716," noches"))</f>
        <v/>
      </c>
      <c r="BS716" s="28" t="str">
        <f t="shared" ca="1" si="179"/>
        <v/>
      </c>
      <c r="BT716" s="28" t="str">
        <f t="shared" ca="1" si="180"/>
        <v/>
      </c>
    </row>
    <row r="717" spans="1:72" x14ac:dyDescent="0.2">
      <c r="A717" s="18" t="str" cm="1">
        <f t="array" aca="1" ref="A717" ca="1">IF(B717="","","Grupo N˚"&amp;SUMPRODUCT(($B$4:B717&lt;&gt;"")*($B$4:B717&lt;&gt;OFFSET($B$4,-1,0,ROWS($B$4:B717),1))))</f>
        <v/>
      </c>
      <c r="B717" s="31"/>
      <c r="C717" s="31"/>
      <c r="D717" s="31"/>
      <c r="E717" s="31"/>
      <c r="F717" s="32"/>
      <c r="G717" s="33"/>
      <c r="H717" s="33"/>
      <c r="I717" s="20" t="str">
        <f t="shared" si="169"/>
        <v/>
      </c>
      <c r="J717" s="21" t="str">
        <f>IFERROR(VLOOKUP(BR717,Pricing!$D$3:$E$58,2,FALSE),"")</f>
        <v/>
      </c>
      <c r="K717" s="32"/>
      <c r="L717" s="32"/>
      <c r="M717" s="32"/>
      <c r="N717" s="36" t="str" cm="1">
        <f t="array" ref="N717">IFERROR(_xlfn.IFS((AND(K717="SI",M717="$")),J717*0.2,AND(K717="SI",M717="%"),20),"")</f>
        <v/>
      </c>
      <c r="O717" s="29" t="str">
        <f t="shared" si="170"/>
        <v/>
      </c>
      <c r="P717" s="21" t="str">
        <f t="shared" si="171"/>
        <v/>
      </c>
      <c r="Q717" s="21" t="str">
        <f t="shared" si="172"/>
        <v/>
      </c>
      <c r="R717" s="21" t="str">
        <f t="shared" si="173"/>
        <v/>
      </c>
      <c r="S717" s="39"/>
      <c r="T717" s="43" t="str">
        <f t="shared" si="181"/>
        <v/>
      </c>
      <c r="U717" s="49" t="str">
        <f t="shared" ref="U717:U780" si="182">IF(R717="","",R717/2)</f>
        <v/>
      </c>
      <c r="V717" s="48" t="str">
        <f t="shared" ref="V717:V780" si="183">IF(AD717="","",SUM(
 IF(ISNUMBER(SEARCH("reserva",AD717)),AF717,0),
 IF(ISNUMBER(SEARCH("reserva",AH717)),AJ717,0),
 IF(ISNUMBER(SEARCH("reserva",AL717)),AN717,0),
 IF(ISNUMBER(SEARCH("reserva",AP717)),AR717,0),
 IF(ISNUMBER(SEARCH("reserva",AT717)),AV717,0)
))</f>
        <v/>
      </c>
      <c r="W717" s="48" t="str">
        <f t="shared" si="174"/>
        <v/>
      </c>
      <c r="X717" s="50" t="str">
        <f>IF(W717="","",SUMIF($B$4:$B$1002,B717,$W$4:$W$1000))</f>
        <v/>
      </c>
      <c r="Y717" s="43" t="str">
        <f t="shared" si="175"/>
        <v/>
      </c>
      <c r="Z717" s="49" t="str">
        <f t="shared" si="176"/>
        <v/>
      </c>
      <c r="AA717" s="48" t="str">
        <f t="shared" si="177"/>
        <v/>
      </c>
      <c r="AB717" s="49" t="str">
        <f t="shared" si="178"/>
        <v/>
      </c>
      <c r="AC717" s="50" t="str">
        <f>IF(AB717="","",SUMIF($B$4:$B$1002,B717,$AB$4:$AB$1000))</f>
        <v/>
      </c>
      <c r="AD717" s="69"/>
      <c r="AE717" s="56"/>
      <c r="AF717" s="52"/>
      <c r="AG717" s="51"/>
      <c r="AH717" s="70"/>
      <c r="AI717" s="58"/>
      <c r="AJ717" s="55"/>
      <c r="AK717" s="51"/>
      <c r="AL717" s="69"/>
      <c r="AM717" s="56"/>
      <c r="AN717" s="52"/>
      <c r="AO717" s="51"/>
      <c r="AP717" s="70"/>
      <c r="AQ717" s="58"/>
      <c r="AR717" s="55"/>
      <c r="AS717" s="51"/>
      <c r="AT717" s="69"/>
      <c r="AU717" s="56"/>
      <c r="AV717" s="52"/>
      <c r="AW717" s="51"/>
      <c r="BR717" s="34" t="str">
        <f>IF(E717="","",CONCATENATE(E717," ",F717," noches"))</f>
        <v/>
      </c>
      <c r="BS717" s="28" t="str">
        <f t="shared" ca="1" si="179"/>
        <v/>
      </c>
      <c r="BT717" s="28" t="str">
        <f t="shared" ca="1" si="180"/>
        <v/>
      </c>
    </row>
    <row r="718" spans="1:72" x14ac:dyDescent="0.2">
      <c r="A718" s="18" t="str" cm="1">
        <f t="array" aca="1" ref="A718" ca="1">IF(B718="","","Grupo N˚"&amp;SUMPRODUCT(($B$4:B718&lt;&gt;"")*($B$4:B718&lt;&gt;OFFSET($B$4,-1,0,ROWS($B$4:B718),1))))</f>
        <v/>
      </c>
      <c r="B718" s="31"/>
      <c r="C718" s="31"/>
      <c r="D718" s="31"/>
      <c r="E718" s="31"/>
      <c r="F718" s="32"/>
      <c r="G718" s="33"/>
      <c r="H718" s="33"/>
      <c r="I718" s="20" t="str">
        <f t="shared" si="169"/>
        <v/>
      </c>
      <c r="J718" s="21" t="str">
        <f>IFERROR(VLOOKUP(BR718,Pricing!$D$3:$E$58,2,FALSE),"")</f>
        <v/>
      </c>
      <c r="K718" s="32"/>
      <c r="L718" s="32"/>
      <c r="M718" s="32"/>
      <c r="N718" s="36" t="str" cm="1">
        <f t="array" ref="N718">IFERROR(_xlfn.IFS((AND(K718="SI",M718="$")),J718*0.2,AND(K718="SI",M718="%"),20),"")</f>
        <v/>
      </c>
      <c r="O718" s="29" t="str">
        <f t="shared" si="170"/>
        <v/>
      </c>
      <c r="P718" s="21" t="str">
        <f t="shared" si="171"/>
        <v/>
      </c>
      <c r="Q718" s="21" t="str">
        <f t="shared" si="172"/>
        <v/>
      </c>
      <c r="R718" s="21" t="str">
        <f t="shared" si="173"/>
        <v/>
      </c>
      <c r="S718" s="39"/>
      <c r="T718" s="43" t="str">
        <f t="shared" si="181"/>
        <v/>
      </c>
      <c r="U718" s="49" t="str">
        <f t="shared" si="182"/>
        <v/>
      </c>
      <c r="V718" s="48" t="str">
        <f t="shared" si="183"/>
        <v/>
      </c>
      <c r="W718" s="48" t="str">
        <f t="shared" si="174"/>
        <v/>
      </c>
      <c r="X718" s="50" t="str">
        <f>IF(W718="","",SUMIF($B$4:$B$1002,B718,$W$4:$W$1000))</f>
        <v/>
      </c>
      <c r="Y718" s="43" t="str">
        <f t="shared" si="175"/>
        <v/>
      </c>
      <c r="Z718" s="49" t="str">
        <f t="shared" si="176"/>
        <v/>
      </c>
      <c r="AA718" s="48" t="str">
        <f t="shared" si="177"/>
        <v/>
      </c>
      <c r="AB718" s="49" t="str">
        <f t="shared" si="178"/>
        <v/>
      </c>
      <c r="AC718" s="50" t="str">
        <f>IF(AB718="","",SUMIF($B$4:$B$1002,B718,$AB$4:$AB$1000))</f>
        <v/>
      </c>
      <c r="AD718" s="69"/>
      <c r="AE718" s="56"/>
      <c r="AF718" s="52"/>
      <c r="AG718" s="51"/>
      <c r="AH718" s="70"/>
      <c r="AI718" s="58"/>
      <c r="AJ718" s="55"/>
      <c r="AK718" s="51"/>
      <c r="AL718" s="69"/>
      <c r="AM718" s="56"/>
      <c r="AN718" s="52"/>
      <c r="AO718" s="51"/>
      <c r="AP718" s="70"/>
      <c r="AQ718" s="58"/>
      <c r="AR718" s="55"/>
      <c r="AS718" s="51"/>
      <c r="AT718" s="69"/>
      <c r="AU718" s="56"/>
      <c r="AV718" s="52"/>
      <c r="AW718" s="51"/>
      <c r="BR718" s="34" t="str">
        <f>IF(E718="","",CONCATENATE(E718," ",F718," noches"))</f>
        <v/>
      </c>
      <c r="BS718" s="28" t="str">
        <f t="shared" ca="1" si="179"/>
        <v/>
      </c>
      <c r="BT718" s="28" t="str">
        <f t="shared" ca="1" si="180"/>
        <v/>
      </c>
    </row>
    <row r="719" spans="1:72" x14ac:dyDescent="0.2">
      <c r="A719" s="18" t="str" cm="1">
        <f t="array" aca="1" ref="A719" ca="1">IF(B719="","","Grupo N˚"&amp;SUMPRODUCT(($B$4:B719&lt;&gt;"")*($B$4:B719&lt;&gt;OFFSET($B$4,-1,0,ROWS($B$4:B719),1))))</f>
        <v/>
      </c>
      <c r="B719" s="31"/>
      <c r="C719" s="31"/>
      <c r="D719" s="31"/>
      <c r="E719" s="31"/>
      <c r="F719" s="32"/>
      <c r="G719" s="33"/>
      <c r="H719" s="33"/>
      <c r="I719" s="20" t="str">
        <f t="shared" si="169"/>
        <v/>
      </c>
      <c r="J719" s="21" t="str">
        <f>IFERROR(VLOOKUP(BR719,Pricing!$D$3:$E$58,2,FALSE),"")</f>
        <v/>
      </c>
      <c r="K719" s="32"/>
      <c r="L719" s="32"/>
      <c r="M719" s="32"/>
      <c r="N719" s="36" t="str" cm="1">
        <f t="array" ref="N719">IFERROR(_xlfn.IFS((AND(K719="SI",M719="$")),J719*0.2,AND(K719="SI",M719="%"),20),"")</f>
        <v/>
      </c>
      <c r="O719" s="29" t="str">
        <f t="shared" si="170"/>
        <v/>
      </c>
      <c r="P719" s="21" t="str">
        <f t="shared" si="171"/>
        <v/>
      </c>
      <c r="Q719" s="21" t="str">
        <f t="shared" si="172"/>
        <v/>
      </c>
      <c r="R719" s="21" t="str">
        <f t="shared" si="173"/>
        <v/>
      </c>
      <c r="S719" s="39"/>
      <c r="T719" s="43" t="str">
        <f t="shared" si="181"/>
        <v/>
      </c>
      <c r="U719" s="49" t="str">
        <f t="shared" si="182"/>
        <v/>
      </c>
      <c r="V719" s="48" t="str">
        <f t="shared" si="183"/>
        <v/>
      </c>
      <c r="W719" s="48" t="str">
        <f t="shared" si="174"/>
        <v/>
      </c>
      <c r="X719" s="50" t="str">
        <f>IF(W719="","",SUMIF($B$4:$B$1002,B719,$W$4:$W$1000))</f>
        <v/>
      </c>
      <c r="Y719" s="43" t="str">
        <f t="shared" si="175"/>
        <v/>
      </c>
      <c r="Z719" s="49" t="str">
        <f t="shared" si="176"/>
        <v/>
      </c>
      <c r="AA719" s="48" t="str">
        <f t="shared" si="177"/>
        <v/>
      </c>
      <c r="AB719" s="49" t="str">
        <f t="shared" si="178"/>
        <v/>
      </c>
      <c r="AC719" s="50" t="str">
        <f>IF(AB719="","",SUMIF($B$4:$B$1002,B719,$AB$4:$AB$1000))</f>
        <v/>
      </c>
      <c r="AD719" s="69"/>
      <c r="AE719" s="56"/>
      <c r="AF719" s="52"/>
      <c r="AG719" s="51"/>
      <c r="AH719" s="70"/>
      <c r="AI719" s="58"/>
      <c r="AJ719" s="55"/>
      <c r="AK719" s="51"/>
      <c r="AL719" s="69"/>
      <c r="AM719" s="56"/>
      <c r="AN719" s="52"/>
      <c r="AO719" s="51"/>
      <c r="AP719" s="70"/>
      <c r="AQ719" s="58"/>
      <c r="AR719" s="55"/>
      <c r="AS719" s="51"/>
      <c r="AT719" s="69"/>
      <c r="AU719" s="56"/>
      <c r="AV719" s="52"/>
      <c r="AW719" s="51"/>
      <c r="BR719" s="34" t="str">
        <f>IF(E719="","",CONCATENATE(E719," ",F719," noches"))</f>
        <v/>
      </c>
      <c r="BS719" s="28" t="str">
        <f t="shared" ca="1" si="179"/>
        <v/>
      </c>
      <c r="BT719" s="28" t="str">
        <f t="shared" ca="1" si="180"/>
        <v/>
      </c>
    </row>
    <row r="720" spans="1:72" x14ac:dyDescent="0.2">
      <c r="A720" s="18" t="str" cm="1">
        <f t="array" aca="1" ref="A720" ca="1">IF(B720="","","Grupo N˚"&amp;SUMPRODUCT(($B$4:B720&lt;&gt;"")*($B$4:B720&lt;&gt;OFFSET($B$4,-1,0,ROWS($B$4:B720),1))))</f>
        <v/>
      </c>
      <c r="B720" s="31"/>
      <c r="C720" s="31"/>
      <c r="D720" s="31"/>
      <c r="E720" s="31"/>
      <c r="F720" s="32"/>
      <c r="G720" s="33"/>
      <c r="H720" s="33"/>
      <c r="I720" s="20" t="str">
        <f t="shared" si="169"/>
        <v/>
      </c>
      <c r="J720" s="21" t="str">
        <f>IFERROR(VLOOKUP(BR720,Pricing!$D$3:$E$58,2,FALSE),"")</f>
        <v/>
      </c>
      <c r="K720" s="32"/>
      <c r="L720" s="32"/>
      <c r="M720" s="32"/>
      <c r="N720" s="36" t="str" cm="1">
        <f t="array" ref="N720">IFERROR(_xlfn.IFS((AND(K720="SI",M720="$")),J720*0.2,AND(K720="SI",M720="%"),20),"")</f>
        <v/>
      </c>
      <c r="O720" s="29" t="str">
        <f t="shared" si="170"/>
        <v/>
      </c>
      <c r="P720" s="21" t="str">
        <f t="shared" si="171"/>
        <v/>
      </c>
      <c r="Q720" s="21" t="str">
        <f t="shared" si="172"/>
        <v/>
      </c>
      <c r="R720" s="21" t="str">
        <f t="shared" si="173"/>
        <v/>
      </c>
      <c r="S720" s="39"/>
      <c r="T720" s="43" t="str">
        <f t="shared" si="181"/>
        <v/>
      </c>
      <c r="U720" s="49" t="str">
        <f t="shared" si="182"/>
        <v/>
      </c>
      <c r="V720" s="48" t="str">
        <f t="shared" si="183"/>
        <v/>
      </c>
      <c r="W720" s="48" t="str">
        <f t="shared" si="174"/>
        <v/>
      </c>
      <c r="X720" s="50" t="str">
        <f>IF(W720="","",SUMIF($B$4:$B$1002,B720,$W$4:$W$1000))</f>
        <v/>
      </c>
      <c r="Y720" s="43" t="str">
        <f t="shared" si="175"/>
        <v/>
      </c>
      <c r="Z720" s="49" t="str">
        <f t="shared" si="176"/>
        <v/>
      </c>
      <c r="AA720" s="48" t="str">
        <f t="shared" si="177"/>
        <v/>
      </c>
      <c r="AB720" s="49" t="str">
        <f t="shared" si="178"/>
        <v/>
      </c>
      <c r="AC720" s="50" t="str">
        <f>IF(AB720="","",SUMIF($B$4:$B$1002,B720,$AB$4:$AB$1000))</f>
        <v/>
      </c>
      <c r="AD720" s="69"/>
      <c r="AE720" s="56"/>
      <c r="AF720" s="52"/>
      <c r="AG720" s="51"/>
      <c r="AH720" s="70"/>
      <c r="AI720" s="58"/>
      <c r="AJ720" s="55"/>
      <c r="AK720" s="51"/>
      <c r="AL720" s="69"/>
      <c r="AM720" s="56"/>
      <c r="AN720" s="52"/>
      <c r="AO720" s="51"/>
      <c r="AP720" s="70"/>
      <c r="AQ720" s="58"/>
      <c r="AR720" s="55"/>
      <c r="AS720" s="51"/>
      <c r="AT720" s="69"/>
      <c r="AU720" s="56"/>
      <c r="AV720" s="52"/>
      <c r="AW720" s="51"/>
      <c r="BR720" s="34" t="str">
        <f>IF(E720="","",CONCATENATE(E720," ",F720," noches"))</f>
        <v/>
      </c>
      <c r="BS720" s="28" t="str">
        <f t="shared" ca="1" si="179"/>
        <v/>
      </c>
      <c r="BT720" s="28" t="str">
        <f t="shared" ca="1" si="180"/>
        <v/>
      </c>
    </row>
    <row r="721" spans="1:72" x14ac:dyDescent="0.2">
      <c r="A721" s="18" t="str" cm="1">
        <f t="array" aca="1" ref="A721" ca="1">IF(B721="","","Grupo N˚"&amp;SUMPRODUCT(($B$4:B721&lt;&gt;"")*($B$4:B721&lt;&gt;OFFSET($B$4,-1,0,ROWS($B$4:B721),1))))</f>
        <v/>
      </c>
      <c r="B721" s="31"/>
      <c r="C721" s="31"/>
      <c r="D721" s="31"/>
      <c r="E721" s="31"/>
      <c r="F721" s="32"/>
      <c r="G721" s="33"/>
      <c r="H721" s="33"/>
      <c r="I721" s="20" t="str">
        <f t="shared" si="169"/>
        <v/>
      </c>
      <c r="J721" s="21" t="str">
        <f>IFERROR(VLOOKUP(BR721,Pricing!$D$3:$E$58,2,FALSE),"")</f>
        <v/>
      </c>
      <c r="K721" s="32"/>
      <c r="L721" s="32"/>
      <c r="M721" s="32"/>
      <c r="N721" s="36" t="str" cm="1">
        <f t="array" ref="N721">IFERROR(_xlfn.IFS((AND(K721="SI",M721="$")),J721*0.2,AND(K721="SI",M721="%"),20),"")</f>
        <v/>
      </c>
      <c r="O721" s="29" t="str">
        <f t="shared" si="170"/>
        <v/>
      </c>
      <c r="P721" s="21" t="str">
        <f t="shared" si="171"/>
        <v/>
      </c>
      <c r="Q721" s="21" t="str">
        <f t="shared" si="172"/>
        <v/>
      </c>
      <c r="R721" s="21" t="str">
        <f t="shared" si="173"/>
        <v/>
      </c>
      <c r="S721" s="39"/>
      <c r="T721" s="43" t="str">
        <f t="shared" si="181"/>
        <v/>
      </c>
      <c r="U721" s="49" t="str">
        <f t="shared" si="182"/>
        <v/>
      </c>
      <c r="V721" s="48" t="str">
        <f t="shared" si="183"/>
        <v/>
      </c>
      <c r="W721" s="48" t="str">
        <f t="shared" si="174"/>
        <v/>
      </c>
      <c r="X721" s="50" t="str">
        <f>IF(W721="","",SUMIF($B$4:$B$1002,B721,$W$4:$W$1000))</f>
        <v/>
      </c>
      <c r="Y721" s="43" t="str">
        <f t="shared" si="175"/>
        <v/>
      </c>
      <c r="Z721" s="49" t="str">
        <f t="shared" si="176"/>
        <v/>
      </c>
      <c r="AA721" s="48" t="str">
        <f t="shared" si="177"/>
        <v/>
      </c>
      <c r="AB721" s="49" t="str">
        <f t="shared" si="178"/>
        <v/>
      </c>
      <c r="AC721" s="50" t="str">
        <f>IF(AB721="","",SUMIF($B$4:$B$1002,B721,$AB$4:$AB$1000))</f>
        <v/>
      </c>
      <c r="AD721" s="69"/>
      <c r="AE721" s="56"/>
      <c r="AF721" s="52"/>
      <c r="AG721" s="51"/>
      <c r="AH721" s="70"/>
      <c r="AI721" s="58"/>
      <c r="AJ721" s="55"/>
      <c r="AK721" s="51"/>
      <c r="AL721" s="69"/>
      <c r="AM721" s="56"/>
      <c r="AN721" s="52"/>
      <c r="AO721" s="51"/>
      <c r="AP721" s="70"/>
      <c r="AQ721" s="58"/>
      <c r="AR721" s="55"/>
      <c r="AS721" s="51"/>
      <c r="AT721" s="69"/>
      <c r="AU721" s="56"/>
      <c r="AV721" s="52"/>
      <c r="AW721" s="51"/>
      <c r="BR721" s="34" t="str">
        <f>IF(E721="","",CONCATENATE(E721," ",F721," noches"))</f>
        <v/>
      </c>
      <c r="BS721" s="28" t="str">
        <f t="shared" ca="1" si="179"/>
        <v/>
      </c>
      <c r="BT721" s="28" t="str">
        <f t="shared" ca="1" si="180"/>
        <v/>
      </c>
    </row>
    <row r="722" spans="1:72" x14ac:dyDescent="0.2">
      <c r="A722" s="18" t="str" cm="1">
        <f t="array" aca="1" ref="A722" ca="1">IF(B722="","","Grupo N˚"&amp;SUMPRODUCT(($B$4:B722&lt;&gt;"")*($B$4:B722&lt;&gt;OFFSET($B$4,-1,0,ROWS($B$4:B722),1))))</f>
        <v/>
      </c>
      <c r="B722" s="31"/>
      <c r="C722" s="31"/>
      <c r="D722" s="31"/>
      <c r="E722" s="31"/>
      <c r="F722" s="32"/>
      <c r="G722" s="33"/>
      <c r="H722" s="33"/>
      <c r="I722" s="20" t="str">
        <f t="shared" si="169"/>
        <v/>
      </c>
      <c r="J722" s="21" t="str">
        <f>IFERROR(VLOOKUP(BR722,Pricing!$D$3:$E$58,2,FALSE),"")</f>
        <v/>
      </c>
      <c r="K722" s="32"/>
      <c r="L722" s="32"/>
      <c r="M722" s="32"/>
      <c r="N722" s="36" t="str" cm="1">
        <f t="array" ref="N722">IFERROR(_xlfn.IFS((AND(K722="SI",M722="$")),J722*0.2,AND(K722="SI",M722="%"),20),"")</f>
        <v/>
      </c>
      <c r="O722" s="29" t="str">
        <f t="shared" si="170"/>
        <v/>
      </c>
      <c r="P722" s="21" t="str">
        <f t="shared" si="171"/>
        <v/>
      </c>
      <c r="Q722" s="21" t="str">
        <f t="shared" si="172"/>
        <v/>
      </c>
      <c r="R722" s="21" t="str">
        <f t="shared" si="173"/>
        <v/>
      </c>
      <c r="S722" s="39"/>
      <c r="T722" s="43" t="str">
        <f t="shared" si="181"/>
        <v/>
      </c>
      <c r="U722" s="49" t="str">
        <f t="shared" si="182"/>
        <v/>
      </c>
      <c r="V722" s="48" t="str">
        <f t="shared" si="183"/>
        <v/>
      </c>
      <c r="W722" s="48" t="str">
        <f t="shared" si="174"/>
        <v/>
      </c>
      <c r="X722" s="50" t="str">
        <f>IF(W722="","",SUMIF($B$4:$B$1002,B722,$W$4:$W$1000))</f>
        <v/>
      </c>
      <c r="Y722" s="43" t="str">
        <f t="shared" si="175"/>
        <v/>
      </c>
      <c r="Z722" s="49" t="str">
        <f t="shared" si="176"/>
        <v/>
      </c>
      <c r="AA722" s="48" t="str">
        <f t="shared" si="177"/>
        <v/>
      </c>
      <c r="AB722" s="49" t="str">
        <f t="shared" si="178"/>
        <v/>
      </c>
      <c r="AC722" s="50" t="str">
        <f>IF(AB722="","",SUMIF($B$4:$B$1002,B722,$AB$4:$AB$1000))</f>
        <v/>
      </c>
      <c r="AD722" s="69"/>
      <c r="AE722" s="56"/>
      <c r="AF722" s="52"/>
      <c r="AG722" s="51"/>
      <c r="AH722" s="70"/>
      <c r="AI722" s="58"/>
      <c r="AJ722" s="55"/>
      <c r="AK722" s="51"/>
      <c r="AL722" s="69"/>
      <c r="AM722" s="56"/>
      <c r="AN722" s="52"/>
      <c r="AO722" s="51"/>
      <c r="AP722" s="70"/>
      <c r="AQ722" s="58"/>
      <c r="AR722" s="55"/>
      <c r="AS722" s="51"/>
      <c r="AT722" s="69"/>
      <c r="AU722" s="56"/>
      <c r="AV722" s="52"/>
      <c r="AW722" s="51"/>
      <c r="BR722" s="34" t="str">
        <f>IF(E722="","",CONCATENATE(E722," ",F722," noches"))</f>
        <v/>
      </c>
      <c r="BS722" s="28" t="str">
        <f t="shared" ca="1" si="179"/>
        <v/>
      </c>
      <c r="BT722" s="28" t="str">
        <f t="shared" ca="1" si="180"/>
        <v/>
      </c>
    </row>
    <row r="723" spans="1:72" x14ac:dyDescent="0.2">
      <c r="A723" s="18" t="str" cm="1">
        <f t="array" aca="1" ref="A723" ca="1">IF(B723="","","Grupo N˚"&amp;SUMPRODUCT(($B$4:B723&lt;&gt;"")*($B$4:B723&lt;&gt;OFFSET($B$4,-1,0,ROWS($B$4:B723),1))))</f>
        <v/>
      </c>
      <c r="B723" s="31"/>
      <c r="C723" s="31"/>
      <c r="D723" s="31"/>
      <c r="E723" s="31"/>
      <c r="F723" s="32"/>
      <c r="G723" s="33"/>
      <c r="H723" s="33"/>
      <c r="I723" s="20" t="str">
        <f t="shared" si="169"/>
        <v/>
      </c>
      <c r="J723" s="21" t="str">
        <f>IFERROR(VLOOKUP(BR723,Pricing!$D$3:$E$58,2,FALSE),"")</f>
        <v/>
      </c>
      <c r="K723" s="32"/>
      <c r="L723" s="32"/>
      <c r="M723" s="32"/>
      <c r="N723" s="36" t="str" cm="1">
        <f t="array" ref="N723">IFERROR(_xlfn.IFS((AND(K723="SI",M723="$")),J723*0.2,AND(K723="SI",M723="%"),20),"")</f>
        <v/>
      </c>
      <c r="O723" s="29" t="str">
        <f t="shared" si="170"/>
        <v/>
      </c>
      <c r="P723" s="21" t="str">
        <f t="shared" si="171"/>
        <v/>
      </c>
      <c r="Q723" s="21" t="str">
        <f t="shared" si="172"/>
        <v/>
      </c>
      <c r="R723" s="21" t="str">
        <f t="shared" si="173"/>
        <v/>
      </c>
      <c r="S723" s="39"/>
      <c r="T723" s="43" t="str">
        <f t="shared" si="181"/>
        <v/>
      </c>
      <c r="U723" s="49" t="str">
        <f t="shared" si="182"/>
        <v/>
      </c>
      <c r="V723" s="48" t="str">
        <f t="shared" si="183"/>
        <v/>
      </c>
      <c r="W723" s="48" t="str">
        <f t="shared" si="174"/>
        <v/>
      </c>
      <c r="X723" s="50" t="str">
        <f>IF(W723="","",SUMIF($B$4:$B$1002,B723,$W$4:$W$1000))</f>
        <v/>
      </c>
      <c r="Y723" s="43" t="str">
        <f t="shared" si="175"/>
        <v/>
      </c>
      <c r="Z723" s="49" t="str">
        <f t="shared" si="176"/>
        <v/>
      </c>
      <c r="AA723" s="48" t="str">
        <f t="shared" si="177"/>
        <v/>
      </c>
      <c r="AB723" s="49" t="str">
        <f t="shared" si="178"/>
        <v/>
      </c>
      <c r="AC723" s="50" t="str">
        <f>IF(AB723="","",SUMIF($B$4:$B$1002,B723,$AB$4:$AB$1000))</f>
        <v/>
      </c>
      <c r="AD723" s="69"/>
      <c r="AE723" s="56"/>
      <c r="AF723" s="52"/>
      <c r="AG723" s="51"/>
      <c r="AH723" s="70"/>
      <c r="AI723" s="58"/>
      <c r="AJ723" s="55"/>
      <c r="AK723" s="51"/>
      <c r="AL723" s="69"/>
      <c r="AM723" s="56"/>
      <c r="AN723" s="52"/>
      <c r="AO723" s="51"/>
      <c r="AP723" s="70"/>
      <c r="AQ723" s="58"/>
      <c r="AR723" s="55"/>
      <c r="AS723" s="51"/>
      <c r="AT723" s="69"/>
      <c r="AU723" s="56"/>
      <c r="AV723" s="52"/>
      <c r="AW723" s="51"/>
      <c r="BR723" s="34" t="str">
        <f>IF(E723="","",CONCATENATE(E723," ",F723," noches"))</f>
        <v/>
      </c>
      <c r="BS723" s="28" t="str">
        <f t="shared" ca="1" si="179"/>
        <v/>
      </c>
      <c r="BT723" s="28" t="str">
        <f t="shared" ca="1" si="180"/>
        <v/>
      </c>
    </row>
    <row r="724" spans="1:72" x14ac:dyDescent="0.2">
      <c r="A724" s="18" t="str" cm="1">
        <f t="array" aca="1" ref="A724" ca="1">IF(B724="","","Grupo N˚"&amp;SUMPRODUCT(($B$4:B724&lt;&gt;"")*($B$4:B724&lt;&gt;OFFSET($B$4,-1,0,ROWS($B$4:B724),1))))</f>
        <v/>
      </c>
      <c r="B724" s="31"/>
      <c r="C724" s="31"/>
      <c r="D724" s="31"/>
      <c r="E724" s="31"/>
      <c r="F724" s="32"/>
      <c r="G724" s="33"/>
      <c r="H724" s="33"/>
      <c r="I724" s="20" t="str">
        <f t="shared" si="169"/>
        <v/>
      </c>
      <c r="J724" s="21" t="str">
        <f>IFERROR(VLOOKUP(BR724,Pricing!$D$3:$E$58,2,FALSE),"")</f>
        <v/>
      </c>
      <c r="K724" s="32"/>
      <c r="L724" s="32"/>
      <c r="M724" s="32"/>
      <c r="N724" s="36" t="str" cm="1">
        <f t="array" ref="N724">IFERROR(_xlfn.IFS((AND(K724="SI",M724="$")),J724*0.2,AND(K724="SI",M724="%"),20),"")</f>
        <v/>
      </c>
      <c r="O724" s="29" t="str">
        <f t="shared" si="170"/>
        <v/>
      </c>
      <c r="P724" s="21" t="str">
        <f t="shared" si="171"/>
        <v/>
      </c>
      <c r="Q724" s="21" t="str">
        <f t="shared" si="172"/>
        <v/>
      </c>
      <c r="R724" s="21" t="str">
        <f t="shared" si="173"/>
        <v/>
      </c>
      <c r="S724" s="39"/>
      <c r="T724" s="43" t="str">
        <f t="shared" si="181"/>
        <v/>
      </c>
      <c r="U724" s="49" t="str">
        <f t="shared" si="182"/>
        <v/>
      </c>
      <c r="V724" s="48" t="str">
        <f t="shared" si="183"/>
        <v/>
      </c>
      <c r="W724" s="48" t="str">
        <f t="shared" si="174"/>
        <v/>
      </c>
      <c r="X724" s="50" t="str">
        <f>IF(W724="","",SUMIF($B$4:$B$1002,B724,$W$4:$W$1000))</f>
        <v/>
      </c>
      <c r="Y724" s="43" t="str">
        <f t="shared" si="175"/>
        <v/>
      </c>
      <c r="Z724" s="49" t="str">
        <f t="shared" si="176"/>
        <v/>
      </c>
      <c r="AA724" s="48" t="str">
        <f t="shared" si="177"/>
        <v/>
      </c>
      <c r="AB724" s="49" t="str">
        <f t="shared" si="178"/>
        <v/>
      </c>
      <c r="AC724" s="50" t="str">
        <f>IF(AB724="","",SUMIF($B$4:$B$1002,B724,$AB$4:$AB$1000))</f>
        <v/>
      </c>
      <c r="AD724" s="69"/>
      <c r="AE724" s="56"/>
      <c r="AF724" s="52"/>
      <c r="AG724" s="51"/>
      <c r="AH724" s="70"/>
      <c r="AI724" s="58"/>
      <c r="AJ724" s="55"/>
      <c r="AK724" s="51"/>
      <c r="AL724" s="69"/>
      <c r="AM724" s="56"/>
      <c r="AN724" s="52"/>
      <c r="AO724" s="51"/>
      <c r="AP724" s="70"/>
      <c r="AQ724" s="58"/>
      <c r="AR724" s="55"/>
      <c r="AS724" s="51"/>
      <c r="AT724" s="69"/>
      <c r="AU724" s="56"/>
      <c r="AV724" s="52"/>
      <c r="AW724" s="51"/>
      <c r="BR724" s="34" t="str">
        <f>IF(E724="","",CONCATENATE(E724," ",F724," noches"))</f>
        <v/>
      </c>
      <c r="BS724" s="28" t="str">
        <f t="shared" ca="1" si="179"/>
        <v/>
      </c>
      <c r="BT724" s="28" t="str">
        <f t="shared" ca="1" si="180"/>
        <v/>
      </c>
    </row>
    <row r="725" spans="1:72" x14ac:dyDescent="0.2">
      <c r="A725" s="18" t="str" cm="1">
        <f t="array" aca="1" ref="A725" ca="1">IF(B725="","","Grupo N˚"&amp;SUMPRODUCT(($B$4:B725&lt;&gt;"")*($B$4:B725&lt;&gt;OFFSET($B$4,-1,0,ROWS($B$4:B725),1))))</f>
        <v/>
      </c>
      <c r="B725" s="31"/>
      <c r="C725" s="31"/>
      <c r="D725" s="31"/>
      <c r="E725" s="31"/>
      <c r="F725" s="32"/>
      <c r="G725" s="33"/>
      <c r="H725" s="33"/>
      <c r="I725" s="20" t="str">
        <f t="shared" si="169"/>
        <v/>
      </c>
      <c r="J725" s="21" t="str">
        <f>IFERROR(VLOOKUP(BR725,Pricing!$D$3:$E$58,2,FALSE),"")</f>
        <v/>
      </c>
      <c r="K725" s="32"/>
      <c r="L725" s="32"/>
      <c r="M725" s="32"/>
      <c r="N725" s="36" t="str" cm="1">
        <f t="array" ref="N725">IFERROR(_xlfn.IFS((AND(K725="SI",M725="$")),J725*0.2,AND(K725="SI",M725="%"),20),"")</f>
        <v/>
      </c>
      <c r="O725" s="29" t="str">
        <f t="shared" si="170"/>
        <v/>
      </c>
      <c r="P725" s="21" t="str">
        <f t="shared" si="171"/>
        <v/>
      </c>
      <c r="Q725" s="21" t="str">
        <f t="shared" si="172"/>
        <v/>
      </c>
      <c r="R725" s="21" t="str">
        <f t="shared" si="173"/>
        <v/>
      </c>
      <c r="S725" s="39"/>
      <c r="T725" s="43" t="str">
        <f t="shared" si="181"/>
        <v/>
      </c>
      <c r="U725" s="49" t="str">
        <f t="shared" si="182"/>
        <v/>
      </c>
      <c r="V725" s="48" t="str">
        <f t="shared" si="183"/>
        <v/>
      </c>
      <c r="W725" s="48" t="str">
        <f t="shared" si="174"/>
        <v/>
      </c>
      <c r="X725" s="50" t="str">
        <f>IF(W725="","",SUMIF($B$4:$B$1002,B725,$W$4:$W$1000))</f>
        <v/>
      </c>
      <c r="Y725" s="43" t="str">
        <f t="shared" si="175"/>
        <v/>
      </c>
      <c r="Z725" s="49" t="str">
        <f t="shared" si="176"/>
        <v/>
      </c>
      <c r="AA725" s="48" t="str">
        <f t="shared" si="177"/>
        <v/>
      </c>
      <c r="AB725" s="49" t="str">
        <f t="shared" si="178"/>
        <v/>
      </c>
      <c r="AC725" s="50" t="str">
        <f>IF(AB725="","",SUMIF($B$4:$B$1002,B725,$AB$4:$AB$1000))</f>
        <v/>
      </c>
      <c r="AD725" s="69"/>
      <c r="AE725" s="56"/>
      <c r="AF725" s="52"/>
      <c r="AG725" s="51"/>
      <c r="AH725" s="70"/>
      <c r="AI725" s="58"/>
      <c r="AJ725" s="55"/>
      <c r="AK725" s="51"/>
      <c r="AL725" s="69"/>
      <c r="AM725" s="56"/>
      <c r="AN725" s="52"/>
      <c r="AO725" s="51"/>
      <c r="AP725" s="70"/>
      <c r="AQ725" s="58"/>
      <c r="AR725" s="55"/>
      <c r="AS725" s="51"/>
      <c r="AT725" s="69"/>
      <c r="AU725" s="56"/>
      <c r="AV725" s="52"/>
      <c r="AW725" s="51"/>
      <c r="BR725" s="34" t="str">
        <f>IF(E725="","",CONCATENATE(E725," ",F725," noches"))</f>
        <v/>
      </c>
      <c r="BS725" s="28" t="str">
        <f t="shared" ca="1" si="179"/>
        <v/>
      </c>
      <c r="BT725" s="28" t="str">
        <f t="shared" ca="1" si="180"/>
        <v/>
      </c>
    </row>
    <row r="726" spans="1:72" x14ac:dyDescent="0.2">
      <c r="A726" s="18" t="str" cm="1">
        <f t="array" aca="1" ref="A726" ca="1">IF(B726="","","Grupo N˚"&amp;SUMPRODUCT(($B$4:B726&lt;&gt;"")*($B$4:B726&lt;&gt;OFFSET($B$4,-1,0,ROWS($B$4:B726),1))))</f>
        <v/>
      </c>
      <c r="B726" s="31"/>
      <c r="C726" s="31"/>
      <c r="D726" s="31"/>
      <c r="E726" s="31"/>
      <c r="F726" s="32"/>
      <c r="G726" s="33"/>
      <c r="H726" s="33"/>
      <c r="I726" s="20" t="str">
        <f t="shared" si="169"/>
        <v/>
      </c>
      <c r="J726" s="21" t="str">
        <f>IFERROR(VLOOKUP(BR726,Pricing!$D$3:$E$58,2,FALSE),"")</f>
        <v/>
      </c>
      <c r="K726" s="32"/>
      <c r="L726" s="32"/>
      <c r="M726" s="32"/>
      <c r="N726" s="36" t="str" cm="1">
        <f t="array" ref="N726">IFERROR(_xlfn.IFS((AND(K726="SI",M726="$")),J726*0.2,AND(K726="SI",M726="%"),20),"")</f>
        <v/>
      </c>
      <c r="O726" s="29" t="str">
        <f t="shared" si="170"/>
        <v/>
      </c>
      <c r="P726" s="21" t="str">
        <f t="shared" si="171"/>
        <v/>
      </c>
      <c r="Q726" s="21" t="str">
        <f t="shared" si="172"/>
        <v/>
      </c>
      <c r="R726" s="21" t="str">
        <f t="shared" si="173"/>
        <v/>
      </c>
      <c r="S726" s="39"/>
      <c r="T726" s="43" t="str">
        <f t="shared" si="181"/>
        <v/>
      </c>
      <c r="U726" s="49" t="str">
        <f t="shared" si="182"/>
        <v/>
      </c>
      <c r="V726" s="48" t="str">
        <f t="shared" si="183"/>
        <v/>
      </c>
      <c r="W726" s="48" t="str">
        <f t="shared" si="174"/>
        <v/>
      </c>
      <c r="X726" s="50" t="str">
        <f>IF(W726="","",SUMIF($B$4:$B$1002,B726,$W$4:$W$1000))</f>
        <v/>
      </c>
      <c r="Y726" s="43" t="str">
        <f t="shared" si="175"/>
        <v/>
      </c>
      <c r="Z726" s="49" t="str">
        <f t="shared" si="176"/>
        <v/>
      </c>
      <c r="AA726" s="48" t="str">
        <f t="shared" si="177"/>
        <v/>
      </c>
      <c r="AB726" s="49" t="str">
        <f t="shared" si="178"/>
        <v/>
      </c>
      <c r="AC726" s="50" t="str">
        <f>IF(AB726="","",SUMIF($B$4:$B$1002,B726,$AB$4:$AB$1000))</f>
        <v/>
      </c>
      <c r="AD726" s="69"/>
      <c r="AE726" s="56"/>
      <c r="AF726" s="52"/>
      <c r="AG726" s="51"/>
      <c r="AH726" s="70"/>
      <c r="AI726" s="58"/>
      <c r="AJ726" s="55"/>
      <c r="AK726" s="51"/>
      <c r="AL726" s="69"/>
      <c r="AM726" s="56"/>
      <c r="AN726" s="52"/>
      <c r="AO726" s="51"/>
      <c r="AP726" s="70"/>
      <c r="AQ726" s="58"/>
      <c r="AR726" s="55"/>
      <c r="AS726" s="51"/>
      <c r="AT726" s="69"/>
      <c r="AU726" s="56"/>
      <c r="AV726" s="52"/>
      <c r="AW726" s="51"/>
      <c r="BR726" s="34" t="str">
        <f>IF(E726="","",CONCATENATE(E726," ",F726," noches"))</f>
        <v/>
      </c>
      <c r="BS726" s="28" t="str">
        <f t="shared" ca="1" si="179"/>
        <v/>
      </c>
      <c r="BT726" s="28" t="str">
        <f t="shared" ca="1" si="180"/>
        <v/>
      </c>
    </row>
    <row r="727" spans="1:72" x14ac:dyDescent="0.2">
      <c r="A727" s="18" t="str" cm="1">
        <f t="array" aca="1" ref="A727" ca="1">IF(B727="","","Grupo N˚"&amp;SUMPRODUCT(($B$4:B727&lt;&gt;"")*($B$4:B727&lt;&gt;OFFSET($B$4,-1,0,ROWS($B$4:B727),1))))</f>
        <v/>
      </c>
      <c r="B727" s="31"/>
      <c r="C727" s="31"/>
      <c r="D727" s="31"/>
      <c r="E727" s="31"/>
      <c r="F727" s="32"/>
      <c r="G727" s="33"/>
      <c r="H727" s="33"/>
      <c r="I727" s="20" t="str">
        <f t="shared" si="169"/>
        <v/>
      </c>
      <c r="J727" s="21" t="str">
        <f>IFERROR(VLOOKUP(BR727,Pricing!$D$3:$E$58,2,FALSE),"")</f>
        <v/>
      </c>
      <c r="K727" s="32"/>
      <c r="L727" s="32"/>
      <c r="M727" s="32"/>
      <c r="N727" s="36" t="str" cm="1">
        <f t="array" ref="N727">IFERROR(_xlfn.IFS((AND(K727="SI",M727="$")),J727*0.2,AND(K727="SI",M727="%"),20),"")</f>
        <v/>
      </c>
      <c r="O727" s="29" t="str">
        <f t="shared" si="170"/>
        <v/>
      </c>
      <c r="P727" s="21" t="str">
        <f t="shared" si="171"/>
        <v/>
      </c>
      <c r="Q727" s="21" t="str">
        <f t="shared" si="172"/>
        <v/>
      </c>
      <c r="R727" s="21" t="str">
        <f t="shared" si="173"/>
        <v/>
      </c>
      <c r="S727" s="39"/>
      <c r="T727" s="43" t="str">
        <f t="shared" si="181"/>
        <v/>
      </c>
      <c r="U727" s="49" t="str">
        <f t="shared" si="182"/>
        <v/>
      </c>
      <c r="V727" s="48" t="str">
        <f t="shared" si="183"/>
        <v/>
      </c>
      <c r="W727" s="48" t="str">
        <f t="shared" si="174"/>
        <v/>
      </c>
      <c r="X727" s="50" t="str">
        <f>IF(W727="","",SUMIF($B$4:$B$1002,B727,$W$4:$W$1000))</f>
        <v/>
      </c>
      <c r="Y727" s="43" t="str">
        <f t="shared" si="175"/>
        <v/>
      </c>
      <c r="Z727" s="49" t="str">
        <f t="shared" si="176"/>
        <v/>
      </c>
      <c r="AA727" s="48" t="str">
        <f t="shared" si="177"/>
        <v/>
      </c>
      <c r="AB727" s="49" t="str">
        <f t="shared" si="178"/>
        <v/>
      </c>
      <c r="AC727" s="50" t="str">
        <f>IF(AB727="","",SUMIF($B$4:$B$1002,B727,$AB$4:$AB$1000))</f>
        <v/>
      </c>
      <c r="AD727" s="69"/>
      <c r="AE727" s="56"/>
      <c r="AF727" s="52"/>
      <c r="AG727" s="51"/>
      <c r="AH727" s="70"/>
      <c r="AI727" s="58"/>
      <c r="AJ727" s="55"/>
      <c r="AK727" s="51"/>
      <c r="AL727" s="69"/>
      <c r="AM727" s="56"/>
      <c r="AN727" s="52"/>
      <c r="AO727" s="51"/>
      <c r="AP727" s="70"/>
      <c r="AQ727" s="58"/>
      <c r="AR727" s="55"/>
      <c r="AS727" s="51"/>
      <c r="AT727" s="69"/>
      <c r="AU727" s="56"/>
      <c r="AV727" s="52"/>
      <c r="AW727" s="51"/>
      <c r="BR727" s="34" t="str">
        <f>IF(E727="","",CONCATENATE(E727," ",F727," noches"))</f>
        <v/>
      </c>
      <c r="BS727" s="28" t="str">
        <f t="shared" ca="1" si="179"/>
        <v/>
      </c>
      <c r="BT727" s="28" t="str">
        <f t="shared" ca="1" si="180"/>
        <v/>
      </c>
    </row>
    <row r="728" spans="1:72" x14ac:dyDescent="0.2">
      <c r="A728" s="18" t="str" cm="1">
        <f t="array" aca="1" ref="A728" ca="1">IF(B728="","","Grupo N˚"&amp;SUMPRODUCT(($B$4:B728&lt;&gt;"")*($B$4:B728&lt;&gt;OFFSET($B$4,-1,0,ROWS($B$4:B728),1))))</f>
        <v/>
      </c>
      <c r="B728" s="31"/>
      <c r="C728" s="31"/>
      <c r="D728" s="31"/>
      <c r="E728" s="31"/>
      <c r="F728" s="32"/>
      <c r="G728" s="33"/>
      <c r="H728" s="33"/>
      <c r="I728" s="20" t="str">
        <f t="shared" si="169"/>
        <v/>
      </c>
      <c r="J728" s="21" t="str">
        <f>IFERROR(VLOOKUP(BR728,Pricing!$D$3:$E$58,2,FALSE),"")</f>
        <v/>
      </c>
      <c r="K728" s="32"/>
      <c r="L728" s="32"/>
      <c r="M728" s="32"/>
      <c r="N728" s="36" t="str" cm="1">
        <f t="array" ref="N728">IFERROR(_xlfn.IFS((AND(K728="SI",M728="$")),J728*0.2,AND(K728="SI",M728="%"),20),"")</f>
        <v/>
      </c>
      <c r="O728" s="29" t="str">
        <f t="shared" si="170"/>
        <v/>
      </c>
      <c r="P728" s="21" t="str">
        <f t="shared" si="171"/>
        <v/>
      </c>
      <c r="Q728" s="21" t="str">
        <f t="shared" si="172"/>
        <v/>
      </c>
      <c r="R728" s="21" t="str">
        <f t="shared" si="173"/>
        <v/>
      </c>
      <c r="S728" s="39"/>
      <c r="T728" s="43" t="str">
        <f t="shared" si="181"/>
        <v/>
      </c>
      <c r="U728" s="49" t="str">
        <f t="shared" si="182"/>
        <v/>
      </c>
      <c r="V728" s="48" t="str">
        <f t="shared" si="183"/>
        <v/>
      </c>
      <c r="W728" s="48" t="str">
        <f t="shared" si="174"/>
        <v/>
      </c>
      <c r="X728" s="50" t="str">
        <f>IF(W728="","",SUMIF($B$4:$B$1002,B728,$W$4:$W$1000))</f>
        <v/>
      </c>
      <c r="Y728" s="43" t="str">
        <f t="shared" si="175"/>
        <v/>
      </c>
      <c r="Z728" s="49" t="str">
        <f t="shared" si="176"/>
        <v/>
      </c>
      <c r="AA728" s="48" t="str">
        <f t="shared" si="177"/>
        <v/>
      </c>
      <c r="AB728" s="49" t="str">
        <f t="shared" si="178"/>
        <v/>
      </c>
      <c r="AC728" s="50" t="str">
        <f>IF(AB728="","",SUMIF($B$4:$B$1002,B728,$AB$4:$AB$1000))</f>
        <v/>
      </c>
      <c r="AD728" s="69"/>
      <c r="AE728" s="56"/>
      <c r="AF728" s="52"/>
      <c r="AG728" s="51"/>
      <c r="AH728" s="70"/>
      <c r="AI728" s="58"/>
      <c r="AJ728" s="55"/>
      <c r="AK728" s="51"/>
      <c r="AL728" s="69"/>
      <c r="AM728" s="56"/>
      <c r="AN728" s="52"/>
      <c r="AO728" s="51"/>
      <c r="AP728" s="70"/>
      <c r="AQ728" s="58"/>
      <c r="AR728" s="55"/>
      <c r="AS728" s="51"/>
      <c r="AT728" s="69"/>
      <c r="AU728" s="56"/>
      <c r="AV728" s="52"/>
      <c r="AW728" s="51"/>
      <c r="BR728" s="34" t="str">
        <f>IF(E728="","",CONCATENATE(E728," ",F728," noches"))</f>
        <v/>
      </c>
      <c r="BS728" s="28" t="str">
        <f t="shared" ca="1" si="179"/>
        <v/>
      </c>
      <c r="BT728" s="28" t="str">
        <f t="shared" ca="1" si="180"/>
        <v/>
      </c>
    </row>
    <row r="729" spans="1:72" x14ac:dyDescent="0.2">
      <c r="A729" s="18" t="str" cm="1">
        <f t="array" aca="1" ref="A729" ca="1">IF(B729="","","Grupo N˚"&amp;SUMPRODUCT(($B$4:B729&lt;&gt;"")*($B$4:B729&lt;&gt;OFFSET($B$4,-1,0,ROWS($B$4:B729),1))))</f>
        <v/>
      </c>
      <c r="B729" s="31"/>
      <c r="C729" s="31"/>
      <c r="D729" s="31"/>
      <c r="E729" s="31"/>
      <c r="F729" s="32"/>
      <c r="G729" s="33"/>
      <c r="H729" s="33"/>
      <c r="I729" s="20" t="str">
        <f t="shared" si="169"/>
        <v/>
      </c>
      <c r="J729" s="21" t="str">
        <f>IFERROR(VLOOKUP(BR729,Pricing!$D$3:$E$58,2,FALSE),"")</f>
        <v/>
      </c>
      <c r="K729" s="32"/>
      <c r="L729" s="32"/>
      <c r="M729" s="32"/>
      <c r="N729" s="36" t="str" cm="1">
        <f t="array" ref="N729">IFERROR(_xlfn.IFS((AND(K729="SI",M729="$")),J729*0.2,AND(K729="SI",M729="%"),20),"")</f>
        <v/>
      </c>
      <c r="O729" s="29" t="str">
        <f t="shared" si="170"/>
        <v/>
      </c>
      <c r="P729" s="21" t="str">
        <f t="shared" si="171"/>
        <v/>
      </c>
      <c r="Q729" s="21" t="str">
        <f t="shared" si="172"/>
        <v/>
      </c>
      <c r="R729" s="21" t="str">
        <f t="shared" si="173"/>
        <v/>
      </c>
      <c r="S729" s="39"/>
      <c r="T729" s="43" t="str">
        <f t="shared" si="181"/>
        <v/>
      </c>
      <c r="U729" s="49" t="str">
        <f t="shared" si="182"/>
        <v/>
      </c>
      <c r="V729" s="48" t="str">
        <f t="shared" si="183"/>
        <v/>
      </c>
      <c r="W729" s="48" t="str">
        <f t="shared" si="174"/>
        <v/>
      </c>
      <c r="X729" s="50" t="str">
        <f>IF(W729="","",SUMIF($B$4:$B$1002,B729,$W$4:$W$1000))</f>
        <v/>
      </c>
      <c r="Y729" s="43" t="str">
        <f t="shared" si="175"/>
        <v/>
      </c>
      <c r="Z729" s="49" t="str">
        <f t="shared" si="176"/>
        <v/>
      </c>
      <c r="AA729" s="48" t="str">
        <f t="shared" si="177"/>
        <v/>
      </c>
      <c r="AB729" s="49" t="str">
        <f t="shared" si="178"/>
        <v/>
      </c>
      <c r="AC729" s="50" t="str">
        <f>IF(AB729="","",SUMIF($B$4:$B$1002,B729,$AB$4:$AB$1000))</f>
        <v/>
      </c>
      <c r="AD729" s="69"/>
      <c r="AE729" s="56"/>
      <c r="AF729" s="52"/>
      <c r="AG729" s="51"/>
      <c r="AH729" s="70"/>
      <c r="AI729" s="58"/>
      <c r="AJ729" s="55"/>
      <c r="AK729" s="51"/>
      <c r="AL729" s="69"/>
      <c r="AM729" s="56"/>
      <c r="AN729" s="52"/>
      <c r="AO729" s="51"/>
      <c r="AP729" s="70"/>
      <c r="AQ729" s="58"/>
      <c r="AR729" s="55"/>
      <c r="AS729" s="51"/>
      <c r="AT729" s="69"/>
      <c r="AU729" s="56"/>
      <c r="AV729" s="52"/>
      <c r="AW729" s="51"/>
      <c r="BR729" s="34" t="str">
        <f>IF(E729="","",CONCATENATE(E729," ",F729," noches"))</f>
        <v/>
      </c>
      <c r="BS729" s="28" t="str">
        <f t="shared" ca="1" si="179"/>
        <v/>
      </c>
      <c r="BT729" s="28" t="str">
        <f t="shared" ca="1" si="180"/>
        <v/>
      </c>
    </row>
    <row r="730" spans="1:72" x14ac:dyDescent="0.2">
      <c r="A730" s="18" t="str" cm="1">
        <f t="array" aca="1" ref="A730" ca="1">IF(B730="","","Grupo N˚"&amp;SUMPRODUCT(($B$4:B730&lt;&gt;"")*($B$4:B730&lt;&gt;OFFSET($B$4,-1,0,ROWS($B$4:B730),1))))</f>
        <v/>
      </c>
      <c r="B730" s="31"/>
      <c r="C730" s="31"/>
      <c r="D730" s="31"/>
      <c r="E730" s="31"/>
      <c r="F730" s="32"/>
      <c r="G730" s="33"/>
      <c r="H730" s="33"/>
      <c r="I730" s="20" t="str">
        <f t="shared" si="169"/>
        <v/>
      </c>
      <c r="J730" s="21" t="str">
        <f>IFERROR(VLOOKUP(BR730,Pricing!$D$3:$E$58,2,FALSE),"")</f>
        <v/>
      </c>
      <c r="K730" s="32"/>
      <c r="L730" s="32"/>
      <c r="M730" s="32"/>
      <c r="N730" s="36" t="str" cm="1">
        <f t="array" ref="N730">IFERROR(_xlfn.IFS((AND(K730="SI",M730="$")),J730*0.2,AND(K730="SI",M730="%"),20),"")</f>
        <v/>
      </c>
      <c r="O730" s="29" t="str">
        <f t="shared" si="170"/>
        <v/>
      </c>
      <c r="P730" s="21" t="str">
        <f t="shared" si="171"/>
        <v/>
      </c>
      <c r="Q730" s="21" t="str">
        <f t="shared" si="172"/>
        <v/>
      </c>
      <c r="R730" s="21" t="str">
        <f t="shared" si="173"/>
        <v/>
      </c>
      <c r="S730" s="39"/>
      <c r="T730" s="43" t="str">
        <f t="shared" si="181"/>
        <v/>
      </c>
      <c r="U730" s="49" t="str">
        <f t="shared" si="182"/>
        <v/>
      </c>
      <c r="V730" s="48" t="str">
        <f t="shared" si="183"/>
        <v/>
      </c>
      <c r="W730" s="48" t="str">
        <f t="shared" si="174"/>
        <v/>
      </c>
      <c r="X730" s="50" t="str">
        <f>IF(W730="","",SUMIF($B$4:$B$1002,B730,$W$4:$W$1000))</f>
        <v/>
      </c>
      <c r="Y730" s="43" t="str">
        <f t="shared" si="175"/>
        <v/>
      </c>
      <c r="Z730" s="49" t="str">
        <f t="shared" si="176"/>
        <v/>
      </c>
      <c r="AA730" s="48" t="str">
        <f t="shared" si="177"/>
        <v/>
      </c>
      <c r="AB730" s="49" t="str">
        <f t="shared" si="178"/>
        <v/>
      </c>
      <c r="AC730" s="50" t="str">
        <f>IF(AB730="","",SUMIF($B$4:$B$1002,B730,$AB$4:$AB$1000))</f>
        <v/>
      </c>
      <c r="AD730" s="69"/>
      <c r="AE730" s="56"/>
      <c r="AF730" s="52"/>
      <c r="AG730" s="51"/>
      <c r="AH730" s="70"/>
      <c r="AI730" s="58"/>
      <c r="AJ730" s="55"/>
      <c r="AK730" s="51"/>
      <c r="AL730" s="69"/>
      <c r="AM730" s="56"/>
      <c r="AN730" s="52"/>
      <c r="AO730" s="51"/>
      <c r="AP730" s="70"/>
      <c r="AQ730" s="58"/>
      <c r="AR730" s="55"/>
      <c r="AS730" s="51"/>
      <c r="AT730" s="69"/>
      <c r="AU730" s="56"/>
      <c r="AV730" s="52"/>
      <c r="AW730" s="51"/>
      <c r="BR730" s="34" t="str">
        <f>IF(E730="","",CONCATENATE(E730," ",F730," noches"))</f>
        <v/>
      </c>
      <c r="BS730" s="28" t="str">
        <f t="shared" ca="1" si="179"/>
        <v/>
      </c>
      <c r="BT730" s="28" t="str">
        <f t="shared" ca="1" si="180"/>
        <v/>
      </c>
    </row>
    <row r="731" spans="1:72" x14ac:dyDescent="0.2">
      <c r="A731" s="18" t="str" cm="1">
        <f t="array" aca="1" ref="A731" ca="1">IF(B731="","","Grupo N˚"&amp;SUMPRODUCT(($B$4:B731&lt;&gt;"")*($B$4:B731&lt;&gt;OFFSET($B$4,-1,0,ROWS($B$4:B731),1))))</f>
        <v/>
      </c>
      <c r="B731" s="31"/>
      <c r="C731" s="31"/>
      <c r="D731" s="31"/>
      <c r="E731" s="31"/>
      <c r="F731" s="32"/>
      <c r="G731" s="33"/>
      <c r="H731" s="33"/>
      <c r="I731" s="20" t="str">
        <f t="shared" si="169"/>
        <v/>
      </c>
      <c r="J731" s="21" t="str">
        <f>IFERROR(VLOOKUP(BR731,Pricing!$D$3:$E$58,2,FALSE),"")</f>
        <v/>
      </c>
      <c r="K731" s="32"/>
      <c r="L731" s="32"/>
      <c r="M731" s="32"/>
      <c r="N731" s="36" t="str" cm="1">
        <f t="array" ref="N731">IFERROR(_xlfn.IFS((AND(K731="SI",M731="$")),J731*0.2,AND(K731="SI",M731="%"),20),"")</f>
        <v/>
      </c>
      <c r="O731" s="29" t="str">
        <f t="shared" si="170"/>
        <v/>
      </c>
      <c r="P731" s="21" t="str">
        <f t="shared" si="171"/>
        <v/>
      </c>
      <c r="Q731" s="21" t="str">
        <f t="shared" si="172"/>
        <v/>
      </c>
      <c r="R731" s="21" t="str">
        <f t="shared" si="173"/>
        <v/>
      </c>
      <c r="S731" s="39"/>
      <c r="T731" s="43" t="str">
        <f t="shared" si="181"/>
        <v/>
      </c>
      <c r="U731" s="49" t="str">
        <f t="shared" si="182"/>
        <v/>
      </c>
      <c r="V731" s="48" t="str">
        <f t="shared" si="183"/>
        <v/>
      </c>
      <c r="W731" s="48" t="str">
        <f t="shared" si="174"/>
        <v/>
      </c>
      <c r="X731" s="50" t="str">
        <f>IF(W731="","",SUMIF($B$4:$B$1002,B731,$W$4:$W$1000))</f>
        <v/>
      </c>
      <c r="Y731" s="43" t="str">
        <f t="shared" si="175"/>
        <v/>
      </c>
      <c r="Z731" s="49" t="str">
        <f t="shared" si="176"/>
        <v/>
      </c>
      <c r="AA731" s="48" t="str">
        <f t="shared" si="177"/>
        <v/>
      </c>
      <c r="AB731" s="49" t="str">
        <f t="shared" si="178"/>
        <v/>
      </c>
      <c r="AC731" s="50" t="str">
        <f>IF(AB731="","",SUMIF($B$4:$B$1002,B731,$AB$4:$AB$1000))</f>
        <v/>
      </c>
      <c r="AD731" s="69"/>
      <c r="AE731" s="56"/>
      <c r="AF731" s="52"/>
      <c r="AG731" s="51"/>
      <c r="AH731" s="70"/>
      <c r="AI731" s="58"/>
      <c r="AJ731" s="55"/>
      <c r="AK731" s="51"/>
      <c r="AL731" s="69"/>
      <c r="AM731" s="56"/>
      <c r="AN731" s="52"/>
      <c r="AO731" s="51"/>
      <c r="AP731" s="70"/>
      <c r="AQ731" s="58"/>
      <c r="AR731" s="55"/>
      <c r="AS731" s="51"/>
      <c r="AT731" s="69"/>
      <c r="AU731" s="56"/>
      <c r="AV731" s="52"/>
      <c r="AW731" s="51"/>
      <c r="BR731" s="34" t="str">
        <f>IF(E731="","",CONCATENATE(E731," ",F731," noches"))</f>
        <v/>
      </c>
      <c r="BS731" s="28" t="str">
        <f t="shared" ca="1" si="179"/>
        <v/>
      </c>
      <c r="BT731" s="28" t="str">
        <f t="shared" ca="1" si="180"/>
        <v/>
      </c>
    </row>
    <row r="732" spans="1:72" x14ac:dyDescent="0.2">
      <c r="A732" s="18" t="str" cm="1">
        <f t="array" aca="1" ref="A732" ca="1">IF(B732="","","Grupo N˚"&amp;SUMPRODUCT(($B$4:B732&lt;&gt;"")*($B$4:B732&lt;&gt;OFFSET($B$4,-1,0,ROWS($B$4:B732),1))))</f>
        <v/>
      </c>
      <c r="B732" s="31"/>
      <c r="C732" s="31"/>
      <c r="D732" s="31"/>
      <c r="E732" s="31"/>
      <c r="F732" s="32"/>
      <c r="G732" s="33"/>
      <c r="H732" s="33"/>
      <c r="I732" s="20" t="str">
        <f t="shared" si="169"/>
        <v/>
      </c>
      <c r="J732" s="21" t="str">
        <f>IFERROR(VLOOKUP(BR732,Pricing!$D$3:$E$58,2,FALSE),"")</f>
        <v/>
      </c>
      <c r="K732" s="32"/>
      <c r="L732" s="32"/>
      <c r="M732" s="32"/>
      <c r="N732" s="36" t="str" cm="1">
        <f t="array" ref="N732">IFERROR(_xlfn.IFS((AND(K732="SI",M732="$")),J732*0.2,AND(K732="SI",M732="%"),20),"")</f>
        <v/>
      </c>
      <c r="O732" s="29" t="str">
        <f t="shared" si="170"/>
        <v/>
      </c>
      <c r="P732" s="21" t="str">
        <f t="shared" si="171"/>
        <v/>
      </c>
      <c r="Q732" s="21" t="str">
        <f t="shared" si="172"/>
        <v/>
      </c>
      <c r="R732" s="21" t="str">
        <f t="shared" si="173"/>
        <v/>
      </c>
      <c r="S732" s="39"/>
      <c r="T732" s="43" t="str">
        <f t="shared" si="181"/>
        <v/>
      </c>
      <c r="U732" s="49" t="str">
        <f t="shared" si="182"/>
        <v/>
      </c>
      <c r="V732" s="48" t="str">
        <f t="shared" si="183"/>
        <v/>
      </c>
      <c r="W732" s="48" t="str">
        <f t="shared" si="174"/>
        <v/>
      </c>
      <c r="X732" s="50" t="str">
        <f>IF(W732="","",SUMIF($B$4:$B$1002,B732,$W$4:$W$1000))</f>
        <v/>
      </c>
      <c r="Y732" s="43" t="str">
        <f t="shared" si="175"/>
        <v/>
      </c>
      <c r="Z732" s="49" t="str">
        <f t="shared" si="176"/>
        <v/>
      </c>
      <c r="AA732" s="48" t="str">
        <f t="shared" si="177"/>
        <v/>
      </c>
      <c r="AB732" s="49" t="str">
        <f t="shared" si="178"/>
        <v/>
      </c>
      <c r="AC732" s="50" t="str">
        <f>IF(AB732="","",SUMIF($B$4:$B$1002,B732,$AB$4:$AB$1000))</f>
        <v/>
      </c>
      <c r="AD732" s="69"/>
      <c r="AE732" s="56"/>
      <c r="AF732" s="52"/>
      <c r="AG732" s="51"/>
      <c r="AH732" s="70"/>
      <c r="AI732" s="58"/>
      <c r="AJ732" s="55"/>
      <c r="AK732" s="51"/>
      <c r="AL732" s="69"/>
      <c r="AM732" s="56"/>
      <c r="AN732" s="52"/>
      <c r="AO732" s="51"/>
      <c r="AP732" s="70"/>
      <c r="AQ732" s="58"/>
      <c r="AR732" s="55"/>
      <c r="AS732" s="51"/>
      <c r="AT732" s="69"/>
      <c r="AU732" s="56"/>
      <c r="AV732" s="52"/>
      <c r="AW732" s="51"/>
      <c r="BR732" s="34" t="str">
        <f>IF(E732="","",CONCATENATE(E732," ",F732," noches"))</f>
        <v/>
      </c>
      <c r="BS732" s="28" t="str">
        <f t="shared" ca="1" si="179"/>
        <v/>
      </c>
      <c r="BT732" s="28" t="str">
        <f t="shared" ca="1" si="180"/>
        <v/>
      </c>
    </row>
    <row r="733" spans="1:72" x14ac:dyDescent="0.2">
      <c r="A733" s="18" t="str" cm="1">
        <f t="array" aca="1" ref="A733" ca="1">IF(B733="","","Grupo N˚"&amp;SUMPRODUCT(($B$4:B733&lt;&gt;"")*($B$4:B733&lt;&gt;OFFSET($B$4,-1,0,ROWS($B$4:B733),1))))</f>
        <v/>
      </c>
      <c r="B733" s="31"/>
      <c r="C733" s="31"/>
      <c r="D733" s="31"/>
      <c r="E733" s="31"/>
      <c r="F733" s="32"/>
      <c r="G733" s="33"/>
      <c r="H733" s="33"/>
      <c r="I733" s="20" t="str">
        <f t="shared" si="169"/>
        <v/>
      </c>
      <c r="J733" s="21" t="str">
        <f>IFERROR(VLOOKUP(BR733,Pricing!$D$3:$E$58,2,FALSE),"")</f>
        <v/>
      </c>
      <c r="K733" s="32"/>
      <c r="L733" s="32"/>
      <c r="M733" s="32"/>
      <c r="N733" s="36" t="str" cm="1">
        <f t="array" ref="N733">IFERROR(_xlfn.IFS((AND(K733="SI",M733="$")),J733*0.2,AND(K733="SI",M733="%"),20),"")</f>
        <v/>
      </c>
      <c r="O733" s="29" t="str">
        <f t="shared" si="170"/>
        <v/>
      </c>
      <c r="P733" s="21" t="str">
        <f t="shared" si="171"/>
        <v/>
      </c>
      <c r="Q733" s="21" t="str">
        <f t="shared" si="172"/>
        <v/>
      </c>
      <c r="R733" s="21" t="str">
        <f t="shared" si="173"/>
        <v/>
      </c>
      <c r="S733" s="39"/>
      <c r="T733" s="43" t="str">
        <f t="shared" si="181"/>
        <v/>
      </c>
      <c r="U733" s="49" t="str">
        <f t="shared" si="182"/>
        <v/>
      </c>
      <c r="V733" s="48" t="str">
        <f t="shared" si="183"/>
        <v/>
      </c>
      <c r="W733" s="48" t="str">
        <f t="shared" si="174"/>
        <v/>
      </c>
      <c r="X733" s="50" t="str">
        <f>IF(W733="","",SUMIF($B$4:$B$1002,B733,$W$4:$W$1000))</f>
        <v/>
      </c>
      <c r="Y733" s="43" t="str">
        <f t="shared" si="175"/>
        <v/>
      </c>
      <c r="Z733" s="49" t="str">
        <f t="shared" si="176"/>
        <v/>
      </c>
      <c r="AA733" s="48" t="str">
        <f t="shared" si="177"/>
        <v/>
      </c>
      <c r="AB733" s="49" t="str">
        <f t="shared" si="178"/>
        <v/>
      </c>
      <c r="AC733" s="50" t="str">
        <f>IF(AB733="","",SUMIF($B$4:$B$1002,B733,$AB$4:$AB$1000))</f>
        <v/>
      </c>
      <c r="AD733" s="69"/>
      <c r="AE733" s="56"/>
      <c r="AF733" s="52"/>
      <c r="AG733" s="51"/>
      <c r="AH733" s="70"/>
      <c r="AI733" s="58"/>
      <c r="AJ733" s="55"/>
      <c r="AK733" s="51"/>
      <c r="AL733" s="69"/>
      <c r="AM733" s="56"/>
      <c r="AN733" s="52"/>
      <c r="AO733" s="51"/>
      <c r="AP733" s="70"/>
      <c r="AQ733" s="58"/>
      <c r="AR733" s="55"/>
      <c r="AS733" s="51"/>
      <c r="AT733" s="69"/>
      <c r="AU733" s="56"/>
      <c r="AV733" s="52"/>
      <c r="AW733" s="51"/>
      <c r="BR733" s="34" t="str">
        <f>IF(E733="","",CONCATENATE(E733," ",F733," noches"))</f>
        <v/>
      </c>
      <c r="BS733" s="28" t="str">
        <f t="shared" ca="1" si="179"/>
        <v/>
      </c>
      <c r="BT733" s="28" t="str">
        <f t="shared" ca="1" si="180"/>
        <v/>
      </c>
    </row>
    <row r="734" spans="1:72" x14ac:dyDescent="0.2">
      <c r="A734" s="18" t="str" cm="1">
        <f t="array" aca="1" ref="A734" ca="1">IF(B734="","","Grupo N˚"&amp;SUMPRODUCT(($B$4:B734&lt;&gt;"")*($B$4:B734&lt;&gt;OFFSET($B$4,-1,0,ROWS($B$4:B734),1))))</f>
        <v/>
      </c>
      <c r="B734" s="31"/>
      <c r="C734" s="31"/>
      <c r="D734" s="31"/>
      <c r="E734" s="31"/>
      <c r="F734" s="32"/>
      <c r="G734" s="33"/>
      <c r="H734" s="33"/>
      <c r="I734" s="20" t="str">
        <f t="shared" si="169"/>
        <v/>
      </c>
      <c r="J734" s="21" t="str">
        <f>IFERROR(VLOOKUP(BR734,Pricing!$D$3:$E$58,2,FALSE),"")</f>
        <v/>
      </c>
      <c r="K734" s="32"/>
      <c r="L734" s="32"/>
      <c r="M734" s="32"/>
      <c r="N734" s="36" t="str" cm="1">
        <f t="array" ref="N734">IFERROR(_xlfn.IFS((AND(K734="SI",M734="$")),J734*0.2,AND(K734="SI",M734="%"),20),"")</f>
        <v/>
      </c>
      <c r="O734" s="29" t="str">
        <f t="shared" si="170"/>
        <v/>
      </c>
      <c r="P734" s="21" t="str">
        <f t="shared" si="171"/>
        <v/>
      </c>
      <c r="Q734" s="21" t="str">
        <f t="shared" si="172"/>
        <v/>
      </c>
      <c r="R734" s="21" t="str">
        <f t="shared" si="173"/>
        <v/>
      </c>
      <c r="S734" s="39"/>
      <c r="T734" s="43" t="str">
        <f t="shared" si="181"/>
        <v/>
      </c>
      <c r="U734" s="49" t="str">
        <f t="shared" si="182"/>
        <v/>
      </c>
      <c r="V734" s="48" t="str">
        <f t="shared" si="183"/>
        <v/>
      </c>
      <c r="W734" s="48" t="str">
        <f t="shared" si="174"/>
        <v/>
      </c>
      <c r="X734" s="50" t="str">
        <f>IF(W734="","",SUMIF($B$4:$B$1002,B734,$W$4:$W$1000))</f>
        <v/>
      </c>
      <c r="Y734" s="43" t="str">
        <f t="shared" si="175"/>
        <v/>
      </c>
      <c r="Z734" s="49" t="str">
        <f t="shared" si="176"/>
        <v/>
      </c>
      <c r="AA734" s="48" t="str">
        <f t="shared" si="177"/>
        <v/>
      </c>
      <c r="AB734" s="49" t="str">
        <f t="shared" si="178"/>
        <v/>
      </c>
      <c r="AC734" s="50" t="str">
        <f>IF(AB734="","",SUMIF($B$4:$B$1002,B734,$AB$4:$AB$1000))</f>
        <v/>
      </c>
      <c r="AD734" s="69"/>
      <c r="AE734" s="56"/>
      <c r="AF734" s="52"/>
      <c r="AG734" s="51"/>
      <c r="AH734" s="70"/>
      <c r="AI734" s="58"/>
      <c r="AJ734" s="55"/>
      <c r="AK734" s="51"/>
      <c r="AL734" s="69"/>
      <c r="AM734" s="56"/>
      <c r="AN734" s="52"/>
      <c r="AO734" s="51"/>
      <c r="AP734" s="70"/>
      <c r="AQ734" s="58"/>
      <c r="AR734" s="55"/>
      <c r="AS734" s="51"/>
      <c r="AT734" s="69"/>
      <c r="AU734" s="56"/>
      <c r="AV734" s="52"/>
      <c r="AW734" s="51"/>
      <c r="BR734" s="34" t="str">
        <f>IF(E734="","",CONCATENATE(E734," ",F734," noches"))</f>
        <v/>
      </c>
      <c r="BS734" s="28" t="str">
        <f t="shared" ca="1" si="179"/>
        <v/>
      </c>
      <c r="BT734" s="28" t="str">
        <f t="shared" ca="1" si="180"/>
        <v/>
      </c>
    </row>
    <row r="735" spans="1:72" x14ac:dyDescent="0.2">
      <c r="A735" s="18" t="str" cm="1">
        <f t="array" aca="1" ref="A735" ca="1">IF(B735="","","Grupo N˚"&amp;SUMPRODUCT(($B$4:B735&lt;&gt;"")*($B$4:B735&lt;&gt;OFFSET($B$4,-1,0,ROWS($B$4:B735),1))))</f>
        <v/>
      </c>
      <c r="B735" s="31"/>
      <c r="C735" s="31"/>
      <c r="D735" s="31"/>
      <c r="E735" s="31"/>
      <c r="F735" s="32"/>
      <c r="G735" s="33"/>
      <c r="H735" s="33"/>
      <c r="I735" s="20" t="str">
        <f t="shared" si="169"/>
        <v/>
      </c>
      <c r="J735" s="21" t="str">
        <f>IFERROR(VLOOKUP(BR735,Pricing!$D$3:$E$58,2,FALSE),"")</f>
        <v/>
      </c>
      <c r="K735" s="32"/>
      <c r="L735" s="32"/>
      <c r="M735" s="32"/>
      <c r="N735" s="36" t="str" cm="1">
        <f t="array" ref="N735">IFERROR(_xlfn.IFS((AND(K735="SI",M735="$")),J735*0.2,AND(K735="SI",M735="%"),20),"")</f>
        <v/>
      </c>
      <c r="O735" s="29" t="str">
        <f t="shared" si="170"/>
        <v/>
      </c>
      <c r="P735" s="21" t="str">
        <f t="shared" si="171"/>
        <v/>
      </c>
      <c r="Q735" s="21" t="str">
        <f t="shared" si="172"/>
        <v/>
      </c>
      <c r="R735" s="21" t="str">
        <f t="shared" si="173"/>
        <v/>
      </c>
      <c r="S735" s="39"/>
      <c r="T735" s="43" t="str">
        <f t="shared" si="181"/>
        <v/>
      </c>
      <c r="U735" s="49" t="str">
        <f t="shared" si="182"/>
        <v/>
      </c>
      <c r="V735" s="48" t="str">
        <f t="shared" si="183"/>
        <v/>
      </c>
      <c r="W735" s="48" t="str">
        <f t="shared" si="174"/>
        <v/>
      </c>
      <c r="X735" s="50" t="str">
        <f>IF(W735="","",SUMIF($B$4:$B$1002,B735,$W$4:$W$1000))</f>
        <v/>
      </c>
      <c r="Y735" s="43" t="str">
        <f t="shared" si="175"/>
        <v/>
      </c>
      <c r="Z735" s="49" t="str">
        <f t="shared" si="176"/>
        <v/>
      </c>
      <c r="AA735" s="48" t="str">
        <f t="shared" si="177"/>
        <v/>
      </c>
      <c r="AB735" s="49" t="str">
        <f t="shared" si="178"/>
        <v/>
      </c>
      <c r="AC735" s="50" t="str">
        <f>IF(AB735="","",SUMIF($B$4:$B$1002,B735,$AB$4:$AB$1000))</f>
        <v/>
      </c>
      <c r="AD735" s="69"/>
      <c r="AE735" s="56"/>
      <c r="AF735" s="52"/>
      <c r="AG735" s="51"/>
      <c r="AH735" s="70"/>
      <c r="AI735" s="58"/>
      <c r="AJ735" s="55"/>
      <c r="AK735" s="51"/>
      <c r="AL735" s="69"/>
      <c r="AM735" s="56"/>
      <c r="AN735" s="52"/>
      <c r="AO735" s="51"/>
      <c r="AP735" s="70"/>
      <c r="AQ735" s="58"/>
      <c r="AR735" s="55"/>
      <c r="AS735" s="51"/>
      <c r="AT735" s="69"/>
      <c r="AU735" s="56"/>
      <c r="AV735" s="52"/>
      <c r="AW735" s="51"/>
      <c r="BR735" s="34" t="str">
        <f>IF(E735="","",CONCATENATE(E735," ",F735," noches"))</f>
        <v/>
      </c>
      <c r="BS735" s="28" t="str">
        <f t="shared" ca="1" si="179"/>
        <v/>
      </c>
      <c r="BT735" s="28" t="str">
        <f t="shared" ca="1" si="180"/>
        <v/>
      </c>
    </row>
    <row r="736" spans="1:72" x14ac:dyDescent="0.2">
      <c r="A736" s="18" t="str" cm="1">
        <f t="array" aca="1" ref="A736" ca="1">IF(B736="","","Grupo N˚"&amp;SUMPRODUCT(($B$4:B736&lt;&gt;"")*($B$4:B736&lt;&gt;OFFSET($B$4,-1,0,ROWS($B$4:B736),1))))</f>
        <v/>
      </c>
      <c r="B736" s="31"/>
      <c r="C736" s="31"/>
      <c r="D736" s="31"/>
      <c r="E736" s="31"/>
      <c r="F736" s="32"/>
      <c r="G736" s="33"/>
      <c r="H736" s="33"/>
      <c r="I736" s="20" t="str">
        <f t="shared" si="169"/>
        <v/>
      </c>
      <c r="J736" s="21" t="str">
        <f>IFERROR(VLOOKUP(BR736,Pricing!$D$3:$E$58,2,FALSE),"")</f>
        <v/>
      </c>
      <c r="K736" s="32"/>
      <c r="L736" s="32"/>
      <c r="M736" s="32"/>
      <c r="N736" s="36" t="str" cm="1">
        <f t="array" ref="N736">IFERROR(_xlfn.IFS((AND(K736="SI",M736="$")),J736*0.2,AND(K736="SI",M736="%"),20),"")</f>
        <v/>
      </c>
      <c r="O736" s="29" t="str">
        <f t="shared" si="170"/>
        <v/>
      </c>
      <c r="P736" s="21" t="str">
        <f t="shared" si="171"/>
        <v/>
      </c>
      <c r="Q736" s="21" t="str">
        <f t="shared" si="172"/>
        <v/>
      </c>
      <c r="R736" s="21" t="str">
        <f t="shared" si="173"/>
        <v/>
      </c>
      <c r="S736" s="39"/>
      <c r="T736" s="43" t="str">
        <f t="shared" si="181"/>
        <v/>
      </c>
      <c r="U736" s="49" t="str">
        <f t="shared" si="182"/>
        <v/>
      </c>
      <c r="V736" s="48" t="str">
        <f t="shared" si="183"/>
        <v/>
      </c>
      <c r="W736" s="48" t="str">
        <f t="shared" si="174"/>
        <v/>
      </c>
      <c r="X736" s="50" t="str">
        <f>IF(W736="","",SUMIF($B$4:$B$1002,B736,$W$4:$W$1000))</f>
        <v/>
      </c>
      <c r="Y736" s="43" t="str">
        <f t="shared" si="175"/>
        <v/>
      </c>
      <c r="Z736" s="49" t="str">
        <f t="shared" si="176"/>
        <v/>
      </c>
      <c r="AA736" s="48" t="str">
        <f t="shared" si="177"/>
        <v/>
      </c>
      <c r="AB736" s="49" t="str">
        <f t="shared" si="178"/>
        <v/>
      </c>
      <c r="AC736" s="50" t="str">
        <f>IF(AB736="","",SUMIF($B$4:$B$1002,B736,$AB$4:$AB$1000))</f>
        <v/>
      </c>
      <c r="AD736" s="69"/>
      <c r="AE736" s="56"/>
      <c r="AF736" s="52"/>
      <c r="AG736" s="51"/>
      <c r="AH736" s="70"/>
      <c r="AI736" s="58"/>
      <c r="AJ736" s="55"/>
      <c r="AK736" s="51"/>
      <c r="AL736" s="69"/>
      <c r="AM736" s="56"/>
      <c r="AN736" s="52"/>
      <c r="AO736" s="51"/>
      <c r="AP736" s="70"/>
      <c r="AQ736" s="58"/>
      <c r="AR736" s="55"/>
      <c r="AS736" s="51"/>
      <c r="AT736" s="69"/>
      <c r="AU736" s="56"/>
      <c r="AV736" s="52"/>
      <c r="AW736" s="51"/>
      <c r="BR736" s="34" t="str">
        <f>IF(E736="","",CONCATENATE(E736," ",F736," noches"))</f>
        <v/>
      </c>
      <c r="BS736" s="28" t="str">
        <f t="shared" ca="1" si="179"/>
        <v/>
      </c>
      <c r="BT736" s="28" t="str">
        <f t="shared" ca="1" si="180"/>
        <v/>
      </c>
    </row>
    <row r="737" spans="1:72" x14ac:dyDescent="0.2">
      <c r="A737" s="18" t="str" cm="1">
        <f t="array" aca="1" ref="A737" ca="1">IF(B737="","","Grupo N˚"&amp;SUMPRODUCT(($B$4:B737&lt;&gt;"")*($B$4:B737&lt;&gt;OFFSET($B$4,-1,0,ROWS($B$4:B737),1))))</f>
        <v/>
      </c>
      <c r="B737" s="31"/>
      <c r="C737" s="31"/>
      <c r="D737" s="31"/>
      <c r="E737" s="31"/>
      <c r="F737" s="32"/>
      <c r="G737" s="33"/>
      <c r="H737" s="33"/>
      <c r="I737" s="20" t="str">
        <f t="shared" si="169"/>
        <v/>
      </c>
      <c r="J737" s="21" t="str">
        <f>IFERROR(VLOOKUP(BR737,Pricing!$D$3:$E$58,2,FALSE),"")</f>
        <v/>
      </c>
      <c r="K737" s="32"/>
      <c r="L737" s="32"/>
      <c r="M737" s="32"/>
      <c r="N737" s="36" t="str" cm="1">
        <f t="array" ref="N737">IFERROR(_xlfn.IFS((AND(K737="SI",M737="$")),J737*0.2,AND(K737="SI",M737="%"),20),"")</f>
        <v/>
      </c>
      <c r="O737" s="29" t="str">
        <f t="shared" si="170"/>
        <v/>
      </c>
      <c r="P737" s="21" t="str">
        <f t="shared" si="171"/>
        <v/>
      </c>
      <c r="Q737" s="21" t="str">
        <f t="shared" si="172"/>
        <v/>
      </c>
      <c r="R737" s="21" t="str">
        <f t="shared" si="173"/>
        <v/>
      </c>
      <c r="S737" s="39"/>
      <c r="T737" s="43" t="str">
        <f t="shared" si="181"/>
        <v/>
      </c>
      <c r="U737" s="49" t="str">
        <f t="shared" si="182"/>
        <v/>
      </c>
      <c r="V737" s="48" t="str">
        <f t="shared" si="183"/>
        <v/>
      </c>
      <c r="W737" s="48" t="str">
        <f t="shared" si="174"/>
        <v/>
      </c>
      <c r="X737" s="50" t="str">
        <f>IF(W737="","",SUMIF($B$4:$B$1002,B737,$W$4:$W$1000))</f>
        <v/>
      </c>
      <c r="Y737" s="43" t="str">
        <f t="shared" si="175"/>
        <v/>
      </c>
      <c r="Z737" s="49" t="str">
        <f t="shared" si="176"/>
        <v/>
      </c>
      <c r="AA737" s="48" t="str">
        <f t="shared" si="177"/>
        <v/>
      </c>
      <c r="AB737" s="49" t="str">
        <f t="shared" si="178"/>
        <v/>
      </c>
      <c r="AC737" s="50" t="str">
        <f>IF(AB737="","",SUMIF($B$4:$B$1002,B737,$AB$4:$AB$1000))</f>
        <v/>
      </c>
      <c r="AD737" s="69"/>
      <c r="AE737" s="56"/>
      <c r="AF737" s="52"/>
      <c r="AG737" s="51"/>
      <c r="AH737" s="70"/>
      <c r="AI737" s="58"/>
      <c r="AJ737" s="55"/>
      <c r="AK737" s="51"/>
      <c r="AL737" s="69"/>
      <c r="AM737" s="56"/>
      <c r="AN737" s="52"/>
      <c r="AO737" s="51"/>
      <c r="AP737" s="70"/>
      <c r="AQ737" s="58"/>
      <c r="AR737" s="55"/>
      <c r="AS737" s="51"/>
      <c r="AT737" s="69"/>
      <c r="AU737" s="56"/>
      <c r="AV737" s="52"/>
      <c r="AW737" s="51"/>
      <c r="BR737" s="34" t="str">
        <f>IF(E737="","",CONCATENATE(E737," ",F737," noches"))</f>
        <v/>
      </c>
      <c r="BS737" s="28" t="str">
        <f t="shared" ca="1" si="179"/>
        <v/>
      </c>
      <c r="BT737" s="28" t="str">
        <f t="shared" ca="1" si="180"/>
        <v/>
      </c>
    </row>
    <row r="738" spans="1:72" x14ac:dyDescent="0.2">
      <c r="A738" s="18" t="str" cm="1">
        <f t="array" aca="1" ref="A738" ca="1">IF(B738="","","Grupo N˚"&amp;SUMPRODUCT(($B$4:B738&lt;&gt;"")*($B$4:B738&lt;&gt;OFFSET($B$4,-1,0,ROWS($B$4:B738),1))))</f>
        <v/>
      </c>
      <c r="B738" s="31"/>
      <c r="C738" s="31"/>
      <c r="D738" s="31"/>
      <c r="E738" s="31"/>
      <c r="F738" s="32"/>
      <c r="G738" s="33"/>
      <c r="H738" s="33"/>
      <c r="I738" s="20" t="str">
        <f t="shared" si="169"/>
        <v/>
      </c>
      <c r="J738" s="21" t="str">
        <f>IFERROR(VLOOKUP(BR738,Pricing!$D$3:$E$58,2,FALSE),"")</f>
        <v/>
      </c>
      <c r="K738" s="32"/>
      <c r="L738" s="32"/>
      <c r="M738" s="32"/>
      <c r="N738" s="36" t="str" cm="1">
        <f t="array" ref="N738">IFERROR(_xlfn.IFS((AND(K738="SI",M738="$")),J738*0.2,AND(K738="SI",M738="%"),20),"")</f>
        <v/>
      </c>
      <c r="O738" s="29" t="str">
        <f t="shared" si="170"/>
        <v/>
      </c>
      <c r="P738" s="21" t="str">
        <f t="shared" si="171"/>
        <v/>
      </c>
      <c r="Q738" s="21" t="str">
        <f t="shared" si="172"/>
        <v/>
      </c>
      <c r="R738" s="21" t="str">
        <f t="shared" si="173"/>
        <v/>
      </c>
      <c r="S738" s="39"/>
      <c r="T738" s="43" t="str">
        <f t="shared" si="181"/>
        <v/>
      </c>
      <c r="U738" s="49" t="str">
        <f t="shared" si="182"/>
        <v/>
      </c>
      <c r="V738" s="48" t="str">
        <f t="shared" si="183"/>
        <v/>
      </c>
      <c r="W738" s="48" t="str">
        <f t="shared" si="174"/>
        <v/>
      </c>
      <c r="X738" s="50" t="str">
        <f>IF(W738="","",SUMIF($B$4:$B$1002,B738,$W$4:$W$1000))</f>
        <v/>
      </c>
      <c r="Y738" s="43" t="str">
        <f t="shared" si="175"/>
        <v/>
      </c>
      <c r="Z738" s="49" t="str">
        <f t="shared" si="176"/>
        <v/>
      </c>
      <c r="AA738" s="48" t="str">
        <f t="shared" si="177"/>
        <v/>
      </c>
      <c r="AB738" s="49" t="str">
        <f t="shared" si="178"/>
        <v/>
      </c>
      <c r="AC738" s="50" t="str">
        <f>IF(AB738="","",SUMIF($B$4:$B$1002,B738,$AB$4:$AB$1000))</f>
        <v/>
      </c>
      <c r="AD738" s="69"/>
      <c r="AE738" s="56"/>
      <c r="AF738" s="52"/>
      <c r="AG738" s="51"/>
      <c r="AH738" s="70"/>
      <c r="AI738" s="58"/>
      <c r="AJ738" s="55"/>
      <c r="AK738" s="51"/>
      <c r="AL738" s="69"/>
      <c r="AM738" s="56"/>
      <c r="AN738" s="52"/>
      <c r="AO738" s="51"/>
      <c r="AP738" s="70"/>
      <c r="AQ738" s="58"/>
      <c r="AR738" s="55"/>
      <c r="AS738" s="51"/>
      <c r="AT738" s="69"/>
      <c r="AU738" s="56"/>
      <c r="AV738" s="52"/>
      <c r="AW738" s="51"/>
      <c r="BR738" s="34" t="str">
        <f>IF(E738="","",CONCATENATE(E738," ",F738," noches"))</f>
        <v/>
      </c>
      <c r="BS738" s="28" t="str">
        <f t="shared" ca="1" si="179"/>
        <v/>
      </c>
      <c r="BT738" s="28" t="str">
        <f t="shared" ca="1" si="180"/>
        <v/>
      </c>
    </row>
    <row r="739" spans="1:72" x14ac:dyDescent="0.2">
      <c r="A739" s="18" t="str" cm="1">
        <f t="array" aca="1" ref="A739" ca="1">IF(B739="","","Grupo N˚"&amp;SUMPRODUCT(($B$4:B739&lt;&gt;"")*($B$4:B739&lt;&gt;OFFSET($B$4,-1,0,ROWS($B$4:B739),1))))</f>
        <v/>
      </c>
      <c r="B739" s="31"/>
      <c r="C739" s="31"/>
      <c r="D739" s="31"/>
      <c r="E739" s="31"/>
      <c r="F739" s="32"/>
      <c r="G739" s="33"/>
      <c r="H739" s="33"/>
      <c r="I739" s="20" t="str">
        <f t="shared" si="169"/>
        <v/>
      </c>
      <c r="J739" s="21" t="str">
        <f>IFERROR(VLOOKUP(BR739,Pricing!$D$3:$E$58,2,FALSE),"")</f>
        <v/>
      </c>
      <c r="K739" s="32"/>
      <c r="L739" s="32"/>
      <c r="M739" s="32"/>
      <c r="N739" s="36" t="str" cm="1">
        <f t="array" ref="N739">IFERROR(_xlfn.IFS((AND(K739="SI",M739="$")),J739*0.2,AND(K739="SI",M739="%"),20),"")</f>
        <v/>
      </c>
      <c r="O739" s="29" t="str">
        <f t="shared" si="170"/>
        <v/>
      </c>
      <c r="P739" s="21" t="str">
        <f t="shared" si="171"/>
        <v/>
      </c>
      <c r="Q739" s="21" t="str">
        <f t="shared" si="172"/>
        <v/>
      </c>
      <c r="R739" s="21" t="str">
        <f t="shared" si="173"/>
        <v/>
      </c>
      <c r="S739" s="39"/>
      <c r="T739" s="43" t="str">
        <f t="shared" si="181"/>
        <v/>
      </c>
      <c r="U739" s="49" t="str">
        <f t="shared" si="182"/>
        <v/>
      </c>
      <c r="V739" s="48" t="str">
        <f t="shared" si="183"/>
        <v/>
      </c>
      <c r="W739" s="48" t="str">
        <f t="shared" si="174"/>
        <v/>
      </c>
      <c r="X739" s="50" t="str">
        <f>IF(W739="","",SUMIF($B$4:$B$1002,B739,$W$4:$W$1000))</f>
        <v/>
      </c>
      <c r="Y739" s="43" t="str">
        <f t="shared" si="175"/>
        <v/>
      </c>
      <c r="Z739" s="49" t="str">
        <f t="shared" si="176"/>
        <v/>
      </c>
      <c r="AA739" s="48" t="str">
        <f t="shared" si="177"/>
        <v/>
      </c>
      <c r="AB739" s="49" t="str">
        <f t="shared" si="178"/>
        <v/>
      </c>
      <c r="AC739" s="50" t="str">
        <f>IF(AB739="","",SUMIF($B$4:$B$1002,B739,$AB$4:$AB$1000))</f>
        <v/>
      </c>
      <c r="AD739" s="69"/>
      <c r="AE739" s="56"/>
      <c r="AF739" s="52"/>
      <c r="AG739" s="51"/>
      <c r="AH739" s="70"/>
      <c r="AI739" s="58"/>
      <c r="AJ739" s="55"/>
      <c r="AK739" s="51"/>
      <c r="AL739" s="69"/>
      <c r="AM739" s="56"/>
      <c r="AN739" s="52"/>
      <c r="AO739" s="51"/>
      <c r="AP739" s="70"/>
      <c r="AQ739" s="58"/>
      <c r="AR739" s="55"/>
      <c r="AS739" s="51"/>
      <c r="AT739" s="69"/>
      <c r="AU739" s="56"/>
      <c r="AV739" s="52"/>
      <c r="AW739" s="51"/>
      <c r="BR739" s="34" t="str">
        <f>IF(E739="","",CONCATENATE(E739," ",F739," noches"))</f>
        <v/>
      </c>
      <c r="BS739" s="28" t="str">
        <f t="shared" ca="1" si="179"/>
        <v/>
      </c>
      <c r="BT739" s="28" t="str">
        <f t="shared" ca="1" si="180"/>
        <v/>
      </c>
    </row>
    <row r="740" spans="1:72" x14ac:dyDescent="0.2">
      <c r="A740" s="18" t="str" cm="1">
        <f t="array" aca="1" ref="A740" ca="1">IF(B740="","","Grupo N˚"&amp;SUMPRODUCT(($B$4:B740&lt;&gt;"")*($B$4:B740&lt;&gt;OFFSET($B$4,-1,0,ROWS($B$4:B740),1))))</f>
        <v/>
      </c>
      <c r="B740" s="31"/>
      <c r="C740" s="31"/>
      <c r="D740" s="31"/>
      <c r="E740" s="31"/>
      <c r="F740" s="32"/>
      <c r="G740" s="33"/>
      <c r="H740" s="33"/>
      <c r="I740" s="20" t="str">
        <f t="shared" si="169"/>
        <v/>
      </c>
      <c r="J740" s="21" t="str">
        <f>IFERROR(VLOOKUP(BR740,Pricing!$D$3:$E$58,2,FALSE),"")</f>
        <v/>
      </c>
      <c r="K740" s="32"/>
      <c r="L740" s="32"/>
      <c r="M740" s="32"/>
      <c r="N740" s="36" t="str" cm="1">
        <f t="array" ref="N740">IFERROR(_xlfn.IFS((AND(K740="SI",M740="$")),J740*0.2,AND(K740="SI",M740="%"),20),"")</f>
        <v/>
      </c>
      <c r="O740" s="29" t="str">
        <f t="shared" si="170"/>
        <v/>
      </c>
      <c r="P740" s="21" t="str">
        <f t="shared" si="171"/>
        <v/>
      </c>
      <c r="Q740" s="21" t="str">
        <f t="shared" si="172"/>
        <v/>
      </c>
      <c r="R740" s="21" t="str">
        <f t="shared" si="173"/>
        <v/>
      </c>
      <c r="S740" s="39"/>
      <c r="T740" s="43" t="str">
        <f t="shared" si="181"/>
        <v/>
      </c>
      <c r="U740" s="49" t="str">
        <f t="shared" si="182"/>
        <v/>
      </c>
      <c r="V740" s="48" t="str">
        <f t="shared" si="183"/>
        <v/>
      </c>
      <c r="W740" s="48" t="str">
        <f t="shared" si="174"/>
        <v/>
      </c>
      <c r="X740" s="50" t="str">
        <f>IF(W740="","",SUMIF($B$4:$B$1002,B740,$W$4:$W$1000))</f>
        <v/>
      </c>
      <c r="Y740" s="43" t="str">
        <f t="shared" si="175"/>
        <v/>
      </c>
      <c r="Z740" s="49" t="str">
        <f t="shared" si="176"/>
        <v/>
      </c>
      <c r="AA740" s="48" t="str">
        <f t="shared" si="177"/>
        <v/>
      </c>
      <c r="AB740" s="49" t="str">
        <f t="shared" si="178"/>
        <v/>
      </c>
      <c r="AC740" s="50" t="str">
        <f>IF(AB740="","",SUMIF($B$4:$B$1002,B740,$AB$4:$AB$1000))</f>
        <v/>
      </c>
      <c r="AD740" s="69"/>
      <c r="AE740" s="56"/>
      <c r="AF740" s="52"/>
      <c r="AG740" s="51"/>
      <c r="AH740" s="70"/>
      <c r="AI740" s="58"/>
      <c r="AJ740" s="55"/>
      <c r="AK740" s="51"/>
      <c r="AL740" s="69"/>
      <c r="AM740" s="56"/>
      <c r="AN740" s="52"/>
      <c r="AO740" s="51"/>
      <c r="AP740" s="70"/>
      <c r="AQ740" s="58"/>
      <c r="AR740" s="55"/>
      <c r="AS740" s="51"/>
      <c r="AT740" s="69"/>
      <c r="AU740" s="56"/>
      <c r="AV740" s="52"/>
      <c r="AW740" s="51"/>
      <c r="BR740" s="34" t="str">
        <f>IF(E740="","",CONCATENATE(E740," ",F740," noches"))</f>
        <v/>
      </c>
      <c r="BS740" s="28" t="str">
        <f t="shared" ca="1" si="179"/>
        <v/>
      </c>
      <c r="BT740" s="28" t="str">
        <f t="shared" ca="1" si="180"/>
        <v/>
      </c>
    </row>
    <row r="741" spans="1:72" x14ac:dyDescent="0.2">
      <c r="A741" s="18" t="str" cm="1">
        <f t="array" aca="1" ref="A741" ca="1">IF(B741="","","Grupo N˚"&amp;SUMPRODUCT(($B$4:B741&lt;&gt;"")*($B$4:B741&lt;&gt;OFFSET($B$4,-1,0,ROWS($B$4:B741),1))))</f>
        <v/>
      </c>
      <c r="B741" s="31"/>
      <c r="C741" s="31"/>
      <c r="D741" s="31"/>
      <c r="E741" s="31"/>
      <c r="F741" s="32"/>
      <c r="G741" s="33"/>
      <c r="H741" s="33"/>
      <c r="I741" s="20" t="str">
        <f t="shared" si="169"/>
        <v/>
      </c>
      <c r="J741" s="21" t="str">
        <f>IFERROR(VLOOKUP(BR741,Pricing!$D$3:$E$58,2,FALSE),"")</f>
        <v/>
      </c>
      <c r="K741" s="32"/>
      <c r="L741" s="32"/>
      <c r="M741" s="32"/>
      <c r="N741" s="36" t="str" cm="1">
        <f t="array" ref="N741">IFERROR(_xlfn.IFS((AND(K741="SI",M741="$")),J741*0.2,AND(K741="SI",M741="%"),20),"")</f>
        <v/>
      </c>
      <c r="O741" s="29" t="str">
        <f t="shared" si="170"/>
        <v/>
      </c>
      <c r="P741" s="21" t="str">
        <f t="shared" si="171"/>
        <v/>
      </c>
      <c r="Q741" s="21" t="str">
        <f t="shared" si="172"/>
        <v/>
      </c>
      <c r="R741" s="21" t="str">
        <f t="shared" si="173"/>
        <v/>
      </c>
      <c r="S741" s="39"/>
      <c r="T741" s="43" t="str">
        <f t="shared" si="181"/>
        <v/>
      </c>
      <c r="U741" s="49" t="str">
        <f t="shared" si="182"/>
        <v/>
      </c>
      <c r="V741" s="48" t="str">
        <f t="shared" si="183"/>
        <v/>
      </c>
      <c r="W741" s="48" t="str">
        <f t="shared" si="174"/>
        <v/>
      </c>
      <c r="X741" s="50" t="str">
        <f>IF(W741="","",SUMIF($B$4:$B$1002,B741,$W$4:$W$1000))</f>
        <v/>
      </c>
      <c r="Y741" s="43" t="str">
        <f t="shared" si="175"/>
        <v/>
      </c>
      <c r="Z741" s="49" t="str">
        <f t="shared" si="176"/>
        <v/>
      </c>
      <c r="AA741" s="48" t="str">
        <f t="shared" si="177"/>
        <v/>
      </c>
      <c r="AB741" s="49" t="str">
        <f t="shared" si="178"/>
        <v/>
      </c>
      <c r="AC741" s="50" t="str">
        <f>IF(AB741="","",SUMIF($B$4:$B$1002,B741,$AB$4:$AB$1000))</f>
        <v/>
      </c>
      <c r="AD741" s="69"/>
      <c r="AE741" s="56"/>
      <c r="AF741" s="52"/>
      <c r="AG741" s="51"/>
      <c r="AH741" s="70"/>
      <c r="AI741" s="58"/>
      <c r="AJ741" s="55"/>
      <c r="AK741" s="51"/>
      <c r="AL741" s="69"/>
      <c r="AM741" s="56"/>
      <c r="AN741" s="52"/>
      <c r="AO741" s="51"/>
      <c r="AP741" s="70"/>
      <c r="AQ741" s="58"/>
      <c r="AR741" s="55"/>
      <c r="AS741" s="51"/>
      <c r="AT741" s="69"/>
      <c r="AU741" s="56"/>
      <c r="AV741" s="52"/>
      <c r="AW741" s="51"/>
      <c r="BR741" s="34" t="str">
        <f>IF(E741="","",CONCATENATE(E741," ",F741," noches"))</f>
        <v/>
      </c>
      <c r="BS741" s="28" t="str">
        <f t="shared" ca="1" si="179"/>
        <v/>
      </c>
      <c r="BT741" s="28" t="str">
        <f t="shared" ca="1" si="180"/>
        <v/>
      </c>
    </row>
    <row r="742" spans="1:72" x14ac:dyDescent="0.2">
      <c r="A742" s="18" t="str" cm="1">
        <f t="array" aca="1" ref="A742" ca="1">IF(B742="","","Grupo N˚"&amp;SUMPRODUCT(($B$4:B742&lt;&gt;"")*($B$4:B742&lt;&gt;OFFSET($B$4,-1,0,ROWS($B$4:B742),1))))</f>
        <v/>
      </c>
      <c r="B742" s="31"/>
      <c r="C742" s="31"/>
      <c r="D742" s="31"/>
      <c r="E742" s="31"/>
      <c r="F742" s="32"/>
      <c r="G742" s="33"/>
      <c r="H742" s="33"/>
      <c r="I742" s="20" t="str">
        <f t="shared" si="169"/>
        <v/>
      </c>
      <c r="J742" s="21" t="str">
        <f>IFERROR(VLOOKUP(BR742,Pricing!$D$3:$E$58,2,FALSE),"")</f>
        <v/>
      </c>
      <c r="K742" s="32"/>
      <c r="L742" s="32"/>
      <c r="M742" s="32"/>
      <c r="N742" s="36" t="str" cm="1">
        <f t="array" ref="N742">IFERROR(_xlfn.IFS((AND(K742="SI",M742="$")),J742*0.2,AND(K742="SI",M742="%"),20),"")</f>
        <v/>
      </c>
      <c r="O742" s="29" t="str">
        <f t="shared" si="170"/>
        <v/>
      </c>
      <c r="P742" s="21" t="str">
        <f t="shared" si="171"/>
        <v/>
      </c>
      <c r="Q742" s="21" t="str">
        <f t="shared" si="172"/>
        <v/>
      </c>
      <c r="R742" s="21" t="str">
        <f t="shared" si="173"/>
        <v/>
      </c>
      <c r="S742" s="39"/>
      <c r="T742" s="43" t="str">
        <f t="shared" si="181"/>
        <v/>
      </c>
      <c r="U742" s="49" t="str">
        <f t="shared" si="182"/>
        <v/>
      </c>
      <c r="V742" s="48" t="str">
        <f t="shared" si="183"/>
        <v/>
      </c>
      <c r="W742" s="48" t="str">
        <f t="shared" si="174"/>
        <v/>
      </c>
      <c r="X742" s="50" t="str">
        <f>IF(W742="","",SUMIF($B$4:$B$1002,B742,$W$4:$W$1000))</f>
        <v/>
      </c>
      <c r="Y742" s="43" t="str">
        <f t="shared" si="175"/>
        <v/>
      </c>
      <c r="Z742" s="49" t="str">
        <f t="shared" si="176"/>
        <v/>
      </c>
      <c r="AA742" s="48" t="str">
        <f t="shared" si="177"/>
        <v/>
      </c>
      <c r="AB742" s="49" t="str">
        <f t="shared" si="178"/>
        <v/>
      </c>
      <c r="AC742" s="50" t="str">
        <f>IF(AB742="","",SUMIF($B$4:$B$1002,B742,$AB$4:$AB$1000))</f>
        <v/>
      </c>
      <c r="AD742" s="69"/>
      <c r="AE742" s="56"/>
      <c r="AF742" s="52"/>
      <c r="AG742" s="51"/>
      <c r="AH742" s="70"/>
      <c r="AI742" s="58"/>
      <c r="AJ742" s="55"/>
      <c r="AK742" s="51"/>
      <c r="AL742" s="69"/>
      <c r="AM742" s="56"/>
      <c r="AN742" s="52"/>
      <c r="AO742" s="51"/>
      <c r="AP742" s="70"/>
      <c r="AQ742" s="58"/>
      <c r="AR742" s="55"/>
      <c r="AS742" s="51"/>
      <c r="AT742" s="69"/>
      <c r="AU742" s="56"/>
      <c r="AV742" s="52"/>
      <c r="AW742" s="51"/>
      <c r="BR742" s="34" t="str">
        <f>IF(E742="","",CONCATENATE(E742," ",F742," noches"))</f>
        <v/>
      </c>
      <c r="BS742" s="28" t="str">
        <f t="shared" ca="1" si="179"/>
        <v/>
      </c>
      <c r="BT742" s="28" t="str">
        <f t="shared" ca="1" si="180"/>
        <v/>
      </c>
    </row>
    <row r="743" spans="1:72" x14ac:dyDescent="0.2">
      <c r="A743" s="18" t="str" cm="1">
        <f t="array" aca="1" ref="A743" ca="1">IF(B743="","","Grupo N˚"&amp;SUMPRODUCT(($B$4:B743&lt;&gt;"")*($B$4:B743&lt;&gt;OFFSET($B$4,-1,0,ROWS($B$4:B743),1))))</f>
        <v/>
      </c>
      <c r="B743" s="31"/>
      <c r="C743" s="31"/>
      <c r="D743" s="31"/>
      <c r="E743" s="31"/>
      <c r="F743" s="32"/>
      <c r="G743" s="33"/>
      <c r="H743" s="33"/>
      <c r="I743" s="20" t="str">
        <f t="shared" si="169"/>
        <v/>
      </c>
      <c r="J743" s="21" t="str">
        <f>IFERROR(VLOOKUP(BR743,Pricing!$D$3:$E$58,2,FALSE),"")</f>
        <v/>
      </c>
      <c r="K743" s="32"/>
      <c r="L743" s="32"/>
      <c r="M743" s="32"/>
      <c r="N743" s="36" t="str" cm="1">
        <f t="array" ref="N743">IFERROR(_xlfn.IFS((AND(K743="SI",M743="$")),J743*0.2,AND(K743="SI",M743="%"),20),"")</f>
        <v/>
      </c>
      <c r="O743" s="29" t="str">
        <f t="shared" si="170"/>
        <v/>
      </c>
      <c r="P743" s="21" t="str">
        <f t="shared" si="171"/>
        <v/>
      </c>
      <c r="Q743" s="21" t="str">
        <f t="shared" si="172"/>
        <v/>
      </c>
      <c r="R743" s="21" t="str">
        <f t="shared" si="173"/>
        <v/>
      </c>
      <c r="S743" s="39"/>
      <c r="T743" s="43" t="str">
        <f t="shared" si="181"/>
        <v/>
      </c>
      <c r="U743" s="49" t="str">
        <f t="shared" si="182"/>
        <v/>
      </c>
      <c r="V743" s="48" t="str">
        <f t="shared" si="183"/>
        <v/>
      </c>
      <c r="W743" s="48" t="str">
        <f t="shared" si="174"/>
        <v/>
      </c>
      <c r="X743" s="50" t="str">
        <f>IF(W743="","",SUMIF($B$4:$B$1002,B743,$W$4:$W$1000))</f>
        <v/>
      </c>
      <c r="Y743" s="43" t="str">
        <f t="shared" si="175"/>
        <v/>
      </c>
      <c r="Z743" s="49" t="str">
        <f t="shared" si="176"/>
        <v/>
      </c>
      <c r="AA743" s="48" t="str">
        <f t="shared" si="177"/>
        <v/>
      </c>
      <c r="AB743" s="49" t="str">
        <f t="shared" si="178"/>
        <v/>
      </c>
      <c r="AC743" s="50" t="str">
        <f>IF(AB743="","",SUMIF($B$4:$B$1002,B743,$AB$4:$AB$1000))</f>
        <v/>
      </c>
      <c r="AD743" s="69"/>
      <c r="AE743" s="56"/>
      <c r="AF743" s="52"/>
      <c r="AG743" s="51"/>
      <c r="AH743" s="70"/>
      <c r="AI743" s="58"/>
      <c r="AJ743" s="55"/>
      <c r="AK743" s="51"/>
      <c r="AL743" s="69"/>
      <c r="AM743" s="56"/>
      <c r="AN743" s="52"/>
      <c r="AO743" s="51"/>
      <c r="AP743" s="70"/>
      <c r="AQ743" s="58"/>
      <c r="AR743" s="55"/>
      <c r="AS743" s="51"/>
      <c r="AT743" s="69"/>
      <c r="AU743" s="56"/>
      <c r="AV743" s="52"/>
      <c r="AW743" s="51"/>
      <c r="BR743" s="34" t="str">
        <f>IF(E743="","",CONCATENATE(E743," ",F743," noches"))</f>
        <v/>
      </c>
      <c r="BS743" s="28" t="str">
        <f t="shared" ca="1" si="179"/>
        <v/>
      </c>
      <c r="BT743" s="28" t="str">
        <f t="shared" ca="1" si="180"/>
        <v/>
      </c>
    </row>
    <row r="744" spans="1:72" x14ac:dyDescent="0.2">
      <c r="A744" s="18" t="str" cm="1">
        <f t="array" aca="1" ref="A744" ca="1">IF(B744="","","Grupo N˚"&amp;SUMPRODUCT(($B$4:B744&lt;&gt;"")*($B$4:B744&lt;&gt;OFFSET($B$4,-1,0,ROWS($B$4:B744),1))))</f>
        <v/>
      </c>
      <c r="B744" s="31"/>
      <c r="C744" s="31"/>
      <c r="D744" s="31"/>
      <c r="E744" s="31"/>
      <c r="F744" s="32"/>
      <c r="G744" s="33"/>
      <c r="H744" s="33"/>
      <c r="I744" s="20" t="str">
        <f t="shared" si="169"/>
        <v/>
      </c>
      <c r="J744" s="21" t="str">
        <f>IFERROR(VLOOKUP(BR744,Pricing!$D$3:$E$58,2,FALSE),"")</f>
        <v/>
      </c>
      <c r="K744" s="32"/>
      <c r="L744" s="32"/>
      <c r="M744" s="32"/>
      <c r="N744" s="36" t="str" cm="1">
        <f t="array" ref="N744">IFERROR(_xlfn.IFS((AND(K744="SI",M744="$")),J744*0.2,AND(K744="SI",M744="%"),20),"")</f>
        <v/>
      </c>
      <c r="O744" s="29" t="str">
        <f t="shared" si="170"/>
        <v/>
      </c>
      <c r="P744" s="21" t="str">
        <f t="shared" si="171"/>
        <v/>
      </c>
      <c r="Q744" s="21" t="str">
        <f t="shared" si="172"/>
        <v/>
      </c>
      <c r="R744" s="21" t="str">
        <f t="shared" si="173"/>
        <v/>
      </c>
      <c r="S744" s="39"/>
      <c r="T744" s="43" t="str">
        <f t="shared" si="181"/>
        <v/>
      </c>
      <c r="U744" s="49" t="str">
        <f t="shared" si="182"/>
        <v/>
      </c>
      <c r="V744" s="48" t="str">
        <f t="shared" si="183"/>
        <v/>
      </c>
      <c r="W744" s="48" t="str">
        <f t="shared" si="174"/>
        <v/>
      </c>
      <c r="X744" s="50" t="str">
        <f>IF(W744="","",SUMIF($B$4:$B$1002,B744,$W$4:$W$1000))</f>
        <v/>
      </c>
      <c r="Y744" s="43" t="str">
        <f t="shared" si="175"/>
        <v/>
      </c>
      <c r="Z744" s="49" t="str">
        <f t="shared" si="176"/>
        <v/>
      </c>
      <c r="AA744" s="48" t="str">
        <f t="shared" si="177"/>
        <v/>
      </c>
      <c r="AB744" s="49" t="str">
        <f t="shared" si="178"/>
        <v/>
      </c>
      <c r="AC744" s="50" t="str">
        <f>IF(AB744="","",SUMIF($B$4:$B$1002,B744,$AB$4:$AB$1000))</f>
        <v/>
      </c>
      <c r="AD744" s="69"/>
      <c r="AE744" s="56"/>
      <c r="AF744" s="52"/>
      <c r="AG744" s="51"/>
      <c r="AH744" s="70"/>
      <c r="AI744" s="58"/>
      <c r="AJ744" s="55"/>
      <c r="AK744" s="51"/>
      <c r="AL744" s="69"/>
      <c r="AM744" s="56"/>
      <c r="AN744" s="52"/>
      <c r="AO744" s="51"/>
      <c r="AP744" s="70"/>
      <c r="AQ744" s="58"/>
      <c r="AR744" s="55"/>
      <c r="AS744" s="51"/>
      <c r="AT744" s="69"/>
      <c r="AU744" s="56"/>
      <c r="AV744" s="52"/>
      <c r="AW744" s="51"/>
      <c r="BR744" s="34" t="str">
        <f>IF(E744="","",CONCATENATE(E744," ",F744," noches"))</f>
        <v/>
      </c>
      <c r="BS744" s="28" t="str">
        <f t="shared" ca="1" si="179"/>
        <v/>
      </c>
      <c r="BT744" s="28" t="str">
        <f t="shared" ca="1" si="180"/>
        <v/>
      </c>
    </row>
    <row r="745" spans="1:72" x14ac:dyDescent="0.2">
      <c r="A745" s="18" t="str" cm="1">
        <f t="array" aca="1" ref="A745" ca="1">IF(B745="","","Grupo N˚"&amp;SUMPRODUCT(($B$4:B745&lt;&gt;"")*($B$4:B745&lt;&gt;OFFSET($B$4,-1,0,ROWS($B$4:B745),1))))</f>
        <v/>
      </c>
      <c r="B745" s="31"/>
      <c r="C745" s="31"/>
      <c r="D745" s="31"/>
      <c r="E745" s="31"/>
      <c r="F745" s="32"/>
      <c r="G745" s="33"/>
      <c r="H745" s="33"/>
      <c r="I745" s="20" t="str">
        <f t="shared" si="169"/>
        <v/>
      </c>
      <c r="J745" s="21" t="str">
        <f>IFERROR(VLOOKUP(BR745,Pricing!$D$3:$E$58,2,FALSE),"")</f>
        <v/>
      </c>
      <c r="K745" s="32"/>
      <c r="L745" s="32"/>
      <c r="M745" s="32"/>
      <c r="N745" s="36" t="str" cm="1">
        <f t="array" ref="N745">IFERROR(_xlfn.IFS((AND(K745="SI",M745="$")),J745*0.2,AND(K745="SI",M745="%"),20),"")</f>
        <v/>
      </c>
      <c r="O745" s="29" t="str">
        <f t="shared" si="170"/>
        <v/>
      </c>
      <c r="P745" s="21" t="str">
        <f t="shared" si="171"/>
        <v/>
      </c>
      <c r="Q745" s="21" t="str">
        <f t="shared" si="172"/>
        <v/>
      </c>
      <c r="R745" s="21" t="str">
        <f t="shared" si="173"/>
        <v/>
      </c>
      <c r="S745" s="39"/>
      <c r="T745" s="43" t="str">
        <f t="shared" si="181"/>
        <v/>
      </c>
      <c r="U745" s="49" t="str">
        <f t="shared" si="182"/>
        <v/>
      </c>
      <c r="V745" s="48" t="str">
        <f t="shared" si="183"/>
        <v/>
      </c>
      <c r="W745" s="48" t="str">
        <f t="shared" si="174"/>
        <v/>
      </c>
      <c r="X745" s="50" t="str">
        <f>IF(W745="","",SUMIF($B$4:$B$1002,B745,$W$4:$W$1000))</f>
        <v/>
      </c>
      <c r="Y745" s="43" t="str">
        <f t="shared" si="175"/>
        <v/>
      </c>
      <c r="Z745" s="49" t="str">
        <f t="shared" si="176"/>
        <v/>
      </c>
      <c r="AA745" s="48" t="str">
        <f t="shared" si="177"/>
        <v/>
      </c>
      <c r="AB745" s="49" t="str">
        <f t="shared" si="178"/>
        <v/>
      </c>
      <c r="AC745" s="50" t="str">
        <f>IF(AB745="","",SUMIF($B$4:$B$1002,B745,$AB$4:$AB$1000))</f>
        <v/>
      </c>
      <c r="AD745" s="69"/>
      <c r="AE745" s="56"/>
      <c r="AF745" s="52"/>
      <c r="AG745" s="51"/>
      <c r="AH745" s="70"/>
      <c r="AI745" s="58"/>
      <c r="AJ745" s="55"/>
      <c r="AK745" s="51"/>
      <c r="AL745" s="69"/>
      <c r="AM745" s="56"/>
      <c r="AN745" s="52"/>
      <c r="AO745" s="51"/>
      <c r="AP745" s="70"/>
      <c r="AQ745" s="58"/>
      <c r="AR745" s="55"/>
      <c r="AS745" s="51"/>
      <c r="AT745" s="69"/>
      <c r="AU745" s="56"/>
      <c r="AV745" s="52"/>
      <c r="AW745" s="51"/>
      <c r="BR745" s="34" t="str">
        <f>IF(E745="","",CONCATENATE(E745," ",F745," noches"))</f>
        <v/>
      </c>
      <c r="BS745" s="28" t="str">
        <f t="shared" ca="1" si="179"/>
        <v/>
      </c>
      <c r="BT745" s="28" t="str">
        <f t="shared" ca="1" si="180"/>
        <v/>
      </c>
    </row>
    <row r="746" spans="1:72" x14ac:dyDescent="0.2">
      <c r="A746" s="18" t="str" cm="1">
        <f t="array" aca="1" ref="A746" ca="1">IF(B746="","","Grupo N˚"&amp;SUMPRODUCT(($B$4:B746&lt;&gt;"")*($B$4:B746&lt;&gt;OFFSET($B$4,-1,0,ROWS($B$4:B746),1))))</f>
        <v/>
      </c>
      <c r="B746" s="31"/>
      <c r="C746" s="31"/>
      <c r="D746" s="31"/>
      <c r="E746" s="31"/>
      <c r="F746" s="32"/>
      <c r="G746" s="33"/>
      <c r="H746" s="33"/>
      <c r="I746" s="20" t="str">
        <f t="shared" si="169"/>
        <v/>
      </c>
      <c r="J746" s="21" t="str">
        <f>IFERROR(VLOOKUP(BR746,Pricing!$D$3:$E$58,2,FALSE),"")</f>
        <v/>
      </c>
      <c r="K746" s="32"/>
      <c r="L746" s="32"/>
      <c r="M746" s="32"/>
      <c r="N746" s="36" t="str" cm="1">
        <f t="array" ref="N746">IFERROR(_xlfn.IFS((AND(K746="SI",M746="$")),J746*0.2,AND(K746="SI",M746="%"),20),"")</f>
        <v/>
      </c>
      <c r="O746" s="29" t="str">
        <f t="shared" si="170"/>
        <v/>
      </c>
      <c r="P746" s="21" t="str">
        <f t="shared" si="171"/>
        <v/>
      </c>
      <c r="Q746" s="21" t="str">
        <f t="shared" si="172"/>
        <v/>
      </c>
      <c r="R746" s="21" t="str">
        <f t="shared" si="173"/>
        <v/>
      </c>
      <c r="S746" s="39"/>
      <c r="T746" s="43" t="str">
        <f t="shared" si="181"/>
        <v/>
      </c>
      <c r="U746" s="49" t="str">
        <f t="shared" si="182"/>
        <v/>
      </c>
      <c r="V746" s="48" t="str">
        <f t="shared" si="183"/>
        <v/>
      </c>
      <c r="W746" s="48" t="str">
        <f t="shared" si="174"/>
        <v/>
      </c>
      <c r="X746" s="50" t="str">
        <f>IF(W746="","",SUMIF($B$4:$B$1002,B746,$W$4:$W$1000))</f>
        <v/>
      </c>
      <c r="Y746" s="43" t="str">
        <f t="shared" si="175"/>
        <v/>
      </c>
      <c r="Z746" s="49" t="str">
        <f t="shared" si="176"/>
        <v/>
      </c>
      <c r="AA746" s="48" t="str">
        <f t="shared" si="177"/>
        <v/>
      </c>
      <c r="AB746" s="49" t="str">
        <f t="shared" si="178"/>
        <v/>
      </c>
      <c r="AC746" s="50" t="str">
        <f>IF(AB746="","",SUMIF($B$4:$B$1002,B746,$AB$4:$AB$1000))</f>
        <v/>
      </c>
      <c r="AD746" s="69"/>
      <c r="AE746" s="56"/>
      <c r="AF746" s="52"/>
      <c r="AG746" s="51"/>
      <c r="AH746" s="70"/>
      <c r="AI746" s="58"/>
      <c r="AJ746" s="55"/>
      <c r="AK746" s="51"/>
      <c r="AL746" s="69"/>
      <c r="AM746" s="56"/>
      <c r="AN746" s="52"/>
      <c r="AO746" s="51"/>
      <c r="AP746" s="70"/>
      <c r="AQ746" s="58"/>
      <c r="AR746" s="55"/>
      <c r="AS746" s="51"/>
      <c r="AT746" s="69"/>
      <c r="AU746" s="56"/>
      <c r="AV746" s="52"/>
      <c r="AW746" s="51"/>
      <c r="BR746" s="34" t="str">
        <f>IF(E746="","",CONCATENATE(E746," ",F746," noches"))</f>
        <v/>
      </c>
      <c r="BS746" s="28" t="str">
        <f t="shared" ca="1" si="179"/>
        <v/>
      </c>
      <c r="BT746" s="28" t="str">
        <f t="shared" ca="1" si="180"/>
        <v/>
      </c>
    </row>
    <row r="747" spans="1:72" x14ac:dyDescent="0.2">
      <c r="A747" s="18" t="str" cm="1">
        <f t="array" aca="1" ref="A747" ca="1">IF(B747="","","Grupo N˚"&amp;SUMPRODUCT(($B$4:B747&lt;&gt;"")*($B$4:B747&lt;&gt;OFFSET($B$4,-1,0,ROWS($B$4:B747),1))))</f>
        <v/>
      </c>
      <c r="B747" s="31"/>
      <c r="C747" s="31"/>
      <c r="D747" s="31"/>
      <c r="E747" s="31"/>
      <c r="F747" s="32"/>
      <c r="G747" s="33"/>
      <c r="H747" s="33"/>
      <c r="I747" s="20" t="str">
        <f t="shared" si="169"/>
        <v/>
      </c>
      <c r="J747" s="21" t="str">
        <f>IFERROR(VLOOKUP(BR747,Pricing!$D$3:$E$58,2,FALSE),"")</f>
        <v/>
      </c>
      <c r="K747" s="32"/>
      <c r="L747" s="32"/>
      <c r="M747" s="32"/>
      <c r="N747" s="36" t="str" cm="1">
        <f t="array" ref="N747">IFERROR(_xlfn.IFS((AND(K747="SI",M747="$")),J747*0.2,AND(K747="SI",M747="%"),20),"")</f>
        <v/>
      </c>
      <c r="O747" s="29" t="str">
        <f t="shared" si="170"/>
        <v/>
      </c>
      <c r="P747" s="21" t="str">
        <f t="shared" si="171"/>
        <v/>
      </c>
      <c r="Q747" s="21" t="str">
        <f t="shared" si="172"/>
        <v/>
      </c>
      <c r="R747" s="21" t="str">
        <f t="shared" si="173"/>
        <v/>
      </c>
      <c r="S747" s="39"/>
      <c r="T747" s="43" t="str">
        <f t="shared" si="181"/>
        <v/>
      </c>
      <c r="U747" s="49" t="str">
        <f t="shared" si="182"/>
        <v/>
      </c>
      <c r="V747" s="48" t="str">
        <f t="shared" si="183"/>
        <v/>
      </c>
      <c r="W747" s="48" t="str">
        <f t="shared" si="174"/>
        <v/>
      </c>
      <c r="X747" s="50" t="str">
        <f>IF(W747="","",SUMIF($B$4:$B$1002,B747,$W$4:$W$1000))</f>
        <v/>
      </c>
      <c r="Y747" s="43" t="str">
        <f t="shared" si="175"/>
        <v/>
      </c>
      <c r="Z747" s="49" t="str">
        <f t="shared" si="176"/>
        <v/>
      </c>
      <c r="AA747" s="48" t="str">
        <f t="shared" si="177"/>
        <v/>
      </c>
      <c r="AB747" s="49" t="str">
        <f t="shared" si="178"/>
        <v/>
      </c>
      <c r="AC747" s="50" t="str">
        <f>IF(AB747="","",SUMIF($B$4:$B$1002,B747,$AB$4:$AB$1000))</f>
        <v/>
      </c>
      <c r="AD747" s="69"/>
      <c r="AE747" s="56"/>
      <c r="AF747" s="52"/>
      <c r="AG747" s="51"/>
      <c r="AH747" s="70"/>
      <c r="AI747" s="58"/>
      <c r="AJ747" s="55"/>
      <c r="AK747" s="51"/>
      <c r="AL747" s="69"/>
      <c r="AM747" s="56"/>
      <c r="AN747" s="52"/>
      <c r="AO747" s="51"/>
      <c r="AP747" s="70"/>
      <c r="AQ747" s="58"/>
      <c r="AR747" s="55"/>
      <c r="AS747" s="51"/>
      <c r="AT747" s="69"/>
      <c r="AU747" s="56"/>
      <c r="AV747" s="52"/>
      <c r="AW747" s="51"/>
      <c r="BR747" s="34" t="str">
        <f>IF(E747="","",CONCATENATE(E747," ",F747," noches"))</f>
        <v/>
      </c>
      <c r="BS747" s="28" t="str">
        <f t="shared" ca="1" si="179"/>
        <v/>
      </c>
      <c r="BT747" s="28" t="str">
        <f t="shared" ca="1" si="180"/>
        <v/>
      </c>
    </row>
    <row r="748" spans="1:72" x14ac:dyDescent="0.2">
      <c r="A748" s="18" t="str" cm="1">
        <f t="array" aca="1" ref="A748" ca="1">IF(B748="","","Grupo N˚"&amp;SUMPRODUCT(($B$4:B748&lt;&gt;"")*($B$4:B748&lt;&gt;OFFSET($B$4,-1,0,ROWS($B$4:B748),1))))</f>
        <v/>
      </c>
      <c r="B748" s="31"/>
      <c r="C748" s="31"/>
      <c r="D748" s="31"/>
      <c r="E748" s="31"/>
      <c r="F748" s="32"/>
      <c r="G748" s="33"/>
      <c r="H748" s="33"/>
      <c r="I748" s="20" t="str">
        <f t="shared" si="169"/>
        <v/>
      </c>
      <c r="J748" s="21" t="str">
        <f>IFERROR(VLOOKUP(BR748,Pricing!$D$3:$E$58,2,FALSE),"")</f>
        <v/>
      </c>
      <c r="K748" s="32"/>
      <c r="L748" s="32"/>
      <c r="M748" s="32"/>
      <c r="N748" s="36" t="str" cm="1">
        <f t="array" ref="N748">IFERROR(_xlfn.IFS((AND(K748="SI",M748="$")),J748*0.2,AND(K748="SI",M748="%"),20),"")</f>
        <v/>
      </c>
      <c r="O748" s="29" t="str">
        <f t="shared" si="170"/>
        <v/>
      </c>
      <c r="P748" s="21" t="str">
        <f t="shared" si="171"/>
        <v/>
      </c>
      <c r="Q748" s="21" t="str">
        <f t="shared" si="172"/>
        <v/>
      </c>
      <c r="R748" s="21" t="str">
        <f t="shared" si="173"/>
        <v/>
      </c>
      <c r="S748" s="39"/>
      <c r="T748" s="43" t="str">
        <f t="shared" si="181"/>
        <v/>
      </c>
      <c r="U748" s="49" t="str">
        <f t="shared" si="182"/>
        <v/>
      </c>
      <c r="V748" s="48" t="str">
        <f t="shared" si="183"/>
        <v/>
      </c>
      <c r="W748" s="48" t="str">
        <f t="shared" si="174"/>
        <v/>
      </c>
      <c r="X748" s="50" t="str">
        <f>IF(W748="","",SUMIF($B$4:$B$1002,B748,$W$4:$W$1000))</f>
        <v/>
      </c>
      <c r="Y748" s="43" t="str">
        <f t="shared" si="175"/>
        <v/>
      </c>
      <c r="Z748" s="49" t="str">
        <f t="shared" si="176"/>
        <v/>
      </c>
      <c r="AA748" s="48" t="str">
        <f t="shared" si="177"/>
        <v/>
      </c>
      <c r="AB748" s="49" t="str">
        <f t="shared" si="178"/>
        <v/>
      </c>
      <c r="AC748" s="50" t="str">
        <f>IF(AB748="","",SUMIF($B$4:$B$1002,B748,$AB$4:$AB$1000))</f>
        <v/>
      </c>
      <c r="AD748" s="69"/>
      <c r="AE748" s="56"/>
      <c r="AF748" s="52"/>
      <c r="AG748" s="51"/>
      <c r="AH748" s="70"/>
      <c r="AI748" s="58"/>
      <c r="AJ748" s="55"/>
      <c r="AK748" s="51"/>
      <c r="AL748" s="69"/>
      <c r="AM748" s="56"/>
      <c r="AN748" s="52"/>
      <c r="AO748" s="51"/>
      <c r="AP748" s="70"/>
      <c r="AQ748" s="58"/>
      <c r="AR748" s="55"/>
      <c r="AS748" s="51"/>
      <c r="AT748" s="69"/>
      <c r="AU748" s="56"/>
      <c r="AV748" s="52"/>
      <c r="AW748" s="51"/>
      <c r="BR748" s="34" t="str">
        <f>IF(E748="","",CONCATENATE(E748," ",F748," noches"))</f>
        <v/>
      </c>
      <c r="BS748" s="28" t="str">
        <f t="shared" ca="1" si="179"/>
        <v/>
      </c>
      <c r="BT748" s="28" t="str">
        <f t="shared" ca="1" si="180"/>
        <v/>
      </c>
    </row>
    <row r="749" spans="1:72" x14ac:dyDescent="0.2">
      <c r="A749" s="18" t="str" cm="1">
        <f t="array" aca="1" ref="A749" ca="1">IF(B749="","","Grupo N˚"&amp;SUMPRODUCT(($B$4:B749&lt;&gt;"")*($B$4:B749&lt;&gt;OFFSET($B$4,-1,0,ROWS($B$4:B749),1))))</f>
        <v/>
      </c>
      <c r="B749" s="31"/>
      <c r="C749" s="31"/>
      <c r="D749" s="31"/>
      <c r="E749" s="31"/>
      <c r="F749" s="32"/>
      <c r="G749" s="33"/>
      <c r="H749" s="33"/>
      <c r="I749" s="20" t="str">
        <f t="shared" si="169"/>
        <v/>
      </c>
      <c r="J749" s="21" t="str">
        <f>IFERROR(VLOOKUP(BR749,Pricing!$D$3:$E$58,2,FALSE),"")</f>
        <v/>
      </c>
      <c r="K749" s="32"/>
      <c r="L749" s="32"/>
      <c r="M749" s="32"/>
      <c r="N749" s="36" t="str" cm="1">
        <f t="array" ref="N749">IFERROR(_xlfn.IFS((AND(K749="SI",M749="$")),J749*0.2,AND(K749="SI",M749="%"),20),"")</f>
        <v/>
      </c>
      <c r="O749" s="29" t="str">
        <f t="shared" si="170"/>
        <v/>
      </c>
      <c r="P749" s="21" t="str">
        <f t="shared" si="171"/>
        <v/>
      </c>
      <c r="Q749" s="21" t="str">
        <f t="shared" si="172"/>
        <v/>
      </c>
      <c r="R749" s="21" t="str">
        <f t="shared" si="173"/>
        <v/>
      </c>
      <c r="S749" s="39"/>
      <c r="T749" s="43" t="str">
        <f t="shared" si="181"/>
        <v/>
      </c>
      <c r="U749" s="49" t="str">
        <f t="shared" si="182"/>
        <v/>
      </c>
      <c r="V749" s="48" t="str">
        <f t="shared" si="183"/>
        <v/>
      </c>
      <c r="W749" s="48" t="str">
        <f t="shared" si="174"/>
        <v/>
      </c>
      <c r="X749" s="50" t="str">
        <f>IF(W749="","",SUMIF($B$4:$B$1002,B749,$W$4:$W$1000))</f>
        <v/>
      </c>
      <c r="Y749" s="43" t="str">
        <f t="shared" si="175"/>
        <v/>
      </c>
      <c r="Z749" s="49" t="str">
        <f t="shared" si="176"/>
        <v/>
      </c>
      <c r="AA749" s="48" t="str">
        <f t="shared" si="177"/>
        <v/>
      </c>
      <c r="AB749" s="49" t="str">
        <f t="shared" si="178"/>
        <v/>
      </c>
      <c r="AC749" s="50" t="str">
        <f>IF(AB749="","",SUMIF($B$4:$B$1002,B749,$AB$4:$AB$1000))</f>
        <v/>
      </c>
      <c r="AD749" s="69"/>
      <c r="AE749" s="56"/>
      <c r="AF749" s="52"/>
      <c r="AG749" s="51"/>
      <c r="AH749" s="70"/>
      <c r="AI749" s="58"/>
      <c r="AJ749" s="55"/>
      <c r="AK749" s="51"/>
      <c r="AL749" s="69"/>
      <c r="AM749" s="56"/>
      <c r="AN749" s="52"/>
      <c r="AO749" s="51"/>
      <c r="AP749" s="70"/>
      <c r="AQ749" s="58"/>
      <c r="AR749" s="55"/>
      <c r="AS749" s="51"/>
      <c r="AT749" s="69"/>
      <c r="AU749" s="56"/>
      <c r="AV749" s="52"/>
      <c r="AW749" s="51"/>
      <c r="BR749" s="34" t="str">
        <f>IF(E749="","",CONCATENATE(E749," ",F749," noches"))</f>
        <v/>
      </c>
      <c r="BS749" s="28" t="str">
        <f t="shared" ca="1" si="179"/>
        <v/>
      </c>
      <c r="BT749" s="28" t="str">
        <f t="shared" ca="1" si="180"/>
        <v/>
      </c>
    </row>
    <row r="750" spans="1:72" x14ac:dyDescent="0.2">
      <c r="A750" s="18" t="str" cm="1">
        <f t="array" aca="1" ref="A750" ca="1">IF(B750="","","Grupo N˚"&amp;SUMPRODUCT(($B$4:B750&lt;&gt;"")*($B$4:B750&lt;&gt;OFFSET($B$4,-1,0,ROWS($B$4:B750),1))))</f>
        <v/>
      </c>
      <c r="B750" s="31"/>
      <c r="C750" s="31"/>
      <c r="D750" s="31"/>
      <c r="E750" s="31"/>
      <c r="F750" s="32"/>
      <c r="G750" s="33"/>
      <c r="H750" s="33"/>
      <c r="I750" s="20" t="str">
        <f t="shared" si="169"/>
        <v/>
      </c>
      <c r="J750" s="21" t="str">
        <f>IFERROR(VLOOKUP(BR750,Pricing!$D$3:$E$58,2,FALSE),"")</f>
        <v/>
      </c>
      <c r="K750" s="32"/>
      <c r="L750" s="32"/>
      <c r="M750" s="32"/>
      <c r="N750" s="36" t="str" cm="1">
        <f t="array" ref="N750">IFERROR(_xlfn.IFS((AND(K750="SI",M750="$")),J750*0.2,AND(K750="SI",M750="%"),20),"")</f>
        <v/>
      </c>
      <c r="O750" s="29" t="str">
        <f t="shared" si="170"/>
        <v/>
      </c>
      <c r="P750" s="21" t="str">
        <f t="shared" si="171"/>
        <v/>
      </c>
      <c r="Q750" s="21" t="str">
        <f t="shared" si="172"/>
        <v/>
      </c>
      <c r="R750" s="21" t="str">
        <f t="shared" si="173"/>
        <v/>
      </c>
      <c r="S750" s="39"/>
      <c r="T750" s="43" t="str">
        <f t="shared" si="181"/>
        <v/>
      </c>
      <c r="U750" s="49" t="str">
        <f t="shared" si="182"/>
        <v/>
      </c>
      <c r="V750" s="48" t="str">
        <f t="shared" si="183"/>
        <v/>
      </c>
      <c r="W750" s="48" t="str">
        <f t="shared" si="174"/>
        <v/>
      </c>
      <c r="X750" s="50" t="str">
        <f>IF(W750="","",SUMIF($B$4:$B$1002,B750,$W$4:$W$1000))</f>
        <v/>
      </c>
      <c r="Y750" s="43" t="str">
        <f t="shared" si="175"/>
        <v/>
      </c>
      <c r="Z750" s="49" t="str">
        <f t="shared" si="176"/>
        <v/>
      </c>
      <c r="AA750" s="48" t="str">
        <f t="shared" si="177"/>
        <v/>
      </c>
      <c r="AB750" s="49" t="str">
        <f t="shared" si="178"/>
        <v/>
      </c>
      <c r="AC750" s="50" t="str">
        <f>IF(AB750="","",SUMIF($B$4:$B$1002,B750,$AB$4:$AB$1000))</f>
        <v/>
      </c>
      <c r="AD750" s="69"/>
      <c r="AE750" s="56"/>
      <c r="AF750" s="52"/>
      <c r="AG750" s="51"/>
      <c r="AH750" s="70"/>
      <c r="AI750" s="58"/>
      <c r="AJ750" s="55"/>
      <c r="AK750" s="51"/>
      <c r="AL750" s="69"/>
      <c r="AM750" s="56"/>
      <c r="AN750" s="52"/>
      <c r="AO750" s="51"/>
      <c r="AP750" s="70"/>
      <c r="AQ750" s="58"/>
      <c r="AR750" s="55"/>
      <c r="AS750" s="51"/>
      <c r="AT750" s="69"/>
      <c r="AU750" s="56"/>
      <c r="AV750" s="52"/>
      <c r="AW750" s="51"/>
      <c r="BR750" s="34" t="str">
        <f>IF(E750="","",CONCATENATE(E750," ",F750," noches"))</f>
        <v/>
      </c>
      <c r="BS750" s="28" t="str">
        <f t="shared" ca="1" si="179"/>
        <v/>
      </c>
      <c r="BT750" s="28" t="str">
        <f t="shared" ca="1" si="180"/>
        <v/>
      </c>
    </row>
    <row r="751" spans="1:72" x14ac:dyDescent="0.2">
      <c r="A751" s="18" t="str" cm="1">
        <f t="array" aca="1" ref="A751" ca="1">IF(B751="","","Grupo N˚"&amp;SUMPRODUCT(($B$4:B751&lt;&gt;"")*($B$4:B751&lt;&gt;OFFSET($B$4,-1,0,ROWS($B$4:B751),1))))</f>
        <v/>
      </c>
      <c r="B751" s="31"/>
      <c r="C751" s="31"/>
      <c r="D751" s="31"/>
      <c r="E751" s="31"/>
      <c r="F751" s="32"/>
      <c r="G751" s="33"/>
      <c r="H751" s="33"/>
      <c r="I751" s="20" t="str">
        <f t="shared" si="169"/>
        <v/>
      </c>
      <c r="J751" s="21" t="str">
        <f>IFERROR(VLOOKUP(BR751,Pricing!$D$3:$E$58,2,FALSE),"")</f>
        <v/>
      </c>
      <c r="K751" s="32"/>
      <c r="L751" s="32"/>
      <c r="M751" s="32"/>
      <c r="N751" s="36" t="str" cm="1">
        <f t="array" ref="N751">IFERROR(_xlfn.IFS((AND(K751="SI",M751="$")),J751*0.2,AND(K751="SI",M751="%"),20),"")</f>
        <v/>
      </c>
      <c r="O751" s="29" t="str">
        <f t="shared" si="170"/>
        <v/>
      </c>
      <c r="P751" s="21" t="str">
        <f t="shared" si="171"/>
        <v/>
      </c>
      <c r="Q751" s="21" t="str">
        <f t="shared" si="172"/>
        <v/>
      </c>
      <c r="R751" s="21" t="str">
        <f t="shared" si="173"/>
        <v/>
      </c>
      <c r="S751" s="39"/>
      <c r="T751" s="43" t="str">
        <f t="shared" si="181"/>
        <v/>
      </c>
      <c r="U751" s="49" t="str">
        <f t="shared" si="182"/>
        <v/>
      </c>
      <c r="V751" s="48" t="str">
        <f t="shared" si="183"/>
        <v/>
      </c>
      <c r="W751" s="48" t="str">
        <f t="shared" si="174"/>
        <v/>
      </c>
      <c r="X751" s="50" t="str">
        <f>IF(W751="","",SUMIF($B$4:$B$1002,B751,$W$4:$W$1000))</f>
        <v/>
      </c>
      <c r="Y751" s="43" t="str">
        <f t="shared" si="175"/>
        <v/>
      </c>
      <c r="Z751" s="49" t="str">
        <f t="shared" si="176"/>
        <v/>
      </c>
      <c r="AA751" s="48" t="str">
        <f t="shared" si="177"/>
        <v/>
      </c>
      <c r="AB751" s="49" t="str">
        <f t="shared" si="178"/>
        <v/>
      </c>
      <c r="AC751" s="50" t="str">
        <f>IF(AB751="","",SUMIF($B$4:$B$1002,B751,$AB$4:$AB$1000))</f>
        <v/>
      </c>
      <c r="AD751" s="69"/>
      <c r="AE751" s="56"/>
      <c r="AF751" s="52"/>
      <c r="AG751" s="51"/>
      <c r="AH751" s="70"/>
      <c r="AI751" s="58"/>
      <c r="AJ751" s="55"/>
      <c r="AK751" s="51"/>
      <c r="AL751" s="69"/>
      <c r="AM751" s="56"/>
      <c r="AN751" s="52"/>
      <c r="AO751" s="51"/>
      <c r="AP751" s="70"/>
      <c r="AQ751" s="58"/>
      <c r="AR751" s="55"/>
      <c r="AS751" s="51"/>
      <c r="AT751" s="69"/>
      <c r="AU751" s="56"/>
      <c r="AV751" s="52"/>
      <c r="AW751" s="51"/>
      <c r="BR751" s="34" t="str">
        <f>IF(E751="","",CONCATENATE(E751," ",F751," noches"))</f>
        <v/>
      </c>
      <c r="BS751" s="28" t="str">
        <f t="shared" ca="1" si="179"/>
        <v/>
      </c>
      <c r="BT751" s="28" t="str">
        <f t="shared" ca="1" si="180"/>
        <v/>
      </c>
    </row>
    <row r="752" spans="1:72" x14ac:dyDescent="0.2">
      <c r="A752" s="18" t="str" cm="1">
        <f t="array" aca="1" ref="A752" ca="1">IF(B752="","","Grupo N˚"&amp;SUMPRODUCT(($B$4:B752&lt;&gt;"")*($B$4:B752&lt;&gt;OFFSET($B$4,-1,0,ROWS($B$4:B752),1))))</f>
        <v/>
      </c>
      <c r="B752" s="31"/>
      <c r="C752" s="31"/>
      <c r="D752" s="31"/>
      <c r="E752" s="31"/>
      <c r="F752" s="32"/>
      <c r="G752" s="33"/>
      <c r="H752" s="33"/>
      <c r="I752" s="20" t="str">
        <f t="shared" si="169"/>
        <v/>
      </c>
      <c r="J752" s="21" t="str">
        <f>IFERROR(VLOOKUP(BR752,Pricing!$D$3:$E$58,2,FALSE),"")</f>
        <v/>
      </c>
      <c r="K752" s="32"/>
      <c r="L752" s="32"/>
      <c r="M752" s="32"/>
      <c r="N752" s="36" t="str" cm="1">
        <f t="array" ref="N752">IFERROR(_xlfn.IFS((AND(K752="SI",M752="$")),J752*0.2,AND(K752="SI",M752="%"),20),"")</f>
        <v/>
      </c>
      <c r="O752" s="29" t="str">
        <f t="shared" si="170"/>
        <v/>
      </c>
      <c r="P752" s="21" t="str">
        <f t="shared" si="171"/>
        <v/>
      </c>
      <c r="Q752" s="21" t="str">
        <f t="shared" si="172"/>
        <v/>
      </c>
      <c r="R752" s="21" t="str">
        <f t="shared" si="173"/>
        <v/>
      </c>
      <c r="S752" s="39"/>
      <c r="T752" s="43" t="str">
        <f t="shared" si="181"/>
        <v/>
      </c>
      <c r="U752" s="49" t="str">
        <f t="shared" si="182"/>
        <v/>
      </c>
      <c r="V752" s="48" t="str">
        <f t="shared" si="183"/>
        <v/>
      </c>
      <c r="W752" s="48" t="str">
        <f t="shared" si="174"/>
        <v/>
      </c>
      <c r="X752" s="50" t="str">
        <f>IF(W752="","",SUMIF($B$4:$B$1002,B752,$W$4:$W$1000))</f>
        <v/>
      </c>
      <c r="Y752" s="43" t="str">
        <f t="shared" si="175"/>
        <v/>
      </c>
      <c r="Z752" s="49" t="str">
        <f t="shared" si="176"/>
        <v/>
      </c>
      <c r="AA752" s="48" t="str">
        <f t="shared" si="177"/>
        <v/>
      </c>
      <c r="AB752" s="49" t="str">
        <f t="shared" si="178"/>
        <v/>
      </c>
      <c r="AC752" s="50" t="str">
        <f>IF(AB752="","",SUMIF($B$4:$B$1002,B752,$AB$4:$AB$1000))</f>
        <v/>
      </c>
      <c r="AD752" s="69"/>
      <c r="AE752" s="56"/>
      <c r="AF752" s="52"/>
      <c r="AG752" s="51"/>
      <c r="AH752" s="70"/>
      <c r="AI752" s="58"/>
      <c r="AJ752" s="55"/>
      <c r="AK752" s="51"/>
      <c r="AL752" s="69"/>
      <c r="AM752" s="56"/>
      <c r="AN752" s="52"/>
      <c r="AO752" s="51"/>
      <c r="AP752" s="70"/>
      <c r="AQ752" s="58"/>
      <c r="AR752" s="55"/>
      <c r="AS752" s="51"/>
      <c r="AT752" s="69"/>
      <c r="AU752" s="56"/>
      <c r="AV752" s="52"/>
      <c r="AW752" s="51"/>
      <c r="BR752" s="34" t="str">
        <f>IF(E752="","",CONCATENATE(E752," ",F752," noches"))</f>
        <v/>
      </c>
      <c r="BS752" s="28" t="str">
        <f t="shared" ca="1" si="179"/>
        <v/>
      </c>
      <c r="BT752" s="28" t="str">
        <f t="shared" ca="1" si="180"/>
        <v/>
      </c>
    </row>
    <row r="753" spans="1:72" x14ac:dyDescent="0.2">
      <c r="A753" s="18" t="str" cm="1">
        <f t="array" aca="1" ref="A753" ca="1">IF(B753="","","Grupo N˚"&amp;SUMPRODUCT(($B$4:B753&lt;&gt;"")*($B$4:B753&lt;&gt;OFFSET($B$4,-1,0,ROWS($B$4:B753),1))))</f>
        <v/>
      </c>
      <c r="B753" s="31"/>
      <c r="C753" s="31"/>
      <c r="D753" s="31"/>
      <c r="E753" s="31"/>
      <c r="F753" s="32"/>
      <c r="G753" s="33"/>
      <c r="H753" s="33"/>
      <c r="I753" s="20" t="str">
        <f t="shared" si="169"/>
        <v/>
      </c>
      <c r="J753" s="21" t="str">
        <f>IFERROR(VLOOKUP(BR753,Pricing!$D$3:$E$58,2,FALSE),"")</f>
        <v/>
      </c>
      <c r="K753" s="32"/>
      <c r="L753" s="32"/>
      <c r="M753" s="32"/>
      <c r="N753" s="36" t="str" cm="1">
        <f t="array" ref="N753">IFERROR(_xlfn.IFS((AND(K753="SI",M753="$")),J753*0.2,AND(K753="SI",M753="%"),20),"")</f>
        <v/>
      </c>
      <c r="O753" s="29" t="str">
        <f t="shared" si="170"/>
        <v/>
      </c>
      <c r="P753" s="21" t="str">
        <f t="shared" si="171"/>
        <v/>
      </c>
      <c r="Q753" s="21" t="str">
        <f t="shared" si="172"/>
        <v/>
      </c>
      <c r="R753" s="21" t="str">
        <f t="shared" si="173"/>
        <v/>
      </c>
      <c r="S753" s="39"/>
      <c r="T753" s="43" t="str">
        <f t="shared" si="181"/>
        <v/>
      </c>
      <c r="U753" s="49" t="str">
        <f t="shared" si="182"/>
        <v/>
      </c>
      <c r="V753" s="48" t="str">
        <f t="shared" si="183"/>
        <v/>
      </c>
      <c r="W753" s="48" t="str">
        <f t="shared" si="174"/>
        <v/>
      </c>
      <c r="X753" s="50" t="str">
        <f>IF(W753="","",SUMIF($B$4:$B$1002,B753,$W$4:$W$1000))</f>
        <v/>
      </c>
      <c r="Y753" s="43" t="str">
        <f t="shared" si="175"/>
        <v/>
      </c>
      <c r="Z753" s="49" t="str">
        <f t="shared" si="176"/>
        <v/>
      </c>
      <c r="AA753" s="48" t="str">
        <f t="shared" si="177"/>
        <v/>
      </c>
      <c r="AB753" s="49" t="str">
        <f t="shared" si="178"/>
        <v/>
      </c>
      <c r="AC753" s="50" t="str">
        <f>IF(AB753="","",SUMIF($B$4:$B$1002,B753,$AB$4:$AB$1000))</f>
        <v/>
      </c>
      <c r="AD753" s="69"/>
      <c r="AE753" s="56"/>
      <c r="AF753" s="52"/>
      <c r="AG753" s="51"/>
      <c r="AH753" s="70"/>
      <c r="AI753" s="58"/>
      <c r="AJ753" s="55"/>
      <c r="AK753" s="51"/>
      <c r="AL753" s="69"/>
      <c r="AM753" s="56"/>
      <c r="AN753" s="52"/>
      <c r="AO753" s="51"/>
      <c r="AP753" s="70"/>
      <c r="AQ753" s="58"/>
      <c r="AR753" s="55"/>
      <c r="AS753" s="51"/>
      <c r="AT753" s="69"/>
      <c r="AU753" s="56"/>
      <c r="AV753" s="52"/>
      <c r="AW753" s="51"/>
      <c r="BR753" s="34" t="str">
        <f>IF(E753="","",CONCATENATE(E753," ",F753," noches"))</f>
        <v/>
      </c>
      <c r="BS753" s="28" t="str">
        <f t="shared" ca="1" si="179"/>
        <v/>
      </c>
      <c r="BT753" s="28" t="str">
        <f t="shared" ca="1" si="180"/>
        <v/>
      </c>
    </row>
    <row r="754" spans="1:72" x14ac:dyDescent="0.2">
      <c r="A754" s="18" t="str" cm="1">
        <f t="array" aca="1" ref="A754" ca="1">IF(B754="","","Grupo N˚"&amp;SUMPRODUCT(($B$4:B754&lt;&gt;"")*($B$4:B754&lt;&gt;OFFSET($B$4,-1,0,ROWS($B$4:B754),1))))</f>
        <v/>
      </c>
      <c r="B754" s="31"/>
      <c r="C754" s="31"/>
      <c r="D754" s="31"/>
      <c r="E754" s="31"/>
      <c r="F754" s="32"/>
      <c r="G754" s="33"/>
      <c r="H754" s="33"/>
      <c r="I754" s="20" t="str">
        <f t="shared" si="169"/>
        <v/>
      </c>
      <c r="J754" s="21" t="str">
        <f>IFERROR(VLOOKUP(BR754,Pricing!$D$3:$E$58,2,FALSE),"")</f>
        <v/>
      </c>
      <c r="K754" s="32"/>
      <c r="L754" s="32"/>
      <c r="M754" s="32"/>
      <c r="N754" s="36" t="str" cm="1">
        <f t="array" ref="N754">IFERROR(_xlfn.IFS((AND(K754="SI",M754="$")),J754*0.2,AND(K754="SI",M754="%"),20),"")</f>
        <v/>
      </c>
      <c r="O754" s="29" t="str">
        <f t="shared" si="170"/>
        <v/>
      </c>
      <c r="P754" s="21" t="str">
        <f t="shared" si="171"/>
        <v/>
      </c>
      <c r="Q754" s="21" t="str">
        <f t="shared" si="172"/>
        <v/>
      </c>
      <c r="R754" s="21" t="str">
        <f t="shared" si="173"/>
        <v/>
      </c>
      <c r="S754" s="39"/>
      <c r="T754" s="43" t="str">
        <f t="shared" si="181"/>
        <v/>
      </c>
      <c r="U754" s="49" t="str">
        <f t="shared" si="182"/>
        <v/>
      </c>
      <c r="V754" s="48" t="str">
        <f t="shared" si="183"/>
        <v/>
      </c>
      <c r="W754" s="48" t="str">
        <f t="shared" si="174"/>
        <v/>
      </c>
      <c r="X754" s="50" t="str">
        <f>IF(W754="","",SUMIF($B$4:$B$1002,B754,$W$4:$W$1000))</f>
        <v/>
      </c>
      <c r="Y754" s="43" t="str">
        <f t="shared" si="175"/>
        <v/>
      </c>
      <c r="Z754" s="49" t="str">
        <f t="shared" si="176"/>
        <v/>
      </c>
      <c r="AA754" s="48" t="str">
        <f t="shared" si="177"/>
        <v/>
      </c>
      <c r="AB754" s="49" t="str">
        <f t="shared" si="178"/>
        <v/>
      </c>
      <c r="AC754" s="50" t="str">
        <f>IF(AB754="","",SUMIF($B$4:$B$1002,B754,$AB$4:$AB$1000))</f>
        <v/>
      </c>
      <c r="AD754" s="69"/>
      <c r="AE754" s="56"/>
      <c r="AF754" s="52"/>
      <c r="AG754" s="51"/>
      <c r="AH754" s="70"/>
      <c r="AI754" s="58"/>
      <c r="AJ754" s="55"/>
      <c r="AK754" s="51"/>
      <c r="AL754" s="69"/>
      <c r="AM754" s="56"/>
      <c r="AN754" s="52"/>
      <c r="AO754" s="51"/>
      <c r="AP754" s="70"/>
      <c r="AQ754" s="58"/>
      <c r="AR754" s="55"/>
      <c r="AS754" s="51"/>
      <c r="AT754" s="69"/>
      <c r="AU754" s="56"/>
      <c r="AV754" s="52"/>
      <c r="AW754" s="51"/>
      <c r="BR754" s="34" t="str">
        <f>IF(E754="","",CONCATENATE(E754," ",F754," noches"))</f>
        <v/>
      </c>
      <c r="BS754" s="28" t="str">
        <f t="shared" ca="1" si="179"/>
        <v/>
      </c>
      <c r="BT754" s="28" t="str">
        <f t="shared" ca="1" si="180"/>
        <v/>
      </c>
    </row>
    <row r="755" spans="1:72" x14ac:dyDescent="0.2">
      <c r="A755" s="18" t="str" cm="1">
        <f t="array" aca="1" ref="A755" ca="1">IF(B755="","","Grupo N˚"&amp;SUMPRODUCT(($B$4:B755&lt;&gt;"")*($B$4:B755&lt;&gt;OFFSET($B$4,-1,0,ROWS($B$4:B755),1))))</f>
        <v/>
      </c>
      <c r="B755" s="31"/>
      <c r="C755" s="31"/>
      <c r="D755" s="31"/>
      <c r="E755" s="31"/>
      <c r="F755" s="32"/>
      <c r="G755" s="33"/>
      <c r="H755" s="33"/>
      <c r="I755" s="20" t="str">
        <f t="shared" si="169"/>
        <v/>
      </c>
      <c r="J755" s="21" t="str">
        <f>IFERROR(VLOOKUP(BR755,Pricing!$D$3:$E$58,2,FALSE),"")</f>
        <v/>
      </c>
      <c r="K755" s="32"/>
      <c r="L755" s="32"/>
      <c r="M755" s="32"/>
      <c r="N755" s="36" t="str" cm="1">
        <f t="array" ref="N755">IFERROR(_xlfn.IFS((AND(K755="SI",M755="$")),J755*0.2,AND(K755="SI",M755="%"),20),"")</f>
        <v/>
      </c>
      <c r="O755" s="29" t="str">
        <f t="shared" si="170"/>
        <v/>
      </c>
      <c r="P755" s="21" t="str">
        <f t="shared" si="171"/>
        <v/>
      </c>
      <c r="Q755" s="21" t="str">
        <f t="shared" si="172"/>
        <v/>
      </c>
      <c r="R755" s="21" t="str">
        <f t="shared" si="173"/>
        <v/>
      </c>
      <c r="S755" s="39"/>
      <c r="T755" s="43" t="str">
        <f t="shared" si="181"/>
        <v/>
      </c>
      <c r="U755" s="49" t="str">
        <f t="shared" si="182"/>
        <v/>
      </c>
      <c r="V755" s="48" t="str">
        <f t="shared" si="183"/>
        <v/>
      </c>
      <c r="W755" s="48" t="str">
        <f t="shared" si="174"/>
        <v/>
      </c>
      <c r="X755" s="50" t="str">
        <f>IF(W755="","",SUMIF($B$4:$B$1002,B755,$W$4:$W$1000))</f>
        <v/>
      </c>
      <c r="Y755" s="43" t="str">
        <f t="shared" si="175"/>
        <v/>
      </c>
      <c r="Z755" s="49" t="str">
        <f t="shared" si="176"/>
        <v/>
      </c>
      <c r="AA755" s="48" t="str">
        <f t="shared" si="177"/>
        <v/>
      </c>
      <c r="AB755" s="49" t="str">
        <f t="shared" si="178"/>
        <v/>
      </c>
      <c r="AC755" s="50" t="str">
        <f>IF(AB755="","",SUMIF($B$4:$B$1002,B755,$AB$4:$AB$1000))</f>
        <v/>
      </c>
      <c r="AD755" s="69"/>
      <c r="AE755" s="56"/>
      <c r="AF755" s="52"/>
      <c r="AG755" s="51"/>
      <c r="AH755" s="70"/>
      <c r="AI755" s="58"/>
      <c r="AJ755" s="55"/>
      <c r="AK755" s="51"/>
      <c r="AL755" s="69"/>
      <c r="AM755" s="56"/>
      <c r="AN755" s="52"/>
      <c r="AO755" s="51"/>
      <c r="AP755" s="70"/>
      <c r="AQ755" s="58"/>
      <c r="AR755" s="55"/>
      <c r="AS755" s="51"/>
      <c r="AT755" s="69"/>
      <c r="AU755" s="56"/>
      <c r="AV755" s="52"/>
      <c r="AW755" s="51"/>
      <c r="BR755" s="34" t="str">
        <f>IF(E755="","",CONCATENATE(E755," ",F755," noches"))</f>
        <v/>
      </c>
      <c r="BS755" s="28" t="str">
        <f t="shared" ca="1" si="179"/>
        <v/>
      </c>
      <c r="BT755" s="28" t="str">
        <f t="shared" ca="1" si="180"/>
        <v/>
      </c>
    </row>
    <row r="756" spans="1:72" x14ac:dyDescent="0.2">
      <c r="A756" s="18" t="str" cm="1">
        <f t="array" aca="1" ref="A756" ca="1">IF(B756="","","Grupo N˚"&amp;SUMPRODUCT(($B$4:B756&lt;&gt;"")*($B$4:B756&lt;&gt;OFFSET($B$4,-1,0,ROWS($B$4:B756),1))))</f>
        <v/>
      </c>
      <c r="B756" s="31"/>
      <c r="C756" s="31"/>
      <c r="D756" s="31"/>
      <c r="E756" s="31"/>
      <c r="F756" s="32"/>
      <c r="G756" s="33"/>
      <c r="H756" s="33"/>
      <c r="I756" s="20" t="str">
        <f t="shared" si="169"/>
        <v/>
      </c>
      <c r="J756" s="21" t="str">
        <f>IFERROR(VLOOKUP(BR756,Pricing!$D$3:$E$58,2,FALSE),"")</f>
        <v/>
      </c>
      <c r="K756" s="32"/>
      <c r="L756" s="32"/>
      <c r="M756" s="32"/>
      <c r="N756" s="36" t="str" cm="1">
        <f t="array" ref="N756">IFERROR(_xlfn.IFS((AND(K756="SI",M756="$")),J756*0.2,AND(K756="SI",M756="%"),20),"")</f>
        <v/>
      </c>
      <c r="O756" s="29" t="str">
        <f t="shared" si="170"/>
        <v/>
      </c>
      <c r="P756" s="21" t="str">
        <f t="shared" si="171"/>
        <v/>
      </c>
      <c r="Q756" s="21" t="str">
        <f t="shared" si="172"/>
        <v/>
      </c>
      <c r="R756" s="21" t="str">
        <f t="shared" si="173"/>
        <v/>
      </c>
      <c r="S756" s="39"/>
      <c r="T756" s="43" t="str">
        <f t="shared" si="181"/>
        <v/>
      </c>
      <c r="U756" s="49" t="str">
        <f t="shared" si="182"/>
        <v/>
      </c>
      <c r="V756" s="48" t="str">
        <f t="shared" si="183"/>
        <v/>
      </c>
      <c r="W756" s="48" t="str">
        <f t="shared" si="174"/>
        <v/>
      </c>
      <c r="X756" s="50" t="str">
        <f>IF(W756="","",SUMIF($B$4:$B$1002,B756,$W$4:$W$1000))</f>
        <v/>
      </c>
      <c r="Y756" s="43" t="str">
        <f t="shared" si="175"/>
        <v/>
      </c>
      <c r="Z756" s="49" t="str">
        <f t="shared" si="176"/>
        <v/>
      </c>
      <c r="AA756" s="48" t="str">
        <f t="shared" si="177"/>
        <v/>
      </c>
      <c r="AB756" s="49" t="str">
        <f t="shared" si="178"/>
        <v/>
      </c>
      <c r="AC756" s="50" t="str">
        <f>IF(AB756="","",SUMIF($B$4:$B$1002,B756,$AB$4:$AB$1000))</f>
        <v/>
      </c>
      <c r="AD756" s="69"/>
      <c r="AE756" s="56"/>
      <c r="AF756" s="52"/>
      <c r="AG756" s="51"/>
      <c r="AH756" s="70"/>
      <c r="AI756" s="58"/>
      <c r="AJ756" s="55"/>
      <c r="AK756" s="51"/>
      <c r="AL756" s="69"/>
      <c r="AM756" s="56"/>
      <c r="AN756" s="52"/>
      <c r="AO756" s="51"/>
      <c r="AP756" s="70"/>
      <c r="AQ756" s="58"/>
      <c r="AR756" s="55"/>
      <c r="AS756" s="51"/>
      <c r="AT756" s="69"/>
      <c r="AU756" s="56"/>
      <c r="AV756" s="52"/>
      <c r="AW756" s="51"/>
      <c r="BR756" s="34" t="str">
        <f>IF(E756="","",CONCATENATE(E756," ",F756," noches"))</f>
        <v/>
      </c>
      <c r="BS756" s="28" t="str">
        <f t="shared" ca="1" si="179"/>
        <v/>
      </c>
      <c r="BT756" s="28" t="str">
        <f t="shared" ca="1" si="180"/>
        <v/>
      </c>
    </row>
    <row r="757" spans="1:72" x14ac:dyDescent="0.2">
      <c r="A757" s="18" t="str" cm="1">
        <f t="array" aca="1" ref="A757" ca="1">IF(B757="","","Grupo N˚"&amp;SUMPRODUCT(($B$4:B757&lt;&gt;"")*($B$4:B757&lt;&gt;OFFSET($B$4,-1,0,ROWS($B$4:B757),1))))</f>
        <v/>
      </c>
      <c r="B757" s="31"/>
      <c r="C757" s="31"/>
      <c r="D757" s="31"/>
      <c r="E757" s="31"/>
      <c r="F757" s="32"/>
      <c r="G757" s="33"/>
      <c r="H757" s="33"/>
      <c r="I757" s="20" t="str">
        <f t="shared" si="169"/>
        <v/>
      </c>
      <c r="J757" s="21" t="str">
        <f>IFERROR(VLOOKUP(BR757,Pricing!$D$3:$E$58,2,FALSE),"")</f>
        <v/>
      </c>
      <c r="K757" s="32"/>
      <c r="L757" s="32"/>
      <c r="M757" s="32"/>
      <c r="N757" s="36" t="str" cm="1">
        <f t="array" ref="N757">IFERROR(_xlfn.IFS((AND(K757="SI",M757="$")),J757*0.2,AND(K757="SI",M757="%"),20),"")</f>
        <v/>
      </c>
      <c r="O757" s="29" t="str">
        <f t="shared" si="170"/>
        <v/>
      </c>
      <c r="P757" s="21" t="str">
        <f t="shared" si="171"/>
        <v/>
      </c>
      <c r="Q757" s="21" t="str">
        <f t="shared" si="172"/>
        <v/>
      </c>
      <c r="R757" s="21" t="str">
        <f t="shared" si="173"/>
        <v/>
      </c>
      <c r="S757" s="39"/>
      <c r="T757" s="43" t="str">
        <f t="shared" si="181"/>
        <v/>
      </c>
      <c r="U757" s="49" t="str">
        <f t="shared" si="182"/>
        <v/>
      </c>
      <c r="V757" s="48" t="str">
        <f t="shared" si="183"/>
        <v/>
      </c>
      <c r="W757" s="48" t="str">
        <f t="shared" si="174"/>
        <v/>
      </c>
      <c r="X757" s="50" t="str">
        <f>IF(W757="","",SUMIF($B$4:$B$1002,B757,$W$4:$W$1000))</f>
        <v/>
      </c>
      <c r="Y757" s="43" t="str">
        <f t="shared" si="175"/>
        <v/>
      </c>
      <c r="Z757" s="49" t="str">
        <f t="shared" si="176"/>
        <v/>
      </c>
      <c r="AA757" s="48" t="str">
        <f t="shared" si="177"/>
        <v/>
      </c>
      <c r="AB757" s="49" t="str">
        <f t="shared" si="178"/>
        <v/>
      </c>
      <c r="AC757" s="50" t="str">
        <f>IF(AB757="","",SUMIF($B$4:$B$1002,B757,$AB$4:$AB$1000))</f>
        <v/>
      </c>
      <c r="AD757" s="69"/>
      <c r="AE757" s="56"/>
      <c r="AF757" s="52"/>
      <c r="AG757" s="51"/>
      <c r="AH757" s="70"/>
      <c r="AI757" s="58"/>
      <c r="AJ757" s="55"/>
      <c r="AK757" s="51"/>
      <c r="AL757" s="69"/>
      <c r="AM757" s="56"/>
      <c r="AN757" s="52"/>
      <c r="AO757" s="51"/>
      <c r="AP757" s="70"/>
      <c r="AQ757" s="58"/>
      <c r="AR757" s="55"/>
      <c r="AS757" s="51"/>
      <c r="AT757" s="69"/>
      <c r="AU757" s="56"/>
      <c r="AV757" s="52"/>
      <c r="AW757" s="51"/>
      <c r="BR757" s="34" t="str">
        <f>IF(E757="","",CONCATENATE(E757," ",F757," noches"))</f>
        <v/>
      </c>
      <c r="BS757" s="28" t="str">
        <f t="shared" ca="1" si="179"/>
        <v/>
      </c>
      <c r="BT757" s="28" t="str">
        <f t="shared" ca="1" si="180"/>
        <v/>
      </c>
    </row>
    <row r="758" spans="1:72" x14ac:dyDescent="0.2">
      <c r="A758" s="18" t="str" cm="1">
        <f t="array" aca="1" ref="A758" ca="1">IF(B758="","","Grupo N˚"&amp;SUMPRODUCT(($B$4:B758&lt;&gt;"")*($B$4:B758&lt;&gt;OFFSET($B$4,-1,0,ROWS($B$4:B758),1))))</f>
        <v/>
      </c>
      <c r="B758" s="31"/>
      <c r="C758" s="31"/>
      <c r="D758" s="31"/>
      <c r="E758" s="31"/>
      <c r="F758" s="32"/>
      <c r="G758" s="33"/>
      <c r="H758" s="33"/>
      <c r="I758" s="20" t="str">
        <f t="shared" si="169"/>
        <v/>
      </c>
      <c r="J758" s="21" t="str">
        <f>IFERROR(VLOOKUP(BR758,Pricing!$D$3:$E$58,2,FALSE),"")</f>
        <v/>
      </c>
      <c r="K758" s="32"/>
      <c r="L758" s="32"/>
      <c r="M758" s="32"/>
      <c r="N758" s="36" t="str" cm="1">
        <f t="array" ref="N758">IFERROR(_xlfn.IFS((AND(K758="SI",M758="$")),J758*0.2,AND(K758="SI",M758="%"),20),"")</f>
        <v/>
      </c>
      <c r="O758" s="29" t="str">
        <f t="shared" si="170"/>
        <v/>
      </c>
      <c r="P758" s="21" t="str">
        <f t="shared" si="171"/>
        <v/>
      </c>
      <c r="Q758" s="21" t="str">
        <f t="shared" si="172"/>
        <v/>
      </c>
      <c r="R758" s="21" t="str">
        <f t="shared" si="173"/>
        <v/>
      </c>
      <c r="S758" s="39"/>
      <c r="T758" s="43" t="str">
        <f t="shared" si="181"/>
        <v/>
      </c>
      <c r="U758" s="49" t="str">
        <f t="shared" si="182"/>
        <v/>
      </c>
      <c r="V758" s="48" t="str">
        <f t="shared" si="183"/>
        <v/>
      </c>
      <c r="W758" s="48" t="str">
        <f t="shared" si="174"/>
        <v/>
      </c>
      <c r="X758" s="50" t="str">
        <f>IF(W758="","",SUMIF($B$4:$B$1002,B758,$W$4:$W$1000))</f>
        <v/>
      </c>
      <c r="Y758" s="43" t="str">
        <f t="shared" si="175"/>
        <v/>
      </c>
      <c r="Z758" s="49" t="str">
        <f t="shared" si="176"/>
        <v/>
      </c>
      <c r="AA758" s="48" t="str">
        <f t="shared" si="177"/>
        <v/>
      </c>
      <c r="AB758" s="49" t="str">
        <f t="shared" si="178"/>
        <v/>
      </c>
      <c r="AC758" s="50" t="str">
        <f>IF(AB758="","",SUMIF($B$4:$B$1002,B758,$AB$4:$AB$1000))</f>
        <v/>
      </c>
      <c r="AD758" s="69"/>
      <c r="AE758" s="56"/>
      <c r="AF758" s="52"/>
      <c r="AG758" s="51"/>
      <c r="AH758" s="70"/>
      <c r="AI758" s="58"/>
      <c r="AJ758" s="55"/>
      <c r="AK758" s="51"/>
      <c r="AL758" s="69"/>
      <c r="AM758" s="56"/>
      <c r="AN758" s="52"/>
      <c r="AO758" s="51"/>
      <c r="AP758" s="70"/>
      <c r="AQ758" s="58"/>
      <c r="AR758" s="55"/>
      <c r="AS758" s="51"/>
      <c r="AT758" s="69"/>
      <c r="AU758" s="56"/>
      <c r="AV758" s="52"/>
      <c r="AW758" s="51"/>
      <c r="BR758" s="34" t="str">
        <f>IF(E758="","",CONCATENATE(E758," ",F758," noches"))</f>
        <v/>
      </c>
      <c r="BS758" s="28" t="str">
        <f t="shared" ca="1" si="179"/>
        <v/>
      </c>
      <c r="BT758" s="28" t="str">
        <f t="shared" ca="1" si="180"/>
        <v/>
      </c>
    </row>
    <row r="759" spans="1:72" x14ac:dyDescent="0.2">
      <c r="A759" s="18" t="str" cm="1">
        <f t="array" aca="1" ref="A759" ca="1">IF(B759="","","Grupo N˚"&amp;SUMPRODUCT(($B$4:B759&lt;&gt;"")*($B$4:B759&lt;&gt;OFFSET($B$4,-1,0,ROWS($B$4:B759),1))))</f>
        <v/>
      </c>
      <c r="B759" s="31"/>
      <c r="C759" s="31"/>
      <c r="D759" s="31"/>
      <c r="E759" s="31"/>
      <c r="F759" s="32"/>
      <c r="G759" s="33"/>
      <c r="H759" s="33"/>
      <c r="I759" s="20" t="str">
        <f t="shared" si="169"/>
        <v/>
      </c>
      <c r="J759" s="21" t="str">
        <f>IFERROR(VLOOKUP(BR759,Pricing!$D$3:$E$58,2,FALSE),"")</f>
        <v/>
      </c>
      <c r="K759" s="32"/>
      <c r="L759" s="32"/>
      <c r="M759" s="32"/>
      <c r="N759" s="36" t="str" cm="1">
        <f t="array" ref="N759">IFERROR(_xlfn.IFS((AND(K759="SI",M759="$")),J759*0.2,AND(K759="SI",M759="%"),20),"")</f>
        <v/>
      </c>
      <c r="O759" s="29" t="str">
        <f t="shared" si="170"/>
        <v/>
      </c>
      <c r="P759" s="21" t="str">
        <f t="shared" si="171"/>
        <v/>
      </c>
      <c r="Q759" s="21" t="str">
        <f t="shared" si="172"/>
        <v/>
      </c>
      <c r="R759" s="21" t="str">
        <f t="shared" si="173"/>
        <v/>
      </c>
      <c r="S759" s="39"/>
      <c r="T759" s="43" t="str">
        <f t="shared" si="181"/>
        <v/>
      </c>
      <c r="U759" s="49" t="str">
        <f t="shared" si="182"/>
        <v/>
      </c>
      <c r="V759" s="48" t="str">
        <f t="shared" si="183"/>
        <v/>
      </c>
      <c r="W759" s="48" t="str">
        <f t="shared" si="174"/>
        <v/>
      </c>
      <c r="X759" s="50" t="str">
        <f>IF(W759="","",SUMIF($B$4:$B$1002,B759,$W$4:$W$1000))</f>
        <v/>
      </c>
      <c r="Y759" s="43" t="str">
        <f t="shared" si="175"/>
        <v/>
      </c>
      <c r="Z759" s="49" t="str">
        <f t="shared" si="176"/>
        <v/>
      </c>
      <c r="AA759" s="48" t="str">
        <f t="shared" si="177"/>
        <v/>
      </c>
      <c r="AB759" s="49" t="str">
        <f t="shared" si="178"/>
        <v/>
      </c>
      <c r="AC759" s="50" t="str">
        <f>IF(AB759="","",SUMIF($B$4:$B$1002,B759,$AB$4:$AB$1000))</f>
        <v/>
      </c>
      <c r="AD759" s="69"/>
      <c r="AE759" s="56"/>
      <c r="AF759" s="52"/>
      <c r="AG759" s="51"/>
      <c r="AH759" s="70"/>
      <c r="AI759" s="58"/>
      <c r="AJ759" s="55"/>
      <c r="AK759" s="51"/>
      <c r="AL759" s="69"/>
      <c r="AM759" s="56"/>
      <c r="AN759" s="52"/>
      <c r="AO759" s="51"/>
      <c r="AP759" s="70"/>
      <c r="AQ759" s="58"/>
      <c r="AR759" s="55"/>
      <c r="AS759" s="51"/>
      <c r="AT759" s="69"/>
      <c r="AU759" s="56"/>
      <c r="AV759" s="52"/>
      <c r="AW759" s="51"/>
      <c r="BR759" s="34" t="str">
        <f>IF(E759="","",CONCATENATE(E759," ",F759," noches"))</f>
        <v/>
      </c>
      <c r="BS759" s="28" t="str">
        <f t="shared" ca="1" si="179"/>
        <v/>
      </c>
      <c r="BT759" s="28" t="str">
        <f t="shared" ca="1" si="180"/>
        <v/>
      </c>
    </row>
    <row r="760" spans="1:72" x14ac:dyDescent="0.2">
      <c r="A760" s="18" t="str" cm="1">
        <f t="array" aca="1" ref="A760" ca="1">IF(B760="","","Grupo N˚"&amp;SUMPRODUCT(($B$4:B760&lt;&gt;"")*($B$4:B760&lt;&gt;OFFSET($B$4,-1,0,ROWS($B$4:B760),1))))</f>
        <v/>
      </c>
      <c r="B760" s="31"/>
      <c r="C760" s="31"/>
      <c r="D760" s="31"/>
      <c r="E760" s="31"/>
      <c r="F760" s="32"/>
      <c r="G760" s="33"/>
      <c r="H760" s="33"/>
      <c r="I760" s="20" t="str">
        <f t="shared" si="169"/>
        <v/>
      </c>
      <c r="J760" s="21" t="str">
        <f>IFERROR(VLOOKUP(BR760,Pricing!$D$3:$E$58,2,FALSE),"")</f>
        <v/>
      </c>
      <c r="K760" s="32"/>
      <c r="L760" s="32"/>
      <c r="M760" s="32"/>
      <c r="N760" s="36" t="str" cm="1">
        <f t="array" ref="N760">IFERROR(_xlfn.IFS((AND(K760="SI",M760="$")),J760*0.2,AND(K760="SI",M760="%"),20),"")</f>
        <v/>
      </c>
      <c r="O760" s="29" t="str">
        <f t="shared" si="170"/>
        <v/>
      </c>
      <c r="P760" s="21" t="str">
        <f t="shared" si="171"/>
        <v/>
      </c>
      <c r="Q760" s="21" t="str">
        <f t="shared" si="172"/>
        <v/>
      </c>
      <c r="R760" s="21" t="str">
        <f t="shared" si="173"/>
        <v/>
      </c>
      <c r="S760" s="39"/>
      <c r="T760" s="43" t="str">
        <f t="shared" si="181"/>
        <v/>
      </c>
      <c r="U760" s="49" t="str">
        <f t="shared" si="182"/>
        <v/>
      </c>
      <c r="V760" s="48" t="str">
        <f t="shared" si="183"/>
        <v/>
      </c>
      <c r="W760" s="48" t="str">
        <f t="shared" si="174"/>
        <v/>
      </c>
      <c r="X760" s="50" t="str">
        <f>IF(W760="","",SUMIF($B$4:$B$1002,B760,$W$4:$W$1000))</f>
        <v/>
      </c>
      <c r="Y760" s="43" t="str">
        <f t="shared" si="175"/>
        <v/>
      </c>
      <c r="Z760" s="49" t="str">
        <f t="shared" si="176"/>
        <v/>
      </c>
      <c r="AA760" s="48" t="str">
        <f t="shared" si="177"/>
        <v/>
      </c>
      <c r="AB760" s="49" t="str">
        <f t="shared" si="178"/>
        <v/>
      </c>
      <c r="AC760" s="50" t="str">
        <f>IF(AB760="","",SUMIF($B$4:$B$1002,B760,$AB$4:$AB$1000))</f>
        <v/>
      </c>
      <c r="AD760" s="69"/>
      <c r="AE760" s="56"/>
      <c r="AF760" s="52"/>
      <c r="AG760" s="51"/>
      <c r="AH760" s="70"/>
      <c r="AI760" s="58"/>
      <c r="AJ760" s="55"/>
      <c r="AK760" s="51"/>
      <c r="AL760" s="69"/>
      <c r="AM760" s="56"/>
      <c r="AN760" s="52"/>
      <c r="AO760" s="51"/>
      <c r="AP760" s="70"/>
      <c r="AQ760" s="58"/>
      <c r="AR760" s="55"/>
      <c r="AS760" s="51"/>
      <c r="AT760" s="69"/>
      <c r="AU760" s="56"/>
      <c r="AV760" s="52"/>
      <c r="AW760" s="51"/>
      <c r="BR760" s="34" t="str">
        <f>IF(E760="","",CONCATENATE(E760," ",F760," noches"))</f>
        <v/>
      </c>
      <c r="BS760" s="28" t="str">
        <f t="shared" ca="1" si="179"/>
        <v/>
      </c>
      <c r="BT760" s="28" t="str">
        <f t="shared" ca="1" si="180"/>
        <v/>
      </c>
    </row>
    <row r="761" spans="1:72" x14ac:dyDescent="0.2">
      <c r="A761" s="18" t="str" cm="1">
        <f t="array" aca="1" ref="A761" ca="1">IF(B761="","","Grupo N˚"&amp;SUMPRODUCT(($B$4:B761&lt;&gt;"")*($B$4:B761&lt;&gt;OFFSET($B$4,-1,0,ROWS($B$4:B761),1))))</f>
        <v/>
      </c>
      <c r="B761" s="31"/>
      <c r="C761" s="31"/>
      <c r="D761" s="31"/>
      <c r="E761" s="31"/>
      <c r="F761" s="32"/>
      <c r="G761" s="33"/>
      <c r="H761" s="33"/>
      <c r="I761" s="20" t="str">
        <f t="shared" si="169"/>
        <v/>
      </c>
      <c r="J761" s="21" t="str">
        <f>IFERROR(VLOOKUP(BR761,Pricing!$D$3:$E$58,2,FALSE),"")</f>
        <v/>
      </c>
      <c r="K761" s="32"/>
      <c r="L761" s="32"/>
      <c r="M761" s="32"/>
      <c r="N761" s="36" t="str" cm="1">
        <f t="array" ref="N761">IFERROR(_xlfn.IFS((AND(K761="SI",M761="$")),J761*0.2,AND(K761="SI",M761="%"),20),"")</f>
        <v/>
      </c>
      <c r="O761" s="29" t="str">
        <f t="shared" si="170"/>
        <v/>
      </c>
      <c r="P761" s="21" t="str">
        <f t="shared" si="171"/>
        <v/>
      </c>
      <c r="Q761" s="21" t="str">
        <f t="shared" si="172"/>
        <v/>
      </c>
      <c r="R761" s="21" t="str">
        <f t="shared" si="173"/>
        <v/>
      </c>
      <c r="S761" s="39"/>
      <c r="T761" s="43" t="str">
        <f t="shared" si="181"/>
        <v/>
      </c>
      <c r="U761" s="49" t="str">
        <f t="shared" si="182"/>
        <v/>
      </c>
      <c r="V761" s="48" t="str">
        <f t="shared" si="183"/>
        <v/>
      </c>
      <c r="W761" s="48" t="str">
        <f t="shared" si="174"/>
        <v/>
      </c>
      <c r="X761" s="50" t="str">
        <f>IF(W761="","",SUMIF($B$4:$B$1002,B761,$W$4:$W$1000))</f>
        <v/>
      </c>
      <c r="Y761" s="43" t="str">
        <f t="shared" si="175"/>
        <v/>
      </c>
      <c r="Z761" s="49" t="str">
        <f t="shared" si="176"/>
        <v/>
      </c>
      <c r="AA761" s="48" t="str">
        <f t="shared" si="177"/>
        <v/>
      </c>
      <c r="AB761" s="49" t="str">
        <f t="shared" si="178"/>
        <v/>
      </c>
      <c r="AC761" s="50" t="str">
        <f>IF(AB761="","",SUMIF($B$4:$B$1002,B761,$AB$4:$AB$1000))</f>
        <v/>
      </c>
      <c r="AD761" s="69"/>
      <c r="AE761" s="56"/>
      <c r="AF761" s="52"/>
      <c r="AG761" s="51"/>
      <c r="AH761" s="70"/>
      <c r="AI761" s="58"/>
      <c r="AJ761" s="55"/>
      <c r="AK761" s="51"/>
      <c r="AL761" s="69"/>
      <c r="AM761" s="56"/>
      <c r="AN761" s="52"/>
      <c r="AO761" s="51"/>
      <c r="AP761" s="70"/>
      <c r="AQ761" s="58"/>
      <c r="AR761" s="55"/>
      <c r="AS761" s="51"/>
      <c r="AT761" s="69"/>
      <c r="AU761" s="56"/>
      <c r="AV761" s="52"/>
      <c r="AW761" s="51"/>
      <c r="BR761" s="34" t="str">
        <f>IF(E761="","",CONCATENATE(E761," ",F761," noches"))</f>
        <v/>
      </c>
      <c r="BS761" s="28" t="str">
        <f t="shared" ca="1" si="179"/>
        <v/>
      </c>
      <c r="BT761" s="28" t="str">
        <f t="shared" ca="1" si="180"/>
        <v/>
      </c>
    </row>
    <row r="762" spans="1:72" x14ac:dyDescent="0.2">
      <c r="A762" s="18" t="str" cm="1">
        <f t="array" aca="1" ref="A762" ca="1">IF(B762="","","Grupo N˚"&amp;SUMPRODUCT(($B$4:B762&lt;&gt;"")*($B$4:B762&lt;&gt;OFFSET($B$4,-1,0,ROWS($B$4:B762),1))))</f>
        <v/>
      </c>
      <c r="B762" s="31"/>
      <c r="C762" s="31"/>
      <c r="D762" s="31"/>
      <c r="E762" s="31"/>
      <c r="F762" s="32"/>
      <c r="G762" s="33"/>
      <c r="H762" s="33"/>
      <c r="I762" s="20" t="str">
        <f t="shared" si="169"/>
        <v/>
      </c>
      <c r="J762" s="21" t="str">
        <f>IFERROR(VLOOKUP(BR762,Pricing!$D$3:$E$58,2,FALSE),"")</f>
        <v/>
      </c>
      <c r="K762" s="32"/>
      <c r="L762" s="32"/>
      <c r="M762" s="32"/>
      <c r="N762" s="36" t="str" cm="1">
        <f t="array" ref="N762">IFERROR(_xlfn.IFS((AND(K762="SI",M762="$")),J762*0.2,AND(K762="SI",M762="%"),20),"")</f>
        <v/>
      </c>
      <c r="O762" s="29" t="str">
        <f t="shared" si="170"/>
        <v/>
      </c>
      <c r="P762" s="21" t="str">
        <f t="shared" si="171"/>
        <v/>
      </c>
      <c r="Q762" s="21" t="str">
        <f t="shared" si="172"/>
        <v/>
      </c>
      <c r="R762" s="21" t="str">
        <f t="shared" si="173"/>
        <v/>
      </c>
      <c r="S762" s="39"/>
      <c r="T762" s="43" t="str">
        <f t="shared" si="181"/>
        <v/>
      </c>
      <c r="U762" s="49" t="str">
        <f t="shared" si="182"/>
        <v/>
      </c>
      <c r="V762" s="48" t="str">
        <f t="shared" si="183"/>
        <v/>
      </c>
      <c r="W762" s="48" t="str">
        <f t="shared" si="174"/>
        <v/>
      </c>
      <c r="X762" s="50" t="str">
        <f>IF(W762="","",SUMIF($B$4:$B$1002,B762,$W$4:$W$1000))</f>
        <v/>
      </c>
      <c r="Y762" s="43" t="str">
        <f t="shared" si="175"/>
        <v/>
      </c>
      <c r="Z762" s="49" t="str">
        <f t="shared" si="176"/>
        <v/>
      </c>
      <c r="AA762" s="48" t="str">
        <f t="shared" si="177"/>
        <v/>
      </c>
      <c r="AB762" s="49" t="str">
        <f t="shared" si="178"/>
        <v/>
      </c>
      <c r="AC762" s="50" t="str">
        <f>IF(AB762="","",SUMIF($B$4:$B$1002,B762,$AB$4:$AB$1000))</f>
        <v/>
      </c>
      <c r="AD762" s="69"/>
      <c r="AE762" s="56"/>
      <c r="AF762" s="52"/>
      <c r="AG762" s="51"/>
      <c r="AH762" s="70"/>
      <c r="AI762" s="58"/>
      <c r="AJ762" s="55"/>
      <c r="AK762" s="51"/>
      <c r="AL762" s="69"/>
      <c r="AM762" s="56"/>
      <c r="AN762" s="52"/>
      <c r="AO762" s="51"/>
      <c r="AP762" s="70"/>
      <c r="AQ762" s="58"/>
      <c r="AR762" s="55"/>
      <c r="AS762" s="51"/>
      <c r="AT762" s="69"/>
      <c r="AU762" s="56"/>
      <c r="AV762" s="52"/>
      <c r="AW762" s="51"/>
      <c r="BR762" s="34" t="str">
        <f>IF(E762="","",CONCATENATE(E762," ",F762," noches"))</f>
        <v/>
      </c>
      <c r="BS762" s="28" t="str">
        <f t="shared" ca="1" si="179"/>
        <v/>
      </c>
      <c r="BT762" s="28" t="str">
        <f t="shared" ca="1" si="180"/>
        <v/>
      </c>
    </row>
    <row r="763" spans="1:72" x14ac:dyDescent="0.2">
      <c r="A763" s="18" t="str" cm="1">
        <f t="array" aca="1" ref="A763" ca="1">IF(B763="","","Grupo N˚"&amp;SUMPRODUCT(($B$4:B763&lt;&gt;"")*($B$4:B763&lt;&gt;OFFSET($B$4,-1,0,ROWS($B$4:B763),1))))</f>
        <v/>
      </c>
      <c r="B763" s="31"/>
      <c r="C763" s="31"/>
      <c r="D763" s="31"/>
      <c r="E763" s="31"/>
      <c r="F763" s="32"/>
      <c r="G763" s="33"/>
      <c r="H763" s="33"/>
      <c r="I763" s="20" t="str">
        <f t="shared" si="169"/>
        <v/>
      </c>
      <c r="J763" s="21" t="str">
        <f>IFERROR(VLOOKUP(BR763,Pricing!$D$3:$E$58,2,FALSE),"")</f>
        <v/>
      </c>
      <c r="K763" s="32"/>
      <c r="L763" s="32"/>
      <c r="M763" s="32"/>
      <c r="N763" s="36" t="str" cm="1">
        <f t="array" ref="N763">IFERROR(_xlfn.IFS((AND(K763="SI",M763="$")),J763*0.2,AND(K763="SI",M763="%"),20),"")</f>
        <v/>
      </c>
      <c r="O763" s="29" t="str">
        <f t="shared" si="170"/>
        <v/>
      </c>
      <c r="P763" s="21" t="str">
        <f t="shared" si="171"/>
        <v/>
      </c>
      <c r="Q763" s="21" t="str">
        <f t="shared" si="172"/>
        <v/>
      </c>
      <c r="R763" s="21" t="str">
        <f t="shared" si="173"/>
        <v/>
      </c>
      <c r="S763" s="39"/>
      <c r="T763" s="43" t="str">
        <f t="shared" si="181"/>
        <v/>
      </c>
      <c r="U763" s="49" t="str">
        <f t="shared" si="182"/>
        <v/>
      </c>
      <c r="V763" s="48" t="str">
        <f t="shared" si="183"/>
        <v/>
      </c>
      <c r="W763" s="48" t="str">
        <f t="shared" si="174"/>
        <v/>
      </c>
      <c r="X763" s="50" t="str">
        <f>IF(W763="","",SUMIF($B$4:$B$1002,B763,$W$4:$W$1000))</f>
        <v/>
      </c>
      <c r="Y763" s="43" t="str">
        <f t="shared" si="175"/>
        <v/>
      </c>
      <c r="Z763" s="49" t="str">
        <f t="shared" si="176"/>
        <v/>
      </c>
      <c r="AA763" s="48" t="str">
        <f t="shared" si="177"/>
        <v/>
      </c>
      <c r="AB763" s="49" t="str">
        <f t="shared" si="178"/>
        <v/>
      </c>
      <c r="AC763" s="50" t="str">
        <f>IF(AB763="","",SUMIF($B$4:$B$1002,B763,$AB$4:$AB$1000))</f>
        <v/>
      </c>
      <c r="AD763" s="69"/>
      <c r="AE763" s="56"/>
      <c r="AF763" s="52"/>
      <c r="AG763" s="51"/>
      <c r="AH763" s="70"/>
      <c r="AI763" s="58"/>
      <c r="AJ763" s="55"/>
      <c r="AK763" s="51"/>
      <c r="AL763" s="69"/>
      <c r="AM763" s="56"/>
      <c r="AN763" s="52"/>
      <c r="AO763" s="51"/>
      <c r="AP763" s="70"/>
      <c r="AQ763" s="58"/>
      <c r="AR763" s="55"/>
      <c r="AS763" s="51"/>
      <c r="AT763" s="69"/>
      <c r="AU763" s="56"/>
      <c r="AV763" s="52"/>
      <c r="AW763" s="51"/>
      <c r="BR763" s="34" t="str">
        <f>IF(E763="","",CONCATENATE(E763," ",F763," noches"))</f>
        <v/>
      </c>
      <c r="BS763" s="28" t="str">
        <f t="shared" ca="1" si="179"/>
        <v/>
      </c>
      <c r="BT763" s="28" t="str">
        <f t="shared" ca="1" si="180"/>
        <v/>
      </c>
    </row>
    <row r="764" spans="1:72" x14ac:dyDescent="0.2">
      <c r="A764" s="18" t="str" cm="1">
        <f t="array" aca="1" ref="A764" ca="1">IF(B764="","","Grupo N˚"&amp;SUMPRODUCT(($B$4:B764&lt;&gt;"")*($B$4:B764&lt;&gt;OFFSET($B$4,-1,0,ROWS($B$4:B764),1))))</f>
        <v/>
      </c>
      <c r="B764" s="31"/>
      <c r="C764" s="31"/>
      <c r="D764" s="31"/>
      <c r="E764" s="31"/>
      <c r="F764" s="32"/>
      <c r="G764" s="33"/>
      <c r="H764" s="33"/>
      <c r="I764" s="20" t="str">
        <f t="shared" si="169"/>
        <v/>
      </c>
      <c r="J764" s="21" t="str">
        <f>IFERROR(VLOOKUP(BR764,Pricing!$D$3:$E$58,2,FALSE),"")</f>
        <v/>
      </c>
      <c r="K764" s="32"/>
      <c r="L764" s="32"/>
      <c r="M764" s="32"/>
      <c r="N764" s="36" t="str" cm="1">
        <f t="array" ref="N764">IFERROR(_xlfn.IFS((AND(K764="SI",M764="$")),J764*0.2,AND(K764="SI",M764="%"),20),"")</f>
        <v/>
      </c>
      <c r="O764" s="29" t="str">
        <f t="shared" si="170"/>
        <v/>
      </c>
      <c r="P764" s="21" t="str">
        <f t="shared" si="171"/>
        <v/>
      </c>
      <c r="Q764" s="21" t="str">
        <f t="shared" si="172"/>
        <v/>
      </c>
      <c r="R764" s="21" t="str">
        <f t="shared" si="173"/>
        <v/>
      </c>
      <c r="S764" s="39"/>
      <c r="T764" s="43" t="str">
        <f t="shared" si="181"/>
        <v/>
      </c>
      <c r="U764" s="49" t="str">
        <f t="shared" si="182"/>
        <v/>
      </c>
      <c r="V764" s="48" t="str">
        <f t="shared" si="183"/>
        <v/>
      </c>
      <c r="W764" s="48" t="str">
        <f t="shared" si="174"/>
        <v/>
      </c>
      <c r="X764" s="50" t="str">
        <f>IF(W764="","",SUMIF($B$4:$B$1002,B764,$W$4:$W$1000))</f>
        <v/>
      </c>
      <c r="Y764" s="43" t="str">
        <f t="shared" si="175"/>
        <v/>
      </c>
      <c r="Z764" s="49" t="str">
        <f t="shared" si="176"/>
        <v/>
      </c>
      <c r="AA764" s="48" t="str">
        <f t="shared" si="177"/>
        <v/>
      </c>
      <c r="AB764" s="49" t="str">
        <f t="shared" si="178"/>
        <v/>
      </c>
      <c r="AC764" s="50" t="str">
        <f>IF(AB764="","",SUMIF($B$4:$B$1002,B764,$AB$4:$AB$1000))</f>
        <v/>
      </c>
      <c r="AD764" s="69"/>
      <c r="AE764" s="56"/>
      <c r="AF764" s="52"/>
      <c r="AG764" s="51"/>
      <c r="AH764" s="70"/>
      <c r="AI764" s="58"/>
      <c r="AJ764" s="55"/>
      <c r="AK764" s="51"/>
      <c r="AL764" s="69"/>
      <c r="AM764" s="56"/>
      <c r="AN764" s="52"/>
      <c r="AO764" s="51"/>
      <c r="AP764" s="70"/>
      <c r="AQ764" s="58"/>
      <c r="AR764" s="55"/>
      <c r="AS764" s="51"/>
      <c r="AT764" s="69"/>
      <c r="AU764" s="56"/>
      <c r="AV764" s="52"/>
      <c r="AW764" s="51"/>
      <c r="BR764" s="34" t="str">
        <f>IF(E764="","",CONCATENATE(E764," ",F764," noches"))</f>
        <v/>
      </c>
      <c r="BS764" s="28" t="str">
        <f t="shared" ca="1" si="179"/>
        <v/>
      </c>
      <c r="BT764" s="28" t="str">
        <f t="shared" ca="1" si="180"/>
        <v/>
      </c>
    </row>
    <row r="765" spans="1:72" x14ac:dyDescent="0.2">
      <c r="A765" s="18" t="str" cm="1">
        <f t="array" aca="1" ref="A765" ca="1">IF(B765="","","Grupo N˚"&amp;SUMPRODUCT(($B$4:B765&lt;&gt;"")*($B$4:B765&lt;&gt;OFFSET($B$4,-1,0,ROWS($B$4:B765),1))))</f>
        <v/>
      </c>
      <c r="B765" s="31"/>
      <c r="C765" s="31"/>
      <c r="D765" s="31"/>
      <c r="E765" s="31"/>
      <c r="F765" s="32"/>
      <c r="G765" s="33"/>
      <c r="H765" s="33"/>
      <c r="I765" s="20" t="str">
        <f t="shared" si="169"/>
        <v/>
      </c>
      <c r="J765" s="21" t="str">
        <f>IFERROR(VLOOKUP(BR765,Pricing!$D$3:$E$58,2,FALSE),"")</f>
        <v/>
      </c>
      <c r="K765" s="32"/>
      <c r="L765" s="32"/>
      <c r="M765" s="32"/>
      <c r="N765" s="36" t="str" cm="1">
        <f t="array" ref="N765">IFERROR(_xlfn.IFS((AND(K765="SI",M765="$")),J765*0.2,AND(K765="SI",M765="%"),20),"")</f>
        <v/>
      </c>
      <c r="O765" s="29" t="str">
        <f t="shared" si="170"/>
        <v/>
      </c>
      <c r="P765" s="21" t="str">
        <f t="shared" si="171"/>
        <v/>
      </c>
      <c r="Q765" s="21" t="str">
        <f t="shared" si="172"/>
        <v/>
      </c>
      <c r="R765" s="21" t="str">
        <f t="shared" si="173"/>
        <v/>
      </c>
      <c r="S765" s="39"/>
      <c r="T765" s="43" t="str">
        <f t="shared" si="181"/>
        <v/>
      </c>
      <c r="U765" s="49" t="str">
        <f t="shared" si="182"/>
        <v/>
      </c>
      <c r="V765" s="48" t="str">
        <f t="shared" si="183"/>
        <v/>
      </c>
      <c r="W765" s="48" t="str">
        <f t="shared" si="174"/>
        <v/>
      </c>
      <c r="X765" s="50" t="str">
        <f>IF(W765="","",SUMIF($B$4:$B$1002,B765,$W$4:$W$1000))</f>
        <v/>
      </c>
      <c r="Y765" s="43" t="str">
        <f t="shared" si="175"/>
        <v/>
      </c>
      <c r="Z765" s="49" t="str">
        <f t="shared" si="176"/>
        <v/>
      </c>
      <c r="AA765" s="48" t="str">
        <f t="shared" si="177"/>
        <v/>
      </c>
      <c r="AB765" s="49" t="str">
        <f t="shared" si="178"/>
        <v/>
      </c>
      <c r="AC765" s="50" t="str">
        <f>IF(AB765="","",SUMIF($B$4:$B$1002,B765,$AB$4:$AB$1000))</f>
        <v/>
      </c>
      <c r="AD765" s="69"/>
      <c r="AE765" s="56"/>
      <c r="AF765" s="52"/>
      <c r="AG765" s="51"/>
      <c r="AH765" s="70"/>
      <c r="AI765" s="58"/>
      <c r="AJ765" s="55"/>
      <c r="AK765" s="51"/>
      <c r="AL765" s="69"/>
      <c r="AM765" s="56"/>
      <c r="AN765" s="52"/>
      <c r="AO765" s="51"/>
      <c r="AP765" s="70"/>
      <c r="AQ765" s="58"/>
      <c r="AR765" s="55"/>
      <c r="AS765" s="51"/>
      <c r="AT765" s="69"/>
      <c r="AU765" s="56"/>
      <c r="AV765" s="52"/>
      <c r="AW765" s="51"/>
      <c r="BR765" s="34" t="str">
        <f>IF(E765="","",CONCATENATE(E765," ",F765," noches"))</f>
        <v/>
      </c>
      <c r="BS765" s="28" t="str">
        <f t="shared" ca="1" si="179"/>
        <v/>
      </c>
      <c r="BT765" s="28" t="str">
        <f t="shared" ca="1" si="180"/>
        <v/>
      </c>
    </row>
    <row r="766" spans="1:72" x14ac:dyDescent="0.2">
      <c r="A766" s="18" t="str" cm="1">
        <f t="array" aca="1" ref="A766" ca="1">IF(B766="","","Grupo N˚"&amp;SUMPRODUCT(($B$4:B766&lt;&gt;"")*($B$4:B766&lt;&gt;OFFSET($B$4,-1,0,ROWS($B$4:B766),1))))</f>
        <v/>
      </c>
      <c r="B766" s="31"/>
      <c r="C766" s="31"/>
      <c r="D766" s="31"/>
      <c r="E766" s="31"/>
      <c r="F766" s="32"/>
      <c r="G766" s="33"/>
      <c r="H766" s="33"/>
      <c r="I766" s="20" t="str">
        <f t="shared" si="169"/>
        <v/>
      </c>
      <c r="J766" s="21" t="str">
        <f>IFERROR(VLOOKUP(BR766,Pricing!$D$3:$E$58,2,FALSE),"")</f>
        <v/>
      </c>
      <c r="K766" s="32"/>
      <c r="L766" s="32"/>
      <c r="M766" s="32"/>
      <c r="N766" s="36" t="str" cm="1">
        <f t="array" ref="N766">IFERROR(_xlfn.IFS((AND(K766="SI",M766="$")),J766*0.2,AND(K766="SI",M766="%"),20),"")</f>
        <v/>
      </c>
      <c r="O766" s="29" t="str">
        <f t="shared" si="170"/>
        <v/>
      </c>
      <c r="P766" s="21" t="str">
        <f t="shared" si="171"/>
        <v/>
      </c>
      <c r="Q766" s="21" t="str">
        <f t="shared" si="172"/>
        <v/>
      </c>
      <c r="R766" s="21" t="str">
        <f t="shared" si="173"/>
        <v/>
      </c>
      <c r="S766" s="39"/>
      <c r="T766" s="43" t="str">
        <f t="shared" si="181"/>
        <v/>
      </c>
      <c r="U766" s="49" t="str">
        <f t="shared" si="182"/>
        <v/>
      </c>
      <c r="V766" s="48" t="str">
        <f t="shared" si="183"/>
        <v/>
      </c>
      <c r="W766" s="48" t="str">
        <f t="shared" si="174"/>
        <v/>
      </c>
      <c r="X766" s="50" t="str">
        <f>IF(W766="","",SUMIF($B$4:$B$1002,B766,$W$4:$W$1000))</f>
        <v/>
      </c>
      <c r="Y766" s="43" t="str">
        <f t="shared" si="175"/>
        <v/>
      </c>
      <c r="Z766" s="49" t="str">
        <f t="shared" si="176"/>
        <v/>
      </c>
      <c r="AA766" s="48" t="str">
        <f t="shared" si="177"/>
        <v/>
      </c>
      <c r="AB766" s="49" t="str">
        <f t="shared" si="178"/>
        <v/>
      </c>
      <c r="AC766" s="50" t="str">
        <f>IF(AB766="","",SUMIF($B$4:$B$1002,B766,$AB$4:$AB$1000))</f>
        <v/>
      </c>
      <c r="AD766" s="69"/>
      <c r="AE766" s="56"/>
      <c r="AF766" s="52"/>
      <c r="AG766" s="51"/>
      <c r="AH766" s="70"/>
      <c r="AI766" s="58"/>
      <c r="AJ766" s="55"/>
      <c r="AK766" s="51"/>
      <c r="AL766" s="69"/>
      <c r="AM766" s="56"/>
      <c r="AN766" s="52"/>
      <c r="AO766" s="51"/>
      <c r="AP766" s="70"/>
      <c r="AQ766" s="58"/>
      <c r="AR766" s="55"/>
      <c r="AS766" s="51"/>
      <c r="AT766" s="69"/>
      <c r="AU766" s="56"/>
      <c r="AV766" s="52"/>
      <c r="AW766" s="51"/>
      <c r="BR766" s="34" t="str">
        <f>IF(E766="","",CONCATENATE(E766," ",F766," noches"))</f>
        <v/>
      </c>
      <c r="BS766" s="28" t="str">
        <f t="shared" ca="1" si="179"/>
        <v/>
      </c>
      <c r="BT766" s="28" t="str">
        <f t="shared" ca="1" si="180"/>
        <v/>
      </c>
    </row>
    <row r="767" spans="1:72" x14ac:dyDescent="0.2">
      <c r="A767" s="18" t="str" cm="1">
        <f t="array" aca="1" ref="A767" ca="1">IF(B767="","","Grupo N˚"&amp;SUMPRODUCT(($B$4:B767&lt;&gt;"")*($B$4:B767&lt;&gt;OFFSET($B$4,-1,0,ROWS($B$4:B767),1))))</f>
        <v/>
      </c>
      <c r="B767" s="31"/>
      <c r="C767" s="31"/>
      <c r="D767" s="31"/>
      <c r="E767" s="31"/>
      <c r="F767" s="32"/>
      <c r="G767" s="33"/>
      <c r="H767" s="33"/>
      <c r="I767" s="20" t="str">
        <f t="shared" si="169"/>
        <v/>
      </c>
      <c r="J767" s="21" t="str">
        <f>IFERROR(VLOOKUP(BR767,Pricing!$D$3:$E$58,2,FALSE),"")</f>
        <v/>
      </c>
      <c r="K767" s="32"/>
      <c r="L767" s="32"/>
      <c r="M767" s="32"/>
      <c r="N767" s="36" t="str" cm="1">
        <f t="array" ref="N767">IFERROR(_xlfn.IFS((AND(K767="SI",M767="$")),J767*0.2,AND(K767="SI",M767="%"),20),"")</f>
        <v/>
      </c>
      <c r="O767" s="29" t="str">
        <f t="shared" si="170"/>
        <v/>
      </c>
      <c r="P767" s="21" t="str">
        <f t="shared" si="171"/>
        <v/>
      </c>
      <c r="Q767" s="21" t="str">
        <f t="shared" si="172"/>
        <v/>
      </c>
      <c r="R767" s="21" t="str">
        <f t="shared" si="173"/>
        <v/>
      </c>
      <c r="S767" s="39"/>
      <c r="T767" s="43" t="str">
        <f t="shared" si="181"/>
        <v/>
      </c>
      <c r="U767" s="49" t="str">
        <f t="shared" si="182"/>
        <v/>
      </c>
      <c r="V767" s="48" t="str">
        <f t="shared" si="183"/>
        <v/>
      </c>
      <c r="W767" s="48" t="str">
        <f t="shared" si="174"/>
        <v/>
      </c>
      <c r="X767" s="50" t="str">
        <f>IF(W767="","",SUMIF($B$4:$B$1002,B767,$W$4:$W$1000))</f>
        <v/>
      </c>
      <c r="Y767" s="43" t="str">
        <f t="shared" si="175"/>
        <v/>
      </c>
      <c r="Z767" s="49" t="str">
        <f t="shared" si="176"/>
        <v/>
      </c>
      <c r="AA767" s="48" t="str">
        <f t="shared" si="177"/>
        <v/>
      </c>
      <c r="AB767" s="49" t="str">
        <f t="shared" si="178"/>
        <v/>
      </c>
      <c r="AC767" s="50" t="str">
        <f>IF(AB767="","",SUMIF($B$4:$B$1002,B767,$AB$4:$AB$1000))</f>
        <v/>
      </c>
      <c r="AD767" s="69"/>
      <c r="AE767" s="56"/>
      <c r="AF767" s="52"/>
      <c r="AG767" s="51"/>
      <c r="AH767" s="70"/>
      <c r="AI767" s="58"/>
      <c r="AJ767" s="55"/>
      <c r="AK767" s="51"/>
      <c r="AL767" s="69"/>
      <c r="AM767" s="56"/>
      <c r="AN767" s="52"/>
      <c r="AO767" s="51"/>
      <c r="AP767" s="70"/>
      <c r="AQ767" s="58"/>
      <c r="AR767" s="55"/>
      <c r="AS767" s="51"/>
      <c r="AT767" s="69"/>
      <c r="AU767" s="56"/>
      <c r="AV767" s="52"/>
      <c r="AW767" s="51"/>
      <c r="BR767" s="34" t="str">
        <f>IF(E767="","",CONCATENATE(E767," ",F767," noches"))</f>
        <v/>
      </c>
      <c r="BS767" s="28" t="str">
        <f t="shared" ca="1" si="179"/>
        <v/>
      </c>
      <c r="BT767" s="28" t="str">
        <f t="shared" ca="1" si="180"/>
        <v/>
      </c>
    </row>
    <row r="768" spans="1:72" x14ac:dyDescent="0.2">
      <c r="A768" s="18" t="str" cm="1">
        <f t="array" aca="1" ref="A768" ca="1">IF(B768="","","Grupo N˚"&amp;SUMPRODUCT(($B$4:B768&lt;&gt;"")*($B$4:B768&lt;&gt;OFFSET($B$4,-1,0,ROWS($B$4:B768),1))))</f>
        <v/>
      </c>
      <c r="B768" s="31"/>
      <c r="C768" s="31"/>
      <c r="D768" s="31"/>
      <c r="E768" s="31"/>
      <c r="F768" s="32"/>
      <c r="G768" s="33"/>
      <c r="H768" s="33"/>
      <c r="I768" s="20" t="str">
        <f t="shared" si="169"/>
        <v/>
      </c>
      <c r="J768" s="21" t="str">
        <f>IFERROR(VLOOKUP(BR768,Pricing!$D$3:$E$58,2,FALSE),"")</f>
        <v/>
      </c>
      <c r="K768" s="32"/>
      <c r="L768" s="32"/>
      <c r="M768" s="32"/>
      <c r="N768" s="36" t="str" cm="1">
        <f t="array" ref="N768">IFERROR(_xlfn.IFS((AND(K768="SI",M768="$")),J768*0.2,AND(K768="SI",M768="%"),20),"")</f>
        <v/>
      </c>
      <c r="O768" s="29" t="str">
        <f t="shared" si="170"/>
        <v/>
      </c>
      <c r="P768" s="21" t="str">
        <f t="shared" si="171"/>
        <v/>
      </c>
      <c r="Q768" s="21" t="str">
        <f t="shared" si="172"/>
        <v/>
      </c>
      <c r="R768" s="21" t="str">
        <f t="shared" si="173"/>
        <v/>
      </c>
      <c r="S768" s="39"/>
      <c r="T768" s="43" t="str">
        <f t="shared" si="181"/>
        <v/>
      </c>
      <c r="U768" s="49" t="str">
        <f t="shared" si="182"/>
        <v/>
      </c>
      <c r="V768" s="48" t="str">
        <f t="shared" si="183"/>
        <v/>
      </c>
      <c r="W768" s="48" t="str">
        <f t="shared" si="174"/>
        <v/>
      </c>
      <c r="X768" s="50" t="str">
        <f>IF(W768="","",SUMIF($B$4:$B$1002,B768,$W$4:$W$1000))</f>
        <v/>
      </c>
      <c r="Y768" s="43" t="str">
        <f t="shared" si="175"/>
        <v/>
      </c>
      <c r="Z768" s="49" t="str">
        <f t="shared" si="176"/>
        <v/>
      </c>
      <c r="AA768" s="48" t="str">
        <f t="shared" si="177"/>
        <v/>
      </c>
      <c r="AB768" s="49" t="str">
        <f t="shared" si="178"/>
        <v/>
      </c>
      <c r="AC768" s="50" t="str">
        <f>IF(AB768="","",SUMIF($B$4:$B$1002,B768,$AB$4:$AB$1000))</f>
        <v/>
      </c>
      <c r="AD768" s="69"/>
      <c r="AE768" s="56"/>
      <c r="AF768" s="52"/>
      <c r="AG768" s="51"/>
      <c r="AH768" s="70"/>
      <c r="AI768" s="58"/>
      <c r="AJ768" s="55"/>
      <c r="AK768" s="51"/>
      <c r="AL768" s="69"/>
      <c r="AM768" s="56"/>
      <c r="AN768" s="52"/>
      <c r="AO768" s="51"/>
      <c r="AP768" s="70"/>
      <c r="AQ768" s="58"/>
      <c r="AR768" s="55"/>
      <c r="AS768" s="51"/>
      <c r="AT768" s="69"/>
      <c r="AU768" s="56"/>
      <c r="AV768" s="52"/>
      <c r="AW768" s="51"/>
      <c r="BR768" s="34" t="str">
        <f>IF(E768="","",CONCATENATE(E768," ",F768," noches"))</f>
        <v/>
      </c>
      <c r="BS768" s="28" t="str">
        <f t="shared" ca="1" si="179"/>
        <v/>
      </c>
      <c r="BT768" s="28" t="str">
        <f t="shared" ca="1" si="180"/>
        <v/>
      </c>
    </row>
    <row r="769" spans="1:72" x14ac:dyDescent="0.2">
      <c r="A769" s="18" t="str" cm="1">
        <f t="array" aca="1" ref="A769" ca="1">IF(B769="","","Grupo N˚"&amp;SUMPRODUCT(($B$4:B769&lt;&gt;"")*($B$4:B769&lt;&gt;OFFSET($B$4,-1,0,ROWS($B$4:B769),1))))</f>
        <v/>
      </c>
      <c r="B769" s="31"/>
      <c r="C769" s="31"/>
      <c r="D769" s="31"/>
      <c r="E769" s="31"/>
      <c r="F769" s="32"/>
      <c r="G769" s="33"/>
      <c r="H769" s="33"/>
      <c r="I769" s="20" t="str">
        <f t="shared" si="169"/>
        <v/>
      </c>
      <c r="J769" s="21" t="str">
        <f>IFERROR(VLOOKUP(BR769,Pricing!$D$3:$E$58,2,FALSE),"")</f>
        <v/>
      </c>
      <c r="K769" s="32"/>
      <c r="L769" s="32"/>
      <c r="M769" s="32"/>
      <c r="N769" s="36" t="str" cm="1">
        <f t="array" ref="N769">IFERROR(_xlfn.IFS((AND(K769="SI",M769="$")),J769*0.2,AND(K769="SI",M769="%"),20),"")</f>
        <v/>
      </c>
      <c r="O769" s="29" t="str">
        <f t="shared" si="170"/>
        <v/>
      </c>
      <c r="P769" s="21" t="str">
        <f t="shared" si="171"/>
        <v/>
      </c>
      <c r="Q769" s="21" t="str">
        <f t="shared" si="172"/>
        <v/>
      </c>
      <c r="R769" s="21" t="str">
        <f t="shared" si="173"/>
        <v/>
      </c>
      <c r="S769" s="39"/>
      <c r="T769" s="43" t="str">
        <f t="shared" si="181"/>
        <v/>
      </c>
      <c r="U769" s="49" t="str">
        <f t="shared" si="182"/>
        <v/>
      </c>
      <c r="V769" s="48" t="str">
        <f t="shared" si="183"/>
        <v/>
      </c>
      <c r="W769" s="48" t="str">
        <f t="shared" si="174"/>
        <v/>
      </c>
      <c r="X769" s="50" t="str">
        <f>IF(W769="","",SUMIF($B$4:$B$1002,B769,$W$4:$W$1000))</f>
        <v/>
      </c>
      <c r="Y769" s="43" t="str">
        <f t="shared" si="175"/>
        <v/>
      </c>
      <c r="Z769" s="49" t="str">
        <f t="shared" si="176"/>
        <v/>
      </c>
      <c r="AA769" s="48" t="str">
        <f t="shared" si="177"/>
        <v/>
      </c>
      <c r="AB769" s="49" t="str">
        <f t="shared" si="178"/>
        <v/>
      </c>
      <c r="AC769" s="50" t="str">
        <f>IF(AB769="","",SUMIF($B$4:$B$1002,B769,$AB$4:$AB$1000))</f>
        <v/>
      </c>
      <c r="AD769" s="69"/>
      <c r="AE769" s="56"/>
      <c r="AF769" s="52"/>
      <c r="AG769" s="51"/>
      <c r="AH769" s="70"/>
      <c r="AI769" s="58"/>
      <c r="AJ769" s="55"/>
      <c r="AK769" s="51"/>
      <c r="AL769" s="69"/>
      <c r="AM769" s="56"/>
      <c r="AN769" s="52"/>
      <c r="AO769" s="51"/>
      <c r="AP769" s="70"/>
      <c r="AQ769" s="58"/>
      <c r="AR769" s="55"/>
      <c r="AS769" s="51"/>
      <c r="AT769" s="69"/>
      <c r="AU769" s="56"/>
      <c r="AV769" s="52"/>
      <c r="AW769" s="51"/>
      <c r="BR769" s="34" t="str">
        <f>IF(E769="","",CONCATENATE(E769," ",F769," noches"))</f>
        <v/>
      </c>
      <c r="BS769" s="28" t="str">
        <f t="shared" ca="1" si="179"/>
        <v/>
      </c>
      <c r="BT769" s="28" t="str">
        <f t="shared" ca="1" si="180"/>
        <v/>
      </c>
    </row>
    <row r="770" spans="1:72" x14ac:dyDescent="0.2">
      <c r="A770" s="18" t="str" cm="1">
        <f t="array" aca="1" ref="A770" ca="1">IF(B770="","","Grupo N˚"&amp;SUMPRODUCT(($B$4:B770&lt;&gt;"")*($B$4:B770&lt;&gt;OFFSET($B$4,-1,0,ROWS($B$4:B770),1))))</f>
        <v/>
      </c>
      <c r="B770" s="31"/>
      <c r="C770" s="31"/>
      <c r="D770" s="31"/>
      <c r="E770" s="31"/>
      <c r="F770" s="32"/>
      <c r="G770" s="33"/>
      <c r="H770" s="33"/>
      <c r="I770" s="20" t="str">
        <f t="shared" si="169"/>
        <v/>
      </c>
      <c r="J770" s="21" t="str">
        <f>IFERROR(VLOOKUP(BR770,Pricing!$D$3:$E$58,2,FALSE),"")</f>
        <v/>
      </c>
      <c r="K770" s="32"/>
      <c r="L770" s="32"/>
      <c r="M770" s="32"/>
      <c r="N770" s="36" t="str" cm="1">
        <f t="array" ref="N770">IFERROR(_xlfn.IFS((AND(K770="SI",M770="$")),J770*0.2,AND(K770="SI",M770="%"),20),"")</f>
        <v/>
      </c>
      <c r="O770" s="29" t="str">
        <f t="shared" si="170"/>
        <v/>
      </c>
      <c r="P770" s="21" t="str">
        <f t="shared" si="171"/>
        <v/>
      </c>
      <c r="Q770" s="21" t="str">
        <f t="shared" si="172"/>
        <v/>
      </c>
      <c r="R770" s="21" t="str">
        <f t="shared" si="173"/>
        <v/>
      </c>
      <c r="S770" s="39"/>
      <c r="T770" s="43" t="str">
        <f t="shared" si="181"/>
        <v/>
      </c>
      <c r="U770" s="49" t="str">
        <f t="shared" si="182"/>
        <v/>
      </c>
      <c r="V770" s="48" t="str">
        <f t="shared" si="183"/>
        <v/>
      </c>
      <c r="W770" s="48" t="str">
        <f t="shared" si="174"/>
        <v/>
      </c>
      <c r="X770" s="50" t="str">
        <f>IF(W770="","",SUMIF($B$4:$B$1002,B770,$W$4:$W$1000))</f>
        <v/>
      </c>
      <c r="Y770" s="43" t="str">
        <f t="shared" si="175"/>
        <v/>
      </c>
      <c r="Z770" s="49" t="str">
        <f t="shared" si="176"/>
        <v/>
      </c>
      <c r="AA770" s="48" t="str">
        <f t="shared" si="177"/>
        <v/>
      </c>
      <c r="AB770" s="49" t="str">
        <f t="shared" si="178"/>
        <v/>
      </c>
      <c r="AC770" s="50" t="str">
        <f>IF(AB770="","",SUMIF($B$4:$B$1002,B770,$AB$4:$AB$1000))</f>
        <v/>
      </c>
      <c r="AD770" s="69"/>
      <c r="AE770" s="56"/>
      <c r="AF770" s="52"/>
      <c r="AG770" s="51"/>
      <c r="AH770" s="70"/>
      <c r="AI770" s="58"/>
      <c r="AJ770" s="55"/>
      <c r="AK770" s="51"/>
      <c r="AL770" s="69"/>
      <c r="AM770" s="56"/>
      <c r="AN770" s="52"/>
      <c r="AO770" s="51"/>
      <c r="AP770" s="70"/>
      <c r="AQ770" s="58"/>
      <c r="AR770" s="55"/>
      <c r="AS770" s="51"/>
      <c r="AT770" s="69"/>
      <c r="AU770" s="56"/>
      <c r="AV770" s="52"/>
      <c r="AW770" s="51"/>
      <c r="BR770" s="34" t="str">
        <f>IF(E770="","",CONCATENATE(E770," ",F770," noches"))</f>
        <v/>
      </c>
      <c r="BS770" s="28" t="str">
        <f t="shared" ca="1" si="179"/>
        <v/>
      </c>
      <c r="BT770" s="28" t="str">
        <f t="shared" ca="1" si="180"/>
        <v/>
      </c>
    </row>
    <row r="771" spans="1:72" x14ac:dyDescent="0.2">
      <c r="A771" s="18" t="str" cm="1">
        <f t="array" aca="1" ref="A771" ca="1">IF(B771="","","Grupo N˚"&amp;SUMPRODUCT(($B$4:B771&lt;&gt;"")*($B$4:B771&lt;&gt;OFFSET($B$4,-1,0,ROWS($B$4:B771),1))))</f>
        <v/>
      </c>
      <c r="B771" s="31"/>
      <c r="C771" s="31"/>
      <c r="D771" s="31"/>
      <c r="E771" s="31"/>
      <c r="F771" s="32"/>
      <c r="G771" s="33"/>
      <c r="H771" s="33"/>
      <c r="I771" s="20" t="str">
        <f t="shared" si="169"/>
        <v/>
      </c>
      <c r="J771" s="21" t="str">
        <f>IFERROR(VLOOKUP(BR771,Pricing!$D$3:$E$58,2,FALSE),"")</f>
        <v/>
      </c>
      <c r="K771" s="32"/>
      <c r="L771" s="32"/>
      <c r="M771" s="32"/>
      <c r="N771" s="36" t="str" cm="1">
        <f t="array" ref="N771">IFERROR(_xlfn.IFS((AND(K771="SI",M771="$")),J771*0.2,AND(K771="SI",M771="%"),20),"")</f>
        <v/>
      </c>
      <c r="O771" s="29" t="str">
        <f t="shared" si="170"/>
        <v/>
      </c>
      <c r="P771" s="21" t="str">
        <f t="shared" si="171"/>
        <v/>
      </c>
      <c r="Q771" s="21" t="str">
        <f t="shared" si="172"/>
        <v/>
      </c>
      <c r="R771" s="21" t="str">
        <f t="shared" si="173"/>
        <v/>
      </c>
      <c r="S771" s="39"/>
      <c r="T771" s="43" t="str">
        <f t="shared" si="181"/>
        <v/>
      </c>
      <c r="U771" s="49" t="str">
        <f t="shared" si="182"/>
        <v/>
      </c>
      <c r="V771" s="48" t="str">
        <f t="shared" si="183"/>
        <v/>
      </c>
      <c r="W771" s="48" t="str">
        <f t="shared" si="174"/>
        <v/>
      </c>
      <c r="X771" s="50" t="str">
        <f>IF(W771="","",SUMIF($B$4:$B$1002,B771,$W$4:$W$1000))</f>
        <v/>
      </c>
      <c r="Y771" s="43" t="str">
        <f t="shared" si="175"/>
        <v/>
      </c>
      <c r="Z771" s="49" t="str">
        <f t="shared" si="176"/>
        <v/>
      </c>
      <c r="AA771" s="48" t="str">
        <f t="shared" si="177"/>
        <v/>
      </c>
      <c r="AB771" s="49" t="str">
        <f t="shared" si="178"/>
        <v/>
      </c>
      <c r="AC771" s="50" t="str">
        <f>IF(AB771="","",SUMIF($B$4:$B$1002,B771,$AB$4:$AB$1000))</f>
        <v/>
      </c>
      <c r="AD771" s="69"/>
      <c r="AE771" s="56"/>
      <c r="AF771" s="52"/>
      <c r="AG771" s="51"/>
      <c r="AH771" s="70"/>
      <c r="AI771" s="58"/>
      <c r="AJ771" s="55"/>
      <c r="AK771" s="51"/>
      <c r="AL771" s="69"/>
      <c r="AM771" s="56"/>
      <c r="AN771" s="52"/>
      <c r="AO771" s="51"/>
      <c r="AP771" s="70"/>
      <c r="AQ771" s="58"/>
      <c r="AR771" s="55"/>
      <c r="AS771" s="51"/>
      <c r="AT771" s="69"/>
      <c r="AU771" s="56"/>
      <c r="AV771" s="52"/>
      <c r="AW771" s="51"/>
      <c r="BR771" s="34" t="str">
        <f>IF(E771="","",CONCATENATE(E771," ",F771," noches"))</f>
        <v/>
      </c>
      <c r="BS771" s="28" t="str">
        <f t="shared" ca="1" si="179"/>
        <v/>
      </c>
      <c r="BT771" s="28" t="str">
        <f t="shared" ca="1" si="180"/>
        <v/>
      </c>
    </row>
    <row r="772" spans="1:72" x14ac:dyDescent="0.2">
      <c r="A772" s="18" t="str" cm="1">
        <f t="array" aca="1" ref="A772" ca="1">IF(B772="","","Grupo N˚"&amp;SUMPRODUCT(($B$4:B772&lt;&gt;"")*($B$4:B772&lt;&gt;OFFSET($B$4,-1,0,ROWS($B$4:B772),1))))</f>
        <v/>
      </c>
      <c r="B772" s="31"/>
      <c r="C772" s="31"/>
      <c r="D772" s="31"/>
      <c r="E772" s="31"/>
      <c r="F772" s="32"/>
      <c r="G772" s="33"/>
      <c r="H772" s="33"/>
      <c r="I772" s="20" t="str">
        <f t="shared" si="169"/>
        <v/>
      </c>
      <c r="J772" s="21" t="str">
        <f>IFERROR(VLOOKUP(BR772,Pricing!$D$3:$E$58,2,FALSE),"")</f>
        <v/>
      </c>
      <c r="K772" s="32"/>
      <c r="L772" s="32"/>
      <c r="M772" s="32"/>
      <c r="N772" s="36" t="str" cm="1">
        <f t="array" ref="N772">IFERROR(_xlfn.IFS((AND(K772="SI",M772="$")),J772*0.2,AND(K772="SI",M772="%"),20),"")</f>
        <v/>
      </c>
      <c r="O772" s="29" t="str">
        <f t="shared" si="170"/>
        <v/>
      </c>
      <c r="P772" s="21" t="str">
        <f t="shared" si="171"/>
        <v/>
      </c>
      <c r="Q772" s="21" t="str">
        <f t="shared" si="172"/>
        <v/>
      </c>
      <c r="R772" s="21" t="str">
        <f t="shared" si="173"/>
        <v/>
      </c>
      <c r="S772" s="39"/>
      <c r="T772" s="43" t="str">
        <f t="shared" si="181"/>
        <v/>
      </c>
      <c r="U772" s="49" t="str">
        <f t="shared" si="182"/>
        <v/>
      </c>
      <c r="V772" s="48" t="str">
        <f t="shared" si="183"/>
        <v/>
      </c>
      <c r="W772" s="48" t="str">
        <f t="shared" si="174"/>
        <v/>
      </c>
      <c r="X772" s="50" t="str">
        <f>IF(W772="","",SUMIF($B$4:$B$1002,B772,$W$4:$W$1000))</f>
        <v/>
      </c>
      <c r="Y772" s="43" t="str">
        <f t="shared" si="175"/>
        <v/>
      </c>
      <c r="Z772" s="49" t="str">
        <f t="shared" si="176"/>
        <v/>
      </c>
      <c r="AA772" s="48" t="str">
        <f t="shared" si="177"/>
        <v/>
      </c>
      <c r="AB772" s="49" t="str">
        <f t="shared" si="178"/>
        <v/>
      </c>
      <c r="AC772" s="50" t="str">
        <f>IF(AB772="","",SUMIF($B$4:$B$1002,B772,$AB$4:$AB$1000))</f>
        <v/>
      </c>
      <c r="AD772" s="69"/>
      <c r="AE772" s="56"/>
      <c r="AF772" s="52"/>
      <c r="AG772" s="51"/>
      <c r="AH772" s="70"/>
      <c r="AI772" s="58"/>
      <c r="AJ772" s="55"/>
      <c r="AK772" s="51"/>
      <c r="AL772" s="69"/>
      <c r="AM772" s="56"/>
      <c r="AN772" s="52"/>
      <c r="AO772" s="51"/>
      <c r="AP772" s="70"/>
      <c r="AQ772" s="58"/>
      <c r="AR772" s="55"/>
      <c r="AS772" s="51"/>
      <c r="AT772" s="69"/>
      <c r="AU772" s="56"/>
      <c r="AV772" s="52"/>
      <c r="AW772" s="51"/>
      <c r="BR772" s="34" t="str">
        <f>IF(E772="","",CONCATENATE(E772," ",F772," noches"))</f>
        <v/>
      </c>
      <c r="BS772" s="28" t="str">
        <f t="shared" ca="1" si="179"/>
        <v/>
      </c>
      <c r="BT772" s="28" t="str">
        <f t="shared" ca="1" si="180"/>
        <v/>
      </c>
    </row>
    <row r="773" spans="1:72" x14ac:dyDescent="0.2">
      <c r="A773" s="18" t="str" cm="1">
        <f t="array" aca="1" ref="A773" ca="1">IF(B773="","","Grupo N˚"&amp;SUMPRODUCT(($B$4:B773&lt;&gt;"")*($B$4:B773&lt;&gt;OFFSET($B$4,-1,0,ROWS($B$4:B773),1))))</f>
        <v/>
      </c>
      <c r="B773" s="31"/>
      <c r="C773" s="31"/>
      <c r="D773" s="31"/>
      <c r="E773" s="31"/>
      <c r="F773" s="32"/>
      <c r="G773" s="33"/>
      <c r="H773" s="33"/>
      <c r="I773" s="20" t="str">
        <f t="shared" ref="I773:I836" si="184">+IF(H773="","",G773+H773)</f>
        <v/>
      </c>
      <c r="J773" s="21" t="str">
        <f>IFERROR(VLOOKUP(BR773,Pricing!$D$3:$E$58,2,FALSE),"")</f>
        <v/>
      </c>
      <c r="K773" s="32"/>
      <c r="L773" s="32"/>
      <c r="M773" s="32"/>
      <c r="N773" s="36" t="str" cm="1">
        <f t="array" ref="N773">IFERROR(_xlfn.IFS((AND(K773="SI",M773="$")),J773*0.2,AND(K773="SI",M773="%"),20),"")</f>
        <v/>
      </c>
      <c r="O773" s="29" t="str">
        <f t="shared" ref="O773:O836" si="185">IFERROR(IF($M773="%",
             IF(N(N773)&gt;1, N(N773)/100, N(N773)),
             IF(AND($J773&gt;0,$M773="$"), N(N773)/$J773, "")
            ),"")</f>
        <v/>
      </c>
      <c r="P773" s="21" t="str">
        <f t="shared" ref="P773:P836" si="186">IFERROR(IF(M773="$", N(N773), IF(M773="%", J773*N(N773/100), "")), "")</f>
        <v/>
      </c>
      <c r="Q773" s="21" t="str">
        <f t="shared" ref="Q773:Q836" si="187">IF(J773="","",J773*(1-N(O773)))</f>
        <v/>
      </c>
      <c r="R773" s="21" t="str">
        <f t="shared" ref="R773:R836" si="188">IF(Q773="","",Q773/1.19)</f>
        <v/>
      </c>
      <c r="S773" s="39"/>
      <c r="T773" s="43" t="str">
        <f t="shared" si="181"/>
        <v/>
      </c>
      <c r="U773" s="49" t="str">
        <f t="shared" si="182"/>
        <v/>
      </c>
      <c r="V773" s="48" t="str">
        <f t="shared" si="183"/>
        <v/>
      </c>
      <c r="W773" s="48" t="str">
        <f t="shared" ref="W773:W836" si="189">IFERROR(U773-N(V773),"")</f>
        <v/>
      </c>
      <c r="X773" s="50" t="str">
        <f>IF(W773="","",SUMIF($B$4:$B$1002,B773,$W$4:$W$1000))</f>
        <v/>
      </c>
      <c r="Y773" s="43" t="str">
        <f t="shared" ref="Y773:Y836" si="190">IF(AB773="","",IFERROR(
 IF(AND(ABS(N(AB773))&lt;0.5, BT773&gt;=23), "Sin deuda",
  IF(AND(N(AB773)&gt;0, BT773&gt;=23), "Con deuda",
   IF(AND(N(AB773)&gt;0, BT773&lt;23), "Moroso", "")
  )
),""))</f>
        <v/>
      </c>
      <c r="Z773" s="49" t="str">
        <f t="shared" ref="Z773:Z836" si="191">IF(R773="","",R773/2)</f>
        <v/>
      </c>
      <c r="AA773" s="48" t="str">
        <f t="shared" ref="AA773:AA836" si="192">IF(AD773="","",SUM(
 IF(ISNUMBER(SEARCH("saldo",AD773)),AF773,0),
 IF(ISNUMBER(SEARCH("saldo",AH773)),AJ773,0),
 IF(ISNUMBER(SEARCH("saldo",AL773)),AN773,0),
 IF(ISNUMBER(SEARCH("saldo",AP773)),AR773,0),
 IF(ISNUMBER(SEARCH("saldo",AT773)),AV773,0)
))</f>
        <v/>
      </c>
      <c r="AB773" s="49" t="str">
        <f t="shared" ref="AB773:AB836" si="193">IFERROR(Z773-N(AA773),"")</f>
        <v/>
      </c>
      <c r="AC773" s="50" t="str">
        <f>IF(AB773="","",SUMIF($B$4:$B$1002,B773,$AB$4:$AB$1000))</f>
        <v/>
      </c>
      <c r="AD773" s="69"/>
      <c r="AE773" s="56"/>
      <c r="AF773" s="52"/>
      <c r="AG773" s="51"/>
      <c r="AH773" s="70"/>
      <c r="AI773" s="58"/>
      <c r="AJ773" s="55"/>
      <c r="AK773" s="51"/>
      <c r="AL773" s="69"/>
      <c r="AM773" s="56"/>
      <c r="AN773" s="52"/>
      <c r="AO773" s="51"/>
      <c r="AP773" s="70"/>
      <c r="AQ773" s="58"/>
      <c r="AR773" s="55"/>
      <c r="AS773" s="51"/>
      <c r="AT773" s="69"/>
      <c r="AU773" s="56"/>
      <c r="AV773" s="52"/>
      <c r="AW773" s="51"/>
      <c r="BR773" s="34" t="str">
        <f>IF(E773="","",CONCATENATE(E773," ",F773," noches"))</f>
        <v/>
      </c>
      <c r="BS773" s="28" t="str">
        <f t="shared" ref="BS773:BS836" ca="1" si="194">IF(G773="","",+TODAY()-G773)</f>
        <v/>
      </c>
      <c r="BT773" s="28" t="str">
        <f t="shared" ref="BT773:BT836" ca="1" si="195">IF(H773="","",H773-TODAY())</f>
        <v/>
      </c>
    </row>
    <row r="774" spans="1:72" x14ac:dyDescent="0.2">
      <c r="A774" s="18" t="str" cm="1">
        <f t="array" aca="1" ref="A774" ca="1">IF(B774="","","Grupo N˚"&amp;SUMPRODUCT(($B$4:B774&lt;&gt;"")*($B$4:B774&lt;&gt;OFFSET($B$4,-1,0,ROWS($B$4:B774),1))))</f>
        <v/>
      </c>
      <c r="B774" s="31"/>
      <c r="C774" s="31"/>
      <c r="D774" s="31"/>
      <c r="E774" s="31"/>
      <c r="F774" s="32"/>
      <c r="G774" s="33"/>
      <c r="H774" s="33"/>
      <c r="I774" s="20" t="str">
        <f t="shared" si="184"/>
        <v/>
      </c>
      <c r="J774" s="21" t="str">
        <f>IFERROR(VLOOKUP(BR774,Pricing!$D$3:$E$58,2,FALSE),"")</f>
        <v/>
      </c>
      <c r="K774" s="32"/>
      <c r="L774" s="32"/>
      <c r="M774" s="32"/>
      <c r="N774" s="36" t="str" cm="1">
        <f t="array" ref="N774">IFERROR(_xlfn.IFS((AND(K774="SI",M774="$")),J774*0.2,AND(K774="SI",M774="%"),20),"")</f>
        <v/>
      </c>
      <c r="O774" s="29" t="str">
        <f t="shared" si="185"/>
        <v/>
      </c>
      <c r="P774" s="21" t="str">
        <f t="shared" si="186"/>
        <v/>
      </c>
      <c r="Q774" s="21" t="str">
        <f t="shared" si="187"/>
        <v/>
      </c>
      <c r="R774" s="21" t="str">
        <f t="shared" si="188"/>
        <v/>
      </c>
      <c r="S774" s="39"/>
      <c r="T774" s="43" t="str">
        <f t="shared" si="181"/>
        <v/>
      </c>
      <c r="U774" s="49" t="str">
        <f t="shared" si="182"/>
        <v/>
      </c>
      <c r="V774" s="48" t="str">
        <f t="shared" si="183"/>
        <v/>
      </c>
      <c r="W774" s="48" t="str">
        <f t="shared" si="189"/>
        <v/>
      </c>
      <c r="X774" s="50" t="str">
        <f>IF(W774="","",SUMIF($B$4:$B$1002,B774,$W$4:$W$1000))</f>
        <v/>
      </c>
      <c r="Y774" s="43" t="str">
        <f t="shared" si="190"/>
        <v/>
      </c>
      <c r="Z774" s="49" t="str">
        <f t="shared" si="191"/>
        <v/>
      </c>
      <c r="AA774" s="48" t="str">
        <f t="shared" si="192"/>
        <v/>
      </c>
      <c r="AB774" s="49" t="str">
        <f t="shared" si="193"/>
        <v/>
      </c>
      <c r="AC774" s="50" t="str">
        <f>IF(AB774="","",SUMIF($B$4:$B$1002,B774,$AB$4:$AB$1000))</f>
        <v/>
      </c>
      <c r="AD774" s="69"/>
      <c r="AE774" s="56"/>
      <c r="AF774" s="52"/>
      <c r="AG774" s="51"/>
      <c r="AH774" s="70"/>
      <c r="AI774" s="58"/>
      <c r="AJ774" s="55"/>
      <c r="AK774" s="51"/>
      <c r="AL774" s="69"/>
      <c r="AM774" s="56"/>
      <c r="AN774" s="52"/>
      <c r="AO774" s="51"/>
      <c r="AP774" s="70"/>
      <c r="AQ774" s="58"/>
      <c r="AR774" s="55"/>
      <c r="AS774" s="51"/>
      <c r="AT774" s="69"/>
      <c r="AU774" s="56"/>
      <c r="AV774" s="52"/>
      <c r="AW774" s="51"/>
      <c r="BR774" s="34" t="str">
        <f>IF(E774="","",CONCATENATE(E774," ",F774," noches"))</f>
        <v/>
      </c>
      <c r="BS774" s="28" t="str">
        <f t="shared" ca="1" si="194"/>
        <v/>
      </c>
      <c r="BT774" s="28" t="str">
        <f t="shared" ca="1" si="195"/>
        <v/>
      </c>
    </row>
    <row r="775" spans="1:72" x14ac:dyDescent="0.2">
      <c r="A775" s="18" t="str" cm="1">
        <f t="array" aca="1" ref="A775" ca="1">IF(B775="","","Grupo N˚"&amp;SUMPRODUCT(($B$4:B775&lt;&gt;"")*($B$4:B775&lt;&gt;OFFSET($B$4,-1,0,ROWS($B$4:B775),1))))</f>
        <v/>
      </c>
      <c r="B775" s="31"/>
      <c r="C775" s="31"/>
      <c r="D775" s="31"/>
      <c r="E775" s="31"/>
      <c r="F775" s="32"/>
      <c r="G775" s="33"/>
      <c r="H775" s="33"/>
      <c r="I775" s="20" t="str">
        <f t="shared" si="184"/>
        <v/>
      </c>
      <c r="J775" s="21" t="str">
        <f>IFERROR(VLOOKUP(BR775,Pricing!$D$3:$E$58,2,FALSE),"")</f>
        <v/>
      </c>
      <c r="K775" s="32"/>
      <c r="L775" s="32"/>
      <c r="M775" s="32"/>
      <c r="N775" s="36" t="str" cm="1">
        <f t="array" ref="N775">IFERROR(_xlfn.IFS((AND(K775="SI",M775="$")),J775*0.2,AND(K775="SI",M775="%"),20),"")</f>
        <v/>
      </c>
      <c r="O775" s="29" t="str">
        <f t="shared" si="185"/>
        <v/>
      </c>
      <c r="P775" s="21" t="str">
        <f t="shared" si="186"/>
        <v/>
      </c>
      <c r="Q775" s="21" t="str">
        <f t="shared" si="187"/>
        <v/>
      </c>
      <c r="R775" s="21" t="str">
        <f t="shared" si="188"/>
        <v/>
      </c>
      <c r="S775" s="39"/>
      <c r="T775" s="43" t="str">
        <f t="shared" si="181"/>
        <v/>
      </c>
      <c r="U775" s="49" t="str">
        <f t="shared" si="182"/>
        <v/>
      </c>
      <c r="V775" s="48" t="str">
        <f t="shared" si="183"/>
        <v/>
      </c>
      <c r="W775" s="48" t="str">
        <f t="shared" si="189"/>
        <v/>
      </c>
      <c r="X775" s="50" t="str">
        <f>IF(W775="","",SUMIF($B$4:$B$1002,B775,$W$4:$W$1000))</f>
        <v/>
      </c>
      <c r="Y775" s="43" t="str">
        <f t="shared" si="190"/>
        <v/>
      </c>
      <c r="Z775" s="49" t="str">
        <f t="shared" si="191"/>
        <v/>
      </c>
      <c r="AA775" s="48" t="str">
        <f t="shared" si="192"/>
        <v/>
      </c>
      <c r="AB775" s="49" t="str">
        <f t="shared" si="193"/>
        <v/>
      </c>
      <c r="AC775" s="50" t="str">
        <f>IF(AB775="","",SUMIF($B$4:$B$1002,B775,$AB$4:$AB$1000))</f>
        <v/>
      </c>
      <c r="AD775" s="69"/>
      <c r="AE775" s="56"/>
      <c r="AF775" s="52"/>
      <c r="AG775" s="51"/>
      <c r="AH775" s="70"/>
      <c r="AI775" s="58"/>
      <c r="AJ775" s="55"/>
      <c r="AK775" s="51"/>
      <c r="AL775" s="69"/>
      <c r="AM775" s="56"/>
      <c r="AN775" s="52"/>
      <c r="AO775" s="51"/>
      <c r="AP775" s="70"/>
      <c r="AQ775" s="58"/>
      <c r="AR775" s="55"/>
      <c r="AS775" s="51"/>
      <c r="AT775" s="69"/>
      <c r="AU775" s="56"/>
      <c r="AV775" s="52"/>
      <c r="AW775" s="51"/>
      <c r="BR775" s="34" t="str">
        <f>IF(E775="","",CONCATENATE(E775," ",F775," noches"))</f>
        <v/>
      </c>
      <c r="BS775" s="28" t="str">
        <f t="shared" ca="1" si="194"/>
        <v/>
      </c>
      <c r="BT775" s="28" t="str">
        <f t="shared" ca="1" si="195"/>
        <v/>
      </c>
    </row>
    <row r="776" spans="1:72" x14ac:dyDescent="0.2">
      <c r="A776" s="18" t="str" cm="1">
        <f t="array" aca="1" ref="A776" ca="1">IF(B776="","","Grupo N˚"&amp;SUMPRODUCT(($B$4:B776&lt;&gt;"")*($B$4:B776&lt;&gt;OFFSET($B$4,-1,0,ROWS($B$4:B776),1))))</f>
        <v/>
      </c>
      <c r="B776" s="31"/>
      <c r="C776" s="31"/>
      <c r="D776" s="31"/>
      <c r="E776" s="31"/>
      <c r="F776" s="32"/>
      <c r="G776" s="33"/>
      <c r="H776" s="33"/>
      <c r="I776" s="20" t="str">
        <f t="shared" si="184"/>
        <v/>
      </c>
      <c r="J776" s="21" t="str">
        <f>IFERROR(VLOOKUP(BR776,Pricing!$D$3:$E$58,2,FALSE),"")</f>
        <v/>
      </c>
      <c r="K776" s="32"/>
      <c r="L776" s="32"/>
      <c r="M776" s="32"/>
      <c r="N776" s="36" t="str" cm="1">
        <f t="array" ref="N776">IFERROR(_xlfn.IFS((AND(K776="SI",M776="$")),J776*0.2,AND(K776="SI",M776="%"),20),"")</f>
        <v/>
      </c>
      <c r="O776" s="29" t="str">
        <f t="shared" si="185"/>
        <v/>
      </c>
      <c r="P776" s="21" t="str">
        <f t="shared" si="186"/>
        <v/>
      </c>
      <c r="Q776" s="21" t="str">
        <f t="shared" si="187"/>
        <v/>
      </c>
      <c r="R776" s="21" t="str">
        <f t="shared" si="188"/>
        <v/>
      </c>
      <c r="S776" s="39"/>
      <c r="T776" s="43" t="str">
        <f t="shared" si="181"/>
        <v/>
      </c>
      <c r="U776" s="49" t="str">
        <f t="shared" si="182"/>
        <v/>
      </c>
      <c r="V776" s="48" t="str">
        <f t="shared" si="183"/>
        <v/>
      </c>
      <c r="W776" s="48" t="str">
        <f t="shared" si="189"/>
        <v/>
      </c>
      <c r="X776" s="50" t="str">
        <f>IF(W776="","",SUMIF($B$4:$B$1002,B776,$W$4:$W$1000))</f>
        <v/>
      </c>
      <c r="Y776" s="43" t="str">
        <f t="shared" si="190"/>
        <v/>
      </c>
      <c r="Z776" s="49" t="str">
        <f t="shared" si="191"/>
        <v/>
      </c>
      <c r="AA776" s="48" t="str">
        <f t="shared" si="192"/>
        <v/>
      </c>
      <c r="AB776" s="49" t="str">
        <f t="shared" si="193"/>
        <v/>
      </c>
      <c r="AC776" s="50" t="str">
        <f>IF(AB776="","",SUMIF($B$4:$B$1002,B776,$AB$4:$AB$1000))</f>
        <v/>
      </c>
      <c r="AD776" s="69"/>
      <c r="AE776" s="56"/>
      <c r="AF776" s="52"/>
      <c r="AG776" s="51"/>
      <c r="AH776" s="70"/>
      <c r="AI776" s="58"/>
      <c r="AJ776" s="55"/>
      <c r="AK776" s="51"/>
      <c r="AL776" s="69"/>
      <c r="AM776" s="56"/>
      <c r="AN776" s="52"/>
      <c r="AO776" s="51"/>
      <c r="AP776" s="70"/>
      <c r="AQ776" s="58"/>
      <c r="AR776" s="55"/>
      <c r="AS776" s="51"/>
      <c r="AT776" s="69"/>
      <c r="AU776" s="56"/>
      <c r="AV776" s="52"/>
      <c r="AW776" s="51"/>
      <c r="BR776" s="34" t="str">
        <f>IF(E776="","",CONCATENATE(E776," ",F776," noches"))</f>
        <v/>
      </c>
      <c r="BS776" s="28" t="str">
        <f t="shared" ca="1" si="194"/>
        <v/>
      </c>
      <c r="BT776" s="28" t="str">
        <f t="shared" ca="1" si="195"/>
        <v/>
      </c>
    </row>
    <row r="777" spans="1:72" x14ac:dyDescent="0.2">
      <c r="A777" s="18" t="str" cm="1">
        <f t="array" aca="1" ref="A777" ca="1">IF(B777="","","Grupo N˚"&amp;SUMPRODUCT(($B$4:B777&lt;&gt;"")*($B$4:B777&lt;&gt;OFFSET($B$4,-1,0,ROWS($B$4:B777),1))))</f>
        <v/>
      </c>
      <c r="B777" s="31"/>
      <c r="C777" s="31"/>
      <c r="D777" s="31"/>
      <c r="E777" s="31"/>
      <c r="F777" s="32"/>
      <c r="G777" s="33"/>
      <c r="H777" s="33"/>
      <c r="I777" s="20" t="str">
        <f t="shared" si="184"/>
        <v/>
      </c>
      <c r="J777" s="21" t="str">
        <f>IFERROR(VLOOKUP(BR777,Pricing!$D$3:$E$58,2,FALSE),"")</f>
        <v/>
      </c>
      <c r="K777" s="32"/>
      <c r="L777" s="32"/>
      <c r="M777" s="32"/>
      <c r="N777" s="36" t="str" cm="1">
        <f t="array" ref="N777">IFERROR(_xlfn.IFS((AND(K777="SI",M777="$")),J777*0.2,AND(K777="SI",M777="%"),20),"")</f>
        <v/>
      </c>
      <c r="O777" s="29" t="str">
        <f t="shared" si="185"/>
        <v/>
      </c>
      <c r="P777" s="21" t="str">
        <f t="shared" si="186"/>
        <v/>
      </c>
      <c r="Q777" s="21" t="str">
        <f t="shared" si="187"/>
        <v/>
      </c>
      <c r="R777" s="21" t="str">
        <f t="shared" si="188"/>
        <v/>
      </c>
      <c r="S777" s="39"/>
      <c r="T777" s="43" t="str">
        <f t="shared" ref="T777:T840" si="196">IF(W777="","",IFERROR(
 IF(AND(ABS(N(W777))&lt;0.5, BS777&lt;=7), "Sin deuda",
  IF(AND(N(W777)&gt;0, BS777&lt;=7), "Con deuda",
   IF(AND(N(W777)&gt;0, BS777&gt;7), "Moroso", "")
  )
)," "))</f>
        <v/>
      </c>
      <c r="U777" s="49" t="str">
        <f t="shared" si="182"/>
        <v/>
      </c>
      <c r="V777" s="48" t="str">
        <f t="shared" si="183"/>
        <v/>
      </c>
      <c r="W777" s="48" t="str">
        <f t="shared" si="189"/>
        <v/>
      </c>
      <c r="X777" s="50" t="str">
        <f>IF(W777="","",SUMIF($B$4:$B$1002,B777,$W$4:$W$1000))</f>
        <v/>
      </c>
      <c r="Y777" s="43" t="str">
        <f t="shared" si="190"/>
        <v/>
      </c>
      <c r="Z777" s="49" t="str">
        <f t="shared" si="191"/>
        <v/>
      </c>
      <c r="AA777" s="48" t="str">
        <f t="shared" si="192"/>
        <v/>
      </c>
      <c r="AB777" s="49" t="str">
        <f t="shared" si="193"/>
        <v/>
      </c>
      <c r="AC777" s="50" t="str">
        <f>IF(AB777="","",SUMIF($B$4:$B$1002,B777,$AB$4:$AB$1000))</f>
        <v/>
      </c>
      <c r="AD777" s="69"/>
      <c r="AE777" s="56"/>
      <c r="AF777" s="52"/>
      <c r="AG777" s="51"/>
      <c r="AH777" s="70"/>
      <c r="AI777" s="58"/>
      <c r="AJ777" s="55"/>
      <c r="AK777" s="51"/>
      <c r="AL777" s="69"/>
      <c r="AM777" s="56"/>
      <c r="AN777" s="52"/>
      <c r="AO777" s="51"/>
      <c r="AP777" s="70"/>
      <c r="AQ777" s="58"/>
      <c r="AR777" s="55"/>
      <c r="AS777" s="51"/>
      <c r="AT777" s="69"/>
      <c r="AU777" s="56"/>
      <c r="AV777" s="52"/>
      <c r="AW777" s="51"/>
      <c r="BR777" s="34" t="str">
        <f>IF(E777="","",CONCATENATE(E777," ",F777," noches"))</f>
        <v/>
      </c>
      <c r="BS777" s="28" t="str">
        <f t="shared" ca="1" si="194"/>
        <v/>
      </c>
      <c r="BT777" s="28" t="str">
        <f t="shared" ca="1" si="195"/>
        <v/>
      </c>
    </row>
    <row r="778" spans="1:72" x14ac:dyDescent="0.2">
      <c r="A778" s="18" t="str" cm="1">
        <f t="array" aca="1" ref="A778" ca="1">IF(B778="","","Grupo N˚"&amp;SUMPRODUCT(($B$4:B778&lt;&gt;"")*($B$4:B778&lt;&gt;OFFSET($B$4,-1,0,ROWS($B$4:B778),1))))</f>
        <v/>
      </c>
      <c r="B778" s="31"/>
      <c r="C778" s="31"/>
      <c r="D778" s="31"/>
      <c r="E778" s="31"/>
      <c r="F778" s="32"/>
      <c r="G778" s="33"/>
      <c r="H778" s="33"/>
      <c r="I778" s="20" t="str">
        <f t="shared" si="184"/>
        <v/>
      </c>
      <c r="J778" s="21" t="str">
        <f>IFERROR(VLOOKUP(BR778,Pricing!$D$3:$E$58,2,FALSE),"")</f>
        <v/>
      </c>
      <c r="K778" s="32"/>
      <c r="L778" s="32"/>
      <c r="M778" s="32"/>
      <c r="N778" s="36" t="str" cm="1">
        <f t="array" ref="N778">IFERROR(_xlfn.IFS((AND(K778="SI",M778="$")),J778*0.2,AND(K778="SI",M778="%"),20),"")</f>
        <v/>
      </c>
      <c r="O778" s="29" t="str">
        <f t="shared" si="185"/>
        <v/>
      </c>
      <c r="P778" s="21" t="str">
        <f t="shared" si="186"/>
        <v/>
      </c>
      <c r="Q778" s="21" t="str">
        <f t="shared" si="187"/>
        <v/>
      </c>
      <c r="R778" s="21" t="str">
        <f t="shared" si="188"/>
        <v/>
      </c>
      <c r="S778" s="39"/>
      <c r="T778" s="43" t="str">
        <f t="shared" si="196"/>
        <v/>
      </c>
      <c r="U778" s="49" t="str">
        <f t="shared" si="182"/>
        <v/>
      </c>
      <c r="V778" s="48" t="str">
        <f t="shared" si="183"/>
        <v/>
      </c>
      <c r="W778" s="48" t="str">
        <f t="shared" si="189"/>
        <v/>
      </c>
      <c r="X778" s="50" t="str">
        <f>IF(W778="","",SUMIF($B$4:$B$1002,B778,$W$4:$W$1000))</f>
        <v/>
      </c>
      <c r="Y778" s="43" t="str">
        <f t="shared" si="190"/>
        <v/>
      </c>
      <c r="Z778" s="49" t="str">
        <f t="shared" si="191"/>
        <v/>
      </c>
      <c r="AA778" s="48" t="str">
        <f t="shared" si="192"/>
        <v/>
      </c>
      <c r="AB778" s="49" t="str">
        <f t="shared" si="193"/>
        <v/>
      </c>
      <c r="AC778" s="50" t="str">
        <f>IF(AB778="","",SUMIF($B$4:$B$1002,B778,$AB$4:$AB$1000))</f>
        <v/>
      </c>
      <c r="AD778" s="69"/>
      <c r="AE778" s="56"/>
      <c r="AF778" s="52"/>
      <c r="AG778" s="51"/>
      <c r="AH778" s="70"/>
      <c r="AI778" s="58"/>
      <c r="AJ778" s="55"/>
      <c r="AK778" s="51"/>
      <c r="AL778" s="69"/>
      <c r="AM778" s="56"/>
      <c r="AN778" s="52"/>
      <c r="AO778" s="51"/>
      <c r="AP778" s="70"/>
      <c r="AQ778" s="58"/>
      <c r="AR778" s="55"/>
      <c r="AS778" s="51"/>
      <c r="AT778" s="69"/>
      <c r="AU778" s="56"/>
      <c r="AV778" s="52"/>
      <c r="AW778" s="51"/>
      <c r="BR778" s="34" t="str">
        <f>IF(E778="","",CONCATENATE(E778," ",F778," noches"))</f>
        <v/>
      </c>
      <c r="BS778" s="28" t="str">
        <f t="shared" ca="1" si="194"/>
        <v/>
      </c>
      <c r="BT778" s="28" t="str">
        <f t="shared" ca="1" si="195"/>
        <v/>
      </c>
    </row>
    <row r="779" spans="1:72" x14ac:dyDescent="0.2">
      <c r="A779" s="18" t="str" cm="1">
        <f t="array" aca="1" ref="A779" ca="1">IF(B779="","","Grupo N˚"&amp;SUMPRODUCT(($B$4:B779&lt;&gt;"")*($B$4:B779&lt;&gt;OFFSET($B$4,-1,0,ROWS($B$4:B779),1))))</f>
        <v/>
      </c>
      <c r="B779" s="31"/>
      <c r="C779" s="31"/>
      <c r="D779" s="31"/>
      <c r="E779" s="31"/>
      <c r="F779" s="32"/>
      <c r="G779" s="33"/>
      <c r="H779" s="33"/>
      <c r="I779" s="20" t="str">
        <f t="shared" si="184"/>
        <v/>
      </c>
      <c r="J779" s="21" t="str">
        <f>IFERROR(VLOOKUP(BR779,Pricing!$D$3:$E$58,2,FALSE),"")</f>
        <v/>
      </c>
      <c r="K779" s="32"/>
      <c r="L779" s="32"/>
      <c r="M779" s="32"/>
      <c r="N779" s="36" t="str" cm="1">
        <f t="array" ref="N779">IFERROR(_xlfn.IFS((AND(K779="SI",M779="$")),J779*0.2,AND(K779="SI",M779="%"),20),"")</f>
        <v/>
      </c>
      <c r="O779" s="29" t="str">
        <f t="shared" si="185"/>
        <v/>
      </c>
      <c r="P779" s="21" t="str">
        <f t="shared" si="186"/>
        <v/>
      </c>
      <c r="Q779" s="21" t="str">
        <f t="shared" si="187"/>
        <v/>
      </c>
      <c r="R779" s="21" t="str">
        <f t="shared" si="188"/>
        <v/>
      </c>
      <c r="S779" s="39"/>
      <c r="T779" s="43" t="str">
        <f t="shared" si="196"/>
        <v/>
      </c>
      <c r="U779" s="49" t="str">
        <f t="shared" si="182"/>
        <v/>
      </c>
      <c r="V779" s="48" t="str">
        <f t="shared" si="183"/>
        <v/>
      </c>
      <c r="W779" s="48" t="str">
        <f t="shared" si="189"/>
        <v/>
      </c>
      <c r="X779" s="50" t="str">
        <f>IF(W779="","",SUMIF($B$4:$B$1002,B779,$W$4:$W$1000))</f>
        <v/>
      </c>
      <c r="Y779" s="43" t="str">
        <f t="shared" si="190"/>
        <v/>
      </c>
      <c r="Z779" s="49" t="str">
        <f t="shared" si="191"/>
        <v/>
      </c>
      <c r="AA779" s="48" t="str">
        <f t="shared" si="192"/>
        <v/>
      </c>
      <c r="AB779" s="49" t="str">
        <f t="shared" si="193"/>
        <v/>
      </c>
      <c r="AC779" s="50" t="str">
        <f>IF(AB779="","",SUMIF($B$4:$B$1002,B779,$AB$4:$AB$1000))</f>
        <v/>
      </c>
      <c r="AD779" s="69"/>
      <c r="AE779" s="56"/>
      <c r="AF779" s="52"/>
      <c r="AG779" s="51"/>
      <c r="AH779" s="70"/>
      <c r="AI779" s="58"/>
      <c r="AJ779" s="55"/>
      <c r="AK779" s="51"/>
      <c r="AL779" s="69"/>
      <c r="AM779" s="56"/>
      <c r="AN779" s="52"/>
      <c r="AO779" s="51"/>
      <c r="AP779" s="70"/>
      <c r="AQ779" s="58"/>
      <c r="AR779" s="55"/>
      <c r="AS779" s="51"/>
      <c r="AT779" s="69"/>
      <c r="AU779" s="56"/>
      <c r="AV779" s="52"/>
      <c r="AW779" s="51"/>
      <c r="BR779" s="34" t="str">
        <f>IF(E779="","",CONCATENATE(E779," ",F779," noches"))</f>
        <v/>
      </c>
      <c r="BS779" s="28" t="str">
        <f t="shared" ca="1" si="194"/>
        <v/>
      </c>
      <c r="BT779" s="28" t="str">
        <f t="shared" ca="1" si="195"/>
        <v/>
      </c>
    </row>
    <row r="780" spans="1:72" x14ac:dyDescent="0.2">
      <c r="A780" s="18" t="str" cm="1">
        <f t="array" aca="1" ref="A780" ca="1">IF(B780="","","Grupo N˚"&amp;SUMPRODUCT(($B$4:B780&lt;&gt;"")*($B$4:B780&lt;&gt;OFFSET($B$4,-1,0,ROWS($B$4:B780),1))))</f>
        <v/>
      </c>
      <c r="B780" s="31"/>
      <c r="C780" s="31"/>
      <c r="D780" s="31"/>
      <c r="E780" s="31"/>
      <c r="F780" s="32"/>
      <c r="G780" s="33"/>
      <c r="H780" s="33"/>
      <c r="I780" s="20" t="str">
        <f t="shared" si="184"/>
        <v/>
      </c>
      <c r="J780" s="21" t="str">
        <f>IFERROR(VLOOKUP(BR780,Pricing!$D$3:$E$58,2,FALSE),"")</f>
        <v/>
      </c>
      <c r="K780" s="32"/>
      <c r="L780" s="32"/>
      <c r="M780" s="32"/>
      <c r="N780" s="36" t="str" cm="1">
        <f t="array" ref="N780">IFERROR(_xlfn.IFS((AND(K780="SI",M780="$")),J780*0.2,AND(K780="SI",M780="%"),20),"")</f>
        <v/>
      </c>
      <c r="O780" s="29" t="str">
        <f t="shared" si="185"/>
        <v/>
      </c>
      <c r="P780" s="21" t="str">
        <f t="shared" si="186"/>
        <v/>
      </c>
      <c r="Q780" s="21" t="str">
        <f t="shared" si="187"/>
        <v/>
      </c>
      <c r="R780" s="21" t="str">
        <f t="shared" si="188"/>
        <v/>
      </c>
      <c r="S780" s="39"/>
      <c r="T780" s="43" t="str">
        <f t="shared" si="196"/>
        <v/>
      </c>
      <c r="U780" s="49" t="str">
        <f t="shared" si="182"/>
        <v/>
      </c>
      <c r="V780" s="48" t="str">
        <f t="shared" si="183"/>
        <v/>
      </c>
      <c r="W780" s="48" t="str">
        <f t="shared" si="189"/>
        <v/>
      </c>
      <c r="X780" s="50" t="str">
        <f>IF(W780="","",SUMIF($B$4:$B$1002,B780,$W$4:$W$1000))</f>
        <v/>
      </c>
      <c r="Y780" s="43" t="str">
        <f t="shared" si="190"/>
        <v/>
      </c>
      <c r="Z780" s="49" t="str">
        <f t="shared" si="191"/>
        <v/>
      </c>
      <c r="AA780" s="48" t="str">
        <f t="shared" si="192"/>
        <v/>
      </c>
      <c r="AB780" s="49" t="str">
        <f t="shared" si="193"/>
        <v/>
      </c>
      <c r="AC780" s="50" t="str">
        <f>IF(AB780="","",SUMIF($B$4:$B$1002,B780,$AB$4:$AB$1000))</f>
        <v/>
      </c>
      <c r="AD780" s="69"/>
      <c r="AE780" s="56"/>
      <c r="AF780" s="52"/>
      <c r="AG780" s="51"/>
      <c r="AH780" s="70"/>
      <c r="AI780" s="58"/>
      <c r="AJ780" s="55"/>
      <c r="AK780" s="51"/>
      <c r="AL780" s="69"/>
      <c r="AM780" s="56"/>
      <c r="AN780" s="52"/>
      <c r="AO780" s="51"/>
      <c r="AP780" s="70"/>
      <c r="AQ780" s="58"/>
      <c r="AR780" s="55"/>
      <c r="AS780" s="51"/>
      <c r="AT780" s="69"/>
      <c r="AU780" s="56"/>
      <c r="AV780" s="52"/>
      <c r="AW780" s="51"/>
      <c r="BR780" s="34" t="str">
        <f>IF(E780="","",CONCATENATE(E780," ",F780," noches"))</f>
        <v/>
      </c>
      <c r="BS780" s="28" t="str">
        <f t="shared" ca="1" si="194"/>
        <v/>
      </c>
      <c r="BT780" s="28" t="str">
        <f t="shared" ca="1" si="195"/>
        <v/>
      </c>
    </row>
    <row r="781" spans="1:72" x14ac:dyDescent="0.2">
      <c r="A781" s="18" t="str" cm="1">
        <f t="array" aca="1" ref="A781" ca="1">IF(B781="","","Grupo N˚"&amp;SUMPRODUCT(($B$4:B781&lt;&gt;"")*($B$4:B781&lt;&gt;OFFSET($B$4,-1,0,ROWS($B$4:B781),1))))</f>
        <v/>
      </c>
      <c r="B781" s="31"/>
      <c r="C781" s="31"/>
      <c r="D781" s="31"/>
      <c r="E781" s="31"/>
      <c r="F781" s="32"/>
      <c r="G781" s="33"/>
      <c r="H781" s="33"/>
      <c r="I781" s="20" t="str">
        <f t="shared" si="184"/>
        <v/>
      </c>
      <c r="J781" s="21" t="str">
        <f>IFERROR(VLOOKUP(BR781,Pricing!$D$3:$E$58,2,FALSE),"")</f>
        <v/>
      </c>
      <c r="K781" s="32"/>
      <c r="L781" s="32"/>
      <c r="M781" s="32"/>
      <c r="N781" s="36" t="str" cm="1">
        <f t="array" ref="N781">IFERROR(_xlfn.IFS((AND(K781="SI",M781="$")),J781*0.2,AND(K781="SI",M781="%"),20),"")</f>
        <v/>
      </c>
      <c r="O781" s="29" t="str">
        <f t="shared" si="185"/>
        <v/>
      </c>
      <c r="P781" s="21" t="str">
        <f t="shared" si="186"/>
        <v/>
      </c>
      <c r="Q781" s="21" t="str">
        <f t="shared" si="187"/>
        <v/>
      </c>
      <c r="R781" s="21" t="str">
        <f t="shared" si="188"/>
        <v/>
      </c>
      <c r="S781" s="39"/>
      <c r="T781" s="43" t="str">
        <f t="shared" si="196"/>
        <v/>
      </c>
      <c r="U781" s="49" t="str">
        <f t="shared" ref="U781:U844" si="197">IF(R781="","",R781/2)</f>
        <v/>
      </c>
      <c r="V781" s="48" t="str">
        <f t="shared" ref="V781:V844" si="198">IF(AD781="","",SUM(
 IF(ISNUMBER(SEARCH("reserva",AD781)),AF781,0),
 IF(ISNUMBER(SEARCH("reserva",AH781)),AJ781,0),
 IF(ISNUMBER(SEARCH("reserva",AL781)),AN781,0),
 IF(ISNUMBER(SEARCH("reserva",AP781)),AR781,0),
 IF(ISNUMBER(SEARCH("reserva",AT781)),AV781,0)
))</f>
        <v/>
      </c>
      <c r="W781" s="48" t="str">
        <f t="shared" si="189"/>
        <v/>
      </c>
      <c r="X781" s="50" t="str">
        <f>IF(W781="","",SUMIF($B$4:$B$1002,B781,$W$4:$W$1000))</f>
        <v/>
      </c>
      <c r="Y781" s="43" t="str">
        <f t="shared" si="190"/>
        <v/>
      </c>
      <c r="Z781" s="49" t="str">
        <f t="shared" si="191"/>
        <v/>
      </c>
      <c r="AA781" s="48" t="str">
        <f t="shared" si="192"/>
        <v/>
      </c>
      <c r="AB781" s="49" t="str">
        <f t="shared" si="193"/>
        <v/>
      </c>
      <c r="AC781" s="50" t="str">
        <f>IF(AB781="","",SUMIF($B$4:$B$1002,B781,$AB$4:$AB$1000))</f>
        <v/>
      </c>
      <c r="AD781" s="69"/>
      <c r="AE781" s="56"/>
      <c r="AF781" s="52"/>
      <c r="AG781" s="51"/>
      <c r="AH781" s="70"/>
      <c r="AI781" s="58"/>
      <c r="AJ781" s="55"/>
      <c r="AK781" s="51"/>
      <c r="AL781" s="69"/>
      <c r="AM781" s="56"/>
      <c r="AN781" s="52"/>
      <c r="AO781" s="51"/>
      <c r="AP781" s="70"/>
      <c r="AQ781" s="58"/>
      <c r="AR781" s="55"/>
      <c r="AS781" s="51"/>
      <c r="AT781" s="69"/>
      <c r="AU781" s="56"/>
      <c r="AV781" s="52"/>
      <c r="AW781" s="51"/>
      <c r="BR781" s="34" t="str">
        <f>IF(E781="","",CONCATENATE(E781," ",F781," noches"))</f>
        <v/>
      </c>
      <c r="BS781" s="28" t="str">
        <f t="shared" ca="1" si="194"/>
        <v/>
      </c>
      <c r="BT781" s="28" t="str">
        <f t="shared" ca="1" si="195"/>
        <v/>
      </c>
    </row>
    <row r="782" spans="1:72" x14ac:dyDescent="0.2">
      <c r="A782" s="18" t="str" cm="1">
        <f t="array" aca="1" ref="A782" ca="1">IF(B782="","","Grupo N˚"&amp;SUMPRODUCT(($B$4:B782&lt;&gt;"")*($B$4:B782&lt;&gt;OFFSET($B$4,-1,0,ROWS($B$4:B782),1))))</f>
        <v/>
      </c>
      <c r="B782" s="31"/>
      <c r="C782" s="31"/>
      <c r="D782" s="31"/>
      <c r="E782" s="31"/>
      <c r="F782" s="32"/>
      <c r="G782" s="33"/>
      <c r="H782" s="33"/>
      <c r="I782" s="20" t="str">
        <f t="shared" si="184"/>
        <v/>
      </c>
      <c r="J782" s="21" t="str">
        <f>IFERROR(VLOOKUP(BR782,Pricing!$D$3:$E$58,2,FALSE),"")</f>
        <v/>
      </c>
      <c r="K782" s="32"/>
      <c r="L782" s="32"/>
      <c r="M782" s="32"/>
      <c r="N782" s="36" t="str" cm="1">
        <f t="array" ref="N782">IFERROR(_xlfn.IFS((AND(K782="SI",M782="$")),J782*0.2,AND(K782="SI",M782="%"),20),"")</f>
        <v/>
      </c>
      <c r="O782" s="29" t="str">
        <f t="shared" si="185"/>
        <v/>
      </c>
      <c r="P782" s="21" t="str">
        <f t="shared" si="186"/>
        <v/>
      </c>
      <c r="Q782" s="21" t="str">
        <f t="shared" si="187"/>
        <v/>
      </c>
      <c r="R782" s="21" t="str">
        <f t="shared" si="188"/>
        <v/>
      </c>
      <c r="S782" s="39"/>
      <c r="T782" s="43" t="str">
        <f t="shared" si="196"/>
        <v/>
      </c>
      <c r="U782" s="49" t="str">
        <f t="shared" si="197"/>
        <v/>
      </c>
      <c r="V782" s="48" t="str">
        <f t="shared" si="198"/>
        <v/>
      </c>
      <c r="W782" s="48" t="str">
        <f t="shared" si="189"/>
        <v/>
      </c>
      <c r="X782" s="50" t="str">
        <f>IF(W782="","",SUMIF($B$4:$B$1002,B782,$W$4:$W$1000))</f>
        <v/>
      </c>
      <c r="Y782" s="43" t="str">
        <f t="shared" si="190"/>
        <v/>
      </c>
      <c r="Z782" s="49" t="str">
        <f t="shared" si="191"/>
        <v/>
      </c>
      <c r="AA782" s="48" t="str">
        <f t="shared" si="192"/>
        <v/>
      </c>
      <c r="AB782" s="49" t="str">
        <f t="shared" si="193"/>
        <v/>
      </c>
      <c r="AC782" s="50" t="str">
        <f>IF(AB782="","",SUMIF($B$4:$B$1002,B782,$AB$4:$AB$1000))</f>
        <v/>
      </c>
      <c r="AD782" s="69"/>
      <c r="AE782" s="56"/>
      <c r="AF782" s="52"/>
      <c r="AG782" s="51"/>
      <c r="AH782" s="70"/>
      <c r="AI782" s="58"/>
      <c r="AJ782" s="55"/>
      <c r="AK782" s="51"/>
      <c r="AL782" s="69"/>
      <c r="AM782" s="56"/>
      <c r="AN782" s="52"/>
      <c r="AO782" s="51"/>
      <c r="AP782" s="70"/>
      <c r="AQ782" s="58"/>
      <c r="AR782" s="55"/>
      <c r="AS782" s="51"/>
      <c r="AT782" s="69"/>
      <c r="AU782" s="56"/>
      <c r="AV782" s="52"/>
      <c r="AW782" s="51"/>
      <c r="BR782" s="34" t="str">
        <f>IF(E782="","",CONCATENATE(E782," ",F782," noches"))</f>
        <v/>
      </c>
      <c r="BS782" s="28" t="str">
        <f t="shared" ca="1" si="194"/>
        <v/>
      </c>
      <c r="BT782" s="28" t="str">
        <f t="shared" ca="1" si="195"/>
        <v/>
      </c>
    </row>
    <row r="783" spans="1:72" x14ac:dyDescent="0.2">
      <c r="A783" s="18" t="str" cm="1">
        <f t="array" aca="1" ref="A783" ca="1">IF(B783="","","Grupo N˚"&amp;SUMPRODUCT(($B$4:B783&lt;&gt;"")*($B$4:B783&lt;&gt;OFFSET($B$4,-1,0,ROWS($B$4:B783),1))))</f>
        <v/>
      </c>
      <c r="B783" s="31"/>
      <c r="C783" s="31"/>
      <c r="D783" s="31"/>
      <c r="E783" s="31"/>
      <c r="F783" s="32"/>
      <c r="G783" s="33"/>
      <c r="H783" s="33"/>
      <c r="I783" s="20" t="str">
        <f t="shared" si="184"/>
        <v/>
      </c>
      <c r="J783" s="21" t="str">
        <f>IFERROR(VLOOKUP(BR783,Pricing!$D$3:$E$58,2,FALSE),"")</f>
        <v/>
      </c>
      <c r="K783" s="32"/>
      <c r="L783" s="32"/>
      <c r="M783" s="32"/>
      <c r="N783" s="36" t="str" cm="1">
        <f t="array" ref="N783">IFERROR(_xlfn.IFS((AND(K783="SI",M783="$")),J783*0.2,AND(K783="SI",M783="%"),20),"")</f>
        <v/>
      </c>
      <c r="O783" s="29" t="str">
        <f t="shared" si="185"/>
        <v/>
      </c>
      <c r="P783" s="21" t="str">
        <f t="shared" si="186"/>
        <v/>
      </c>
      <c r="Q783" s="21" t="str">
        <f t="shared" si="187"/>
        <v/>
      </c>
      <c r="R783" s="21" t="str">
        <f t="shared" si="188"/>
        <v/>
      </c>
      <c r="S783" s="39"/>
      <c r="T783" s="43" t="str">
        <f t="shared" si="196"/>
        <v/>
      </c>
      <c r="U783" s="49" t="str">
        <f t="shared" si="197"/>
        <v/>
      </c>
      <c r="V783" s="48" t="str">
        <f t="shared" si="198"/>
        <v/>
      </c>
      <c r="W783" s="48" t="str">
        <f t="shared" si="189"/>
        <v/>
      </c>
      <c r="X783" s="50" t="str">
        <f>IF(W783="","",SUMIF($B$4:$B$1002,B783,$W$4:$W$1000))</f>
        <v/>
      </c>
      <c r="Y783" s="43" t="str">
        <f t="shared" si="190"/>
        <v/>
      </c>
      <c r="Z783" s="49" t="str">
        <f t="shared" si="191"/>
        <v/>
      </c>
      <c r="AA783" s="48" t="str">
        <f t="shared" si="192"/>
        <v/>
      </c>
      <c r="AB783" s="49" t="str">
        <f t="shared" si="193"/>
        <v/>
      </c>
      <c r="AC783" s="50" t="str">
        <f>IF(AB783="","",SUMIF($B$4:$B$1002,B783,$AB$4:$AB$1000))</f>
        <v/>
      </c>
      <c r="AD783" s="69"/>
      <c r="AE783" s="56"/>
      <c r="AF783" s="52"/>
      <c r="AG783" s="51"/>
      <c r="AH783" s="70"/>
      <c r="AI783" s="58"/>
      <c r="AJ783" s="55"/>
      <c r="AK783" s="51"/>
      <c r="AL783" s="69"/>
      <c r="AM783" s="56"/>
      <c r="AN783" s="52"/>
      <c r="AO783" s="51"/>
      <c r="AP783" s="70"/>
      <c r="AQ783" s="58"/>
      <c r="AR783" s="55"/>
      <c r="AS783" s="51"/>
      <c r="AT783" s="69"/>
      <c r="AU783" s="56"/>
      <c r="AV783" s="52"/>
      <c r="AW783" s="51"/>
      <c r="BR783" s="34" t="str">
        <f>IF(E783="","",CONCATENATE(E783," ",F783," noches"))</f>
        <v/>
      </c>
      <c r="BS783" s="28" t="str">
        <f t="shared" ca="1" si="194"/>
        <v/>
      </c>
      <c r="BT783" s="28" t="str">
        <f t="shared" ca="1" si="195"/>
        <v/>
      </c>
    </row>
    <row r="784" spans="1:72" x14ac:dyDescent="0.2">
      <c r="A784" s="18" t="str" cm="1">
        <f t="array" aca="1" ref="A784" ca="1">IF(B784="","","Grupo N˚"&amp;SUMPRODUCT(($B$4:B784&lt;&gt;"")*($B$4:B784&lt;&gt;OFFSET($B$4,-1,0,ROWS($B$4:B784),1))))</f>
        <v/>
      </c>
      <c r="B784" s="31"/>
      <c r="C784" s="31"/>
      <c r="D784" s="31"/>
      <c r="E784" s="31"/>
      <c r="F784" s="32"/>
      <c r="G784" s="33"/>
      <c r="H784" s="33"/>
      <c r="I784" s="20" t="str">
        <f t="shared" si="184"/>
        <v/>
      </c>
      <c r="J784" s="21" t="str">
        <f>IFERROR(VLOOKUP(BR784,Pricing!$D$3:$E$58,2,FALSE),"")</f>
        <v/>
      </c>
      <c r="K784" s="32"/>
      <c r="L784" s="32"/>
      <c r="M784" s="32"/>
      <c r="N784" s="36" t="str" cm="1">
        <f t="array" ref="N784">IFERROR(_xlfn.IFS((AND(K784="SI",M784="$")),J784*0.2,AND(K784="SI",M784="%"),20),"")</f>
        <v/>
      </c>
      <c r="O784" s="29" t="str">
        <f t="shared" si="185"/>
        <v/>
      </c>
      <c r="P784" s="21" t="str">
        <f t="shared" si="186"/>
        <v/>
      </c>
      <c r="Q784" s="21" t="str">
        <f t="shared" si="187"/>
        <v/>
      </c>
      <c r="R784" s="21" t="str">
        <f t="shared" si="188"/>
        <v/>
      </c>
      <c r="S784" s="39"/>
      <c r="T784" s="43" t="str">
        <f t="shared" si="196"/>
        <v/>
      </c>
      <c r="U784" s="49" t="str">
        <f t="shared" si="197"/>
        <v/>
      </c>
      <c r="V784" s="48" t="str">
        <f t="shared" si="198"/>
        <v/>
      </c>
      <c r="W784" s="48" t="str">
        <f t="shared" si="189"/>
        <v/>
      </c>
      <c r="X784" s="50" t="str">
        <f>IF(W784="","",SUMIF($B$4:$B$1002,B784,$W$4:$W$1000))</f>
        <v/>
      </c>
      <c r="Y784" s="43" t="str">
        <f t="shared" si="190"/>
        <v/>
      </c>
      <c r="Z784" s="49" t="str">
        <f t="shared" si="191"/>
        <v/>
      </c>
      <c r="AA784" s="48" t="str">
        <f t="shared" si="192"/>
        <v/>
      </c>
      <c r="AB784" s="49" t="str">
        <f t="shared" si="193"/>
        <v/>
      </c>
      <c r="AC784" s="50" t="str">
        <f>IF(AB784="","",SUMIF($B$4:$B$1002,B784,$AB$4:$AB$1000))</f>
        <v/>
      </c>
      <c r="AD784" s="69"/>
      <c r="AE784" s="56"/>
      <c r="AF784" s="52"/>
      <c r="AG784" s="51"/>
      <c r="AH784" s="70"/>
      <c r="AI784" s="58"/>
      <c r="AJ784" s="55"/>
      <c r="AK784" s="51"/>
      <c r="AL784" s="69"/>
      <c r="AM784" s="56"/>
      <c r="AN784" s="52"/>
      <c r="AO784" s="51"/>
      <c r="AP784" s="70"/>
      <c r="AQ784" s="58"/>
      <c r="AR784" s="55"/>
      <c r="AS784" s="51"/>
      <c r="AT784" s="69"/>
      <c r="AU784" s="56"/>
      <c r="AV784" s="52"/>
      <c r="AW784" s="51"/>
      <c r="BR784" s="34" t="str">
        <f>IF(E784="","",CONCATENATE(E784," ",F784," noches"))</f>
        <v/>
      </c>
      <c r="BS784" s="28" t="str">
        <f t="shared" ca="1" si="194"/>
        <v/>
      </c>
      <c r="BT784" s="28" t="str">
        <f t="shared" ca="1" si="195"/>
        <v/>
      </c>
    </row>
    <row r="785" spans="1:72" x14ac:dyDescent="0.2">
      <c r="A785" s="18" t="str" cm="1">
        <f t="array" aca="1" ref="A785" ca="1">IF(B785="","","Grupo N˚"&amp;SUMPRODUCT(($B$4:B785&lt;&gt;"")*($B$4:B785&lt;&gt;OFFSET($B$4,-1,0,ROWS($B$4:B785),1))))</f>
        <v/>
      </c>
      <c r="B785" s="31"/>
      <c r="C785" s="31"/>
      <c r="D785" s="31"/>
      <c r="E785" s="31"/>
      <c r="F785" s="32"/>
      <c r="G785" s="33"/>
      <c r="H785" s="33"/>
      <c r="I785" s="20" t="str">
        <f t="shared" si="184"/>
        <v/>
      </c>
      <c r="J785" s="21" t="str">
        <f>IFERROR(VLOOKUP(BR785,Pricing!$D$3:$E$58,2,FALSE),"")</f>
        <v/>
      </c>
      <c r="K785" s="32"/>
      <c r="L785" s="32"/>
      <c r="M785" s="32"/>
      <c r="N785" s="36" t="str" cm="1">
        <f t="array" ref="N785">IFERROR(_xlfn.IFS((AND(K785="SI",M785="$")),J785*0.2,AND(K785="SI",M785="%"),20),"")</f>
        <v/>
      </c>
      <c r="O785" s="29" t="str">
        <f t="shared" si="185"/>
        <v/>
      </c>
      <c r="P785" s="21" t="str">
        <f t="shared" si="186"/>
        <v/>
      </c>
      <c r="Q785" s="21" t="str">
        <f t="shared" si="187"/>
        <v/>
      </c>
      <c r="R785" s="21" t="str">
        <f t="shared" si="188"/>
        <v/>
      </c>
      <c r="S785" s="39"/>
      <c r="T785" s="43" t="str">
        <f t="shared" si="196"/>
        <v/>
      </c>
      <c r="U785" s="49" t="str">
        <f t="shared" si="197"/>
        <v/>
      </c>
      <c r="V785" s="48" t="str">
        <f t="shared" si="198"/>
        <v/>
      </c>
      <c r="W785" s="48" t="str">
        <f t="shared" si="189"/>
        <v/>
      </c>
      <c r="X785" s="50" t="str">
        <f>IF(W785="","",SUMIF($B$4:$B$1002,B785,$W$4:$W$1000))</f>
        <v/>
      </c>
      <c r="Y785" s="43" t="str">
        <f t="shared" si="190"/>
        <v/>
      </c>
      <c r="Z785" s="49" t="str">
        <f t="shared" si="191"/>
        <v/>
      </c>
      <c r="AA785" s="48" t="str">
        <f t="shared" si="192"/>
        <v/>
      </c>
      <c r="AB785" s="49" t="str">
        <f t="shared" si="193"/>
        <v/>
      </c>
      <c r="AC785" s="50" t="str">
        <f>IF(AB785="","",SUMIF($B$4:$B$1002,B785,$AB$4:$AB$1000))</f>
        <v/>
      </c>
      <c r="AD785" s="69"/>
      <c r="AE785" s="56"/>
      <c r="AF785" s="52"/>
      <c r="AG785" s="51"/>
      <c r="AH785" s="70"/>
      <c r="AI785" s="58"/>
      <c r="AJ785" s="55"/>
      <c r="AK785" s="51"/>
      <c r="AL785" s="69"/>
      <c r="AM785" s="56"/>
      <c r="AN785" s="52"/>
      <c r="AO785" s="51"/>
      <c r="AP785" s="70"/>
      <c r="AQ785" s="58"/>
      <c r="AR785" s="55"/>
      <c r="AS785" s="51"/>
      <c r="AT785" s="69"/>
      <c r="AU785" s="56"/>
      <c r="AV785" s="52"/>
      <c r="AW785" s="51"/>
      <c r="BR785" s="34" t="str">
        <f>IF(E785="","",CONCATENATE(E785," ",F785," noches"))</f>
        <v/>
      </c>
      <c r="BS785" s="28" t="str">
        <f t="shared" ca="1" si="194"/>
        <v/>
      </c>
      <c r="BT785" s="28" t="str">
        <f t="shared" ca="1" si="195"/>
        <v/>
      </c>
    </row>
    <row r="786" spans="1:72" x14ac:dyDescent="0.2">
      <c r="A786" s="18" t="str" cm="1">
        <f t="array" aca="1" ref="A786" ca="1">IF(B786="","","Grupo N˚"&amp;SUMPRODUCT(($B$4:B786&lt;&gt;"")*($B$4:B786&lt;&gt;OFFSET($B$4,-1,0,ROWS($B$4:B786),1))))</f>
        <v/>
      </c>
      <c r="B786" s="31"/>
      <c r="C786" s="31"/>
      <c r="D786" s="31"/>
      <c r="E786" s="31"/>
      <c r="F786" s="32"/>
      <c r="G786" s="33"/>
      <c r="H786" s="33"/>
      <c r="I786" s="20" t="str">
        <f t="shared" si="184"/>
        <v/>
      </c>
      <c r="J786" s="21" t="str">
        <f>IFERROR(VLOOKUP(BR786,Pricing!$D$3:$E$58,2,FALSE),"")</f>
        <v/>
      </c>
      <c r="K786" s="32"/>
      <c r="L786" s="32"/>
      <c r="M786" s="32"/>
      <c r="N786" s="36" t="str" cm="1">
        <f t="array" ref="N786">IFERROR(_xlfn.IFS((AND(K786="SI",M786="$")),J786*0.2,AND(K786="SI",M786="%"),20),"")</f>
        <v/>
      </c>
      <c r="O786" s="29" t="str">
        <f t="shared" si="185"/>
        <v/>
      </c>
      <c r="P786" s="21" t="str">
        <f t="shared" si="186"/>
        <v/>
      </c>
      <c r="Q786" s="21" t="str">
        <f t="shared" si="187"/>
        <v/>
      </c>
      <c r="R786" s="21" t="str">
        <f t="shared" si="188"/>
        <v/>
      </c>
      <c r="S786" s="39"/>
      <c r="T786" s="43" t="str">
        <f t="shared" si="196"/>
        <v/>
      </c>
      <c r="U786" s="49" t="str">
        <f t="shared" si="197"/>
        <v/>
      </c>
      <c r="V786" s="48" t="str">
        <f t="shared" si="198"/>
        <v/>
      </c>
      <c r="W786" s="48" t="str">
        <f t="shared" si="189"/>
        <v/>
      </c>
      <c r="X786" s="50" t="str">
        <f>IF(W786="","",SUMIF($B$4:$B$1002,B786,$W$4:$W$1000))</f>
        <v/>
      </c>
      <c r="Y786" s="43" t="str">
        <f t="shared" si="190"/>
        <v/>
      </c>
      <c r="Z786" s="49" t="str">
        <f t="shared" si="191"/>
        <v/>
      </c>
      <c r="AA786" s="48" t="str">
        <f t="shared" si="192"/>
        <v/>
      </c>
      <c r="AB786" s="49" t="str">
        <f t="shared" si="193"/>
        <v/>
      </c>
      <c r="AC786" s="50" t="str">
        <f>IF(AB786="","",SUMIF($B$4:$B$1002,B786,$AB$4:$AB$1000))</f>
        <v/>
      </c>
      <c r="AD786" s="69"/>
      <c r="AE786" s="56"/>
      <c r="AF786" s="52"/>
      <c r="AG786" s="51"/>
      <c r="AH786" s="70"/>
      <c r="AI786" s="58"/>
      <c r="AJ786" s="55"/>
      <c r="AK786" s="51"/>
      <c r="AL786" s="69"/>
      <c r="AM786" s="56"/>
      <c r="AN786" s="52"/>
      <c r="AO786" s="51"/>
      <c r="AP786" s="70"/>
      <c r="AQ786" s="58"/>
      <c r="AR786" s="55"/>
      <c r="AS786" s="51"/>
      <c r="AT786" s="69"/>
      <c r="AU786" s="56"/>
      <c r="AV786" s="52"/>
      <c r="AW786" s="51"/>
      <c r="BR786" s="34" t="str">
        <f>IF(E786="","",CONCATENATE(E786," ",F786," noches"))</f>
        <v/>
      </c>
      <c r="BS786" s="28" t="str">
        <f t="shared" ca="1" si="194"/>
        <v/>
      </c>
      <c r="BT786" s="28" t="str">
        <f t="shared" ca="1" si="195"/>
        <v/>
      </c>
    </row>
    <row r="787" spans="1:72" x14ac:dyDescent="0.2">
      <c r="A787" s="18" t="str" cm="1">
        <f t="array" aca="1" ref="A787" ca="1">IF(B787="","","Grupo N˚"&amp;SUMPRODUCT(($B$4:B787&lt;&gt;"")*($B$4:B787&lt;&gt;OFFSET($B$4,-1,0,ROWS($B$4:B787),1))))</f>
        <v/>
      </c>
      <c r="B787" s="31"/>
      <c r="C787" s="31"/>
      <c r="D787" s="31"/>
      <c r="E787" s="31"/>
      <c r="F787" s="32"/>
      <c r="G787" s="33"/>
      <c r="H787" s="33"/>
      <c r="I787" s="20" t="str">
        <f t="shared" si="184"/>
        <v/>
      </c>
      <c r="J787" s="21" t="str">
        <f>IFERROR(VLOOKUP(BR787,Pricing!$D$3:$E$58,2,FALSE),"")</f>
        <v/>
      </c>
      <c r="K787" s="32"/>
      <c r="L787" s="32"/>
      <c r="M787" s="32"/>
      <c r="N787" s="36" t="str" cm="1">
        <f t="array" ref="N787">IFERROR(_xlfn.IFS((AND(K787="SI",M787="$")),J787*0.2,AND(K787="SI",M787="%"),20),"")</f>
        <v/>
      </c>
      <c r="O787" s="29" t="str">
        <f t="shared" si="185"/>
        <v/>
      </c>
      <c r="P787" s="21" t="str">
        <f t="shared" si="186"/>
        <v/>
      </c>
      <c r="Q787" s="21" t="str">
        <f t="shared" si="187"/>
        <v/>
      </c>
      <c r="R787" s="21" t="str">
        <f t="shared" si="188"/>
        <v/>
      </c>
      <c r="S787" s="39"/>
      <c r="T787" s="43" t="str">
        <f t="shared" si="196"/>
        <v/>
      </c>
      <c r="U787" s="49" t="str">
        <f t="shared" si="197"/>
        <v/>
      </c>
      <c r="V787" s="48" t="str">
        <f t="shared" si="198"/>
        <v/>
      </c>
      <c r="W787" s="48" t="str">
        <f t="shared" si="189"/>
        <v/>
      </c>
      <c r="X787" s="50" t="str">
        <f>IF(W787="","",SUMIF($B$4:$B$1002,B787,$W$4:$W$1000))</f>
        <v/>
      </c>
      <c r="Y787" s="43" t="str">
        <f t="shared" si="190"/>
        <v/>
      </c>
      <c r="Z787" s="49" t="str">
        <f t="shared" si="191"/>
        <v/>
      </c>
      <c r="AA787" s="48" t="str">
        <f t="shared" si="192"/>
        <v/>
      </c>
      <c r="AB787" s="49" t="str">
        <f t="shared" si="193"/>
        <v/>
      </c>
      <c r="AC787" s="50" t="str">
        <f>IF(AB787="","",SUMIF($B$4:$B$1002,B787,$AB$4:$AB$1000))</f>
        <v/>
      </c>
      <c r="AD787" s="69"/>
      <c r="AE787" s="56"/>
      <c r="AF787" s="52"/>
      <c r="AG787" s="51"/>
      <c r="AH787" s="70"/>
      <c r="AI787" s="58"/>
      <c r="AJ787" s="55"/>
      <c r="AK787" s="51"/>
      <c r="AL787" s="69"/>
      <c r="AM787" s="56"/>
      <c r="AN787" s="52"/>
      <c r="AO787" s="51"/>
      <c r="AP787" s="70"/>
      <c r="AQ787" s="58"/>
      <c r="AR787" s="55"/>
      <c r="AS787" s="51"/>
      <c r="AT787" s="69"/>
      <c r="AU787" s="56"/>
      <c r="AV787" s="52"/>
      <c r="AW787" s="51"/>
      <c r="BR787" s="34" t="str">
        <f>IF(E787="","",CONCATENATE(E787," ",F787," noches"))</f>
        <v/>
      </c>
      <c r="BS787" s="28" t="str">
        <f t="shared" ca="1" si="194"/>
        <v/>
      </c>
      <c r="BT787" s="28" t="str">
        <f t="shared" ca="1" si="195"/>
        <v/>
      </c>
    </row>
    <row r="788" spans="1:72" x14ac:dyDescent="0.2">
      <c r="A788" s="18" t="str" cm="1">
        <f t="array" aca="1" ref="A788" ca="1">IF(B788="","","Grupo N˚"&amp;SUMPRODUCT(($B$4:B788&lt;&gt;"")*($B$4:B788&lt;&gt;OFFSET($B$4,-1,0,ROWS($B$4:B788),1))))</f>
        <v/>
      </c>
      <c r="B788" s="31"/>
      <c r="C788" s="31"/>
      <c r="D788" s="31"/>
      <c r="E788" s="31"/>
      <c r="F788" s="32"/>
      <c r="G788" s="33"/>
      <c r="H788" s="33"/>
      <c r="I788" s="20" t="str">
        <f t="shared" si="184"/>
        <v/>
      </c>
      <c r="J788" s="21" t="str">
        <f>IFERROR(VLOOKUP(BR788,Pricing!$D$3:$E$58,2,FALSE),"")</f>
        <v/>
      </c>
      <c r="K788" s="32"/>
      <c r="L788" s="32"/>
      <c r="M788" s="32"/>
      <c r="N788" s="36" t="str" cm="1">
        <f t="array" ref="N788">IFERROR(_xlfn.IFS((AND(K788="SI",M788="$")),J788*0.2,AND(K788="SI",M788="%"),20),"")</f>
        <v/>
      </c>
      <c r="O788" s="29" t="str">
        <f t="shared" si="185"/>
        <v/>
      </c>
      <c r="P788" s="21" t="str">
        <f t="shared" si="186"/>
        <v/>
      </c>
      <c r="Q788" s="21" t="str">
        <f t="shared" si="187"/>
        <v/>
      </c>
      <c r="R788" s="21" t="str">
        <f t="shared" si="188"/>
        <v/>
      </c>
      <c r="S788" s="39"/>
      <c r="T788" s="43" t="str">
        <f t="shared" si="196"/>
        <v/>
      </c>
      <c r="U788" s="49" t="str">
        <f t="shared" si="197"/>
        <v/>
      </c>
      <c r="V788" s="48" t="str">
        <f t="shared" si="198"/>
        <v/>
      </c>
      <c r="W788" s="48" t="str">
        <f t="shared" si="189"/>
        <v/>
      </c>
      <c r="X788" s="50" t="str">
        <f>IF(W788="","",SUMIF($B$4:$B$1002,B788,$W$4:$W$1000))</f>
        <v/>
      </c>
      <c r="Y788" s="43" t="str">
        <f t="shared" si="190"/>
        <v/>
      </c>
      <c r="Z788" s="49" t="str">
        <f t="shared" si="191"/>
        <v/>
      </c>
      <c r="AA788" s="48" t="str">
        <f t="shared" si="192"/>
        <v/>
      </c>
      <c r="AB788" s="49" t="str">
        <f t="shared" si="193"/>
        <v/>
      </c>
      <c r="AC788" s="50" t="str">
        <f>IF(AB788="","",SUMIF($B$4:$B$1002,B788,$AB$4:$AB$1000))</f>
        <v/>
      </c>
      <c r="AD788" s="69"/>
      <c r="AE788" s="56"/>
      <c r="AF788" s="52"/>
      <c r="AG788" s="51"/>
      <c r="AH788" s="70"/>
      <c r="AI788" s="58"/>
      <c r="AJ788" s="55"/>
      <c r="AK788" s="51"/>
      <c r="AL788" s="69"/>
      <c r="AM788" s="56"/>
      <c r="AN788" s="52"/>
      <c r="AO788" s="51"/>
      <c r="AP788" s="70"/>
      <c r="AQ788" s="58"/>
      <c r="AR788" s="55"/>
      <c r="AS788" s="51"/>
      <c r="AT788" s="69"/>
      <c r="AU788" s="56"/>
      <c r="AV788" s="52"/>
      <c r="AW788" s="51"/>
      <c r="BR788" s="34" t="str">
        <f>IF(E788="","",CONCATENATE(E788," ",F788," noches"))</f>
        <v/>
      </c>
      <c r="BS788" s="28" t="str">
        <f t="shared" ca="1" si="194"/>
        <v/>
      </c>
      <c r="BT788" s="28" t="str">
        <f t="shared" ca="1" si="195"/>
        <v/>
      </c>
    </row>
    <row r="789" spans="1:72" x14ac:dyDescent="0.2">
      <c r="A789" s="18" t="str" cm="1">
        <f t="array" aca="1" ref="A789" ca="1">IF(B789="","","Grupo N˚"&amp;SUMPRODUCT(($B$4:B789&lt;&gt;"")*($B$4:B789&lt;&gt;OFFSET($B$4,-1,0,ROWS($B$4:B789),1))))</f>
        <v/>
      </c>
      <c r="B789" s="31"/>
      <c r="C789" s="31"/>
      <c r="D789" s="31"/>
      <c r="E789" s="31"/>
      <c r="F789" s="32"/>
      <c r="G789" s="33"/>
      <c r="H789" s="33"/>
      <c r="I789" s="20" t="str">
        <f t="shared" si="184"/>
        <v/>
      </c>
      <c r="J789" s="21" t="str">
        <f>IFERROR(VLOOKUP(BR789,Pricing!$D$3:$E$58,2,FALSE),"")</f>
        <v/>
      </c>
      <c r="K789" s="32"/>
      <c r="L789" s="32"/>
      <c r="M789" s="32"/>
      <c r="N789" s="36" t="str" cm="1">
        <f t="array" ref="N789">IFERROR(_xlfn.IFS((AND(K789="SI",M789="$")),J789*0.2,AND(K789="SI",M789="%"),20),"")</f>
        <v/>
      </c>
      <c r="O789" s="29" t="str">
        <f t="shared" si="185"/>
        <v/>
      </c>
      <c r="P789" s="21" t="str">
        <f t="shared" si="186"/>
        <v/>
      </c>
      <c r="Q789" s="21" t="str">
        <f t="shared" si="187"/>
        <v/>
      </c>
      <c r="R789" s="21" t="str">
        <f t="shared" si="188"/>
        <v/>
      </c>
      <c r="S789" s="39"/>
      <c r="T789" s="43" t="str">
        <f t="shared" si="196"/>
        <v/>
      </c>
      <c r="U789" s="49" t="str">
        <f t="shared" si="197"/>
        <v/>
      </c>
      <c r="V789" s="48" t="str">
        <f t="shared" si="198"/>
        <v/>
      </c>
      <c r="W789" s="48" t="str">
        <f t="shared" si="189"/>
        <v/>
      </c>
      <c r="X789" s="50" t="str">
        <f>IF(W789="","",SUMIF($B$4:$B$1002,B789,$W$4:$W$1000))</f>
        <v/>
      </c>
      <c r="Y789" s="43" t="str">
        <f t="shared" si="190"/>
        <v/>
      </c>
      <c r="Z789" s="49" t="str">
        <f t="shared" si="191"/>
        <v/>
      </c>
      <c r="AA789" s="48" t="str">
        <f t="shared" si="192"/>
        <v/>
      </c>
      <c r="AB789" s="49" t="str">
        <f t="shared" si="193"/>
        <v/>
      </c>
      <c r="AC789" s="50" t="str">
        <f>IF(AB789="","",SUMIF($B$4:$B$1002,B789,$AB$4:$AB$1000))</f>
        <v/>
      </c>
      <c r="AD789" s="69"/>
      <c r="AE789" s="56"/>
      <c r="AF789" s="52"/>
      <c r="AG789" s="51"/>
      <c r="AH789" s="70"/>
      <c r="AI789" s="58"/>
      <c r="AJ789" s="55"/>
      <c r="AK789" s="51"/>
      <c r="AL789" s="69"/>
      <c r="AM789" s="56"/>
      <c r="AN789" s="52"/>
      <c r="AO789" s="51"/>
      <c r="AP789" s="70"/>
      <c r="AQ789" s="58"/>
      <c r="AR789" s="55"/>
      <c r="AS789" s="51"/>
      <c r="AT789" s="69"/>
      <c r="AU789" s="56"/>
      <c r="AV789" s="52"/>
      <c r="AW789" s="51"/>
      <c r="BR789" s="34" t="str">
        <f>IF(E789="","",CONCATENATE(E789," ",F789," noches"))</f>
        <v/>
      </c>
      <c r="BS789" s="28" t="str">
        <f t="shared" ca="1" si="194"/>
        <v/>
      </c>
      <c r="BT789" s="28" t="str">
        <f t="shared" ca="1" si="195"/>
        <v/>
      </c>
    </row>
    <row r="790" spans="1:72" x14ac:dyDescent="0.2">
      <c r="A790" s="18" t="str" cm="1">
        <f t="array" aca="1" ref="A790" ca="1">IF(B790="","","Grupo N˚"&amp;SUMPRODUCT(($B$4:B790&lt;&gt;"")*($B$4:B790&lt;&gt;OFFSET($B$4,-1,0,ROWS($B$4:B790),1))))</f>
        <v/>
      </c>
      <c r="B790" s="31"/>
      <c r="C790" s="31"/>
      <c r="D790" s="31"/>
      <c r="E790" s="31"/>
      <c r="F790" s="32"/>
      <c r="G790" s="33"/>
      <c r="H790" s="33"/>
      <c r="I790" s="20" t="str">
        <f t="shared" si="184"/>
        <v/>
      </c>
      <c r="J790" s="21" t="str">
        <f>IFERROR(VLOOKUP(BR790,Pricing!$D$3:$E$58,2,FALSE),"")</f>
        <v/>
      </c>
      <c r="K790" s="32"/>
      <c r="L790" s="32"/>
      <c r="M790" s="32"/>
      <c r="N790" s="36" t="str" cm="1">
        <f t="array" ref="N790">IFERROR(_xlfn.IFS((AND(K790="SI",M790="$")),J790*0.2,AND(K790="SI",M790="%"),20),"")</f>
        <v/>
      </c>
      <c r="O790" s="29" t="str">
        <f t="shared" si="185"/>
        <v/>
      </c>
      <c r="P790" s="21" t="str">
        <f t="shared" si="186"/>
        <v/>
      </c>
      <c r="Q790" s="21" t="str">
        <f t="shared" si="187"/>
        <v/>
      </c>
      <c r="R790" s="21" t="str">
        <f t="shared" si="188"/>
        <v/>
      </c>
      <c r="S790" s="39"/>
      <c r="T790" s="43" t="str">
        <f t="shared" si="196"/>
        <v/>
      </c>
      <c r="U790" s="49" t="str">
        <f t="shared" si="197"/>
        <v/>
      </c>
      <c r="V790" s="48" t="str">
        <f t="shared" si="198"/>
        <v/>
      </c>
      <c r="W790" s="48" t="str">
        <f t="shared" si="189"/>
        <v/>
      </c>
      <c r="X790" s="50" t="str">
        <f>IF(W790="","",SUMIF($B$4:$B$1002,B790,$W$4:$W$1000))</f>
        <v/>
      </c>
      <c r="Y790" s="43" t="str">
        <f t="shared" si="190"/>
        <v/>
      </c>
      <c r="Z790" s="49" t="str">
        <f t="shared" si="191"/>
        <v/>
      </c>
      <c r="AA790" s="48" t="str">
        <f t="shared" si="192"/>
        <v/>
      </c>
      <c r="AB790" s="49" t="str">
        <f t="shared" si="193"/>
        <v/>
      </c>
      <c r="AC790" s="50" t="str">
        <f>IF(AB790="","",SUMIF($B$4:$B$1002,B790,$AB$4:$AB$1000))</f>
        <v/>
      </c>
      <c r="AD790" s="69"/>
      <c r="AE790" s="56"/>
      <c r="AF790" s="52"/>
      <c r="AG790" s="51"/>
      <c r="AH790" s="70"/>
      <c r="AI790" s="58"/>
      <c r="AJ790" s="55"/>
      <c r="AK790" s="51"/>
      <c r="AL790" s="69"/>
      <c r="AM790" s="56"/>
      <c r="AN790" s="52"/>
      <c r="AO790" s="51"/>
      <c r="AP790" s="70"/>
      <c r="AQ790" s="58"/>
      <c r="AR790" s="55"/>
      <c r="AS790" s="51"/>
      <c r="AT790" s="69"/>
      <c r="AU790" s="56"/>
      <c r="AV790" s="52"/>
      <c r="AW790" s="51"/>
      <c r="BR790" s="34" t="str">
        <f>IF(E790="","",CONCATENATE(E790," ",F790," noches"))</f>
        <v/>
      </c>
      <c r="BS790" s="28" t="str">
        <f t="shared" ca="1" si="194"/>
        <v/>
      </c>
      <c r="BT790" s="28" t="str">
        <f t="shared" ca="1" si="195"/>
        <v/>
      </c>
    </row>
    <row r="791" spans="1:72" x14ac:dyDescent="0.2">
      <c r="A791" s="18" t="str" cm="1">
        <f t="array" aca="1" ref="A791" ca="1">IF(B791="","","Grupo N˚"&amp;SUMPRODUCT(($B$4:B791&lt;&gt;"")*($B$4:B791&lt;&gt;OFFSET($B$4,-1,0,ROWS($B$4:B791),1))))</f>
        <v/>
      </c>
      <c r="B791" s="31"/>
      <c r="C791" s="31"/>
      <c r="D791" s="31"/>
      <c r="E791" s="31"/>
      <c r="F791" s="32"/>
      <c r="G791" s="33"/>
      <c r="H791" s="33"/>
      <c r="I791" s="20" t="str">
        <f t="shared" si="184"/>
        <v/>
      </c>
      <c r="J791" s="21" t="str">
        <f>IFERROR(VLOOKUP(BR791,Pricing!$D$3:$E$58,2,FALSE),"")</f>
        <v/>
      </c>
      <c r="K791" s="32"/>
      <c r="L791" s="32"/>
      <c r="M791" s="32"/>
      <c r="N791" s="36" t="str" cm="1">
        <f t="array" ref="N791">IFERROR(_xlfn.IFS((AND(K791="SI",M791="$")),J791*0.2,AND(K791="SI",M791="%"),20),"")</f>
        <v/>
      </c>
      <c r="O791" s="29" t="str">
        <f t="shared" si="185"/>
        <v/>
      </c>
      <c r="P791" s="21" t="str">
        <f t="shared" si="186"/>
        <v/>
      </c>
      <c r="Q791" s="21" t="str">
        <f t="shared" si="187"/>
        <v/>
      </c>
      <c r="R791" s="21" t="str">
        <f t="shared" si="188"/>
        <v/>
      </c>
      <c r="S791" s="39"/>
      <c r="T791" s="43" t="str">
        <f t="shared" si="196"/>
        <v/>
      </c>
      <c r="U791" s="49" t="str">
        <f t="shared" si="197"/>
        <v/>
      </c>
      <c r="V791" s="48" t="str">
        <f t="shared" si="198"/>
        <v/>
      </c>
      <c r="W791" s="48" t="str">
        <f t="shared" si="189"/>
        <v/>
      </c>
      <c r="X791" s="50" t="str">
        <f>IF(W791="","",SUMIF($B$4:$B$1002,B791,$W$4:$W$1000))</f>
        <v/>
      </c>
      <c r="Y791" s="43" t="str">
        <f t="shared" si="190"/>
        <v/>
      </c>
      <c r="Z791" s="49" t="str">
        <f t="shared" si="191"/>
        <v/>
      </c>
      <c r="AA791" s="48" t="str">
        <f t="shared" si="192"/>
        <v/>
      </c>
      <c r="AB791" s="49" t="str">
        <f t="shared" si="193"/>
        <v/>
      </c>
      <c r="AC791" s="50" t="str">
        <f>IF(AB791="","",SUMIF($B$4:$B$1002,B791,$AB$4:$AB$1000))</f>
        <v/>
      </c>
      <c r="AD791" s="69"/>
      <c r="AE791" s="56"/>
      <c r="AF791" s="52"/>
      <c r="AG791" s="51"/>
      <c r="AH791" s="70"/>
      <c r="AI791" s="58"/>
      <c r="AJ791" s="55"/>
      <c r="AK791" s="51"/>
      <c r="AL791" s="69"/>
      <c r="AM791" s="56"/>
      <c r="AN791" s="52"/>
      <c r="AO791" s="51"/>
      <c r="AP791" s="70"/>
      <c r="AQ791" s="58"/>
      <c r="AR791" s="55"/>
      <c r="AS791" s="51"/>
      <c r="AT791" s="69"/>
      <c r="AU791" s="56"/>
      <c r="AV791" s="52"/>
      <c r="AW791" s="51"/>
      <c r="BR791" s="34" t="str">
        <f>IF(E791="","",CONCATENATE(E791," ",F791," noches"))</f>
        <v/>
      </c>
      <c r="BS791" s="28" t="str">
        <f t="shared" ca="1" si="194"/>
        <v/>
      </c>
      <c r="BT791" s="28" t="str">
        <f t="shared" ca="1" si="195"/>
        <v/>
      </c>
    </row>
    <row r="792" spans="1:72" x14ac:dyDescent="0.2">
      <c r="A792" s="18" t="str" cm="1">
        <f t="array" aca="1" ref="A792" ca="1">IF(B792="","","Grupo N˚"&amp;SUMPRODUCT(($B$4:B792&lt;&gt;"")*($B$4:B792&lt;&gt;OFFSET($B$4,-1,0,ROWS($B$4:B792),1))))</f>
        <v/>
      </c>
      <c r="B792" s="31"/>
      <c r="C792" s="31"/>
      <c r="D792" s="31"/>
      <c r="E792" s="31"/>
      <c r="F792" s="32"/>
      <c r="G792" s="33"/>
      <c r="H792" s="33"/>
      <c r="I792" s="20" t="str">
        <f t="shared" si="184"/>
        <v/>
      </c>
      <c r="J792" s="21" t="str">
        <f>IFERROR(VLOOKUP(BR792,Pricing!$D$3:$E$58,2,FALSE),"")</f>
        <v/>
      </c>
      <c r="K792" s="32"/>
      <c r="L792" s="32"/>
      <c r="M792" s="32"/>
      <c r="N792" s="36" t="str" cm="1">
        <f t="array" ref="N792">IFERROR(_xlfn.IFS((AND(K792="SI",M792="$")),J792*0.2,AND(K792="SI",M792="%"),20),"")</f>
        <v/>
      </c>
      <c r="O792" s="29" t="str">
        <f t="shared" si="185"/>
        <v/>
      </c>
      <c r="P792" s="21" t="str">
        <f t="shared" si="186"/>
        <v/>
      </c>
      <c r="Q792" s="21" t="str">
        <f t="shared" si="187"/>
        <v/>
      </c>
      <c r="R792" s="21" t="str">
        <f t="shared" si="188"/>
        <v/>
      </c>
      <c r="S792" s="39"/>
      <c r="T792" s="43" t="str">
        <f t="shared" si="196"/>
        <v/>
      </c>
      <c r="U792" s="49" t="str">
        <f t="shared" si="197"/>
        <v/>
      </c>
      <c r="V792" s="48" t="str">
        <f t="shared" si="198"/>
        <v/>
      </c>
      <c r="W792" s="48" t="str">
        <f t="shared" si="189"/>
        <v/>
      </c>
      <c r="X792" s="50" t="str">
        <f>IF(W792="","",SUMIF($B$4:$B$1002,B792,$W$4:$W$1000))</f>
        <v/>
      </c>
      <c r="Y792" s="43" t="str">
        <f t="shared" si="190"/>
        <v/>
      </c>
      <c r="Z792" s="49" t="str">
        <f t="shared" si="191"/>
        <v/>
      </c>
      <c r="AA792" s="48" t="str">
        <f t="shared" si="192"/>
        <v/>
      </c>
      <c r="AB792" s="49" t="str">
        <f t="shared" si="193"/>
        <v/>
      </c>
      <c r="AC792" s="50" t="str">
        <f>IF(AB792="","",SUMIF($B$4:$B$1002,B792,$AB$4:$AB$1000))</f>
        <v/>
      </c>
      <c r="AD792" s="69"/>
      <c r="AE792" s="56"/>
      <c r="AF792" s="52"/>
      <c r="AG792" s="51"/>
      <c r="AH792" s="70"/>
      <c r="AI792" s="58"/>
      <c r="AJ792" s="55"/>
      <c r="AK792" s="51"/>
      <c r="AL792" s="69"/>
      <c r="AM792" s="56"/>
      <c r="AN792" s="52"/>
      <c r="AO792" s="51"/>
      <c r="AP792" s="70"/>
      <c r="AQ792" s="58"/>
      <c r="AR792" s="55"/>
      <c r="AS792" s="51"/>
      <c r="AT792" s="69"/>
      <c r="AU792" s="56"/>
      <c r="AV792" s="52"/>
      <c r="AW792" s="51"/>
      <c r="BR792" s="34" t="str">
        <f>IF(E792="","",CONCATENATE(E792," ",F792," noches"))</f>
        <v/>
      </c>
      <c r="BS792" s="28" t="str">
        <f t="shared" ca="1" si="194"/>
        <v/>
      </c>
      <c r="BT792" s="28" t="str">
        <f t="shared" ca="1" si="195"/>
        <v/>
      </c>
    </row>
    <row r="793" spans="1:72" x14ac:dyDescent="0.2">
      <c r="A793" s="18" t="str" cm="1">
        <f t="array" aca="1" ref="A793" ca="1">IF(B793="","","Grupo N˚"&amp;SUMPRODUCT(($B$4:B793&lt;&gt;"")*($B$4:B793&lt;&gt;OFFSET($B$4,-1,0,ROWS($B$4:B793),1))))</f>
        <v/>
      </c>
      <c r="B793" s="31"/>
      <c r="C793" s="31"/>
      <c r="D793" s="31"/>
      <c r="E793" s="31"/>
      <c r="F793" s="32"/>
      <c r="G793" s="33"/>
      <c r="H793" s="33"/>
      <c r="I793" s="20" t="str">
        <f t="shared" si="184"/>
        <v/>
      </c>
      <c r="J793" s="21" t="str">
        <f>IFERROR(VLOOKUP(BR793,Pricing!$D$3:$E$58,2,FALSE),"")</f>
        <v/>
      </c>
      <c r="K793" s="32"/>
      <c r="L793" s="32"/>
      <c r="M793" s="32"/>
      <c r="N793" s="36" t="str" cm="1">
        <f t="array" ref="N793">IFERROR(_xlfn.IFS((AND(K793="SI",M793="$")),J793*0.2,AND(K793="SI",M793="%"),20),"")</f>
        <v/>
      </c>
      <c r="O793" s="29" t="str">
        <f t="shared" si="185"/>
        <v/>
      </c>
      <c r="P793" s="21" t="str">
        <f t="shared" si="186"/>
        <v/>
      </c>
      <c r="Q793" s="21" t="str">
        <f t="shared" si="187"/>
        <v/>
      </c>
      <c r="R793" s="21" t="str">
        <f t="shared" si="188"/>
        <v/>
      </c>
      <c r="S793" s="39"/>
      <c r="T793" s="43" t="str">
        <f t="shared" si="196"/>
        <v/>
      </c>
      <c r="U793" s="49" t="str">
        <f t="shared" si="197"/>
        <v/>
      </c>
      <c r="V793" s="48" t="str">
        <f t="shared" si="198"/>
        <v/>
      </c>
      <c r="W793" s="48" t="str">
        <f t="shared" si="189"/>
        <v/>
      </c>
      <c r="X793" s="50" t="str">
        <f>IF(W793="","",SUMIF($B$4:$B$1002,B793,$W$4:$W$1000))</f>
        <v/>
      </c>
      <c r="Y793" s="43" t="str">
        <f t="shared" si="190"/>
        <v/>
      </c>
      <c r="Z793" s="49" t="str">
        <f t="shared" si="191"/>
        <v/>
      </c>
      <c r="AA793" s="48" t="str">
        <f t="shared" si="192"/>
        <v/>
      </c>
      <c r="AB793" s="49" t="str">
        <f t="shared" si="193"/>
        <v/>
      </c>
      <c r="AC793" s="50" t="str">
        <f>IF(AB793="","",SUMIF($B$4:$B$1002,B793,$AB$4:$AB$1000))</f>
        <v/>
      </c>
      <c r="AD793" s="69"/>
      <c r="AE793" s="56"/>
      <c r="AF793" s="52"/>
      <c r="AG793" s="51"/>
      <c r="AH793" s="70"/>
      <c r="AI793" s="58"/>
      <c r="AJ793" s="55"/>
      <c r="AK793" s="51"/>
      <c r="AL793" s="69"/>
      <c r="AM793" s="56"/>
      <c r="AN793" s="52"/>
      <c r="AO793" s="51"/>
      <c r="AP793" s="70"/>
      <c r="AQ793" s="58"/>
      <c r="AR793" s="55"/>
      <c r="AS793" s="51"/>
      <c r="AT793" s="69"/>
      <c r="AU793" s="56"/>
      <c r="AV793" s="52"/>
      <c r="AW793" s="51"/>
      <c r="BR793" s="34" t="str">
        <f>IF(E793="","",CONCATENATE(E793," ",F793," noches"))</f>
        <v/>
      </c>
      <c r="BS793" s="28" t="str">
        <f t="shared" ca="1" si="194"/>
        <v/>
      </c>
      <c r="BT793" s="28" t="str">
        <f t="shared" ca="1" si="195"/>
        <v/>
      </c>
    </row>
    <row r="794" spans="1:72" x14ac:dyDescent="0.2">
      <c r="A794" s="18" t="str" cm="1">
        <f t="array" aca="1" ref="A794" ca="1">IF(B794="","","Grupo N˚"&amp;SUMPRODUCT(($B$4:B794&lt;&gt;"")*($B$4:B794&lt;&gt;OFFSET($B$4,-1,0,ROWS($B$4:B794),1))))</f>
        <v/>
      </c>
      <c r="B794" s="31"/>
      <c r="C794" s="31"/>
      <c r="D794" s="31"/>
      <c r="E794" s="31"/>
      <c r="F794" s="32"/>
      <c r="G794" s="33"/>
      <c r="H794" s="33"/>
      <c r="I794" s="20" t="str">
        <f t="shared" si="184"/>
        <v/>
      </c>
      <c r="J794" s="21" t="str">
        <f>IFERROR(VLOOKUP(BR794,Pricing!$D$3:$E$58,2,FALSE),"")</f>
        <v/>
      </c>
      <c r="K794" s="32"/>
      <c r="L794" s="32"/>
      <c r="M794" s="32"/>
      <c r="N794" s="36" t="str" cm="1">
        <f t="array" ref="N794">IFERROR(_xlfn.IFS((AND(K794="SI",M794="$")),J794*0.2,AND(K794="SI",M794="%"),20),"")</f>
        <v/>
      </c>
      <c r="O794" s="29" t="str">
        <f t="shared" si="185"/>
        <v/>
      </c>
      <c r="P794" s="21" t="str">
        <f t="shared" si="186"/>
        <v/>
      </c>
      <c r="Q794" s="21" t="str">
        <f t="shared" si="187"/>
        <v/>
      </c>
      <c r="R794" s="21" t="str">
        <f t="shared" si="188"/>
        <v/>
      </c>
      <c r="S794" s="39"/>
      <c r="T794" s="43" t="str">
        <f t="shared" si="196"/>
        <v/>
      </c>
      <c r="U794" s="49" t="str">
        <f t="shared" si="197"/>
        <v/>
      </c>
      <c r="V794" s="48" t="str">
        <f t="shared" si="198"/>
        <v/>
      </c>
      <c r="W794" s="48" t="str">
        <f t="shared" si="189"/>
        <v/>
      </c>
      <c r="X794" s="50" t="str">
        <f>IF(W794="","",SUMIF($B$4:$B$1002,B794,$W$4:$W$1000))</f>
        <v/>
      </c>
      <c r="Y794" s="43" t="str">
        <f t="shared" si="190"/>
        <v/>
      </c>
      <c r="Z794" s="49" t="str">
        <f t="shared" si="191"/>
        <v/>
      </c>
      <c r="AA794" s="48" t="str">
        <f t="shared" si="192"/>
        <v/>
      </c>
      <c r="AB794" s="49" t="str">
        <f t="shared" si="193"/>
        <v/>
      </c>
      <c r="AC794" s="50" t="str">
        <f>IF(AB794="","",SUMIF($B$4:$B$1002,B794,$AB$4:$AB$1000))</f>
        <v/>
      </c>
      <c r="AD794" s="69"/>
      <c r="AE794" s="56"/>
      <c r="AF794" s="52"/>
      <c r="AG794" s="51"/>
      <c r="AH794" s="70"/>
      <c r="AI794" s="58"/>
      <c r="AJ794" s="55"/>
      <c r="AK794" s="51"/>
      <c r="AL794" s="69"/>
      <c r="AM794" s="56"/>
      <c r="AN794" s="52"/>
      <c r="AO794" s="51"/>
      <c r="AP794" s="70"/>
      <c r="AQ794" s="58"/>
      <c r="AR794" s="55"/>
      <c r="AS794" s="51"/>
      <c r="AT794" s="69"/>
      <c r="AU794" s="56"/>
      <c r="AV794" s="52"/>
      <c r="AW794" s="51"/>
      <c r="BR794" s="34" t="str">
        <f>IF(E794="","",CONCATENATE(E794," ",F794," noches"))</f>
        <v/>
      </c>
      <c r="BS794" s="28" t="str">
        <f t="shared" ca="1" si="194"/>
        <v/>
      </c>
      <c r="BT794" s="28" t="str">
        <f t="shared" ca="1" si="195"/>
        <v/>
      </c>
    </row>
    <row r="795" spans="1:72" x14ac:dyDescent="0.2">
      <c r="A795" s="18" t="str" cm="1">
        <f t="array" aca="1" ref="A795" ca="1">IF(B795="","","Grupo N˚"&amp;SUMPRODUCT(($B$4:B795&lt;&gt;"")*($B$4:B795&lt;&gt;OFFSET($B$4,-1,0,ROWS($B$4:B795),1))))</f>
        <v/>
      </c>
      <c r="B795" s="31"/>
      <c r="C795" s="31"/>
      <c r="D795" s="31"/>
      <c r="E795" s="31"/>
      <c r="F795" s="32"/>
      <c r="G795" s="33"/>
      <c r="H795" s="33"/>
      <c r="I795" s="20" t="str">
        <f t="shared" si="184"/>
        <v/>
      </c>
      <c r="J795" s="21" t="str">
        <f>IFERROR(VLOOKUP(BR795,Pricing!$D$3:$E$58,2,FALSE),"")</f>
        <v/>
      </c>
      <c r="K795" s="32"/>
      <c r="L795" s="32"/>
      <c r="M795" s="32"/>
      <c r="N795" s="36" t="str" cm="1">
        <f t="array" ref="N795">IFERROR(_xlfn.IFS((AND(K795="SI",M795="$")),J795*0.2,AND(K795="SI",M795="%"),20),"")</f>
        <v/>
      </c>
      <c r="O795" s="29" t="str">
        <f t="shared" si="185"/>
        <v/>
      </c>
      <c r="P795" s="21" t="str">
        <f t="shared" si="186"/>
        <v/>
      </c>
      <c r="Q795" s="21" t="str">
        <f t="shared" si="187"/>
        <v/>
      </c>
      <c r="R795" s="21" t="str">
        <f t="shared" si="188"/>
        <v/>
      </c>
      <c r="S795" s="39"/>
      <c r="T795" s="43" t="str">
        <f t="shared" si="196"/>
        <v/>
      </c>
      <c r="U795" s="49" t="str">
        <f t="shared" si="197"/>
        <v/>
      </c>
      <c r="V795" s="48" t="str">
        <f t="shared" si="198"/>
        <v/>
      </c>
      <c r="W795" s="48" t="str">
        <f t="shared" si="189"/>
        <v/>
      </c>
      <c r="X795" s="50" t="str">
        <f>IF(W795="","",SUMIF($B$4:$B$1002,B795,$W$4:$W$1000))</f>
        <v/>
      </c>
      <c r="Y795" s="43" t="str">
        <f t="shared" si="190"/>
        <v/>
      </c>
      <c r="Z795" s="49" t="str">
        <f t="shared" si="191"/>
        <v/>
      </c>
      <c r="AA795" s="48" t="str">
        <f t="shared" si="192"/>
        <v/>
      </c>
      <c r="AB795" s="49" t="str">
        <f t="shared" si="193"/>
        <v/>
      </c>
      <c r="AC795" s="50" t="str">
        <f>IF(AB795="","",SUMIF($B$4:$B$1002,B795,$AB$4:$AB$1000))</f>
        <v/>
      </c>
      <c r="AD795" s="69"/>
      <c r="AE795" s="56"/>
      <c r="AF795" s="52"/>
      <c r="AG795" s="51"/>
      <c r="AH795" s="70"/>
      <c r="AI795" s="58"/>
      <c r="AJ795" s="55"/>
      <c r="AK795" s="51"/>
      <c r="AL795" s="69"/>
      <c r="AM795" s="56"/>
      <c r="AN795" s="52"/>
      <c r="AO795" s="51"/>
      <c r="AP795" s="70"/>
      <c r="AQ795" s="58"/>
      <c r="AR795" s="55"/>
      <c r="AS795" s="51"/>
      <c r="AT795" s="69"/>
      <c r="AU795" s="56"/>
      <c r="AV795" s="52"/>
      <c r="AW795" s="51"/>
      <c r="BR795" s="34" t="str">
        <f>IF(E795="","",CONCATENATE(E795," ",F795," noches"))</f>
        <v/>
      </c>
      <c r="BS795" s="28" t="str">
        <f t="shared" ca="1" si="194"/>
        <v/>
      </c>
      <c r="BT795" s="28" t="str">
        <f t="shared" ca="1" si="195"/>
        <v/>
      </c>
    </row>
    <row r="796" spans="1:72" x14ac:dyDescent="0.2">
      <c r="A796" s="18" t="str" cm="1">
        <f t="array" aca="1" ref="A796" ca="1">IF(B796="","","Grupo N˚"&amp;SUMPRODUCT(($B$4:B796&lt;&gt;"")*($B$4:B796&lt;&gt;OFFSET($B$4,-1,0,ROWS($B$4:B796),1))))</f>
        <v/>
      </c>
      <c r="B796" s="31"/>
      <c r="C796" s="31"/>
      <c r="D796" s="31"/>
      <c r="E796" s="31"/>
      <c r="F796" s="32"/>
      <c r="G796" s="33"/>
      <c r="H796" s="33"/>
      <c r="I796" s="20" t="str">
        <f t="shared" si="184"/>
        <v/>
      </c>
      <c r="J796" s="21" t="str">
        <f>IFERROR(VLOOKUP(BR796,Pricing!$D$3:$E$58,2,FALSE),"")</f>
        <v/>
      </c>
      <c r="K796" s="32"/>
      <c r="L796" s="32"/>
      <c r="M796" s="32"/>
      <c r="N796" s="36" t="str" cm="1">
        <f t="array" ref="N796">IFERROR(_xlfn.IFS((AND(K796="SI",M796="$")),J796*0.2,AND(K796="SI",M796="%"),20),"")</f>
        <v/>
      </c>
      <c r="O796" s="29" t="str">
        <f t="shared" si="185"/>
        <v/>
      </c>
      <c r="P796" s="21" t="str">
        <f t="shared" si="186"/>
        <v/>
      </c>
      <c r="Q796" s="21" t="str">
        <f t="shared" si="187"/>
        <v/>
      </c>
      <c r="R796" s="21" t="str">
        <f t="shared" si="188"/>
        <v/>
      </c>
      <c r="S796" s="39"/>
      <c r="T796" s="43" t="str">
        <f t="shared" si="196"/>
        <v/>
      </c>
      <c r="U796" s="49" t="str">
        <f t="shared" si="197"/>
        <v/>
      </c>
      <c r="V796" s="48" t="str">
        <f t="shared" si="198"/>
        <v/>
      </c>
      <c r="W796" s="48" t="str">
        <f t="shared" si="189"/>
        <v/>
      </c>
      <c r="X796" s="50" t="str">
        <f>IF(W796="","",SUMIF($B$4:$B$1002,B796,$W$4:$W$1000))</f>
        <v/>
      </c>
      <c r="Y796" s="43" t="str">
        <f t="shared" si="190"/>
        <v/>
      </c>
      <c r="Z796" s="49" t="str">
        <f t="shared" si="191"/>
        <v/>
      </c>
      <c r="AA796" s="48" t="str">
        <f t="shared" si="192"/>
        <v/>
      </c>
      <c r="AB796" s="49" t="str">
        <f t="shared" si="193"/>
        <v/>
      </c>
      <c r="AC796" s="50" t="str">
        <f>IF(AB796="","",SUMIF($B$4:$B$1002,B796,$AB$4:$AB$1000))</f>
        <v/>
      </c>
      <c r="AD796" s="69"/>
      <c r="AE796" s="56"/>
      <c r="AF796" s="52"/>
      <c r="AG796" s="51"/>
      <c r="AH796" s="70"/>
      <c r="AI796" s="58"/>
      <c r="AJ796" s="55"/>
      <c r="AK796" s="51"/>
      <c r="AL796" s="69"/>
      <c r="AM796" s="56"/>
      <c r="AN796" s="52"/>
      <c r="AO796" s="51"/>
      <c r="AP796" s="70"/>
      <c r="AQ796" s="58"/>
      <c r="AR796" s="55"/>
      <c r="AS796" s="51"/>
      <c r="AT796" s="69"/>
      <c r="AU796" s="56"/>
      <c r="AV796" s="52"/>
      <c r="AW796" s="51"/>
      <c r="BR796" s="34" t="str">
        <f>IF(E796="","",CONCATENATE(E796," ",F796," noches"))</f>
        <v/>
      </c>
      <c r="BS796" s="28" t="str">
        <f t="shared" ca="1" si="194"/>
        <v/>
      </c>
      <c r="BT796" s="28" t="str">
        <f t="shared" ca="1" si="195"/>
        <v/>
      </c>
    </row>
    <row r="797" spans="1:72" x14ac:dyDescent="0.2">
      <c r="A797" s="18" t="str" cm="1">
        <f t="array" aca="1" ref="A797" ca="1">IF(B797="","","Grupo N˚"&amp;SUMPRODUCT(($B$4:B797&lt;&gt;"")*($B$4:B797&lt;&gt;OFFSET($B$4,-1,0,ROWS($B$4:B797),1))))</f>
        <v/>
      </c>
      <c r="B797" s="31"/>
      <c r="C797" s="31"/>
      <c r="D797" s="31"/>
      <c r="E797" s="31"/>
      <c r="F797" s="32"/>
      <c r="G797" s="33"/>
      <c r="H797" s="33"/>
      <c r="I797" s="20" t="str">
        <f t="shared" si="184"/>
        <v/>
      </c>
      <c r="J797" s="21" t="str">
        <f>IFERROR(VLOOKUP(BR797,Pricing!$D$3:$E$58,2,FALSE),"")</f>
        <v/>
      </c>
      <c r="K797" s="32"/>
      <c r="L797" s="32"/>
      <c r="M797" s="32"/>
      <c r="N797" s="36" t="str" cm="1">
        <f t="array" ref="N797">IFERROR(_xlfn.IFS((AND(K797="SI",M797="$")),J797*0.2,AND(K797="SI",M797="%"),20),"")</f>
        <v/>
      </c>
      <c r="O797" s="29" t="str">
        <f t="shared" si="185"/>
        <v/>
      </c>
      <c r="P797" s="21" t="str">
        <f t="shared" si="186"/>
        <v/>
      </c>
      <c r="Q797" s="21" t="str">
        <f t="shared" si="187"/>
        <v/>
      </c>
      <c r="R797" s="21" t="str">
        <f t="shared" si="188"/>
        <v/>
      </c>
      <c r="S797" s="39"/>
      <c r="T797" s="43" t="str">
        <f t="shared" si="196"/>
        <v/>
      </c>
      <c r="U797" s="49" t="str">
        <f t="shared" si="197"/>
        <v/>
      </c>
      <c r="V797" s="48" t="str">
        <f t="shared" si="198"/>
        <v/>
      </c>
      <c r="W797" s="48" t="str">
        <f t="shared" si="189"/>
        <v/>
      </c>
      <c r="X797" s="50" t="str">
        <f>IF(W797="","",SUMIF($B$4:$B$1002,B797,$W$4:$W$1000))</f>
        <v/>
      </c>
      <c r="Y797" s="43" t="str">
        <f t="shared" si="190"/>
        <v/>
      </c>
      <c r="Z797" s="49" t="str">
        <f t="shared" si="191"/>
        <v/>
      </c>
      <c r="AA797" s="48" t="str">
        <f t="shared" si="192"/>
        <v/>
      </c>
      <c r="AB797" s="49" t="str">
        <f t="shared" si="193"/>
        <v/>
      </c>
      <c r="AC797" s="50" t="str">
        <f>IF(AB797="","",SUMIF($B$4:$B$1002,B797,$AB$4:$AB$1000))</f>
        <v/>
      </c>
      <c r="AD797" s="69"/>
      <c r="AE797" s="56"/>
      <c r="AF797" s="52"/>
      <c r="AG797" s="51"/>
      <c r="AH797" s="70"/>
      <c r="AI797" s="58"/>
      <c r="AJ797" s="55"/>
      <c r="AK797" s="51"/>
      <c r="AL797" s="69"/>
      <c r="AM797" s="56"/>
      <c r="AN797" s="52"/>
      <c r="AO797" s="51"/>
      <c r="AP797" s="70"/>
      <c r="AQ797" s="58"/>
      <c r="AR797" s="55"/>
      <c r="AS797" s="51"/>
      <c r="AT797" s="69"/>
      <c r="AU797" s="56"/>
      <c r="AV797" s="52"/>
      <c r="AW797" s="51"/>
      <c r="BR797" s="34" t="str">
        <f>IF(E797="","",CONCATENATE(E797," ",F797," noches"))</f>
        <v/>
      </c>
      <c r="BS797" s="28" t="str">
        <f t="shared" ca="1" si="194"/>
        <v/>
      </c>
      <c r="BT797" s="28" t="str">
        <f t="shared" ca="1" si="195"/>
        <v/>
      </c>
    </row>
    <row r="798" spans="1:72" x14ac:dyDescent="0.2">
      <c r="A798" s="18" t="str" cm="1">
        <f t="array" aca="1" ref="A798" ca="1">IF(B798="","","Grupo N˚"&amp;SUMPRODUCT(($B$4:B798&lt;&gt;"")*($B$4:B798&lt;&gt;OFFSET($B$4,-1,0,ROWS($B$4:B798),1))))</f>
        <v/>
      </c>
      <c r="B798" s="31"/>
      <c r="C798" s="31"/>
      <c r="D798" s="31"/>
      <c r="E798" s="31"/>
      <c r="F798" s="32"/>
      <c r="G798" s="33"/>
      <c r="H798" s="33"/>
      <c r="I798" s="20" t="str">
        <f t="shared" si="184"/>
        <v/>
      </c>
      <c r="J798" s="21" t="str">
        <f>IFERROR(VLOOKUP(BR798,Pricing!$D$3:$E$58,2,FALSE),"")</f>
        <v/>
      </c>
      <c r="K798" s="32"/>
      <c r="L798" s="32"/>
      <c r="M798" s="32"/>
      <c r="N798" s="36" t="str" cm="1">
        <f t="array" ref="N798">IFERROR(_xlfn.IFS((AND(K798="SI",M798="$")),J798*0.2,AND(K798="SI",M798="%"),20),"")</f>
        <v/>
      </c>
      <c r="O798" s="29" t="str">
        <f t="shared" si="185"/>
        <v/>
      </c>
      <c r="P798" s="21" t="str">
        <f t="shared" si="186"/>
        <v/>
      </c>
      <c r="Q798" s="21" t="str">
        <f t="shared" si="187"/>
        <v/>
      </c>
      <c r="R798" s="21" t="str">
        <f t="shared" si="188"/>
        <v/>
      </c>
      <c r="S798" s="39"/>
      <c r="T798" s="43" t="str">
        <f t="shared" si="196"/>
        <v/>
      </c>
      <c r="U798" s="49" t="str">
        <f t="shared" si="197"/>
        <v/>
      </c>
      <c r="V798" s="48" t="str">
        <f t="shared" si="198"/>
        <v/>
      </c>
      <c r="W798" s="48" t="str">
        <f t="shared" si="189"/>
        <v/>
      </c>
      <c r="X798" s="50" t="str">
        <f>IF(W798="","",SUMIF($B$4:$B$1002,B798,$W$4:$W$1000))</f>
        <v/>
      </c>
      <c r="Y798" s="43" t="str">
        <f t="shared" si="190"/>
        <v/>
      </c>
      <c r="Z798" s="49" t="str">
        <f t="shared" si="191"/>
        <v/>
      </c>
      <c r="AA798" s="48" t="str">
        <f t="shared" si="192"/>
        <v/>
      </c>
      <c r="AB798" s="49" t="str">
        <f t="shared" si="193"/>
        <v/>
      </c>
      <c r="AC798" s="50" t="str">
        <f>IF(AB798="","",SUMIF($B$4:$B$1002,B798,$AB$4:$AB$1000))</f>
        <v/>
      </c>
      <c r="AD798" s="69"/>
      <c r="AE798" s="56"/>
      <c r="AF798" s="52"/>
      <c r="AG798" s="51"/>
      <c r="AH798" s="70"/>
      <c r="AI798" s="58"/>
      <c r="AJ798" s="55"/>
      <c r="AK798" s="51"/>
      <c r="AL798" s="69"/>
      <c r="AM798" s="56"/>
      <c r="AN798" s="52"/>
      <c r="AO798" s="51"/>
      <c r="AP798" s="70"/>
      <c r="AQ798" s="58"/>
      <c r="AR798" s="55"/>
      <c r="AS798" s="51"/>
      <c r="AT798" s="69"/>
      <c r="AU798" s="56"/>
      <c r="AV798" s="52"/>
      <c r="AW798" s="51"/>
      <c r="BR798" s="34" t="str">
        <f>IF(E798="","",CONCATENATE(E798," ",F798," noches"))</f>
        <v/>
      </c>
      <c r="BS798" s="28" t="str">
        <f t="shared" ca="1" si="194"/>
        <v/>
      </c>
      <c r="BT798" s="28" t="str">
        <f t="shared" ca="1" si="195"/>
        <v/>
      </c>
    </row>
    <row r="799" spans="1:72" x14ac:dyDescent="0.2">
      <c r="A799" s="18" t="str" cm="1">
        <f t="array" aca="1" ref="A799" ca="1">IF(B799="","","Grupo N˚"&amp;SUMPRODUCT(($B$4:B799&lt;&gt;"")*($B$4:B799&lt;&gt;OFFSET($B$4,-1,0,ROWS($B$4:B799),1))))</f>
        <v/>
      </c>
      <c r="B799" s="31"/>
      <c r="C799" s="31"/>
      <c r="D799" s="31"/>
      <c r="E799" s="31"/>
      <c r="F799" s="32"/>
      <c r="G799" s="33"/>
      <c r="H799" s="33"/>
      <c r="I799" s="20" t="str">
        <f t="shared" si="184"/>
        <v/>
      </c>
      <c r="J799" s="21" t="str">
        <f>IFERROR(VLOOKUP(BR799,Pricing!$D$3:$E$58,2,FALSE),"")</f>
        <v/>
      </c>
      <c r="K799" s="32"/>
      <c r="L799" s="32"/>
      <c r="M799" s="32"/>
      <c r="N799" s="36" t="str" cm="1">
        <f t="array" ref="N799">IFERROR(_xlfn.IFS((AND(K799="SI",M799="$")),J799*0.2,AND(K799="SI",M799="%"),20),"")</f>
        <v/>
      </c>
      <c r="O799" s="29" t="str">
        <f t="shared" si="185"/>
        <v/>
      </c>
      <c r="P799" s="21" t="str">
        <f t="shared" si="186"/>
        <v/>
      </c>
      <c r="Q799" s="21" t="str">
        <f t="shared" si="187"/>
        <v/>
      </c>
      <c r="R799" s="21" t="str">
        <f t="shared" si="188"/>
        <v/>
      </c>
      <c r="S799" s="39"/>
      <c r="T799" s="43" t="str">
        <f t="shared" si="196"/>
        <v/>
      </c>
      <c r="U799" s="49" t="str">
        <f t="shared" si="197"/>
        <v/>
      </c>
      <c r="V799" s="48" t="str">
        <f t="shared" si="198"/>
        <v/>
      </c>
      <c r="W799" s="48" t="str">
        <f t="shared" si="189"/>
        <v/>
      </c>
      <c r="X799" s="50" t="str">
        <f>IF(W799="","",SUMIF($B$4:$B$1002,B799,$W$4:$W$1000))</f>
        <v/>
      </c>
      <c r="Y799" s="43" t="str">
        <f t="shared" si="190"/>
        <v/>
      </c>
      <c r="Z799" s="49" t="str">
        <f t="shared" si="191"/>
        <v/>
      </c>
      <c r="AA799" s="48" t="str">
        <f t="shared" si="192"/>
        <v/>
      </c>
      <c r="AB799" s="49" t="str">
        <f t="shared" si="193"/>
        <v/>
      </c>
      <c r="AC799" s="50" t="str">
        <f>IF(AB799="","",SUMIF($B$4:$B$1002,B799,$AB$4:$AB$1000))</f>
        <v/>
      </c>
      <c r="AD799" s="69"/>
      <c r="AE799" s="56"/>
      <c r="AF799" s="52"/>
      <c r="AG799" s="51"/>
      <c r="AH799" s="70"/>
      <c r="AI799" s="58"/>
      <c r="AJ799" s="55"/>
      <c r="AK799" s="51"/>
      <c r="AL799" s="69"/>
      <c r="AM799" s="56"/>
      <c r="AN799" s="52"/>
      <c r="AO799" s="51"/>
      <c r="AP799" s="70"/>
      <c r="AQ799" s="58"/>
      <c r="AR799" s="55"/>
      <c r="AS799" s="51"/>
      <c r="AT799" s="69"/>
      <c r="AU799" s="56"/>
      <c r="AV799" s="52"/>
      <c r="AW799" s="51"/>
      <c r="BR799" s="34" t="str">
        <f>IF(E799="","",CONCATENATE(E799," ",F799," noches"))</f>
        <v/>
      </c>
      <c r="BS799" s="28" t="str">
        <f t="shared" ca="1" si="194"/>
        <v/>
      </c>
      <c r="BT799" s="28" t="str">
        <f t="shared" ca="1" si="195"/>
        <v/>
      </c>
    </row>
    <row r="800" spans="1:72" x14ac:dyDescent="0.2">
      <c r="A800" s="18" t="str" cm="1">
        <f t="array" aca="1" ref="A800" ca="1">IF(B800="","","Grupo N˚"&amp;SUMPRODUCT(($B$4:B800&lt;&gt;"")*($B$4:B800&lt;&gt;OFFSET($B$4,-1,0,ROWS($B$4:B800),1))))</f>
        <v/>
      </c>
      <c r="B800" s="31"/>
      <c r="C800" s="31"/>
      <c r="D800" s="31"/>
      <c r="E800" s="31"/>
      <c r="F800" s="32"/>
      <c r="G800" s="33"/>
      <c r="H800" s="33"/>
      <c r="I800" s="20" t="str">
        <f t="shared" si="184"/>
        <v/>
      </c>
      <c r="J800" s="21" t="str">
        <f>IFERROR(VLOOKUP(BR800,Pricing!$D$3:$E$58,2,FALSE),"")</f>
        <v/>
      </c>
      <c r="K800" s="32"/>
      <c r="L800" s="32"/>
      <c r="M800" s="32"/>
      <c r="N800" s="36" t="str" cm="1">
        <f t="array" ref="N800">IFERROR(_xlfn.IFS((AND(K800="SI",M800="$")),J800*0.2,AND(K800="SI",M800="%"),20),"")</f>
        <v/>
      </c>
      <c r="O800" s="29" t="str">
        <f t="shared" si="185"/>
        <v/>
      </c>
      <c r="P800" s="21" t="str">
        <f t="shared" si="186"/>
        <v/>
      </c>
      <c r="Q800" s="21" t="str">
        <f t="shared" si="187"/>
        <v/>
      </c>
      <c r="R800" s="21" t="str">
        <f t="shared" si="188"/>
        <v/>
      </c>
      <c r="S800" s="39"/>
      <c r="T800" s="43" t="str">
        <f t="shared" si="196"/>
        <v/>
      </c>
      <c r="U800" s="49" t="str">
        <f t="shared" si="197"/>
        <v/>
      </c>
      <c r="V800" s="48" t="str">
        <f t="shared" si="198"/>
        <v/>
      </c>
      <c r="W800" s="48" t="str">
        <f t="shared" si="189"/>
        <v/>
      </c>
      <c r="X800" s="50" t="str">
        <f>IF(W800="","",SUMIF($B$4:$B$1002,B800,$W$4:$W$1000))</f>
        <v/>
      </c>
      <c r="Y800" s="43" t="str">
        <f t="shared" si="190"/>
        <v/>
      </c>
      <c r="Z800" s="49" t="str">
        <f t="shared" si="191"/>
        <v/>
      </c>
      <c r="AA800" s="48" t="str">
        <f t="shared" si="192"/>
        <v/>
      </c>
      <c r="AB800" s="49" t="str">
        <f t="shared" si="193"/>
        <v/>
      </c>
      <c r="AC800" s="50" t="str">
        <f>IF(AB800="","",SUMIF($B$4:$B$1002,B800,$AB$4:$AB$1000))</f>
        <v/>
      </c>
      <c r="AD800" s="69"/>
      <c r="AE800" s="56"/>
      <c r="AF800" s="52"/>
      <c r="AG800" s="51"/>
      <c r="AH800" s="70"/>
      <c r="AI800" s="58"/>
      <c r="AJ800" s="55"/>
      <c r="AK800" s="51"/>
      <c r="AL800" s="69"/>
      <c r="AM800" s="56"/>
      <c r="AN800" s="52"/>
      <c r="AO800" s="51"/>
      <c r="AP800" s="70"/>
      <c r="AQ800" s="58"/>
      <c r="AR800" s="55"/>
      <c r="AS800" s="51"/>
      <c r="AT800" s="69"/>
      <c r="AU800" s="56"/>
      <c r="AV800" s="52"/>
      <c r="AW800" s="51"/>
      <c r="BR800" s="34" t="str">
        <f>IF(E800="","",CONCATENATE(E800," ",F800," noches"))</f>
        <v/>
      </c>
      <c r="BS800" s="28" t="str">
        <f t="shared" ca="1" si="194"/>
        <v/>
      </c>
      <c r="BT800" s="28" t="str">
        <f t="shared" ca="1" si="195"/>
        <v/>
      </c>
    </row>
    <row r="801" spans="1:72" x14ac:dyDescent="0.2">
      <c r="A801" s="18" t="str" cm="1">
        <f t="array" aca="1" ref="A801" ca="1">IF(B801="","","Grupo N˚"&amp;SUMPRODUCT(($B$4:B801&lt;&gt;"")*($B$4:B801&lt;&gt;OFFSET($B$4,-1,0,ROWS($B$4:B801),1))))</f>
        <v/>
      </c>
      <c r="B801" s="31"/>
      <c r="C801" s="31"/>
      <c r="D801" s="31"/>
      <c r="E801" s="31"/>
      <c r="F801" s="32"/>
      <c r="G801" s="33"/>
      <c r="H801" s="33"/>
      <c r="I801" s="20" t="str">
        <f t="shared" si="184"/>
        <v/>
      </c>
      <c r="J801" s="21" t="str">
        <f>IFERROR(VLOOKUP(BR801,Pricing!$D$3:$E$58,2,FALSE),"")</f>
        <v/>
      </c>
      <c r="K801" s="32"/>
      <c r="L801" s="32"/>
      <c r="M801" s="32"/>
      <c r="N801" s="36" t="str" cm="1">
        <f t="array" ref="N801">IFERROR(_xlfn.IFS((AND(K801="SI",M801="$")),J801*0.2,AND(K801="SI",M801="%"),20),"")</f>
        <v/>
      </c>
      <c r="O801" s="29" t="str">
        <f t="shared" si="185"/>
        <v/>
      </c>
      <c r="P801" s="21" t="str">
        <f t="shared" si="186"/>
        <v/>
      </c>
      <c r="Q801" s="21" t="str">
        <f t="shared" si="187"/>
        <v/>
      </c>
      <c r="R801" s="21" t="str">
        <f t="shared" si="188"/>
        <v/>
      </c>
      <c r="S801" s="39"/>
      <c r="T801" s="43" t="str">
        <f t="shared" si="196"/>
        <v/>
      </c>
      <c r="U801" s="49" t="str">
        <f t="shared" si="197"/>
        <v/>
      </c>
      <c r="V801" s="48" t="str">
        <f t="shared" si="198"/>
        <v/>
      </c>
      <c r="W801" s="48" t="str">
        <f t="shared" si="189"/>
        <v/>
      </c>
      <c r="X801" s="50" t="str">
        <f>IF(W801="","",SUMIF($B$4:$B$1002,B801,$W$4:$W$1000))</f>
        <v/>
      </c>
      <c r="Y801" s="43" t="str">
        <f t="shared" si="190"/>
        <v/>
      </c>
      <c r="Z801" s="49" t="str">
        <f t="shared" si="191"/>
        <v/>
      </c>
      <c r="AA801" s="48" t="str">
        <f t="shared" si="192"/>
        <v/>
      </c>
      <c r="AB801" s="49" t="str">
        <f t="shared" si="193"/>
        <v/>
      </c>
      <c r="AC801" s="50" t="str">
        <f>IF(AB801="","",SUMIF($B$4:$B$1002,B801,$AB$4:$AB$1000))</f>
        <v/>
      </c>
      <c r="AD801" s="69"/>
      <c r="AE801" s="56"/>
      <c r="AF801" s="52"/>
      <c r="AG801" s="51"/>
      <c r="AH801" s="70"/>
      <c r="AI801" s="58"/>
      <c r="AJ801" s="55"/>
      <c r="AK801" s="51"/>
      <c r="AL801" s="69"/>
      <c r="AM801" s="56"/>
      <c r="AN801" s="52"/>
      <c r="AO801" s="51"/>
      <c r="AP801" s="70"/>
      <c r="AQ801" s="58"/>
      <c r="AR801" s="55"/>
      <c r="AS801" s="51"/>
      <c r="AT801" s="69"/>
      <c r="AU801" s="56"/>
      <c r="AV801" s="52"/>
      <c r="AW801" s="51"/>
      <c r="BR801" s="34" t="str">
        <f>IF(E801="","",CONCATENATE(E801," ",F801," noches"))</f>
        <v/>
      </c>
      <c r="BS801" s="28" t="str">
        <f t="shared" ca="1" si="194"/>
        <v/>
      </c>
      <c r="BT801" s="28" t="str">
        <f t="shared" ca="1" si="195"/>
        <v/>
      </c>
    </row>
    <row r="802" spans="1:72" x14ac:dyDescent="0.2">
      <c r="A802" s="18" t="str" cm="1">
        <f t="array" aca="1" ref="A802" ca="1">IF(B802="","","Grupo N˚"&amp;SUMPRODUCT(($B$4:B802&lt;&gt;"")*($B$4:B802&lt;&gt;OFFSET($B$4,-1,0,ROWS($B$4:B802),1))))</f>
        <v/>
      </c>
      <c r="B802" s="31"/>
      <c r="C802" s="31"/>
      <c r="D802" s="31"/>
      <c r="E802" s="31"/>
      <c r="F802" s="32"/>
      <c r="G802" s="33"/>
      <c r="H802" s="33"/>
      <c r="I802" s="20" t="str">
        <f t="shared" si="184"/>
        <v/>
      </c>
      <c r="J802" s="21" t="str">
        <f>IFERROR(VLOOKUP(BR802,Pricing!$D$3:$E$58,2,FALSE),"")</f>
        <v/>
      </c>
      <c r="K802" s="32"/>
      <c r="L802" s="32"/>
      <c r="M802" s="32"/>
      <c r="N802" s="36" t="str" cm="1">
        <f t="array" ref="N802">IFERROR(_xlfn.IFS((AND(K802="SI",M802="$")),J802*0.2,AND(K802="SI",M802="%"),20),"")</f>
        <v/>
      </c>
      <c r="O802" s="29" t="str">
        <f t="shared" si="185"/>
        <v/>
      </c>
      <c r="P802" s="21" t="str">
        <f t="shared" si="186"/>
        <v/>
      </c>
      <c r="Q802" s="21" t="str">
        <f t="shared" si="187"/>
        <v/>
      </c>
      <c r="R802" s="21" t="str">
        <f t="shared" si="188"/>
        <v/>
      </c>
      <c r="S802" s="39"/>
      <c r="T802" s="43" t="str">
        <f t="shared" si="196"/>
        <v/>
      </c>
      <c r="U802" s="49" t="str">
        <f t="shared" si="197"/>
        <v/>
      </c>
      <c r="V802" s="48" t="str">
        <f t="shared" si="198"/>
        <v/>
      </c>
      <c r="W802" s="48" t="str">
        <f t="shared" si="189"/>
        <v/>
      </c>
      <c r="X802" s="50" t="str">
        <f>IF(W802="","",SUMIF($B$4:$B$1002,B802,$W$4:$W$1000))</f>
        <v/>
      </c>
      <c r="Y802" s="43" t="str">
        <f t="shared" si="190"/>
        <v/>
      </c>
      <c r="Z802" s="49" t="str">
        <f t="shared" si="191"/>
        <v/>
      </c>
      <c r="AA802" s="48" t="str">
        <f t="shared" si="192"/>
        <v/>
      </c>
      <c r="AB802" s="49" t="str">
        <f t="shared" si="193"/>
        <v/>
      </c>
      <c r="AC802" s="50" t="str">
        <f>IF(AB802="","",SUMIF($B$4:$B$1002,B802,$AB$4:$AB$1000))</f>
        <v/>
      </c>
      <c r="AD802" s="69"/>
      <c r="AE802" s="56"/>
      <c r="AF802" s="52"/>
      <c r="AG802" s="51"/>
      <c r="AH802" s="70"/>
      <c r="AI802" s="58"/>
      <c r="AJ802" s="55"/>
      <c r="AK802" s="51"/>
      <c r="AL802" s="69"/>
      <c r="AM802" s="56"/>
      <c r="AN802" s="52"/>
      <c r="AO802" s="51"/>
      <c r="AP802" s="70"/>
      <c r="AQ802" s="58"/>
      <c r="AR802" s="55"/>
      <c r="AS802" s="51"/>
      <c r="AT802" s="69"/>
      <c r="AU802" s="56"/>
      <c r="AV802" s="52"/>
      <c r="AW802" s="51"/>
      <c r="BR802" s="34" t="str">
        <f>IF(E802="","",CONCATENATE(E802," ",F802," noches"))</f>
        <v/>
      </c>
      <c r="BS802" s="28" t="str">
        <f t="shared" ca="1" si="194"/>
        <v/>
      </c>
      <c r="BT802" s="28" t="str">
        <f t="shared" ca="1" si="195"/>
        <v/>
      </c>
    </row>
    <row r="803" spans="1:72" x14ac:dyDescent="0.2">
      <c r="A803" s="18" t="str" cm="1">
        <f t="array" aca="1" ref="A803" ca="1">IF(B803="","","Grupo N˚"&amp;SUMPRODUCT(($B$4:B803&lt;&gt;"")*($B$4:B803&lt;&gt;OFFSET($B$4,-1,0,ROWS($B$4:B803),1))))</f>
        <v/>
      </c>
      <c r="B803" s="31"/>
      <c r="C803" s="31"/>
      <c r="D803" s="31"/>
      <c r="E803" s="31"/>
      <c r="F803" s="32"/>
      <c r="G803" s="33"/>
      <c r="H803" s="33"/>
      <c r="I803" s="20" t="str">
        <f t="shared" si="184"/>
        <v/>
      </c>
      <c r="J803" s="21" t="str">
        <f>IFERROR(VLOOKUP(BR803,Pricing!$D$3:$E$58,2,FALSE),"")</f>
        <v/>
      </c>
      <c r="K803" s="32"/>
      <c r="L803" s="32"/>
      <c r="M803" s="32"/>
      <c r="N803" s="36" t="str" cm="1">
        <f t="array" ref="N803">IFERROR(_xlfn.IFS((AND(K803="SI",M803="$")),J803*0.2,AND(K803="SI",M803="%"),20),"")</f>
        <v/>
      </c>
      <c r="O803" s="29" t="str">
        <f t="shared" si="185"/>
        <v/>
      </c>
      <c r="P803" s="21" t="str">
        <f t="shared" si="186"/>
        <v/>
      </c>
      <c r="Q803" s="21" t="str">
        <f t="shared" si="187"/>
        <v/>
      </c>
      <c r="R803" s="21" t="str">
        <f t="shared" si="188"/>
        <v/>
      </c>
      <c r="S803" s="39"/>
      <c r="T803" s="43" t="str">
        <f t="shared" si="196"/>
        <v/>
      </c>
      <c r="U803" s="49" t="str">
        <f t="shared" si="197"/>
        <v/>
      </c>
      <c r="V803" s="48" t="str">
        <f t="shared" si="198"/>
        <v/>
      </c>
      <c r="W803" s="48" t="str">
        <f t="shared" si="189"/>
        <v/>
      </c>
      <c r="X803" s="50" t="str">
        <f>IF(W803="","",SUMIF($B$4:$B$1002,B803,$W$4:$W$1000))</f>
        <v/>
      </c>
      <c r="Y803" s="43" t="str">
        <f t="shared" si="190"/>
        <v/>
      </c>
      <c r="Z803" s="49" t="str">
        <f t="shared" si="191"/>
        <v/>
      </c>
      <c r="AA803" s="48" t="str">
        <f t="shared" si="192"/>
        <v/>
      </c>
      <c r="AB803" s="49" t="str">
        <f t="shared" si="193"/>
        <v/>
      </c>
      <c r="AC803" s="50" t="str">
        <f>IF(AB803="","",SUMIF($B$4:$B$1002,B803,$AB$4:$AB$1000))</f>
        <v/>
      </c>
      <c r="AD803" s="69"/>
      <c r="AE803" s="56"/>
      <c r="AF803" s="52"/>
      <c r="AG803" s="51"/>
      <c r="AH803" s="70"/>
      <c r="AI803" s="58"/>
      <c r="AJ803" s="55"/>
      <c r="AK803" s="51"/>
      <c r="AL803" s="69"/>
      <c r="AM803" s="56"/>
      <c r="AN803" s="52"/>
      <c r="AO803" s="51"/>
      <c r="AP803" s="70"/>
      <c r="AQ803" s="58"/>
      <c r="AR803" s="55"/>
      <c r="AS803" s="51"/>
      <c r="AT803" s="69"/>
      <c r="AU803" s="56"/>
      <c r="AV803" s="52"/>
      <c r="AW803" s="51"/>
      <c r="BR803" s="34" t="str">
        <f>IF(E803="","",CONCATENATE(E803," ",F803," noches"))</f>
        <v/>
      </c>
      <c r="BS803" s="28" t="str">
        <f t="shared" ca="1" si="194"/>
        <v/>
      </c>
      <c r="BT803" s="28" t="str">
        <f t="shared" ca="1" si="195"/>
        <v/>
      </c>
    </row>
    <row r="804" spans="1:72" x14ac:dyDescent="0.2">
      <c r="A804" s="18" t="str" cm="1">
        <f t="array" aca="1" ref="A804" ca="1">IF(B804="","","Grupo N˚"&amp;SUMPRODUCT(($B$4:B804&lt;&gt;"")*($B$4:B804&lt;&gt;OFFSET($B$4,-1,0,ROWS($B$4:B804),1))))</f>
        <v/>
      </c>
      <c r="B804" s="31"/>
      <c r="C804" s="31"/>
      <c r="D804" s="31"/>
      <c r="E804" s="31"/>
      <c r="F804" s="32"/>
      <c r="G804" s="33"/>
      <c r="H804" s="33"/>
      <c r="I804" s="20" t="str">
        <f t="shared" si="184"/>
        <v/>
      </c>
      <c r="J804" s="21" t="str">
        <f>IFERROR(VLOOKUP(BR804,Pricing!$D$3:$E$58,2,FALSE),"")</f>
        <v/>
      </c>
      <c r="K804" s="32"/>
      <c r="L804" s="32"/>
      <c r="M804" s="32"/>
      <c r="N804" s="36" t="str" cm="1">
        <f t="array" ref="N804">IFERROR(_xlfn.IFS((AND(K804="SI",M804="$")),J804*0.2,AND(K804="SI",M804="%"),20),"")</f>
        <v/>
      </c>
      <c r="O804" s="29" t="str">
        <f t="shared" si="185"/>
        <v/>
      </c>
      <c r="P804" s="21" t="str">
        <f t="shared" si="186"/>
        <v/>
      </c>
      <c r="Q804" s="21" t="str">
        <f t="shared" si="187"/>
        <v/>
      </c>
      <c r="R804" s="21" t="str">
        <f t="shared" si="188"/>
        <v/>
      </c>
      <c r="S804" s="39"/>
      <c r="T804" s="43" t="str">
        <f t="shared" si="196"/>
        <v/>
      </c>
      <c r="U804" s="49" t="str">
        <f t="shared" si="197"/>
        <v/>
      </c>
      <c r="V804" s="48" t="str">
        <f t="shared" si="198"/>
        <v/>
      </c>
      <c r="W804" s="48" t="str">
        <f t="shared" si="189"/>
        <v/>
      </c>
      <c r="X804" s="50" t="str">
        <f>IF(W804="","",SUMIF($B$4:$B$1002,B804,$W$4:$W$1000))</f>
        <v/>
      </c>
      <c r="Y804" s="43" t="str">
        <f t="shared" si="190"/>
        <v/>
      </c>
      <c r="Z804" s="49" t="str">
        <f t="shared" si="191"/>
        <v/>
      </c>
      <c r="AA804" s="48" t="str">
        <f t="shared" si="192"/>
        <v/>
      </c>
      <c r="AB804" s="49" t="str">
        <f t="shared" si="193"/>
        <v/>
      </c>
      <c r="AC804" s="50" t="str">
        <f>IF(AB804="","",SUMIF($B$4:$B$1002,B804,$AB$4:$AB$1000))</f>
        <v/>
      </c>
      <c r="AD804" s="69"/>
      <c r="AE804" s="56"/>
      <c r="AF804" s="52"/>
      <c r="AG804" s="51"/>
      <c r="AH804" s="70"/>
      <c r="AI804" s="58"/>
      <c r="AJ804" s="55"/>
      <c r="AK804" s="51"/>
      <c r="AL804" s="69"/>
      <c r="AM804" s="56"/>
      <c r="AN804" s="52"/>
      <c r="AO804" s="51"/>
      <c r="AP804" s="70"/>
      <c r="AQ804" s="58"/>
      <c r="AR804" s="55"/>
      <c r="AS804" s="51"/>
      <c r="AT804" s="69"/>
      <c r="AU804" s="56"/>
      <c r="AV804" s="52"/>
      <c r="AW804" s="51"/>
      <c r="BR804" s="34" t="str">
        <f>IF(E804="","",CONCATENATE(E804," ",F804," noches"))</f>
        <v/>
      </c>
      <c r="BS804" s="28" t="str">
        <f t="shared" ca="1" si="194"/>
        <v/>
      </c>
      <c r="BT804" s="28" t="str">
        <f t="shared" ca="1" si="195"/>
        <v/>
      </c>
    </row>
    <row r="805" spans="1:72" x14ac:dyDescent="0.2">
      <c r="A805" s="18" t="str" cm="1">
        <f t="array" aca="1" ref="A805" ca="1">IF(B805="","","Grupo N˚"&amp;SUMPRODUCT(($B$4:B805&lt;&gt;"")*($B$4:B805&lt;&gt;OFFSET($B$4,-1,0,ROWS($B$4:B805),1))))</f>
        <v/>
      </c>
      <c r="B805" s="31"/>
      <c r="C805" s="31"/>
      <c r="D805" s="31"/>
      <c r="E805" s="31"/>
      <c r="F805" s="32"/>
      <c r="G805" s="33"/>
      <c r="H805" s="33"/>
      <c r="I805" s="20" t="str">
        <f t="shared" si="184"/>
        <v/>
      </c>
      <c r="J805" s="21" t="str">
        <f>IFERROR(VLOOKUP(BR805,Pricing!$D$3:$E$58,2,FALSE),"")</f>
        <v/>
      </c>
      <c r="K805" s="32"/>
      <c r="L805" s="32"/>
      <c r="M805" s="32"/>
      <c r="N805" s="36" t="str" cm="1">
        <f t="array" ref="N805">IFERROR(_xlfn.IFS((AND(K805="SI",M805="$")),J805*0.2,AND(K805="SI",M805="%"),20),"")</f>
        <v/>
      </c>
      <c r="O805" s="29" t="str">
        <f t="shared" si="185"/>
        <v/>
      </c>
      <c r="P805" s="21" t="str">
        <f t="shared" si="186"/>
        <v/>
      </c>
      <c r="Q805" s="21" t="str">
        <f t="shared" si="187"/>
        <v/>
      </c>
      <c r="R805" s="21" t="str">
        <f t="shared" si="188"/>
        <v/>
      </c>
      <c r="S805" s="39"/>
      <c r="T805" s="43" t="str">
        <f t="shared" si="196"/>
        <v/>
      </c>
      <c r="U805" s="49" t="str">
        <f t="shared" si="197"/>
        <v/>
      </c>
      <c r="V805" s="48" t="str">
        <f t="shared" si="198"/>
        <v/>
      </c>
      <c r="W805" s="48" t="str">
        <f t="shared" si="189"/>
        <v/>
      </c>
      <c r="X805" s="50" t="str">
        <f>IF(W805="","",SUMIF($B$4:$B$1002,B805,$W$4:$W$1000))</f>
        <v/>
      </c>
      <c r="Y805" s="43" t="str">
        <f t="shared" si="190"/>
        <v/>
      </c>
      <c r="Z805" s="49" t="str">
        <f t="shared" si="191"/>
        <v/>
      </c>
      <c r="AA805" s="48" t="str">
        <f t="shared" si="192"/>
        <v/>
      </c>
      <c r="AB805" s="49" t="str">
        <f t="shared" si="193"/>
        <v/>
      </c>
      <c r="AC805" s="50" t="str">
        <f>IF(AB805="","",SUMIF($B$4:$B$1002,B805,$AB$4:$AB$1000))</f>
        <v/>
      </c>
      <c r="AD805" s="69"/>
      <c r="AE805" s="56"/>
      <c r="AF805" s="52"/>
      <c r="AG805" s="51"/>
      <c r="AH805" s="70"/>
      <c r="AI805" s="58"/>
      <c r="AJ805" s="55"/>
      <c r="AK805" s="51"/>
      <c r="AL805" s="69"/>
      <c r="AM805" s="56"/>
      <c r="AN805" s="52"/>
      <c r="AO805" s="51"/>
      <c r="AP805" s="70"/>
      <c r="AQ805" s="58"/>
      <c r="AR805" s="55"/>
      <c r="AS805" s="51"/>
      <c r="AT805" s="69"/>
      <c r="AU805" s="56"/>
      <c r="AV805" s="52"/>
      <c r="AW805" s="51"/>
      <c r="BR805" s="34" t="str">
        <f>IF(E805="","",CONCATENATE(E805," ",F805," noches"))</f>
        <v/>
      </c>
      <c r="BS805" s="28" t="str">
        <f t="shared" ca="1" si="194"/>
        <v/>
      </c>
      <c r="BT805" s="28" t="str">
        <f t="shared" ca="1" si="195"/>
        <v/>
      </c>
    </row>
    <row r="806" spans="1:72" x14ac:dyDescent="0.2">
      <c r="A806" s="18" t="str" cm="1">
        <f t="array" aca="1" ref="A806" ca="1">IF(B806="","","Grupo N˚"&amp;SUMPRODUCT(($B$4:B806&lt;&gt;"")*($B$4:B806&lt;&gt;OFFSET($B$4,-1,0,ROWS($B$4:B806),1))))</f>
        <v/>
      </c>
      <c r="B806" s="31"/>
      <c r="C806" s="31"/>
      <c r="D806" s="31"/>
      <c r="E806" s="31"/>
      <c r="F806" s="32"/>
      <c r="G806" s="33"/>
      <c r="H806" s="33"/>
      <c r="I806" s="20" t="str">
        <f t="shared" si="184"/>
        <v/>
      </c>
      <c r="J806" s="21" t="str">
        <f>IFERROR(VLOOKUP(BR806,Pricing!$D$3:$E$58,2,FALSE),"")</f>
        <v/>
      </c>
      <c r="K806" s="32"/>
      <c r="L806" s="32"/>
      <c r="M806" s="32"/>
      <c r="N806" s="36" t="str" cm="1">
        <f t="array" ref="N806">IFERROR(_xlfn.IFS((AND(K806="SI",M806="$")),J806*0.2,AND(K806="SI",M806="%"),20),"")</f>
        <v/>
      </c>
      <c r="O806" s="29" t="str">
        <f t="shared" si="185"/>
        <v/>
      </c>
      <c r="P806" s="21" t="str">
        <f t="shared" si="186"/>
        <v/>
      </c>
      <c r="Q806" s="21" t="str">
        <f t="shared" si="187"/>
        <v/>
      </c>
      <c r="R806" s="21" t="str">
        <f t="shared" si="188"/>
        <v/>
      </c>
      <c r="S806" s="39"/>
      <c r="T806" s="43" t="str">
        <f t="shared" si="196"/>
        <v/>
      </c>
      <c r="U806" s="49" t="str">
        <f t="shared" si="197"/>
        <v/>
      </c>
      <c r="V806" s="48" t="str">
        <f t="shared" si="198"/>
        <v/>
      </c>
      <c r="W806" s="48" t="str">
        <f t="shared" si="189"/>
        <v/>
      </c>
      <c r="X806" s="50" t="str">
        <f>IF(W806="","",SUMIF($B$4:$B$1002,B806,$W$4:$W$1000))</f>
        <v/>
      </c>
      <c r="Y806" s="43" t="str">
        <f t="shared" si="190"/>
        <v/>
      </c>
      <c r="Z806" s="49" t="str">
        <f t="shared" si="191"/>
        <v/>
      </c>
      <c r="AA806" s="48" t="str">
        <f t="shared" si="192"/>
        <v/>
      </c>
      <c r="AB806" s="49" t="str">
        <f t="shared" si="193"/>
        <v/>
      </c>
      <c r="AC806" s="50" t="str">
        <f>IF(AB806="","",SUMIF($B$4:$B$1002,B806,$AB$4:$AB$1000))</f>
        <v/>
      </c>
      <c r="AD806" s="69"/>
      <c r="AE806" s="56"/>
      <c r="AF806" s="52"/>
      <c r="AG806" s="51"/>
      <c r="AH806" s="70"/>
      <c r="AI806" s="58"/>
      <c r="AJ806" s="55"/>
      <c r="AK806" s="51"/>
      <c r="AL806" s="69"/>
      <c r="AM806" s="56"/>
      <c r="AN806" s="52"/>
      <c r="AO806" s="51"/>
      <c r="AP806" s="70"/>
      <c r="AQ806" s="58"/>
      <c r="AR806" s="55"/>
      <c r="AS806" s="51"/>
      <c r="AT806" s="69"/>
      <c r="AU806" s="56"/>
      <c r="AV806" s="52"/>
      <c r="AW806" s="51"/>
      <c r="BR806" s="34" t="str">
        <f>IF(E806="","",CONCATENATE(E806," ",F806," noches"))</f>
        <v/>
      </c>
      <c r="BS806" s="28" t="str">
        <f t="shared" ca="1" si="194"/>
        <v/>
      </c>
      <c r="BT806" s="28" t="str">
        <f t="shared" ca="1" si="195"/>
        <v/>
      </c>
    </row>
    <row r="807" spans="1:72" x14ac:dyDescent="0.2">
      <c r="A807" s="18" t="str" cm="1">
        <f t="array" aca="1" ref="A807" ca="1">IF(B807="","","Grupo N˚"&amp;SUMPRODUCT(($B$4:B807&lt;&gt;"")*($B$4:B807&lt;&gt;OFFSET($B$4,-1,0,ROWS($B$4:B807),1))))</f>
        <v/>
      </c>
      <c r="B807" s="31"/>
      <c r="C807" s="31"/>
      <c r="D807" s="31"/>
      <c r="E807" s="31"/>
      <c r="F807" s="32"/>
      <c r="G807" s="33"/>
      <c r="H807" s="33"/>
      <c r="I807" s="20" t="str">
        <f t="shared" si="184"/>
        <v/>
      </c>
      <c r="J807" s="21" t="str">
        <f>IFERROR(VLOOKUP(BR807,Pricing!$D$3:$E$58,2,FALSE),"")</f>
        <v/>
      </c>
      <c r="K807" s="32"/>
      <c r="L807" s="32"/>
      <c r="M807" s="32"/>
      <c r="N807" s="36" t="str" cm="1">
        <f t="array" ref="N807">IFERROR(_xlfn.IFS((AND(K807="SI",M807="$")),J807*0.2,AND(K807="SI",M807="%"),20),"")</f>
        <v/>
      </c>
      <c r="O807" s="29" t="str">
        <f t="shared" si="185"/>
        <v/>
      </c>
      <c r="P807" s="21" t="str">
        <f t="shared" si="186"/>
        <v/>
      </c>
      <c r="Q807" s="21" t="str">
        <f t="shared" si="187"/>
        <v/>
      </c>
      <c r="R807" s="21" t="str">
        <f t="shared" si="188"/>
        <v/>
      </c>
      <c r="S807" s="39"/>
      <c r="T807" s="43" t="str">
        <f t="shared" si="196"/>
        <v/>
      </c>
      <c r="U807" s="49" t="str">
        <f t="shared" si="197"/>
        <v/>
      </c>
      <c r="V807" s="48" t="str">
        <f t="shared" si="198"/>
        <v/>
      </c>
      <c r="W807" s="48" t="str">
        <f t="shared" si="189"/>
        <v/>
      </c>
      <c r="X807" s="50" t="str">
        <f>IF(W807="","",SUMIF($B$4:$B$1002,B807,$W$4:$W$1000))</f>
        <v/>
      </c>
      <c r="Y807" s="43" t="str">
        <f t="shared" si="190"/>
        <v/>
      </c>
      <c r="Z807" s="49" t="str">
        <f t="shared" si="191"/>
        <v/>
      </c>
      <c r="AA807" s="48" t="str">
        <f t="shared" si="192"/>
        <v/>
      </c>
      <c r="AB807" s="49" t="str">
        <f t="shared" si="193"/>
        <v/>
      </c>
      <c r="AC807" s="50" t="str">
        <f>IF(AB807="","",SUMIF($B$4:$B$1002,B807,$AB$4:$AB$1000))</f>
        <v/>
      </c>
      <c r="AD807" s="69"/>
      <c r="AE807" s="56"/>
      <c r="AF807" s="52"/>
      <c r="AG807" s="51"/>
      <c r="AH807" s="70"/>
      <c r="AI807" s="58"/>
      <c r="AJ807" s="55"/>
      <c r="AK807" s="51"/>
      <c r="AL807" s="69"/>
      <c r="AM807" s="56"/>
      <c r="AN807" s="52"/>
      <c r="AO807" s="51"/>
      <c r="AP807" s="70"/>
      <c r="AQ807" s="58"/>
      <c r="AR807" s="55"/>
      <c r="AS807" s="51"/>
      <c r="AT807" s="69"/>
      <c r="AU807" s="56"/>
      <c r="AV807" s="52"/>
      <c r="AW807" s="51"/>
      <c r="BR807" s="34" t="str">
        <f>IF(E807="","",CONCATENATE(E807," ",F807," noches"))</f>
        <v/>
      </c>
      <c r="BS807" s="28" t="str">
        <f t="shared" ca="1" si="194"/>
        <v/>
      </c>
      <c r="BT807" s="28" t="str">
        <f t="shared" ca="1" si="195"/>
        <v/>
      </c>
    </row>
    <row r="808" spans="1:72" x14ac:dyDescent="0.2">
      <c r="A808" s="18" t="str" cm="1">
        <f t="array" aca="1" ref="A808" ca="1">IF(B808="","","Grupo N˚"&amp;SUMPRODUCT(($B$4:B808&lt;&gt;"")*($B$4:B808&lt;&gt;OFFSET($B$4,-1,0,ROWS($B$4:B808),1))))</f>
        <v/>
      </c>
      <c r="B808" s="31"/>
      <c r="C808" s="31"/>
      <c r="D808" s="31"/>
      <c r="E808" s="31"/>
      <c r="F808" s="32"/>
      <c r="G808" s="33"/>
      <c r="H808" s="33"/>
      <c r="I808" s="20" t="str">
        <f t="shared" si="184"/>
        <v/>
      </c>
      <c r="J808" s="21" t="str">
        <f>IFERROR(VLOOKUP(BR808,Pricing!$D$3:$E$58,2,FALSE),"")</f>
        <v/>
      </c>
      <c r="K808" s="32"/>
      <c r="L808" s="32"/>
      <c r="M808" s="32"/>
      <c r="N808" s="36" t="str" cm="1">
        <f t="array" ref="N808">IFERROR(_xlfn.IFS((AND(K808="SI",M808="$")),J808*0.2,AND(K808="SI",M808="%"),20),"")</f>
        <v/>
      </c>
      <c r="O808" s="29" t="str">
        <f t="shared" si="185"/>
        <v/>
      </c>
      <c r="P808" s="21" t="str">
        <f t="shared" si="186"/>
        <v/>
      </c>
      <c r="Q808" s="21" t="str">
        <f t="shared" si="187"/>
        <v/>
      </c>
      <c r="R808" s="21" t="str">
        <f t="shared" si="188"/>
        <v/>
      </c>
      <c r="S808" s="39"/>
      <c r="T808" s="43" t="str">
        <f t="shared" si="196"/>
        <v/>
      </c>
      <c r="U808" s="49" t="str">
        <f t="shared" si="197"/>
        <v/>
      </c>
      <c r="V808" s="48" t="str">
        <f t="shared" si="198"/>
        <v/>
      </c>
      <c r="W808" s="48" t="str">
        <f t="shared" si="189"/>
        <v/>
      </c>
      <c r="X808" s="50" t="str">
        <f>IF(W808="","",SUMIF($B$4:$B$1002,B808,$W$4:$W$1000))</f>
        <v/>
      </c>
      <c r="Y808" s="43" t="str">
        <f t="shared" si="190"/>
        <v/>
      </c>
      <c r="Z808" s="49" t="str">
        <f t="shared" si="191"/>
        <v/>
      </c>
      <c r="AA808" s="48" t="str">
        <f t="shared" si="192"/>
        <v/>
      </c>
      <c r="AB808" s="49" t="str">
        <f t="shared" si="193"/>
        <v/>
      </c>
      <c r="AC808" s="50" t="str">
        <f>IF(AB808="","",SUMIF($B$4:$B$1002,B808,$AB$4:$AB$1000))</f>
        <v/>
      </c>
      <c r="AD808" s="69"/>
      <c r="AE808" s="56"/>
      <c r="AF808" s="52"/>
      <c r="AG808" s="51"/>
      <c r="AH808" s="70"/>
      <c r="AI808" s="58"/>
      <c r="AJ808" s="55"/>
      <c r="AK808" s="51"/>
      <c r="AL808" s="69"/>
      <c r="AM808" s="56"/>
      <c r="AN808" s="52"/>
      <c r="AO808" s="51"/>
      <c r="AP808" s="70"/>
      <c r="AQ808" s="58"/>
      <c r="AR808" s="55"/>
      <c r="AS808" s="51"/>
      <c r="AT808" s="69"/>
      <c r="AU808" s="56"/>
      <c r="AV808" s="52"/>
      <c r="AW808" s="51"/>
      <c r="BR808" s="34" t="str">
        <f>IF(E808="","",CONCATENATE(E808," ",F808," noches"))</f>
        <v/>
      </c>
      <c r="BS808" s="28" t="str">
        <f t="shared" ca="1" si="194"/>
        <v/>
      </c>
      <c r="BT808" s="28" t="str">
        <f t="shared" ca="1" si="195"/>
        <v/>
      </c>
    </row>
    <row r="809" spans="1:72" x14ac:dyDescent="0.2">
      <c r="A809" s="18" t="str" cm="1">
        <f t="array" aca="1" ref="A809" ca="1">IF(B809="","","Grupo N˚"&amp;SUMPRODUCT(($B$4:B809&lt;&gt;"")*($B$4:B809&lt;&gt;OFFSET($B$4,-1,0,ROWS($B$4:B809),1))))</f>
        <v/>
      </c>
      <c r="B809" s="31"/>
      <c r="C809" s="31"/>
      <c r="D809" s="31"/>
      <c r="E809" s="31"/>
      <c r="F809" s="32"/>
      <c r="G809" s="33"/>
      <c r="H809" s="33"/>
      <c r="I809" s="20" t="str">
        <f t="shared" si="184"/>
        <v/>
      </c>
      <c r="J809" s="21" t="str">
        <f>IFERROR(VLOOKUP(BR809,Pricing!$D$3:$E$58,2,FALSE),"")</f>
        <v/>
      </c>
      <c r="K809" s="32"/>
      <c r="L809" s="32"/>
      <c r="M809" s="32"/>
      <c r="N809" s="36" t="str" cm="1">
        <f t="array" ref="N809">IFERROR(_xlfn.IFS((AND(K809="SI",M809="$")),J809*0.2,AND(K809="SI",M809="%"),20),"")</f>
        <v/>
      </c>
      <c r="O809" s="29" t="str">
        <f t="shared" si="185"/>
        <v/>
      </c>
      <c r="P809" s="21" t="str">
        <f t="shared" si="186"/>
        <v/>
      </c>
      <c r="Q809" s="21" t="str">
        <f t="shared" si="187"/>
        <v/>
      </c>
      <c r="R809" s="21" t="str">
        <f t="shared" si="188"/>
        <v/>
      </c>
      <c r="S809" s="39"/>
      <c r="T809" s="43" t="str">
        <f t="shared" si="196"/>
        <v/>
      </c>
      <c r="U809" s="49" t="str">
        <f t="shared" si="197"/>
        <v/>
      </c>
      <c r="V809" s="48" t="str">
        <f t="shared" si="198"/>
        <v/>
      </c>
      <c r="W809" s="48" t="str">
        <f t="shared" si="189"/>
        <v/>
      </c>
      <c r="X809" s="50" t="str">
        <f>IF(W809="","",SUMIF($B$4:$B$1002,B809,$W$4:$W$1000))</f>
        <v/>
      </c>
      <c r="Y809" s="43" t="str">
        <f t="shared" si="190"/>
        <v/>
      </c>
      <c r="Z809" s="49" t="str">
        <f t="shared" si="191"/>
        <v/>
      </c>
      <c r="AA809" s="48" t="str">
        <f t="shared" si="192"/>
        <v/>
      </c>
      <c r="AB809" s="49" t="str">
        <f t="shared" si="193"/>
        <v/>
      </c>
      <c r="AC809" s="50" t="str">
        <f>IF(AB809="","",SUMIF($B$4:$B$1002,B809,$AB$4:$AB$1000))</f>
        <v/>
      </c>
      <c r="AD809" s="69"/>
      <c r="AE809" s="56"/>
      <c r="AF809" s="52"/>
      <c r="AG809" s="51"/>
      <c r="AH809" s="70"/>
      <c r="AI809" s="58"/>
      <c r="AJ809" s="55"/>
      <c r="AK809" s="51"/>
      <c r="AL809" s="69"/>
      <c r="AM809" s="56"/>
      <c r="AN809" s="52"/>
      <c r="AO809" s="51"/>
      <c r="AP809" s="70"/>
      <c r="AQ809" s="58"/>
      <c r="AR809" s="55"/>
      <c r="AS809" s="51"/>
      <c r="AT809" s="69"/>
      <c r="AU809" s="56"/>
      <c r="AV809" s="52"/>
      <c r="AW809" s="51"/>
      <c r="BR809" s="34" t="str">
        <f>IF(E809="","",CONCATENATE(E809," ",F809," noches"))</f>
        <v/>
      </c>
      <c r="BS809" s="28" t="str">
        <f t="shared" ca="1" si="194"/>
        <v/>
      </c>
      <c r="BT809" s="28" t="str">
        <f t="shared" ca="1" si="195"/>
        <v/>
      </c>
    </row>
    <row r="810" spans="1:72" x14ac:dyDescent="0.2">
      <c r="A810" s="18" t="str" cm="1">
        <f t="array" aca="1" ref="A810" ca="1">IF(B810="","","Grupo N˚"&amp;SUMPRODUCT(($B$4:B810&lt;&gt;"")*($B$4:B810&lt;&gt;OFFSET($B$4,-1,0,ROWS($B$4:B810),1))))</f>
        <v/>
      </c>
      <c r="B810" s="31"/>
      <c r="C810" s="31"/>
      <c r="D810" s="31"/>
      <c r="E810" s="31"/>
      <c r="F810" s="32"/>
      <c r="G810" s="33"/>
      <c r="H810" s="33"/>
      <c r="I810" s="20" t="str">
        <f t="shared" si="184"/>
        <v/>
      </c>
      <c r="J810" s="21" t="str">
        <f>IFERROR(VLOOKUP(BR810,Pricing!$D$3:$E$58,2,FALSE),"")</f>
        <v/>
      </c>
      <c r="K810" s="32"/>
      <c r="L810" s="32"/>
      <c r="M810" s="32"/>
      <c r="N810" s="36" t="str" cm="1">
        <f t="array" ref="N810">IFERROR(_xlfn.IFS((AND(K810="SI",M810="$")),J810*0.2,AND(K810="SI",M810="%"),20),"")</f>
        <v/>
      </c>
      <c r="O810" s="29" t="str">
        <f t="shared" si="185"/>
        <v/>
      </c>
      <c r="P810" s="21" t="str">
        <f t="shared" si="186"/>
        <v/>
      </c>
      <c r="Q810" s="21" t="str">
        <f t="shared" si="187"/>
        <v/>
      </c>
      <c r="R810" s="21" t="str">
        <f t="shared" si="188"/>
        <v/>
      </c>
      <c r="S810" s="39"/>
      <c r="T810" s="43" t="str">
        <f t="shared" si="196"/>
        <v/>
      </c>
      <c r="U810" s="49" t="str">
        <f t="shared" si="197"/>
        <v/>
      </c>
      <c r="V810" s="48" t="str">
        <f t="shared" si="198"/>
        <v/>
      </c>
      <c r="W810" s="48" t="str">
        <f t="shared" si="189"/>
        <v/>
      </c>
      <c r="X810" s="50" t="str">
        <f>IF(W810="","",SUMIF($B$4:$B$1002,B810,$W$4:$W$1000))</f>
        <v/>
      </c>
      <c r="Y810" s="43" t="str">
        <f t="shared" si="190"/>
        <v/>
      </c>
      <c r="Z810" s="49" t="str">
        <f t="shared" si="191"/>
        <v/>
      </c>
      <c r="AA810" s="48" t="str">
        <f t="shared" si="192"/>
        <v/>
      </c>
      <c r="AB810" s="49" t="str">
        <f t="shared" si="193"/>
        <v/>
      </c>
      <c r="AC810" s="50" t="str">
        <f>IF(AB810="","",SUMIF($B$4:$B$1002,B810,$AB$4:$AB$1000))</f>
        <v/>
      </c>
      <c r="AD810" s="69"/>
      <c r="AE810" s="56"/>
      <c r="AF810" s="52"/>
      <c r="AG810" s="51"/>
      <c r="AH810" s="70"/>
      <c r="AI810" s="58"/>
      <c r="AJ810" s="55"/>
      <c r="AK810" s="51"/>
      <c r="AL810" s="69"/>
      <c r="AM810" s="56"/>
      <c r="AN810" s="52"/>
      <c r="AO810" s="51"/>
      <c r="AP810" s="70"/>
      <c r="AQ810" s="58"/>
      <c r="AR810" s="55"/>
      <c r="AS810" s="51"/>
      <c r="AT810" s="69"/>
      <c r="AU810" s="56"/>
      <c r="AV810" s="52"/>
      <c r="AW810" s="51"/>
      <c r="BR810" s="34" t="str">
        <f>IF(E810="","",CONCATENATE(E810," ",F810," noches"))</f>
        <v/>
      </c>
      <c r="BS810" s="28" t="str">
        <f t="shared" ca="1" si="194"/>
        <v/>
      </c>
      <c r="BT810" s="28" t="str">
        <f t="shared" ca="1" si="195"/>
        <v/>
      </c>
    </row>
    <row r="811" spans="1:72" x14ac:dyDescent="0.2">
      <c r="A811" s="18" t="str" cm="1">
        <f t="array" aca="1" ref="A811" ca="1">IF(B811="","","Grupo N˚"&amp;SUMPRODUCT(($B$4:B811&lt;&gt;"")*($B$4:B811&lt;&gt;OFFSET($B$4,-1,0,ROWS($B$4:B811),1))))</f>
        <v/>
      </c>
      <c r="B811" s="31"/>
      <c r="C811" s="31"/>
      <c r="D811" s="31"/>
      <c r="E811" s="31"/>
      <c r="F811" s="32"/>
      <c r="G811" s="33"/>
      <c r="H811" s="33"/>
      <c r="I811" s="20" t="str">
        <f t="shared" si="184"/>
        <v/>
      </c>
      <c r="J811" s="21" t="str">
        <f>IFERROR(VLOOKUP(BR811,Pricing!$D$3:$E$58,2,FALSE),"")</f>
        <v/>
      </c>
      <c r="K811" s="32"/>
      <c r="L811" s="32"/>
      <c r="M811" s="32"/>
      <c r="N811" s="36" t="str" cm="1">
        <f t="array" ref="N811">IFERROR(_xlfn.IFS((AND(K811="SI",M811="$")),J811*0.2,AND(K811="SI",M811="%"),20),"")</f>
        <v/>
      </c>
      <c r="O811" s="29" t="str">
        <f t="shared" si="185"/>
        <v/>
      </c>
      <c r="P811" s="21" t="str">
        <f t="shared" si="186"/>
        <v/>
      </c>
      <c r="Q811" s="21" t="str">
        <f t="shared" si="187"/>
        <v/>
      </c>
      <c r="R811" s="21" t="str">
        <f t="shared" si="188"/>
        <v/>
      </c>
      <c r="S811" s="39"/>
      <c r="T811" s="43" t="str">
        <f t="shared" si="196"/>
        <v/>
      </c>
      <c r="U811" s="49" t="str">
        <f t="shared" si="197"/>
        <v/>
      </c>
      <c r="V811" s="48" t="str">
        <f t="shared" si="198"/>
        <v/>
      </c>
      <c r="W811" s="48" t="str">
        <f t="shared" si="189"/>
        <v/>
      </c>
      <c r="X811" s="50" t="str">
        <f>IF(W811="","",SUMIF($B$4:$B$1002,B811,$W$4:$W$1000))</f>
        <v/>
      </c>
      <c r="Y811" s="43" t="str">
        <f t="shared" si="190"/>
        <v/>
      </c>
      <c r="Z811" s="49" t="str">
        <f t="shared" si="191"/>
        <v/>
      </c>
      <c r="AA811" s="48" t="str">
        <f t="shared" si="192"/>
        <v/>
      </c>
      <c r="AB811" s="49" t="str">
        <f t="shared" si="193"/>
        <v/>
      </c>
      <c r="AC811" s="50" t="str">
        <f>IF(AB811="","",SUMIF($B$4:$B$1002,B811,$AB$4:$AB$1000))</f>
        <v/>
      </c>
      <c r="AD811" s="69"/>
      <c r="AE811" s="56"/>
      <c r="AF811" s="52"/>
      <c r="AG811" s="51"/>
      <c r="AH811" s="70"/>
      <c r="AI811" s="58"/>
      <c r="AJ811" s="55"/>
      <c r="AK811" s="51"/>
      <c r="AL811" s="69"/>
      <c r="AM811" s="56"/>
      <c r="AN811" s="52"/>
      <c r="AO811" s="51"/>
      <c r="AP811" s="70"/>
      <c r="AQ811" s="58"/>
      <c r="AR811" s="55"/>
      <c r="AS811" s="51"/>
      <c r="AT811" s="69"/>
      <c r="AU811" s="56"/>
      <c r="AV811" s="52"/>
      <c r="AW811" s="51"/>
      <c r="BR811" s="34" t="str">
        <f>IF(E811="","",CONCATENATE(E811," ",F811," noches"))</f>
        <v/>
      </c>
      <c r="BS811" s="28" t="str">
        <f t="shared" ca="1" si="194"/>
        <v/>
      </c>
      <c r="BT811" s="28" t="str">
        <f t="shared" ca="1" si="195"/>
        <v/>
      </c>
    </row>
    <row r="812" spans="1:72" x14ac:dyDescent="0.2">
      <c r="A812" s="18" t="str" cm="1">
        <f t="array" aca="1" ref="A812" ca="1">IF(B812="","","Grupo N˚"&amp;SUMPRODUCT(($B$4:B812&lt;&gt;"")*($B$4:B812&lt;&gt;OFFSET($B$4,-1,0,ROWS($B$4:B812),1))))</f>
        <v/>
      </c>
      <c r="B812" s="31"/>
      <c r="C812" s="31"/>
      <c r="D812" s="31"/>
      <c r="E812" s="31"/>
      <c r="F812" s="32"/>
      <c r="G812" s="33"/>
      <c r="H812" s="33"/>
      <c r="I812" s="20" t="str">
        <f t="shared" si="184"/>
        <v/>
      </c>
      <c r="J812" s="21" t="str">
        <f>IFERROR(VLOOKUP(BR812,Pricing!$D$3:$E$58,2,FALSE),"")</f>
        <v/>
      </c>
      <c r="K812" s="32"/>
      <c r="L812" s="32"/>
      <c r="M812" s="32"/>
      <c r="N812" s="36" t="str" cm="1">
        <f t="array" ref="N812">IFERROR(_xlfn.IFS((AND(K812="SI",M812="$")),J812*0.2,AND(K812="SI",M812="%"),20),"")</f>
        <v/>
      </c>
      <c r="O812" s="29" t="str">
        <f t="shared" si="185"/>
        <v/>
      </c>
      <c r="P812" s="21" t="str">
        <f t="shared" si="186"/>
        <v/>
      </c>
      <c r="Q812" s="21" t="str">
        <f t="shared" si="187"/>
        <v/>
      </c>
      <c r="R812" s="21" t="str">
        <f t="shared" si="188"/>
        <v/>
      </c>
      <c r="S812" s="39"/>
      <c r="T812" s="43" t="str">
        <f t="shared" si="196"/>
        <v/>
      </c>
      <c r="U812" s="49" t="str">
        <f t="shared" si="197"/>
        <v/>
      </c>
      <c r="V812" s="48" t="str">
        <f t="shared" si="198"/>
        <v/>
      </c>
      <c r="W812" s="48" t="str">
        <f t="shared" si="189"/>
        <v/>
      </c>
      <c r="X812" s="50" t="str">
        <f>IF(W812="","",SUMIF($B$4:$B$1002,B812,$W$4:$W$1000))</f>
        <v/>
      </c>
      <c r="Y812" s="43" t="str">
        <f t="shared" si="190"/>
        <v/>
      </c>
      <c r="Z812" s="49" t="str">
        <f t="shared" si="191"/>
        <v/>
      </c>
      <c r="AA812" s="48" t="str">
        <f t="shared" si="192"/>
        <v/>
      </c>
      <c r="AB812" s="49" t="str">
        <f t="shared" si="193"/>
        <v/>
      </c>
      <c r="AC812" s="50" t="str">
        <f>IF(AB812="","",SUMIF($B$4:$B$1002,B812,$AB$4:$AB$1000))</f>
        <v/>
      </c>
      <c r="AD812" s="69"/>
      <c r="AE812" s="56"/>
      <c r="AF812" s="52"/>
      <c r="AG812" s="51"/>
      <c r="AH812" s="70"/>
      <c r="AI812" s="58"/>
      <c r="AJ812" s="55"/>
      <c r="AK812" s="51"/>
      <c r="AL812" s="69"/>
      <c r="AM812" s="56"/>
      <c r="AN812" s="52"/>
      <c r="AO812" s="51"/>
      <c r="AP812" s="70"/>
      <c r="AQ812" s="58"/>
      <c r="AR812" s="55"/>
      <c r="AS812" s="51"/>
      <c r="AT812" s="69"/>
      <c r="AU812" s="56"/>
      <c r="AV812" s="52"/>
      <c r="AW812" s="51"/>
      <c r="BR812" s="34" t="str">
        <f>IF(E812="","",CONCATENATE(E812," ",F812," noches"))</f>
        <v/>
      </c>
      <c r="BS812" s="28" t="str">
        <f t="shared" ca="1" si="194"/>
        <v/>
      </c>
      <c r="BT812" s="28" t="str">
        <f t="shared" ca="1" si="195"/>
        <v/>
      </c>
    </row>
    <row r="813" spans="1:72" x14ac:dyDescent="0.2">
      <c r="A813" s="18" t="str" cm="1">
        <f t="array" aca="1" ref="A813" ca="1">IF(B813="","","Grupo N˚"&amp;SUMPRODUCT(($B$4:B813&lt;&gt;"")*($B$4:B813&lt;&gt;OFFSET($B$4,-1,0,ROWS($B$4:B813),1))))</f>
        <v/>
      </c>
      <c r="B813" s="31"/>
      <c r="C813" s="31"/>
      <c r="D813" s="31"/>
      <c r="E813" s="31"/>
      <c r="F813" s="32"/>
      <c r="G813" s="33"/>
      <c r="H813" s="33"/>
      <c r="I813" s="20" t="str">
        <f t="shared" si="184"/>
        <v/>
      </c>
      <c r="J813" s="21" t="str">
        <f>IFERROR(VLOOKUP(BR813,Pricing!$D$3:$E$58,2,FALSE),"")</f>
        <v/>
      </c>
      <c r="K813" s="32"/>
      <c r="L813" s="32"/>
      <c r="M813" s="32"/>
      <c r="N813" s="36" t="str" cm="1">
        <f t="array" ref="N813">IFERROR(_xlfn.IFS((AND(K813="SI",M813="$")),J813*0.2,AND(K813="SI",M813="%"),20),"")</f>
        <v/>
      </c>
      <c r="O813" s="29" t="str">
        <f t="shared" si="185"/>
        <v/>
      </c>
      <c r="P813" s="21" t="str">
        <f t="shared" si="186"/>
        <v/>
      </c>
      <c r="Q813" s="21" t="str">
        <f t="shared" si="187"/>
        <v/>
      </c>
      <c r="R813" s="21" t="str">
        <f t="shared" si="188"/>
        <v/>
      </c>
      <c r="S813" s="39"/>
      <c r="T813" s="43" t="str">
        <f t="shared" si="196"/>
        <v/>
      </c>
      <c r="U813" s="49" t="str">
        <f t="shared" si="197"/>
        <v/>
      </c>
      <c r="V813" s="48" t="str">
        <f t="shared" si="198"/>
        <v/>
      </c>
      <c r="W813" s="48" t="str">
        <f t="shared" si="189"/>
        <v/>
      </c>
      <c r="X813" s="50" t="str">
        <f>IF(W813="","",SUMIF($B$4:$B$1002,B813,$W$4:$W$1000))</f>
        <v/>
      </c>
      <c r="Y813" s="43" t="str">
        <f t="shared" si="190"/>
        <v/>
      </c>
      <c r="Z813" s="49" t="str">
        <f t="shared" si="191"/>
        <v/>
      </c>
      <c r="AA813" s="48" t="str">
        <f t="shared" si="192"/>
        <v/>
      </c>
      <c r="AB813" s="49" t="str">
        <f t="shared" si="193"/>
        <v/>
      </c>
      <c r="AC813" s="50" t="str">
        <f>IF(AB813="","",SUMIF($B$4:$B$1002,B813,$AB$4:$AB$1000))</f>
        <v/>
      </c>
      <c r="AD813" s="69"/>
      <c r="AE813" s="56"/>
      <c r="AF813" s="52"/>
      <c r="AG813" s="51"/>
      <c r="AH813" s="70"/>
      <c r="AI813" s="58"/>
      <c r="AJ813" s="55"/>
      <c r="AK813" s="51"/>
      <c r="AL813" s="69"/>
      <c r="AM813" s="56"/>
      <c r="AN813" s="52"/>
      <c r="AO813" s="51"/>
      <c r="AP813" s="70"/>
      <c r="AQ813" s="58"/>
      <c r="AR813" s="55"/>
      <c r="AS813" s="51"/>
      <c r="AT813" s="69"/>
      <c r="AU813" s="56"/>
      <c r="AV813" s="52"/>
      <c r="AW813" s="51"/>
      <c r="BR813" s="34" t="str">
        <f>IF(E813="","",CONCATENATE(E813," ",F813," noches"))</f>
        <v/>
      </c>
      <c r="BS813" s="28" t="str">
        <f t="shared" ca="1" si="194"/>
        <v/>
      </c>
      <c r="BT813" s="28" t="str">
        <f t="shared" ca="1" si="195"/>
        <v/>
      </c>
    </row>
    <row r="814" spans="1:72" x14ac:dyDescent="0.2">
      <c r="A814" s="18" t="str" cm="1">
        <f t="array" aca="1" ref="A814" ca="1">IF(B814="","","Grupo N˚"&amp;SUMPRODUCT(($B$4:B814&lt;&gt;"")*($B$4:B814&lt;&gt;OFFSET($B$4,-1,0,ROWS($B$4:B814),1))))</f>
        <v/>
      </c>
      <c r="B814" s="31"/>
      <c r="C814" s="31"/>
      <c r="D814" s="31"/>
      <c r="E814" s="31"/>
      <c r="F814" s="32"/>
      <c r="G814" s="33"/>
      <c r="H814" s="33"/>
      <c r="I814" s="20" t="str">
        <f t="shared" si="184"/>
        <v/>
      </c>
      <c r="J814" s="21" t="str">
        <f>IFERROR(VLOOKUP(BR814,Pricing!$D$3:$E$58,2,FALSE),"")</f>
        <v/>
      </c>
      <c r="K814" s="32"/>
      <c r="L814" s="32"/>
      <c r="M814" s="32"/>
      <c r="N814" s="36" t="str" cm="1">
        <f t="array" ref="N814">IFERROR(_xlfn.IFS((AND(K814="SI",M814="$")),J814*0.2,AND(K814="SI",M814="%"),20),"")</f>
        <v/>
      </c>
      <c r="O814" s="29" t="str">
        <f t="shared" si="185"/>
        <v/>
      </c>
      <c r="P814" s="21" t="str">
        <f t="shared" si="186"/>
        <v/>
      </c>
      <c r="Q814" s="21" t="str">
        <f t="shared" si="187"/>
        <v/>
      </c>
      <c r="R814" s="21" t="str">
        <f t="shared" si="188"/>
        <v/>
      </c>
      <c r="S814" s="39"/>
      <c r="T814" s="43" t="str">
        <f t="shared" si="196"/>
        <v/>
      </c>
      <c r="U814" s="49" t="str">
        <f t="shared" si="197"/>
        <v/>
      </c>
      <c r="V814" s="48" t="str">
        <f t="shared" si="198"/>
        <v/>
      </c>
      <c r="W814" s="48" t="str">
        <f t="shared" si="189"/>
        <v/>
      </c>
      <c r="X814" s="50" t="str">
        <f>IF(W814="","",SUMIF($B$4:$B$1002,B814,$W$4:$W$1000))</f>
        <v/>
      </c>
      <c r="Y814" s="43" t="str">
        <f t="shared" si="190"/>
        <v/>
      </c>
      <c r="Z814" s="49" t="str">
        <f t="shared" si="191"/>
        <v/>
      </c>
      <c r="AA814" s="48" t="str">
        <f t="shared" si="192"/>
        <v/>
      </c>
      <c r="AB814" s="49" t="str">
        <f t="shared" si="193"/>
        <v/>
      </c>
      <c r="AC814" s="50" t="str">
        <f>IF(AB814="","",SUMIF($B$4:$B$1002,B814,$AB$4:$AB$1000))</f>
        <v/>
      </c>
      <c r="AD814" s="69"/>
      <c r="AE814" s="56"/>
      <c r="AF814" s="52"/>
      <c r="AG814" s="51"/>
      <c r="AH814" s="70"/>
      <c r="AI814" s="58"/>
      <c r="AJ814" s="55"/>
      <c r="AK814" s="51"/>
      <c r="AL814" s="69"/>
      <c r="AM814" s="56"/>
      <c r="AN814" s="52"/>
      <c r="AO814" s="51"/>
      <c r="AP814" s="70"/>
      <c r="AQ814" s="58"/>
      <c r="AR814" s="55"/>
      <c r="AS814" s="51"/>
      <c r="AT814" s="69"/>
      <c r="AU814" s="56"/>
      <c r="AV814" s="52"/>
      <c r="AW814" s="51"/>
      <c r="BR814" s="34" t="str">
        <f>IF(E814="","",CONCATENATE(E814," ",F814," noches"))</f>
        <v/>
      </c>
      <c r="BS814" s="28" t="str">
        <f t="shared" ca="1" si="194"/>
        <v/>
      </c>
      <c r="BT814" s="28" t="str">
        <f t="shared" ca="1" si="195"/>
        <v/>
      </c>
    </row>
    <row r="815" spans="1:72" x14ac:dyDescent="0.2">
      <c r="A815" s="18" t="str" cm="1">
        <f t="array" aca="1" ref="A815" ca="1">IF(B815="","","Grupo N˚"&amp;SUMPRODUCT(($B$4:B815&lt;&gt;"")*($B$4:B815&lt;&gt;OFFSET($B$4,-1,0,ROWS($B$4:B815),1))))</f>
        <v/>
      </c>
      <c r="B815" s="31"/>
      <c r="C815" s="31"/>
      <c r="D815" s="31"/>
      <c r="E815" s="31"/>
      <c r="F815" s="32"/>
      <c r="G815" s="33"/>
      <c r="H815" s="33"/>
      <c r="I815" s="20" t="str">
        <f t="shared" si="184"/>
        <v/>
      </c>
      <c r="J815" s="21" t="str">
        <f>IFERROR(VLOOKUP(BR815,Pricing!$D$3:$E$58,2,FALSE),"")</f>
        <v/>
      </c>
      <c r="K815" s="32"/>
      <c r="L815" s="32"/>
      <c r="M815" s="32"/>
      <c r="N815" s="36" t="str" cm="1">
        <f t="array" ref="N815">IFERROR(_xlfn.IFS((AND(K815="SI",M815="$")),J815*0.2,AND(K815="SI",M815="%"),20),"")</f>
        <v/>
      </c>
      <c r="O815" s="29" t="str">
        <f t="shared" si="185"/>
        <v/>
      </c>
      <c r="P815" s="21" t="str">
        <f t="shared" si="186"/>
        <v/>
      </c>
      <c r="Q815" s="21" t="str">
        <f t="shared" si="187"/>
        <v/>
      </c>
      <c r="R815" s="21" t="str">
        <f t="shared" si="188"/>
        <v/>
      </c>
      <c r="S815" s="39"/>
      <c r="T815" s="43" t="str">
        <f t="shared" si="196"/>
        <v/>
      </c>
      <c r="U815" s="49" t="str">
        <f t="shared" si="197"/>
        <v/>
      </c>
      <c r="V815" s="48" t="str">
        <f t="shared" si="198"/>
        <v/>
      </c>
      <c r="W815" s="48" t="str">
        <f t="shared" si="189"/>
        <v/>
      </c>
      <c r="X815" s="50" t="str">
        <f>IF(W815="","",SUMIF($B$4:$B$1002,B815,$W$4:$W$1000))</f>
        <v/>
      </c>
      <c r="Y815" s="43" t="str">
        <f t="shared" si="190"/>
        <v/>
      </c>
      <c r="Z815" s="49" t="str">
        <f t="shared" si="191"/>
        <v/>
      </c>
      <c r="AA815" s="48" t="str">
        <f t="shared" si="192"/>
        <v/>
      </c>
      <c r="AB815" s="49" t="str">
        <f t="shared" si="193"/>
        <v/>
      </c>
      <c r="AC815" s="50" t="str">
        <f>IF(AB815="","",SUMIF($B$4:$B$1002,B815,$AB$4:$AB$1000))</f>
        <v/>
      </c>
      <c r="AD815" s="69"/>
      <c r="AE815" s="56"/>
      <c r="AF815" s="52"/>
      <c r="AG815" s="51"/>
      <c r="AH815" s="70"/>
      <c r="AI815" s="58"/>
      <c r="AJ815" s="55"/>
      <c r="AK815" s="51"/>
      <c r="AL815" s="69"/>
      <c r="AM815" s="56"/>
      <c r="AN815" s="52"/>
      <c r="AO815" s="51"/>
      <c r="AP815" s="70"/>
      <c r="AQ815" s="58"/>
      <c r="AR815" s="55"/>
      <c r="AS815" s="51"/>
      <c r="AT815" s="69"/>
      <c r="AU815" s="56"/>
      <c r="AV815" s="52"/>
      <c r="AW815" s="51"/>
      <c r="BR815" s="34" t="str">
        <f>IF(E815="","",CONCATENATE(E815," ",F815," noches"))</f>
        <v/>
      </c>
      <c r="BS815" s="28" t="str">
        <f t="shared" ca="1" si="194"/>
        <v/>
      </c>
      <c r="BT815" s="28" t="str">
        <f t="shared" ca="1" si="195"/>
        <v/>
      </c>
    </row>
    <row r="816" spans="1:72" x14ac:dyDescent="0.2">
      <c r="A816" s="18" t="str" cm="1">
        <f t="array" aca="1" ref="A816" ca="1">IF(B816="","","Grupo N˚"&amp;SUMPRODUCT(($B$4:B816&lt;&gt;"")*($B$4:B816&lt;&gt;OFFSET($B$4,-1,0,ROWS($B$4:B816),1))))</f>
        <v/>
      </c>
      <c r="B816" s="31"/>
      <c r="C816" s="31"/>
      <c r="D816" s="31"/>
      <c r="E816" s="31"/>
      <c r="F816" s="32"/>
      <c r="G816" s="33"/>
      <c r="H816" s="33"/>
      <c r="I816" s="20" t="str">
        <f t="shared" si="184"/>
        <v/>
      </c>
      <c r="J816" s="21" t="str">
        <f>IFERROR(VLOOKUP(BR816,Pricing!$D$3:$E$58,2,FALSE),"")</f>
        <v/>
      </c>
      <c r="K816" s="32"/>
      <c r="L816" s="32"/>
      <c r="M816" s="32"/>
      <c r="N816" s="36" t="str" cm="1">
        <f t="array" ref="N816">IFERROR(_xlfn.IFS((AND(K816="SI",M816="$")),J816*0.2,AND(K816="SI",M816="%"),20),"")</f>
        <v/>
      </c>
      <c r="O816" s="29" t="str">
        <f t="shared" si="185"/>
        <v/>
      </c>
      <c r="P816" s="21" t="str">
        <f t="shared" si="186"/>
        <v/>
      </c>
      <c r="Q816" s="21" t="str">
        <f t="shared" si="187"/>
        <v/>
      </c>
      <c r="R816" s="21" t="str">
        <f t="shared" si="188"/>
        <v/>
      </c>
      <c r="S816" s="39"/>
      <c r="T816" s="43" t="str">
        <f t="shared" si="196"/>
        <v/>
      </c>
      <c r="U816" s="49" t="str">
        <f t="shared" si="197"/>
        <v/>
      </c>
      <c r="V816" s="48" t="str">
        <f t="shared" si="198"/>
        <v/>
      </c>
      <c r="W816" s="48" t="str">
        <f t="shared" si="189"/>
        <v/>
      </c>
      <c r="X816" s="50" t="str">
        <f>IF(W816="","",SUMIF($B$4:$B$1002,B816,$W$4:$W$1000))</f>
        <v/>
      </c>
      <c r="Y816" s="43" t="str">
        <f t="shared" si="190"/>
        <v/>
      </c>
      <c r="Z816" s="49" t="str">
        <f t="shared" si="191"/>
        <v/>
      </c>
      <c r="AA816" s="48" t="str">
        <f t="shared" si="192"/>
        <v/>
      </c>
      <c r="AB816" s="49" t="str">
        <f t="shared" si="193"/>
        <v/>
      </c>
      <c r="AC816" s="50" t="str">
        <f>IF(AB816="","",SUMIF($B$4:$B$1002,B816,$AB$4:$AB$1000))</f>
        <v/>
      </c>
      <c r="AD816" s="69"/>
      <c r="AE816" s="56"/>
      <c r="AF816" s="52"/>
      <c r="AG816" s="51"/>
      <c r="AH816" s="70"/>
      <c r="AI816" s="58"/>
      <c r="AJ816" s="55"/>
      <c r="AK816" s="51"/>
      <c r="AL816" s="69"/>
      <c r="AM816" s="56"/>
      <c r="AN816" s="52"/>
      <c r="AO816" s="51"/>
      <c r="AP816" s="70"/>
      <c r="AQ816" s="58"/>
      <c r="AR816" s="55"/>
      <c r="AS816" s="51"/>
      <c r="AT816" s="69"/>
      <c r="AU816" s="56"/>
      <c r="AV816" s="52"/>
      <c r="AW816" s="51"/>
      <c r="BR816" s="34" t="str">
        <f>IF(E816="","",CONCATENATE(E816," ",F816," noches"))</f>
        <v/>
      </c>
      <c r="BS816" s="28" t="str">
        <f t="shared" ca="1" si="194"/>
        <v/>
      </c>
      <c r="BT816" s="28" t="str">
        <f t="shared" ca="1" si="195"/>
        <v/>
      </c>
    </row>
    <row r="817" spans="1:72" x14ac:dyDescent="0.2">
      <c r="A817" s="18" t="str" cm="1">
        <f t="array" aca="1" ref="A817" ca="1">IF(B817="","","Grupo N˚"&amp;SUMPRODUCT(($B$4:B817&lt;&gt;"")*($B$4:B817&lt;&gt;OFFSET($B$4,-1,0,ROWS($B$4:B817),1))))</f>
        <v/>
      </c>
      <c r="B817" s="31"/>
      <c r="C817" s="31"/>
      <c r="D817" s="31"/>
      <c r="E817" s="31"/>
      <c r="F817" s="32"/>
      <c r="G817" s="33"/>
      <c r="H817" s="33"/>
      <c r="I817" s="20" t="str">
        <f t="shared" si="184"/>
        <v/>
      </c>
      <c r="J817" s="21" t="str">
        <f>IFERROR(VLOOKUP(BR817,Pricing!$D$3:$E$58,2,FALSE),"")</f>
        <v/>
      </c>
      <c r="K817" s="32"/>
      <c r="L817" s="32"/>
      <c r="M817" s="32"/>
      <c r="N817" s="36" t="str" cm="1">
        <f t="array" ref="N817">IFERROR(_xlfn.IFS((AND(K817="SI",M817="$")),J817*0.2,AND(K817="SI",M817="%"),20),"")</f>
        <v/>
      </c>
      <c r="O817" s="29" t="str">
        <f t="shared" si="185"/>
        <v/>
      </c>
      <c r="P817" s="21" t="str">
        <f t="shared" si="186"/>
        <v/>
      </c>
      <c r="Q817" s="21" t="str">
        <f t="shared" si="187"/>
        <v/>
      </c>
      <c r="R817" s="21" t="str">
        <f t="shared" si="188"/>
        <v/>
      </c>
      <c r="S817" s="39"/>
      <c r="T817" s="43" t="str">
        <f t="shared" si="196"/>
        <v/>
      </c>
      <c r="U817" s="49" t="str">
        <f t="shared" si="197"/>
        <v/>
      </c>
      <c r="V817" s="48" t="str">
        <f t="shared" si="198"/>
        <v/>
      </c>
      <c r="W817" s="48" t="str">
        <f t="shared" si="189"/>
        <v/>
      </c>
      <c r="X817" s="50" t="str">
        <f>IF(W817="","",SUMIF($B$4:$B$1002,B817,$W$4:$W$1000))</f>
        <v/>
      </c>
      <c r="Y817" s="43" t="str">
        <f t="shared" si="190"/>
        <v/>
      </c>
      <c r="Z817" s="49" t="str">
        <f t="shared" si="191"/>
        <v/>
      </c>
      <c r="AA817" s="48" t="str">
        <f t="shared" si="192"/>
        <v/>
      </c>
      <c r="AB817" s="49" t="str">
        <f t="shared" si="193"/>
        <v/>
      </c>
      <c r="AC817" s="50" t="str">
        <f>IF(AB817="","",SUMIF($B$4:$B$1002,B817,$AB$4:$AB$1000))</f>
        <v/>
      </c>
      <c r="AD817" s="69"/>
      <c r="AE817" s="56"/>
      <c r="AF817" s="52"/>
      <c r="AG817" s="51"/>
      <c r="AH817" s="70"/>
      <c r="AI817" s="58"/>
      <c r="AJ817" s="55"/>
      <c r="AK817" s="51"/>
      <c r="AL817" s="69"/>
      <c r="AM817" s="56"/>
      <c r="AN817" s="52"/>
      <c r="AO817" s="51"/>
      <c r="AP817" s="70"/>
      <c r="AQ817" s="58"/>
      <c r="AR817" s="55"/>
      <c r="AS817" s="51"/>
      <c r="AT817" s="69"/>
      <c r="AU817" s="56"/>
      <c r="AV817" s="52"/>
      <c r="AW817" s="51"/>
      <c r="BR817" s="34" t="str">
        <f>IF(E817="","",CONCATENATE(E817," ",F817," noches"))</f>
        <v/>
      </c>
      <c r="BS817" s="28" t="str">
        <f t="shared" ca="1" si="194"/>
        <v/>
      </c>
      <c r="BT817" s="28" t="str">
        <f t="shared" ca="1" si="195"/>
        <v/>
      </c>
    </row>
    <row r="818" spans="1:72" x14ac:dyDescent="0.2">
      <c r="A818" s="18" t="str" cm="1">
        <f t="array" aca="1" ref="A818" ca="1">IF(B818="","","Grupo N˚"&amp;SUMPRODUCT(($B$4:B818&lt;&gt;"")*($B$4:B818&lt;&gt;OFFSET($B$4,-1,0,ROWS($B$4:B818),1))))</f>
        <v/>
      </c>
      <c r="B818" s="31"/>
      <c r="C818" s="31"/>
      <c r="D818" s="31"/>
      <c r="E818" s="31"/>
      <c r="F818" s="32"/>
      <c r="G818" s="33"/>
      <c r="H818" s="33"/>
      <c r="I818" s="20" t="str">
        <f t="shared" si="184"/>
        <v/>
      </c>
      <c r="J818" s="21" t="str">
        <f>IFERROR(VLOOKUP(BR818,Pricing!$D$3:$E$58,2,FALSE),"")</f>
        <v/>
      </c>
      <c r="K818" s="32"/>
      <c r="L818" s="32"/>
      <c r="M818" s="32"/>
      <c r="N818" s="36" t="str" cm="1">
        <f t="array" ref="N818">IFERROR(_xlfn.IFS((AND(K818="SI",M818="$")),J818*0.2,AND(K818="SI",M818="%"),20),"")</f>
        <v/>
      </c>
      <c r="O818" s="29" t="str">
        <f t="shared" si="185"/>
        <v/>
      </c>
      <c r="P818" s="21" t="str">
        <f t="shared" si="186"/>
        <v/>
      </c>
      <c r="Q818" s="21" t="str">
        <f t="shared" si="187"/>
        <v/>
      </c>
      <c r="R818" s="21" t="str">
        <f t="shared" si="188"/>
        <v/>
      </c>
      <c r="S818" s="39"/>
      <c r="T818" s="43" t="str">
        <f t="shared" si="196"/>
        <v/>
      </c>
      <c r="U818" s="49" t="str">
        <f t="shared" si="197"/>
        <v/>
      </c>
      <c r="V818" s="48" t="str">
        <f t="shared" si="198"/>
        <v/>
      </c>
      <c r="W818" s="48" t="str">
        <f t="shared" si="189"/>
        <v/>
      </c>
      <c r="X818" s="50" t="str">
        <f>IF(W818="","",SUMIF($B$4:$B$1002,B818,$W$4:$W$1000))</f>
        <v/>
      </c>
      <c r="Y818" s="43" t="str">
        <f t="shared" si="190"/>
        <v/>
      </c>
      <c r="Z818" s="49" t="str">
        <f t="shared" si="191"/>
        <v/>
      </c>
      <c r="AA818" s="48" t="str">
        <f t="shared" si="192"/>
        <v/>
      </c>
      <c r="AB818" s="49" t="str">
        <f t="shared" si="193"/>
        <v/>
      </c>
      <c r="AC818" s="50" t="str">
        <f>IF(AB818="","",SUMIF($B$4:$B$1002,B818,$AB$4:$AB$1000))</f>
        <v/>
      </c>
      <c r="AD818" s="69"/>
      <c r="AE818" s="56"/>
      <c r="AF818" s="52"/>
      <c r="AG818" s="51"/>
      <c r="AH818" s="70"/>
      <c r="AI818" s="58"/>
      <c r="AJ818" s="55"/>
      <c r="AK818" s="51"/>
      <c r="AL818" s="69"/>
      <c r="AM818" s="56"/>
      <c r="AN818" s="52"/>
      <c r="AO818" s="51"/>
      <c r="AP818" s="70"/>
      <c r="AQ818" s="58"/>
      <c r="AR818" s="55"/>
      <c r="AS818" s="51"/>
      <c r="AT818" s="69"/>
      <c r="AU818" s="56"/>
      <c r="AV818" s="52"/>
      <c r="AW818" s="51"/>
      <c r="BR818" s="34" t="str">
        <f>IF(E818="","",CONCATENATE(E818," ",F818," noches"))</f>
        <v/>
      </c>
      <c r="BS818" s="28" t="str">
        <f t="shared" ca="1" si="194"/>
        <v/>
      </c>
      <c r="BT818" s="28" t="str">
        <f t="shared" ca="1" si="195"/>
        <v/>
      </c>
    </row>
    <row r="819" spans="1:72" x14ac:dyDescent="0.2">
      <c r="A819" s="18" t="str" cm="1">
        <f t="array" aca="1" ref="A819" ca="1">IF(B819="","","Grupo N˚"&amp;SUMPRODUCT(($B$4:B819&lt;&gt;"")*($B$4:B819&lt;&gt;OFFSET($B$4,-1,0,ROWS($B$4:B819),1))))</f>
        <v/>
      </c>
      <c r="B819" s="31"/>
      <c r="C819" s="31"/>
      <c r="D819" s="31"/>
      <c r="E819" s="31"/>
      <c r="F819" s="32"/>
      <c r="G819" s="33"/>
      <c r="H819" s="33"/>
      <c r="I819" s="20" t="str">
        <f t="shared" si="184"/>
        <v/>
      </c>
      <c r="J819" s="21" t="str">
        <f>IFERROR(VLOOKUP(BR819,Pricing!$D$3:$E$58,2,FALSE),"")</f>
        <v/>
      </c>
      <c r="K819" s="32"/>
      <c r="L819" s="32"/>
      <c r="M819" s="32"/>
      <c r="N819" s="36" t="str" cm="1">
        <f t="array" ref="N819">IFERROR(_xlfn.IFS((AND(K819="SI",M819="$")),J819*0.2,AND(K819="SI",M819="%"),20),"")</f>
        <v/>
      </c>
      <c r="O819" s="29" t="str">
        <f t="shared" si="185"/>
        <v/>
      </c>
      <c r="P819" s="21" t="str">
        <f t="shared" si="186"/>
        <v/>
      </c>
      <c r="Q819" s="21" t="str">
        <f t="shared" si="187"/>
        <v/>
      </c>
      <c r="R819" s="21" t="str">
        <f t="shared" si="188"/>
        <v/>
      </c>
      <c r="S819" s="39"/>
      <c r="T819" s="43" t="str">
        <f t="shared" si="196"/>
        <v/>
      </c>
      <c r="U819" s="49" t="str">
        <f t="shared" si="197"/>
        <v/>
      </c>
      <c r="V819" s="48" t="str">
        <f t="shared" si="198"/>
        <v/>
      </c>
      <c r="W819" s="48" t="str">
        <f t="shared" si="189"/>
        <v/>
      </c>
      <c r="X819" s="50" t="str">
        <f>IF(W819="","",SUMIF($B$4:$B$1002,B819,$W$4:$W$1000))</f>
        <v/>
      </c>
      <c r="Y819" s="43" t="str">
        <f t="shared" si="190"/>
        <v/>
      </c>
      <c r="Z819" s="49" t="str">
        <f t="shared" si="191"/>
        <v/>
      </c>
      <c r="AA819" s="48" t="str">
        <f t="shared" si="192"/>
        <v/>
      </c>
      <c r="AB819" s="49" t="str">
        <f t="shared" si="193"/>
        <v/>
      </c>
      <c r="AC819" s="50" t="str">
        <f>IF(AB819="","",SUMIF($B$4:$B$1002,B819,$AB$4:$AB$1000))</f>
        <v/>
      </c>
      <c r="AD819" s="69"/>
      <c r="AE819" s="56"/>
      <c r="AF819" s="52"/>
      <c r="AG819" s="51"/>
      <c r="AH819" s="70"/>
      <c r="AI819" s="58"/>
      <c r="AJ819" s="55"/>
      <c r="AK819" s="51"/>
      <c r="AL819" s="69"/>
      <c r="AM819" s="56"/>
      <c r="AN819" s="52"/>
      <c r="AO819" s="51"/>
      <c r="AP819" s="70"/>
      <c r="AQ819" s="58"/>
      <c r="AR819" s="55"/>
      <c r="AS819" s="51"/>
      <c r="AT819" s="69"/>
      <c r="AU819" s="56"/>
      <c r="AV819" s="52"/>
      <c r="AW819" s="51"/>
      <c r="BR819" s="34" t="str">
        <f>IF(E819="","",CONCATENATE(E819," ",F819," noches"))</f>
        <v/>
      </c>
      <c r="BS819" s="28" t="str">
        <f t="shared" ca="1" si="194"/>
        <v/>
      </c>
      <c r="BT819" s="28" t="str">
        <f t="shared" ca="1" si="195"/>
        <v/>
      </c>
    </row>
    <row r="820" spans="1:72" x14ac:dyDescent="0.2">
      <c r="A820" s="18" t="str" cm="1">
        <f t="array" aca="1" ref="A820" ca="1">IF(B820="","","Grupo N˚"&amp;SUMPRODUCT(($B$4:B820&lt;&gt;"")*($B$4:B820&lt;&gt;OFFSET($B$4,-1,0,ROWS($B$4:B820),1))))</f>
        <v/>
      </c>
      <c r="B820" s="31"/>
      <c r="C820" s="31"/>
      <c r="D820" s="31"/>
      <c r="E820" s="31"/>
      <c r="F820" s="32"/>
      <c r="G820" s="33"/>
      <c r="H820" s="33"/>
      <c r="I820" s="20" t="str">
        <f t="shared" si="184"/>
        <v/>
      </c>
      <c r="J820" s="21" t="str">
        <f>IFERROR(VLOOKUP(BR820,Pricing!$D$3:$E$58,2,FALSE),"")</f>
        <v/>
      </c>
      <c r="K820" s="32"/>
      <c r="L820" s="32"/>
      <c r="M820" s="32"/>
      <c r="N820" s="36" t="str" cm="1">
        <f t="array" ref="N820">IFERROR(_xlfn.IFS((AND(K820="SI",M820="$")),J820*0.2,AND(K820="SI",M820="%"),20),"")</f>
        <v/>
      </c>
      <c r="O820" s="29" t="str">
        <f t="shared" si="185"/>
        <v/>
      </c>
      <c r="P820" s="21" t="str">
        <f t="shared" si="186"/>
        <v/>
      </c>
      <c r="Q820" s="21" t="str">
        <f t="shared" si="187"/>
        <v/>
      </c>
      <c r="R820" s="21" t="str">
        <f t="shared" si="188"/>
        <v/>
      </c>
      <c r="S820" s="39"/>
      <c r="T820" s="43" t="str">
        <f t="shared" si="196"/>
        <v/>
      </c>
      <c r="U820" s="49" t="str">
        <f t="shared" si="197"/>
        <v/>
      </c>
      <c r="V820" s="48" t="str">
        <f t="shared" si="198"/>
        <v/>
      </c>
      <c r="W820" s="48" t="str">
        <f t="shared" si="189"/>
        <v/>
      </c>
      <c r="X820" s="50" t="str">
        <f>IF(W820="","",SUMIF($B$4:$B$1002,B820,$W$4:$W$1000))</f>
        <v/>
      </c>
      <c r="Y820" s="43" t="str">
        <f t="shared" si="190"/>
        <v/>
      </c>
      <c r="Z820" s="49" t="str">
        <f t="shared" si="191"/>
        <v/>
      </c>
      <c r="AA820" s="48" t="str">
        <f t="shared" si="192"/>
        <v/>
      </c>
      <c r="AB820" s="49" t="str">
        <f t="shared" si="193"/>
        <v/>
      </c>
      <c r="AC820" s="50" t="str">
        <f>IF(AB820="","",SUMIF($B$4:$B$1002,B820,$AB$4:$AB$1000))</f>
        <v/>
      </c>
      <c r="AD820" s="69"/>
      <c r="AE820" s="56"/>
      <c r="AF820" s="52"/>
      <c r="AG820" s="51"/>
      <c r="AH820" s="70"/>
      <c r="AI820" s="58"/>
      <c r="AJ820" s="55"/>
      <c r="AK820" s="51"/>
      <c r="AL820" s="69"/>
      <c r="AM820" s="56"/>
      <c r="AN820" s="52"/>
      <c r="AO820" s="51"/>
      <c r="AP820" s="70"/>
      <c r="AQ820" s="58"/>
      <c r="AR820" s="55"/>
      <c r="AS820" s="51"/>
      <c r="AT820" s="69"/>
      <c r="AU820" s="56"/>
      <c r="AV820" s="52"/>
      <c r="AW820" s="51"/>
      <c r="BR820" s="34" t="str">
        <f>IF(E820="","",CONCATENATE(E820," ",F820," noches"))</f>
        <v/>
      </c>
      <c r="BS820" s="28" t="str">
        <f t="shared" ca="1" si="194"/>
        <v/>
      </c>
      <c r="BT820" s="28" t="str">
        <f t="shared" ca="1" si="195"/>
        <v/>
      </c>
    </row>
    <row r="821" spans="1:72" x14ac:dyDescent="0.2">
      <c r="A821" s="18" t="str" cm="1">
        <f t="array" aca="1" ref="A821" ca="1">IF(B821="","","Grupo N˚"&amp;SUMPRODUCT(($B$4:B821&lt;&gt;"")*($B$4:B821&lt;&gt;OFFSET($B$4,-1,0,ROWS($B$4:B821),1))))</f>
        <v/>
      </c>
      <c r="B821" s="31"/>
      <c r="C821" s="31"/>
      <c r="D821" s="31"/>
      <c r="E821" s="31"/>
      <c r="F821" s="32"/>
      <c r="G821" s="33"/>
      <c r="H821" s="33"/>
      <c r="I821" s="20" t="str">
        <f t="shared" si="184"/>
        <v/>
      </c>
      <c r="J821" s="21" t="str">
        <f>IFERROR(VLOOKUP(BR821,Pricing!$D$3:$E$58,2,FALSE),"")</f>
        <v/>
      </c>
      <c r="K821" s="32"/>
      <c r="L821" s="32"/>
      <c r="M821" s="32"/>
      <c r="N821" s="36" t="str" cm="1">
        <f t="array" ref="N821">IFERROR(_xlfn.IFS((AND(K821="SI",M821="$")),J821*0.2,AND(K821="SI",M821="%"),20),"")</f>
        <v/>
      </c>
      <c r="O821" s="29" t="str">
        <f t="shared" si="185"/>
        <v/>
      </c>
      <c r="P821" s="21" t="str">
        <f t="shared" si="186"/>
        <v/>
      </c>
      <c r="Q821" s="21" t="str">
        <f t="shared" si="187"/>
        <v/>
      </c>
      <c r="R821" s="21" t="str">
        <f t="shared" si="188"/>
        <v/>
      </c>
      <c r="S821" s="39"/>
      <c r="T821" s="43" t="str">
        <f t="shared" si="196"/>
        <v/>
      </c>
      <c r="U821" s="49" t="str">
        <f t="shared" si="197"/>
        <v/>
      </c>
      <c r="V821" s="48" t="str">
        <f t="shared" si="198"/>
        <v/>
      </c>
      <c r="W821" s="48" t="str">
        <f t="shared" si="189"/>
        <v/>
      </c>
      <c r="X821" s="50" t="str">
        <f>IF(W821="","",SUMIF($B$4:$B$1002,B821,$W$4:$W$1000))</f>
        <v/>
      </c>
      <c r="Y821" s="43" t="str">
        <f t="shared" si="190"/>
        <v/>
      </c>
      <c r="Z821" s="49" t="str">
        <f t="shared" si="191"/>
        <v/>
      </c>
      <c r="AA821" s="48" t="str">
        <f t="shared" si="192"/>
        <v/>
      </c>
      <c r="AB821" s="49" t="str">
        <f t="shared" si="193"/>
        <v/>
      </c>
      <c r="AC821" s="50" t="str">
        <f>IF(AB821="","",SUMIF($B$4:$B$1002,B821,$AB$4:$AB$1000))</f>
        <v/>
      </c>
      <c r="AD821" s="69"/>
      <c r="AE821" s="56"/>
      <c r="AF821" s="52"/>
      <c r="AG821" s="51"/>
      <c r="AH821" s="70"/>
      <c r="AI821" s="58"/>
      <c r="AJ821" s="55"/>
      <c r="AK821" s="51"/>
      <c r="AL821" s="69"/>
      <c r="AM821" s="56"/>
      <c r="AN821" s="52"/>
      <c r="AO821" s="51"/>
      <c r="AP821" s="70"/>
      <c r="AQ821" s="58"/>
      <c r="AR821" s="55"/>
      <c r="AS821" s="51"/>
      <c r="AT821" s="69"/>
      <c r="AU821" s="56"/>
      <c r="AV821" s="52"/>
      <c r="AW821" s="51"/>
      <c r="BR821" s="34" t="str">
        <f>IF(E821="","",CONCATENATE(E821," ",F821," noches"))</f>
        <v/>
      </c>
      <c r="BS821" s="28" t="str">
        <f t="shared" ca="1" si="194"/>
        <v/>
      </c>
      <c r="BT821" s="28" t="str">
        <f t="shared" ca="1" si="195"/>
        <v/>
      </c>
    </row>
    <row r="822" spans="1:72" x14ac:dyDescent="0.2">
      <c r="A822" s="18" t="str" cm="1">
        <f t="array" aca="1" ref="A822" ca="1">IF(B822="","","Grupo N˚"&amp;SUMPRODUCT(($B$4:B822&lt;&gt;"")*($B$4:B822&lt;&gt;OFFSET($B$4,-1,0,ROWS($B$4:B822),1))))</f>
        <v/>
      </c>
      <c r="B822" s="31"/>
      <c r="C822" s="31"/>
      <c r="D822" s="31"/>
      <c r="E822" s="31"/>
      <c r="F822" s="32"/>
      <c r="G822" s="33"/>
      <c r="H822" s="33"/>
      <c r="I822" s="20" t="str">
        <f t="shared" si="184"/>
        <v/>
      </c>
      <c r="J822" s="21" t="str">
        <f>IFERROR(VLOOKUP(BR822,Pricing!$D$3:$E$58,2,FALSE),"")</f>
        <v/>
      </c>
      <c r="K822" s="32"/>
      <c r="L822" s="32"/>
      <c r="M822" s="32"/>
      <c r="N822" s="36" t="str" cm="1">
        <f t="array" ref="N822">IFERROR(_xlfn.IFS((AND(K822="SI",M822="$")),J822*0.2,AND(K822="SI",M822="%"),20),"")</f>
        <v/>
      </c>
      <c r="O822" s="29" t="str">
        <f t="shared" si="185"/>
        <v/>
      </c>
      <c r="P822" s="21" t="str">
        <f t="shared" si="186"/>
        <v/>
      </c>
      <c r="Q822" s="21" t="str">
        <f t="shared" si="187"/>
        <v/>
      </c>
      <c r="R822" s="21" t="str">
        <f t="shared" si="188"/>
        <v/>
      </c>
      <c r="S822" s="39"/>
      <c r="T822" s="43" t="str">
        <f t="shared" si="196"/>
        <v/>
      </c>
      <c r="U822" s="49" t="str">
        <f t="shared" si="197"/>
        <v/>
      </c>
      <c r="V822" s="48" t="str">
        <f t="shared" si="198"/>
        <v/>
      </c>
      <c r="W822" s="48" t="str">
        <f t="shared" si="189"/>
        <v/>
      </c>
      <c r="X822" s="50" t="str">
        <f>IF(W822="","",SUMIF($B$4:$B$1002,B822,$W$4:$W$1000))</f>
        <v/>
      </c>
      <c r="Y822" s="43" t="str">
        <f t="shared" si="190"/>
        <v/>
      </c>
      <c r="Z822" s="49" t="str">
        <f t="shared" si="191"/>
        <v/>
      </c>
      <c r="AA822" s="48" t="str">
        <f t="shared" si="192"/>
        <v/>
      </c>
      <c r="AB822" s="49" t="str">
        <f t="shared" si="193"/>
        <v/>
      </c>
      <c r="AC822" s="50" t="str">
        <f>IF(AB822="","",SUMIF($B$4:$B$1002,B822,$AB$4:$AB$1000))</f>
        <v/>
      </c>
      <c r="AD822" s="69"/>
      <c r="AE822" s="56"/>
      <c r="AF822" s="52"/>
      <c r="AG822" s="51"/>
      <c r="AH822" s="70"/>
      <c r="AI822" s="58"/>
      <c r="AJ822" s="55"/>
      <c r="AK822" s="51"/>
      <c r="AL822" s="69"/>
      <c r="AM822" s="56"/>
      <c r="AN822" s="52"/>
      <c r="AO822" s="51"/>
      <c r="AP822" s="70"/>
      <c r="AQ822" s="58"/>
      <c r="AR822" s="55"/>
      <c r="AS822" s="51"/>
      <c r="AT822" s="69"/>
      <c r="AU822" s="56"/>
      <c r="AV822" s="52"/>
      <c r="AW822" s="51"/>
      <c r="BR822" s="34" t="str">
        <f>IF(E822="","",CONCATENATE(E822," ",F822," noches"))</f>
        <v/>
      </c>
      <c r="BS822" s="28" t="str">
        <f t="shared" ca="1" si="194"/>
        <v/>
      </c>
      <c r="BT822" s="28" t="str">
        <f t="shared" ca="1" si="195"/>
        <v/>
      </c>
    </row>
    <row r="823" spans="1:72" x14ac:dyDescent="0.2">
      <c r="A823" s="18" t="str" cm="1">
        <f t="array" aca="1" ref="A823" ca="1">IF(B823="","","Grupo N˚"&amp;SUMPRODUCT(($B$4:B823&lt;&gt;"")*($B$4:B823&lt;&gt;OFFSET($B$4,-1,0,ROWS($B$4:B823),1))))</f>
        <v/>
      </c>
      <c r="B823" s="31"/>
      <c r="C823" s="31"/>
      <c r="D823" s="31"/>
      <c r="E823" s="31"/>
      <c r="F823" s="32"/>
      <c r="G823" s="33"/>
      <c r="H823" s="33"/>
      <c r="I823" s="20" t="str">
        <f t="shared" si="184"/>
        <v/>
      </c>
      <c r="J823" s="21" t="str">
        <f>IFERROR(VLOOKUP(BR823,Pricing!$D$3:$E$58,2,FALSE),"")</f>
        <v/>
      </c>
      <c r="K823" s="32"/>
      <c r="L823" s="32"/>
      <c r="M823" s="32"/>
      <c r="N823" s="36" t="str" cm="1">
        <f t="array" ref="N823">IFERROR(_xlfn.IFS((AND(K823="SI",M823="$")),J823*0.2,AND(K823="SI",M823="%"),20),"")</f>
        <v/>
      </c>
      <c r="O823" s="29" t="str">
        <f t="shared" si="185"/>
        <v/>
      </c>
      <c r="P823" s="21" t="str">
        <f t="shared" si="186"/>
        <v/>
      </c>
      <c r="Q823" s="21" t="str">
        <f t="shared" si="187"/>
        <v/>
      </c>
      <c r="R823" s="21" t="str">
        <f t="shared" si="188"/>
        <v/>
      </c>
      <c r="S823" s="39"/>
      <c r="T823" s="43" t="str">
        <f t="shared" si="196"/>
        <v/>
      </c>
      <c r="U823" s="49" t="str">
        <f t="shared" si="197"/>
        <v/>
      </c>
      <c r="V823" s="48" t="str">
        <f t="shared" si="198"/>
        <v/>
      </c>
      <c r="W823" s="48" t="str">
        <f t="shared" si="189"/>
        <v/>
      </c>
      <c r="X823" s="50" t="str">
        <f>IF(W823="","",SUMIF($B$4:$B$1002,B823,$W$4:$W$1000))</f>
        <v/>
      </c>
      <c r="Y823" s="43" t="str">
        <f t="shared" si="190"/>
        <v/>
      </c>
      <c r="Z823" s="49" t="str">
        <f t="shared" si="191"/>
        <v/>
      </c>
      <c r="AA823" s="48" t="str">
        <f t="shared" si="192"/>
        <v/>
      </c>
      <c r="AB823" s="49" t="str">
        <f t="shared" si="193"/>
        <v/>
      </c>
      <c r="AC823" s="50" t="str">
        <f>IF(AB823="","",SUMIF($B$4:$B$1002,B823,$AB$4:$AB$1000))</f>
        <v/>
      </c>
      <c r="AD823" s="69"/>
      <c r="AE823" s="56"/>
      <c r="AF823" s="52"/>
      <c r="AG823" s="51"/>
      <c r="AH823" s="70"/>
      <c r="AI823" s="58"/>
      <c r="AJ823" s="55"/>
      <c r="AK823" s="51"/>
      <c r="AL823" s="69"/>
      <c r="AM823" s="56"/>
      <c r="AN823" s="52"/>
      <c r="AO823" s="51"/>
      <c r="AP823" s="70"/>
      <c r="AQ823" s="58"/>
      <c r="AR823" s="55"/>
      <c r="AS823" s="51"/>
      <c r="AT823" s="69"/>
      <c r="AU823" s="56"/>
      <c r="AV823" s="52"/>
      <c r="AW823" s="51"/>
      <c r="BR823" s="34" t="str">
        <f>IF(E823="","",CONCATENATE(E823," ",F823," noches"))</f>
        <v/>
      </c>
      <c r="BS823" s="28" t="str">
        <f t="shared" ca="1" si="194"/>
        <v/>
      </c>
      <c r="BT823" s="28" t="str">
        <f t="shared" ca="1" si="195"/>
        <v/>
      </c>
    </row>
    <row r="824" spans="1:72" x14ac:dyDescent="0.2">
      <c r="A824" s="18" t="str" cm="1">
        <f t="array" aca="1" ref="A824" ca="1">IF(B824="","","Grupo N˚"&amp;SUMPRODUCT(($B$4:B824&lt;&gt;"")*($B$4:B824&lt;&gt;OFFSET($B$4,-1,0,ROWS($B$4:B824),1))))</f>
        <v/>
      </c>
      <c r="B824" s="31"/>
      <c r="C824" s="31"/>
      <c r="D824" s="31"/>
      <c r="E824" s="31"/>
      <c r="F824" s="32"/>
      <c r="G824" s="33"/>
      <c r="H824" s="33"/>
      <c r="I824" s="20" t="str">
        <f t="shared" si="184"/>
        <v/>
      </c>
      <c r="J824" s="21" t="str">
        <f>IFERROR(VLOOKUP(BR824,Pricing!$D$3:$E$58,2,FALSE),"")</f>
        <v/>
      </c>
      <c r="K824" s="32"/>
      <c r="L824" s="32"/>
      <c r="M824" s="32"/>
      <c r="N824" s="36" t="str" cm="1">
        <f t="array" ref="N824">IFERROR(_xlfn.IFS((AND(K824="SI",M824="$")),J824*0.2,AND(K824="SI",M824="%"),20),"")</f>
        <v/>
      </c>
      <c r="O824" s="29" t="str">
        <f t="shared" si="185"/>
        <v/>
      </c>
      <c r="P824" s="21" t="str">
        <f t="shared" si="186"/>
        <v/>
      </c>
      <c r="Q824" s="21" t="str">
        <f t="shared" si="187"/>
        <v/>
      </c>
      <c r="R824" s="21" t="str">
        <f t="shared" si="188"/>
        <v/>
      </c>
      <c r="S824" s="39"/>
      <c r="T824" s="43" t="str">
        <f t="shared" si="196"/>
        <v/>
      </c>
      <c r="U824" s="49" t="str">
        <f t="shared" si="197"/>
        <v/>
      </c>
      <c r="V824" s="48" t="str">
        <f t="shared" si="198"/>
        <v/>
      </c>
      <c r="W824" s="48" t="str">
        <f t="shared" si="189"/>
        <v/>
      </c>
      <c r="X824" s="50" t="str">
        <f>IF(W824="","",SUMIF($B$4:$B$1002,B824,$W$4:$W$1000))</f>
        <v/>
      </c>
      <c r="Y824" s="43" t="str">
        <f t="shared" si="190"/>
        <v/>
      </c>
      <c r="Z824" s="49" t="str">
        <f t="shared" si="191"/>
        <v/>
      </c>
      <c r="AA824" s="48" t="str">
        <f t="shared" si="192"/>
        <v/>
      </c>
      <c r="AB824" s="49" t="str">
        <f t="shared" si="193"/>
        <v/>
      </c>
      <c r="AC824" s="50" t="str">
        <f>IF(AB824="","",SUMIF($B$4:$B$1002,B824,$AB$4:$AB$1000))</f>
        <v/>
      </c>
      <c r="AD824" s="69"/>
      <c r="AE824" s="56"/>
      <c r="AF824" s="52"/>
      <c r="AG824" s="51"/>
      <c r="AH824" s="70"/>
      <c r="AI824" s="58"/>
      <c r="AJ824" s="55"/>
      <c r="AK824" s="51"/>
      <c r="AL824" s="69"/>
      <c r="AM824" s="56"/>
      <c r="AN824" s="52"/>
      <c r="AO824" s="51"/>
      <c r="AP824" s="70"/>
      <c r="AQ824" s="58"/>
      <c r="AR824" s="55"/>
      <c r="AS824" s="51"/>
      <c r="AT824" s="69"/>
      <c r="AU824" s="56"/>
      <c r="AV824" s="52"/>
      <c r="AW824" s="51"/>
      <c r="BR824" s="34" t="str">
        <f>IF(E824="","",CONCATENATE(E824," ",F824," noches"))</f>
        <v/>
      </c>
      <c r="BS824" s="28" t="str">
        <f t="shared" ca="1" si="194"/>
        <v/>
      </c>
      <c r="BT824" s="28" t="str">
        <f t="shared" ca="1" si="195"/>
        <v/>
      </c>
    </row>
    <row r="825" spans="1:72" x14ac:dyDescent="0.2">
      <c r="A825" s="18" t="str" cm="1">
        <f t="array" aca="1" ref="A825" ca="1">IF(B825="","","Grupo N˚"&amp;SUMPRODUCT(($B$4:B825&lt;&gt;"")*($B$4:B825&lt;&gt;OFFSET($B$4,-1,0,ROWS($B$4:B825),1))))</f>
        <v/>
      </c>
      <c r="B825" s="31"/>
      <c r="C825" s="31"/>
      <c r="D825" s="31"/>
      <c r="E825" s="31"/>
      <c r="F825" s="32"/>
      <c r="G825" s="33"/>
      <c r="H825" s="33"/>
      <c r="I825" s="20" t="str">
        <f t="shared" si="184"/>
        <v/>
      </c>
      <c r="J825" s="21" t="str">
        <f>IFERROR(VLOOKUP(BR825,Pricing!$D$3:$E$58,2,FALSE),"")</f>
        <v/>
      </c>
      <c r="K825" s="32"/>
      <c r="L825" s="32"/>
      <c r="M825" s="32"/>
      <c r="N825" s="36" t="str" cm="1">
        <f t="array" ref="N825">IFERROR(_xlfn.IFS((AND(K825="SI",M825="$")),J825*0.2,AND(K825="SI",M825="%"),20),"")</f>
        <v/>
      </c>
      <c r="O825" s="29" t="str">
        <f t="shared" si="185"/>
        <v/>
      </c>
      <c r="P825" s="21" t="str">
        <f t="shared" si="186"/>
        <v/>
      </c>
      <c r="Q825" s="21" t="str">
        <f t="shared" si="187"/>
        <v/>
      </c>
      <c r="R825" s="21" t="str">
        <f t="shared" si="188"/>
        <v/>
      </c>
      <c r="S825" s="39"/>
      <c r="T825" s="43" t="str">
        <f t="shared" si="196"/>
        <v/>
      </c>
      <c r="U825" s="49" t="str">
        <f t="shared" si="197"/>
        <v/>
      </c>
      <c r="V825" s="48" t="str">
        <f t="shared" si="198"/>
        <v/>
      </c>
      <c r="W825" s="48" t="str">
        <f t="shared" si="189"/>
        <v/>
      </c>
      <c r="X825" s="50" t="str">
        <f>IF(W825="","",SUMIF($B$4:$B$1002,B825,$W$4:$W$1000))</f>
        <v/>
      </c>
      <c r="Y825" s="43" t="str">
        <f t="shared" si="190"/>
        <v/>
      </c>
      <c r="Z825" s="49" t="str">
        <f t="shared" si="191"/>
        <v/>
      </c>
      <c r="AA825" s="48" t="str">
        <f t="shared" si="192"/>
        <v/>
      </c>
      <c r="AB825" s="49" t="str">
        <f t="shared" si="193"/>
        <v/>
      </c>
      <c r="AC825" s="50" t="str">
        <f>IF(AB825="","",SUMIF($B$4:$B$1002,B825,$AB$4:$AB$1000))</f>
        <v/>
      </c>
      <c r="AD825" s="69"/>
      <c r="AE825" s="56"/>
      <c r="AF825" s="52"/>
      <c r="AG825" s="51"/>
      <c r="AH825" s="70"/>
      <c r="AI825" s="58"/>
      <c r="AJ825" s="55"/>
      <c r="AK825" s="51"/>
      <c r="AL825" s="69"/>
      <c r="AM825" s="56"/>
      <c r="AN825" s="52"/>
      <c r="AO825" s="51"/>
      <c r="AP825" s="70"/>
      <c r="AQ825" s="58"/>
      <c r="AR825" s="55"/>
      <c r="AS825" s="51"/>
      <c r="AT825" s="69"/>
      <c r="AU825" s="56"/>
      <c r="AV825" s="52"/>
      <c r="AW825" s="51"/>
      <c r="BR825" s="34" t="str">
        <f>IF(E825="","",CONCATENATE(E825," ",F825," noches"))</f>
        <v/>
      </c>
      <c r="BS825" s="28" t="str">
        <f t="shared" ca="1" si="194"/>
        <v/>
      </c>
      <c r="BT825" s="28" t="str">
        <f t="shared" ca="1" si="195"/>
        <v/>
      </c>
    </row>
    <row r="826" spans="1:72" x14ac:dyDescent="0.2">
      <c r="A826" s="18" t="str" cm="1">
        <f t="array" aca="1" ref="A826" ca="1">IF(B826="","","Grupo N˚"&amp;SUMPRODUCT(($B$4:B826&lt;&gt;"")*($B$4:B826&lt;&gt;OFFSET($B$4,-1,0,ROWS($B$4:B826),1))))</f>
        <v/>
      </c>
      <c r="B826" s="31"/>
      <c r="C826" s="31"/>
      <c r="D826" s="31"/>
      <c r="E826" s="31"/>
      <c r="F826" s="32"/>
      <c r="G826" s="33"/>
      <c r="H826" s="33"/>
      <c r="I826" s="20" t="str">
        <f t="shared" si="184"/>
        <v/>
      </c>
      <c r="J826" s="21" t="str">
        <f>IFERROR(VLOOKUP(BR826,Pricing!$D$3:$E$58,2,FALSE),"")</f>
        <v/>
      </c>
      <c r="K826" s="32"/>
      <c r="L826" s="32"/>
      <c r="M826" s="32"/>
      <c r="N826" s="36" t="str" cm="1">
        <f t="array" ref="N826">IFERROR(_xlfn.IFS((AND(K826="SI",M826="$")),J826*0.2,AND(K826="SI",M826="%"),20),"")</f>
        <v/>
      </c>
      <c r="O826" s="29" t="str">
        <f t="shared" si="185"/>
        <v/>
      </c>
      <c r="P826" s="21" t="str">
        <f t="shared" si="186"/>
        <v/>
      </c>
      <c r="Q826" s="21" t="str">
        <f t="shared" si="187"/>
        <v/>
      </c>
      <c r="R826" s="21" t="str">
        <f t="shared" si="188"/>
        <v/>
      </c>
      <c r="S826" s="39"/>
      <c r="T826" s="43" t="str">
        <f t="shared" si="196"/>
        <v/>
      </c>
      <c r="U826" s="49" t="str">
        <f t="shared" si="197"/>
        <v/>
      </c>
      <c r="V826" s="48" t="str">
        <f t="shared" si="198"/>
        <v/>
      </c>
      <c r="W826" s="48" t="str">
        <f t="shared" si="189"/>
        <v/>
      </c>
      <c r="X826" s="50" t="str">
        <f>IF(W826="","",SUMIF($B$4:$B$1002,B826,$W$4:$W$1000))</f>
        <v/>
      </c>
      <c r="Y826" s="43" t="str">
        <f t="shared" si="190"/>
        <v/>
      </c>
      <c r="Z826" s="49" t="str">
        <f t="shared" si="191"/>
        <v/>
      </c>
      <c r="AA826" s="48" t="str">
        <f t="shared" si="192"/>
        <v/>
      </c>
      <c r="AB826" s="49" t="str">
        <f t="shared" si="193"/>
        <v/>
      </c>
      <c r="AC826" s="50" t="str">
        <f>IF(AB826="","",SUMIF($B$4:$B$1002,B826,$AB$4:$AB$1000))</f>
        <v/>
      </c>
      <c r="AD826" s="69"/>
      <c r="AE826" s="56"/>
      <c r="AF826" s="52"/>
      <c r="AG826" s="51"/>
      <c r="AH826" s="70"/>
      <c r="AI826" s="58"/>
      <c r="AJ826" s="55"/>
      <c r="AK826" s="51"/>
      <c r="AL826" s="69"/>
      <c r="AM826" s="56"/>
      <c r="AN826" s="52"/>
      <c r="AO826" s="51"/>
      <c r="AP826" s="70"/>
      <c r="AQ826" s="58"/>
      <c r="AR826" s="55"/>
      <c r="AS826" s="51"/>
      <c r="AT826" s="69"/>
      <c r="AU826" s="56"/>
      <c r="AV826" s="52"/>
      <c r="AW826" s="51"/>
      <c r="BR826" s="34" t="str">
        <f>IF(E826="","",CONCATENATE(E826," ",F826," noches"))</f>
        <v/>
      </c>
      <c r="BS826" s="28" t="str">
        <f t="shared" ca="1" si="194"/>
        <v/>
      </c>
      <c r="BT826" s="28" t="str">
        <f t="shared" ca="1" si="195"/>
        <v/>
      </c>
    </row>
    <row r="827" spans="1:72" x14ac:dyDescent="0.2">
      <c r="A827" s="18" t="str" cm="1">
        <f t="array" aca="1" ref="A827" ca="1">IF(B827="","","Grupo N˚"&amp;SUMPRODUCT(($B$4:B827&lt;&gt;"")*($B$4:B827&lt;&gt;OFFSET($B$4,-1,0,ROWS($B$4:B827),1))))</f>
        <v/>
      </c>
      <c r="B827" s="31"/>
      <c r="C827" s="31"/>
      <c r="D827" s="31"/>
      <c r="E827" s="31"/>
      <c r="F827" s="32"/>
      <c r="G827" s="33"/>
      <c r="H827" s="33"/>
      <c r="I827" s="20" t="str">
        <f t="shared" si="184"/>
        <v/>
      </c>
      <c r="J827" s="21" t="str">
        <f>IFERROR(VLOOKUP(BR827,Pricing!$D$3:$E$58,2,FALSE),"")</f>
        <v/>
      </c>
      <c r="K827" s="32"/>
      <c r="L827" s="32"/>
      <c r="M827" s="32"/>
      <c r="N827" s="36" t="str" cm="1">
        <f t="array" ref="N827">IFERROR(_xlfn.IFS((AND(K827="SI",M827="$")),J827*0.2,AND(K827="SI",M827="%"),20),"")</f>
        <v/>
      </c>
      <c r="O827" s="29" t="str">
        <f t="shared" si="185"/>
        <v/>
      </c>
      <c r="P827" s="21" t="str">
        <f t="shared" si="186"/>
        <v/>
      </c>
      <c r="Q827" s="21" t="str">
        <f t="shared" si="187"/>
        <v/>
      </c>
      <c r="R827" s="21" t="str">
        <f t="shared" si="188"/>
        <v/>
      </c>
      <c r="S827" s="39"/>
      <c r="T827" s="43" t="str">
        <f t="shared" si="196"/>
        <v/>
      </c>
      <c r="U827" s="49" t="str">
        <f t="shared" si="197"/>
        <v/>
      </c>
      <c r="V827" s="48" t="str">
        <f t="shared" si="198"/>
        <v/>
      </c>
      <c r="W827" s="48" t="str">
        <f t="shared" si="189"/>
        <v/>
      </c>
      <c r="X827" s="50" t="str">
        <f>IF(W827="","",SUMIF($B$4:$B$1002,B827,$W$4:$W$1000))</f>
        <v/>
      </c>
      <c r="Y827" s="43" t="str">
        <f t="shared" si="190"/>
        <v/>
      </c>
      <c r="Z827" s="49" t="str">
        <f t="shared" si="191"/>
        <v/>
      </c>
      <c r="AA827" s="48" t="str">
        <f t="shared" si="192"/>
        <v/>
      </c>
      <c r="AB827" s="49" t="str">
        <f t="shared" si="193"/>
        <v/>
      </c>
      <c r="AC827" s="50" t="str">
        <f>IF(AB827="","",SUMIF($B$4:$B$1002,B827,$AB$4:$AB$1000))</f>
        <v/>
      </c>
      <c r="AD827" s="69"/>
      <c r="AE827" s="56"/>
      <c r="AF827" s="52"/>
      <c r="AG827" s="51"/>
      <c r="AH827" s="70"/>
      <c r="AI827" s="58"/>
      <c r="AJ827" s="55"/>
      <c r="AK827" s="51"/>
      <c r="AL827" s="69"/>
      <c r="AM827" s="56"/>
      <c r="AN827" s="52"/>
      <c r="AO827" s="51"/>
      <c r="AP827" s="70"/>
      <c r="AQ827" s="58"/>
      <c r="AR827" s="55"/>
      <c r="AS827" s="51"/>
      <c r="AT827" s="69"/>
      <c r="AU827" s="56"/>
      <c r="AV827" s="52"/>
      <c r="AW827" s="51"/>
      <c r="BR827" s="34" t="str">
        <f>IF(E827="","",CONCATENATE(E827," ",F827," noches"))</f>
        <v/>
      </c>
      <c r="BS827" s="28" t="str">
        <f t="shared" ca="1" si="194"/>
        <v/>
      </c>
      <c r="BT827" s="28" t="str">
        <f t="shared" ca="1" si="195"/>
        <v/>
      </c>
    </row>
    <row r="828" spans="1:72" x14ac:dyDescent="0.2">
      <c r="A828" s="18" t="str" cm="1">
        <f t="array" aca="1" ref="A828" ca="1">IF(B828="","","Grupo N˚"&amp;SUMPRODUCT(($B$4:B828&lt;&gt;"")*($B$4:B828&lt;&gt;OFFSET($B$4,-1,0,ROWS($B$4:B828),1))))</f>
        <v/>
      </c>
      <c r="B828" s="31"/>
      <c r="C828" s="31"/>
      <c r="D828" s="31"/>
      <c r="E828" s="31"/>
      <c r="F828" s="32"/>
      <c r="G828" s="33"/>
      <c r="H828" s="33"/>
      <c r="I828" s="20" t="str">
        <f t="shared" si="184"/>
        <v/>
      </c>
      <c r="J828" s="21" t="str">
        <f>IFERROR(VLOOKUP(BR828,Pricing!$D$3:$E$58,2,FALSE),"")</f>
        <v/>
      </c>
      <c r="K828" s="32"/>
      <c r="L828" s="32"/>
      <c r="M828" s="32"/>
      <c r="N828" s="36" t="str" cm="1">
        <f t="array" ref="N828">IFERROR(_xlfn.IFS((AND(K828="SI",M828="$")),J828*0.2,AND(K828="SI",M828="%"),20),"")</f>
        <v/>
      </c>
      <c r="O828" s="29" t="str">
        <f t="shared" si="185"/>
        <v/>
      </c>
      <c r="P828" s="21" t="str">
        <f t="shared" si="186"/>
        <v/>
      </c>
      <c r="Q828" s="21" t="str">
        <f t="shared" si="187"/>
        <v/>
      </c>
      <c r="R828" s="21" t="str">
        <f t="shared" si="188"/>
        <v/>
      </c>
      <c r="S828" s="39"/>
      <c r="T828" s="43" t="str">
        <f t="shared" si="196"/>
        <v/>
      </c>
      <c r="U828" s="49" t="str">
        <f t="shared" si="197"/>
        <v/>
      </c>
      <c r="V828" s="48" t="str">
        <f t="shared" si="198"/>
        <v/>
      </c>
      <c r="W828" s="48" t="str">
        <f t="shared" si="189"/>
        <v/>
      </c>
      <c r="X828" s="50" t="str">
        <f>IF(W828="","",SUMIF($B$4:$B$1002,B828,$W$4:$W$1000))</f>
        <v/>
      </c>
      <c r="Y828" s="43" t="str">
        <f t="shared" si="190"/>
        <v/>
      </c>
      <c r="Z828" s="49" t="str">
        <f t="shared" si="191"/>
        <v/>
      </c>
      <c r="AA828" s="48" t="str">
        <f t="shared" si="192"/>
        <v/>
      </c>
      <c r="AB828" s="49" t="str">
        <f t="shared" si="193"/>
        <v/>
      </c>
      <c r="AC828" s="50" t="str">
        <f>IF(AB828="","",SUMIF($B$4:$B$1002,B828,$AB$4:$AB$1000))</f>
        <v/>
      </c>
      <c r="AD828" s="69"/>
      <c r="AE828" s="56"/>
      <c r="AF828" s="52"/>
      <c r="AG828" s="51"/>
      <c r="AH828" s="70"/>
      <c r="AI828" s="58"/>
      <c r="AJ828" s="55"/>
      <c r="AK828" s="51"/>
      <c r="AL828" s="69"/>
      <c r="AM828" s="56"/>
      <c r="AN828" s="52"/>
      <c r="AO828" s="51"/>
      <c r="AP828" s="70"/>
      <c r="AQ828" s="58"/>
      <c r="AR828" s="55"/>
      <c r="AS828" s="51"/>
      <c r="AT828" s="69"/>
      <c r="AU828" s="56"/>
      <c r="AV828" s="52"/>
      <c r="AW828" s="51"/>
      <c r="BR828" s="34" t="str">
        <f>IF(E828="","",CONCATENATE(E828," ",F828," noches"))</f>
        <v/>
      </c>
      <c r="BS828" s="28" t="str">
        <f t="shared" ca="1" si="194"/>
        <v/>
      </c>
      <c r="BT828" s="28" t="str">
        <f t="shared" ca="1" si="195"/>
        <v/>
      </c>
    </row>
    <row r="829" spans="1:72" x14ac:dyDescent="0.2">
      <c r="A829" s="18" t="str" cm="1">
        <f t="array" aca="1" ref="A829" ca="1">IF(B829="","","Grupo N˚"&amp;SUMPRODUCT(($B$4:B829&lt;&gt;"")*($B$4:B829&lt;&gt;OFFSET($B$4,-1,0,ROWS($B$4:B829),1))))</f>
        <v/>
      </c>
      <c r="B829" s="31"/>
      <c r="C829" s="31"/>
      <c r="D829" s="31"/>
      <c r="E829" s="31"/>
      <c r="F829" s="32"/>
      <c r="G829" s="33"/>
      <c r="H829" s="33"/>
      <c r="I829" s="20" t="str">
        <f t="shared" si="184"/>
        <v/>
      </c>
      <c r="J829" s="21" t="str">
        <f>IFERROR(VLOOKUP(BR829,Pricing!$D$3:$E$58,2,FALSE),"")</f>
        <v/>
      </c>
      <c r="K829" s="32"/>
      <c r="L829" s="32"/>
      <c r="M829" s="32"/>
      <c r="N829" s="36" t="str" cm="1">
        <f t="array" ref="N829">IFERROR(_xlfn.IFS((AND(K829="SI",M829="$")),J829*0.2,AND(K829="SI",M829="%"),20),"")</f>
        <v/>
      </c>
      <c r="O829" s="29" t="str">
        <f t="shared" si="185"/>
        <v/>
      </c>
      <c r="P829" s="21" t="str">
        <f t="shared" si="186"/>
        <v/>
      </c>
      <c r="Q829" s="21" t="str">
        <f t="shared" si="187"/>
        <v/>
      </c>
      <c r="R829" s="21" t="str">
        <f t="shared" si="188"/>
        <v/>
      </c>
      <c r="S829" s="39"/>
      <c r="T829" s="43" t="str">
        <f t="shared" si="196"/>
        <v/>
      </c>
      <c r="U829" s="49" t="str">
        <f t="shared" si="197"/>
        <v/>
      </c>
      <c r="V829" s="48" t="str">
        <f t="shared" si="198"/>
        <v/>
      </c>
      <c r="W829" s="48" t="str">
        <f t="shared" si="189"/>
        <v/>
      </c>
      <c r="X829" s="50" t="str">
        <f>IF(W829="","",SUMIF($B$4:$B$1002,B829,$W$4:$W$1000))</f>
        <v/>
      </c>
      <c r="Y829" s="43" t="str">
        <f t="shared" si="190"/>
        <v/>
      </c>
      <c r="Z829" s="49" t="str">
        <f t="shared" si="191"/>
        <v/>
      </c>
      <c r="AA829" s="48" t="str">
        <f t="shared" si="192"/>
        <v/>
      </c>
      <c r="AB829" s="49" t="str">
        <f t="shared" si="193"/>
        <v/>
      </c>
      <c r="AC829" s="50" t="str">
        <f>IF(AB829="","",SUMIF($B$4:$B$1002,B829,$AB$4:$AB$1000))</f>
        <v/>
      </c>
      <c r="AD829" s="69"/>
      <c r="AE829" s="56"/>
      <c r="AF829" s="52"/>
      <c r="AG829" s="51"/>
      <c r="AH829" s="70"/>
      <c r="AI829" s="58"/>
      <c r="AJ829" s="55"/>
      <c r="AK829" s="51"/>
      <c r="AL829" s="69"/>
      <c r="AM829" s="56"/>
      <c r="AN829" s="52"/>
      <c r="AO829" s="51"/>
      <c r="AP829" s="70"/>
      <c r="AQ829" s="58"/>
      <c r="AR829" s="55"/>
      <c r="AS829" s="51"/>
      <c r="AT829" s="69"/>
      <c r="AU829" s="56"/>
      <c r="AV829" s="52"/>
      <c r="AW829" s="51"/>
      <c r="BR829" s="34" t="str">
        <f>IF(E829="","",CONCATENATE(E829," ",F829," noches"))</f>
        <v/>
      </c>
      <c r="BS829" s="28" t="str">
        <f t="shared" ca="1" si="194"/>
        <v/>
      </c>
      <c r="BT829" s="28" t="str">
        <f t="shared" ca="1" si="195"/>
        <v/>
      </c>
    </row>
    <row r="830" spans="1:72" x14ac:dyDescent="0.2">
      <c r="A830" s="18" t="str" cm="1">
        <f t="array" aca="1" ref="A830" ca="1">IF(B830="","","Grupo N˚"&amp;SUMPRODUCT(($B$4:B830&lt;&gt;"")*($B$4:B830&lt;&gt;OFFSET($B$4,-1,0,ROWS($B$4:B830),1))))</f>
        <v/>
      </c>
      <c r="B830" s="31"/>
      <c r="C830" s="31"/>
      <c r="D830" s="31"/>
      <c r="E830" s="31"/>
      <c r="F830" s="32"/>
      <c r="G830" s="33"/>
      <c r="H830" s="33"/>
      <c r="I830" s="20" t="str">
        <f t="shared" si="184"/>
        <v/>
      </c>
      <c r="J830" s="21" t="str">
        <f>IFERROR(VLOOKUP(BR830,Pricing!$D$3:$E$58,2,FALSE),"")</f>
        <v/>
      </c>
      <c r="K830" s="32"/>
      <c r="L830" s="32"/>
      <c r="M830" s="32"/>
      <c r="N830" s="36" t="str" cm="1">
        <f t="array" ref="N830">IFERROR(_xlfn.IFS((AND(K830="SI",M830="$")),J830*0.2,AND(K830="SI",M830="%"),20),"")</f>
        <v/>
      </c>
      <c r="O830" s="29" t="str">
        <f t="shared" si="185"/>
        <v/>
      </c>
      <c r="P830" s="21" t="str">
        <f t="shared" si="186"/>
        <v/>
      </c>
      <c r="Q830" s="21" t="str">
        <f t="shared" si="187"/>
        <v/>
      </c>
      <c r="R830" s="21" t="str">
        <f t="shared" si="188"/>
        <v/>
      </c>
      <c r="S830" s="39"/>
      <c r="T830" s="43" t="str">
        <f t="shared" si="196"/>
        <v/>
      </c>
      <c r="U830" s="49" t="str">
        <f t="shared" si="197"/>
        <v/>
      </c>
      <c r="V830" s="48" t="str">
        <f t="shared" si="198"/>
        <v/>
      </c>
      <c r="W830" s="48" t="str">
        <f t="shared" si="189"/>
        <v/>
      </c>
      <c r="X830" s="50" t="str">
        <f>IF(W830="","",SUMIF($B$4:$B$1002,B830,$W$4:$W$1000))</f>
        <v/>
      </c>
      <c r="Y830" s="43" t="str">
        <f t="shared" si="190"/>
        <v/>
      </c>
      <c r="Z830" s="49" t="str">
        <f t="shared" si="191"/>
        <v/>
      </c>
      <c r="AA830" s="48" t="str">
        <f t="shared" si="192"/>
        <v/>
      </c>
      <c r="AB830" s="49" t="str">
        <f t="shared" si="193"/>
        <v/>
      </c>
      <c r="AC830" s="50" t="str">
        <f>IF(AB830="","",SUMIF($B$4:$B$1002,B830,$AB$4:$AB$1000))</f>
        <v/>
      </c>
      <c r="AD830" s="69"/>
      <c r="AE830" s="56"/>
      <c r="AF830" s="52"/>
      <c r="AG830" s="51"/>
      <c r="AH830" s="70"/>
      <c r="AI830" s="58"/>
      <c r="AJ830" s="55"/>
      <c r="AK830" s="51"/>
      <c r="AL830" s="69"/>
      <c r="AM830" s="56"/>
      <c r="AN830" s="52"/>
      <c r="AO830" s="51"/>
      <c r="AP830" s="70"/>
      <c r="AQ830" s="58"/>
      <c r="AR830" s="55"/>
      <c r="AS830" s="51"/>
      <c r="AT830" s="69"/>
      <c r="AU830" s="56"/>
      <c r="AV830" s="52"/>
      <c r="AW830" s="51"/>
      <c r="BR830" s="34" t="str">
        <f>IF(E830="","",CONCATENATE(E830," ",F830," noches"))</f>
        <v/>
      </c>
      <c r="BS830" s="28" t="str">
        <f t="shared" ca="1" si="194"/>
        <v/>
      </c>
      <c r="BT830" s="28" t="str">
        <f t="shared" ca="1" si="195"/>
        <v/>
      </c>
    </row>
    <row r="831" spans="1:72" x14ac:dyDescent="0.2">
      <c r="A831" s="18" t="str" cm="1">
        <f t="array" aca="1" ref="A831" ca="1">IF(B831="","","Grupo N˚"&amp;SUMPRODUCT(($B$4:B831&lt;&gt;"")*($B$4:B831&lt;&gt;OFFSET($B$4,-1,0,ROWS($B$4:B831),1))))</f>
        <v/>
      </c>
      <c r="B831" s="31"/>
      <c r="C831" s="31"/>
      <c r="D831" s="31"/>
      <c r="E831" s="31"/>
      <c r="F831" s="32"/>
      <c r="G831" s="33"/>
      <c r="H831" s="33"/>
      <c r="I831" s="20" t="str">
        <f t="shared" si="184"/>
        <v/>
      </c>
      <c r="J831" s="21" t="str">
        <f>IFERROR(VLOOKUP(BR831,Pricing!$D$3:$E$58,2,FALSE),"")</f>
        <v/>
      </c>
      <c r="K831" s="32"/>
      <c r="L831" s="32"/>
      <c r="M831" s="32"/>
      <c r="N831" s="36" t="str" cm="1">
        <f t="array" ref="N831">IFERROR(_xlfn.IFS((AND(K831="SI",M831="$")),J831*0.2,AND(K831="SI",M831="%"),20),"")</f>
        <v/>
      </c>
      <c r="O831" s="29" t="str">
        <f t="shared" si="185"/>
        <v/>
      </c>
      <c r="P831" s="21" t="str">
        <f t="shared" si="186"/>
        <v/>
      </c>
      <c r="Q831" s="21" t="str">
        <f t="shared" si="187"/>
        <v/>
      </c>
      <c r="R831" s="21" t="str">
        <f t="shared" si="188"/>
        <v/>
      </c>
      <c r="S831" s="39"/>
      <c r="T831" s="43" t="str">
        <f t="shared" si="196"/>
        <v/>
      </c>
      <c r="U831" s="49" t="str">
        <f t="shared" si="197"/>
        <v/>
      </c>
      <c r="V831" s="48" t="str">
        <f t="shared" si="198"/>
        <v/>
      </c>
      <c r="W831" s="48" t="str">
        <f t="shared" si="189"/>
        <v/>
      </c>
      <c r="X831" s="50" t="str">
        <f>IF(W831="","",SUMIF($B$4:$B$1002,B831,$W$4:$W$1000))</f>
        <v/>
      </c>
      <c r="Y831" s="43" t="str">
        <f t="shared" si="190"/>
        <v/>
      </c>
      <c r="Z831" s="49" t="str">
        <f t="shared" si="191"/>
        <v/>
      </c>
      <c r="AA831" s="48" t="str">
        <f t="shared" si="192"/>
        <v/>
      </c>
      <c r="AB831" s="49" t="str">
        <f t="shared" si="193"/>
        <v/>
      </c>
      <c r="AC831" s="50" t="str">
        <f>IF(AB831="","",SUMIF($B$4:$B$1002,B831,$AB$4:$AB$1000))</f>
        <v/>
      </c>
      <c r="AD831" s="69"/>
      <c r="AE831" s="56"/>
      <c r="AF831" s="52"/>
      <c r="AG831" s="51"/>
      <c r="AH831" s="70"/>
      <c r="AI831" s="58"/>
      <c r="AJ831" s="55"/>
      <c r="AK831" s="51"/>
      <c r="AL831" s="69"/>
      <c r="AM831" s="56"/>
      <c r="AN831" s="52"/>
      <c r="AO831" s="51"/>
      <c r="AP831" s="70"/>
      <c r="AQ831" s="58"/>
      <c r="AR831" s="55"/>
      <c r="AS831" s="51"/>
      <c r="AT831" s="69"/>
      <c r="AU831" s="56"/>
      <c r="AV831" s="52"/>
      <c r="AW831" s="51"/>
      <c r="BR831" s="34" t="str">
        <f>IF(E831="","",CONCATENATE(E831," ",F831," noches"))</f>
        <v/>
      </c>
      <c r="BS831" s="28" t="str">
        <f t="shared" ca="1" si="194"/>
        <v/>
      </c>
      <c r="BT831" s="28" t="str">
        <f t="shared" ca="1" si="195"/>
        <v/>
      </c>
    </row>
    <row r="832" spans="1:72" x14ac:dyDescent="0.2">
      <c r="A832" s="18" t="str" cm="1">
        <f t="array" aca="1" ref="A832" ca="1">IF(B832="","","Grupo N˚"&amp;SUMPRODUCT(($B$4:B832&lt;&gt;"")*($B$4:B832&lt;&gt;OFFSET($B$4,-1,0,ROWS($B$4:B832),1))))</f>
        <v/>
      </c>
      <c r="B832" s="31"/>
      <c r="C832" s="31"/>
      <c r="D832" s="31"/>
      <c r="E832" s="31"/>
      <c r="F832" s="32"/>
      <c r="G832" s="33"/>
      <c r="H832" s="33"/>
      <c r="I832" s="20" t="str">
        <f t="shared" si="184"/>
        <v/>
      </c>
      <c r="J832" s="21" t="str">
        <f>IFERROR(VLOOKUP(BR832,Pricing!$D$3:$E$58,2,FALSE),"")</f>
        <v/>
      </c>
      <c r="K832" s="32"/>
      <c r="L832" s="32"/>
      <c r="M832" s="32"/>
      <c r="N832" s="36" t="str" cm="1">
        <f t="array" ref="N832">IFERROR(_xlfn.IFS((AND(K832="SI",M832="$")),J832*0.2,AND(K832="SI",M832="%"),20),"")</f>
        <v/>
      </c>
      <c r="O832" s="29" t="str">
        <f t="shared" si="185"/>
        <v/>
      </c>
      <c r="P832" s="21" t="str">
        <f t="shared" si="186"/>
        <v/>
      </c>
      <c r="Q832" s="21" t="str">
        <f t="shared" si="187"/>
        <v/>
      </c>
      <c r="R832" s="21" t="str">
        <f t="shared" si="188"/>
        <v/>
      </c>
      <c r="S832" s="39"/>
      <c r="T832" s="43" t="str">
        <f t="shared" si="196"/>
        <v/>
      </c>
      <c r="U832" s="49" t="str">
        <f t="shared" si="197"/>
        <v/>
      </c>
      <c r="V832" s="48" t="str">
        <f t="shared" si="198"/>
        <v/>
      </c>
      <c r="W832" s="48" t="str">
        <f t="shared" si="189"/>
        <v/>
      </c>
      <c r="X832" s="50" t="str">
        <f>IF(W832="","",SUMIF($B$4:$B$1002,B832,$W$4:$W$1000))</f>
        <v/>
      </c>
      <c r="Y832" s="43" t="str">
        <f t="shared" si="190"/>
        <v/>
      </c>
      <c r="Z832" s="49" t="str">
        <f t="shared" si="191"/>
        <v/>
      </c>
      <c r="AA832" s="48" t="str">
        <f t="shared" si="192"/>
        <v/>
      </c>
      <c r="AB832" s="49" t="str">
        <f t="shared" si="193"/>
        <v/>
      </c>
      <c r="AC832" s="50" t="str">
        <f>IF(AB832="","",SUMIF($B$4:$B$1002,B832,$AB$4:$AB$1000))</f>
        <v/>
      </c>
      <c r="AD832" s="69"/>
      <c r="AE832" s="56"/>
      <c r="AF832" s="52"/>
      <c r="AG832" s="51"/>
      <c r="AH832" s="70"/>
      <c r="AI832" s="58"/>
      <c r="AJ832" s="55"/>
      <c r="AK832" s="51"/>
      <c r="AL832" s="69"/>
      <c r="AM832" s="56"/>
      <c r="AN832" s="52"/>
      <c r="AO832" s="51"/>
      <c r="AP832" s="70"/>
      <c r="AQ832" s="58"/>
      <c r="AR832" s="55"/>
      <c r="AS832" s="51"/>
      <c r="AT832" s="69"/>
      <c r="AU832" s="56"/>
      <c r="AV832" s="52"/>
      <c r="AW832" s="51"/>
      <c r="BR832" s="34" t="str">
        <f>IF(E832="","",CONCATENATE(E832," ",F832," noches"))</f>
        <v/>
      </c>
      <c r="BS832" s="28" t="str">
        <f t="shared" ca="1" si="194"/>
        <v/>
      </c>
      <c r="BT832" s="28" t="str">
        <f t="shared" ca="1" si="195"/>
        <v/>
      </c>
    </row>
    <row r="833" spans="1:72" x14ac:dyDescent="0.2">
      <c r="A833" s="18" t="str" cm="1">
        <f t="array" aca="1" ref="A833" ca="1">IF(B833="","","Grupo N˚"&amp;SUMPRODUCT(($B$4:B833&lt;&gt;"")*($B$4:B833&lt;&gt;OFFSET($B$4,-1,0,ROWS($B$4:B833),1))))</f>
        <v/>
      </c>
      <c r="B833" s="31"/>
      <c r="C833" s="31"/>
      <c r="D833" s="31"/>
      <c r="E833" s="31"/>
      <c r="F833" s="32"/>
      <c r="G833" s="33"/>
      <c r="H833" s="33"/>
      <c r="I833" s="20" t="str">
        <f t="shared" si="184"/>
        <v/>
      </c>
      <c r="J833" s="21" t="str">
        <f>IFERROR(VLOOKUP(BR833,Pricing!$D$3:$E$58,2,FALSE),"")</f>
        <v/>
      </c>
      <c r="K833" s="32"/>
      <c r="L833" s="32"/>
      <c r="M833" s="32"/>
      <c r="N833" s="36" t="str" cm="1">
        <f t="array" ref="N833">IFERROR(_xlfn.IFS((AND(K833="SI",M833="$")),J833*0.2,AND(K833="SI",M833="%"),20),"")</f>
        <v/>
      </c>
      <c r="O833" s="29" t="str">
        <f t="shared" si="185"/>
        <v/>
      </c>
      <c r="P833" s="21" t="str">
        <f t="shared" si="186"/>
        <v/>
      </c>
      <c r="Q833" s="21" t="str">
        <f t="shared" si="187"/>
        <v/>
      </c>
      <c r="R833" s="21" t="str">
        <f t="shared" si="188"/>
        <v/>
      </c>
      <c r="S833" s="39"/>
      <c r="T833" s="43" t="str">
        <f t="shared" si="196"/>
        <v/>
      </c>
      <c r="U833" s="49" t="str">
        <f t="shared" si="197"/>
        <v/>
      </c>
      <c r="V833" s="48" t="str">
        <f t="shared" si="198"/>
        <v/>
      </c>
      <c r="W833" s="48" t="str">
        <f t="shared" si="189"/>
        <v/>
      </c>
      <c r="X833" s="50" t="str">
        <f>IF(W833="","",SUMIF($B$4:$B$1002,B833,$W$4:$W$1000))</f>
        <v/>
      </c>
      <c r="Y833" s="43" t="str">
        <f t="shared" si="190"/>
        <v/>
      </c>
      <c r="Z833" s="49" t="str">
        <f t="shared" si="191"/>
        <v/>
      </c>
      <c r="AA833" s="48" t="str">
        <f t="shared" si="192"/>
        <v/>
      </c>
      <c r="AB833" s="49" t="str">
        <f t="shared" si="193"/>
        <v/>
      </c>
      <c r="AC833" s="50" t="str">
        <f>IF(AB833="","",SUMIF($B$4:$B$1002,B833,$AB$4:$AB$1000))</f>
        <v/>
      </c>
      <c r="AD833" s="69"/>
      <c r="AE833" s="56"/>
      <c r="AF833" s="52"/>
      <c r="AG833" s="51"/>
      <c r="AH833" s="70"/>
      <c r="AI833" s="58"/>
      <c r="AJ833" s="55"/>
      <c r="AK833" s="51"/>
      <c r="AL833" s="69"/>
      <c r="AM833" s="56"/>
      <c r="AN833" s="52"/>
      <c r="AO833" s="51"/>
      <c r="AP833" s="70"/>
      <c r="AQ833" s="58"/>
      <c r="AR833" s="55"/>
      <c r="AS833" s="51"/>
      <c r="AT833" s="69"/>
      <c r="AU833" s="56"/>
      <c r="AV833" s="52"/>
      <c r="AW833" s="51"/>
      <c r="BR833" s="34" t="str">
        <f>IF(E833="","",CONCATENATE(E833," ",F833," noches"))</f>
        <v/>
      </c>
      <c r="BS833" s="28" t="str">
        <f t="shared" ca="1" si="194"/>
        <v/>
      </c>
      <c r="BT833" s="28" t="str">
        <f t="shared" ca="1" si="195"/>
        <v/>
      </c>
    </row>
    <row r="834" spans="1:72" x14ac:dyDescent="0.2">
      <c r="A834" s="18" t="str" cm="1">
        <f t="array" aca="1" ref="A834" ca="1">IF(B834="","","Grupo N˚"&amp;SUMPRODUCT(($B$4:B834&lt;&gt;"")*($B$4:B834&lt;&gt;OFFSET($B$4,-1,0,ROWS($B$4:B834),1))))</f>
        <v/>
      </c>
      <c r="B834" s="31"/>
      <c r="C834" s="31"/>
      <c r="D834" s="31"/>
      <c r="E834" s="31"/>
      <c r="F834" s="32"/>
      <c r="G834" s="33"/>
      <c r="H834" s="33"/>
      <c r="I834" s="20" t="str">
        <f t="shared" si="184"/>
        <v/>
      </c>
      <c r="J834" s="21" t="str">
        <f>IFERROR(VLOOKUP(BR834,Pricing!$D$3:$E$58,2,FALSE),"")</f>
        <v/>
      </c>
      <c r="K834" s="32"/>
      <c r="L834" s="32"/>
      <c r="M834" s="32"/>
      <c r="N834" s="36" t="str" cm="1">
        <f t="array" ref="N834">IFERROR(_xlfn.IFS((AND(K834="SI",M834="$")),J834*0.2,AND(K834="SI",M834="%"),20),"")</f>
        <v/>
      </c>
      <c r="O834" s="29" t="str">
        <f t="shared" si="185"/>
        <v/>
      </c>
      <c r="P834" s="21" t="str">
        <f t="shared" si="186"/>
        <v/>
      </c>
      <c r="Q834" s="21" t="str">
        <f t="shared" si="187"/>
        <v/>
      </c>
      <c r="R834" s="21" t="str">
        <f t="shared" si="188"/>
        <v/>
      </c>
      <c r="S834" s="39"/>
      <c r="T834" s="43" t="str">
        <f t="shared" si="196"/>
        <v/>
      </c>
      <c r="U834" s="49" t="str">
        <f t="shared" si="197"/>
        <v/>
      </c>
      <c r="V834" s="48" t="str">
        <f t="shared" si="198"/>
        <v/>
      </c>
      <c r="W834" s="48" t="str">
        <f t="shared" si="189"/>
        <v/>
      </c>
      <c r="X834" s="50" t="str">
        <f>IF(W834="","",SUMIF($B$4:$B$1002,B834,$W$4:$W$1000))</f>
        <v/>
      </c>
      <c r="Y834" s="43" t="str">
        <f t="shared" si="190"/>
        <v/>
      </c>
      <c r="Z834" s="49" t="str">
        <f t="shared" si="191"/>
        <v/>
      </c>
      <c r="AA834" s="48" t="str">
        <f t="shared" si="192"/>
        <v/>
      </c>
      <c r="AB834" s="49" t="str">
        <f t="shared" si="193"/>
        <v/>
      </c>
      <c r="AC834" s="50" t="str">
        <f>IF(AB834="","",SUMIF($B$4:$B$1002,B834,$AB$4:$AB$1000))</f>
        <v/>
      </c>
      <c r="AD834" s="69"/>
      <c r="AE834" s="56"/>
      <c r="AF834" s="52"/>
      <c r="AG834" s="51"/>
      <c r="AH834" s="70"/>
      <c r="AI834" s="58"/>
      <c r="AJ834" s="55"/>
      <c r="AK834" s="51"/>
      <c r="AL834" s="69"/>
      <c r="AM834" s="56"/>
      <c r="AN834" s="52"/>
      <c r="AO834" s="51"/>
      <c r="AP834" s="70"/>
      <c r="AQ834" s="58"/>
      <c r="AR834" s="55"/>
      <c r="AS834" s="51"/>
      <c r="AT834" s="69"/>
      <c r="AU834" s="56"/>
      <c r="AV834" s="52"/>
      <c r="AW834" s="51"/>
      <c r="BR834" s="34" t="str">
        <f>IF(E834="","",CONCATENATE(E834," ",F834," noches"))</f>
        <v/>
      </c>
      <c r="BS834" s="28" t="str">
        <f t="shared" ca="1" si="194"/>
        <v/>
      </c>
      <c r="BT834" s="28" t="str">
        <f t="shared" ca="1" si="195"/>
        <v/>
      </c>
    </row>
    <row r="835" spans="1:72" x14ac:dyDescent="0.2">
      <c r="A835" s="18" t="str" cm="1">
        <f t="array" aca="1" ref="A835" ca="1">IF(B835="","","Grupo N˚"&amp;SUMPRODUCT(($B$4:B835&lt;&gt;"")*($B$4:B835&lt;&gt;OFFSET($B$4,-1,0,ROWS($B$4:B835),1))))</f>
        <v/>
      </c>
      <c r="B835" s="31"/>
      <c r="C835" s="31"/>
      <c r="D835" s="31"/>
      <c r="E835" s="31"/>
      <c r="F835" s="32"/>
      <c r="G835" s="33"/>
      <c r="H835" s="33"/>
      <c r="I835" s="20" t="str">
        <f t="shared" si="184"/>
        <v/>
      </c>
      <c r="J835" s="21" t="str">
        <f>IFERROR(VLOOKUP(BR835,Pricing!$D$3:$E$58,2,FALSE),"")</f>
        <v/>
      </c>
      <c r="K835" s="32"/>
      <c r="L835" s="32"/>
      <c r="M835" s="32"/>
      <c r="N835" s="36" t="str" cm="1">
        <f t="array" ref="N835">IFERROR(_xlfn.IFS((AND(K835="SI",M835="$")),J835*0.2,AND(K835="SI",M835="%"),20),"")</f>
        <v/>
      </c>
      <c r="O835" s="29" t="str">
        <f t="shared" si="185"/>
        <v/>
      </c>
      <c r="P835" s="21" t="str">
        <f t="shared" si="186"/>
        <v/>
      </c>
      <c r="Q835" s="21" t="str">
        <f t="shared" si="187"/>
        <v/>
      </c>
      <c r="R835" s="21" t="str">
        <f t="shared" si="188"/>
        <v/>
      </c>
      <c r="S835" s="39"/>
      <c r="T835" s="43" t="str">
        <f t="shared" si="196"/>
        <v/>
      </c>
      <c r="U835" s="49" t="str">
        <f t="shared" si="197"/>
        <v/>
      </c>
      <c r="V835" s="48" t="str">
        <f t="shared" si="198"/>
        <v/>
      </c>
      <c r="W835" s="48" t="str">
        <f t="shared" si="189"/>
        <v/>
      </c>
      <c r="X835" s="50" t="str">
        <f>IF(W835="","",SUMIF($B$4:$B$1002,B835,$W$4:$W$1000))</f>
        <v/>
      </c>
      <c r="Y835" s="43" t="str">
        <f t="shared" si="190"/>
        <v/>
      </c>
      <c r="Z835" s="49" t="str">
        <f t="shared" si="191"/>
        <v/>
      </c>
      <c r="AA835" s="48" t="str">
        <f t="shared" si="192"/>
        <v/>
      </c>
      <c r="AB835" s="49" t="str">
        <f t="shared" si="193"/>
        <v/>
      </c>
      <c r="AC835" s="50" t="str">
        <f>IF(AB835="","",SUMIF($B$4:$B$1002,B835,$AB$4:$AB$1000))</f>
        <v/>
      </c>
      <c r="AD835" s="69"/>
      <c r="AE835" s="56"/>
      <c r="AF835" s="52"/>
      <c r="AG835" s="51"/>
      <c r="AH835" s="70"/>
      <c r="AI835" s="58"/>
      <c r="AJ835" s="55"/>
      <c r="AK835" s="51"/>
      <c r="AL835" s="69"/>
      <c r="AM835" s="56"/>
      <c r="AN835" s="52"/>
      <c r="AO835" s="51"/>
      <c r="AP835" s="70"/>
      <c r="AQ835" s="58"/>
      <c r="AR835" s="55"/>
      <c r="AS835" s="51"/>
      <c r="AT835" s="69"/>
      <c r="AU835" s="56"/>
      <c r="AV835" s="52"/>
      <c r="AW835" s="51"/>
      <c r="BR835" s="34" t="str">
        <f>IF(E835="","",CONCATENATE(E835," ",F835," noches"))</f>
        <v/>
      </c>
      <c r="BS835" s="28" t="str">
        <f t="shared" ca="1" si="194"/>
        <v/>
      </c>
      <c r="BT835" s="28" t="str">
        <f t="shared" ca="1" si="195"/>
        <v/>
      </c>
    </row>
    <row r="836" spans="1:72" x14ac:dyDescent="0.2">
      <c r="A836" s="18" t="str" cm="1">
        <f t="array" aca="1" ref="A836" ca="1">IF(B836="","","Grupo N˚"&amp;SUMPRODUCT(($B$4:B836&lt;&gt;"")*($B$4:B836&lt;&gt;OFFSET($B$4,-1,0,ROWS($B$4:B836),1))))</f>
        <v/>
      </c>
      <c r="B836" s="31"/>
      <c r="C836" s="31"/>
      <c r="D836" s="31"/>
      <c r="E836" s="31"/>
      <c r="F836" s="32"/>
      <c r="G836" s="33"/>
      <c r="H836" s="33"/>
      <c r="I836" s="20" t="str">
        <f t="shared" si="184"/>
        <v/>
      </c>
      <c r="J836" s="21" t="str">
        <f>IFERROR(VLOOKUP(BR836,Pricing!$D$3:$E$58,2,FALSE),"")</f>
        <v/>
      </c>
      <c r="K836" s="32"/>
      <c r="L836" s="32"/>
      <c r="M836" s="32"/>
      <c r="N836" s="36" t="str" cm="1">
        <f t="array" ref="N836">IFERROR(_xlfn.IFS((AND(K836="SI",M836="$")),J836*0.2,AND(K836="SI",M836="%"),20),"")</f>
        <v/>
      </c>
      <c r="O836" s="29" t="str">
        <f t="shared" si="185"/>
        <v/>
      </c>
      <c r="P836" s="21" t="str">
        <f t="shared" si="186"/>
        <v/>
      </c>
      <c r="Q836" s="21" t="str">
        <f t="shared" si="187"/>
        <v/>
      </c>
      <c r="R836" s="21" t="str">
        <f t="shared" si="188"/>
        <v/>
      </c>
      <c r="S836" s="39"/>
      <c r="T836" s="43" t="str">
        <f t="shared" si="196"/>
        <v/>
      </c>
      <c r="U836" s="49" t="str">
        <f t="shared" si="197"/>
        <v/>
      </c>
      <c r="V836" s="48" t="str">
        <f t="shared" si="198"/>
        <v/>
      </c>
      <c r="W836" s="48" t="str">
        <f t="shared" si="189"/>
        <v/>
      </c>
      <c r="X836" s="50" t="str">
        <f>IF(W836="","",SUMIF($B$4:$B$1002,B836,$W$4:$W$1000))</f>
        <v/>
      </c>
      <c r="Y836" s="43" t="str">
        <f t="shared" si="190"/>
        <v/>
      </c>
      <c r="Z836" s="49" t="str">
        <f t="shared" si="191"/>
        <v/>
      </c>
      <c r="AA836" s="48" t="str">
        <f t="shared" si="192"/>
        <v/>
      </c>
      <c r="AB836" s="49" t="str">
        <f t="shared" si="193"/>
        <v/>
      </c>
      <c r="AC836" s="50" t="str">
        <f>IF(AB836="","",SUMIF($B$4:$B$1002,B836,$AB$4:$AB$1000))</f>
        <v/>
      </c>
      <c r="AD836" s="69"/>
      <c r="AE836" s="56"/>
      <c r="AF836" s="52"/>
      <c r="AG836" s="51"/>
      <c r="AH836" s="70"/>
      <c r="AI836" s="58"/>
      <c r="AJ836" s="55"/>
      <c r="AK836" s="51"/>
      <c r="AL836" s="69"/>
      <c r="AM836" s="56"/>
      <c r="AN836" s="52"/>
      <c r="AO836" s="51"/>
      <c r="AP836" s="70"/>
      <c r="AQ836" s="58"/>
      <c r="AR836" s="55"/>
      <c r="AS836" s="51"/>
      <c r="AT836" s="69"/>
      <c r="AU836" s="56"/>
      <c r="AV836" s="52"/>
      <c r="AW836" s="51"/>
      <c r="BR836" s="34" t="str">
        <f>IF(E836="","",CONCATENATE(E836," ",F836," noches"))</f>
        <v/>
      </c>
      <c r="BS836" s="28" t="str">
        <f t="shared" ca="1" si="194"/>
        <v/>
      </c>
      <c r="BT836" s="28" t="str">
        <f t="shared" ca="1" si="195"/>
        <v/>
      </c>
    </row>
    <row r="837" spans="1:72" x14ac:dyDescent="0.2">
      <c r="A837" s="18" t="str" cm="1">
        <f t="array" aca="1" ref="A837" ca="1">IF(B837="","","Grupo N˚"&amp;SUMPRODUCT(($B$4:B837&lt;&gt;"")*($B$4:B837&lt;&gt;OFFSET($B$4,-1,0,ROWS($B$4:B837),1))))</f>
        <v/>
      </c>
      <c r="B837" s="31"/>
      <c r="C837" s="31"/>
      <c r="D837" s="31"/>
      <c r="E837" s="31"/>
      <c r="F837" s="32"/>
      <c r="G837" s="33"/>
      <c r="H837" s="33"/>
      <c r="I837" s="20" t="str">
        <f t="shared" ref="I837:I900" si="199">+IF(H837="","",G837+H837)</f>
        <v/>
      </c>
      <c r="J837" s="21" t="str">
        <f>IFERROR(VLOOKUP(BR837,Pricing!$D$3:$E$58,2,FALSE),"")</f>
        <v/>
      </c>
      <c r="K837" s="32"/>
      <c r="L837" s="32"/>
      <c r="M837" s="32"/>
      <c r="N837" s="36" t="str" cm="1">
        <f t="array" ref="N837">IFERROR(_xlfn.IFS((AND(K837="SI",M837="$")),J837*0.2,AND(K837="SI",M837="%"),20),"")</f>
        <v/>
      </c>
      <c r="O837" s="29" t="str">
        <f t="shared" ref="O837:O900" si="200">IFERROR(IF($M837="%",
             IF(N(N837)&gt;1, N(N837)/100, N(N837)),
             IF(AND($J837&gt;0,$M837="$"), N(N837)/$J837, "")
            ),"")</f>
        <v/>
      </c>
      <c r="P837" s="21" t="str">
        <f t="shared" ref="P837:P900" si="201">IFERROR(IF(M837="$", N(N837), IF(M837="%", J837*N(N837/100), "")), "")</f>
        <v/>
      </c>
      <c r="Q837" s="21" t="str">
        <f t="shared" ref="Q837:Q900" si="202">IF(J837="","",J837*(1-N(O837)))</f>
        <v/>
      </c>
      <c r="R837" s="21" t="str">
        <f t="shared" ref="R837:R900" si="203">IF(Q837="","",Q837/1.19)</f>
        <v/>
      </c>
      <c r="S837" s="39"/>
      <c r="T837" s="43" t="str">
        <f t="shared" si="196"/>
        <v/>
      </c>
      <c r="U837" s="49" t="str">
        <f t="shared" si="197"/>
        <v/>
      </c>
      <c r="V837" s="48" t="str">
        <f t="shared" si="198"/>
        <v/>
      </c>
      <c r="W837" s="48" t="str">
        <f t="shared" ref="W837:W900" si="204">IFERROR(U837-N(V837),"")</f>
        <v/>
      </c>
      <c r="X837" s="50" t="str">
        <f>IF(W837="","",SUMIF($B$4:$B$1002,B837,$W$4:$W$1000))</f>
        <v/>
      </c>
      <c r="Y837" s="43" t="str">
        <f t="shared" ref="Y837:Y900" si="205">IF(AB837="","",IFERROR(
 IF(AND(ABS(N(AB837))&lt;0.5, BT837&gt;=23), "Sin deuda",
  IF(AND(N(AB837)&gt;0, BT837&gt;=23), "Con deuda",
   IF(AND(N(AB837)&gt;0, BT837&lt;23), "Moroso", "")
  )
),""))</f>
        <v/>
      </c>
      <c r="Z837" s="49" t="str">
        <f t="shared" ref="Z837:Z900" si="206">IF(R837="","",R837/2)</f>
        <v/>
      </c>
      <c r="AA837" s="48" t="str">
        <f t="shared" ref="AA837:AA900" si="207">IF(AD837="","",SUM(
 IF(ISNUMBER(SEARCH("saldo",AD837)),AF837,0),
 IF(ISNUMBER(SEARCH("saldo",AH837)),AJ837,0),
 IF(ISNUMBER(SEARCH("saldo",AL837)),AN837,0),
 IF(ISNUMBER(SEARCH("saldo",AP837)),AR837,0),
 IF(ISNUMBER(SEARCH("saldo",AT837)),AV837,0)
))</f>
        <v/>
      </c>
      <c r="AB837" s="49" t="str">
        <f t="shared" ref="AB837:AB900" si="208">IFERROR(Z837-N(AA837),"")</f>
        <v/>
      </c>
      <c r="AC837" s="50" t="str">
        <f>IF(AB837="","",SUMIF($B$4:$B$1002,B837,$AB$4:$AB$1000))</f>
        <v/>
      </c>
      <c r="AD837" s="69"/>
      <c r="AE837" s="56"/>
      <c r="AF837" s="52"/>
      <c r="AG837" s="51"/>
      <c r="AH837" s="70"/>
      <c r="AI837" s="58"/>
      <c r="AJ837" s="55"/>
      <c r="AK837" s="51"/>
      <c r="AL837" s="69"/>
      <c r="AM837" s="56"/>
      <c r="AN837" s="52"/>
      <c r="AO837" s="51"/>
      <c r="AP837" s="70"/>
      <c r="AQ837" s="58"/>
      <c r="AR837" s="55"/>
      <c r="AS837" s="51"/>
      <c r="AT837" s="69"/>
      <c r="AU837" s="56"/>
      <c r="AV837" s="52"/>
      <c r="AW837" s="51"/>
      <c r="BR837" s="34" t="str">
        <f>IF(E837="","",CONCATENATE(E837," ",F837," noches"))</f>
        <v/>
      </c>
      <c r="BS837" s="28" t="str">
        <f t="shared" ref="BS837:BS900" ca="1" si="209">IF(G837="","",+TODAY()-G837)</f>
        <v/>
      </c>
      <c r="BT837" s="28" t="str">
        <f t="shared" ref="BT837:BT900" ca="1" si="210">IF(H837="","",H837-TODAY())</f>
        <v/>
      </c>
    </row>
    <row r="838" spans="1:72" x14ac:dyDescent="0.2">
      <c r="A838" s="18" t="str" cm="1">
        <f t="array" aca="1" ref="A838" ca="1">IF(B838="","","Grupo N˚"&amp;SUMPRODUCT(($B$4:B838&lt;&gt;"")*($B$4:B838&lt;&gt;OFFSET($B$4,-1,0,ROWS($B$4:B838),1))))</f>
        <v/>
      </c>
      <c r="B838" s="31"/>
      <c r="C838" s="31"/>
      <c r="D838" s="31"/>
      <c r="E838" s="31"/>
      <c r="F838" s="32"/>
      <c r="G838" s="33"/>
      <c r="H838" s="33"/>
      <c r="I838" s="20" t="str">
        <f t="shared" si="199"/>
        <v/>
      </c>
      <c r="J838" s="21" t="str">
        <f>IFERROR(VLOOKUP(BR838,Pricing!$D$3:$E$58,2,FALSE),"")</f>
        <v/>
      </c>
      <c r="K838" s="32"/>
      <c r="L838" s="32"/>
      <c r="M838" s="32"/>
      <c r="N838" s="36" t="str" cm="1">
        <f t="array" ref="N838">IFERROR(_xlfn.IFS((AND(K838="SI",M838="$")),J838*0.2,AND(K838="SI",M838="%"),20),"")</f>
        <v/>
      </c>
      <c r="O838" s="29" t="str">
        <f t="shared" si="200"/>
        <v/>
      </c>
      <c r="P838" s="21" t="str">
        <f t="shared" si="201"/>
        <v/>
      </c>
      <c r="Q838" s="21" t="str">
        <f t="shared" si="202"/>
        <v/>
      </c>
      <c r="R838" s="21" t="str">
        <f t="shared" si="203"/>
        <v/>
      </c>
      <c r="S838" s="39"/>
      <c r="T838" s="43" t="str">
        <f t="shared" si="196"/>
        <v/>
      </c>
      <c r="U838" s="49" t="str">
        <f t="shared" si="197"/>
        <v/>
      </c>
      <c r="V838" s="48" t="str">
        <f t="shared" si="198"/>
        <v/>
      </c>
      <c r="W838" s="48" t="str">
        <f t="shared" si="204"/>
        <v/>
      </c>
      <c r="X838" s="50" t="str">
        <f>IF(W838="","",SUMIF($B$4:$B$1002,B838,$W$4:$W$1000))</f>
        <v/>
      </c>
      <c r="Y838" s="43" t="str">
        <f t="shared" si="205"/>
        <v/>
      </c>
      <c r="Z838" s="49" t="str">
        <f t="shared" si="206"/>
        <v/>
      </c>
      <c r="AA838" s="48" t="str">
        <f t="shared" si="207"/>
        <v/>
      </c>
      <c r="AB838" s="49" t="str">
        <f t="shared" si="208"/>
        <v/>
      </c>
      <c r="AC838" s="50" t="str">
        <f>IF(AB838="","",SUMIF($B$4:$B$1002,B838,$AB$4:$AB$1000))</f>
        <v/>
      </c>
      <c r="AD838" s="69"/>
      <c r="AE838" s="56"/>
      <c r="AF838" s="52"/>
      <c r="AG838" s="51"/>
      <c r="AH838" s="70"/>
      <c r="AI838" s="58"/>
      <c r="AJ838" s="55"/>
      <c r="AK838" s="51"/>
      <c r="AL838" s="69"/>
      <c r="AM838" s="56"/>
      <c r="AN838" s="52"/>
      <c r="AO838" s="51"/>
      <c r="AP838" s="70"/>
      <c r="AQ838" s="58"/>
      <c r="AR838" s="55"/>
      <c r="AS838" s="51"/>
      <c r="AT838" s="69"/>
      <c r="AU838" s="56"/>
      <c r="AV838" s="52"/>
      <c r="AW838" s="51"/>
      <c r="BR838" s="34" t="str">
        <f>IF(E838="","",CONCATENATE(E838," ",F838," noches"))</f>
        <v/>
      </c>
      <c r="BS838" s="28" t="str">
        <f t="shared" ca="1" si="209"/>
        <v/>
      </c>
      <c r="BT838" s="28" t="str">
        <f t="shared" ca="1" si="210"/>
        <v/>
      </c>
    </row>
    <row r="839" spans="1:72" x14ac:dyDescent="0.2">
      <c r="A839" s="18" t="str" cm="1">
        <f t="array" aca="1" ref="A839" ca="1">IF(B839="","","Grupo N˚"&amp;SUMPRODUCT(($B$4:B839&lt;&gt;"")*($B$4:B839&lt;&gt;OFFSET($B$4,-1,0,ROWS($B$4:B839),1))))</f>
        <v/>
      </c>
      <c r="B839" s="31"/>
      <c r="C839" s="31"/>
      <c r="D839" s="31"/>
      <c r="E839" s="31"/>
      <c r="F839" s="32"/>
      <c r="G839" s="33"/>
      <c r="H839" s="33"/>
      <c r="I839" s="20" t="str">
        <f t="shared" si="199"/>
        <v/>
      </c>
      <c r="J839" s="21" t="str">
        <f>IFERROR(VLOOKUP(BR839,Pricing!$D$3:$E$58,2,FALSE),"")</f>
        <v/>
      </c>
      <c r="K839" s="32"/>
      <c r="L839" s="32"/>
      <c r="M839" s="32"/>
      <c r="N839" s="36" t="str" cm="1">
        <f t="array" ref="N839">IFERROR(_xlfn.IFS((AND(K839="SI",M839="$")),J839*0.2,AND(K839="SI",M839="%"),20),"")</f>
        <v/>
      </c>
      <c r="O839" s="29" t="str">
        <f t="shared" si="200"/>
        <v/>
      </c>
      <c r="P839" s="21" t="str">
        <f t="shared" si="201"/>
        <v/>
      </c>
      <c r="Q839" s="21" t="str">
        <f t="shared" si="202"/>
        <v/>
      </c>
      <c r="R839" s="21" t="str">
        <f t="shared" si="203"/>
        <v/>
      </c>
      <c r="S839" s="39"/>
      <c r="T839" s="43" t="str">
        <f t="shared" si="196"/>
        <v/>
      </c>
      <c r="U839" s="49" t="str">
        <f t="shared" si="197"/>
        <v/>
      </c>
      <c r="V839" s="48" t="str">
        <f t="shared" si="198"/>
        <v/>
      </c>
      <c r="W839" s="48" t="str">
        <f t="shared" si="204"/>
        <v/>
      </c>
      <c r="X839" s="50" t="str">
        <f>IF(W839="","",SUMIF($B$4:$B$1002,B839,$W$4:$W$1000))</f>
        <v/>
      </c>
      <c r="Y839" s="43" t="str">
        <f t="shared" si="205"/>
        <v/>
      </c>
      <c r="Z839" s="49" t="str">
        <f t="shared" si="206"/>
        <v/>
      </c>
      <c r="AA839" s="48" t="str">
        <f t="shared" si="207"/>
        <v/>
      </c>
      <c r="AB839" s="49" t="str">
        <f t="shared" si="208"/>
        <v/>
      </c>
      <c r="AC839" s="50" t="str">
        <f>IF(AB839="","",SUMIF($B$4:$B$1002,B839,$AB$4:$AB$1000))</f>
        <v/>
      </c>
      <c r="AD839" s="69"/>
      <c r="AE839" s="56"/>
      <c r="AF839" s="52"/>
      <c r="AG839" s="51"/>
      <c r="AH839" s="70"/>
      <c r="AI839" s="58"/>
      <c r="AJ839" s="55"/>
      <c r="AK839" s="51"/>
      <c r="AL839" s="69"/>
      <c r="AM839" s="56"/>
      <c r="AN839" s="52"/>
      <c r="AO839" s="51"/>
      <c r="AP839" s="70"/>
      <c r="AQ839" s="58"/>
      <c r="AR839" s="55"/>
      <c r="AS839" s="51"/>
      <c r="AT839" s="69"/>
      <c r="AU839" s="56"/>
      <c r="AV839" s="52"/>
      <c r="AW839" s="51"/>
      <c r="BR839" s="34" t="str">
        <f>IF(E839="","",CONCATENATE(E839," ",F839," noches"))</f>
        <v/>
      </c>
      <c r="BS839" s="28" t="str">
        <f t="shared" ca="1" si="209"/>
        <v/>
      </c>
      <c r="BT839" s="28" t="str">
        <f t="shared" ca="1" si="210"/>
        <v/>
      </c>
    </row>
    <row r="840" spans="1:72" x14ac:dyDescent="0.2">
      <c r="A840" s="18" t="str" cm="1">
        <f t="array" aca="1" ref="A840" ca="1">IF(B840="","","Grupo N˚"&amp;SUMPRODUCT(($B$4:B840&lt;&gt;"")*($B$4:B840&lt;&gt;OFFSET($B$4,-1,0,ROWS($B$4:B840),1))))</f>
        <v/>
      </c>
      <c r="B840" s="31"/>
      <c r="C840" s="31"/>
      <c r="D840" s="31"/>
      <c r="E840" s="31"/>
      <c r="F840" s="32"/>
      <c r="G840" s="33"/>
      <c r="H840" s="33"/>
      <c r="I840" s="20" t="str">
        <f t="shared" si="199"/>
        <v/>
      </c>
      <c r="J840" s="21" t="str">
        <f>IFERROR(VLOOKUP(BR840,Pricing!$D$3:$E$58,2,FALSE),"")</f>
        <v/>
      </c>
      <c r="K840" s="32"/>
      <c r="L840" s="32"/>
      <c r="M840" s="32"/>
      <c r="N840" s="36" t="str" cm="1">
        <f t="array" ref="N840">IFERROR(_xlfn.IFS((AND(K840="SI",M840="$")),J840*0.2,AND(K840="SI",M840="%"),20),"")</f>
        <v/>
      </c>
      <c r="O840" s="29" t="str">
        <f t="shared" si="200"/>
        <v/>
      </c>
      <c r="P840" s="21" t="str">
        <f t="shared" si="201"/>
        <v/>
      </c>
      <c r="Q840" s="21" t="str">
        <f t="shared" si="202"/>
        <v/>
      </c>
      <c r="R840" s="21" t="str">
        <f t="shared" si="203"/>
        <v/>
      </c>
      <c r="S840" s="39"/>
      <c r="T840" s="43" t="str">
        <f t="shared" si="196"/>
        <v/>
      </c>
      <c r="U840" s="49" t="str">
        <f t="shared" si="197"/>
        <v/>
      </c>
      <c r="V840" s="48" t="str">
        <f t="shared" si="198"/>
        <v/>
      </c>
      <c r="W840" s="48" t="str">
        <f t="shared" si="204"/>
        <v/>
      </c>
      <c r="X840" s="50" t="str">
        <f>IF(W840="","",SUMIF($B$4:$B$1002,B840,$W$4:$W$1000))</f>
        <v/>
      </c>
      <c r="Y840" s="43" t="str">
        <f t="shared" si="205"/>
        <v/>
      </c>
      <c r="Z840" s="49" t="str">
        <f t="shared" si="206"/>
        <v/>
      </c>
      <c r="AA840" s="48" t="str">
        <f t="shared" si="207"/>
        <v/>
      </c>
      <c r="AB840" s="49" t="str">
        <f t="shared" si="208"/>
        <v/>
      </c>
      <c r="AC840" s="50" t="str">
        <f>IF(AB840="","",SUMIF($B$4:$B$1002,B840,$AB$4:$AB$1000))</f>
        <v/>
      </c>
      <c r="AD840" s="69"/>
      <c r="AE840" s="56"/>
      <c r="AF840" s="52"/>
      <c r="AG840" s="51"/>
      <c r="AH840" s="70"/>
      <c r="AI840" s="58"/>
      <c r="AJ840" s="55"/>
      <c r="AK840" s="51"/>
      <c r="AL840" s="69"/>
      <c r="AM840" s="56"/>
      <c r="AN840" s="52"/>
      <c r="AO840" s="51"/>
      <c r="AP840" s="70"/>
      <c r="AQ840" s="58"/>
      <c r="AR840" s="55"/>
      <c r="AS840" s="51"/>
      <c r="AT840" s="69"/>
      <c r="AU840" s="56"/>
      <c r="AV840" s="52"/>
      <c r="AW840" s="51"/>
      <c r="BR840" s="34" t="str">
        <f>IF(E840="","",CONCATENATE(E840," ",F840," noches"))</f>
        <v/>
      </c>
      <c r="BS840" s="28" t="str">
        <f t="shared" ca="1" si="209"/>
        <v/>
      </c>
      <c r="BT840" s="28" t="str">
        <f t="shared" ca="1" si="210"/>
        <v/>
      </c>
    </row>
    <row r="841" spans="1:72" x14ac:dyDescent="0.2">
      <c r="A841" s="18" t="str" cm="1">
        <f t="array" aca="1" ref="A841" ca="1">IF(B841="","","Grupo N˚"&amp;SUMPRODUCT(($B$4:B841&lt;&gt;"")*($B$4:B841&lt;&gt;OFFSET($B$4,-1,0,ROWS($B$4:B841),1))))</f>
        <v/>
      </c>
      <c r="B841" s="31"/>
      <c r="C841" s="31"/>
      <c r="D841" s="31"/>
      <c r="E841" s="31"/>
      <c r="F841" s="32"/>
      <c r="G841" s="33"/>
      <c r="H841" s="33"/>
      <c r="I841" s="20" t="str">
        <f t="shared" si="199"/>
        <v/>
      </c>
      <c r="J841" s="21" t="str">
        <f>IFERROR(VLOOKUP(BR841,Pricing!$D$3:$E$58,2,FALSE),"")</f>
        <v/>
      </c>
      <c r="K841" s="32"/>
      <c r="L841" s="32"/>
      <c r="M841" s="32"/>
      <c r="N841" s="36" t="str" cm="1">
        <f t="array" ref="N841">IFERROR(_xlfn.IFS((AND(K841="SI",M841="$")),J841*0.2,AND(K841="SI",M841="%"),20),"")</f>
        <v/>
      </c>
      <c r="O841" s="29" t="str">
        <f t="shared" si="200"/>
        <v/>
      </c>
      <c r="P841" s="21" t="str">
        <f t="shared" si="201"/>
        <v/>
      </c>
      <c r="Q841" s="21" t="str">
        <f t="shared" si="202"/>
        <v/>
      </c>
      <c r="R841" s="21" t="str">
        <f t="shared" si="203"/>
        <v/>
      </c>
      <c r="S841" s="39"/>
      <c r="T841" s="43" t="str">
        <f t="shared" ref="T841:T904" si="211">IF(W841="","",IFERROR(
 IF(AND(ABS(N(W841))&lt;0.5, BS841&lt;=7), "Sin deuda",
  IF(AND(N(W841)&gt;0, BS841&lt;=7), "Con deuda",
   IF(AND(N(W841)&gt;0, BS841&gt;7), "Moroso", "")
  )
)," "))</f>
        <v/>
      </c>
      <c r="U841" s="49" t="str">
        <f t="shared" si="197"/>
        <v/>
      </c>
      <c r="V841" s="48" t="str">
        <f t="shared" si="198"/>
        <v/>
      </c>
      <c r="W841" s="48" t="str">
        <f t="shared" si="204"/>
        <v/>
      </c>
      <c r="X841" s="50" t="str">
        <f>IF(W841="","",SUMIF($B$4:$B$1002,B841,$W$4:$W$1000))</f>
        <v/>
      </c>
      <c r="Y841" s="43" t="str">
        <f t="shared" si="205"/>
        <v/>
      </c>
      <c r="Z841" s="49" t="str">
        <f t="shared" si="206"/>
        <v/>
      </c>
      <c r="AA841" s="48" t="str">
        <f t="shared" si="207"/>
        <v/>
      </c>
      <c r="AB841" s="49" t="str">
        <f t="shared" si="208"/>
        <v/>
      </c>
      <c r="AC841" s="50" t="str">
        <f>IF(AB841="","",SUMIF($B$4:$B$1002,B841,$AB$4:$AB$1000))</f>
        <v/>
      </c>
      <c r="AD841" s="69"/>
      <c r="AE841" s="56"/>
      <c r="AF841" s="52"/>
      <c r="AG841" s="51"/>
      <c r="AH841" s="70"/>
      <c r="AI841" s="58"/>
      <c r="AJ841" s="55"/>
      <c r="AK841" s="51"/>
      <c r="AL841" s="69"/>
      <c r="AM841" s="56"/>
      <c r="AN841" s="52"/>
      <c r="AO841" s="51"/>
      <c r="AP841" s="70"/>
      <c r="AQ841" s="58"/>
      <c r="AR841" s="55"/>
      <c r="AS841" s="51"/>
      <c r="AT841" s="69"/>
      <c r="AU841" s="56"/>
      <c r="AV841" s="52"/>
      <c r="AW841" s="51"/>
      <c r="BR841" s="34" t="str">
        <f>IF(E841="","",CONCATENATE(E841," ",F841," noches"))</f>
        <v/>
      </c>
      <c r="BS841" s="28" t="str">
        <f t="shared" ca="1" si="209"/>
        <v/>
      </c>
      <c r="BT841" s="28" t="str">
        <f t="shared" ca="1" si="210"/>
        <v/>
      </c>
    </row>
    <row r="842" spans="1:72" x14ac:dyDescent="0.2">
      <c r="A842" s="18" t="str" cm="1">
        <f t="array" aca="1" ref="A842" ca="1">IF(B842="","","Grupo N˚"&amp;SUMPRODUCT(($B$4:B842&lt;&gt;"")*($B$4:B842&lt;&gt;OFFSET($B$4,-1,0,ROWS($B$4:B842),1))))</f>
        <v/>
      </c>
      <c r="B842" s="31"/>
      <c r="C842" s="31"/>
      <c r="D842" s="31"/>
      <c r="E842" s="31"/>
      <c r="F842" s="32"/>
      <c r="G842" s="33"/>
      <c r="H842" s="33"/>
      <c r="I842" s="20" t="str">
        <f t="shared" si="199"/>
        <v/>
      </c>
      <c r="J842" s="21" t="str">
        <f>IFERROR(VLOOKUP(BR842,Pricing!$D$3:$E$58,2,FALSE),"")</f>
        <v/>
      </c>
      <c r="K842" s="32"/>
      <c r="L842" s="32"/>
      <c r="M842" s="32"/>
      <c r="N842" s="36" t="str" cm="1">
        <f t="array" ref="N842">IFERROR(_xlfn.IFS((AND(K842="SI",M842="$")),J842*0.2,AND(K842="SI",M842="%"),20),"")</f>
        <v/>
      </c>
      <c r="O842" s="29" t="str">
        <f t="shared" si="200"/>
        <v/>
      </c>
      <c r="P842" s="21" t="str">
        <f t="shared" si="201"/>
        <v/>
      </c>
      <c r="Q842" s="21" t="str">
        <f t="shared" si="202"/>
        <v/>
      </c>
      <c r="R842" s="21" t="str">
        <f t="shared" si="203"/>
        <v/>
      </c>
      <c r="S842" s="39"/>
      <c r="T842" s="43" t="str">
        <f t="shared" si="211"/>
        <v/>
      </c>
      <c r="U842" s="49" t="str">
        <f t="shared" si="197"/>
        <v/>
      </c>
      <c r="V842" s="48" t="str">
        <f t="shared" si="198"/>
        <v/>
      </c>
      <c r="W842" s="48" t="str">
        <f t="shared" si="204"/>
        <v/>
      </c>
      <c r="X842" s="50" t="str">
        <f>IF(W842="","",SUMIF($B$4:$B$1002,B842,$W$4:$W$1000))</f>
        <v/>
      </c>
      <c r="Y842" s="43" t="str">
        <f t="shared" si="205"/>
        <v/>
      </c>
      <c r="Z842" s="49" t="str">
        <f t="shared" si="206"/>
        <v/>
      </c>
      <c r="AA842" s="48" t="str">
        <f t="shared" si="207"/>
        <v/>
      </c>
      <c r="AB842" s="49" t="str">
        <f t="shared" si="208"/>
        <v/>
      </c>
      <c r="AC842" s="50" t="str">
        <f>IF(AB842="","",SUMIF($B$4:$B$1002,B842,$AB$4:$AB$1000))</f>
        <v/>
      </c>
      <c r="AD842" s="69"/>
      <c r="AE842" s="56"/>
      <c r="AF842" s="52"/>
      <c r="AG842" s="51"/>
      <c r="AH842" s="70"/>
      <c r="AI842" s="58"/>
      <c r="AJ842" s="55"/>
      <c r="AK842" s="51"/>
      <c r="AL842" s="69"/>
      <c r="AM842" s="56"/>
      <c r="AN842" s="52"/>
      <c r="AO842" s="51"/>
      <c r="AP842" s="70"/>
      <c r="AQ842" s="58"/>
      <c r="AR842" s="55"/>
      <c r="AS842" s="51"/>
      <c r="AT842" s="69"/>
      <c r="AU842" s="56"/>
      <c r="AV842" s="52"/>
      <c r="AW842" s="51"/>
      <c r="BR842" s="34" t="str">
        <f>IF(E842="","",CONCATENATE(E842," ",F842," noches"))</f>
        <v/>
      </c>
      <c r="BS842" s="28" t="str">
        <f t="shared" ca="1" si="209"/>
        <v/>
      </c>
      <c r="BT842" s="28" t="str">
        <f t="shared" ca="1" si="210"/>
        <v/>
      </c>
    </row>
    <row r="843" spans="1:72" x14ac:dyDescent="0.2">
      <c r="A843" s="18" t="str" cm="1">
        <f t="array" aca="1" ref="A843" ca="1">IF(B843="","","Grupo N˚"&amp;SUMPRODUCT(($B$4:B843&lt;&gt;"")*($B$4:B843&lt;&gt;OFFSET($B$4,-1,0,ROWS($B$4:B843),1))))</f>
        <v/>
      </c>
      <c r="B843" s="31"/>
      <c r="C843" s="31"/>
      <c r="D843" s="31"/>
      <c r="E843" s="31"/>
      <c r="F843" s="32"/>
      <c r="G843" s="33"/>
      <c r="H843" s="33"/>
      <c r="I843" s="20" t="str">
        <f t="shared" si="199"/>
        <v/>
      </c>
      <c r="J843" s="21" t="str">
        <f>IFERROR(VLOOKUP(BR843,Pricing!$D$3:$E$58,2,FALSE),"")</f>
        <v/>
      </c>
      <c r="K843" s="32"/>
      <c r="L843" s="32"/>
      <c r="M843" s="32"/>
      <c r="N843" s="36" t="str" cm="1">
        <f t="array" ref="N843">IFERROR(_xlfn.IFS((AND(K843="SI",M843="$")),J843*0.2,AND(K843="SI",M843="%"),20),"")</f>
        <v/>
      </c>
      <c r="O843" s="29" t="str">
        <f t="shared" si="200"/>
        <v/>
      </c>
      <c r="P843" s="21" t="str">
        <f t="shared" si="201"/>
        <v/>
      </c>
      <c r="Q843" s="21" t="str">
        <f t="shared" si="202"/>
        <v/>
      </c>
      <c r="R843" s="21" t="str">
        <f t="shared" si="203"/>
        <v/>
      </c>
      <c r="S843" s="39"/>
      <c r="T843" s="43" t="str">
        <f t="shared" si="211"/>
        <v/>
      </c>
      <c r="U843" s="49" t="str">
        <f t="shared" si="197"/>
        <v/>
      </c>
      <c r="V843" s="48" t="str">
        <f t="shared" si="198"/>
        <v/>
      </c>
      <c r="W843" s="48" t="str">
        <f t="shared" si="204"/>
        <v/>
      </c>
      <c r="X843" s="50" t="str">
        <f>IF(W843="","",SUMIF($B$4:$B$1002,B843,$W$4:$W$1000))</f>
        <v/>
      </c>
      <c r="Y843" s="43" t="str">
        <f t="shared" si="205"/>
        <v/>
      </c>
      <c r="Z843" s="49" t="str">
        <f t="shared" si="206"/>
        <v/>
      </c>
      <c r="AA843" s="48" t="str">
        <f t="shared" si="207"/>
        <v/>
      </c>
      <c r="AB843" s="49" t="str">
        <f t="shared" si="208"/>
        <v/>
      </c>
      <c r="AC843" s="50" t="str">
        <f>IF(AB843="","",SUMIF($B$4:$B$1002,B843,$AB$4:$AB$1000))</f>
        <v/>
      </c>
      <c r="AD843" s="69"/>
      <c r="AE843" s="56"/>
      <c r="AF843" s="52"/>
      <c r="AG843" s="51"/>
      <c r="AH843" s="70"/>
      <c r="AI843" s="58"/>
      <c r="AJ843" s="55"/>
      <c r="AK843" s="51"/>
      <c r="AL843" s="69"/>
      <c r="AM843" s="56"/>
      <c r="AN843" s="52"/>
      <c r="AO843" s="51"/>
      <c r="AP843" s="70"/>
      <c r="AQ843" s="58"/>
      <c r="AR843" s="55"/>
      <c r="AS843" s="51"/>
      <c r="AT843" s="69"/>
      <c r="AU843" s="56"/>
      <c r="AV843" s="52"/>
      <c r="AW843" s="51"/>
      <c r="BR843" s="34" t="str">
        <f>IF(E843="","",CONCATENATE(E843," ",F843," noches"))</f>
        <v/>
      </c>
      <c r="BS843" s="28" t="str">
        <f t="shared" ca="1" si="209"/>
        <v/>
      </c>
      <c r="BT843" s="28" t="str">
        <f t="shared" ca="1" si="210"/>
        <v/>
      </c>
    </row>
    <row r="844" spans="1:72" x14ac:dyDescent="0.2">
      <c r="A844" s="18" t="str" cm="1">
        <f t="array" aca="1" ref="A844" ca="1">IF(B844="","","Grupo N˚"&amp;SUMPRODUCT(($B$4:B844&lt;&gt;"")*($B$4:B844&lt;&gt;OFFSET($B$4,-1,0,ROWS($B$4:B844),1))))</f>
        <v/>
      </c>
      <c r="B844" s="31"/>
      <c r="C844" s="31"/>
      <c r="D844" s="31"/>
      <c r="E844" s="31"/>
      <c r="F844" s="32"/>
      <c r="G844" s="33"/>
      <c r="H844" s="33"/>
      <c r="I844" s="20" t="str">
        <f t="shared" si="199"/>
        <v/>
      </c>
      <c r="J844" s="21" t="str">
        <f>IFERROR(VLOOKUP(BR844,Pricing!$D$3:$E$58,2,FALSE),"")</f>
        <v/>
      </c>
      <c r="K844" s="32"/>
      <c r="L844" s="32"/>
      <c r="M844" s="32"/>
      <c r="N844" s="36" t="str" cm="1">
        <f t="array" ref="N844">IFERROR(_xlfn.IFS((AND(K844="SI",M844="$")),J844*0.2,AND(K844="SI",M844="%"),20),"")</f>
        <v/>
      </c>
      <c r="O844" s="29" t="str">
        <f t="shared" si="200"/>
        <v/>
      </c>
      <c r="P844" s="21" t="str">
        <f t="shared" si="201"/>
        <v/>
      </c>
      <c r="Q844" s="21" t="str">
        <f t="shared" si="202"/>
        <v/>
      </c>
      <c r="R844" s="21" t="str">
        <f t="shared" si="203"/>
        <v/>
      </c>
      <c r="S844" s="39"/>
      <c r="T844" s="43" t="str">
        <f t="shared" si="211"/>
        <v/>
      </c>
      <c r="U844" s="49" t="str">
        <f t="shared" si="197"/>
        <v/>
      </c>
      <c r="V844" s="48" t="str">
        <f t="shared" si="198"/>
        <v/>
      </c>
      <c r="W844" s="48" t="str">
        <f t="shared" si="204"/>
        <v/>
      </c>
      <c r="X844" s="50" t="str">
        <f>IF(W844="","",SUMIF($B$4:$B$1002,B844,$W$4:$W$1000))</f>
        <v/>
      </c>
      <c r="Y844" s="43" t="str">
        <f t="shared" si="205"/>
        <v/>
      </c>
      <c r="Z844" s="49" t="str">
        <f t="shared" si="206"/>
        <v/>
      </c>
      <c r="AA844" s="48" t="str">
        <f t="shared" si="207"/>
        <v/>
      </c>
      <c r="AB844" s="49" t="str">
        <f t="shared" si="208"/>
        <v/>
      </c>
      <c r="AC844" s="50" t="str">
        <f>IF(AB844="","",SUMIF($B$4:$B$1002,B844,$AB$4:$AB$1000))</f>
        <v/>
      </c>
      <c r="AD844" s="69"/>
      <c r="AE844" s="56"/>
      <c r="AF844" s="52"/>
      <c r="AG844" s="51"/>
      <c r="AH844" s="70"/>
      <c r="AI844" s="58"/>
      <c r="AJ844" s="55"/>
      <c r="AK844" s="51"/>
      <c r="AL844" s="69"/>
      <c r="AM844" s="56"/>
      <c r="AN844" s="52"/>
      <c r="AO844" s="51"/>
      <c r="AP844" s="70"/>
      <c r="AQ844" s="58"/>
      <c r="AR844" s="55"/>
      <c r="AS844" s="51"/>
      <c r="AT844" s="69"/>
      <c r="AU844" s="56"/>
      <c r="AV844" s="52"/>
      <c r="AW844" s="51"/>
      <c r="BR844" s="34" t="str">
        <f>IF(E844="","",CONCATENATE(E844," ",F844," noches"))</f>
        <v/>
      </c>
      <c r="BS844" s="28" t="str">
        <f t="shared" ca="1" si="209"/>
        <v/>
      </c>
      <c r="BT844" s="28" t="str">
        <f t="shared" ca="1" si="210"/>
        <v/>
      </c>
    </row>
    <row r="845" spans="1:72" x14ac:dyDescent="0.2">
      <c r="A845" s="18" t="str" cm="1">
        <f t="array" aca="1" ref="A845" ca="1">IF(B845="","","Grupo N˚"&amp;SUMPRODUCT(($B$4:B845&lt;&gt;"")*($B$4:B845&lt;&gt;OFFSET($B$4,-1,0,ROWS($B$4:B845),1))))</f>
        <v/>
      </c>
      <c r="B845" s="31"/>
      <c r="C845" s="31"/>
      <c r="D845" s="31"/>
      <c r="E845" s="31"/>
      <c r="F845" s="32"/>
      <c r="G845" s="33"/>
      <c r="H845" s="33"/>
      <c r="I845" s="20" t="str">
        <f t="shared" si="199"/>
        <v/>
      </c>
      <c r="J845" s="21" t="str">
        <f>IFERROR(VLOOKUP(BR845,Pricing!$D$3:$E$58,2,FALSE),"")</f>
        <v/>
      </c>
      <c r="K845" s="32"/>
      <c r="L845" s="32"/>
      <c r="M845" s="32"/>
      <c r="N845" s="36" t="str" cm="1">
        <f t="array" ref="N845">IFERROR(_xlfn.IFS((AND(K845="SI",M845="$")),J845*0.2,AND(K845="SI",M845="%"),20),"")</f>
        <v/>
      </c>
      <c r="O845" s="29" t="str">
        <f t="shared" si="200"/>
        <v/>
      </c>
      <c r="P845" s="21" t="str">
        <f t="shared" si="201"/>
        <v/>
      </c>
      <c r="Q845" s="21" t="str">
        <f t="shared" si="202"/>
        <v/>
      </c>
      <c r="R845" s="21" t="str">
        <f t="shared" si="203"/>
        <v/>
      </c>
      <c r="S845" s="39"/>
      <c r="T845" s="43" t="str">
        <f t="shared" si="211"/>
        <v/>
      </c>
      <c r="U845" s="49" t="str">
        <f t="shared" ref="U845:U908" si="212">IF(R845="","",R845/2)</f>
        <v/>
      </c>
      <c r="V845" s="48" t="str">
        <f t="shared" ref="V845:V908" si="213">IF(AD845="","",SUM(
 IF(ISNUMBER(SEARCH("reserva",AD845)),AF845,0),
 IF(ISNUMBER(SEARCH("reserva",AH845)),AJ845,0),
 IF(ISNUMBER(SEARCH("reserva",AL845)),AN845,0),
 IF(ISNUMBER(SEARCH("reserva",AP845)),AR845,0),
 IF(ISNUMBER(SEARCH("reserva",AT845)),AV845,0)
))</f>
        <v/>
      </c>
      <c r="W845" s="48" t="str">
        <f t="shared" si="204"/>
        <v/>
      </c>
      <c r="X845" s="50" t="str">
        <f>IF(W845="","",SUMIF($B$4:$B$1002,B845,$W$4:$W$1000))</f>
        <v/>
      </c>
      <c r="Y845" s="43" t="str">
        <f t="shared" si="205"/>
        <v/>
      </c>
      <c r="Z845" s="49" t="str">
        <f t="shared" si="206"/>
        <v/>
      </c>
      <c r="AA845" s="48" t="str">
        <f t="shared" si="207"/>
        <v/>
      </c>
      <c r="AB845" s="49" t="str">
        <f t="shared" si="208"/>
        <v/>
      </c>
      <c r="AC845" s="50" t="str">
        <f>IF(AB845="","",SUMIF($B$4:$B$1002,B845,$AB$4:$AB$1000))</f>
        <v/>
      </c>
      <c r="AD845" s="69"/>
      <c r="AE845" s="56"/>
      <c r="AF845" s="52"/>
      <c r="AG845" s="51"/>
      <c r="AH845" s="70"/>
      <c r="AI845" s="58"/>
      <c r="AJ845" s="55"/>
      <c r="AK845" s="51"/>
      <c r="AL845" s="69"/>
      <c r="AM845" s="56"/>
      <c r="AN845" s="52"/>
      <c r="AO845" s="51"/>
      <c r="AP845" s="70"/>
      <c r="AQ845" s="58"/>
      <c r="AR845" s="55"/>
      <c r="AS845" s="51"/>
      <c r="AT845" s="69"/>
      <c r="AU845" s="56"/>
      <c r="AV845" s="52"/>
      <c r="AW845" s="51"/>
      <c r="BR845" s="34" t="str">
        <f>IF(E845="","",CONCATENATE(E845," ",F845," noches"))</f>
        <v/>
      </c>
      <c r="BS845" s="28" t="str">
        <f t="shared" ca="1" si="209"/>
        <v/>
      </c>
      <c r="BT845" s="28" t="str">
        <f t="shared" ca="1" si="210"/>
        <v/>
      </c>
    </row>
    <row r="846" spans="1:72" x14ac:dyDescent="0.2">
      <c r="A846" s="18" t="str" cm="1">
        <f t="array" aca="1" ref="A846" ca="1">IF(B846="","","Grupo N˚"&amp;SUMPRODUCT(($B$4:B846&lt;&gt;"")*($B$4:B846&lt;&gt;OFFSET($B$4,-1,0,ROWS($B$4:B846),1))))</f>
        <v/>
      </c>
      <c r="B846" s="31"/>
      <c r="C846" s="31"/>
      <c r="D846" s="31"/>
      <c r="E846" s="31"/>
      <c r="F846" s="32"/>
      <c r="G846" s="33"/>
      <c r="H846" s="33"/>
      <c r="I846" s="20" t="str">
        <f t="shared" si="199"/>
        <v/>
      </c>
      <c r="J846" s="21" t="str">
        <f>IFERROR(VLOOKUP(BR846,Pricing!$D$3:$E$58,2,FALSE),"")</f>
        <v/>
      </c>
      <c r="K846" s="32"/>
      <c r="L846" s="32"/>
      <c r="M846" s="32"/>
      <c r="N846" s="36" t="str" cm="1">
        <f t="array" ref="N846">IFERROR(_xlfn.IFS((AND(K846="SI",M846="$")),J846*0.2,AND(K846="SI",M846="%"),20),"")</f>
        <v/>
      </c>
      <c r="O846" s="29" t="str">
        <f t="shared" si="200"/>
        <v/>
      </c>
      <c r="P846" s="21" t="str">
        <f t="shared" si="201"/>
        <v/>
      </c>
      <c r="Q846" s="21" t="str">
        <f t="shared" si="202"/>
        <v/>
      </c>
      <c r="R846" s="21" t="str">
        <f t="shared" si="203"/>
        <v/>
      </c>
      <c r="S846" s="39"/>
      <c r="T846" s="43" t="str">
        <f t="shared" si="211"/>
        <v/>
      </c>
      <c r="U846" s="49" t="str">
        <f t="shared" si="212"/>
        <v/>
      </c>
      <c r="V846" s="48" t="str">
        <f t="shared" si="213"/>
        <v/>
      </c>
      <c r="W846" s="48" t="str">
        <f t="shared" si="204"/>
        <v/>
      </c>
      <c r="X846" s="50" t="str">
        <f>IF(W846="","",SUMIF($B$4:$B$1002,B846,$W$4:$W$1000))</f>
        <v/>
      </c>
      <c r="Y846" s="43" t="str">
        <f t="shared" si="205"/>
        <v/>
      </c>
      <c r="Z846" s="49" t="str">
        <f t="shared" si="206"/>
        <v/>
      </c>
      <c r="AA846" s="48" t="str">
        <f t="shared" si="207"/>
        <v/>
      </c>
      <c r="AB846" s="49" t="str">
        <f t="shared" si="208"/>
        <v/>
      </c>
      <c r="AC846" s="50" t="str">
        <f>IF(AB846="","",SUMIF($B$4:$B$1002,B846,$AB$4:$AB$1000))</f>
        <v/>
      </c>
      <c r="AD846" s="69"/>
      <c r="AE846" s="56"/>
      <c r="AF846" s="52"/>
      <c r="AG846" s="51"/>
      <c r="AH846" s="70"/>
      <c r="AI846" s="58"/>
      <c r="AJ846" s="55"/>
      <c r="AK846" s="51"/>
      <c r="AL846" s="69"/>
      <c r="AM846" s="56"/>
      <c r="AN846" s="52"/>
      <c r="AO846" s="51"/>
      <c r="AP846" s="70"/>
      <c r="AQ846" s="58"/>
      <c r="AR846" s="55"/>
      <c r="AS846" s="51"/>
      <c r="AT846" s="69"/>
      <c r="AU846" s="56"/>
      <c r="AV846" s="52"/>
      <c r="AW846" s="51"/>
      <c r="BR846" s="34" t="str">
        <f>IF(E846="","",CONCATENATE(E846," ",F846," noches"))</f>
        <v/>
      </c>
      <c r="BS846" s="28" t="str">
        <f t="shared" ca="1" si="209"/>
        <v/>
      </c>
      <c r="BT846" s="28" t="str">
        <f t="shared" ca="1" si="210"/>
        <v/>
      </c>
    </row>
    <row r="847" spans="1:72" x14ac:dyDescent="0.2">
      <c r="A847" s="18" t="str" cm="1">
        <f t="array" aca="1" ref="A847" ca="1">IF(B847="","","Grupo N˚"&amp;SUMPRODUCT(($B$4:B847&lt;&gt;"")*($B$4:B847&lt;&gt;OFFSET($B$4,-1,0,ROWS($B$4:B847),1))))</f>
        <v/>
      </c>
      <c r="B847" s="31"/>
      <c r="C847" s="31"/>
      <c r="D847" s="31"/>
      <c r="E847" s="31"/>
      <c r="F847" s="32"/>
      <c r="G847" s="33"/>
      <c r="H847" s="33"/>
      <c r="I847" s="20" t="str">
        <f t="shared" si="199"/>
        <v/>
      </c>
      <c r="J847" s="21" t="str">
        <f>IFERROR(VLOOKUP(BR847,Pricing!$D$3:$E$58,2,FALSE),"")</f>
        <v/>
      </c>
      <c r="K847" s="32"/>
      <c r="L847" s="32"/>
      <c r="M847" s="32"/>
      <c r="N847" s="36" t="str" cm="1">
        <f t="array" ref="N847">IFERROR(_xlfn.IFS((AND(K847="SI",M847="$")),J847*0.2,AND(K847="SI",M847="%"),20),"")</f>
        <v/>
      </c>
      <c r="O847" s="29" t="str">
        <f t="shared" si="200"/>
        <v/>
      </c>
      <c r="P847" s="21" t="str">
        <f t="shared" si="201"/>
        <v/>
      </c>
      <c r="Q847" s="21" t="str">
        <f t="shared" si="202"/>
        <v/>
      </c>
      <c r="R847" s="21" t="str">
        <f t="shared" si="203"/>
        <v/>
      </c>
      <c r="S847" s="39"/>
      <c r="T847" s="43" t="str">
        <f t="shared" si="211"/>
        <v/>
      </c>
      <c r="U847" s="49" t="str">
        <f t="shared" si="212"/>
        <v/>
      </c>
      <c r="V847" s="48" t="str">
        <f t="shared" si="213"/>
        <v/>
      </c>
      <c r="W847" s="48" t="str">
        <f t="shared" si="204"/>
        <v/>
      </c>
      <c r="X847" s="50" t="str">
        <f>IF(W847="","",SUMIF($B$4:$B$1002,B847,$W$4:$W$1000))</f>
        <v/>
      </c>
      <c r="Y847" s="43" t="str">
        <f t="shared" si="205"/>
        <v/>
      </c>
      <c r="Z847" s="49" t="str">
        <f t="shared" si="206"/>
        <v/>
      </c>
      <c r="AA847" s="48" t="str">
        <f t="shared" si="207"/>
        <v/>
      </c>
      <c r="AB847" s="49" t="str">
        <f t="shared" si="208"/>
        <v/>
      </c>
      <c r="AC847" s="50" t="str">
        <f>IF(AB847="","",SUMIF($B$4:$B$1002,B847,$AB$4:$AB$1000))</f>
        <v/>
      </c>
      <c r="AD847" s="69"/>
      <c r="AE847" s="56"/>
      <c r="AF847" s="52"/>
      <c r="AG847" s="51"/>
      <c r="AH847" s="70"/>
      <c r="AI847" s="58"/>
      <c r="AJ847" s="55"/>
      <c r="AK847" s="51"/>
      <c r="AL847" s="69"/>
      <c r="AM847" s="56"/>
      <c r="AN847" s="52"/>
      <c r="AO847" s="51"/>
      <c r="AP847" s="70"/>
      <c r="AQ847" s="58"/>
      <c r="AR847" s="55"/>
      <c r="AS847" s="51"/>
      <c r="AT847" s="69"/>
      <c r="AU847" s="56"/>
      <c r="AV847" s="52"/>
      <c r="AW847" s="51"/>
      <c r="BR847" s="34" t="str">
        <f>IF(E847="","",CONCATENATE(E847," ",F847," noches"))</f>
        <v/>
      </c>
      <c r="BS847" s="28" t="str">
        <f t="shared" ca="1" si="209"/>
        <v/>
      </c>
      <c r="BT847" s="28" t="str">
        <f t="shared" ca="1" si="210"/>
        <v/>
      </c>
    </row>
    <row r="848" spans="1:72" x14ac:dyDescent="0.2">
      <c r="A848" s="18" t="str" cm="1">
        <f t="array" aca="1" ref="A848" ca="1">IF(B848="","","Grupo N˚"&amp;SUMPRODUCT(($B$4:B848&lt;&gt;"")*($B$4:B848&lt;&gt;OFFSET($B$4,-1,0,ROWS($B$4:B848),1))))</f>
        <v/>
      </c>
      <c r="B848" s="31"/>
      <c r="C848" s="31"/>
      <c r="D848" s="31"/>
      <c r="E848" s="31"/>
      <c r="F848" s="32"/>
      <c r="G848" s="33"/>
      <c r="H848" s="33"/>
      <c r="I848" s="20" t="str">
        <f t="shared" si="199"/>
        <v/>
      </c>
      <c r="J848" s="21" t="str">
        <f>IFERROR(VLOOKUP(BR848,Pricing!$D$3:$E$58,2,FALSE),"")</f>
        <v/>
      </c>
      <c r="K848" s="32"/>
      <c r="L848" s="32"/>
      <c r="M848" s="32"/>
      <c r="N848" s="36" t="str" cm="1">
        <f t="array" ref="N848">IFERROR(_xlfn.IFS((AND(K848="SI",M848="$")),J848*0.2,AND(K848="SI",M848="%"),20),"")</f>
        <v/>
      </c>
      <c r="O848" s="29" t="str">
        <f t="shared" si="200"/>
        <v/>
      </c>
      <c r="P848" s="21" t="str">
        <f t="shared" si="201"/>
        <v/>
      </c>
      <c r="Q848" s="21" t="str">
        <f t="shared" si="202"/>
        <v/>
      </c>
      <c r="R848" s="21" t="str">
        <f t="shared" si="203"/>
        <v/>
      </c>
      <c r="S848" s="39"/>
      <c r="T848" s="43" t="str">
        <f t="shared" si="211"/>
        <v/>
      </c>
      <c r="U848" s="49" t="str">
        <f t="shared" si="212"/>
        <v/>
      </c>
      <c r="V848" s="48" t="str">
        <f t="shared" si="213"/>
        <v/>
      </c>
      <c r="W848" s="48" t="str">
        <f t="shared" si="204"/>
        <v/>
      </c>
      <c r="X848" s="50" t="str">
        <f>IF(W848="","",SUMIF($B$4:$B$1002,B848,$W$4:$W$1000))</f>
        <v/>
      </c>
      <c r="Y848" s="43" t="str">
        <f t="shared" si="205"/>
        <v/>
      </c>
      <c r="Z848" s="49" t="str">
        <f t="shared" si="206"/>
        <v/>
      </c>
      <c r="AA848" s="48" t="str">
        <f t="shared" si="207"/>
        <v/>
      </c>
      <c r="AB848" s="49" t="str">
        <f t="shared" si="208"/>
        <v/>
      </c>
      <c r="AC848" s="50" t="str">
        <f>IF(AB848="","",SUMIF($B$4:$B$1002,B848,$AB$4:$AB$1000))</f>
        <v/>
      </c>
      <c r="AD848" s="69"/>
      <c r="AE848" s="56"/>
      <c r="AF848" s="52"/>
      <c r="AG848" s="51"/>
      <c r="AH848" s="70"/>
      <c r="AI848" s="58"/>
      <c r="AJ848" s="55"/>
      <c r="AK848" s="51"/>
      <c r="AL848" s="69"/>
      <c r="AM848" s="56"/>
      <c r="AN848" s="52"/>
      <c r="AO848" s="51"/>
      <c r="AP848" s="70"/>
      <c r="AQ848" s="58"/>
      <c r="AR848" s="55"/>
      <c r="AS848" s="51"/>
      <c r="AT848" s="69"/>
      <c r="AU848" s="56"/>
      <c r="AV848" s="52"/>
      <c r="AW848" s="51"/>
      <c r="BR848" s="34" t="str">
        <f>IF(E848="","",CONCATENATE(E848," ",F848," noches"))</f>
        <v/>
      </c>
      <c r="BS848" s="28" t="str">
        <f t="shared" ca="1" si="209"/>
        <v/>
      </c>
      <c r="BT848" s="28" t="str">
        <f t="shared" ca="1" si="210"/>
        <v/>
      </c>
    </row>
    <row r="849" spans="1:72" x14ac:dyDescent="0.2">
      <c r="A849" s="18" t="str" cm="1">
        <f t="array" aca="1" ref="A849" ca="1">IF(B849="","","Grupo N˚"&amp;SUMPRODUCT(($B$4:B849&lt;&gt;"")*($B$4:B849&lt;&gt;OFFSET($B$4,-1,0,ROWS($B$4:B849),1))))</f>
        <v/>
      </c>
      <c r="B849" s="31"/>
      <c r="C849" s="31"/>
      <c r="D849" s="31"/>
      <c r="E849" s="31"/>
      <c r="F849" s="32"/>
      <c r="G849" s="33"/>
      <c r="H849" s="33"/>
      <c r="I849" s="20" t="str">
        <f t="shared" si="199"/>
        <v/>
      </c>
      <c r="J849" s="21" t="str">
        <f>IFERROR(VLOOKUP(BR849,Pricing!$D$3:$E$58,2,FALSE),"")</f>
        <v/>
      </c>
      <c r="K849" s="32"/>
      <c r="L849" s="32"/>
      <c r="M849" s="32"/>
      <c r="N849" s="36" t="str" cm="1">
        <f t="array" ref="N849">IFERROR(_xlfn.IFS((AND(K849="SI",M849="$")),J849*0.2,AND(K849="SI",M849="%"),20),"")</f>
        <v/>
      </c>
      <c r="O849" s="29" t="str">
        <f t="shared" si="200"/>
        <v/>
      </c>
      <c r="P849" s="21" t="str">
        <f t="shared" si="201"/>
        <v/>
      </c>
      <c r="Q849" s="21" t="str">
        <f t="shared" si="202"/>
        <v/>
      </c>
      <c r="R849" s="21" t="str">
        <f t="shared" si="203"/>
        <v/>
      </c>
      <c r="S849" s="39"/>
      <c r="T849" s="43" t="str">
        <f t="shared" si="211"/>
        <v/>
      </c>
      <c r="U849" s="49" t="str">
        <f t="shared" si="212"/>
        <v/>
      </c>
      <c r="V849" s="48" t="str">
        <f t="shared" si="213"/>
        <v/>
      </c>
      <c r="W849" s="48" t="str">
        <f t="shared" si="204"/>
        <v/>
      </c>
      <c r="X849" s="50" t="str">
        <f>IF(W849="","",SUMIF($B$4:$B$1002,B849,$W$4:$W$1000))</f>
        <v/>
      </c>
      <c r="Y849" s="43" t="str">
        <f t="shared" si="205"/>
        <v/>
      </c>
      <c r="Z849" s="49" t="str">
        <f t="shared" si="206"/>
        <v/>
      </c>
      <c r="AA849" s="48" t="str">
        <f t="shared" si="207"/>
        <v/>
      </c>
      <c r="AB849" s="49" t="str">
        <f t="shared" si="208"/>
        <v/>
      </c>
      <c r="AC849" s="50" t="str">
        <f>IF(AB849="","",SUMIF($B$4:$B$1002,B849,$AB$4:$AB$1000))</f>
        <v/>
      </c>
      <c r="AD849" s="69"/>
      <c r="AE849" s="56"/>
      <c r="AF849" s="52"/>
      <c r="AG849" s="51"/>
      <c r="AH849" s="70"/>
      <c r="AI849" s="58"/>
      <c r="AJ849" s="55"/>
      <c r="AK849" s="51"/>
      <c r="AL849" s="69"/>
      <c r="AM849" s="56"/>
      <c r="AN849" s="52"/>
      <c r="AO849" s="51"/>
      <c r="AP849" s="70"/>
      <c r="AQ849" s="58"/>
      <c r="AR849" s="55"/>
      <c r="AS849" s="51"/>
      <c r="AT849" s="69"/>
      <c r="AU849" s="56"/>
      <c r="AV849" s="52"/>
      <c r="AW849" s="51"/>
      <c r="BR849" s="34" t="str">
        <f>IF(E849="","",CONCATENATE(E849," ",F849," noches"))</f>
        <v/>
      </c>
      <c r="BS849" s="28" t="str">
        <f t="shared" ca="1" si="209"/>
        <v/>
      </c>
      <c r="BT849" s="28" t="str">
        <f t="shared" ca="1" si="210"/>
        <v/>
      </c>
    </row>
    <row r="850" spans="1:72" x14ac:dyDescent="0.2">
      <c r="A850" s="18" t="str" cm="1">
        <f t="array" aca="1" ref="A850" ca="1">IF(B850="","","Grupo N˚"&amp;SUMPRODUCT(($B$4:B850&lt;&gt;"")*($B$4:B850&lt;&gt;OFFSET($B$4,-1,0,ROWS($B$4:B850),1))))</f>
        <v/>
      </c>
      <c r="B850" s="31"/>
      <c r="C850" s="31"/>
      <c r="D850" s="31"/>
      <c r="E850" s="31"/>
      <c r="F850" s="32"/>
      <c r="G850" s="33"/>
      <c r="H850" s="33"/>
      <c r="I850" s="20" t="str">
        <f t="shared" si="199"/>
        <v/>
      </c>
      <c r="J850" s="21" t="str">
        <f>IFERROR(VLOOKUP(BR850,Pricing!$D$3:$E$58,2,FALSE),"")</f>
        <v/>
      </c>
      <c r="K850" s="32"/>
      <c r="L850" s="32"/>
      <c r="M850" s="32"/>
      <c r="N850" s="36" t="str" cm="1">
        <f t="array" ref="N850">IFERROR(_xlfn.IFS((AND(K850="SI",M850="$")),J850*0.2,AND(K850="SI",M850="%"),20),"")</f>
        <v/>
      </c>
      <c r="O850" s="29" t="str">
        <f t="shared" si="200"/>
        <v/>
      </c>
      <c r="P850" s="21" t="str">
        <f t="shared" si="201"/>
        <v/>
      </c>
      <c r="Q850" s="21" t="str">
        <f t="shared" si="202"/>
        <v/>
      </c>
      <c r="R850" s="21" t="str">
        <f t="shared" si="203"/>
        <v/>
      </c>
      <c r="S850" s="39"/>
      <c r="T850" s="43" t="str">
        <f t="shared" si="211"/>
        <v/>
      </c>
      <c r="U850" s="49" t="str">
        <f t="shared" si="212"/>
        <v/>
      </c>
      <c r="V850" s="48" t="str">
        <f t="shared" si="213"/>
        <v/>
      </c>
      <c r="W850" s="48" t="str">
        <f t="shared" si="204"/>
        <v/>
      </c>
      <c r="X850" s="50" t="str">
        <f>IF(W850="","",SUMIF($B$4:$B$1002,B850,$W$4:$W$1000))</f>
        <v/>
      </c>
      <c r="Y850" s="43" t="str">
        <f t="shared" si="205"/>
        <v/>
      </c>
      <c r="Z850" s="49" t="str">
        <f t="shared" si="206"/>
        <v/>
      </c>
      <c r="AA850" s="48" t="str">
        <f t="shared" si="207"/>
        <v/>
      </c>
      <c r="AB850" s="49" t="str">
        <f t="shared" si="208"/>
        <v/>
      </c>
      <c r="AC850" s="50" t="str">
        <f>IF(AB850="","",SUMIF($B$4:$B$1002,B850,$AB$4:$AB$1000))</f>
        <v/>
      </c>
      <c r="AD850" s="69"/>
      <c r="AE850" s="56"/>
      <c r="AF850" s="52"/>
      <c r="AG850" s="51"/>
      <c r="AH850" s="70"/>
      <c r="AI850" s="58"/>
      <c r="AJ850" s="55"/>
      <c r="AK850" s="51"/>
      <c r="AL850" s="69"/>
      <c r="AM850" s="56"/>
      <c r="AN850" s="52"/>
      <c r="AO850" s="51"/>
      <c r="AP850" s="70"/>
      <c r="AQ850" s="58"/>
      <c r="AR850" s="55"/>
      <c r="AS850" s="51"/>
      <c r="AT850" s="69"/>
      <c r="AU850" s="56"/>
      <c r="AV850" s="52"/>
      <c r="AW850" s="51"/>
      <c r="BR850" s="34" t="str">
        <f>IF(E850="","",CONCATENATE(E850," ",F850," noches"))</f>
        <v/>
      </c>
      <c r="BS850" s="28" t="str">
        <f t="shared" ca="1" si="209"/>
        <v/>
      </c>
      <c r="BT850" s="28" t="str">
        <f t="shared" ca="1" si="210"/>
        <v/>
      </c>
    </row>
    <row r="851" spans="1:72" x14ac:dyDescent="0.2">
      <c r="A851" s="18" t="str" cm="1">
        <f t="array" aca="1" ref="A851" ca="1">IF(B851="","","Grupo N˚"&amp;SUMPRODUCT(($B$4:B851&lt;&gt;"")*($B$4:B851&lt;&gt;OFFSET($B$4,-1,0,ROWS($B$4:B851),1))))</f>
        <v/>
      </c>
      <c r="B851" s="31"/>
      <c r="C851" s="31"/>
      <c r="D851" s="31"/>
      <c r="E851" s="31"/>
      <c r="F851" s="32"/>
      <c r="G851" s="33"/>
      <c r="H851" s="33"/>
      <c r="I851" s="20" t="str">
        <f t="shared" si="199"/>
        <v/>
      </c>
      <c r="J851" s="21" t="str">
        <f>IFERROR(VLOOKUP(BR851,Pricing!$D$3:$E$58,2,FALSE),"")</f>
        <v/>
      </c>
      <c r="K851" s="32"/>
      <c r="L851" s="32"/>
      <c r="M851" s="32"/>
      <c r="N851" s="36" t="str" cm="1">
        <f t="array" ref="N851">IFERROR(_xlfn.IFS((AND(K851="SI",M851="$")),J851*0.2,AND(K851="SI",M851="%"),20),"")</f>
        <v/>
      </c>
      <c r="O851" s="29" t="str">
        <f t="shared" si="200"/>
        <v/>
      </c>
      <c r="P851" s="21" t="str">
        <f t="shared" si="201"/>
        <v/>
      </c>
      <c r="Q851" s="21" t="str">
        <f t="shared" si="202"/>
        <v/>
      </c>
      <c r="R851" s="21" t="str">
        <f t="shared" si="203"/>
        <v/>
      </c>
      <c r="S851" s="39"/>
      <c r="T851" s="43" t="str">
        <f t="shared" si="211"/>
        <v/>
      </c>
      <c r="U851" s="49" t="str">
        <f t="shared" si="212"/>
        <v/>
      </c>
      <c r="V851" s="48" t="str">
        <f t="shared" si="213"/>
        <v/>
      </c>
      <c r="W851" s="48" t="str">
        <f t="shared" si="204"/>
        <v/>
      </c>
      <c r="X851" s="50" t="str">
        <f>IF(W851="","",SUMIF($B$4:$B$1002,B851,$W$4:$W$1000))</f>
        <v/>
      </c>
      <c r="Y851" s="43" t="str">
        <f t="shared" si="205"/>
        <v/>
      </c>
      <c r="Z851" s="49" t="str">
        <f t="shared" si="206"/>
        <v/>
      </c>
      <c r="AA851" s="48" t="str">
        <f t="shared" si="207"/>
        <v/>
      </c>
      <c r="AB851" s="49" t="str">
        <f t="shared" si="208"/>
        <v/>
      </c>
      <c r="AC851" s="50" t="str">
        <f>IF(AB851="","",SUMIF($B$4:$B$1002,B851,$AB$4:$AB$1000))</f>
        <v/>
      </c>
      <c r="AD851" s="69"/>
      <c r="AE851" s="56"/>
      <c r="AF851" s="52"/>
      <c r="AG851" s="51"/>
      <c r="AH851" s="70"/>
      <c r="AI851" s="58"/>
      <c r="AJ851" s="55"/>
      <c r="AK851" s="51"/>
      <c r="AL851" s="69"/>
      <c r="AM851" s="56"/>
      <c r="AN851" s="52"/>
      <c r="AO851" s="51"/>
      <c r="AP851" s="70"/>
      <c r="AQ851" s="58"/>
      <c r="AR851" s="55"/>
      <c r="AS851" s="51"/>
      <c r="AT851" s="69"/>
      <c r="AU851" s="56"/>
      <c r="AV851" s="52"/>
      <c r="AW851" s="51"/>
      <c r="BR851" s="34" t="str">
        <f>IF(E851="","",CONCATENATE(E851," ",F851," noches"))</f>
        <v/>
      </c>
      <c r="BS851" s="28" t="str">
        <f t="shared" ca="1" si="209"/>
        <v/>
      </c>
      <c r="BT851" s="28" t="str">
        <f t="shared" ca="1" si="210"/>
        <v/>
      </c>
    </row>
    <row r="852" spans="1:72" x14ac:dyDescent="0.2">
      <c r="A852" s="18" t="str" cm="1">
        <f t="array" aca="1" ref="A852" ca="1">IF(B852="","","Grupo N˚"&amp;SUMPRODUCT(($B$4:B852&lt;&gt;"")*($B$4:B852&lt;&gt;OFFSET($B$4,-1,0,ROWS($B$4:B852),1))))</f>
        <v/>
      </c>
      <c r="B852" s="31"/>
      <c r="C852" s="31"/>
      <c r="D852" s="31"/>
      <c r="E852" s="31"/>
      <c r="F852" s="32"/>
      <c r="G852" s="33"/>
      <c r="H852" s="33"/>
      <c r="I852" s="20" t="str">
        <f t="shared" si="199"/>
        <v/>
      </c>
      <c r="J852" s="21" t="str">
        <f>IFERROR(VLOOKUP(BR852,Pricing!$D$3:$E$58,2,FALSE),"")</f>
        <v/>
      </c>
      <c r="K852" s="32"/>
      <c r="L852" s="32"/>
      <c r="M852" s="32"/>
      <c r="N852" s="36" t="str" cm="1">
        <f t="array" ref="N852">IFERROR(_xlfn.IFS((AND(K852="SI",M852="$")),J852*0.2,AND(K852="SI",M852="%"),20),"")</f>
        <v/>
      </c>
      <c r="O852" s="29" t="str">
        <f t="shared" si="200"/>
        <v/>
      </c>
      <c r="P852" s="21" t="str">
        <f t="shared" si="201"/>
        <v/>
      </c>
      <c r="Q852" s="21" t="str">
        <f t="shared" si="202"/>
        <v/>
      </c>
      <c r="R852" s="21" t="str">
        <f t="shared" si="203"/>
        <v/>
      </c>
      <c r="S852" s="39"/>
      <c r="T852" s="43" t="str">
        <f t="shared" si="211"/>
        <v/>
      </c>
      <c r="U852" s="49" t="str">
        <f t="shared" si="212"/>
        <v/>
      </c>
      <c r="V852" s="48" t="str">
        <f t="shared" si="213"/>
        <v/>
      </c>
      <c r="W852" s="48" t="str">
        <f t="shared" si="204"/>
        <v/>
      </c>
      <c r="X852" s="50" t="str">
        <f>IF(W852="","",SUMIF($B$4:$B$1002,B852,$W$4:$W$1000))</f>
        <v/>
      </c>
      <c r="Y852" s="43" t="str">
        <f t="shared" si="205"/>
        <v/>
      </c>
      <c r="Z852" s="49" t="str">
        <f t="shared" si="206"/>
        <v/>
      </c>
      <c r="AA852" s="48" t="str">
        <f t="shared" si="207"/>
        <v/>
      </c>
      <c r="AB852" s="49" t="str">
        <f t="shared" si="208"/>
        <v/>
      </c>
      <c r="AC852" s="50" t="str">
        <f>IF(AB852="","",SUMIF($B$4:$B$1002,B852,$AB$4:$AB$1000))</f>
        <v/>
      </c>
      <c r="AD852" s="69"/>
      <c r="AE852" s="56"/>
      <c r="AF852" s="52"/>
      <c r="AG852" s="51"/>
      <c r="AH852" s="70"/>
      <c r="AI852" s="58"/>
      <c r="AJ852" s="55"/>
      <c r="AK852" s="51"/>
      <c r="AL852" s="69"/>
      <c r="AM852" s="56"/>
      <c r="AN852" s="52"/>
      <c r="AO852" s="51"/>
      <c r="AP852" s="70"/>
      <c r="AQ852" s="58"/>
      <c r="AR852" s="55"/>
      <c r="AS852" s="51"/>
      <c r="AT852" s="69"/>
      <c r="AU852" s="56"/>
      <c r="AV852" s="52"/>
      <c r="AW852" s="51"/>
      <c r="BR852" s="34" t="str">
        <f>IF(E852="","",CONCATENATE(E852," ",F852," noches"))</f>
        <v/>
      </c>
      <c r="BS852" s="28" t="str">
        <f t="shared" ca="1" si="209"/>
        <v/>
      </c>
      <c r="BT852" s="28" t="str">
        <f t="shared" ca="1" si="210"/>
        <v/>
      </c>
    </row>
    <row r="853" spans="1:72" x14ac:dyDescent="0.2">
      <c r="A853" s="18" t="str" cm="1">
        <f t="array" aca="1" ref="A853" ca="1">IF(B853="","","Grupo N˚"&amp;SUMPRODUCT(($B$4:B853&lt;&gt;"")*($B$4:B853&lt;&gt;OFFSET($B$4,-1,0,ROWS($B$4:B853),1))))</f>
        <v/>
      </c>
      <c r="B853" s="31"/>
      <c r="C853" s="31"/>
      <c r="D853" s="31"/>
      <c r="E853" s="31"/>
      <c r="F853" s="32"/>
      <c r="G853" s="33"/>
      <c r="H853" s="33"/>
      <c r="I853" s="20" t="str">
        <f t="shared" si="199"/>
        <v/>
      </c>
      <c r="J853" s="21" t="str">
        <f>IFERROR(VLOOKUP(BR853,Pricing!$D$3:$E$58,2,FALSE),"")</f>
        <v/>
      </c>
      <c r="K853" s="32"/>
      <c r="L853" s="32"/>
      <c r="M853" s="32"/>
      <c r="N853" s="36" t="str" cm="1">
        <f t="array" ref="N853">IFERROR(_xlfn.IFS((AND(K853="SI",M853="$")),J853*0.2,AND(K853="SI",M853="%"),20),"")</f>
        <v/>
      </c>
      <c r="O853" s="29" t="str">
        <f t="shared" si="200"/>
        <v/>
      </c>
      <c r="P853" s="21" t="str">
        <f t="shared" si="201"/>
        <v/>
      </c>
      <c r="Q853" s="21" t="str">
        <f t="shared" si="202"/>
        <v/>
      </c>
      <c r="R853" s="21" t="str">
        <f t="shared" si="203"/>
        <v/>
      </c>
      <c r="S853" s="39"/>
      <c r="T853" s="43" t="str">
        <f t="shared" si="211"/>
        <v/>
      </c>
      <c r="U853" s="49" t="str">
        <f t="shared" si="212"/>
        <v/>
      </c>
      <c r="V853" s="48" t="str">
        <f t="shared" si="213"/>
        <v/>
      </c>
      <c r="W853" s="48" t="str">
        <f t="shared" si="204"/>
        <v/>
      </c>
      <c r="X853" s="50" t="str">
        <f>IF(W853="","",SUMIF($B$4:$B$1002,B853,$W$4:$W$1000))</f>
        <v/>
      </c>
      <c r="Y853" s="43" t="str">
        <f t="shared" si="205"/>
        <v/>
      </c>
      <c r="Z853" s="49" t="str">
        <f t="shared" si="206"/>
        <v/>
      </c>
      <c r="AA853" s="48" t="str">
        <f t="shared" si="207"/>
        <v/>
      </c>
      <c r="AB853" s="49" t="str">
        <f t="shared" si="208"/>
        <v/>
      </c>
      <c r="AC853" s="50" t="str">
        <f>IF(AB853="","",SUMIF($B$4:$B$1002,B853,$AB$4:$AB$1000))</f>
        <v/>
      </c>
      <c r="AD853" s="69"/>
      <c r="AE853" s="56"/>
      <c r="AF853" s="52"/>
      <c r="AG853" s="51"/>
      <c r="AH853" s="70"/>
      <c r="AI853" s="58"/>
      <c r="AJ853" s="55"/>
      <c r="AK853" s="51"/>
      <c r="AL853" s="69"/>
      <c r="AM853" s="56"/>
      <c r="AN853" s="52"/>
      <c r="AO853" s="51"/>
      <c r="AP853" s="70"/>
      <c r="AQ853" s="58"/>
      <c r="AR853" s="55"/>
      <c r="AS853" s="51"/>
      <c r="AT853" s="69"/>
      <c r="AU853" s="56"/>
      <c r="AV853" s="52"/>
      <c r="AW853" s="51"/>
      <c r="BR853" s="34" t="str">
        <f>IF(E853="","",CONCATENATE(E853," ",F853," noches"))</f>
        <v/>
      </c>
      <c r="BS853" s="28" t="str">
        <f t="shared" ca="1" si="209"/>
        <v/>
      </c>
      <c r="BT853" s="28" t="str">
        <f t="shared" ca="1" si="210"/>
        <v/>
      </c>
    </row>
    <row r="854" spans="1:72" x14ac:dyDescent="0.2">
      <c r="A854" s="18" t="str" cm="1">
        <f t="array" aca="1" ref="A854" ca="1">IF(B854="","","Grupo N˚"&amp;SUMPRODUCT(($B$4:B854&lt;&gt;"")*($B$4:B854&lt;&gt;OFFSET($B$4,-1,0,ROWS($B$4:B854),1))))</f>
        <v/>
      </c>
      <c r="B854" s="31"/>
      <c r="C854" s="31"/>
      <c r="D854" s="31"/>
      <c r="E854" s="31"/>
      <c r="F854" s="32"/>
      <c r="G854" s="33"/>
      <c r="H854" s="33"/>
      <c r="I854" s="20" t="str">
        <f t="shared" si="199"/>
        <v/>
      </c>
      <c r="J854" s="21" t="str">
        <f>IFERROR(VLOOKUP(BR854,Pricing!$D$3:$E$58,2,FALSE),"")</f>
        <v/>
      </c>
      <c r="K854" s="32"/>
      <c r="L854" s="32"/>
      <c r="M854" s="32"/>
      <c r="N854" s="36" t="str" cm="1">
        <f t="array" ref="N854">IFERROR(_xlfn.IFS((AND(K854="SI",M854="$")),J854*0.2,AND(K854="SI",M854="%"),20),"")</f>
        <v/>
      </c>
      <c r="O854" s="29" t="str">
        <f t="shared" si="200"/>
        <v/>
      </c>
      <c r="P854" s="21" t="str">
        <f t="shared" si="201"/>
        <v/>
      </c>
      <c r="Q854" s="21" t="str">
        <f t="shared" si="202"/>
        <v/>
      </c>
      <c r="R854" s="21" t="str">
        <f t="shared" si="203"/>
        <v/>
      </c>
      <c r="S854" s="39"/>
      <c r="T854" s="43" t="str">
        <f t="shared" si="211"/>
        <v/>
      </c>
      <c r="U854" s="49" t="str">
        <f t="shared" si="212"/>
        <v/>
      </c>
      <c r="V854" s="48" t="str">
        <f t="shared" si="213"/>
        <v/>
      </c>
      <c r="W854" s="48" t="str">
        <f t="shared" si="204"/>
        <v/>
      </c>
      <c r="X854" s="50" t="str">
        <f>IF(W854="","",SUMIF($B$4:$B$1002,B854,$W$4:$W$1000))</f>
        <v/>
      </c>
      <c r="Y854" s="43" t="str">
        <f t="shared" si="205"/>
        <v/>
      </c>
      <c r="Z854" s="49" t="str">
        <f t="shared" si="206"/>
        <v/>
      </c>
      <c r="AA854" s="48" t="str">
        <f t="shared" si="207"/>
        <v/>
      </c>
      <c r="AB854" s="49" t="str">
        <f t="shared" si="208"/>
        <v/>
      </c>
      <c r="AC854" s="50" t="str">
        <f>IF(AB854="","",SUMIF($B$4:$B$1002,B854,$AB$4:$AB$1000))</f>
        <v/>
      </c>
      <c r="AD854" s="69"/>
      <c r="AE854" s="56"/>
      <c r="AF854" s="52"/>
      <c r="AG854" s="51"/>
      <c r="AH854" s="70"/>
      <c r="AI854" s="58"/>
      <c r="AJ854" s="55"/>
      <c r="AK854" s="51"/>
      <c r="AL854" s="69"/>
      <c r="AM854" s="56"/>
      <c r="AN854" s="52"/>
      <c r="AO854" s="51"/>
      <c r="AP854" s="70"/>
      <c r="AQ854" s="58"/>
      <c r="AR854" s="55"/>
      <c r="AS854" s="51"/>
      <c r="AT854" s="69"/>
      <c r="AU854" s="56"/>
      <c r="AV854" s="52"/>
      <c r="AW854" s="51"/>
      <c r="BR854" s="34" t="str">
        <f>IF(E854="","",CONCATENATE(E854," ",F854," noches"))</f>
        <v/>
      </c>
      <c r="BS854" s="28" t="str">
        <f t="shared" ca="1" si="209"/>
        <v/>
      </c>
      <c r="BT854" s="28" t="str">
        <f t="shared" ca="1" si="210"/>
        <v/>
      </c>
    </row>
    <row r="855" spans="1:72" x14ac:dyDescent="0.2">
      <c r="A855" s="18" t="str" cm="1">
        <f t="array" aca="1" ref="A855" ca="1">IF(B855="","","Grupo N˚"&amp;SUMPRODUCT(($B$4:B855&lt;&gt;"")*($B$4:B855&lt;&gt;OFFSET($B$4,-1,0,ROWS($B$4:B855),1))))</f>
        <v/>
      </c>
      <c r="B855" s="31"/>
      <c r="C855" s="31"/>
      <c r="D855" s="31"/>
      <c r="E855" s="31"/>
      <c r="F855" s="32"/>
      <c r="G855" s="33"/>
      <c r="H855" s="33"/>
      <c r="I855" s="20" t="str">
        <f t="shared" si="199"/>
        <v/>
      </c>
      <c r="J855" s="21" t="str">
        <f>IFERROR(VLOOKUP(BR855,Pricing!$D$3:$E$58,2,FALSE),"")</f>
        <v/>
      </c>
      <c r="K855" s="32"/>
      <c r="L855" s="32"/>
      <c r="M855" s="32"/>
      <c r="N855" s="36" t="str" cm="1">
        <f t="array" ref="N855">IFERROR(_xlfn.IFS((AND(K855="SI",M855="$")),J855*0.2,AND(K855="SI",M855="%"),20),"")</f>
        <v/>
      </c>
      <c r="O855" s="29" t="str">
        <f t="shared" si="200"/>
        <v/>
      </c>
      <c r="P855" s="21" t="str">
        <f t="shared" si="201"/>
        <v/>
      </c>
      <c r="Q855" s="21" t="str">
        <f t="shared" si="202"/>
        <v/>
      </c>
      <c r="R855" s="21" t="str">
        <f t="shared" si="203"/>
        <v/>
      </c>
      <c r="S855" s="39"/>
      <c r="T855" s="43" t="str">
        <f t="shared" si="211"/>
        <v/>
      </c>
      <c r="U855" s="49" t="str">
        <f t="shared" si="212"/>
        <v/>
      </c>
      <c r="V855" s="48" t="str">
        <f t="shared" si="213"/>
        <v/>
      </c>
      <c r="W855" s="48" t="str">
        <f t="shared" si="204"/>
        <v/>
      </c>
      <c r="X855" s="50" t="str">
        <f>IF(W855="","",SUMIF($B$4:$B$1002,B855,$W$4:$W$1000))</f>
        <v/>
      </c>
      <c r="Y855" s="43" t="str">
        <f t="shared" si="205"/>
        <v/>
      </c>
      <c r="Z855" s="49" t="str">
        <f t="shared" si="206"/>
        <v/>
      </c>
      <c r="AA855" s="48" t="str">
        <f t="shared" si="207"/>
        <v/>
      </c>
      <c r="AB855" s="49" t="str">
        <f t="shared" si="208"/>
        <v/>
      </c>
      <c r="AC855" s="50" t="str">
        <f>IF(AB855="","",SUMIF($B$4:$B$1002,B855,$AB$4:$AB$1000))</f>
        <v/>
      </c>
      <c r="AD855" s="69"/>
      <c r="AE855" s="56"/>
      <c r="AF855" s="52"/>
      <c r="AG855" s="51"/>
      <c r="AH855" s="70"/>
      <c r="AI855" s="58"/>
      <c r="AJ855" s="55"/>
      <c r="AK855" s="51"/>
      <c r="AL855" s="69"/>
      <c r="AM855" s="56"/>
      <c r="AN855" s="52"/>
      <c r="AO855" s="51"/>
      <c r="AP855" s="70"/>
      <c r="AQ855" s="58"/>
      <c r="AR855" s="55"/>
      <c r="AS855" s="51"/>
      <c r="AT855" s="69"/>
      <c r="AU855" s="56"/>
      <c r="AV855" s="52"/>
      <c r="AW855" s="51"/>
      <c r="BR855" s="34" t="str">
        <f>IF(E855="","",CONCATENATE(E855," ",F855," noches"))</f>
        <v/>
      </c>
      <c r="BS855" s="28" t="str">
        <f t="shared" ca="1" si="209"/>
        <v/>
      </c>
      <c r="BT855" s="28" t="str">
        <f t="shared" ca="1" si="210"/>
        <v/>
      </c>
    </row>
    <row r="856" spans="1:72" x14ac:dyDescent="0.2">
      <c r="A856" s="18" t="str" cm="1">
        <f t="array" aca="1" ref="A856" ca="1">IF(B856="","","Grupo N˚"&amp;SUMPRODUCT(($B$4:B856&lt;&gt;"")*($B$4:B856&lt;&gt;OFFSET($B$4,-1,0,ROWS($B$4:B856),1))))</f>
        <v/>
      </c>
      <c r="B856" s="31"/>
      <c r="C856" s="31"/>
      <c r="D856" s="31"/>
      <c r="E856" s="31"/>
      <c r="F856" s="32"/>
      <c r="G856" s="33"/>
      <c r="H856" s="33"/>
      <c r="I856" s="20" t="str">
        <f t="shared" si="199"/>
        <v/>
      </c>
      <c r="J856" s="21" t="str">
        <f>IFERROR(VLOOKUP(BR856,Pricing!$D$3:$E$58,2,FALSE),"")</f>
        <v/>
      </c>
      <c r="K856" s="32"/>
      <c r="L856" s="32"/>
      <c r="M856" s="32"/>
      <c r="N856" s="36" t="str" cm="1">
        <f t="array" ref="N856">IFERROR(_xlfn.IFS((AND(K856="SI",M856="$")),J856*0.2,AND(K856="SI",M856="%"),20),"")</f>
        <v/>
      </c>
      <c r="O856" s="29" t="str">
        <f t="shared" si="200"/>
        <v/>
      </c>
      <c r="P856" s="21" t="str">
        <f t="shared" si="201"/>
        <v/>
      </c>
      <c r="Q856" s="21" t="str">
        <f t="shared" si="202"/>
        <v/>
      </c>
      <c r="R856" s="21" t="str">
        <f t="shared" si="203"/>
        <v/>
      </c>
      <c r="S856" s="39"/>
      <c r="T856" s="43" t="str">
        <f t="shared" si="211"/>
        <v/>
      </c>
      <c r="U856" s="49" t="str">
        <f t="shared" si="212"/>
        <v/>
      </c>
      <c r="V856" s="48" t="str">
        <f t="shared" si="213"/>
        <v/>
      </c>
      <c r="W856" s="48" t="str">
        <f t="shared" si="204"/>
        <v/>
      </c>
      <c r="X856" s="50" t="str">
        <f>IF(W856="","",SUMIF($B$4:$B$1002,B856,$W$4:$W$1000))</f>
        <v/>
      </c>
      <c r="Y856" s="43" t="str">
        <f t="shared" si="205"/>
        <v/>
      </c>
      <c r="Z856" s="49" t="str">
        <f t="shared" si="206"/>
        <v/>
      </c>
      <c r="AA856" s="48" t="str">
        <f t="shared" si="207"/>
        <v/>
      </c>
      <c r="AB856" s="49" t="str">
        <f t="shared" si="208"/>
        <v/>
      </c>
      <c r="AC856" s="50" t="str">
        <f>IF(AB856="","",SUMIF($B$4:$B$1002,B856,$AB$4:$AB$1000))</f>
        <v/>
      </c>
      <c r="AD856" s="69"/>
      <c r="AE856" s="56"/>
      <c r="AF856" s="52"/>
      <c r="AG856" s="51"/>
      <c r="AH856" s="70"/>
      <c r="AI856" s="58"/>
      <c r="AJ856" s="55"/>
      <c r="AK856" s="51"/>
      <c r="AL856" s="69"/>
      <c r="AM856" s="56"/>
      <c r="AN856" s="52"/>
      <c r="AO856" s="51"/>
      <c r="AP856" s="70"/>
      <c r="AQ856" s="58"/>
      <c r="AR856" s="55"/>
      <c r="AS856" s="51"/>
      <c r="AT856" s="69"/>
      <c r="AU856" s="56"/>
      <c r="AV856" s="52"/>
      <c r="AW856" s="51"/>
      <c r="BR856" s="34" t="str">
        <f>IF(E856="","",CONCATENATE(E856," ",F856," noches"))</f>
        <v/>
      </c>
      <c r="BS856" s="28" t="str">
        <f t="shared" ca="1" si="209"/>
        <v/>
      </c>
      <c r="BT856" s="28" t="str">
        <f t="shared" ca="1" si="210"/>
        <v/>
      </c>
    </row>
    <row r="857" spans="1:72" x14ac:dyDescent="0.2">
      <c r="A857" s="18" t="str" cm="1">
        <f t="array" aca="1" ref="A857" ca="1">IF(B857="","","Grupo N˚"&amp;SUMPRODUCT(($B$4:B857&lt;&gt;"")*($B$4:B857&lt;&gt;OFFSET($B$4,-1,0,ROWS($B$4:B857),1))))</f>
        <v/>
      </c>
      <c r="B857" s="31"/>
      <c r="C857" s="31"/>
      <c r="D857" s="31"/>
      <c r="E857" s="31"/>
      <c r="F857" s="32"/>
      <c r="G857" s="33"/>
      <c r="H857" s="33"/>
      <c r="I857" s="20" t="str">
        <f t="shared" si="199"/>
        <v/>
      </c>
      <c r="J857" s="21" t="str">
        <f>IFERROR(VLOOKUP(BR857,Pricing!$D$3:$E$58,2,FALSE),"")</f>
        <v/>
      </c>
      <c r="K857" s="32"/>
      <c r="L857" s="32"/>
      <c r="M857" s="32"/>
      <c r="N857" s="36" t="str" cm="1">
        <f t="array" ref="N857">IFERROR(_xlfn.IFS((AND(K857="SI",M857="$")),J857*0.2,AND(K857="SI",M857="%"),20),"")</f>
        <v/>
      </c>
      <c r="O857" s="29" t="str">
        <f t="shared" si="200"/>
        <v/>
      </c>
      <c r="P857" s="21" t="str">
        <f t="shared" si="201"/>
        <v/>
      </c>
      <c r="Q857" s="21" t="str">
        <f t="shared" si="202"/>
        <v/>
      </c>
      <c r="R857" s="21" t="str">
        <f t="shared" si="203"/>
        <v/>
      </c>
      <c r="S857" s="39"/>
      <c r="T857" s="43" t="str">
        <f t="shared" si="211"/>
        <v/>
      </c>
      <c r="U857" s="49" t="str">
        <f t="shared" si="212"/>
        <v/>
      </c>
      <c r="V857" s="48" t="str">
        <f t="shared" si="213"/>
        <v/>
      </c>
      <c r="W857" s="48" t="str">
        <f t="shared" si="204"/>
        <v/>
      </c>
      <c r="X857" s="50" t="str">
        <f>IF(W857="","",SUMIF($B$4:$B$1002,B857,$W$4:$W$1000))</f>
        <v/>
      </c>
      <c r="Y857" s="43" t="str">
        <f t="shared" si="205"/>
        <v/>
      </c>
      <c r="Z857" s="49" t="str">
        <f t="shared" si="206"/>
        <v/>
      </c>
      <c r="AA857" s="48" t="str">
        <f t="shared" si="207"/>
        <v/>
      </c>
      <c r="AB857" s="49" t="str">
        <f t="shared" si="208"/>
        <v/>
      </c>
      <c r="AC857" s="50" t="str">
        <f>IF(AB857="","",SUMIF($B$4:$B$1002,B857,$AB$4:$AB$1000))</f>
        <v/>
      </c>
      <c r="AD857" s="69"/>
      <c r="AE857" s="56"/>
      <c r="AF857" s="52"/>
      <c r="AG857" s="51"/>
      <c r="AH857" s="70"/>
      <c r="AI857" s="58"/>
      <c r="AJ857" s="55"/>
      <c r="AK857" s="51"/>
      <c r="AL857" s="69"/>
      <c r="AM857" s="56"/>
      <c r="AN857" s="52"/>
      <c r="AO857" s="51"/>
      <c r="AP857" s="70"/>
      <c r="AQ857" s="58"/>
      <c r="AR857" s="55"/>
      <c r="AS857" s="51"/>
      <c r="AT857" s="69"/>
      <c r="AU857" s="56"/>
      <c r="AV857" s="52"/>
      <c r="AW857" s="51"/>
      <c r="BR857" s="34" t="str">
        <f>IF(E857="","",CONCATENATE(E857," ",F857," noches"))</f>
        <v/>
      </c>
      <c r="BS857" s="28" t="str">
        <f t="shared" ca="1" si="209"/>
        <v/>
      </c>
      <c r="BT857" s="28" t="str">
        <f t="shared" ca="1" si="210"/>
        <v/>
      </c>
    </row>
    <row r="858" spans="1:72" x14ac:dyDescent="0.2">
      <c r="A858" s="18" t="str" cm="1">
        <f t="array" aca="1" ref="A858" ca="1">IF(B858="","","Grupo N˚"&amp;SUMPRODUCT(($B$4:B858&lt;&gt;"")*($B$4:B858&lt;&gt;OFFSET($B$4,-1,0,ROWS($B$4:B858),1))))</f>
        <v/>
      </c>
      <c r="B858" s="31"/>
      <c r="C858" s="31"/>
      <c r="D858" s="31"/>
      <c r="E858" s="31"/>
      <c r="F858" s="32"/>
      <c r="G858" s="33"/>
      <c r="H858" s="33"/>
      <c r="I858" s="20" t="str">
        <f t="shared" si="199"/>
        <v/>
      </c>
      <c r="J858" s="21" t="str">
        <f>IFERROR(VLOOKUP(BR858,Pricing!$D$3:$E$58,2,FALSE),"")</f>
        <v/>
      </c>
      <c r="K858" s="32"/>
      <c r="L858" s="32"/>
      <c r="M858" s="32"/>
      <c r="N858" s="36" t="str" cm="1">
        <f t="array" ref="N858">IFERROR(_xlfn.IFS((AND(K858="SI",M858="$")),J858*0.2,AND(K858="SI",M858="%"),20),"")</f>
        <v/>
      </c>
      <c r="O858" s="29" t="str">
        <f t="shared" si="200"/>
        <v/>
      </c>
      <c r="P858" s="21" t="str">
        <f t="shared" si="201"/>
        <v/>
      </c>
      <c r="Q858" s="21" t="str">
        <f t="shared" si="202"/>
        <v/>
      </c>
      <c r="R858" s="21" t="str">
        <f t="shared" si="203"/>
        <v/>
      </c>
      <c r="S858" s="39"/>
      <c r="T858" s="43" t="str">
        <f t="shared" si="211"/>
        <v/>
      </c>
      <c r="U858" s="49" t="str">
        <f t="shared" si="212"/>
        <v/>
      </c>
      <c r="V858" s="48" t="str">
        <f t="shared" si="213"/>
        <v/>
      </c>
      <c r="W858" s="48" t="str">
        <f t="shared" si="204"/>
        <v/>
      </c>
      <c r="X858" s="50" t="str">
        <f>IF(W858="","",SUMIF($B$4:$B$1002,B858,$W$4:$W$1000))</f>
        <v/>
      </c>
      <c r="Y858" s="43" t="str">
        <f t="shared" si="205"/>
        <v/>
      </c>
      <c r="Z858" s="49" t="str">
        <f t="shared" si="206"/>
        <v/>
      </c>
      <c r="AA858" s="48" t="str">
        <f t="shared" si="207"/>
        <v/>
      </c>
      <c r="AB858" s="49" t="str">
        <f t="shared" si="208"/>
        <v/>
      </c>
      <c r="AC858" s="50" t="str">
        <f>IF(AB858="","",SUMIF($B$4:$B$1002,B858,$AB$4:$AB$1000))</f>
        <v/>
      </c>
      <c r="AD858" s="69"/>
      <c r="AE858" s="56"/>
      <c r="AF858" s="52"/>
      <c r="AG858" s="51"/>
      <c r="AH858" s="70"/>
      <c r="AI858" s="58"/>
      <c r="AJ858" s="55"/>
      <c r="AK858" s="51"/>
      <c r="AL858" s="69"/>
      <c r="AM858" s="56"/>
      <c r="AN858" s="52"/>
      <c r="AO858" s="51"/>
      <c r="AP858" s="70"/>
      <c r="AQ858" s="58"/>
      <c r="AR858" s="55"/>
      <c r="AS858" s="51"/>
      <c r="AT858" s="69"/>
      <c r="AU858" s="56"/>
      <c r="AV858" s="52"/>
      <c r="AW858" s="51"/>
      <c r="BR858" s="34" t="str">
        <f>IF(E858="","",CONCATENATE(E858," ",F858," noches"))</f>
        <v/>
      </c>
      <c r="BS858" s="28" t="str">
        <f t="shared" ca="1" si="209"/>
        <v/>
      </c>
      <c r="BT858" s="28" t="str">
        <f t="shared" ca="1" si="210"/>
        <v/>
      </c>
    </row>
    <row r="859" spans="1:72" x14ac:dyDescent="0.2">
      <c r="A859" s="18" t="str" cm="1">
        <f t="array" aca="1" ref="A859" ca="1">IF(B859="","","Grupo N˚"&amp;SUMPRODUCT(($B$4:B859&lt;&gt;"")*($B$4:B859&lt;&gt;OFFSET($B$4,-1,0,ROWS($B$4:B859),1))))</f>
        <v/>
      </c>
      <c r="B859" s="31"/>
      <c r="C859" s="31"/>
      <c r="D859" s="31"/>
      <c r="E859" s="31"/>
      <c r="F859" s="32"/>
      <c r="G859" s="33"/>
      <c r="H859" s="33"/>
      <c r="I859" s="20" t="str">
        <f t="shared" si="199"/>
        <v/>
      </c>
      <c r="J859" s="21" t="str">
        <f>IFERROR(VLOOKUP(BR859,Pricing!$D$3:$E$58,2,FALSE),"")</f>
        <v/>
      </c>
      <c r="K859" s="32"/>
      <c r="L859" s="32"/>
      <c r="M859" s="32"/>
      <c r="N859" s="36" t="str" cm="1">
        <f t="array" ref="N859">IFERROR(_xlfn.IFS((AND(K859="SI",M859="$")),J859*0.2,AND(K859="SI",M859="%"),20),"")</f>
        <v/>
      </c>
      <c r="O859" s="29" t="str">
        <f t="shared" si="200"/>
        <v/>
      </c>
      <c r="P859" s="21" t="str">
        <f t="shared" si="201"/>
        <v/>
      </c>
      <c r="Q859" s="21" t="str">
        <f t="shared" si="202"/>
        <v/>
      </c>
      <c r="R859" s="21" t="str">
        <f t="shared" si="203"/>
        <v/>
      </c>
      <c r="S859" s="39"/>
      <c r="T859" s="43" t="str">
        <f t="shared" si="211"/>
        <v/>
      </c>
      <c r="U859" s="49" t="str">
        <f t="shared" si="212"/>
        <v/>
      </c>
      <c r="V859" s="48" t="str">
        <f t="shared" si="213"/>
        <v/>
      </c>
      <c r="W859" s="48" t="str">
        <f t="shared" si="204"/>
        <v/>
      </c>
      <c r="X859" s="50" t="str">
        <f>IF(W859="","",SUMIF($B$4:$B$1002,B859,$W$4:$W$1000))</f>
        <v/>
      </c>
      <c r="Y859" s="43" t="str">
        <f t="shared" si="205"/>
        <v/>
      </c>
      <c r="Z859" s="49" t="str">
        <f t="shared" si="206"/>
        <v/>
      </c>
      <c r="AA859" s="48" t="str">
        <f t="shared" si="207"/>
        <v/>
      </c>
      <c r="AB859" s="49" t="str">
        <f t="shared" si="208"/>
        <v/>
      </c>
      <c r="AC859" s="50" t="str">
        <f>IF(AB859="","",SUMIF($B$4:$B$1002,B859,$AB$4:$AB$1000))</f>
        <v/>
      </c>
      <c r="AD859" s="69"/>
      <c r="AE859" s="56"/>
      <c r="AF859" s="52"/>
      <c r="AG859" s="51"/>
      <c r="AH859" s="70"/>
      <c r="AI859" s="58"/>
      <c r="AJ859" s="55"/>
      <c r="AK859" s="51"/>
      <c r="AL859" s="69"/>
      <c r="AM859" s="56"/>
      <c r="AN859" s="52"/>
      <c r="AO859" s="51"/>
      <c r="AP859" s="70"/>
      <c r="AQ859" s="58"/>
      <c r="AR859" s="55"/>
      <c r="AS859" s="51"/>
      <c r="AT859" s="69"/>
      <c r="AU859" s="56"/>
      <c r="AV859" s="52"/>
      <c r="AW859" s="51"/>
      <c r="BR859" s="34" t="str">
        <f>IF(E859="","",CONCATENATE(E859," ",F859," noches"))</f>
        <v/>
      </c>
      <c r="BS859" s="28" t="str">
        <f t="shared" ca="1" si="209"/>
        <v/>
      </c>
      <c r="BT859" s="28" t="str">
        <f t="shared" ca="1" si="210"/>
        <v/>
      </c>
    </row>
    <row r="860" spans="1:72" x14ac:dyDescent="0.2">
      <c r="A860" s="18" t="str" cm="1">
        <f t="array" aca="1" ref="A860" ca="1">IF(B860="","","Grupo N˚"&amp;SUMPRODUCT(($B$4:B860&lt;&gt;"")*($B$4:B860&lt;&gt;OFFSET($B$4,-1,0,ROWS($B$4:B860),1))))</f>
        <v/>
      </c>
      <c r="B860" s="31"/>
      <c r="C860" s="31"/>
      <c r="D860" s="31"/>
      <c r="E860" s="31"/>
      <c r="F860" s="32"/>
      <c r="G860" s="33"/>
      <c r="H860" s="33"/>
      <c r="I860" s="20" t="str">
        <f t="shared" si="199"/>
        <v/>
      </c>
      <c r="J860" s="21" t="str">
        <f>IFERROR(VLOOKUP(BR860,Pricing!$D$3:$E$58,2,FALSE),"")</f>
        <v/>
      </c>
      <c r="K860" s="32"/>
      <c r="L860" s="32"/>
      <c r="M860" s="32"/>
      <c r="N860" s="36" t="str" cm="1">
        <f t="array" ref="N860">IFERROR(_xlfn.IFS((AND(K860="SI",M860="$")),J860*0.2,AND(K860="SI",M860="%"),20),"")</f>
        <v/>
      </c>
      <c r="O860" s="29" t="str">
        <f t="shared" si="200"/>
        <v/>
      </c>
      <c r="P860" s="21" t="str">
        <f t="shared" si="201"/>
        <v/>
      </c>
      <c r="Q860" s="21" t="str">
        <f t="shared" si="202"/>
        <v/>
      </c>
      <c r="R860" s="21" t="str">
        <f t="shared" si="203"/>
        <v/>
      </c>
      <c r="S860" s="39"/>
      <c r="T860" s="43" t="str">
        <f t="shared" si="211"/>
        <v/>
      </c>
      <c r="U860" s="49" t="str">
        <f t="shared" si="212"/>
        <v/>
      </c>
      <c r="V860" s="48" t="str">
        <f t="shared" si="213"/>
        <v/>
      </c>
      <c r="W860" s="48" t="str">
        <f t="shared" si="204"/>
        <v/>
      </c>
      <c r="X860" s="50" t="str">
        <f>IF(W860="","",SUMIF($B$4:$B$1002,B860,$W$4:$W$1000))</f>
        <v/>
      </c>
      <c r="Y860" s="43" t="str">
        <f t="shared" si="205"/>
        <v/>
      </c>
      <c r="Z860" s="49" t="str">
        <f t="shared" si="206"/>
        <v/>
      </c>
      <c r="AA860" s="48" t="str">
        <f t="shared" si="207"/>
        <v/>
      </c>
      <c r="AB860" s="49" t="str">
        <f t="shared" si="208"/>
        <v/>
      </c>
      <c r="AC860" s="50" t="str">
        <f>IF(AB860="","",SUMIF($B$4:$B$1002,B860,$AB$4:$AB$1000))</f>
        <v/>
      </c>
      <c r="AD860" s="69"/>
      <c r="AE860" s="56"/>
      <c r="AF860" s="52"/>
      <c r="AG860" s="51"/>
      <c r="AH860" s="70"/>
      <c r="AI860" s="58"/>
      <c r="AJ860" s="55"/>
      <c r="AK860" s="51"/>
      <c r="AL860" s="69"/>
      <c r="AM860" s="56"/>
      <c r="AN860" s="52"/>
      <c r="AO860" s="51"/>
      <c r="AP860" s="70"/>
      <c r="AQ860" s="58"/>
      <c r="AR860" s="55"/>
      <c r="AS860" s="51"/>
      <c r="AT860" s="69"/>
      <c r="AU860" s="56"/>
      <c r="AV860" s="52"/>
      <c r="AW860" s="51"/>
      <c r="BR860" s="34" t="str">
        <f>IF(E860="","",CONCATENATE(E860," ",F860," noches"))</f>
        <v/>
      </c>
      <c r="BS860" s="28" t="str">
        <f t="shared" ca="1" si="209"/>
        <v/>
      </c>
      <c r="BT860" s="28" t="str">
        <f t="shared" ca="1" si="210"/>
        <v/>
      </c>
    </row>
    <row r="861" spans="1:72" x14ac:dyDescent="0.2">
      <c r="A861" s="18" t="str" cm="1">
        <f t="array" aca="1" ref="A861" ca="1">IF(B861="","","Grupo N˚"&amp;SUMPRODUCT(($B$4:B861&lt;&gt;"")*($B$4:B861&lt;&gt;OFFSET($B$4,-1,0,ROWS($B$4:B861),1))))</f>
        <v/>
      </c>
      <c r="B861" s="31"/>
      <c r="C861" s="31"/>
      <c r="D861" s="31"/>
      <c r="E861" s="31"/>
      <c r="F861" s="32"/>
      <c r="G861" s="33"/>
      <c r="H861" s="33"/>
      <c r="I861" s="20" t="str">
        <f t="shared" si="199"/>
        <v/>
      </c>
      <c r="J861" s="21" t="str">
        <f>IFERROR(VLOOKUP(BR861,Pricing!$D$3:$E$58,2,FALSE),"")</f>
        <v/>
      </c>
      <c r="K861" s="32"/>
      <c r="L861" s="32"/>
      <c r="M861" s="32"/>
      <c r="N861" s="36" t="str" cm="1">
        <f t="array" ref="N861">IFERROR(_xlfn.IFS((AND(K861="SI",M861="$")),J861*0.2,AND(K861="SI",M861="%"),20),"")</f>
        <v/>
      </c>
      <c r="O861" s="29" t="str">
        <f t="shared" si="200"/>
        <v/>
      </c>
      <c r="P861" s="21" t="str">
        <f t="shared" si="201"/>
        <v/>
      </c>
      <c r="Q861" s="21" t="str">
        <f t="shared" si="202"/>
        <v/>
      </c>
      <c r="R861" s="21" t="str">
        <f t="shared" si="203"/>
        <v/>
      </c>
      <c r="S861" s="39"/>
      <c r="T861" s="43" t="str">
        <f t="shared" si="211"/>
        <v/>
      </c>
      <c r="U861" s="49" t="str">
        <f t="shared" si="212"/>
        <v/>
      </c>
      <c r="V861" s="48" t="str">
        <f t="shared" si="213"/>
        <v/>
      </c>
      <c r="W861" s="48" t="str">
        <f t="shared" si="204"/>
        <v/>
      </c>
      <c r="X861" s="50" t="str">
        <f>IF(W861="","",SUMIF($B$4:$B$1002,B861,$W$4:$W$1000))</f>
        <v/>
      </c>
      <c r="Y861" s="43" t="str">
        <f t="shared" si="205"/>
        <v/>
      </c>
      <c r="Z861" s="49" t="str">
        <f t="shared" si="206"/>
        <v/>
      </c>
      <c r="AA861" s="48" t="str">
        <f t="shared" si="207"/>
        <v/>
      </c>
      <c r="AB861" s="49" t="str">
        <f t="shared" si="208"/>
        <v/>
      </c>
      <c r="AC861" s="50" t="str">
        <f>IF(AB861="","",SUMIF($B$4:$B$1002,B861,$AB$4:$AB$1000))</f>
        <v/>
      </c>
      <c r="AD861" s="69"/>
      <c r="AE861" s="56"/>
      <c r="AF861" s="52"/>
      <c r="AG861" s="51"/>
      <c r="AH861" s="70"/>
      <c r="AI861" s="58"/>
      <c r="AJ861" s="55"/>
      <c r="AK861" s="51"/>
      <c r="AL861" s="69"/>
      <c r="AM861" s="56"/>
      <c r="AN861" s="52"/>
      <c r="AO861" s="51"/>
      <c r="AP861" s="70"/>
      <c r="AQ861" s="58"/>
      <c r="AR861" s="55"/>
      <c r="AS861" s="51"/>
      <c r="AT861" s="69"/>
      <c r="AU861" s="56"/>
      <c r="AV861" s="52"/>
      <c r="AW861" s="51"/>
      <c r="BR861" s="34" t="str">
        <f>IF(E861="","",CONCATENATE(E861," ",F861," noches"))</f>
        <v/>
      </c>
      <c r="BS861" s="28" t="str">
        <f t="shared" ca="1" si="209"/>
        <v/>
      </c>
      <c r="BT861" s="28" t="str">
        <f t="shared" ca="1" si="210"/>
        <v/>
      </c>
    </row>
    <row r="862" spans="1:72" x14ac:dyDescent="0.2">
      <c r="A862" s="18" t="str" cm="1">
        <f t="array" aca="1" ref="A862" ca="1">IF(B862="","","Grupo N˚"&amp;SUMPRODUCT(($B$4:B862&lt;&gt;"")*($B$4:B862&lt;&gt;OFFSET($B$4,-1,0,ROWS($B$4:B862),1))))</f>
        <v/>
      </c>
      <c r="B862" s="31"/>
      <c r="C862" s="31"/>
      <c r="D862" s="31"/>
      <c r="E862" s="31"/>
      <c r="F862" s="32"/>
      <c r="G862" s="33"/>
      <c r="H862" s="33"/>
      <c r="I862" s="20" t="str">
        <f t="shared" si="199"/>
        <v/>
      </c>
      <c r="J862" s="21" t="str">
        <f>IFERROR(VLOOKUP(BR862,Pricing!$D$3:$E$58,2,FALSE),"")</f>
        <v/>
      </c>
      <c r="K862" s="32"/>
      <c r="L862" s="32"/>
      <c r="M862" s="32"/>
      <c r="N862" s="36" t="str" cm="1">
        <f t="array" ref="N862">IFERROR(_xlfn.IFS((AND(K862="SI",M862="$")),J862*0.2,AND(K862="SI",M862="%"),20),"")</f>
        <v/>
      </c>
      <c r="O862" s="29" t="str">
        <f t="shared" si="200"/>
        <v/>
      </c>
      <c r="P862" s="21" t="str">
        <f t="shared" si="201"/>
        <v/>
      </c>
      <c r="Q862" s="21" t="str">
        <f t="shared" si="202"/>
        <v/>
      </c>
      <c r="R862" s="21" t="str">
        <f t="shared" si="203"/>
        <v/>
      </c>
      <c r="S862" s="39"/>
      <c r="T862" s="43" t="str">
        <f t="shared" si="211"/>
        <v/>
      </c>
      <c r="U862" s="49" t="str">
        <f t="shared" si="212"/>
        <v/>
      </c>
      <c r="V862" s="48" t="str">
        <f t="shared" si="213"/>
        <v/>
      </c>
      <c r="W862" s="48" t="str">
        <f t="shared" si="204"/>
        <v/>
      </c>
      <c r="X862" s="50" t="str">
        <f>IF(W862="","",SUMIF($B$4:$B$1002,B862,$W$4:$W$1000))</f>
        <v/>
      </c>
      <c r="Y862" s="43" t="str">
        <f t="shared" si="205"/>
        <v/>
      </c>
      <c r="Z862" s="49" t="str">
        <f t="shared" si="206"/>
        <v/>
      </c>
      <c r="AA862" s="48" t="str">
        <f t="shared" si="207"/>
        <v/>
      </c>
      <c r="AB862" s="49" t="str">
        <f t="shared" si="208"/>
        <v/>
      </c>
      <c r="AC862" s="50" t="str">
        <f>IF(AB862="","",SUMIF($B$4:$B$1002,B862,$AB$4:$AB$1000))</f>
        <v/>
      </c>
      <c r="AD862" s="69"/>
      <c r="AE862" s="56"/>
      <c r="AF862" s="52"/>
      <c r="AG862" s="51"/>
      <c r="AH862" s="70"/>
      <c r="AI862" s="58"/>
      <c r="AJ862" s="55"/>
      <c r="AK862" s="51"/>
      <c r="AL862" s="69"/>
      <c r="AM862" s="56"/>
      <c r="AN862" s="52"/>
      <c r="AO862" s="51"/>
      <c r="AP862" s="70"/>
      <c r="AQ862" s="58"/>
      <c r="AR862" s="55"/>
      <c r="AS862" s="51"/>
      <c r="AT862" s="69"/>
      <c r="AU862" s="56"/>
      <c r="AV862" s="52"/>
      <c r="AW862" s="51"/>
      <c r="BR862" s="34" t="str">
        <f>IF(E862="","",CONCATENATE(E862," ",F862," noches"))</f>
        <v/>
      </c>
      <c r="BS862" s="28" t="str">
        <f t="shared" ca="1" si="209"/>
        <v/>
      </c>
      <c r="BT862" s="28" t="str">
        <f t="shared" ca="1" si="210"/>
        <v/>
      </c>
    </row>
    <row r="863" spans="1:72" x14ac:dyDescent="0.2">
      <c r="A863" s="18" t="str" cm="1">
        <f t="array" aca="1" ref="A863" ca="1">IF(B863="","","Grupo N˚"&amp;SUMPRODUCT(($B$4:B863&lt;&gt;"")*($B$4:B863&lt;&gt;OFFSET($B$4,-1,0,ROWS($B$4:B863),1))))</f>
        <v/>
      </c>
      <c r="B863" s="31"/>
      <c r="C863" s="31"/>
      <c r="D863" s="31"/>
      <c r="E863" s="31"/>
      <c r="F863" s="32"/>
      <c r="G863" s="33"/>
      <c r="H863" s="33"/>
      <c r="I863" s="20" t="str">
        <f t="shared" si="199"/>
        <v/>
      </c>
      <c r="J863" s="21" t="str">
        <f>IFERROR(VLOOKUP(BR863,Pricing!$D$3:$E$58,2,FALSE),"")</f>
        <v/>
      </c>
      <c r="K863" s="32"/>
      <c r="L863" s="32"/>
      <c r="M863" s="32"/>
      <c r="N863" s="36" t="str" cm="1">
        <f t="array" ref="N863">IFERROR(_xlfn.IFS((AND(K863="SI",M863="$")),J863*0.2,AND(K863="SI",M863="%"),20),"")</f>
        <v/>
      </c>
      <c r="O863" s="29" t="str">
        <f t="shared" si="200"/>
        <v/>
      </c>
      <c r="P863" s="21" t="str">
        <f t="shared" si="201"/>
        <v/>
      </c>
      <c r="Q863" s="21" t="str">
        <f t="shared" si="202"/>
        <v/>
      </c>
      <c r="R863" s="21" t="str">
        <f t="shared" si="203"/>
        <v/>
      </c>
      <c r="S863" s="39"/>
      <c r="T863" s="43" t="str">
        <f t="shared" si="211"/>
        <v/>
      </c>
      <c r="U863" s="49" t="str">
        <f t="shared" si="212"/>
        <v/>
      </c>
      <c r="V863" s="48" t="str">
        <f t="shared" si="213"/>
        <v/>
      </c>
      <c r="W863" s="48" t="str">
        <f t="shared" si="204"/>
        <v/>
      </c>
      <c r="X863" s="50" t="str">
        <f>IF(W863="","",SUMIF($B$4:$B$1002,B863,$W$4:$W$1000))</f>
        <v/>
      </c>
      <c r="Y863" s="43" t="str">
        <f t="shared" si="205"/>
        <v/>
      </c>
      <c r="Z863" s="49" t="str">
        <f t="shared" si="206"/>
        <v/>
      </c>
      <c r="AA863" s="48" t="str">
        <f t="shared" si="207"/>
        <v/>
      </c>
      <c r="AB863" s="49" t="str">
        <f t="shared" si="208"/>
        <v/>
      </c>
      <c r="AC863" s="50" t="str">
        <f>IF(AB863="","",SUMIF($B$4:$B$1002,B863,$AB$4:$AB$1000))</f>
        <v/>
      </c>
      <c r="AD863" s="69"/>
      <c r="AE863" s="56"/>
      <c r="AF863" s="52"/>
      <c r="AG863" s="51"/>
      <c r="AH863" s="70"/>
      <c r="AI863" s="58"/>
      <c r="AJ863" s="55"/>
      <c r="AK863" s="51"/>
      <c r="AL863" s="69"/>
      <c r="AM863" s="56"/>
      <c r="AN863" s="52"/>
      <c r="AO863" s="51"/>
      <c r="AP863" s="70"/>
      <c r="AQ863" s="58"/>
      <c r="AR863" s="55"/>
      <c r="AS863" s="51"/>
      <c r="AT863" s="69"/>
      <c r="AU863" s="56"/>
      <c r="AV863" s="52"/>
      <c r="AW863" s="51"/>
      <c r="BR863" s="34" t="str">
        <f>IF(E863="","",CONCATENATE(E863," ",F863," noches"))</f>
        <v/>
      </c>
      <c r="BS863" s="28" t="str">
        <f t="shared" ca="1" si="209"/>
        <v/>
      </c>
      <c r="BT863" s="28" t="str">
        <f t="shared" ca="1" si="210"/>
        <v/>
      </c>
    </row>
    <row r="864" spans="1:72" x14ac:dyDescent="0.2">
      <c r="A864" s="18" t="str" cm="1">
        <f t="array" aca="1" ref="A864" ca="1">IF(B864="","","Grupo N˚"&amp;SUMPRODUCT(($B$4:B864&lt;&gt;"")*($B$4:B864&lt;&gt;OFFSET($B$4,-1,0,ROWS($B$4:B864),1))))</f>
        <v/>
      </c>
      <c r="B864" s="31"/>
      <c r="C864" s="31"/>
      <c r="D864" s="31"/>
      <c r="E864" s="31"/>
      <c r="F864" s="32"/>
      <c r="G864" s="33"/>
      <c r="H864" s="33"/>
      <c r="I864" s="20" t="str">
        <f t="shared" si="199"/>
        <v/>
      </c>
      <c r="J864" s="21" t="str">
        <f>IFERROR(VLOOKUP(BR864,Pricing!$D$3:$E$58,2,FALSE),"")</f>
        <v/>
      </c>
      <c r="K864" s="32"/>
      <c r="L864" s="32"/>
      <c r="M864" s="32"/>
      <c r="N864" s="36" t="str" cm="1">
        <f t="array" ref="N864">IFERROR(_xlfn.IFS((AND(K864="SI",M864="$")),J864*0.2,AND(K864="SI",M864="%"),20),"")</f>
        <v/>
      </c>
      <c r="O864" s="29" t="str">
        <f t="shared" si="200"/>
        <v/>
      </c>
      <c r="P864" s="21" t="str">
        <f t="shared" si="201"/>
        <v/>
      </c>
      <c r="Q864" s="21" t="str">
        <f t="shared" si="202"/>
        <v/>
      </c>
      <c r="R864" s="21" t="str">
        <f t="shared" si="203"/>
        <v/>
      </c>
      <c r="S864" s="39"/>
      <c r="T864" s="43" t="str">
        <f t="shared" si="211"/>
        <v/>
      </c>
      <c r="U864" s="49" t="str">
        <f t="shared" si="212"/>
        <v/>
      </c>
      <c r="V864" s="48" t="str">
        <f t="shared" si="213"/>
        <v/>
      </c>
      <c r="W864" s="48" t="str">
        <f t="shared" si="204"/>
        <v/>
      </c>
      <c r="X864" s="50" t="str">
        <f>IF(W864="","",SUMIF($B$4:$B$1002,B864,$W$4:$W$1000))</f>
        <v/>
      </c>
      <c r="Y864" s="43" t="str">
        <f t="shared" si="205"/>
        <v/>
      </c>
      <c r="Z864" s="49" t="str">
        <f t="shared" si="206"/>
        <v/>
      </c>
      <c r="AA864" s="48" t="str">
        <f t="shared" si="207"/>
        <v/>
      </c>
      <c r="AB864" s="49" t="str">
        <f t="shared" si="208"/>
        <v/>
      </c>
      <c r="AC864" s="50" t="str">
        <f>IF(AB864="","",SUMIF($B$4:$B$1002,B864,$AB$4:$AB$1000))</f>
        <v/>
      </c>
      <c r="AD864" s="69"/>
      <c r="AE864" s="56"/>
      <c r="AF864" s="52"/>
      <c r="AG864" s="51"/>
      <c r="AH864" s="70"/>
      <c r="AI864" s="58"/>
      <c r="AJ864" s="55"/>
      <c r="AK864" s="51"/>
      <c r="AL864" s="69"/>
      <c r="AM864" s="56"/>
      <c r="AN864" s="52"/>
      <c r="AO864" s="51"/>
      <c r="AP864" s="70"/>
      <c r="AQ864" s="58"/>
      <c r="AR864" s="55"/>
      <c r="AS864" s="51"/>
      <c r="AT864" s="69"/>
      <c r="AU864" s="56"/>
      <c r="AV864" s="52"/>
      <c r="AW864" s="51"/>
      <c r="BR864" s="34" t="str">
        <f>IF(E864="","",CONCATENATE(E864," ",F864," noches"))</f>
        <v/>
      </c>
      <c r="BS864" s="28" t="str">
        <f t="shared" ca="1" si="209"/>
        <v/>
      </c>
      <c r="BT864" s="28" t="str">
        <f t="shared" ca="1" si="210"/>
        <v/>
      </c>
    </row>
    <row r="865" spans="1:72" x14ac:dyDescent="0.2">
      <c r="A865" s="18" t="str" cm="1">
        <f t="array" aca="1" ref="A865" ca="1">IF(B865="","","Grupo N˚"&amp;SUMPRODUCT(($B$4:B865&lt;&gt;"")*($B$4:B865&lt;&gt;OFFSET($B$4,-1,0,ROWS($B$4:B865),1))))</f>
        <v/>
      </c>
      <c r="B865" s="31"/>
      <c r="C865" s="31"/>
      <c r="D865" s="31"/>
      <c r="E865" s="31"/>
      <c r="F865" s="32"/>
      <c r="G865" s="33"/>
      <c r="H865" s="33"/>
      <c r="I865" s="20" t="str">
        <f t="shared" si="199"/>
        <v/>
      </c>
      <c r="J865" s="21" t="str">
        <f>IFERROR(VLOOKUP(BR865,Pricing!$D$3:$E$58,2,FALSE),"")</f>
        <v/>
      </c>
      <c r="K865" s="32"/>
      <c r="L865" s="32"/>
      <c r="M865" s="32"/>
      <c r="N865" s="36" t="str" cm="1">
        <f t="array" ref="N865">IFERROR(_xlfn.IFS((AND(K865="SI",M865="$")),J865*0.2,AND(K865="SI",M865="%"),20),"")</f>
        <v/>
      </c>
      <c r="O865" s="29" t="str">
        <f t="shared" si="200"/>
        <v/>
      </c>
      <c r="P865" s="21" t="str">
        <f t="shared" si="201"/>
        <v/>
      </c>
      <c r="Q865" s="21" t="str">
        <f t="shared" si="202"/>
        <v/>
      </c>
      <c r="R865" s="21" t="str">
        <f t="shared" si="203"/>
        <v/>
      </c>
      <c r="S865" s="39"/>
      <c r="T865" s="43" t="str">
        <f t="shared" si="211"/>
        <v/>
      </c>
      <c r="U865" s="49" t="str">
        <f t="shared" si="212"/>
        <v/>
      </c>
      <c r="V865" s="48" t="str">
        <f t="shared" si="213"/>
        <v/>
      </c>
      <c r="W865" s="48" t="str">
        <f t="shared" si="204"/>
        <v/>
      </c>
      <c r="X865" s="50" t="str">
        <f>IF(W865="","",SUMIF($B$4:$B$1002,B865,$W$4:$W$1000))</f>
        <v/>
      </c>
      <c r="Y865" s="43" t="str">
        <f t="shared" si="205"/>
        <v/>
      </c>
      <c r="Z865" s="49" t="str">
        <f t="shared" si="206"/>
        <v/>
      </c>
      <c r="AA865" s="48" t="str">
        <f t="shared" si="207"/>
        <v/>
      </c>
      <c r="AB865" s="49" t="str">
        <f t="shared" si="208"/>
        <v/>
      </c>
      <c r="AC865" s="50" t="str">
        <f>IF(AB865="","",SUMIF($B$4:$B$1002,B865,$AB$4:$AB$1000))</f>
        <v/>
      </c>
      <c r="AD865" s="69"/>
      <c r="AE865" s="56"/>
      <c r="AF865" s="52"/>
      <c r="AG865" s="51"/>
      <c r="AH865" s="70"/>
      <c r="AI865" s="58"/>
      <c r="AJ865" s="55"/>
      <c r="AK865" s="51"/>
      <c r="AL865" s="69"/>
      <c r="AM865" s="56"/>
      <c r="AN865" s="52"/>
      <c r="AO865" s="51"/>
      <c r="AP865" s="70"/>
      <c r="AQ865" s="58"/>
      <c r="AR865" s="55"/>
      <c r="AS865" s="51"/>
      <c r="AT865" s="69"/>
      <c r="AU865" s="56"/>
      <c r="AV865" s="52"/>
      <c r="AW865" s="51"/>
      <c r="BR865" s="34" t="str">
        <f>IF(E865="","",CONCATENATE(E865," ",F865," noches"))</f>
        <v/>
      </c>
      <c r="BS865" s="28" t="str">
        <f t="shared" ca="1" si="209"/>
        <v/>
      </c>
      <c r="BT865" s="28" t="str">
        <f t="shared" ca="1" si="210"/>
        <v/>
      </c>
    </row>
    <row r="866" spans="1:72" x14ac:dyDescent="0.2">
      <c r="A866" s="18" t="str" cm="1">
        <f t="array" aca="1" ref="A866" ca="1">IF(B866="","","Grupo N˚"&amp;SUMPRODUCT(($B$4:B866&lt;&gt;"")*($B$4:B866&lt;&gt;OFFSET($B$4,-1,0,ROWS($B$4:B866),1))))</f>
        <v/>
      </c>
      <c r="B866" s="31"/>
      <c r="C866" s="31"/>
      <c r="D866" s="31"/>
      <c r="E866" s="31"/>
      <c r="F866" s="32"/>
      <c r="G866" s="33"/>
      <c r="H866" s="33"/>
      <c r="I866" s="20" t="str">
        <f t="shared" si="199"/>
        <v/>
      </c>
      <c r="J866" s="21" t="str">
        <f>IFERROR(VLOOKUP(BR866,Pricing!$D$3:$E$58,2,FALSE),"")</f>
        <v/>
      </c>
      <c r="K866" s="32"/>
      <c r="L866" s="32"/>
      <c r="M866" s="32"/>
      <c r="N866" s="36" t="str" cm="1">
        <f t="array" ref="N866">IFERROR(_xlfn.IFS((AND(K866="SI",M866="$")),J866*0.2,AND(K866="SI",M866="%"),20),"")</f>
        <v/>
      </c>
      <c r="O866" s="29" t="str">
        <f t="shared" si="200"/>
        <v/>
      </c>
      <c r="P866" s="21" t="str">
        <f t="shared" si="201"/>
        <v/>
      </c>
      <c r="Q866" s="21" t="str">
        <f t="shared" si="202"/>
        <v/>
      </c>
      <c r="R866" s="21" t="str">
        <f t="shared" si="203"/>
        <v/>
      </c>
      <c r="S866" s="39"/>
      <c r="T866" s="43" t="str">
        <f t="shared" si="211"/>
        <v/>
      </c>
      <c r="U866" s="49" t="str">
        <f t="shared" si="212"/>
        <v/>
      </c>
      <c r="V866" s="48" t="str">
        <f t="shared" si="213"/>
        <v/>
      </c>
      <c r="W866" s="48" t="str">
        <f t="shared" si="204"/>
        <v/>
      </c>
      <c r="X866" s="50" t="str">
        <f>IF(W866="","",SUMIF($B$4:$B$1002,B866,$W$4:$W$1000))</f>
        <v/>
      </c>
      <c r="Y866" s="43" t="str">
        <f t="shared" si="205"/>
        <v/>
      </c>
      <c r="Z866" s="49" t="str">
        <f t="shared" si="206"/>
        <v/>
      </c>
      <c r="AA866" s="48" t="str">
        <f t="shared" si="207"/>
        <v/>
      </c>
      <c r="AB866" s="49" t="str">
        <f t="shared" si="208"/>
        <v/>
      </c>
      <c r="AC866" s="50" t="str">
        <f>IF(AB866="","",SUMIF($B$4:$B$1002,B866,$AB$4:$AB$1000))</f>
        <v/>
      </c>
      <c r="AD866" s="69"/>
      <c r="AE866" s="56"/>
      <c r="AF866" s="52"/>
      <c r="AG866" s="51"/>
      <c r="AH866" s="70"/>
      <c r="AI866" s="58"/>
      <c r="AJ866" s="55"/>
      <c r="AK866" s="51"/>
      <c r="AL866" s="69"/>
      <c r="AM866" s="56"/>
      <c r="AN866" s="52"/>
      <c r="AO866" s="51"/>
      <c r="AP866" s="70"/>
      <c r="AQ866" s="58"/>
      <c r="AR866" s="55"/>
      <c r="AS866" s="51"/>
      <c r="AT866" s="69"/>
      <c r="AU866" s="56"/>
      <c r="AV866" s="52"/>
      <c r="AW866" s="51"/>
      <c r="BR866" s="34" t="str">
        <f>IF(E866="","",CONCATENATE(E866," ",F866," noches"))</f>
        <v/>
      </c>
      <c r="BS866" s="28" t="str">
        <f t="shared" ca="1" si="209"/>
        <v/>
      </c>
      <c r="BT866" s="28" t="str">
        <f t="shared" ca="1" si="210"/>
        <v/>
      </c>
    </row>
    <row r="867" spans="1:72" x14ac:dyDescent="0.2">
      <c r="A867" s="18" t="str" cm="1">
        <f t="array" aca="1" ref="A867" ca="1">IF(B867="","","Grupo N˚"&amp;SUMPRODUCT(($B$4:B867&lt;&gt;"")*($B$4:B867&lt;&gt;OFFSET($B$4,-1,0,ROWS($B$4:B867),1))))</f>
        <v/>
      </c>
      <c r="B867" s="31"/>
      <c r="C867" s="31"/>
      <c r="D867" s="31"/>
      <c r="E867" s="31"/>
      <c r="F867" s="32"/>
      <c r="G867" s="33"/>
      <c r="H867" s="33"/>
      <c r="I867" s="20" t="str">
        <f t="shared" si="199"/>
        <v/>
      </c>
      <c r="J867" s="21" t="str">
        <f>IFERROR(VLOOKUP(BR867,Pricing!$D$3:$E$58,2,FALSE),"")</f>
        <v/>
      </c>
      <c r="K867" s="32"/>
      <c r="L867" s="32"/>
      <c r="M867" s="32"/>
      <c r="N867" s="36" t="str" cm="1">
        <f t="array" ref="N867">IFERROR(_xlfn.IFS((AND(K867="SI",M867="$")),J867*0.2,AND(K867="SI",M867="%"),20),"")</f>
        <v/>
      </c>
      <c r="O867" s="29" t="str">
        <f t="shared" si="200"/>
        <v/>
      </c>
      <c r="P867" s="21" t="str">
        <f t="shared" si="201"/>
        <v/>
      </c>
      <c r="Q867" s="21" t="str">
        <f t="shared" si="202"/>
        <v/>
      </c>
      <c r="R867" s="21" t="str">
        <f t="shared" si="203"/>
        <v/>
      </c>
      <c r="S867" s="39"/>
      <c r="T867" s="43" t="str">
        <f t="shared" si="211"/>
        <v/>
      </c>
      <c r="U867" s="49" t="str">
        <f t="shared" si="212"/>
        <v/>
      </c>
      <c r="V867" s="48" t="str">
        <f t="shared" si="213"/>
        <v/>
      </c>
      <c r="W867" s="48" t="str">
        <f t="shared" si="204"/>
        <v/>
      </c>
      <c r="X867" s="50" t="str">
        <f>IF(W867="","",SUMIF($B$4:$B$1002,B867,$W$4:$W$1000))</f>
        <v/>
      </c>
      <c r="Y867" s="43" t="str">
        <f t="shared" si="205"/>
        <v/>
      </c>
      <c r="Z867" s="49" t="str">
        <f t="shared" si="206"/>
        <v/>
      </c>
      <c r="AA867" s="48" t="str">
        <f t="shared" si="207"/>
        <v/>
      </c>
      <c r="AB867" s="49" t="str">
        <f t="shared" si="208"/>
        <v/>
      </c>
      <c r="AC867" s="50" t="str">
        <f>IF(AB867="","",SUMIF($B$4:$B$1002,B867,$AB$4:$AB$1000))</f>
        <v/>
      </c>
      <c r="AD867" s="69"/>
      <c r="AE867" s="56"/>
      <c r="AF867" s="52"/>
      <c r="AG867" s="51"/>
      <c r="AH867" s="70"/>
      <c r="AI867" s="58"/>
      <c r="AJ867" s="55"/>
      <c r="AK867" s="51"/>
      <c r="AL867" s="69"/>
      <c r="AM867" s="56"/>
      <c r="AN867" s="52"/>
      <c r="AO867" s="51"/>
      <c r="AP867" s="70"/>
      <c r="AQ867" s="58"/>
      <c r="AR867" s="55"/>
      <c r="AS867" s="51"/>
      <c r="AT867" s="69"/>
      <c r="AU867" s="56"/>
      <c r="AV867" s="52"/>
      <c r="AW867" s="51"/>
      <c r="BR867" s="34" t="str">
        <f>IF(E867="","",CONCATENATE(E867," ",F867," noches"))</f>
        <v/>
      </c>
      <c r="BS867" s="28" t="str">
        <f t="shared" ca="1" si="209"/>
        <v/>
      </c>
      <c r="BT867" s="28" t="str">
        <f t="shared" ca="1" si="210"/>
        <v/>
      </c>
    </row>
    <row r="868" spans="1:72" x14ac:dyDescent="0.2">
      <c r="A868" s="18" t="str" cm="1">
        <f t="array" aca="1" ref="A868" ca="1">IF(B868="","","Grupo N˚"&amp;SUMPRODUCT(($B$4:B868&lt;&gt;"")*($B$4:B868&lt;&gt;OFFSET($B$4,-1,0,ROWS($B$4:B868),1))))</f>
        <v/>
      </c>
      <c r="B868" s="31"/>
      <c r="C868" s="31"/>
      <c r="D868" s="31"/>
      <c r="E868" s="31"/>
      <c r="F868" s="32"/>
      <c r="G868" s="33"/>
      <c r="H868" s="33"/>
      <c r="I868" s="20" t="str">
        <f t="shared" si="199"/>
        <v/>
      </c>
      <c r="J868" s="21" t="str">
        <f>IFERROR(VLOOKUP(BR868,Pricing!$D$3:$E$58,2,FALSE),"")</f>
        <v/>
      </c>
      <c r="K868" s="32"/>
      <c r="L868" s="32"/>
      <c r="M868" s="32"/>
      <c r="N868" s="36" t="str" cm="1">
        <f t="array" ref="N868">IFERROR(_xlfn.IFS((AND(K868="SI",M868="$")),J868*0.2,AND(K868="SI",M868="%"),20),"")</f>
        <v/>
      </c>
      <c r="O868" s="29" t="str">
        <f t="shared" si="200"/>
        <v/>
      </c>
      <c r="P868" s="21" t="str">
        <f t="shared" si="201"/>
        <v/>
      </c>
      <c r="Q868" s="21" t="str">
        <f t="shared" si="202"/>
        <v/>
      </c>
      <c r="R868" s="21" t="str">
        <f t="shared" si="203"/>
        <v/>
      </c>
      <c r="S868" s="39"/>
      <c r="T868" s="43" t="str">
        <f t="shared" si="211"/>
        <v/>
      </c>
      <c r="U868" s="49" t="str">
        <f t="shared" si="212"/>
        <v/>
      </c>
      <c r="V868" s="48" t="str">
        <f t="shared" si="213"/>
        <v/>
      </c>
      <c r="W868" s="48" t="str">
        <f t="shared" si="204"/>
        <v/>
      </c>
      <c r="X868" s="50" t="str">
        <f>IF(W868="","",SUMIF($B$4:$B$1002,B868,$W$4:$W$1000))</f>
        <v/>
      </c>
      <c r="Y868" s="43" t="str">
        <f t="shared" si="205"/>
        <v/>
      </c>
      <c r="Z868" s="49" t="str">
        <f t="shared" si="206"/>
        <v/>
      </c>
      <c r="AA868" s="48" t="str">
        <f t="shared" si="207"/>
        <v/>
      </c>
      <c r="AB868" s="49" t="str">
        <f t="shared" si="208"/>
        <v/>
      </c>
      <c r="AC868" s="50" t="str">
        <f>IF(AB868="","",SUMIF($B$4:$B$1002,B868,$AB$4:$AB$1000))</f>
        <v/>
      </c>
      <c r="AD868" s="69"/>
      <c r="AE868" s="56"/>
      <c r="AF868" s="52"/>
      <c r="AG868" s="51"/>
      <c r="AH868" s="70"/>
      <c r="AI868" s="58"/>
      <c r="AJ868" s="55"/>
      <c r="AK868" s="51"/>
      <c r="AL868" s="69"/>
      <c r="AM868" s="56"/>
      <c r="AN868" s="52"/>
      <c r="AO868" s="51"/>
      <c r="AP868" s="70"/>
      <c r="AQ868" s="58"/>
      <c r="AR868" s="55"/>
      <c r="AS868" s="51"/>
      <c r="AT868" s="69"/>
      <c r="AU868" s="56"/>
      <c r="AV868" s="52"/>
      <c r="AW868" s="51"/>
      <c r="BR868" s="34" t="str">
        <f>IF(E868="","",CONCATENATE(E868," ",F868," noches"))</f>
        <v/>
      </c>
      <c r="BS868" s="28" t="str">
        <f t="shared" ca="1" si="209"/>
        <v/>
      </c>
      <c r="BT868" s="28" t="str">
        <f t="shared" ca="1" si="210"/>
        <v/>
      </c>
    </row>
    <row r="869" spans="1:72" x14ac:dyDescent="0.2">
      <c r="A869" s="18" t="str" cm="1">
        <f t="array" aca="1" ref="A869" ca="1">IF(B869="","","Grupo N˚"&amp;SUMPRODUCT(($B$4:B869&lt;&gt;"")*($B$4:B869&lt;&gt;OFFSET($B$4,-1,0,ROWS($B$4:B869),1))))</f>
        <v/>
      </c>
      <c r="B869" s="31"/>
      <c r="C869" s="31"/>
      <c r="D869" s="31"/>
      <c r="E869" s="31"/>
      <c r="F869" s="32"/>
      <c r="G869" s="33"/>
      <c r="H869" s="33"/>
      <c r="I869" s="20" t="str">
        <f t="shared" si="199"/>
        <v/>
      </c>
      <c r="J869" s="21" t="str">
        <f>IFERROR(VLOOKUP(BR869,Pricing!$D$3:$E$58,2,FALSE),"")</f>
        <v/>
      </c>
      <c r="K869" s="32"/>
      <c r="L869" s="32"/>
      <c r="M869" s="32"/>
      <c r="N869" s="36" t="str" cm="1">
        <f t="array" ref="N869">IFERROR(_xlfn.IFS((AND(K869="SI",M869="$")),J869*0.2,AND(K869="SI",M869="%"),20),"")</f>
        <v/>
      </c>
      <c r="O869" s="29" t="str">
        <f t="shared" si="200"/>
        <v/>
      </c>
      <c r="P869" s="21" t="str">
        <f t="shared" si="201"/>
        <v/>
      </c>
      <c r="Q869" s="21" t="str">
        <f t="shared" si="202"/>
        <v/>
      </c>
      <c r="R869" s="21" t="str">
        <f t="shared" si="203"/>
        <v/>
      </c>
      <c r="S869" s="39"/>
      <c r="T869" s="43" t="str">
        <f t="shared" si="211"/>
        <v/>
      </c>
      <c r="U869" s="49" t="str">
        <f t="shared" si="212"/>
        <v/>
      </c>
      <c r="V869" s="48" t="str">
        <f t="shared" si="213"/>
        <v/>
      </c>
      <c r="W869" s="48" t="str">
        <f t="shared" si="204"/>
        <v/>
      </c>
      <c r="X869" s="50" t="str">
        <f>IF(W869="","",SUMIF($B$4:$B$1002,B869,$W$4:$W$1000))</f>
        <v/>
      </c>
      <c r="Y869" s="43" t="str">
        <f t="shared" si="205"/>
        <v/>
      </c>
      <c r="Z869" s="49" t="str">
        <f t="shared" si="206"/>
        <v/>
      </c>
      <c r="AA869" s="48" t="str">
        <f t="shared" si="207"/>
        <v/>
      </c>
      <c r="AB869" s="49" t="str">
        <f t="shared" si="208"/>
        <v/>
      </c>
      <c r="AC869" s="50" t="str">
        <f>IF(AB869="","",SUMIF($B$4:$B$1002,B869,$AB$4:$AB$1000))</f>
        <v/>
      </c>
      <c r="AD869" s="69"/>
      <c r="AE869" s="56"/>
      <c r="AF869" s="52"/>
      <c r="AG869" s="51"/>
      <c r="AH869" s="70"/>
      <c r="AI869" s="58"/>
      <c r="AJ869" s="55"/>
      <c r="AK869" s="51"/>
      <c r="AL869" s="69"/>
      <c r="AM869" s="56"/>
      <c r="AN869" s="52"/>
      <c r="AO869" s="51"/>
      <c r="AP869" s="70"/>
      <c r="AQ869" s="58"/>
      <c r="AR869" s="55"/>
      <c r="AS869" s="51"/>
      <c r="AT869" s="69"/>
      <c r="AU869" s="56"/>
      <c r="AV869" s="52"/>
      <c r="AW869" s="51"/>
      <c r="BR869" s="34" t="str">
        <f>IF(E869="","",CONCATENATE(E869," ",F869," noches"))</f>
        <v/>
      </c>
      <c r="BS869" s="28" t="str">
        <f t="shared" ca="1" si="209"/>
        <v/>
      </c>
      <c r="BT869" s="28" t="str">
        <f t="shared" ca="1" si="210"/>
        <v/>
      </c>
    </row>
    <row r="870" spans="1:72" x14ac:dyDescent="0.2">
      <c r="A870" s="18" t="str" cm="1">
        <f t="array" aca="1" ref="A870" ca="1">IF(B870="","","Grupo N˚"&amp;SUMPRODUCT(($B$4:B870&lt;&gt;"")*($B$4:B870&lt;&gt;OFFSET($B$4,-1,0,ROWS($B$4:B870),1))))</f>
        <v/>
      </c>
      <c r="B870" s="31"/>
      <c r="C870" s="31"/>
      <c r="D870" s="31"/>
      <c r="E870" s="31"/>
      <c r="F870" s="32"/>
      <c r="G870" s="33"/>
      <c r="H870" s="33"/>
      <c r="I870" s="20" t="str">
        <f t="shared" si="199"/>
        <v/>
      </c>
      <c r="J870" s="21" t="str">
        <f>IFERROR(VLOOKUP(BR870,Pricing!$D$3:$E$58,2,FALSE),"")</f>
        <v/>
      </c>
      <c r="K870" s="32"/>
      <c r="L870" s="32"/>
      <c r="M870" s="32"/>
      <c r="N870" s="36" t="str" cm="1">
        <f t="array" ref="N870">IFERROR(_xlfn.IFS((AND(K870="SI",M870="$")),J870*0.2,AND(K870="SI",M870="%"),20),"")</f>
        <v/>
      </c>
      <c r="O870" s="29" t="str">
        <f t="shared" si="200"/>
        <v/>
      </c>
      <c r="P870" s="21" t="str">
        <f t="shared" si="201"/>
        <v/>
      </c>
      <c r="Q870" s="21" t="str">
        <f t="shared" si="202"/>
        <v/>
      </c>
      <c r="R870" s="21" t="str">
        <f t="shared" si="203"/>
        <v/>
      </c>
      <c r="S870" s="39"/>
      <c r="T870" s="43" t="str">
        <f t="shared" si="211"/>
        <v/>
      </c>
      <c r="U870" s="49" t="str">
        <f t="shared" si="212"/>
        <v/>
      </c>
      <c r="V870" s="48" t="str">
        <f t="shared" si="213"/>
        <v/>
      </c>
      <c r="W870" s="48" t="str">
        <f t="shared" si="204"/>
        <v/>
      </c>
      <c r="X870" s="50" t="str">
        <f>IF(W870="","",SUMIF($B$4:$B$1002,B870,$W$4:$W$1000))</f>
        <v/>
      </c>
      <c r="Y870" s="43" t="str">
        <f t="shared" si="205"/>
        <v/>
      </c>
      <c r="Z870" s="49" t="str">
        <f t="shared" si="206"/>
        <v/>
      </c>
      <c r="AA870" s="48" t="str">
        <f t="shared" si="207"/>
        <v/>
      </c>
      <c r="AB870" s="49" t="str">
        <f t="shared" si="208"/>
        <v/>
      </c>
      <c r="AC870" s="50" t="str">
        <f>IF(AB870="","",SUMIF($B$4:$B$1002,B870,$AB$4:$AB$1000))</f>
        <v/>
      </c>
      <c r="AD870" s="69"/>
      <c r="AE870" s="56"/>
      <c r="AF870" s="52"/>
      <c r="AG870" s="51"/>
      <c r="AH870" s="70"/>
      <c r="AI870" s="58"/>
      <c r="AJ870" s="55"/>
      <c r="AK870" s="51"/>
      <c r="AL870" s="69"/>
      <c r="AM870" s="56"/>
      <c r="AN870" s="52"/>
      <c r="AO870" s="51"/>
      <c r="AP870" s="70"/>
      <c r="AQ870" s="58"/>
      <c r="AR870" s="55"/>
      <c r="AS870" s="51"/>
      <c r="AT870" s="69"/>
      <c r="AU870" s="56"/>
      <c r="AV870" s="52"/>
      <c r="AW870" s="51"/>
      <c r="BR870" s="34" t="str">
        <f>IF(E870="","",CONCATENATE(E870," ",F870," noches"))</f>
        <v/>
      </c>
      <c r="BS870" s="28" t="str">
        <f t="shared" ca="1" si="209"/>
        <v/>
      </c>
      <c r="BT870" s="28" t="str">
        <f t="shared" ca="1" si="210"/>
        <v/>
      </c>
    </row>
    <row r="871" spans="1:72" x14ac:dyDescent="0.2">
      <c r="A871" s="18" t="str" cm="1">
        <f t="array" aca="1" ref="A871" ca="1">IF(B871="","","Grupo N˚"&amp;SUMPRODUCT(($B$4:B871&lt;&gt;"")*($B$4:B871&lt;&gt;OFFSET($B$4,-1,0,ROWS($B$4:B871),1))))</f>
        <v/>
      </c>
      <c r="B871" s="31"/>
      <c r="C871" s="31"/>
      <c r="D871" s="31"/>
      <c r="E871" s="31"/>
      <c r="F871" s="32"/>
      <c r="G871" s="33"/>
      <c r="H871" s="33"/>
      <c r="I871" s="20" t="str">
        <f t="shared" si="199"/>
        <v/>
      </c>
      <c r="J871" s="21" t="str">
        <f>IFERROR(VLOOKUP(BR871,Pricing!$D$3:$E$58,2,FALSE),"")</f>
        <v/>
      </c>
      <c r="K871" s="32"/>
      <c r="L871" s="32"/>
      <c r="M871" s="32"/>
      <c r="N871" s="36" t="str" cm="1">
        <f t="array" ref="N871">IFERROR(_xlfn.IFS((AND(K871="SI",M871="$")),J871*0.2,AND(K871="SI",M871="%"),20),"")</f>
        <v/>
      </c>
      <c r="O871" s="29" t="str">
        <f t="shared" si="200"/>
        <v/>
      </c>
      <c r="P871" s="21" t="str">
        <f t="shared" si="201"/>
        <v/>
      </c>
      <c r="Q871" s="21" t="str">
        <f t="shared" si="202"/>
        <v/>
      </c>
      <c r="R871" s="21" t="str">
        <f t="shared" si="203"/>
        <v/>
      </c>
      <c r="S871" s="39"/>
      <c r="T871" s="43" t="str">
        <f t="shared" si="211"/>
        <v/>
      </c>
      <c r="U871" s="49" t="str">
        <f t="shared" si="212"/>
        <v/>
      </c>
      <c r="V871" s="48" t="str">
        <f t="shared" si="213"/>
        <v/>
      </c>
      <c r="W871" s="48" t="str">
        <f t="shared" si="204"/>
        <v/>
      </c>
      <c r="X871" s="50" t="str">
        <f>IF(W871="","",SUMIF($B$4:$B$1002,B871,$W$4:$W$1000))</f>
        <v/>
      </c>
      <c r="Y871" s="43" t="str">
        <f t="shared" si="205"/>
        <v/>
      </c>
      <c r="Z871" s="49" t="str">
        <f t="shared" si="206"/>
        <v/>
      </c>
      <c r="AA871" s="48" t="str">
        <f t="shared" si="207"/>
        <v/>
      </c>
      <c r="AB871" s="49" t="str">
        <f t="shared" si="208"/>
        <v/>
      </c>
      <c r="AC871" s="50" t="str">
        <f>IF(AB871="","",SUMIF($B$4:$B$1002,B871,$AB$4:$AB$1000))</f>
        <v/>
      </c>
      <c r="AD871" s="69"/>
      <c r="AE871" s="56"/>
      <c r="AF871" s="52"/>
      <c r="AG871" s="51"/>
      <c r="AH871" s="70"/>
      <c r="AI871" s="58"/>
      <c r="AJ871" s="55"/>
      <c r="AK871" s="51"/>
      <c r="AL871" s="69"/>
      <c r="AM871" s="56"/>
      <c r="AN871" s="52"/>
      <c r="AO871" s="51"/>
      <c r="AP871" s="70"/>
      <c r="AQ871" s="58"/>
      <c r="AR871" s="55"/>
      <c r="AS871" s="51"/>
      <c r="AT871" s="69"/>
      <c r="AU871" s="56"/>
      <c r="AV871" s="52"/>
      <c r="AW871" s="51"/>
      <c r="BR871" s="34" t="str">
        <f>IF(E871="","",CONCATENATE(E871," ",F871," noches"))</f>
        <v/>
      </c>
      <c r="BS871" s="28" t="str">
        <f t="shared" ca="1" si="209"/>
        <v/>
      </c>
      <c r="BT871" s="28" t="str">
        <f t="shared" ca="1" si="210"/>
        <v/>
      </c>
    </row>
    <row r="872" spans="1:72" x14ac:dyDescent="0.2">
      <c r="A872" s="18" t="str" cm="1">
        <f t="array" aca="1" ref="A872" ca="1">IF(B872="","","Grupo N˚"&amp;SUMPRODUCT(($B$4:B872&lt;&gt;"")*($B$4:B872&lt;&gt;OFFSET($B$4,-1,0,ROWS($B$4:B872),1))))</f>
        <v/>
      </c>
      <c r="B872" s="31"/>
      <c r="C872" s="31"/>
      <c r="D872" s="31"/>
      <c r="E872" s="31"/>
      <c r="F872" s="32"/>
      <c r="G872" s="33"/>
      <c r="H872" s="33"/>
      <c r="I872" s="20" t="str">
        <f t="shared" si="199"/>
        <v/>
      </c>
      <c r="J872" s="21" t="str">
        <f>IFERROR(VLOOKUP(BR872,Pricing!$D$3:$E$58,2,FALSE),"")</f>
        <v/>
      </c>
      <c r="K872" s="32"/>
      <c r="L872" s="32"/>
      <c r="M872" s="32"/>
      <c r="N872" s="36" t="str" cm="1">
        <f t="array" ref="N872">IFERROR(_xlfn.IFS((AND(K872="SI",M872="$")),J872*0.2,AND(K872="SI",M872="%"),20),"")</f>
        <v/>
      </c>
      <c r="O872" s="29" t="str">
        <f t="shared" si="200"/>
        <v/>
      </c>
      <c r="P872" s="21" t="str">
        <f t="shared" si="201"/>
        <v/>
      </c>
      <c r="Q872" s="21" t="str">
        <f t="shared" si="202"/>
        <v/>
      </c>
      <c r="R872" s="21" t="str">
        <f t="shared" si="203"/>
        <v/>
      </c>
      <c r="S872" s="39"/>
      <c r="T872" s="43" t="str">
        <f t="shared" si="211"/>
        <v/>
      </c>
      <c r="U872" s="49" t="str">
        <f t="shared" si="212"/>
        <v/>
      </c>
      <c r="V872" s="48" t="str">
        <f t="shared" si="213"/>
        <v/>
      </c>
      <c r="W872" s="48" t="str">
        <f t="shared" si="204"/>
        <v/>
      </c>
      <c r="X872" s="50" t="str">
        <f>IF(W872="","",SUMIF($B$4:$B$1002,B872,$W$4:$W$1000))</f>
        <v/>
      </c>
      <c r="Y872" s="43" t="str">
        <f t="shared" si="205"/>
        <v/>
      </c>
      <c r="Z872" s="49" t="str">
        <f t="shared" si="206"/>
        <v/>
      </c>
      <c r="AA872" s="48" t="str">
        <f t="shared" si="207"/>
        <v/>
      </c>
      <c r="AB872" s="49" t="str">
        <f t="shared" si="208"/>
        <v/>
      </c>
      <c r="AC872" s="50" t="str">
        <f>IF(AB872="","",SUMIF($B$4:$B$1002,B872,$AB$4:$AB$1000))</f>
        <v/>
      </c>
      <c r="AD872" s="69"/>
      <c r="AE872" s="56"/>
      <c r="AF872" s="52"/>
      <c r="AG872" s="51"/>
      <c r="AH872" s="70"/>
      <c r="AI872" s="58"/>
      <c r="AJ872" s="55"/>
      <c r="AK872" s="51"/>
      <c r="AL872" s="69"/>
      <c r="AM872" s="56"/>
      <c r="AN872" s="52"/>
      <c r="AO872" s="51"/>
      <c r="AP872" s="70"/>
      <c r="AQ872" s="58"/>
      <c r="AR872" s="55"/>
      <c r="AS872" s="51"/>
      <c r="AT872" s="69"/>
      <c r="AU872" s="56"/>
      <c r="AV872" s="52"/>
      <c r="AW872" s="51"/>
      <c r="BR872" s="34" t="str">
        <f>IF(E872="","",CONCATENATE(E872," ",F872," noches"))</f>
        <v/>
      </c>
      <c r="BS872" s="28" t="str">
        <f t="shared" ca="1" si="209"/>
        <v/>
      </c>
      <c r="BT872" s="28" t="str">
        <f t="shared" ca="1" si="210"/>
        <v/>
      </c>
    </row>
    <row r="873" spans="1:72" x14ac:dyDescent="0.2">
      <c r="A873" s="18" t="str" cm="1">
        <f t="array" aca="1" ref="A873" ca="1">IF(B873="","","Grupo N˚"&amp;SUMPRODUCT(($B$4:B873&lt;&gt;"")*($B$4:B873&lt;&gt;OFFSET($B$4,-1,0,ROWS($B$4:B873),1))))</f>
        <v/>
      </c>
      <c r="B873" s="31"/>
      <c r="C873" s="31"/>
      <c r="D873" s="31"/>
      <c r="E873" s="31"/>
      <c r="F873" s="32"/>
      <c r="G873" s="33"/>
      <c r="H873" s="33"/>
      <c r="I873" s="20" t="str">
        <f t="shared" si="199"/>
        <v/>
      </c>
      <c r="J873" s="21" t="str">
        <f>IFERROR(VLOOKUP(BR873,Pricing!$D$3:$E$58,2,FALSE),"")</f>
        <v/>
      </c>
      <c r="K873" s="32"/>
      <c r="L873" s="32"/>
      <c r="M873" s="32"/>
      <c r="N873" s="36" t="str" cm="1">
        <f t="array" ref="N873">IFERROR(_xlfn.IFS((AND(K873="SI",M873="$")),J873*0.2,AND(K873="SI",M873="%"),20),"")</f>
        <v/>
      </c>
      <c r="O873" s="29" t="str">
        <f t="shared" si="200"/>
        <v/>
      </c>
      <c r="P873" s="21" t="str">
        <f t="shared" si="201"/>
        <v/>
      </c>
      <c r="Q873" s="21" t="str">
        <f t="shared" si="202"/>
        <v/>
      </c>
      <c r="R873" s="21" t="str">
        <f t="shared" si="203"/>
        <v/>
      </c>
      <c r="S873" s="39"/>
      <c r="T873" s="43" t="str">
        <f t="shared" si="211"/>
        <v/>
      </c>
      <c r="U873" s="49" t="str">
        <f t="shared" si="212"/>
        <v/>
      </c>
      <c r="V873" s="48" t="str">
        <f t="shared" si="213"/>
        <v/>
      </c>
      <c r="W873" s="48" t="str">
        <f t="shared" si="204"/>
        <v/>
      </c>
      <c r="X873" s="50" t="str">
        <f>IF(W873="","",SUMIF($B$4:$B$1002,B873,$W$4:$W$1000))</f>
        <v/>
      </c>
      <c r="Y873" s="43" t="str">
        <f t="shared" si="205"/>
        <v/>
      </c>
      <c r="Z873" s="49" t="str">
        <f t="shared" si="206"/>
        <v/>
      </c>
      <c r="AA873" s="48" t="str">
        <f t="shared" si="207"/>
        <v/>
      </c>
      <c r="AB873" s="49" t="str">
        <f t="shared" si="208"/>
        <v/>
      </c>
      <c r="AC873" s="50" t="str">
        <f>IF(AB873="","",SUMIF($B$4:$B$1002,B873,$AB$4:$AB$1000))</f>
        <v/>
      </c>
      <c r="AD873" s="69"/>
      <c r="AE873" s="56"/>
      <c r="AF873" s="52"/>
      <c r="AG873" s="51"/>
      <c r="AH873" s="70"/>
      <c r="AI873" s="58"/>
      <c r="AJ873" s="55"/>
      <c r="AK873" s="51"/>
      <c r="AL873" s="69"/>
      <c r="AM873" s="56"/>
      <c r="AN873" s="52"/>
      <c r="AO873" s="51"/>
      <c r="AP873" s="70"/>
      <c r="AQ873" s="58"/>
      <c r="AR873" s="55"/>
      <c r="AS873" s="51"/>
      <c r="AT873" s="69"/>
      <c r="AU873" s="56"/>
      <c r="AV873" s="52"/>
      <c r="AW873" s="51"/>
      <c r="BR873" s="34" t="str">
        <f>IF(E873="","",CONCATENATE(E873," ",F873," noches"))</f>
        <v/>
      </c>
      <c r="BS873" s="28" t="str">
        <f t="shared" ca="1" si="209"/>
        <v/>
      </c>
      <c r="BT873" s="28" t="str">
        <f t="shared" ca="1" si="210"/>
        <v/>
      </c>
    </row>
    <row r="874" spans="1:72" x14ac:dyDescent="0.2">
      <c r="A874" s="18" t="str" cm="1">
        <f t="array" aca="1" ref="A874" ca="1">IF(B874="","","Grupo N˚"&amp;SUMPRODUCT(($B$4:B874&lt;&gt;"")*($B$4:B874&lt;&gt;OFFSET($B$4,-1,0,ROWS($B$4:B874),1))))</f>
        <v/>
      </c>
      <c r="B874" s="31"/>
      <c r="C874" s="31"/>
      <c r="D874" s="31"/>
      <c r="E874" s="31"/>
      <c r="F874" s="32"/>
      <c r="G874" s="33"/>
      <c r="H874" s="33"/>
      <c r="I874" s="20" t="str">
        <f t="shared" si="199"/>
        <v/>
      </c>
      <c r="J874" s="21" t="str">
        <f>IFERROR(VLOOKUP(BR874,Pricing!$D$3:$E$58,2,FALSE),"")</f>
        <v/>
      </c>
      <c r="K874" s="32"/>
      <c r="L874" s="32"/>
      <c r="M874" s="32"/>
      <c r="N874" s="36" t="str" cm="1">
        <f t="array" ref="N874">IFERROR(_xlfn.IFS((AND(K874="SI",M874="$")),J874*0.2,AND(K874="SI",M874="%"),20),"")</f>
        <v/>
      </c>
      <c r="O874" s="29" t="str">
        <f t="shared" si="200"/>
        <v/>
      </c>
      <c r="P874" s="21" t="str">
        <f t="shared" si="201"/>
        <v/>
      </c>
      <c r="Q874" s="21" t="str">
        <f t="shared" si="202"/>
        <v/>
      </c>
      <c r="R874" s="21" t="str">
        <f t="shared" si="203"/>
        <v/>
      </c>
      <c r="S874" s="39"/>
      <c r="T874" s="43" t="str">
        <f t="shared" si="211"/>
        <v/>
      </c>
      <c r="U874" s="49" t="str">
        <f t="shared" si="212"/>
        <v/>
      </c>
      <c r="V874" s="48" t="str">
        <f t="shared" si="213"/>
        <v/>
      </c>
      <c r="W874" s="48" t="str">
        <f t="shared" si="204"/>
        <v/>
      </c>
      <c r="X874" s="50" t="str">
        <f>IF(W874="","",SUMIF($B$4:$B$1002,B874,$W$4:$W$1000))</f>
        <v/>
      </c>
      <c r="Y874" s="43" t="str">
        <f t="shared" si="205"/>
        <v/>
      </c>
      <c r="Z874" s="49" t="str">
        <f t="shared" si="206"/>
        <v/>
      </c>
      <c r="AA874" s="48" t="str">
        <f t="shared" si="207"/>
        <v/>
      </c>
      <c r="AB874" s="49" t="str">
        <f t="shared" si="208"/>
        <v/>
      </c>
      <c r="AC874" s="50" t="str">
        <f>IF(AB874="","",SUMIF($B$4:$B$1002,B874,$AB$4:$AB$1000))</f>
        <v/>
      </c>
      <c r="AD874" s="69"/>
      <c r="AE874" s="56"/>
      <c r="AF874" s="52"/>
      <c r="AG874" s="51"/>
      <c r="AH874" s="70"/>
      <c r="AI874" s="58"/>
      <c r="AJ874" s="55"/>
      <c r="AK874" s="51"/>
      <c r="AL874" s="69"/>
      <c r="AM874" s="56"/>
      <c r="AN874" s="52"/>
      <c r="AO874" s="51"/>
      <c r="AP874" s="70"/>
      <c r="AQ874" s="58"/>
      <c r="AR874" s="55"/>
      <c r="AS874" s="51"/>
      <c r="AT874" s="69"/>
      <c r="AU874" s="56"/>
      <c r="AV874" s="52"/>
      <c r="AW874" s="51"/>
      <c r="BR874" s="34" t="str">
        <f>IF(E874="","",CONCATENATE(E874," ",F874," noches"))</f>
        <v/>
      </c>
      <c r="BS874" s="28" t="str">
        <f t="shared" ca="1" si="209"/>
        <v/>
      </c>
      <c r="BT874" s="28" t="str">
        <f t="shared" ca="1" si="210"/>
        <v/>
      </c>
    </row>
    <row r="875" spans="1:72" x14ac:dyDescent="0.2">
      <c r="A875" s="18" t="str" cm="1">
        <f t="array" aca="1" ref="A875" ca="1">IF(B875="","","Grupo N˚"&amp;SUMPRODUCT(($B$4:B875&lt;&gt;"")*($B$4:B875&lt;&gt;OFFSET($B$4,-1,0,ROWS($B$4:B875),1))))</f>
        <v/>
      </c>
      <c r="B875" s="31"/>
      <c r="C875" s="31"/>
      <c r="D875" s="31"/>
      <c r="E875" s="31"/>
      <c r="F875" s="32"/>
      <c r="G875" s="33"/>
      <c r="H875" s="33"/>
      <c r="I875" s="20" t="str">
        <f t="shared" si="199"/>
        <v/>
      </c>
      <c r="J875" s="21" t="str">
        <f>IFERROR(VLOOKUP(BR875,Pricing!$D$3:$E$58,2,FALSE),"")</f>
        <v/>
      </c>
      <c r="K875" s="32"/>
      <c r="L875" s="32"/>
      <c r="M875" s="32"/>
      <c r="N875" s="36" t="str" cm="1">
        <f t="array" ref="N875">IFERROR(_xlfn.IFS((AND(K875="SI",M875="$")),J875*0.2,AND(K875="SI",M875="%"),20),"")</f>
        <v/>
      </c>
      <c r="O875" s="29" t="str">
        <f t="shared" si="200"/>
        <v/>
      </c>
      <c r="P875" s="21" t="str">
        <f t="shared" si="201"/>
        <v/>
      </c>
      <c r="Q875" s="21" t="str">
        <f t="shared" si="202"/>
        <v/>
      </c>
      <c r="R875" s="21" t="str">
        <f t="shared" si="203"/>
        <v/>
      </c>
      <c r="S875" s="39"/>
      <c r="T875" s="43" t="str">
        <f t="shared" si="211"/>
        <v/>
      </c>
      <c r="U875" s="49" t="str">
        <f t="shared" si="212"/>
        <v/>
      </c>
      <c r="V875" s="48" t="str">
        <f t="shared" si="213"/>
        <v/>
      </c>
      <c r="W875" s="48" t="str">
        <f t="shared" si="204"/>
        <v/>
      </c>
      <c r="X875" s="50" t="str">
        <f>IF(W875="","",SUMIF($B$4:$B$1002,B875,$W$4:$W$1000))</f>
        <v/>
      </c>
      <c r="Y875" s="43" t="str">
        <f t="shared" si="205"/>
        <v/>
      </c>
      <c r="Z875" s="49" t="str">
        <f t="shared" si="206"/>
        <v/>
      </c>
      <c r="AA875" s="48" t="str">
        <f t="shared" si="207"/>
        <v/>
      </c>
      <c r="AB875" s="49" t="str">
        <f t="shared" si="208"/>
        <v/>
      </c>
      <c r="AC875" s="50" t="str">
        <f>IF(AB875="","",SUMIF($B$4:$B$1002,B875,$AB$4:$AB$1000))</f>
        <v/>
      </c>
      <c r="AD875" s="69"/>
      <c r="AE875" s="56"/>
      <c r="AF875" s="52"/>
      <c r="AG875" s="51"/>
      <c r="AH875" s="70"/>
      <c r="AI875" s="58"/>
      <c r="AJ875" s="55"/>
      <c r="AK875" s="51"/>
      <c r="AL875" s="69"/>
      <c r="AM875" s="56"/>
      <c r="AN875" s="52"/>
      <c r="AO875" s="51"/>
      <c r="AP875" s="70"/>
      <c r="AQ875" s="58"/>
      <c r="AR875" s="55"/>
      <c r="AS875" s="51"/>
      <c r="AT875" s="69"/>
      <c r="AU875" s="56"/>
      <c r="AV875" s="52"/>
      <c r="AW875" s="51"/>
      <c r="BR875" s="34" t="str">
        <f>IF(E875="","",CONCATENATE(E875," ",F875," noches"))</f>
        <v/>
      </c>
      <c r="BS875" s="28" t="str">
        <f t="shared" ca="1" si="209"/>
        <v/>
      </c>
      <c r="BT875" s="28" t="str">
        <f t="shared" ca="1" si="210"/>
        <v/>
      </c>
    </row>
    <row r="876" spans="1:72" x14ac:dyDescent="0.2">
      <c r="A876" s="18" t="str" cm="1">
        <f t="array" aca="1" ref="A876" ca="1">IF(B876="","","Grupo N˚"&amp;SUMPRODUCT(($B$4:B876&lt;&gt;"")*($B$4:B876&lt;&gt;OFFSET($B$4,-1,0,ROWS($B$4:B876),1))))</f>
        <v/>
      </c>
      <c r="B876" s="31"/>
      <c r="C876" s="31"/>
      <c r="D876" s="31"/>
      <c r="E876" s="31"/>
      <c r="F876" s="32"/>
      <c r="G876" s="33"/>
      <c r="H876" s="33"/>
      <c r="I876" s="20" t="str">
        <f t="shared" si="199"/>
        <v/>
      </c>
      <c r="J876" s="21" t="str">
        <f>IFERROR(VLOOKUP(BR876,Pricing!$D$3:$E$58,2,FALSE),"")</f>
        <v/>
      </c>
      <c r="K876" s="32"/>
      <c r="L876" s="32"/>
      <c r="M876" s="32"/>
      <c r="N876" s="36" t="str" cm="1">
        <f t="array" ref="N876">IFERROR(_xlfn.IFS((AND(K876="SI",M876="$")),J876*0.2,AND(K876="SI",M876="%"),20),"")</f>
        <v/>
      </c>
      <c r="O876" s="29" t="str">
        <f t="shared" si="200"/>
        <v/>
      </c>
      <c r="P876" s="21" t="str">
        <f t="shared" si="201"/>
        <v/>
      </c>
      <c r="Q876" s="21" t="str">
        <f t="shared" si="202"/>
        <v/>
      </c>
      <c r="R876" s="21" t="str">
        <f t="shared" si="203"/>
        <v/>
      </c>
      <c r="S876" s="39"/>
      <c r="T876" s="43" t="str">
        <f t="shared" si="211"/>
        <v/>
      </c>
      <c r="U876" s="49" t="str">
        <f t="shared" si="212"/>
        <v/>
      </c>
      <c r="V876" s="48" t="str">
        <f t="shared" si="213"/>
        <v/>
      </c>
      <c r="W876" s="48" t="str">
        <f t="shared" si="204"/>
        <v/>
      </c>
      <c r="X876" s="50" t="str">
        <f>IF(W876="","",SUMIF($B$4:$B$1002,B876,$W$4:$W$1000))</f>
        <v/>
      </c>
      <c r="Y876" s="43" t="str">
        <f t="shared" si="205"/>
        <v/>
      </c>
      <c r="Z876" s="49" t="str">
        <f t="shared" si="206"/>
        <v/>
      </c>
      <c r="AA876" s="48" t="str">
        <f t="shared" si="207"/>
        <v/>
      </c>
      <c r="AB876" s="49" t="str">
        <f t="shared" si="208"/>
        <v/>
      </c>
      <c r="AC876" s="50" t="str">
        <f>IF(AB876="","",SUMIF($B$4:$B$1002,B876,$AB$4:$AB$1000))</f>
        <v/>
      </c>
      <c r="AD876" s="69"/>
      <c r="AE876" s="56"/>
      <c r="AF876" s="52"/>
      <c r="AG876" s="51"/>
      <c r="AH876" s="70"/>
      <c r="AI876" s="58"/>
      <c r="AJ876" s="55"/>
      <c r="AK876" s="51"/>
      <c r="AL876" s="69"/>
      <c r="AM876" s="56"/>
      <c r="AN876" s="52"/>
      <c r="AO876" s="51"/>
      <c r="AP876" s="70"/>
      <c r="AQ876" s="58"/>
      <c r="AR876" s="55"/>
      <c r="AS876" s="51"/>
      <c r="AT876" s="69"/>
      <c r="AU876" s="56"/>
      <c r="AV876" s="52"/>
      <c r="AW876" s="51"/>
      <c r="BR876" s="34" t="str">
        <f>IF(E876="","",CONCATENATE(E876," ",F876," noches"))</f>
        <v/>
      </c>
      <c r="BS876" s="28" t="str">
        <f t="shared" ca="1" si="209"/>
        <v/>
      </c>
      <c r="BT876" s="28" t="str">
        <f t="shared" ca="1" si="210"/>
        <v/>
      </c>
    </row>
    <row r="877" spans="1:72" x14ac:dyDescent="0.2">
      <c r="A877" s="18" t="str" cm="1">
        <f t="array" aca="1" ref="A877" ca="1">IF(B877="","","Grupo N˚"&amp;SUMPRODUCT(($B$4:B877&lt;&gt;"")*($B$4:B877&lt;&gt;OFFSET($B$4,-1,0,ROWS($B$4:B877),1))))</f>
        <v/>
      </c>
      <c r="B877" s="31"/>
      <c r="C877" s="31"/>
      <c r="D877" s="31"/>
      <c r="E877" s="31"/>
      <c r="F877" s="32"/>
      <c r="G877" s="33"/>
      <c r="H877" s="33"/>
      <c r="I877" s="20" t="str">
        <f t="shared" si="199"/>
        <v/>
      </c>
      <c r="J877" s="21" t="str">
        <f>IFERROR(VLOOKUP(BR877,Pricing!$D$3:$E$58,2,FALSE),"")</f>
        <v/>
      </c>
      <c r="K877" s="32"/>
      <c r="L877" s="32"/>
      <c r="M877" s="32"/>
      <c r="N877" s="36" t="str" cm="1">
        <f t="array" ref="N877">IFERROR(_xlfn.IFS((AND(K877="SI",M877="$")),J877*0.2,AND(K877="SI",M877="%"),20),"")</f>
        <v/>
      </c>
      <c r="O877" s="29" t="str">
        <f t="shared" si="200"/>
        <v/>
      </c>
      <c r="P877" s="21" t="str">
        <f t="shared" si="201"/>
        <v/>
      </c>
      <c r="Q877" s="21" t="str">
        <f t="shared" si="202"/>
        <v/>
      </c>
      <c r="R877" s="21" t="str">
        <f t="shared" si="203"/>
        <v/>
      </c>
      <c r="S877" s="39"/>
      <c r="T877" s="43" t="str">
        <f t="shared" si="211"/>
        <v/>
      </c>
      <c r="U877" s="49" t="str">
        <f t="shared" si="212"/>
        <v/>
      </c>
      <c r="V877" s="48" t="str">
        <f t="shared" si="213"/>
        <v/>
      </c>
      <c r="W877" s="48" t="str">
        <f t="shared" si="204"/>
        <v/>
      </c>
      <c r="X877" s="50" t="str">
        <f>IF(W877="","",SUMIF($B$4:$B$1002,B877,$W$4:$W$1000))</f>
        <v/>
      </c>
      <c r="Y877" s="43" t="str">
        <f t="shared" si="205"/>
        <v/>
      </c>
      <c r="Z877" s="49" t="str">
        <f t="shared" si="206"/>
        <v/>
      </c>
      <c r="AA877" s="48" t="str">
        <f t="shared" si="207"/>
        <v/>
      </c>
      <c r="AB877" s="49" t="str">
        <f t="shared" si="208"/>
        <v/>
      </c>
      <c r="AC877" s="50" t="str">
        <f>IF(AB877="","",SUMIF($B$4:$B$1002,B877,$AB$4:$AB$1000))</f>
        <v/>
      </c>
      <c r="AD877" s="69"/>
      <c r="AE877" s="56"/>
      <c r="AF877" s="52"/>
      <c r="AG877" s="51"/>
      <c r="AH877" s="70"/>
      <c r="AI877" s="58"/>
      <c r="AJ877" s="55"/>
      <c r="AK877" s="51"/>
      <c r="AL877" s="69"/>
      <c r="AM877" s="56"/>
      <c r="AN877" s="52"/>
      <c r="AO877" s="51"/>
      <c r="AP877" s="70"/>
      <c r="AQ877" s="58"/>
      <c r="AR877" s="55"/>
      <c r="AS877" s="51"/>
      <c r="AT877" s="69"/>
      <c r="AU877" s="56"/>
      <c r="AV877" s="52"/>
      <c r="AW877" s="51"/>
      <c r="BR877" s="34" t="str">
        <f>IF(E877="","",CONCATENATE(E877," ",F877," noches"))</f>
        <v/>
      </c>
      <c r="BS877" s="28" t="str">
        <f t="shared" ca="1" si="209"/>
        <v/>
      </c>
      <c r="BT877" s="28" t="str">
        <f t="shared" ca="1" si="210"/>
        <v/>
      </c>
    </row>
    <row r="878" spans="1:72" x14ac:dyDescent="0.2">
      <c r="A878" s="18" t="str" cm="1">
        <f t="array" aca="1" ref="A878" ca="1">IF(B878="","","Grupo N˚"&amp;SUMPRODUCT(($B$4:B878&lt;&gt;"")*($B$4:B878&lt;&gt;OFFSET($B$4,-1,0,ROWS($B$4:B878),1))))</f>
        <v/>
      </c>
      <c r="B878" s="31"/>
      <c r="C878" s="31"/>
      <c r="D878" s="31"/>
      <c r="E878" s="31"/>
      <c r="F878" s="32"/>
      <c r="G878" s="33"/>
      <c r="H878" s="33"/>
      <c r="I878" s="20" t="str">
        <f t="shared" si="199"/>
        <v/>
      </c>
      <c r="J878" s="21" t="str">
        <f>IFERROR(VLOOKUP(BR878,Pricing!$D$3:$E$58,2,FALSE),"")</f>
        <v/>
      </c>
      <c r="K878" s="32"/>
      <c r="L878" s="32"/>
      <c r="M878" s="32"/>
      <c r="N878" s="36" t="str" cm="1">
        <f t="array" ref="N878">IFERROR(_xlfn.IFS((AND(K878="SI",M878="$")),J878*0.2,AND(K878="SI",M878="%"),20),"")</f>
        <v/>
      </c>
      <c r="O878" s="29" t="str">
        <f t="shared" si="200"/>
        <v/>
      </c>
      <c r="P878" s="21" t="str">
        <f t="shared" si="201"/>
        <v/>
      </c>
      <c r="Q878" s="21" t="str">
        <f t="shared" si="202"/>
        <v/>
      </c>
      <c r="R878" s="21" t="str">
        <f t="shared" si="203"/>
        <v/>
      </c>
      <c r="S878" s="39"/>
      <c r="T878" s="43" t="str">
        <f t="shared" si="211"/>
        <v/>
      </c>
      <c r="U878" s="49" t="str">
        <f t="shared" si="212"/>
        <v/>
      </c>
      <c r="V878" s="48" t="str">
        <f t="shared" si="213"/>
        <v/>
      </c>
      <c r="W878" s="48" t="str">
        <f t="shared" si="204"/>
        <v/>
      </c>
      <c r="X878" s="50" t="str">
        <f>IF(W878="","",SUMIF($B$4:$B$1002,B878,$W$4:$W$1000))</f>
        <v/>
      </c>
      <c r="Y878" s="43" t="str">
        <f t="shared" si="205"/>
        <v/>
      </c>
      <c r="Z878" s="49" t="str">
        <f t="shared" si="206"/>
        <v/>
      </c>
      <c r="AA878" s="48" t="str">
        <f t="shared" si="207"/>
        <v/>
      </c>
      <c r="AB878" s="49" t="str">
        <f t="shared" si="208"/>
        <v/>
      </c>
      <c r="AC878" s="50" t="str">
        <f>IF(AB878="","",SUMIF($B$4:$B$1002,B878,$AB$4:$AB$1000))</f>
        <v/>
      </c>
      <c r="AD878" s="69"/>
      <c r="AE878" s="56"/>
      <c r="AF878" s="52"/>
      <c r="AG878" s="51"/>
      <c r="AH878" s="70"/>
      <c r="AI878" s="58"/>
      <c r="AJ878" s="55"/>
      <c r="AK878" s="51"/>
      <c r="AL878" s="69"/>
      <c r="AM878" s="56"/>
      <c r="AN878" s="52"/>
      <c r="AO878" s="51"/>
      <c r="AP878" s="70"/>
      <c r="AQ878" s="58"/>
      <c r="AR878" s="55"/>
      <c r="AS878" s="51"/>
      <c r="AT878" s="69"/>
      <c r="AU878" s="56"/>
      <c r="AV878" s="52"/>
      <c r="AW878" s="51"/>
      <c r="BR878" s="34" t="str">
        <f>IF(E878="","",CONCATENATE(E878," ",F878," noches"))</f>
        <v/>
      </c>
      <c r="BS878" s="28" t="str">
        <f t="shared" ca="1" si="209"/>
        <v/>
      </c>
      <c r="BT878" s="28" t="str">
        <f t="shared" ca="1" si="210"/>
        <v/>
      </c>
    </row>
    <row r="879" spans="1:72" x14ac:dyDescent="0.2">
      <c r="A879" s="18" t="str" cm="1">
        <f t="array" aca="1" ref="A879" ca="1">IF(B879="","","Grupo N˚"&amp;SUMPRODUCT(($B$4:B879&lt;&gt;"")*($B$4:B879&lt;&gt;OFFSET($B$4,-1,0,ROWS($B$4:B879),1))))</f>
        <v/>
      </c>
      <c r="B879" s="31"/>
      <c r="C879" s="31"/>
      <c r="D879" s="31"/>
      <c r="E879" s="31"/>
      <c r="F879" s="32"/>
      <c r="G879" s="33"/>
      <c r="H879" s="33"/>
      <c r="I879" s="20" t="str">
        <f t="shared" si="199"/>
        <v/>
      </c>
      <c r="J879" s="21" t="str">
        <f>IFERROR(VLOOKUP(BR879,Pricing!$D$3:$E$58,2,FALSE),"")</f>
        <v/>
      </c>
      <c r="K879" s="32"/>
      <c r="L879" s="32"/>
      <c r="M879" s="32"/>
      <c r="N879" s="36" t="str" cm="1">
        <f t="array" ref="N879">IFERROR(_xlfn.IFS((AND(K879="SI",M879="$")),J879*0.2,AND(K879="SI",M879="%"),20),"")</f>
        <v/>
      </c>
      <c r="O879" s="29" t="str">
        <f t="shared" si="200"/>
        <v/>
      </c>
      <c r="P879" s="21" t="str">
        <f t="shared" si="201"/>
        <v/>
      </c>
      <c r="Q879" s="21" t="str">
        <f t="shared" si="202"/>
        <v/>
      </c>
      <c r="R879" s="21" t="str">
        <f t="shared" si="203"/>
        <v/>
      </c>
      <c r="S879" s="39"/>
      <c r="T879" s="43" t="str">
        <f t="shared" si="211"/>
        <v/>
      </c>
      <c r="U879" s="49" t="str">
        <f t="shared" si="212"/>
        <v/>
      </c>
      <c r="V879" s="48" t="str">
        <f t="shared" si="213"/>
        <v/>
      </c>
      <c r="W879" s="48" t="str">
        <f t="shared" si="204"/>
        <v/>
      </c>
      <c r="X879" s="50" t="str">
        <f>IF(W879="","",SUMIF($B$4:$B$1002,B879,$W$4:$W$1000))</f>
        <v/>
      </c>
      <c r="Y879" s="43" t="str">
        <f t="shared" si="205"/>
        <v/>
      </c>
      <c r="Z879" s="49" t="str">
        <f t="shared" si="206"/>
        <v/>
      </c>
      <c r="AA879" s="48" t="str">
        <f t="shared" si="207"/>
        <v/>
      </c>
      <c r="AB879" s="49" t="str">
        <f t="shared" si="208"/>
        <v/>
      </c>
      <c r="AC879" s="50" t="str">
        <f>IF(AB879="","",SUMIF($B$4:$B$1002,B879,$AB$4:$AB$1000))</f>
        <v/>
      </c>
      <c r="AD879" s="69"/>
      <c r="AE879" s="56"/>
      <c r="AF879" s="52"/>
      <c r="AG879" s="51"/>
      <c r="AH879" s="70"/>
      <c r="AI879" s="58"/>
      <c r="AJ879" s="55"/>
      <c r="AK879" s="51"/>
      <c r="AL879" s="69"/>
      <c r="AM879" s="56"/>
      <c r="AN879" s="52"/>
      <c r="AO879" s="51"/>
      <c r="AP879" s="70"/>
      <c r="AQ879" s="58"/>
      <c r="AR879" s="55"/>
      <c r="AS879" s="51"/>
      <c r="AT879" s="69"/>
      <c r="AU879" s="56"/>
      <c r="AV879" s="52"/>
      <c r="AW879" s="51"/>
      <c r="BR879" s="34" t="str">
        <f>IF(E879="","",CONCATENATE(E879," ",F879," noches"))</f>
        <v/>
      </c>
      <c r="BS879" s="28" t="str">
        <f t="shared" ca="1" si="209"/>
        <v/>
      </c>
      <c r="BT879" s="28" t="str">
        <f t="shared" ca="1" si="210"/>
        <v/>
      </c>
    </row>
    <row r="880" spans="1:72" x14ac:dyDescent="0.2">
      <c r="A880" s="18" t="str" cm="1">
        <f t="array" aca="1" ref="A880" ca="1">IF(B880="","","Grupo N˚"&amp;SUMPRODUCT(($B$4:B880&lt;&gt;"")*($B$4:B880&lt;&gt;OFFSET($B$4,-1,0,ROWS($B$4:B880),1))))</f>
        <v/>
      </c>
      <c r="B880" s="31"/>
      <c r="C880" s="31"/>
      <c r="D880" s="31"/>
      <c r="E880" s="31"/>
      <c r="F880" s="32"/>
      <c r="G880" s="33"/>
      <c r="H880" s="33"/>
      <c r="I880" s="20" t="str">
        <f t="shared" si="199"/>
        <v/>
      </c>
      <c r="J880" s="21" t="str">
        <f>IFERROR(VLOOKUP(BR880,Pricing!$D$3:$E$58,2,FALSE),"")</f>
        <v/>
      </c>
      <c r="K880" s="32"/>
      <c r="L880" s="32"/>
      <c r="M880" s="32"/>
      <c r="N880" s="36" t="str" cm="1">
        <f t="array" ref="N880">IFERROR(_xlfn.IFS((AND(K880="SI",M880="$")),J880*0.2,AND(K880="SI",M880="%"),20),"")</f>
        <v/>
      </c>
      <c r="O880" s="29" t="str">
        <f t="shared" si="200"/>
        <v/>
      </c>
      <c r="P880" s="21" t="str">
        <f t="shared" si="201"/>
        <v/>
      </c>
      <c r="Q880" s="21" t="str">
        <f t="shared" si="202"/>
        <v/>
      </c>
      <c r="R880" s="21" t="str">
        <f t="shared" si="203"/>
        <v/>
      </c>
      <c r="S880" s="39"/>
      <c r="T880" s="43" t="str">
        <f t="shared" si="211"/>
        <v/>
      </c>
      <c r="U880" s="49" t="str">
        <f t="shared" si="212"/>
        <v/>
      </c>
      <c r="V880" s="48" t="str">
        <f t="shared" si="213"/>
        <v/>
      </c>
      <c r="W880" s="48" t="str">
        <f t="shared" si="204"/>
        <v/>
      </c>
      <c r="X880" s="50" t="str">
        <f>IF(W880="","",SUMIF($B$4:$B$1002,B880,$W$4:$W$1000))</f>
        <v/>
      </c>
      <c r="Y880" s="43" t="str">
        <f t="shared" si="205"/>
        <v/>
      </c>
      <c r="Z880" s="49" t="str">
        <f t="shared" si="206"/>
        <v/>
      </c>
      <c r="AA880" s="48" t="str">
        <f t="shared" si="207"/>
        <v/>
      </c>
      <c r="AB880" s="49" t="str">
        <f t="shared" si="208"/>
        <v/>
      </c>
      <c r="AC880" s="50" t="str">
        <f>IF(AB880="","",SUMIF($B$4:$B$1002,B880,$AB$4:$AB$1000))</f>
        <v/>
      </c>
      <c r="AD880" s="69"/>
      <c r="AE880" s="56"/>
      <c r="AF880" s="52"/>
      <c r="AG880" s="51"/>
      <c r="AH880" s="70"/>
      <c r="AI880" s="58"/>
      <c r="AJ880" s="55"/>
      <c r="AK880" s="51"/>
      <c r="AL880" s="69"/>
      <c r="AM880" s="56"/>
      <c r="AN880" s="52"/>
      <c r="AO880" s="51"/>
      <c r="AP880" s="70"/>
      <c r="AQ880" s="58"/>
      <c r="AR880" s="55"/>
      <c r="AS880" s="51"/>
      <c r="AT880" s="69"/>
      <c r="AU880" s="56"/>
      <c r="AV880" s="52"/>
      <c r="AW880" s="51"/>
      <c r="BR880" s="34" t="str">
        <f>IF(E880="","",CONCATENATE(E880," ",F880," noches"))</f>
        <v/>
      </c>
      <c r="BS880" s="28" t="str">
        <f t="shared" ca="1" si="209"/>
        <v/>
      </c>
      <c r="BT880" s="28" t="str">
        <f t="shared" ca="1" si="210"/>
        <v/>
      </c>
    </row>
    <row r="881" spans="1:72" x14ac:dyDescent="0.2">
      <c r="A881" s="18" t="str" cm="1">
        <f t="array" aca="1" ref="A881" ca="1">IF(B881="","","Grupo N˚"&amp;SUMPRODUCT(($B$4:B881&lt;&gt;"")*($B$4:B881&lt;&gt;OFFSET($B$4,-1,0,ROWS($B$4:B881),1))))</f>
        <v/>
      </c>
      <c r="B881" s="31"/>
      <c r="C881" s="31"/>
      <c r="D881" s="31"/>
      <c r="E881" s="31"/>
      <c r="F881" s="32"/>
      <c r="G881" s="33"/>
      <c r="H881" s="33"/>
      <c r="I881" s="20" t="str">
        <f t="shared" si="199"/>
        <v/>
      </c>
      <c r="J881" s="21" t="str">
        <f>IFERROR(VLOOKUP(BR881,Pricing!$D$3:$E$58,2,FALSE),"")</f>
        <v/>
      </c>
      <c r="K881" s="32"/>
      <c r="L881" s="32"/>
      <c r="M881" s="32"/>
      <c r="N881" s="36" t="str" cm="1">
        <f t="array" ref="N881">IFERROR(_xlfn.IFS((AND(K881="SI",M881="$")),J881*0.2,AND(K881="SI",M881="%"),20),"")</f>
        <v/>
      </c>
      <c r="O881" s="29" t="str">
        <f t="shared" si="200"/>
        <v/>
      </c>
      <c r="P881" s="21" t="str">
        <f t="shared" si="201"/>
        <v/>
      </c>
      <c r="Q881" s="21" t="str">
        <f t="shared" si="202"/>
        <v/>
      </c>
      <c r="R881" s="21" t="str">
        <f t="shared" si="203"/>
        <v/>
      </c>
      <c r="S881" s="39"/>
      <c r="T881" s="43" t="str">
        <f t="shared" si="211"/>
        <v/>
      </c>
      <c r="U881" s="49" t="str">
        <f t="shared" si="212"/>
        <v/>
      </c>
      <c r="V881" s="48" t="str">
        <f t="shared" si="213"/>
        <v/>
      </c>
      <c r="W881" s="48" t="str">
        <f t="shared" si="204"/>
        <v/>
      </c>
      <c r="X881" s="50" t="str">
        <f>IF(W881="","",SUMIF($B$4:$B$1002,B881,$W$4:$W$1000))</f>
        <v/>
      </c>
      <c r="Y881" s="43" t="str">
        <f t="shared" si="205"/>
        <v/>
      </c>
      <c r="Z881" s="49" t="str">
        <f t="shared" si="206"/>
        <v/>
      </c>
      <c r="AA881" s="48" t="str">
        <f t="shared" si="207"/>
        <v/>
      </c>
      <c r="AB881" s="49" t="str">
        <f t="shared" si="208"/>
        <v/>
      </c>
      <c r="AC881" s="50" t="str">
        <f>IF(AB881="","",SUMIF($B$4:$B$1002,B881,$AB$4:$AB$1000))</f>
        <v/>
      </c>
      <c r="AD881" s="69"/>
      <c r="AE881" s="56"/>
      <c r="AF881" s="52"/>
      <c r="AG881" s="51"/>
      <c r="AH881" s="70"/>
      <c r="AI881" s="58"/>
      <c r="AJ881" s="55"/>
      <c r="AK881" s="51"/>
      <c r="AL881" s="69"/>
      <c r="AM881" s="56"/>
      <c r="AN881" s="52"/>
      <c r="AO881" s="51"/>
      <c r="AP881" s="70"/>
      <c r="AQ881" s="58"/>
      <c r="AR881" s="55"/>
      <c r="AS881" s="51"/>
      <c r="AT881" s="69"/>
      <c r="AU881" s="56"/>
      <c r="AV881" s="52"/>
      <c r="AW881" s="51"/>
      <c r="BR881" s="34" t="str">
        <f>IF(E881="","",CONCATENATE(E881," ",F881," noches"))</f>
        <v/>
      </c>
      <c r="BS881" s="28" t="str">
        <f t="shared" ca="1" si="209"/>
        <v/>
      </c>
      <c r="BT881" s="28" t="str">
        <f t="shared" ca="1" si="210"/>
        <v/>
      </c>
    </row>
    <row r="882" spans="1:72" x14ac:dyDescent="0.2">
      <c r="A882" s="18" t="str" cm="1">
        <f t="array" aca="1" ref="A882" ca="1">IF(B882="","","Grupo N˚"&amp;SUMPRODUCT(($B$4:B882&lt;&gt;"")*($B$4:B882&lt;&gt;OFFSET($B$4,-1,0,ROWS($B$4:B882),1))))</f>
        <v/>
      </c>
      <c r="B882" s="31"/>
      <c r="C882" s="31"/>
      <c r="D882" s="31"/>
      <c r="E882" s="31"/>
      <c r="F882" s="32"/>
      <c r="G882" s="33"/>
      <c r="H882" s="33"/>
      <c r="I882" s="20" t="str">
        <f t="shared" si="199"/>
        <v/>
      </c>
      <c r="J882" s="21" t="str">
        <f>IFERROR(VLOOKUP(BR882,Pricing!$D$3:$E$58,2,FALSE),"")</f>
        <v/>
      </c>
      <c r="K882" s="32"/>
      <c r="L882" s="32"/>
      <c r="M882" s="32"/>
      <c r="N882" s="36" t="str" cm="1">
        <f t="array" ref="N882">IFERROR(_xlfn.IFS((AND(K882="SI",M882="$")),J882*0.2,AND(K882="SI",M882="%"),20),"")</f>
        <v/>
      </c>
      <c r="O882" s="29" t="str">
        <f t="shared" si="200"/>
        <v/>
      </c>
      <c r="P882" s="21" t="str">
        <f t="shared" si="201"/>
        <v/>
      </c>
      <c r="Q882" s="21" t="str">
        <f t="shared" si="202"/>
        <v/>
      </c>
      <c r="R882" s="21" t="str">
        <f t="shared" si="203"/>
        <v/>
      </c>
      <c r="S882" s="39"/>
      <c r="T882" s="43" t="str">
        <f t="shared" si="211"/>
        <v/>
      </c>
      <c r="U882" s="49" t="str">
        <f t="shared" si="212"/>
        <v/>
      </c>
      <c r="V882" s="48" t="str">
        <f t="shared" si="213"/>
        <v/>
      </c>
      <c r="W882" s="48" t="str">
        <f t="shared" si="204"/>
        <v/>
      </c>
      <c r="X882" s="50" t="str">
        <f>IF(W882="","",SUMIF($B$4:$B$1002,B882,$W$4:$W$1000))</f>
        <v/>
      </c>
      <c r="Y882" s="43" t="str">
        <f t="shared" si="205"/>
        <v/>
      </c>
      <c r="Z882" s="49" t="str">
        <f t="shared" si="206"/>
        <v/>
      </c>
      <c r="AA882" s="48" t="str">
        <f t="shared" si="207"/>
        <v/>
      </c>
      <c r="AB882" s="49" t="str">
        <f t="shared" si="208"/>
        <v/>
      </c>
      <c r="AC882" s="50" t="str">
        <f>IF(AB882="","",SUMIF($B$4:$B$1002,B882,$AB$4:$AB$1000))</f>
        <v/>
      </c>
      <c r="AD882" s="69"/>
      <c r="AE882" s="56"/>
      <c r="AF882" s="52"/>
      <c r="AG882" s="51"/>
      <c r="AH882" s="70"/>
      <c r="AI882" s="58"/>
      <c r="AJ882" s="55"/>
      <c r="AK882" s="51"/>
      <c r="AL882" s="69"/>
      <c r="AM882" s="56"/>
      <c r="AN882" s="52"/>
      <c r="AO882" s="51"/>
      <c r="AP882" s="70"/>
      <c r="AQ882" s="58"/>
      <c r="AR882" s="55"/>
      <c r="AS882" s="51"/>
      <c r="AT882" s="69"/>
      <c r="AU882" s="56"/>
      <c r="AV882" s="52"/>
      <c r="AW882" s="51"/>
      <c r="BR882" s="34" t="str">
        <f>IF(E882="","",CONCATENATE(E882," ",F882," noches"))</f>
        <v/>
      </c>
      <c r="BS882" s="28" t="str">
        <f t="shared" ca="1" si="209"/>
        <v/>
      </c>
      <c r="BT882" s="28" t="str">
        <f t="shared" ca="1" si="210"/>
        <v/>
      </c>
    </row>
    <row r="883" spans="1:72" x14ac:dyDescent="0.2">
      <c r="A883" s="18" t="str" cm="1">
        <f t="array" aca="1" ref="A883" ca="1">IF(B883="","","Grupo N˚"&amp;SUMPRODUCT(($B$4:B883&lt;&gt;"")*($B$4:B883&lt;&gt;OFFSET($B$4,-1,0,ROWS($B$4:B883),1))))</f>
        <v/>
      </c>
      <c r="B883" s="31"/>
      <c r="C883" s="31"/>
      <c r="D883" s="31"/>
      <c r="E883" s="31"/>
      <c r="F883" s="32"/>
      <c r="G883" s="33"/>
      <c r="H883" s="33"/>
      <c r="I883" s="20" t="str">
        <f t="shared" si="199"/>
        <v/>
      </c>
      <c r="J883" s="21" t="str">
        <f>IFERROR(VLOOKUP(BR883,Pricing!$D$3:$E$58,2,FALSE),"")</f>
        <v/>
      </c>
      <c r="K883" s="32"/>
      <c r="L883" s="32"/>
      <c r="M883" s="32"/>
      <c r="N883" s="36" t="str" cm="1">
        <f t="array" ref="N883">IFERROR(_xlfn.IFS((AND(K883="SI",M883="$")),J883*0.2,AND(K883="SI",M883="%"),20),"")</f>
        <v/>
      </c>
      <c r="O883" s="29" t="str">
        <f t="shared" si="200"/>
        <v/>
      </c>
      <c r="P883" s="21" t="str">
        <f t="shared" si="201"/>
        <v/>
      </c>
      <c r="Q883" s="21" t="str">
        <f t="shared" si="202"/>
        <v/>
      </c>
      <c r="R883" s="21" t="str">
        <f t="shared" si="203"/>
        <v/>
      </c>
      <c r="S883" s="39"/>
      <c r="T883" s="43" t="str">
        <f t="shared" si="211"/>
        <v/>
      </c>
      <c r="U883" s="49" t="str">
        <f t="shared" si="212"/>
        <v/>
      </c>
      <c r="V883" s="48" t="str">
        <f t="shared" si="213"/>
        <v/>
      </c>
      <c r="W883" s="48" t="str">
        <f t="shared" si="204"/>
        <v/>
      </c>
      <c r="X883" s="50" t="str">
        <f>IF(W883="","",SUMIF($B$4:$B$1002,B883,$W$4:$W$1000))</f>
        <v/>
      </c>
      <c r="Y883" s="43" t="str">
        <f t="shared" si="205"/>
        <v/>
      </c>
      <c r="Z883" s="49" t="str">
        <f t="shared" si="206"/>
        <v/>
      </c>
      <c r="AA883" s="48" t="str">
        <f t="shared" si="207"/>
        <v/>
      </c>
      <c r="AB883" s="49" t="str">
        <f t="shared" si="208"/>
        <v/>
      </c>
      <c r="AC883" s="50" t="str">
        <f>IF(AB883="","",SUMIF($B$4:$B$1002,B883,$AB$4:$AB$1000))</f>
        <v/>
      </c>
      <c r="AD883" s="69"/>
      <c r="AE883" s="56"/>
      <c r="AF883" s="52"/>
      <c r="AG883" s="51"/>
      <c r="AH883" s="70"/>
      <c r="AI883" s="58"/>
      <c r="AJ883" s="55"/>
      <c r="AK883" s="51"/>
      <c r="AL883" s="69"/>
      <c r="AM883" s="56"/>
      <c r="AN883" s="52"/>
      <c r="AO883" s="51"/>
      <c r="AP883" s="70"/>
      <c r="AQ883" s="58"/>
      <c r="AR883" s="55"/>
      <c r="AS883" s="51"/>
      <c r="AT883" s="69"/>
      <c r="AU883" s="56"/>
      <c r="AV883" s="52"/>
      <c r="AW883" s="51"/>
      <c r="BR883" s="34" t="str">
        <f>IF(E883="","",CONCATENATE(E883," ",F883," noches"))</f>
        <v/>
      </c>
      <c r="BS883" s="28" t="str">
        <f t="shared" ca="1" si="209"/>
        <v/>
      </c>
      <c r="BT883" s="28" t="str">
        <f t="shared" ca="1" si="210"/>
        <v/>
      </c>
    </row>
    <row r="884" spans="1:72" x14ac:dyDescent="0.2">
      <c r="A884" s="18" t="str" cm="1">
        <f t="array" aca="1" ref="A884" ca="1">IF(B884="","","Grupo N˚"&amp;SUMPRODUCT(($B$4:B884&lt;&gt;"")*($B$4:B884&lt;&gt;OFFSET($B$4,-1,0,ROWS($B$4:B884),1))))</f>
        <v/>
      </c>
      <c r="B884" s="31"/>
      <c r="C884" s="31"/>
      <c r="D884" s="31"/>
      <c r="E884" s="31"/>
      <c r="F884" s="32"/>
      <c r="G884" s="33"/>
      <c r="H884" s="33"/>
      <c r="I884" s="20" t="str">
        <f t="shared" si="199"/>
        <v/>
      </c>
      <c r="J884" s="21" t="str">
        <f>IFERROR(VLOOKUP(BR884,Pricing!$D$3:$E$58,2,FALSE),"")</f>
        <v/>
      </c>
      <c r="K884" s="32"/>
      <c r="L884" s="32"/>
      <c r="M884" s="32"/>
      <c r="N884" s="36" t="str" cm="1">
        <f t="array" ref="N884">IFERROR(_xlfn.IFS((AND(K884="SI",M884="$")),J884*0.2,AND(K884="SI",M884="%"),20),"")</f>
        <v/>
      </c>
      <c r="O884" s="29" t="str">
        <f t="shared" si="200"/>
        <v/>
      </c>
      <c r="P884" s="21" t="str">
        <f t="shared" si="201"/>
        <v/>
      </c>
      <c r="Q884" s="21" t="str">
        <f t="shared" si="202"/>
        <v/>
      </c>
      <c r="R884" s="21" t="str">
        <f t="shared" si="203"/>
        <v/>
      </c>
      <c r="S884" s="39"/>
      <c r="T884" s="43" t="str">
        <f t="shared" si="211"/>
        <v/>
      </c>
      <c r="U884" s="49" t="str">
        <f t="shared" si="212"/>
        <v/>
      </c>
      <c r="V884" s="48" t="str">
        <f t="shared" si="213"/>
        <v/>
      </c>
      <c r="W884" s="48" t="str">
        <f t="shared" si="204"/>
        <v/>
      </c>
      <c r="X884" s="50" t="str">
        <f>IF(W884="","",SUMIF($B$4:$B$1002,B884,$W$4:$W$1000))</f>
        <v/>
      </c>
      <c r="Y884" s="43" t="str">
        <f t="shared" si="205"/>
        <v/>
      </c>
      <c r="Z884" s="49" t="str">
        <f t="shared" si="206"/>
        <v/>
      </c>
      <c r="AA884" s="48" t="str">
        <f t="shared" si="207"/>
        <v/>
      </c>
      <c r="AB884" s="49" t="str">
        <f t="shared" si="208"/>
        <v/>
      </c>
      <c r="AC884" s="50" t="str">
        <f>IF(AB884="","",SUMIF($B$4:$B$1002,B884,$AB$4:$AB$1000))</f>
        <v/>
      </c>
      <c r="AD884" s="69"/>
      <c r="AE884" s="56"/>
      <c r="AF884" s="52"/>
      <c r="AG884" s="51"/>
      <c r="AH884" s="70"/>
      <c r="AI884" s="58"/>
      <c r="AJ884" s="55"/>
      <c r="AK884" s="51"/>
      <c r="AL884" s="69"/>
      <c r="AM884" s="56"/>
      <c r="AN884" s="52"/>
      <c r="AO884" s="51"/>
      <c r="AP884" s="70"/>
      <c r="AQ884" s="58"/>
      <c r="AR884" s="55"/>
      <c r="AS884" s="51"/>
      <c r="AT884" s="69"/>
      <c r="AU884" s="56"/>
      <c r="AV884" s="52"/>
      <c r="AW884" s="51"/>
      <c r="BR884" s="34" t="str">
        <f>IF(E884="","",CONCATENATE(E884," ",F884," noches"))</f>
        <v/>
      </c>
      <c r="BS884" s="28" t="str">
        <f t="shared" ca="1" si="209"/>
        <v/>
      </c>
      <c r="BT884" s="28" t="str">
        <f t="shared" ca="1" si="210"/>
        <v/>
      </c>
    </row>
    <row r="885" spans="1:72" x14ac:dyDescent="0.2">
      <c r="A885" s="18" t="str" cm="1">
        <f t="array" aca="1" ref="A885" ca="1">IF(B885="","","Grupo N˚"&amp;SUMPRODUCT(($B$4:B885&lt;&gt;"")*($B$4:B885&lt;&gt;OFFSET($B$4,-1,0,ROWS($B$4:B885),1))))</f>
        <v/>
      </c>
      <c r="B885" s="31"/>
      <c r="C885" s="31"/>
      <c r="D885" s="31"/>
      <c r="E885" s="31"/>
      <c r="F885" s="32"/>
      <c r="G885" s="33"/>
      <c r="H885" s="33"/>
      <c r="I885" s="20" t="str">
        <f t="shared" si="199"/>
        <v/>
      </c>
      <c r="J885" s="21" t="str">
        <f>IFERROR(VLOOKUP(BR885,Pricing!$D$3:$E$58,2,FALSE),"")</f>
        <v/>
      </c>
      <c r="K885" s="32"/>
      <c r="L885" s="32"/>
      <c r="M885" s="32"/>
      <c r="N885" s="36" t="str" cm="1">
        <f t="array" ref="N885">IFERROR(_xlfn.IFS((AND(K885="SI",M885="$")),J885*0.2,AND(K885="SI",M885="%"),20),"")</f>
        <v/>
      </c>
      <c r="O885" s="29" t="str">
        <f t="shared" si="200"/>
        <v/>
      </c>
      <c r="P885" s="21" t="str">
        <f t="shared" si="201"/>
        <v/>
      </c>
      <c r="Q885" s="21" t="str">
        <f t="shared" si="202"/>
        <v/>
      </c>
      <c r="R885" s="21" t="str">
        <f t="shared" si="203"/>
        <v/>
      </c>
      <c r="S885" s="39"/>
      <c r="T885" s="43" t="str">
        <f t="shared" si="211"/>
        <v/>
      </c>
      <c r="U885" s="49" t="str">
        <f t="shared" si="212"/>
        <v/>
      </c>
      <c r="V885" s="48" t="str">
        <f t="shared" si="213"/>
        <v/>
      </c>
      <c r="W885" s="48" t="str">
        <f t="shared" si="204"/>
        <v/>
      </c>
      <c r="X885" s="50" t="str">
        <f>IF(W885="","",SUMIF($B$4:$B$1002,B885,$W$4:$W$1000))</f>
        <v/>
      </c>
      <c r="Y885" s="43" t="str">
        <f t="shared" si="205"/>
        <v/>
      </c>
      <c r="Z885" s="49" t="str">
        <f t="shared" si="206"/>
        <v/>
      </c>
      <c r="AA885" s="48" t="str">
        <f t="shared" si="207"/>
        <v/>
      </c>
      <c r="AB885" s="49" t="str">
        <f t="shared" si="208"/>
        <v/>
      </c>
      <c r="AC885" s="50" t="str">
        <f>IF(AB885="","",SUMIF($B$4:$B$1002,B885,$AB$4:$AB$1000))</f>
        <v/>
      </c>
      <c r="AD885" s="69"/>
      <c r="AE885" s="56"/>
      <c r="AF885" s="52"/>
      <c r="AG885" s="51"/>
      <c r="AH885" s="70"/>
      <c r="AI885" s="58"/>
      <c r="AJ885" s="55"/>
      <c r="AK885" s="51"/>
      <c r="AL885" s="69"/>
      <c r="AM885" s="56"/>
      <c r="AN885" s="52"/>
      <c r="AO885" s="51"/>
      <c r="AP885" s="70"/>
      <c r="AQ885" s="58"/>
      <c r="AR885" s="55"/>
      <c r="AS885" s="51"/>
      <c r="AT885" s="69"/>
      <c r="AU885" s="56"/>
      <c r="AV885" s="52"/>
      <c r="AW885" s="51"/>
      <c r="BR885" s="34" t="str">
        <f>IF(E885="","",CONCATENATE(E885," ",F885," noches"))</f>
        <v/>
      </c>
      <c r="BS885" s="28" t="str">
        <f t="shared" ca="1" si="209"/>
        <v/>
      </c>
      <c r="BT885" s="28" t="str">
        <f t="shared" ca="1" si="210"/>
        <v/>
      </c>
    </row>
    <row r="886" spans="1:72" x14ac:dyDescent="0.2">
      <c r="A886" s="18" t="str" cm="1">
        <f t="array" aca="1" ref="A886" ca="1">IF(B886="","","Grupo N˚"&amp;SUMPRODUCT(($B$4:B886&lt;&gt;"")*($B$4:B886&lt;&gt;OFFSET($B$4,-1,0,ROWS($B$4:B886),1))))</f>
        <v/>
      </c>
      <c r="B886" s="31"/>
      <c r="C886" s="31"/>
      <c r="D886" s="31"/>
      <c r="E886" s="31"/>
      <c r="F886" s="32"/>
      <c r="G886" s="33"/>
      <c r="H886" s="33"/>
      <c r="I886" s="20" t="str">
        <f t="shared" si="199"/>
        <v/>
      </c>
      <c r="J886" s="21" t="str">
        <f>IFERROR(VLOOKUP(BR886,Pricing!$D$3:$E$58,2,FALSE),"")</f>
        <v/>
      </c>
      <c r="K886" s="32"/>
      <c r="L886" s="32"/>
      <c r="M886" s="32"/>
      <c r="N886" s="36" t="str" cm="1">
        <f t="array" ref="N886">IFERROR(_xlfn.IFS((AND(K886="SI",M886="$")),J886*0.2,AND(K886="SI",M886="%"),20),"")</f>
        <v/>
      </c>
      <c r="O886" s="29" t="str">
        <f t="shared" si="200"/>
        <v/>
      </c>
      <c r="P886" s="21" t="str">
        <f t="shared" si="201"/>
        <v/>
      </c>
      <c r="Q886" s="21" t="str">
        <f t="shared" si="202"/>
        <v/>
      </c>
      <c r="R886" s="21" t="str">
        <f t="shared" si="203"/>
        <v/>
      </c>
      <c r="S886" s="39"/>
      <c r="T886" s="43" t="str">
        <f t="shared" si="211"/>
        <v/>
      </c>
      <c r="U886" s="49" t="str">
        <f t="shared" si="212"/>
        <v/>
      </c>
      <c r="V886" s="48" t="str">
        <f t="shared" si="213"/>
        <v/>
      </c>
      <c r="W886" s="48" t="str">
        <f t="shared" si="204"/>
        <v/>
      </c>
      <c r="X886" s="50" t="str">
        <f>IF(W886="","",SUMIF($B$4:$B$1002,B886,$W$4:$W$1000))</f>
        <v/>
      </c>
      <c r="Y886" s="43" t="str">
        <f t="shared" si="205"/>
        <v/>
      </c>
      <c r="Z886" s="49" t="str">
        <f t="shared" si="206"/>
        <v/>
      </c>
      <c r="AA886" s="48" t="str">
        <f t="shared" si="207"/>
        <v/>
      </c>
      <c r="AB886" s="49" t="str">
        <f t="shared" si="208"/>
        <v/>
      </c>
      <c r="AC886" s="50" t="str">
        <f>IF(AB886="","",SUMIF($B$4:$B$1002,B886,$AB$4:$AB$1000))</f>
        <v/>
      </c>
      <c r="AD886" s="69"/>
      <c r="AE886" s="56"/>
      <c r="AF886" s="52"/>
      <c r="AG886" s="51"/>
      <c r="AH886" s="70"/>
      <c r="AI886" s="58"/>
      <c r="AJ886" s="55"/>
      <c r="AK886" s="51"/>
      <c r="AL886" s="69"/>
      <c r="AM886" s="56"/>
      <c r="AN886" s="52"/>
      <c r="AO886" s="51"/>
      <c r="AP886" s="70"/>
      <c r="AQ886" s="58"/>
      <c r="AR886" s="55"/>
      <c r="AS886" s="51"/>
      <c r="AT886" s="69"/>
      <c r="AU886" s="56"/>
      <c r="AV886" s="52"/>
      <c r="AW886" s="51"/>
      <c r="BR886" s="34" t="str">
        <f>IF(E886="","",CONCATENATE(E886," ",F886," noches"))</f>
        <v/>
      </c>
      <c r="BS886" s="28" t="str">
        <f t="shared" ca="1" si="209"/>
        <v/>
      </c>
      <c r="BT886" s="28" t="str">
        <f t="shared" ca="1" si="210"/>
        <v/>
      </c>
    </row>
    <row r="887" spans="1:72" x14ac:dyDescent="0.2">
      <c r="A887" s="18" t="str" cm="1">
        <f t="array" aca="1" ref="A887" ca="1">IF(B887="","","Grupo N˚"&amp;SUMPRODUCT(($B$4:B887&lt;&gt;"")*($B$4:B887&lt;&gt;OFFSET($B$4,-1,0,ROWS($B$4:B887),1))))</f>
        <v/>
      </c>
      <c r="B887" s="31"/>
      <c r="C887" s="31"/>
      <c r="D887" s="31"/>
      <c r="E887" s="31"/>
      <c r="F887" s="32"/>
      <c r="G887" s="33"/>
      <c r="H887" s="33"/>
      <c r="I887" s="20" t="str">
        <f t="shared" si="199"/>
        <v/>
      </c>
      <c r="J887" s="21" t="str">
        <f>IFERROR(VLOOKUP(BR887,Pricing!$D$3:$E$58,2,FALSE),"")</f>
        <v/>
      </c>
      <c r="K887" s="32"/>
      <c r="L887" s="32"/>
      <c r="M887" s="32"/>
      <c r="N887" s="36" t="str" cm="1">
        <f t="array" ref="N887">IFERROR(_xlfn.IFS((AND(K887="SI",M887="$")),J887*0.2,AND(K887="SI",M887="%"),20),"")</f>
        <v/>
      </c>
      <c r="O887" s="29" t="str">
        <f t="shared" si="200"/>
        <v/>
      </c>
      <c r="P887" s="21" t="str">
        <f t="shared" si="201"/>
        <v/>
      </c>
      <c r="Q887" s="21" t="str">
        <f t="shared" si="202"/>
        <v/>
      </c>
      <c r="R887" s="21" t="str">
        <f t="shared" si="203"/>
        <v/>
      </c>
      <c r="S887" s="39"/>
      <c r="T887" s="43" t="str">
        <f t="shared" si="211"/>
        <v/>
      </c>
      <c r="U887" s="49" t="str">
        <f t="shared" si="212"/>
        <v/>
      </c>
      <c r="V887" s="48" t="str">
        <f t="shared" si="213"/>
        <v/>
      </c>
      <c r="W887" s="48" t="str">
        <f t="shared" si="204"/>
        <v/>
      </c>
      <c r="X887" s="50" t="str">
        <f>IF(W887="","",SUMIF($B$4:$B$1002,B887,$W$4:$W$1000))</f>
        <v/>
      </c>
      <c r="Y887" s="43" t="str">
        <f t="shared" si="205"/>
        <v/>
      </c>
      <c r="Z887" s="49" t="str">
        <f t="shared" si="206"/>
        <v/>
      </c>
      <c r="AA887" s="48" t="str">
        <f t="shared" si="207"/>
        <v/>
      </c>
      <c r="AB887" s="49" t="str">
        <f t="shared" si="208"/>
        <v/>
      </c>
      <c r="AC887" s="50" t="str">
        <f>IF(AB887="","",SUMIF($B$4:$B$1002,B887,$AB$4:$AB$1000))</f>
        <v/>
      </c>
      <c r="AD887" s="69"/>
      <c r="AE887" s="56"/>
      <c r="AF887" s="52"/>
      <c r="AG887" s="51"/>
      <c r="AH887" s="70"/>
      <c r="AI887" s="58"/>
      <c r="AJ887" s="55"/>
      <c r="AK887" s="51"/>
      <c r="AL887" s="69"/>
      <c r="AM887" s="56"/>
      <c r="AN887" s="52"/>
      <c r="AO887" s="51"/>
      <c r="AP887" s="70"/>
      <c r="AQ887" s="58"/>
      <c r="AR887" s="55"/>
      <c r="AS887" s="51"/>
      <c r="AT887" s="69"/>
      <c r="AU887" s="56"/>
      <c r="AV887" s="52"/>
      <c r="AW887" s="51"/>
      <c r="BR887" s="34" t="str">
        <f>IF(E887="","",CONCATENATE(E887," ",F887," noches"))</f>
        <v/>
      </c>
      <c r="BS887" s="28" t="str">
        <f t="shared" ca="1" si="209"/>
        <v/>
      </c>
      <c r="BT887" s="28" t="str">
        <f t="shared" ca="1" si="210"/>
        <v/>
      </c>
    </row>
    <row r="888" spans="1:72" x14ac:dyDescent="0.2">
      <c r="A888" s="18" t="str" cm="1">
        <f t="array" aca="1" ref="A888" ca="1">IF(B888="","","Grupo N˚"&amp;SUMPRODUCT(($B$4:B888&lt;&gt;"")*($B$4:B888&lt;&gt;OFFSET($B$4,-1,0,ROWS($B$4:B888),1))))</f>
        <v/>
      </c>
      <c r="B888" s="31"/>
      <c r="C888" s="31"/>
      <c r="D888" s="31"/>
      <c r="E888" s="31"/>
      <c r="F888" s="32"/>
      <c r="G888" s="33"/>
      <c r="H888" s="33"/>
      <c r="I888" s="20" t="str">
        <f t="shared" si="199"/>
        <v/>
      </c>
      <c r="J888" s="21" t="str">
        <f>IFERROR(VLOOKUP(BR888,Pricing!$D$3:$E$58,2,FALSE),"")</f>
        <v/>
      </c>
      <c r="K888" s="32"/>
      <c r="L888" s="32"/>
      <c r="M888" s="32"/>
      <c r="N888" s="36" t="str" cm="1">
        <f t="array" ref="N888">IFERROR(_xlfn.IFS((AND(K888="SI",M888="$")),J888*0.2,AND(K888="SI",M888="%"),20),"")</f>
        <v/>
      </c>
      <c r="O888" s="29" t="str">
        <f t="shared" si="200"/>
        <v/>
      </c>
      <c r="P888" s="21" t="str">
        <f t="shared" si="201"/>
        <v/>
      </c>
      <c r="Q888" s="21" t="str">
        <f t="shared" si="202"/>
        <v/>
      </c>
      <c r="R888" s="21" t="str">
        <f t="shared" si="203"/>
        <v/>
      </c>
      <c r="S888" s="39"/>
      <c r="T888" s="43" t="str">
        <f t="shared" si="211"/>
        <v/>
      </c>
      <c r="U888" s="49" t="str">
        <f t="shared" si="212"/>
        <v/>
      </c>
      <c r="V888" s="48" t="str">
        <f t="shared" si="213"/>
        <v/>
      </c>
      <c r="W888" s="48" t="str">
        <f t="shared" si="204"/>
        <v/>
      </c>
      <c r="X888" s="50" t="str">
        <f>IF(W888="","",SUMIF($B$4:$B$1002,B888,$W$4:$W$1000))</f>
        <v/>
      </c>
      <c r="Y888" s="43" t="str">
        <f t="shared" si="205"/>
        <v/>
      </c>
      <c r="Z888" s="49" t="str">
        <f t="shared" si="206"/>
        <v/>
      </c>
      <c r="AA888" s="48" t="str">
        <f t="shared" si="207"/>
        <v/>
      </c>
      <c r="AB888" s="49" t="str">
        <f t="shared" si="208"/>
        <v/>
      </c>
      <c r="AC888" s="50" t="str">
        <f>IF(AB888="","",SUMIF($B$4:$B$1002,B888,$AB$4:$AB$1000))</f>
        <v/>
      </c>
      <c r="AD888" s="69"/>
      <c r="AE888" s="56"/>
      <c r="AF888" s="52"/>
      <c r="AG888" s="51"/>
      <c r="AH888" s="70"/>
      <c r="AI888" s="58"/>
      <c r="AJ888" s="55"/>
      <c r="AK888" s="51"/>
      <c r="AL888" s="69"/>
      <c r="AM888" s="56"/>
      <c r="AN888" s="52"/>
      <c r="AO888" s="51"/>
      <c r="AP888" s="70"/>
      <c r="AQ888" s="58"/>
      <c r="AR888" s="55"/>
      <c r="AS888" s="51"/>
      <c r="AT888" s="69"/>
      <c r="AU888" s="56"/>
      <c r="AV888" s="52"/>
      <c r="AW888" s="51"/>
      <c r="BR888" s="34" t="str">
        <f>IF(E888="","",CONCATENATE(E888," ",F888," noches"))</f>
        <v/>
      </c>
      <c r="BS888" s="28" t="str">
        <f t="shared" ca="1" si="209"/>
        <v/>
      </c>
      <c r="BT888" s="28" t="str">
        <f t="shared" ca="1" si="210"/>
        <v/>
      </c>
    </row>
    <row r="889" spans="1:72" x14ac:dyDescent="0.2">
      <c r="A889" s="18" t="str" cm="1">
        <f t="array" aca="1" ref="A889" ca="1">IF(B889="","","Grupo N˚"&amp;SUMPRODUCT(($B$4:B889&lt;&gt;"")*($B$4:B889&lt;&gt;OFFSET($B$4,-1,0,ROWS($B$4:B889),1))))</f>
        <v/>
      </c>
      <c r="B889" s="31"/>
      <c r="C889" s="31"/>
      <c r="D889" s="31"/>
      <c r="E889" s="31"/>
      <c r="F889" s="32"/>
      <c r="G889" s="33"/>
      <c r="H889" s="33"/>
      <c r="I889" s="20" t="str">
        <f t="shared" si="199"/>
        <v/>
      </c>
      <c r="J889" s="21" t="str">
        <f>IFERROR(VLOOKUP(BR889,Pricing!$D$3:$E$58,2,FALSE),"")</f>
        <v/>
      </c>
      <c r="K889" s="32"/>
      <c r="L889" s="32"/>
      <c r="M889" s="32"/>
      <c r="N889" s="36" t="str" cm="1">
        <f t="array" ref="N889">IFERROR(_xlfn.IFS((AND(K889="SI",M889="$")),J889*0.2,AND(K889="SI",M889="%"),20),"")</f>
        <v/>
      </c>
      <c r="O889" s="29" t="str">
        <f t="shared" si="200"/>
        <v/>
      </c>
      <c r="P889" s="21" t="str">
        <f t="shared" si="201"/>
        <v/>
      </c>
      <c r="Q889" s="21" t="str">
        <f t="shared" si="202"/>
        <v/>
      </c>
      <c r="R889" s="21" t="str">
        <f t="shared" si="203"/>
        <v/>
      </c>
      <c r="S889" s="39"/>
      <c r="T889" s="43" t="str">
        <f t="shared" si="211"/>
        <v/>
      </c>
      <c r="U889" s="49" t="str">
        <f t="shared" si="212"/>
        <v/>
      </c>
      <c r="V889" s="48" t="str">
        <f t="shared" si="213"/>
        <v/>
      </c>
      <c r="W889" s="48" t="str">
        <f t="shared" si="204"/>
        <v/>
      </c>
      <c r="X889" s="50" t="str">
        <f>IF(W889="","",SUMIF($B$4:$B$1002,B889,$W$4:$W$1000))</f>
        <v/>
      </c>
      <c r="Y889" s="43" t="str">
        <f t="shared" si="205"/>
        <v/>
      </c>
      <c r="Z889" s="49" t="str">
        <f t="shared" si="206"/>
        <v/>
      </c>
      <c r="AA889" s="48" t="str">
        <f t="shared" si="207"/>
        <v/>
      </c>
      <c r="AB889" s="49" t="str">
        <f t="shared" si="208"/>
        <v/>
      </c>
      <c r="AC889" s="50" t="str">
        <f>IF(AB889="","",SUMIF($B$4:$B$1002,B889,$AB$4:$AB$1000))</f>
        <v/>
      </c>
      <c r="AD889" s="69"/>
      <c r="AE889" s="56"/>
      <c r="AF889" s="52"/>
      <c r="AG889" s="51"/>
      <c r="AH889" s="70"/>
      <c r="AI889" s="58"/>
      <c r="AJ889" s="55"/>
      <c r="AK889" s="51"/>
      <c r="AL889" s="69"/>
      <c r="AM889" s="56"/>
      <c r="AN889" s="52"/>
      <c r="AO889" s="51"/>
      <c r="AP889" s="70"/>
      <c r="AQ889" s="58"/>
      <c r="AR889" s="55"/>
      <c r="AS889" s="51"/>
      <c r="AT889" s="69"/>
      <c r="AU889" s="56"/>
      <c r="AV889" s="52"/>
      <c r="AW889" s="51"/>
      <c r="BR889" s="34" t="str">
        <f>IF(E889="","",CONCATENATE(E889," ",F889," noches"))</f>
        <v/>
      </c>
      <c r="BS889" s="28" t="str">
        <f t="shared" ca="1" si="209"/>
        <v/>
      </c>
      <c r="BT889" s="28" t="str">
        <f t="shared" ca="1" si="210"/>
        <v/>
      </c>
    </row>
    <row r="890" spans="1:72" x14ac:dyDescent="0.2">
      <c r="A890" s="18" t="str" cm="1">
        <f t="array" aca="1" ref="A890" ca="1">IF(B890="","","Grupo N˚"&amp;SUMPRODUCT(($B$4:B890&lt;&gt;"")*($B$4:B890&lt;&gt;OFFSET($B$4,-1,0,ROWS($B$4:B890),1))))</f>
        <v/>
      </c>
      <c r="B890" s="31"/>
      <c r="C890" s="31"/>
      <c r="D890" s="31"/>
      <c r="E890" s="31"/>
      <c r="F890" s="32"/>
      <c r="G890" s="33"/>
      <c r="H890" s="33"/>
      <c r="I890" s="20" t="str">
        <f t="shared" si="199"/>
        <v/>
      </c>
      <c r="J890" s="21" t="str">
        <f>IFERROR(VLOOKUP(BR890,Pricing!$D$3:$E$58,2,FALSE),"")</f>
        <v/>
      </c>
      <c r="K890" s="32"/>
      <c r="L890" s="32"/>
      <c r="M890" s="32"/>
      <c r="N890" s="36" t="str" cm="1">
        <f t="array" ref="N890">IFERROR(_xlfn.IFS((AND(K890="SI",M890="$")),J890*0.2,AND(K890="SI",M890="%"),20),"")</f>
        <v/>
      </c>
      <c r="O890" s="29" t="str">
        <f t="shared" si="200"/>
        <v/>
      </c>
      <c r="P890" s="21" t="str">
        <f t="shared" si="201"/>
        <v/>
      </c>
      <c r="Q890" s="21" t="str">
        <f t="shared" si="202"/>
        <v/>
      </c>
      <c r="R890" s="21" t="str">
        <f t="shared" si="203"/>
        <v/>
      </c>
      <c r="S890" s="39"/>
      <c r="T890" s="43" t="str">
        <f t="shared" si="211"/>
        <v/>
      </c>
      <c r="U890" s="49" t="str">
        <f t="shared" si="212"/>
        <v/>
      </c>
      <c r="V890" s="48" t="str">
        <f t="shared" si="213"/>
        <v/>
      </c>
      <c r="W890" s="48" t="str">
        <f t="shared" si="204"/>
        <v/>
      </c>
      <c r="X890" s="50" t="str">
        <f>IF(W890="","",SUMIF($B$4:$B$1002,B890,$W$4:$W$1000))</f>
        <v/>
      </c>
      <c r="Y890" s="43" t="str">
        <f t="shared" si="205"/>
        <v/>
      </c>
      <c r="Z890" s="49" t="str">
        <f t="shared" si="206"/>
        <v/>
      </c>
      <c r="AA890" s="48" t="str">
        <f t="shared" si="207"/>
        <v/>
      </c>
      <c r="AB890" s="49" t="str">
        <f t="shared" si="208"/>
        <v/>
      </c>
      <c r="AC890" s="50" t="str">
        <f>IF(AB890="","",SUMIF($B$4:$B$1002,B890,$AB$4:$AB$1000))</f>
        <v/>
      </c>
      <c r="AD890" s="69"/>
      <c r="AE890" s="56"/>
      <c r="AF890" s="52"/>
      <c r="AG890" s="51"/>
      <c r="AH890" s="70"/>
      <c r="AI890" s="58"/>
      <c r="AJ890" s="55"/>
      <c r="AK890" s="51"/>
      <c r="AL890" s="69"/>
      <c r="AM890" s="56"/>
      <c r="AN890" s="52"/>
      <c r="AO890" s="51"/>
      <c r="AP890" s="70"/>
      <c r="AQ890" s="58"/>
      <c r="AR890" s="55"/>
      <c r="AS890" s="51"/>
      <c r="AT890" s="69"/>
      <c r="AU890" s="56"/>
      <c r="AV890" s="52"/>
      <c r="AW890" s="51"/>
      <c r="BR890" s="34" t="str">
        <f>IF(E890="","",CONCATENATE(E890," ",F890," noches"))</f>
        <v/>
      </c>
      <c r="BS890" s="28" t="str">
        <f t="shared" ca="1" si="209"/>
        <v/>
      </c>
      <c r="BT890" s="28" t="str">
        <f t="shared" ca="1" si="210"/>
        <v/>
      </c>
    </row>
    <row r="891" spans="1:72" x14ac:dyDescent="0.2">
      <c r="A891" s="18" t="str" cm="1">
        <f t="array" aca="1" ref="A891" ca="1">IF(B891="","","Grupo N˚"&amp;SUMPRODUCT(($B$4:B891&lt;&gt;"")*($B$4:B891&lt;&gt;OFFSET($B$4,-1,0,ROWS($B$4:B891),1))))</f>
        <v/>
      </c>
      <c r="B891" s="31"/>
      <c r="C891" s="31"/>
      <c r="D891" s="31"/>
      <c r="E891" s="31"/>
      <c r="F891" s="32"/>
      <c r="G891" s="33"/>
      <c r="H891" s="33"/>
      <c r="I891" s="20" t="str">
        <f t="shared" si="199"/>
        <v/>
      </c>
      <c r="J891" s="21" t="str">
        <f>IFERROR(VLOOKUP(BR891,Pricing!$D$3:$E$58,2,FALSE),"")</f>
        <v/>
      </c>
      <c r="K891" s="32"/>
      <c r="L891" s="32"/>
      <c r="M891" s="32"/>
      <c r="N891" s="36" t="str" cm="1">
        <f t="array" ref="N891">IFERROR(_xlfn.IFS((AND(K891="SI",M891="$")),J891*0.2,AND(K891="SI",M891="%"),20),"")</f>
        <v/>
      </c>
      <c r="O891" s="29" t="str">
        <f t="shared" si="200"/>
        <v/>
      </c>
      <c r="P891" s="21" t="str">
        <f t="shared" si="201"/>
        <v/>
      </c>
      <c r="Q891" s="21" t="str">
        <f t="shared" si="202"/>
        <v/>
      </c>
      <c r="R891" s="21" t="str">
        <f t="shared" si="203"/>
        <v/>
      </c>
      <c r="S891" s="39"/>
      <c r="T891" s="43" t="str">
        <f t="shared" si="211"/>
        <v/>
      </c>
      <c r="U891" s="49" t="str">
        <f t="shared" si="212"/>
        <v/>
      </c>
      <c r="V891" s="48" t="str">
        <f t="shared" si="213"/>
        <v/>
      </c>
      <c r="W891" s="48" t="str">
        <f t="shared" si="204"/>
        <v/>
      </c>
      <c r="X891" s="50" t="str">
        <f>IF(W891="","",SUMIF($B$4:$B$1002,B891,$W$4:$W$1000))</f>
        <v/>
      </c>
      <c r="Y891" s="43" t="str">
        <f t="shared" si="205"/>
        <v/>
      </c>
      <c r="Z891" s="49" t="str">
        <f t="shared" si="206"/>
        <v/>
      </c>
      <c r="AA891" s="48" t="str">
        <f t="shared" si="207"/>
        <v/>
      </c>
      <c r="AB891" s="49" t="str">
        <f t="shared" si="208"/>
        <v/>
      </c>
      <c r="AC891" s="50" t="str">
        <f>IF(AB891="","",SUMIF($B$4:$B$1002,B891,$AB$4:$AB$1000))</f>
        <v/>
      </c>
      <c r="AD891" s="69"/>
      <c r="AE891" s="56"/>
      <c r="AF891" s="52"/>
      <c r="AG891" s="51"/>
      <c r="AH891" s="70"/>
      <c r="AI891" s="58"/>
      <c r="AJ891" s="55"/>
      <c r="AK891" s="51"/>
      <c r="AL891" s="69"/>
      <c r="AM891" s="56"/>
      <c r="AN891" s="52"/>
      <c r="AO891" s="51"/>
      <c r="AP891" s="70"/>
      <c r="AQ891" s="58"/>
      <c r="AR891" s="55"/>
      <c r="AS891" s="51"/>
      <c r="AT891" s="69"/>
      <c r="AU891" s="56"/>
      <c r="AV891" s="52"/>
      <c r="AW891" s="51"/>
      <c r="BR891" s="34" t="str">
        <f>IF(E891="","",CONCATENATE(E891," ",F891," noches"))</f>
        <v/>
      </c>
      <c r="BS891" s="28" t="str">
        <f t="shared" ca="1" si="209"/>
        <v/>
      </c>
      <c r="BT891" s="28" t="str">
        <f t="shared" ca="1" si="210"/>
        <v/>
      </c>
    </row>
    <row r="892" spans="1:72" x14ac:dyDescent="0.2">
      <c r="A892" s="18" t="str" cm="1">
        <f t="array" aca="1" ref="A892" ca="1">IF(B892="","","Grupo N˚"&amp;SUMPRODUCT(($B$4:B892&lt;&gt;"")*($B$4:B892&lt;&gt;OFFSET($B$4,-1,0,ROWS($B$4:B892),1))))</f>
        <v/>
      </c>
      <c r="B892" s="31"/>
      <c r="C892" s="31"/>
      <c r="D892" s="31"/>
      <c r="E892" s="31"/>
      <c r="F892" s="32"/>
      <c r="G892" s="33"/>
      <c r="H892" s="33"/>
      <c r="I892" s="20" t="str">
        <f t="shared" si="199"/>
        <v/>
      </c>
      <c r="J892" s="21" t="str">
        <f>IFERROR(VLOOKUP(BR892,Pricing!$D$3:$E$58,2,FALSE),"")</f>
        <v/>
      </c>
      <c r="K892" s="32"/>
      <c r="L892" s="32"/>
      <c r="M892" s="32"/>
      <c r="N892" s="36" t="str" cm="1">
        <f t="array" ref="N892">IFERROR(_xlfn.IFS((AND(K892="SI",M892="$")),J892*0.2,AND(K892="SI",M892="%"),20),"")</f>
        <v/>
      </c>
      <c r="O892" s="29" t="str">
        <f t="shared" si="200"/>
        <v/>
      </c>
      <c r="P892" s="21" t="str">
        <f t="shared" si="201"/>
        <v/>
      </c>
      <c r="Q892" s="21" t="str">
        <f t="shared" si="202"/>
        <v/>
      </c>
      <c r="R892" s="21" t="str">
        <f t="shared" si="203"/>
        <v/>
      </c>
      <c r="S892" s="39"/>
      <c r="T892" s="43" t="str">
        <f t="shared" si="211"/>
        <v/>
      </c>
      <c r="U892" s="49" t="str">
        <f t="shared" si="212"/>
        <v/>
      </c>
      <c r="V892" s="48" t="str">
        <f t="shared" si="213"/>
        <v/>
      </c>
      <c r="W892" s="48" t="str">
        <f t="shared" si="204"/>
        <v/>
      </c>
      <c r="X892" s="50" t="str">
        <f>IF(W892="","",SUMIF($B$4:$B$1002,B892,$W$4:$W$1000))</f>
        <v/>
      </c>
      <c r="Y892" s="43" t="str">
        <f t="shared" si="205"/>
        <v/>
      </c>
      <c r="Z892" s="49" t="str">
        <f t="shared" si="206"/>
        <v/>
      </c>
      <c r="AA892" s="48" t="str">
        <f t="shared" si="207"/>
        <v/>
      </c>
      <c r="AB892" s="49" t="str">
        <f t="shared" si="208"/>
        <v/>
      </c>
      <c r="AC892" s="50" t="str">
        <f>IF(AB892="","",SUMIF($B$4:$B$1002,B892,$AB$4:$AB$1000))</f>
        <v/>
      </c>
      <c r="AD892" s="69"/>
      <c r="AE892" s="56"/>
      <c r="AF892" s="52"/>
      <c r="AG892" s="51"/>
      <c r="AH892" s="70"/>
      <c r="AI892" s="58"/>
      <c r="AJ892" s="55"/>
      <c r="AK892" s="51"/>
      <c r="AL892" s="69"/>
      <c r="AM892" s="56"/>
      <c r="AN892" s="52"/>
      <c r="AO892" s="51"/>
      <c r="AP892" s="70"/>
      <c r="AQ892" s="58"/>
      <c r="AR892" s="55"/>
      <c r="AS892" s="51"/>
      <c r="AT892" s="69"/>
      <c r="AU892" s="56"/>
      <c r="AV892" s="52"/>
      <c r="AW892" s="51"/>
      <c r="BR892" s="34" t="str">
        <f>IF(E892="","",CONCATENATE(E892," ",F892," noches"))</f>
        <v/>
      </c>
      <c r="BS892" s="28" t="str">
        <f t="shared" ca="1" si="209"/>
        <v/>
      </c>
      <c r="BT892" s="28" t="str">
        <f t="shared" ca="1" si="210"/>
        <v/>
      </c>
    </row>
    <row r="893" spans="1:72" x14ac:dyDescent="0.2">
      <c r="A893" s="18" t="str" cm="1">
        <f t="array" aca="1" ref="A893" ca="1">IF(B893="","","Grupo N˚"&amp;SUMPRODUCT(($B$4:B893&lt;&gt;"")*($B$4:B893&lt;&gt;OFFSET($B$4,-1,0,ROWS($B$4:B893),1))))</f>
        <v/>
      </c>
      <c r="B893" s="31"/>
      <c r="C893" s="31"/>
      <c r="D893" s="31"/>
      <c r="E893" s="31"/>
      <c r="F893" s="32"/>
      <c r="G893" s="33"/>
      <c r="H893" s="33"/>
      <c r="I893" s="20" t="str">
        <f t="shared" si="199"/>
        <v/>
      </c>
      <c r="J893" s="21" t="str">
        <f>IFERROR(VLOOKUP(BR893,Pricing!$D$3:$E$58,2,FALSE),"")</f>
        <v/>
      </c>
      <c r="K893" s="32"/>
      <c r="L893" s="32"/>
      <c r="M893" s="32"/>
      <c r="N893" s="36" t="str" cm="1">
        <f t="array" ref="N893">IFERROR(_xlfn.IFS((AND(K893="SI",M893="$")),J893*0.2,AND(K893="SI",M893="%"),20),"")</f>
        <v/>
      </c>
      <c r="O893" s="29" t="str">
        <f t="shared" si="200"/>
        <v/>
      </c>
      <c r="P893" s="21" t="str">
        <f t="shared" si="201"/>
        <v/>
      </c>
      <c r="Q893" s="21" t="str">
        <f t="shared" si="202"/>
        <v/>
      </c>
      <c r="R893" s="21" t="str">
        <f t="shared" si="203"/>
        <v/>
      </c>
      <c r="S893" s="39"/>
      <c r="T893" s="43" t="str">
        <f t="shared" si="211"/>
        <v/>
      </c>
      <c r="U893" s="49" t="str">
        <f t="shared" si="212"/>
        <v/>
      </c>
      <c r="V893" s="48" t="str">
        <f t="shared" si="213"/>
        <v/>
      </c>
      <c r="W893" s="48" t="str">
        <f t="shared" si="204"/>
        <v/>
      </c>
      <c r="X893" s="50" t="str">
        <f>IF(W893="","",SUMIF($B$4:$B$1002,B893,$W$4:$W$1000))</f>
        <v/>
      </c>
      <c r="Y893" s="43" t="str">
        <f t="shared" si="205"/>
        <v/>
      </c>
      <c r="Z893" s="49" t="str">
        <f t="shared" si="206"/>
        <v/>
      </c>
      <c r="AA893" s="48" t="str">
        <f t="shared" si="207"/>
        <v/>
      </c>
      <c r="AB893" s="49" t="str">
        <f t="shared" si="208"/>
        <v/>
      </c>
      <c r="AC893" s="50" t="str">
        <f>IF(AB893="","",SUMIF($B$4:$B$1002,B893,$AB$4:$AB$1000))</f>
        <v/>
      </c>
      <c r="AD893" s="69"/>
      <c r="AE893" s="56"/>
      <c r="AF893" s="52"/>
      <c r="AG893" s="51"/>
      <c r="AH893" s="70"/>
      <c r="AI893" s="58"/>
      <c r="AJ893" s="55"/>
      <c r="AK893" s="51"/>
      <c r="AL893" s="69"/>
      <c r="AM893" s="56"/>
      <c r="AN893" s="52"/>
      <c r="AO893" s="51"/>
      <c r="AP893" s="70"/>
      <c r="AQ893" s="58"/>
      <c r="AR893" s="55"/>
      <c r="AS893" s="51"/>
      <c r="AT893" s="69"/>
      <c r="AU893" s="56"/>
      <c r="AV893" s="52"/>
      <c r="AW893" s="51"/>
      <c r="BR893" s="34" t="str">
        <f>IF(E893="","",CONCATENATE(E893," ",F893," noches"))</f>
        <v/>
      </c>
      <c r="BS893" s="28" t="str">
        <f t="shared" ca="1" si="209"/>
        <v/>
      </c>
      <c r="BT893" s="28" t="str">
        <f t="shared" ca="1" si="210"/>
        <v/>
      </c>
    </row>
    <row r="894" spans="1:72" x14ac:dyDescent="0.2">
      <c r="A894" s="18" t="str" cm="1">
        <f t="array" aca="1" ref="A894" ca="1">IF(B894="","","Grupo N˚"&amp;SUMPRODUCT(($B$4:B894&lt;&gt;"")*($B$4:B894&lt;&gt;OFFSET($B$4,-1,0,ROWS($B$4:B894),1))))</f>
        <v/>
      </c>
      <c r="B894" s="31"/>
      <c r="C894" s="31"/>
      <c r="D894" s="31"/>
      <c r="E894" s="31"/>
      <c r="F894" s="32"/>
      <c r="G894" s="33"/>
      <c r="H894" s="33"/>
      <c r="I894" s="20" t="str">
        <f t="shared" si="199"/>
        <v/>
      </c>
      <c r="J894" s="21" t="str">
        <f>IFERROR(VLOOKUP(BR894,Pricing!$D$3:$E$58,2,FALSE),"")</f>
        <v/>
      </c>
      <c r="K894" s="32"/>
      <c r="L894" s="32"/>
      <c r="M894" s="32"/>
      <c r="N894" s="36" t="str" cm="1">
        <f t="array" ref="N894">IFERROR(_xlfn.IFS((AND(K894="SI",M894="$")),J894*0.2,AND(K894="SI",M894="%"),20),"")</f>
        <v/>
      </c>
      <c r="O894" s="29" t="str">
        <f t="shared" si="200"/>
        <v/>
      </c>
      <c r="P894" s="21" t="str">
        <f t="shared" si="201"/>
        <v/>
      </c>
      <c r="Q894" s="21" t="str">
        <f t="shared" si="202"/>
        <v/>
      </c>
      <c r="R894" s="21" t="str">
        <f t="shared" si="203"/>
        <v/>
      </c>
      <c r="S894" s="39"/>
      <c r="T894" s="43" t="str">
        <f t="shared" si="211"/>
        <v/>
      </c>
      <c r="U894" s="49" t="str">
        <f t="shared" si="212"/>
        <v/>
      </c>
      <c r="V894" s="48" t="str">
        <f t="shared" si="213"/>
        <v/>
      </c>
      <c r="W894" s="48" t="str">
        <f t="shared" si="204"/>
        <v/>
      </c>
      <c r="X894" s="50" t="str">
        <f>IF(W894="","",SUMIF($B$4:$B$1002,B894,$W$4:$W$1000))</f>
        <v/>
      </c>
      <c r="Y894" s="43" t="str">
        <f t="shared" si="205"/>
        <v/>
      </c>
      <c r="Z894" s="49" t="str">
        <f t="shared" si="206"/>
        <v/>
      </c>
      <c r="AA894" s="48" t="str">
        <f t="shared" si="207"/>
        <v/>
      </c>
      <c r="AB894" s="49" t="str">
        <f t="shared" si="208"/>
        <v/>
      </c>
      <c r="AC894" s="50" t="str">
        <f>IF(AB894="","",SUMIF($B$4:$B$1002,B894,$AB$4:$AB$1000))</f>
        <v/>
      </c>
      <c r="AD894" s="69"/>
      <c r="AE894" s="56"/>
      <c r="AF894" s="52"/>
      <c r="AG894" s="51"/>
      <c r="AH894" s="70"/>
      <c r="AI894" s="58"/>
      <c r="AJ894" s="55"/>
      <c r="AK894" s="51"/>
      <c r="AL894" s="69"/>
      <c r="AM894" s="56"/>
      <c r="AN894" s="52"/>
      <c r="AO894" s="51"/>
      <c r="AP894" s="70"/>
      <c r="AQ894" s="58"/>
      <c r="AR894" s="55"/>
      <c r="AS894" s="51"/>
      <c r="AT894" s="69"/>
      <c r="AU894" s="56"/>
      <c r="AV894" s="52"/>
      <c r="AW894" s="51"/>
      <c r="BR894" s="34" t="str">
        <f>IF(E894="","",CONCATENATE(E894," ",F894," noches"))</f>
        <v/>
      </c>
      <c r="BS894" s="28" t="str">
        <f t="shared" ca="1" si="209"/>
        <v/>
      </c>
      <c r="BT894" s="28" t="str">
        <f t="shared" ca="1" si="210"/>
        <v/>
      </c>
    </row>
    <row r="895" spans="1:72" x14ac:dyDescent="0.2">
      <c r="A895" s="18" t="str" cm="1">
        <f t="array" aca="1" ref="A895" ca="1">IF(B895="","","Grupo N˚"&amp;SUMPRODUCT(($B$4:B895&lt;&gt;"")*($B$4:B895&lt;&gt;OFFSET($B$4,-1,0,ROWS($B$4:B895),1))))</f>
        <v/>
      </c>
      <c r="B895" s="31"/>
      <c r="C895" s="31"/>
      <c r="D895" s="31"/>
      <c r="E895" s="31"/>
      <c r="F895" s="32"/>
      <c r="G895" s="33"/>
      <c r="H895" s="33"/>
      <c r="I895" s="20" t="str">
        <f t="shared" si="199"/>
        <v/>
      </c>
      <c r="J895" s="21" t="str">
        <f>IFERROR(VLOOKUP(BR895,Pricing!$D$3:$E$58,2,FALSE),"")</f>
        <v/>
      </c>
      <c r="K895" s="32"/>
      <c r="L895" s="32"/>
      <c r="M895" s="32"/>
      <c r="N895" s="36" t="str" cm="1">
        <f t="array" ref="N895">IFERROR(_xlfn.IFS((AND(K895="SI",M895="$")),J895*0.2,AND(K895="SI",M895="%"),20),"")</f>
        <v/>
      </c>
      <c r="O895" s="29" t="str">
        <f t="shared" si="200"/>
        <v/>
      </c>
      <c r="P895" s="21" t="str">
        <f t="shared" si="201"/>
        <v/>
      </c>
      <c r="Q895" s="21" t="str">
        <f t="shared" si="202"/>
        <v/>
      </c>
      <c r="R895" s="21" t="str">
        <f t="shared" si="203"/>
        <v/>
      </c>
      <c r="S895" s="39"/>
      <c r="T895" s="43" t="str">
        <f t="shared" si="211"/>
        <v/>
      </c>
      <c r="U895" s="49" t="str">
        <f t="shared" si="212"/>
        <v/>
      </c>
      <c r="V895" s="48" t="str">
        <f t="shared" si="213"/>
        <v/>
      </c>
      <c r="W895" s="48" t="str">
        <f t="shared" si="204"/>
        <v/>
      </c>
      <c r="X895" s="50" t="str">
        <f>IF(W895="","",SUMIF($B$4:$B$1002,B895,$W$4:$W$1000))</f>
        <v/>
      </c>
      <c r="Y895" s="43" t="str">
        <f t="shared" si="205"/>
        <v/>
      </c>
      <c r="Z895" s="49" t="str">
        <f t="shared" si="206"/>
        <v/>
      </c>
      <c r="AA895" s="48" t="str">
        <f t="shared" si="207"/>
        <v/>
      </c>
      <c r="AB895" s="49" t="str">
        <f t="shared" si="208"/>
        <v/>
      </c>
      <c r="AC895" s="50" t="str">
        <f>IF(AB895="","",SUMIF($B$4:$B$1002,B895,$AB$4:$AB$1000))</f>
        <v/>
      </c>
      <c r="AD895" s="69"/>
      <c r="AE895" s="56"/>
      <c r="AF895" s="52"/>
      <c r="AG895" s="51"/>
      <c r="AH895" s="70"/>
      <c r="AI895" s="58"/>
      <c r="AJ895" s="55"/>
      <c r="AK895" s="51"/>
      <c r="AL895" s="69"/>
      <c r="AM895" s="56"/>
      <c r="AN895" s="52"/>
      <c r="AO895" s="51"/>
      <c r="AP895" s="70"/>
      <c r="AQ895" s="58"/>
      <c r="AR895" s="55"/>
      <c r="AS895" s="51"/>
      <c r="AT895" s="69"/>
      <c r="AU895" s="56"/>
      <c r="AV895" s="52"/>
      <c r="AW895" s="51"/>
      <c r="BR895" s="34" t="str">
        <f>IF(E895="","",CONCATENATE(E895," ",F895," noches"))</f>
        <v/>
      </c>
      <c r="BS895" s="28" t="str">
        <f t="shared" ca="1" si="209"/>
        <v/>
      </c>
      <c r="BT895" s="28" t="str">
        <f t="shared" ca="1" si="210"/>
        <v/>
      </c>
    </row>
    <row r="896" spans="1:72" x14ac:dyDescent="0.2">
      <c r="A896" s="18" t="str" cm="1">
        <f t="array" aca="1" ref="A896" ca="1">IF(B896="","","Grupo N˚"&amp;SUMPRODUCT(($B$4:B896&lt;&gt;"")*($B$4:B896&lt;&gt;OFFSET($B$4,-1,0,ROWS($B$4:B896),1))))</f>
        <v/>
      </c>
      <c r="B896" s="31"/>
      <c r="C896" s="31"/>
      <c r="D896" s="31"/>
      <c r="E896" s="31"/>
      <c r="F896" s="32"/>
      <c r="G896" s="33"/>
      <c r="H896" s="33"/>
      <c r="I896" s="20" t="str">
        <f t="shared" si="199"/>
        <v/>
      </c>
      <c r="J896" s="21" t="str">
        <f>IFERROR(VLOOKUP(BR896,Pricing!$D$3:$E$58,2,FALSE),"")</f>
        <v/>
      </c>
      <c r="K896" s="32"/>
      <c r="L896" s="32"/>
      <c r="M896" s="32"/>
      <c r="N896" s="36" t="str" cm="1">
        <f t="array" ref="N896">IFERROR(_xlfn.IFS((AND(K896="SI",M896="$")),J896*0.2,AND(K896="SI",M896="%"),20),"")</f>
        <v/>
      </c>
      <c r="O896" s="29" t="str">
        <f t="shared" si="200"/>
        <v/>
      </c>
      <c r="P896" s="21" t="str">
        <f t="shared" si="201"/>
        <v/>
      </c>
      <c r="Q896" s="21" t="str">
        <f t="shared" si="202"/>
        <v/>
      </c>
      <c r="R896" s="21" t="str">
        <f t="shared" si="203"/>
        <v/>
      </c>
      <c r="S896" s="39"/>
      <c r="T896" s="43" t="str">
        <f t="shared" si="211"/>
        <v/>
      </c>
      <c r="U896" s="49" t="str">
        <f t="shared" si="212"/>
        <v/>
      </c>
      <c r="V896" s="48" t="str">
        <f t="shared" si="213"/>
        <v/>
      </c>
      <c r="W896" s="48" t="str">
        <f t="shared" si="204"/>
        <v/>
      </c>
      <c r="X896" s="50" t="str">
        <f>IF(W896="","",SUMIF($B$4:$B$1002,B896,$W$4:$W$1000))</f>
        <v/>
      </c>
      <c r="Y896" s="43" t="str">
        <f t="shared" si="205"/>
        <v/>
      </c>
      <c r="Z896" s="49" t="str">
        <f t="shared" si="206"/>
        <v/>
      </c>
      <c r="AA896" s="48" t="str">
        <f t="shared" si="207"/>
        <v/>
      </c>
      <c r="AB896" s="49" t="str">
        <f t="shared" si="208"/>
        <v/>
      </c>
      <c r="AC896" s="50" t="str">
        <f>IF(AB896="","",SUMIF($B$4:$B$1002,B896,$AB$4:$AB$1000))</f>
        <v/>
      </c>
      <c r="AD896" s="69"/>
      <c r="AE896" s="56"/>
      <c r="AF896" s="52"/>
      <c r="AG896" s="51"/>
      <c r="AH896" s="70"/>
      <c r="AI896" s="58"/>
      <c r="AJ896" s="55"/>
      <c r="AK896" s="51"/>
      <c r="AL896" s="69"/>
      <c r="AM896" s="56"/>
      <c r="AN896" s="52"/>
      <c r="AO896" s="51"/>
      <c r="AP896" s="70"/>
      <c r="AQ896" s="58"/>
      <c r="AR896" s="55"/>
      <c r="AS896" s="51"/>
      <c r="AT896" s="69"/>
      <c r="AU896" s="56"/>
      <c r="AV896" s="52"/>
      <c r="AW896" s="51"/>
      <c r="BR896" s="34" t="str">
        <f>IF(E896="","",CONCATENATE(E896," ",F896," noches"))</f>
        <v/>
      </c>
      <c r="BS896" s="28" t="str">
        <f t="shared" ca="1" si="209"/>
        <v/>
      </c>
      <c r="BT896" s="28" t="str">
        <f t="shared" ca="1" si="210"/>
        <v/>
      </c>
    </row>
    <row r="897" spans="1:72" x14ac:dyDescent="0.2">
      <c r="A897" s="18" t="str" cm="1">
        <f t="array" aca="1" ref="A897" ca="1">IF(B897="","","Grupo N˚"&amp;SUMPRODUCT(($B$4:B897&lt;&gt;"")*($B$4:B897&lt;&gt;OFFSET($B$4,-1,0,ROWS($B$4:B897),1))))</f>
        <v/>
      </c>
      <c r="B897" s="31"/>
      <c r="C897" s="31"/>
      <c r="D897" s="31"/>
      <c r="E897" s="31"/>
      <c r="F897" s="32"/>
      <c r="G897" s="33"/>
      <c r="H897" s="33"/>
      <c r="I897" s="20" t="str">
        <f t="shared" si="199"/>
        <v/>
      </c>
      <c r="J897" s="21" t="str">
        <f>IFERROR(VLOOKUP(BR897,Pricing!$D$3:$E$58,2,FALSE),"")</f>
        <v/>
      </c>
      <c r="K897" s="32"/>
      <c r="L897" s="32"/>
      <c r="M897" s="32"/>
      <c r="N897" s="36" t="str" cm="1">
        <f t="array" ref="N897">IFERROR(_xlfn.IFS((AND(K897="SI",M897="$")),J897*0.2,AND(K897="SI",M897="%"),20),"")</f>
        <v/>
      </c>
      <c r="O897" s="29" t="str">
        <f t="shared" si="200"/>
        <v/>
      </c>
      <c r="P897" s="21" t="str">
        <f t="shared" si="201"/>
        <v/>
      </c>
      <c r="Q897" s="21" t="str">
        <f t="shared" si="202"/>
        <v/>
      </c>
      <c r="R897" s="21" t="str">
        <f t="shared" si="203"/>
        <v/>
      </c>
      <c r="S897" s="39"/>
      <c r="T897" s="43" t="str">
        <f t="shared" si="211"/>
        <v/>
      </c>
      <c r="U897" s="49" t="str">
        <f t="shared" si="212"/>
        <v/>
      </c>
      <c r="V897" s="48" t="str">
        <f t="shared" si="213"/>
        <v/>
      </c>
      <c r="W897" s="48" t="str">
        <f t="shared" si="204"/>
        <v/>
      </c>
      <c r="X897" s="50" t="str">
        <f>IF(W897="","",SUMIF($B$4:$B$1002,B897,$W$4:$W$1000))</f>
        <v/>
      </c>
      <c r="Y897" s="43" t="str">
        <f t="shared" si="205"/>
        <v/>
      </c>
      <c r="Z897" s="49" t="str">
        <f t="shared" si="206"/>
        <v/>
      </c>
      <c r="AA897" s="48" t="str">
        <f t="shared" si="207"/>
        <v/>
      </c>
      <c r="AB897" s="49" t="str">
        <f t="shared" si="208"/>
        <v/>
      </c>
      <c r="AC897" s="50" t="str">
        <f>IF(AB897="","",SUMIF($B$4:$B$1002,B897,$AB$4:$AB$1000))</f>
        <v/>
      </c>
      <c r="AD897" s="69"/>
      <c r="AE897" s="56"/>
      <c r="AF897" s="52"/>
      <c r="AG897" s="51"/>
      <c r="AH897" s="70"/>
      <c r="AI897" s="58"/>
      <c r="AJ897" s="55"/>
      <c r="AK897" s="51"/>
      <c r="AL897" s="69"/>
      <c r="AM897" s="56"/>
      <c r="AN897" s="52"/>
      <c r="AO897" s="51"/>
      <c r="AP897" s="70"/>
      <c r="AQ897" s="58"/>
      <c r="AR897" s="55"/>
      <c r="AS897" s="51"/>
      <c r="AT897" s="69"/>
      <c r="AU897" s="56"/>
      <c r="AV897" s="52"/>
      <c r="AW897" s="51"/>
      <c r="BR897" s="34" t="str">
        <f>IF(E897="","",CONCATENATE(E897," ",F897," noches"))</f>
        <v/>
      </c>
      <c r="BS897" s="28" t="str">
        <f t="shared" ca="1" si="209"/>
        <v/>
      </c>
      <c r="BT897" s="28" t="str">
        <f t="shared" ca="1" si="210"/>
        <v/>
      </c>
    </row>
    <row r="898" spans="1:72" x14ac:dyDescent="0.2">
      <c r="A898" s="18" t="str" cm="1">
        <f t="array" aca="1" ref="A898" ca="1">IF(B898="","","Grupo N˚"&amp;SUMPRODUCT(($B$4:B898&lt;&gt;"")*($B$4:B898&lt;&gt;OFFSET($B$4,-1,0,ROWS($B$4:B898),1))))</f>
        <v/>
      </c>
      <c r="B898" s="31"/>
      <c r="C898" s="31"/>
      <c r="D898" s="31"/>
      <c r="E898" s="31"/>
      <c r="F898" s="32"/>
      <c r="G898" s="33"/>
      <c r="H898" s="33"/>
      <c r="I898" s="20" t="str">
        <f t="shared" si="199"/>
        <v/>
      </c>
      <c r="J898" s="21" t="str">
        <f>IFERROR(VLOOKUP(BR898,Pricing!$D$3:$E$58,2,FALSE),"")</f>
        <v/>
      </c>
      <c r="K898" s="32"/>
      <c r="L898" s="32"/>
      <c r="M898" s="32"/>
      <c r="N898" s="36" t="str" cm="1">
        <f t="array" ref="N898">IFERROR(_xlfn.IFS((AND(K898="SI",M898="$")),J898*0.2,AND(K898="SI",M898="%"),20),"")</f>
        <v/>
      </c>
      <c r="O898" s="29" t="str">
        <f t="shared" si="200"/>
        <v/>
      </c>
      <c r="P898" s="21" t="str">
        <f t="shared" si="201"/>
        <v/>
      </c>
      <c r="Q898" s="21" t="str">
        <f t="shared" si="202"/>
        <v/>
      </c>
      <c r="R898" s="21" t="str">
        <f t="shared" si="203"/>
        <v/>
      </c>
      <c r="S898" s="39"/>
      <c r="T898" s="43" t="str">
        <f t="shared" si="211"/>
        <v/>
      </c>
      <c r="U898" s="49" t="str">
        <f t="shared" si="212"/>
        <v/>
      </c>
      <c r="V898" s="48" t="str">
        <f t="shared" si="213"/>
        <v/>
      </c>
      <c r="W898" s="48" t="str">
        <f t="shared" si="204"/>
        <v/>
      </c>
      <c r="X898" s="50" t="str">
        <f>IF(W898="","",SUMIF($B$4:$B$1002,B898,$W$4:$W$1000))</f>
        <v/>
      </c>
      <c r="Y898" s="43" t="str">
        <f t="shared" si="205"/>
        <v/>
      </c>
      <c r="Z898" s="49" t="str">
        <f t="shared" si="206"/>
        <v/>
      </c>
      <c r="AA898" s="48" t="str">
        <f t="shared" si="207"/>
        <v/>
      </c>
      <c r="AB898" s="49" t="str">
        <f t="shared" si="208"/>
        <v/>
      </c>
      <c r="AC898" s="50" t="str">
        <f>IF(AB898="","",SUMIF($B$4:$B$1002,B898,$AB$4:$AB$1000))</f>
        <v/>
      </c>
      <c r="AD898" s="69"/>
      <c r="AE898" s="56"/>
      <c r="AF898" s="52"/>
      <c r="AG898" s="51"/>
      <c r="AH898" s="70"/>
      <c r="AI898" s="58"/>
      <c r="AJ898" s="55"/>
      <c r="AK898" s="51"/>
      <c r="AL898" s="69"/>
      <c r="AM898" s="56"/>
      <c r="AN898" s="52"/>
      <c r="AO898" s="51"/>
      <c r="AP898" s="70"/>
      <c r="AQ898" s="58"/>
      <c r="AR898" s="55"/>
      <c r="AS898" s="51"/>
      <c r="AT898" s="69"/>
      <c r="AU898" s="56"/>
      <c r="AV898" s="52"/>
      <c r="AW898" s="51"/>
      <c r="BR898" s="34" t="str">
        <f>IF(E898="","",CONCATENATE(E898," ",F898," noches"))</f>
        <v/>
      </c>
      <c r="BS898" s="28" t="str">
        <f t="shared" ca="1" si="209"/>
        <v/>
      </c>
      <c r="BT898" s="28" t="str">
        <f t="shared" ca="1" si="210"/>
        <v/>
      </c>
    </row>
    <row r="899" spans="1:72" x14ac:dyDescent="0.2">
      <c r="A899" s="18" t="str" cm="1">
        <f t="array" aca="1" ref="A899" ca="1">IF(B899="","","Grupo N˚"&amp;SUMPRODUCT(($B$4:B899&lt;&gt;"")*($B$4:B899&lt;&gt;OFFSET($B$4,-1,0,ROWS($B$4:B899),1))))</f>
        <v/>
      </c>
      <c r="B899" s="31"/>
      <c r="C899" s="31"/>
      <c r="D899" s="31"/>
      <c r="E899" s="31"/>
      <c r="F899" s="32"/>
      <c r="G899" s="33"/>
      <c r="H899" s="33"/>
      <c r="I899" s="20" t="str">
        <f t="shared" si="199"/>
        <v/>
      </c>
      <c r="J899" s="21" t="str">
        <f>IFERROR(VLOOKUP(BR899,Pricing!$D$3:$E$58,2,FALSE),"")</f>
        <v/>
      </c>
      <c r="K899" s="32"/>
      <c r="L899" s="32"/>
      <c r="M899" s="32"/>
      <c r="N899" s="36" t="str" cm="1">
        <f t="array" ref="N899">IFERROR(_xlfn.IFS((AND(K899="SI",M899="$")),J899*0.2,AND(K899="SI",M899="%"),20),"")</f>
        <v/>
      </c>
      <c r="O899" s="29" t="str">
        <f t="shared" si="200"/>
        <v/>
      </c>
      <c r="P899" s="21" t="str">
        <f t="shared" si="201"/>
        <v/>
      </c>
      <c r="Q899" s="21" t="str">
        <f t="shared" si="202"/>
        <v/>
      </c>
      <c r="R899" s="21" t="str">
        <f t="shared" si="203"/>
        <v/>
      </c>
      <c r="S899" s="39"/>
      <c r="T899" s="43" t="str">
        <f t="shared" si="211"/>
        <v/>
      </c>
      <c r="U899" s="49" t="str">
        <f t="shared" si="212"/>
        <v/>
      </c>
      <c r="V899" s="48" t="str">
        <f t="shared" si="213"/>
        <v/>
      </c>
      <c r="W899" s="48" t="str">
        <f t="shared" si="204"/>
        <v/>
      </c>
      <c r="X899" s="50" t="str">
        <f>IF(W899="","",SUMIF($B$4:$B$1002,B899,$W$4:$W$1000))</f>
        <v/>
      </c>
      <c r="Y899" s="43" t="str">
        <f t="shared" si="205"/>
        <v/>
      </c>
      <c r="Z899" s="49" t="str">
        <f t="shared" si="206"/>
        <v/>
      </c>
      <c r="AA899" s="48" t="str">
        <f t="shared" si="207"/>
        <v/>
      </c>
      <c r="AB899" s="49" t="str">
        <f t="shared" si="208"/>
        <v/>
      </c>
      <c r="AC899" s="50" t="str">
        <f>IF(AB899="","",SUMIF($B$4:$B$1002,B899,$AB$4:$AB$1000))</f>
        <v/>
      </c>
      <c r="AD899" s="69"/>
      <c r="AE899" s="56"/>
      <c r="AF899" s="52"/>
      <c r="AG899" s="51"/>
      <c r="AH899" s="70"/>
      <c r="AI899" s="58"/>
      <c r="AJ899" s="55"/>
      <c r="AK899" s="51"/>
      <c r="AL899" s="69"/>
      <c r="AM899" s="56"/>
      <c r="AN899" s="52"/>
      <c r="AO899" s="51"/>
      <c r="AP899" s="70"/>
      <c r="AQ899" s="58"/>
      <c r="AR899" s="55"/>
      <c r="AS899" s="51"/>
      <c r="AT899" s="69"/>
      <c r="AU899" s="56"/>
      <c r="AV899" s="52"/>
      <c r="AW899" s="51"/>
      <c r="BR899" s="34" t="str">
        <f>IF(E899="","",CONCATENATE(E899," ",F899," noches"))</f>
        <v/>
      </c>
      <c r="BS899" s="28" t="str">
        <f t="shared" ca="1" si="209"/>
        <v/>
      </c>
      <c r="BT899" s="28" t="str">
        <f t="shared" ca="1" si="210"/>
        <v/>
      </c>
    </row>
    <row r="900" spans="1:72" x14ac:dyDescent="0.2">
      <c r="A900" s="18" t="str" cm="1">
        <f t="array" aca="1" ref="A900" ca="1">IF(B900="","","Grupo N˚"&amp;SUMPRODUCT(($B$4:B900&lt;&gt;"")*($B$4:B900&lt;&gt;OFFSET($B$4,-1,0,ROWS($B$4:B900),1))))</f>
        <v/>
      </c>
      <c r="B900" s="31"/>
      <c r="C900" s="31"/>
      <c r="D900" s="31"/>
      <c r="E900" s="31"/>
      <c r="F900" s="32"/>
      <c r="G900" s="33"/>
      <c r="H900" s="33"/>
      <c r="I900" s="20" t="str">
        <f t="shared" si="199"/>
        <v/>
      </c>
      <c r="J900" s="21" t="str">
        <f>IFERROR(VLOOKUP(BR900,Pricing!$D$3:$E$58,2,FALSE),"")</f>
        <v/>
      </c>
      <c r="K900" s="32"/>
      <c r="L900" s="32"/>
      <c r="M900" s="32"/>
      <c r="N900" s="36" t="str" cm="1">
        <f t="array" ref="N900">IFERROR(_xlfn.IFS((AND(K900="SI",M900="$")),J900*0.2,AND(K900="SI",M900="%"),20),"")</f>
        <v/>
      </c>
      <c r="O900" s="29" t="str">
        <f t="shared" si="200"/>
        <v/>
      </c>
      <c r="P900" s="21" t="str">
        <f t="shared" si="201"/>
        <v/>
      </c>
      <c r="Q900" s="21" t="str">
        <f t="shared" si="202"/>
        <v/>
      </c>
      <c r="R900" s="21" t="str">
        <f t="shared" si="203"/>
        <v/>
      </c>
      <c r="S900" s="39"/>
      <c r="T900" s="43" t="str">
        <f t="shared" si="211"/>
        <v/>
      </c>
      <c r="U900" s="49" t="str">
        <f t="shared" si="212"/>
        <v/>
      </c>
      <c r="V900" s="48" t="str">
        <f t="shared" si="213"/>
        <v/>
      </c>
      <c r="W900" s="48" t="str">
        <f t="shared" si="204"/>
        <v/>
      </c>
      <c r="X900" s="50" t="str">
        <f>IF(W900="","",SUMIF($B$4:$B$1002,B900,$W$4:$W$1000))</f>
        <v/>
      </c>
      <c r="Y900" s="43" t="str">
        <f t="shared" si="205"/>
        <v/>
      </c>
      <c r="Z900" s="49" t="str">
        <f t="shared" si="206"/>
        <v/>
      </c>
      <c r="AA900" s="48" t="str">
        <f t="shared" si="207"/>
        <v/>
      </c>
      <c r="AB900" s="49" t="str">
        <f t="shared" si="208"/>
        <v/>
      </c>
      <c r="AC900" s="50" t="str">
        <f>IF(AB900="","",SUMIF($B$4:$B$1002,B900,$AB$4:$AB$1000))</f>
        <v/>
      </c>
      <c r="AD900" s="69"/>
      <c r="AE900" s="56"/>
      <c r="AF900" s="52"/>
      <c r="AG900" s="51"/>
      <c r="AH900" s="70"/>
      <c r="AI900" s="58"/>
      <c r="AJ900" s="55"/>
      <c r="AK900" s="51"/>
      <c r="AL900" s="69"/>
      <c r="AM900" s="56"/>
      <c r="AN900" s="52"/>
      <c r="AO900" s="51"/>
      <c r="AP900" s="70"/>
      <c r="AQ900" s="58"/>
      <c r="AR900" s="55"/>
      <c r="AS900" s="51"/>
      <c r="AT900" s="69"/>
      <c r="AU900" s="56"/>
      <c r="AV900" s="52"/>
      <c r="AW900" s="51"/>
      <c r="BR900" s="34" t="str">
        <f>IF(E900="","",CONCATENATE(E900," ",F900," noches"))</f>
        <v/>
      </c>
      <c r="BS900" s="28" t="str">
        <f t="shared" ca="1" si="209"/>
        <v/>
      </c>
      <c r="BT900" s="28" t="str">
        <f t="shared" ca="1" si="210"/>
        <v/>
      </c>
    </row>
    <row r="901" spans="1:72" x14ac:dyDescent="0.2">
      <c r="A901" s="18" t="str" cm="1">
        <f t="array" aca="1" ref="A901" ca="1">IF(B901="","","Grupo N˚"&amp;SUMPRODUCT(($B$4:B901&lt;&gt;"")*($B$4:B901&lt;&gt;OFFSET($B$4,-1,0,ROWS($B$4:B901),1))))</f>
        <v/>
      </c>
      <c r="B901" s="31"/>
      <c r="C901" s="31"/>
      <c r="D901" s="31"/>
      <c r="E901" s="31"/>
      <c r="F901" s="32"/>
      <c r="G901" s="33"/>
      <c r="H901" s="33"/>
      <c r="I901" s="20" t="str">
        <f t="shared" ref="I901:I964" si="214">+IF(H901="","",G901+H901)</f>
        <v/>
      </c>
      <c r="J901" s="21" t="str">
        <f>IFERROR(VLOOKUP(BR901,Pricing!$D$3:$E$58,2,FALSE),"")</f>
        <v/>
      </c>
      <c r="K901" s="32"/>
      <c r="L901" s="32"/>
      <c r="M901" s="32"/>
      <c r="N901" s="36" t="str" cm="1">
        <f t="array" ref="N901">IFERROR(_xlfn.IFS((AND(K901="SI",M901="$")),J901*0.2,AND(K901="SI",M901="%"),20),"")</f>
        <v/>
      </c>
      <c r="O901" s="29" t="str">
        <f t="shared" ref="O901:O964" si="215">IFERROR(IF($M901="%",
             IF(N(N901)&gt;1, N(N901)/100, N(N901)),
             IF(AND($J901&gt;0,$M901="$"), N(N901)/$J901, "")
            ),"")</f>
        <v/>
      </c>
      <c r="P901" s="21" t="str">
        <f t="shared" ref="P901:P964" si="216">IFERROR(IF(M901="$", N(N901), IF(M901="%", J901*N(N901/100), "")), "")</f>
        <v/>
      </c>
      <c r="Q901" s="21" t="str">
        <f t="shared" ref="Q901:Q964" si="217">IF(J901="","",J901*(1-N(O901)))</f>
        <v/>
      </c>
      <c r="R901" s="21" t="str">
        <f t="shared" ref="R901:R964" si="218">IF(Q901="","",Q901/1.19)</f>
        <v/>
      </c>
      <c r="S901" s="39"/>
      <c r="T901" s="43" t="str">
        <f t="shared" si="211"/>
        <v/>
      </c>
      <c r="U901" s="49" t="str">
        <f t="shared" si="212"/>
        <v/>
      </c>
      <c r="V901" s="48" t="str">
        <f t="shared" si="213"/>
        <v/>
      </c>
      <c r="W901" s="48" t="str">
        <f t="shared" ref="W901:W964" si="219">IFERROR(U901-N(V901),"")</f>
        <v/>
      </c>
      <c r="X901" s="50" t="str">
        <f>IF(W901="","",SUMIF($B$4:$B$1002,B901,$W$4:$W$1000))</f>
        <v/>
      </c>
      <c r="Y901" s="43" t="str">
        <f t="shared" ref="Y901:Y964" si="220">IF(AB901="","",IFERROR(
 IF(AND(ABS(N(AB901))&lt;0.5, BT901&gt;=23), "Sin deuda",
  IF(AND(N(AB901)&gt;0, BT901&gt;=23), "Con deuda",
   IF(AND(N(AB901)&gt;0, BT901&lt;23), "Moroso", "")
  )
),""))</f>
        <v/>
      </c>
      <c r="Z901" s="49" t="str">
        <f t="shared" ref="Z901:Z964" si="221">IF(R901="","",R901/2)</f>
        <v/>
      </c>
      <c r="AA901" s="48" t="str">
        <f t="shared" ref="AA901:AA964" si="222">IF(AD901="","",SUM(
 IF(ISNUMBER(SEARCH("saldo",AD901)),AF901,0),
 IF(ISNUMBER(SEARCH("saldo",AH901)),AJ901,0),
 IF(ISNUMBER(SEARCH("saldo",AL901)),AN901,0),
 IF(ISNUMBER(SEARCH("saldo",AP901)),AR901,0),
 IF(ISNUMBER(SEARCH("saldo",AT901)),AV901,0)
))</f>
        <v/>
      </c>
      <c r="AB901" s="49" t="str">
        <f t="shared" ref="AB901:AB964" si="223">IFERROR(Z901-N(AA901),"")</f>
        <v/>
      </c>
      <c r="AC901" s="50" t="str">
        <f>IF(AB901="","",SUMIF($B$4:$B$1002,B901,$AB$4:$AB$1000))</f>
        <v/>
      </c>
      <c r="AD901" s="69"/>
      <c r="AE901" s="56"/>
      <c r="AF901" s="52"/>
      <c r="AG901" s="51"/>
      <c r="AH901" s="70"/>
      <c r="AI901" s="58"/>
      <c r="AJ901" s="55"/>
      <c r="AK901" s="51"/>
      <c r="AL901" s="69"/>
      <c r="AM901" s="56"/>
      <c r="AN901" s="52"/>
      <c r="AO901" s="51"/>
      <c r="AP901" s="70"/>
      <c r="AQ901" s="58"/>
      <c r="AR901" s="55"/>
      <c r="AS901" s="51"/>
      <c r="AT901" s="69"/>
      <c r="AU901" s="56"/>
      <c r="AV901" s="52"/>
      <c r="AW901" s="51"/>
      <c r="BR901" s="34" t="str">
        <f>IF(E901="","",CONCATENATE(E901," ",F901," noches"))</f>
        <v/>
      </c>
      <c r="BS901" s="28" t="str">
        <f t="shared" ref="BS901:BS964" ca="1" si="224">IF(G901="","",+TODAY()-G901)</f>
        <v/>
      </c>
      <c r="BT901" s="28" t="str">
        <f t="shared" ref="BT901:BT964" ca="1" si="225">IF(H901="","",H901-TODAY())</f>
        <v/>
      </c>
    </row>
    <row r="902" spans="1:72" x14ac:dyDescent="0.2">
      <c r="A902" s="18" t="str" cm="1">
        <f t="array" aca="1" ref="A902" ca="1">IF(B902="","","Grupo N˚"&amp;SUMPRODUCT(($B$4:B902&lt;&gt;"")*($B$4:B902&lt;&gt;OFFSET($B$4,-1,0,ROWS($B$4:B902),1))))</f>
        <v/>
      </c>
      <c r="B902" s="31"/>
      <c r="C902" s="31"/>
      <c r="D902" s="31"/>
      <c r="E902" s="31"/>
      <c r="F902" s="32"/>
      <c r="G902" s="33"/>
      <c r="H902" s="33"/>
      <c r="I902" s="20" t="str">
        <f t="shared" si="214"/>
        <v/>
      </c>
      <c r="J902" s="21" t="str">
        <f>IFERROR(VLOOKUP(BR902,Pricing!$D$3:$E$58,2,FALSE),"")</f>
        <v/>
      </c>
      <c r="K902" s="32"/>
      <c r="L902" s="32"/>
      <c r="M902" s="32"/>
      <c r="N902" s="36" t="str" cm="1">
        <f t="array" ref="N902">IFERROR(_xlfn.IFS((AND(K902="SI",M902="$")),J902*0.2,AND(K902="SI",M902="%"),20),"")</f>
        <v/>
      </c>
      <c r="O902" s="29" t="str">
        <f t="shared" si="215"/>
        <v/>
      </c>
      <c r="P902" s="21" t="str">
        <f t="shared" si="216"/>
        <v/>
      </c>
      <c r="Q902" s="21" t="str">
        <f t="shared" si="217"/>
        <v/>
      </c>
      <c r="R902" s="21" t="str">
        <f t="shared" si="218"/>
        <v/>
      </c>
      <c r="S902" s="39"/>
      <c r="T902" s="43" t="str">
        <f t="shared" si="211"/>
        <v/>
      </c>
      <c r="U902" s="49" t="str">
        <f t="shared" si="212"/>
        <v/>
      </c>
      <c r="V902" s="48" t="str">
        <f t="shared" si="213"/>
        <v/>
      </c>
      <c r="W902" s="48" t="str">
        <f t="shared" si="219"/>
        <v/>
      </c>
      <c r="X902" s="50" t="str">
        <f>IF(W902="","",SUMIF($B$4:$B$1002,B902,$W$4:$W$1000))</f>
        <v/>
      </c>
      <c r="Y902" s="43" t="str">
        <f t="shared" si="220"/>
        <v/>
      </c>
      <c r="Z902" s="49" t="str">
        <f t="shared" si="221"/>
        <v/>
      </c>
      <c r="AA902" s="48" t="str">
        <f t="shared" si="222"/>
        <v/>
      </c>
      <c r="AB902" s="49" t="str">
        <f t="shared" si="223"/>
        <v/>
      </c>
      <c r="AC902" s="50" t="str">
        <f>IF(AB902="","",SUMIF($B$4:$B$1002,B902,$AB$4:$AB$1000))</f>
        <v/>
      </c>
      <c r="AD902" s="69"/>
      <c r="AE902" s="56"/>
      <c r="AF902" s="52"/>
      <c r="AG902" s="51"/>
      <c r="AH902" s="70"/>
      <c r="AI902" s="58"/>
      <c r="AJ902" s="55"/>
      <c r="AK902" s="51"/>
      <c r="AL902" s="69"/>
      <c r="AM902" s="56"/>
      <c r="AN902" s="52"/>
      <c r="AO902" s="51"/>
      <c r="AP902" s="70"/>
      <c r="AQ902" s="58"/>
      <c r="AR902" s="55"/>
      <c r="AS902" s="51"/>
      <c r="AT902" s="69"/>
      <c r="AU902" s="56"/>
      <c r="AV902" s="52"/>
      <c r="AW902" s="51"/>
      <c r="BR902" s="34" t="str">
        <f>IF(E902="","",CONCATENATE(E902," ",F902," noches"))</f>
        <v/>
      </c>
      <c r="BS902" s="28" t="str">
        <f t="shared" ca="1" si="224"/>
        <v/>
      </c>
      <c r="BT902" s="28" t="str">
        <f t="shared" ca="1" si="225"/>
        <v/>
      </c>
    </row>
    <row r="903" spans="1:72" x14ac:dyDescent="0.2">
      <c r="A903" s="18" t="str" cm="1">
        <f t="array" aca="1" ref="A903" ca="1">IF(B903="","","Grupo N˚"&amp;SUMPRODUCT(($B$4:B903&lt;&gt;"")*($B$4:B903&lt;&gt;OFFSET($B$4,-1,0,ROWS($B$4:B903),1))))</f>
        <v/>
      </c>
      <c r="B903" s="31"/>
      <c r="C903" s="31"/>
      <c r="D903" s="31"/>
      <c r="E903" s="31"/>
      <c r="F903" s="32"/>
      <c r="G903" s="33"/>
      <c r="H903" s="33"/>
      <c r="I903" s="20" t="str">
        <f t="shared" si="214"/>
        <v/>
      </c>
      <c r="J903" s="21" t="str">
        <f>IFERROR(VLOOKUP(BR903,Pricing!$D$3:$E$58,2,FALSE),"")</f>
        <v/>
      </c>
      <c r="K903" s="32"/>
      <c r="L903" s="32"/>
      <c r="M903" s="32"/>
      <c r="N903" s="36" t="str" cm="1">
        <f t="array" ref="N903">IFERROR(_xlfn.IFS((AND(K903="SI",M903="$")),J903*0.2,AND(K903="SI",M903="%"),20),"")</f>
        <v/>
      </c>
      <c r="O903" s="29" t="str">
        <f t="shared" si="215"/>
        <v/>
      </c>
      <c r="P903" s="21" t="str">
        <f t="shared" si="216"/>
        <v/>
      </c>
      <c r="Q903" s="21" t="str">
        <f t="shared" si="217"/>
        <v/>
      </c>
      <c r="R903" s="21" t="str">
        <f t="shared" si="218"/>
        <v/>
      </c>
      <c r="S903" s="39"/>
      <c r="T903" s="43" t="str">
        <f t="shared" si="211"/>
        <v/>
      </c>
      <c r="U903" s="49" t="str">
        <f t="shared" si="212"/>
        <v/>
      </c>
      <c r="V903" s="48" t="str">
        <f t="shared" si="213"/>
        <v/>
      </c>
      <c r="W903" s="48" t="str">
        <f t="shared" si="219"/>
        <v/>
      </c>
      <c r="X903" s="50" t="str">
        <f>IF(W903="","",SUMIF($B$4:$B$1002,B903,$W$4:$W$1000))</f>
        <v/>
      </c>
      <c r="Y903" s="43" t="str">
        <f t="shared" si="220"/>
        <v/>
      </c>
      <c r="Z903" s="49" t="str">
        <f t="shared" si="221"/>
        <v/>
      </c>
      <c r="AA903" s="48" t="str">
        <f t="shared" si="222"/>
        <v/>
      </c>
      <c r="AB903" s="49" t="str">
        <f t="shared" si="223"/>
        <v/>
      </c>
      <c r="AC903" s="50" t="str">
        <f>IF(AB903="","",SUMIF($B$4:$B$1002,B903,$AB$4:$AB$1000))</f>
        <v/>
      </c>
      <c r="AD903" s="69"/>
      <c r="AE903" s="56"/>
      <c r="AF903" s="52"/>
      <c r="AG903" s="51"/>
      <c r="AH903" s="70"/>
      <c r="AI903" s="58"/>
      <c r="AJ903" s="55"/>
      <c r="AK903" s="51"/>
      <c r="AL903" s="69"/>
      <c r="AM903" s="56"/>
      <c r="AN903" s="52"/>
      <c r="AO903" s="51"/>
      <c r="AP903" s="70"/>
      <c r="AQ903" s="58"/>
      <c r="AR903" s="55"/>
      <c r="AS903" s="51"/>
      <c r="AT903" s="69"/>
      <c r="AU903" s="56"/>
      <c r="AV903" s="52"/>
      <c r="AW903" s="51"/>
      <c r="BR903" s="34" t="str">
        <f>IF(E903="","",CONCATENATE(E903," ",F903," noches"))</f>
        <v/>
      </c>
      <c r="BS903" s="28" t="str">
        <f t="shared" ca="1" si="224"/>
        <v/>
      </c>
      <c r="BT903" s="28" t="str">
        <f t="shared" ca="1" si="225"/>
        <v/>
      </c>
    </row>
    <row r="904" spans="1:72" x14ac:dyDescent="0.2">
      <c r="A904" s="18" t="str" cm="1">
        <f t="array" aca="1" ref="A904" ca="1">IF(B904="","","Grupo N˚"&amp;SUMPRODUCT(($B$4:B904&lt;&gt;"")*($B$4:B904&lt;&gt;OFFSET($B$4,-1,0,ROWS($B$4:B904),1))))</f>
        <v/>
      </c>
      <c r="B904" s="31"/>
      <c r="C904" s="31"/>
      <c r="D904" s="31"/>
      <c r="E904" s="31"/>
      <c r="F904" s="32"/>
      <c r="G904" s="33"/>
      <c r="H904" s="33"/>
      <c r="I904" s="20" t="str">
        <f t="shared" si="214"/>
        <v/>
      </c>
      <c r="J904" s="21" t="str">
        <f>IFERROR(VLOOKUP(BR904,Pricing!$D$3:$E$58,2,FALSE),"")</f>
        <v/>
      </c>
      <c r="K904" s="32"/>
      <c r="L904" s="32"/>
      <c r="M904" s="32"/>
      <c r="N904" s="36" t="str" cm="1">
        <f t="array" ref="N904">IFERROR(_xlfn.IFS((AND(K904="SI",M904="$")),J904*0.2,AND(K904="SI",M904="%"),20),"")</f>
        <v/>
      </c>
      <c r="O904" s="29" t="str">
        <f t="shared" si="215"/>
        <v/>
      </c>
      <c r="P904" s="21" t="str">
        <f t="shared" si="216"/>
        <v/>
      </c>
      <c r="Q904" s="21" t="str">
        <f t="shared" si="217"/>
        <v/>
      </c>
      <c r="R904" s="21" t="str">
        <f t="shared" si="218"/>
        <v/>
      </c>
      <c r="S904" s="39"/>
      <c r="T904" s="43" t="str">
        <f t="shared" si="211"/>
        <v/>
      </c>
      <c r="U904" s="49" t="str">
        <f t="shared" si="212"/>
        <v/>
      </c>
      <c r="V904" s="48" t="str">
        <f t="shared" si="213"/>
        <v/>
      </c>
      <c r="W904" s="48" t="str">
        <f t="shared" si="219"/>
        <v/>
      </c>
      <c r="X904" s="50" t="str">
        <f>IF(W904="","",SUMIF($B$4:$B$1002,B904,$W$4:$W$1000))</f>
        <v/>
      </c>
      <c r="Y904" s="43" t="str">
        <f t="shared" si="220"/>
        <v/>
      </c>
      <c r="Z904" s="49" t="str">
        <f t="shared" si="221"/>
        <v/>
      </c>
      <c r="AA904" s="48" t="str">
        <f t="shared" si="222"/>
        <v/>
      </c>
      <c r="AB904" s="49" t="str">
        <f t="shared" si="223"/>
        <v/>
      </c>
      <c r="AC904" s="50" t="str">
        <f>IF(AB904="","",SUMIF($B$4:$B$1002,B904,$AB$4:$AB$1000))</f>
        <v/>
      </c>
      <c r="AD904" s="69"/>
      <c r="AE904" s="56"/>
      <c r="AF904" s="52"/>
      <c r="AG904" s="51"/>
      <c r="AH904" s="70"/>
      <c r="AI904" s="58"/>
      <c r="AJ904" s="55"/>
      <c r="AK904" s="51"/>
      <c r="AL904" s="69"/>
      <c r="AM904" s="56"/>
      <c r="AN904" s="52"/>
      <c r="AO904" s="51"/>
      <c r="AP904" s="70"/>
      <c r="AQ904" s="58"/>
      <c r="AR904" s="55"/>
      <c r="AS904" s="51"/>
      <c r="AT904" s="69"/>
      <c r="AU904" s="56"/>
      <c r="AV904" s="52"/>
      <c r="AW904" s="51"/>
      <c r="BR904" s="34" t="str">
        <f>IF(E904="","",CONCATENATE(E904," ",F904," noches"))</f>
        <v/>
      </c>
      <c r="BS904" s="28" t="str">
        <f t="shared" ca="1" si="224"/>
        <v/>
      </c>
      <c r="BT904" s="28" t="str">
        <f t="shared" ca="1" si="225"/>
        <v/>
      </c>
    </row>
    <row r="905" spans="1:72" x14ac:dyDescent="0.2">
      <c r="A905" s="18" t="str" cm="1">
        <f t="array" aca="1" ref="A905" ca="1">IF(B905="","","Grupo N˚"&amp;SUMPRODUCT(($B$4:B905&lt;&gt;"")*($B$4:B905&lt;&gt;OFFSET($B$4,-1,0,ROWS($B$4:B905),1))))</f>
        <v/>
      </c>
      <c r="B905" s="31"/>
      <c r="C905" s="31"/>
      <c r="D905" s="31"/>
      <c r="E905" s="31"/>
      <c r="F905" s="32"/>
      <c r="G905" s="33"/>
      <c r="H905" s="33"/>
      <c r="I905" s="20" t="str">
        <f t="shared" si="214"/>
        <v/>
      </c>
      <c r="J905" s="21" t="str">
        <f>IFERROR(VLOOKUP(BR905,Pricing!$D$3:$E$58,2,FALSE),"")</f>
        <v/>
      </c>
      <c r="K905" s="32"/>
      <c r="L905" s="32"/>
      <c r="M905" s="32"/>
      <c r="N905" s="36" t="str" cm="1">
        <f t="array" ref="N905">IFERROR(_xlfn.IFS((AND(K905="SI",M905="$")),J905*0.2,AND(K905="SI",M905="%"),20),"")</f>
        <v/>
      </c>
      <c r="O905" s="29" t="str">
        <f t="shared" si="215"/>
        <v/>
      </c>
      <c r="P905" s="21" t="str">
        <f t="shared" si="216"/>
        <v/>
      </c>
      <c r="Q905" s="21" t="str">
        <f t="shared" si="217"/>
        <v/>
      </c>
      <c r="R905" s="21" t="str">
        <f t="shared" si="218"/>
        <v/>
      </c>
      <c r="S905" s="39"/>
      <c r="T905" s="43" t="str">
        <f t="shared" ref="T905:T968" si="226">IF(W905="","",IFERROR(
 IF(AND(ABS(N(W905))&lt;0.5, BS905&lt;=7), "Sin deuda",
  IF(AND(N(W905)&gt;0, BS905&lt;=7), "Con deuda",
   IF(AND(N(W905)&gt;0, BS905&gt;7), "Moroso", "")
  )
)," "))</f>
        <v/>
      </c>
      <c r="U905" s="49" t="str">
        <f t="shared" si="212"/>
        <v/>
      </c>
      <c r="V905" s="48" t="str">
        <f t="shared" si="213"/>
        <v/>
      </c>
      <c r="W905" s="48" t="str">
        <f t="shared" si="219"/>
        <v/>
      </c>
      <c r="X905" s="50" t="str">
        <f>IF(W905="","",SUMIF($B$4:$B$1002,B905,$W$4:$W$1000))</f>
        <v/>
      </c>
      <c r="Y905" s="43" t="str">
        <f t="shared" si="220"/>
        <v/>
      </c>
      <c r="Z905" s="49" t="str">
        <f t="shared" si="221"/>
        <v/>
      </c>
      <c r="AA905" s="48" t="str">
        <f t="shared" si="222"/>
        <v/>
      </c>
      <c r="AB905" s="49" t="str">
        <f t="shared" si="223"/>
        <v/>
      </c>
      <c r="AC905" s="50" t="str">
        <f>IF(AB905="","",SUMIF($B$4:$B$1002,B905,$AB$4:$AB$1000))</f>
        <v/>
      </c>
      <c r="AD905" s="69"/>
      <c r="AE905" s="56"/>
      <c r="AF905" s="52"/>
      <c r="AG905" s="51"/>
      <c r="AH905" s="70"/>
      <c r="AI905" s="58"/>
      <c r="AJ905" s="55"/>
      <c r="AK905" s="51"/>
      <c r="AL905" s="69"/>
      <c r="AM905" s="56"/>
      <c r="AN905" s="52"/>
      <c r="AO905" s="51"/>
      <c r="AP905" s="70"/>
      <c r="AQ905" s="58"/>
      <c r="AR905" s="55"/>
      <c r="AS905" s="51"/>
      <c r="AT905" s="69"/>
      <c r="AU905" s="56"/>
      <c r="AV905" s="52"/>
      <c r="AW905" s="51"/>
      <c r="BR905" s="34" t="str">
        <f>IF(E905="","",CONCATENATE(E905," ",F905," noches"))</f>
        <v/>
      </c>
      <c r="BS905" s="28" t="str">
        <f t="shared" ca="1" si="224"/>
        <v/>
      </c>
      <c r="BT905" s="28" t="str">
        <f t="shared" ca="1" si="225"/>
        <v/>
      </c>
    </row>
    <row r="906" spans="1:72" x14ac:dyDescent="0.2">
      <c r="A906" s="18" t="str" cm="1">
        <f t="array" aca="1" ref="A906" ca="1">IF(B906="","","Grupo N˚"&amp;SUMPRODUCT(($B$4:B906&lt;&gt;"")*($B$4:B906&lt;&gt;OFFSET($B$4,-1,0,ROWS($B$4:B906),1))))</f>
        <v/>
      </c>
      <c r="B906" s="31"/>
      <c r="C906" s="31"/>
      <c r="D906" s="31"/>
      <c r="E906" s="31"/>
      <c r="F906" s="32"/>
      <c r="G906" s="33"/>
      <c r="H906" s="33"/>
      <c r="I906" s="20" t="str">
        <f t="shared" si="214"/>
        <v/>
      </c>
      <c r="J906" s="21" t="str">
        <f>IFERROR(VLOOKUP(BR906,Pricing!$D$3:$E$58,2,FALSE),"")</f>
        <v/>
      </c>
      <c r="K906" s="32"/>
      <c r="L906" s="32"/>
      <c r="M906" s="32"/>
      <c r="N906" s="36" t="str" cm="1">
        <f t="array" ref="N906">IFERROR(_xlfn.IFS((AND(K906="SI",M906="$")),J906*0.2,AND(K906="SI",M906="%"),20),"")</f>
        <v/>
      </c>
      <c r="O906" s="29" t="str">
        <f t="shared" si="215"/>
        <v/>
      </c>
      <c r="P906" s="21" t="str">
        <f t="shared" si="216"/>
        <v/>
      </c>
      <c r="Q906" s="21" t="str">
        <f t="shared" si="217"/>
        <v/>
      </c>
      <c r="R906" s="21" t="str">
        <f t="shared" si="218"/>
        <v/>
      </c>
      <c r="S906" s="39"/>
      <c r="T906" s="43" t="str">
        <f t="shared" si="226"/>
        <v/>
      </c>
      <c r="U906" s="49" t="str">
        <f t="shared" si="212"/>
        <v/>
      </c>
      <c r="V906" s="48" t="str">
        <f t="shared" si="213"/>
        <v/>
      </c>
      <c r="W906" s="48" t="str">
        <f t="shared" si="219"/>
        <v/>
      </c>
      <c r="X906" s="50" t="str">
        <f>IF(W906="","",SUMIF($B$4:$B$1002,B906,$W$4:$W$1000))</f>
        <v/>
      </c>
      <c r="Y906" s="43" t="str">
        <f t="shared" si="220"/>
        <v/>
      </c>
      <c r="Z906" s="49" t="str">
        <f t="shared" si="221"/>
        <v/>
      </c>
      <c r="AA906" s="48" t="str">
        <f t="shared" si="222"/>
        <v/>
      </c>
      <c r="AB906" s="49" t="str">
        <f t="shared" si="223"/>
        <v/>
      </c>
      <c r="AC906" s="50" t="str">
        <f>IF(AB906="","",SUMIF($B$4:$B$1002,B906,$AB$4:$AB$1000))</f>
        <v/>
      </c>
      <c r="AD906" s="69"/>
      <c r="AE906" s="56"/>
      <c r="AF906" s="52"/>
      <c r="AG906" s="51"/>
      <c r="AH906" s="70"/>
      <c r="AI906" s="58"/>
      <c r="AJ906" s="55"/>
      <c r="AK906" s="51"/>
      <c r="AL906" s="69"/>
      <c r="AM906" s="56"/>
      <c r="AN906" s="52"/>
      <c r="AO906" s="51"/>
      <c r="AP906" s="70"/>
      <c r="AQ906" s="58"/>
      <c r="AR906" s="55"/>
      <c r="AS906" s="51"/>
      <c r="AT906" s="69"/>
      <c r="AU906" s="56"/>
      <c r="AV906" s="52"/>
      <c r="AW906" s="51"/>
      <c r="BR906" s="34" t="str">
        <f>IF(E906="","",CONCATENATE(E906," ",F906," noches"))</f>
        <v/>
      </c>
      <c r="BS906" s="28" t="str">
        <f t="shared" ca="1" si="224"/>
        <v/>
      </c>
      <c r="BT906" s="28" t="str">
        <f t="shared" ca="1" si="225"/>
        <v/>
      </c>
    </row>
    <row r="907" spans="1:72" x14ac:dyDescent="0.2">
      <c r="A907" s="18" t="str" cm="1">
        <f t="array" aca="1" ref="A907" ca="1">IF(B907="","","Grupo N˚"&amp;SUMPRODUCT(($B$4:B907&lt;&gt;"")*($B$4:B907&lt;&gt;OFFSET($B$4,-1,0,ROWS($B$4:B907),1))))</f>
        <v/>
      </c>
      <c r="B907" s="31"/>
      <c r="C907" s="31"/>
      <c r="D907" s="31"/>
      <c r="E907" s="31"/>
      <c r="F907" s="32"/>
      <c r="G907" s="33"/>
      <c r="H907" s="33"/>
      <c r="I907" s="20" t="str">
        <f t="shared" si="214"/>
        <v/>
      </c>
      <c r="J907" s="21" t="str">
        <f>IFERROR(VLOOKUP(BR907,Pricing!$D$3:$E$58,2,FALSE),"")</f>
        <v/>
      </c>
      <c r="K907" s="32"/>
      <c r="L907" s="32"/>
      <c r="M907" s="32"/>
      <c r="N907" s="36" t="str" cm="1">
        <f t="array" ref="N907">IFERROR(_xlfn.IFS((AND(K907="SI",M907="$")),J907*0.2,AND(K907="SI",M907="%"),20),"")</f>
        <v/>
      </c>
      <c r="O907" s="29" t="str">
        <f t="shared" si="215"/>
        <v/>
      </c>
      <c r="P907" s="21" t="str">
        <f t="shared" si="216"/>
        <v/>
      </c>
      <c r="Q907" s="21" t="str">
        <f t="shared" si="217"/>
        <v/>
      </c>
      <c r="R907" s="21" t="str">
        <f t="shared" si="218"/>
        <v/>
      </c>
      <c r="S907" s="39"/>
      <c r="T907" s="43" t="str">
        <f t="shared" si="226"/>
        <v/>
      </c>
      <c r="U907" s="49" t="str">
        <f t="shared" si="212"/>
        <v/>
      </c>
      <c r="V907" s="48" t="str">
        <f t="shared" si="213"/>
        <v/>
      </c>
      <c r="W907" s="48" t="str">
        <f t="shared" si="219"/>
        <v/>
      </c>
      <c r="X907" s="50" t="str">
        <f>IF(W907="","",SUMIF($B$4:$B$1002,B907,$W$4:$W$1000))</f>
        <v/>
      </c>
      <c r="Y907" s="43" t="str">
        <f t="shared" si="220"/>
        <v/>
      </c>
      <c r="Z907" s="49" t="str">
        <f t="shared" si="221"/>
        <v/>
      </c>
      <c r="AA907" s="48" t="str">
        <f t="shared" si="222"/>
        <v/>
      </c>
      <c r="AB907" s="49" t="str">
        <f t="shared" si="223"/>
        <v/>
      </c>
      <c r="AC907" s="50" t="str">
        <f>IF(AB907="","",SUMIF($B$4:$B$1002,B907,$AB$4:$AB$1000))</f>
        <v/>
      </c>
      <c r="AD907" s="69"/>
      <c r="AE907" s="56"/>
      <c r="AF907" s="52"/>
      <c r="AG907" s="51"/>
      <c r="AH907" s="70"/>
      <c r="AI907" s="58"/>
      <c r="AJ907" s="55"/>
      <c r="AK907" s="51"/>
      <c r="AL907" s="69"/>
      <c r="AM907" s="56"/>
      <c r="AN907" s="52"/>
      <c r="AO907" s="51"/>
      <c r="AP907" s="70"/>
      <c r="AQ907" s="58"/>
      <c r="AR907" s="55"/>
      <c r="AS907" s="51"/>
      <c r="AT907" s="69"/>
      <c r="AU907" s="56"/>
      <c r="AV907" s="52"/>
      <c r="AW907" s="51"/>
      <c r="BR907" s="34" t="str">
        <f>IF(E907="","",CONCATENATE(E907," ",F907," noches"))</f>
        <v/>
      </c>
      <c r="BS907" s="28" t="str">
        <f t="shared" ca="1" si="224"/>
        <v/>
      </c>
      <c r="BT907" s="28" t="str">
        <f t="shared" ca="1" si="225"/>
        <v/>
      </c>
    </row>
    <row r="908" spans="1:72" x14ac:dyDescent="0.2">
      <c r="A908" s="18" t="str" cm="1">
        <f t="array" aca="1" ref="A908" ca="1">IF(B908="","","Grupo N˚"&amp;SUMPRODUCT(($B$4:B908&lt;&gt;"")*($B$4:B908&lt;&gt;OFFSET($B$4,-1,0,ROWS($B$4:B908),1))))</f>
        <v/>
      </c>
      <c r="B908" s="31"/>
      <c r="C908" s="31"/>
      <c r="D908" s="31"/>
      <c r="E908" s="31"/>
      <c r="F908" s="32"/>
      <c r="G908" s="33"/>
      <c r="H908" s="33"/>
      <c r="I908" s="20" t="str">
        <f t="shared" si="214"/>
        <v/>
      </c>
      <c r="J908" s="21" t="str">
        <f>IFERROR(VLOOKUP(BR908,Pricing!$D$3:$E$58,2,FALSE),"")</f>
        <v/>
      </c>
      <c r="K908" s="32"/>
      <c r="L908" s="32"/>
      <c r="M908" s="32"/>
      <c r="N908" s="36" t="str" cm="1">
        <f t="array" ref="N908">IFERROR(_xlfn.IFS((AND(K908="SI",M908="$")),J908*0.2,AND(K908="SI",M908="%"),20),"")</f>
        <v/>
      </c>
      <c r="O908" s="29" t="str">
        <f t="shared" si="215"/>
        <v/>
      </c>
      <c r="P908" s="21" t="str">
        <f t="shared" si="216"/>
        <v/>
      </c>
      <c r="Q908" s="21" t="str">
        <f t="shared" si="217"/>
        <v/>
      </c>
      <c r="R908" s="21" t="str">
        <f t="shared" si="218"/>
        <v/>
      </c>
      <c r="S908" s="39"/>
      <c r="T908" s="43" t="str">
        <f t="shared" si="226"/>
        <v/>
      </c>
      <c r="U908" s="49" t="str">
        <f t="shared" si="212"/>
        <v/>
      </c>
      <c r="V908" s="48" t="str">
        <f t="shared" si="213"/>
        <v/>
      </c>
      <c r="W908" s="48" t="str">
        <f t="shared" si="219"/>
        <v/>
      </c>
      <c r="X908" s="50" t="str">
        <f>IF(W908="","",SUMIF($B$4:$B$1002,B908,$W$4:$W$1000))</f>
        <v/>
      </c>
      <c r="Y908" s="43" t="str">
        <f t="shared" si="220"/>
        <v/>
      </c>
      <c r="Z908" s="49" t="str">
        <f t="shared" si="221"/>
        <v/>
      </c>
      <c r="AA908" s="48" t="str">
        <f t="shared" si="222"/>
        <v/>
      </c>
      <c r="AB908" s="49" t="str">
        <f t="shared" si="223"/>
        <v/>
      </c>
      <c r="AC908" s="50" t="str">
        <f>IF(AB908="","",SUMIF($B$4:$B$1002,B908,$AB$4:$AB$1000))</f>
        <v/>
      </c>
      <c r="AD908" s="69"/>
      <c r="AE908" s="56"/>
      <c r="AF908" s="52"/>
      <c r="AG908" s="51"/>
      <c r="AH908" s="70"/>
      <c r="AI908" s="58"/>
      <c r="AJ908" s="55"/>
      <c r="AK908" s="51"/>
      <c r="AL908" s="69"/>
      <c r="AM908" s="56"/>
      <c r="AN908" s="52"/>
      <c r="AO908" s="51"/>
      <c r="AP908" s="70"/>
      <c r="AQ908" s="58"/>
      <c r="AR908" s="55"/>
      <c r="AS908" s="51"/>
      <c r="AT908" s="69"/>
      <c r="AU908" s="56"/>
      <c r="AV908" s="52"/>
      <c r="AW908" s="51"/>
      <c r="BR908" s="34" t="str">
        <f>IF(E908="","",CONCATENATE(E908," ",F908," noches"))</f>
        <v/>
      </c>
      <c r="BS908" s="28" t="str">
        <f t="shared" ca="1" si="224"/>
        <v/>
      </c>
      <c r="BT908" s="28" t="str">
        <f t="shared" ca="1" si="225"/>
        <v/>
      </c>
    </row>
    <row r="909" spans="1:72" x14ac:dyDescent="0.2">
      <c r="A909" s="18" t="str" cm="1">
        <f t="array" aca="1" ref="A909" ca="1">IF(B909="","","Grupo N˚"&amp;SUMPRODUCT(($B$4:B909&lt;&gt;"")*($B$4:B909&lt;&gt;OFFSET($B$4,-1,0,ROWS($B$4:B909),1))))</f>
        <v/>
      </c>
      <c r="B909" s="31"/>
      <c r="C909" s="31"/>
      <c r="D909" s="31"/>
      <c r="E909" s="31"/>
      <c r="F909" s="32"/>
      <c r="G909" s="33"/>
      <c r="H909" s="33"/>
      <c r="I909" s="20" t="str">
        <f t="shared" si="214"/>
        <v/>
      </c>
      <c r="J909" s="21" t="str">
        <f>IFERROR(VLOOKUP(BR909,Pricing!$D$3:$E$58,2,FALSE),"")</f>
        <v/>
      </c>
      <c r="K909" s="32"/>
      <c r="L909" s="32"/>
      <c r="M909" s="32"/>
      <c r="N909" s="36" t="str" cm="1">
        <f t="array" ref="N909">IFERROR(_xlfn.IFS((AND(K909="SI",M909="$")),J909*0.2,AND(K909="SI",M909="%"),20),"")</f>
        <v/>
      </c>
      <c r="O909" s="29" t="str">
        <f t="shared" si="215"/>
        <v/>
      </c>
      <c r="P909" s="21" t="str">
        <f t="shared" si="216"/>
        <v/>
      </c>
      <c r="Q909" s="21" t="str">
        <f t="shared" si="217"/>
        <v/>
      </c>
      <c r="R909" s="21" t="str">
        <f t="shared" si="218"/>
        <v/>
      </c>
      <c r="S909" s="39"/>
      <c r="T909" s="43" t="str">
        <f t="shared" si="226"/>
        <v/>
      </c>
      <c r="U909" s="49" t="str">
        <f t="shared" ref="U909:U972" si="227">IF(R909="","",R909/2)</f>
        <v/>
      </c>
      <c r="V909" s="48" t="str">
        <f t="shared" ref="V909:V972" si="228">IF(AD909="","",SUM(
 IF(ISNUMBER(SEARCH("reserva",AD909)),AF909,0),
 IF(ISNUMBER(SEARCH("reserva",AH909)),AJ909,0),
 IF(ISNUMBER(SEARCH("reserva",AL909)),AN909,0),
 IF(ISNUMBER(SEARCH("reserva",AP909)),AR909,0),
 IF(ISNUMBER(SEARCH("reserva",AT909)),AV909,0)
))</f>
        <v/>
      </c>
      <c r="W909" s="48" t="str">
        <f t="shared" si="219"/>
        <v/>
      </c>
      <c r="X909" s="50" t="str">
        <f>IF(W909="","",SUMIF($B$4:$B$1002,B909,$W$4:$W$1000))</f>
        <v/>
      </c>
      <c r="Y909" s="43" t="str">
        <f t="shared" si="220"/>
        <v/>
      </c>
      <c r="Z909" s="49" t="str">
        <f t="shared" si="221"/>
        <v/>
      </c>
      <c r="AA909" s="48" t="str">
        <f t="shared" si="222"/>
        <v/>
      </c>
      <c r="AB909" s="49" t="str">
        <f t="shared" si="223"/>
        <v/>
      </c>
      <c r="AC909" s="50" t="str">
        <f>IF(AB909="","",SUMIF($B$4:$B$1002,B909,$AB$4:$AB$1000))</f>
        <v/>
      </c>
      <c r="AD909" s="69"/>
      <c r="AE909" s="56"/>
      <c r="AF909" s="52"/>
      <c r="AG909" s="51"/>
      <c r="AH909" s="70"/>
      <c r="AI909" s="58"/>
      <c r="AJ909" s="55"/>
      <c r="AK909" s="51"/>
      <c r="AL909" s="69"/>
      <c r="AM909" s="56"/>
      <c r="AN909" s="52"/>
      <c r="AO909" s="51"/>
      <c r="AP909" s="70"/>
      <c r="AQ909" s="58"/>
      <c r="AR909" s="55"/>
      <c r="AS909" s="51"/>
      <c r="AT909" s="69"/>
      <c r="AU909" s="56"/>
      <c r="AV909" s="52"/>
      <c r="AW909" s="51"/>
      <c r="BR909" s="34" t="str">
        <f>IF(E909="","",CONCATENATE(E909," ",F909," noches"))</f>
        <v/>
      </c>
      <c r="BS909" s="28" t="str">
        <f t="shared" ca="1" si="224"/>
        <v/>
      </c>
      <c r="BT909" s="28" t="str">
        <f t="shared" ca="1" si="225"/>
        <v/>
      </c>
    </row>
    <row r="910" spans="1:72" x14ac:dyDescent="0.2">
      <c r="A910" s="18" t="str" cm="1">
        <f t="array" aca="1" ref="A910" ca="1">IF(B910="","","Grupo N˚"&amp;SUMPRODUCT(($B$4:B910&lt;&gt;"")*($B$4:B910&lt;&gt;OFFSET($B$4,-1,0,ROWS($B$4:B910),1))))</f>
        <v/>
      </c>
      <c r="B910" s="31"/>
      <c r="C910" s="31"/>
      <c r="D910" s="31"/>
      <c r="E910" s="31"/>
      <c r="F910" s="32"/>
      <c r="G910" s="33"/>
      <c r="H910" s="33"/>
      <c r="I910" s="20" t="str">
        <f t="shared" si="214"/>
        <v/>
      </c>
      <c r="J910" s="21" t="str">
        <f>IFERROR(VLOOKUP(BR910,Pricing!$D$3:$E$58,2,FALSE),"")</f>
        <v/>
      </c>
      <c r="K910" s="32"/>
      <c r="L910" s="32"/>
      <c r="M910" s="32"/>
      <c r="N910" s="36" t="str" cm="1">
        <f t="array" ref="N910">IFERROR(_xlfn.IFS((AND(K910="SI",M910="$")),J910*0.2,AND(K910="SI",M910="%"),20),"")</f>
        <v/>
      </c>
      <c r="O910" s="29" t="str">
        <f t="shared" si="215"/>
        <v/>
      </c>
      <c r="P910" s="21" t="str">
        <f t="shared" si="216"/>
        <v/>
      </c>
      <c r="Q910" s="21" t="str">
        <f t="shared" si="217"/>
        <v/>
      </c>
      <c r="R910" s="21" t="str">
        <f t="shared" si="218"/>
        <v/>
      </c>
      <c r="S910" s="39"/>
      <c r="T910" s="43" t="str">
        <f t="shared" si="226"/>
        <v/>
      </c>
      <c r="U910" s="49" t="str">
        <f t="shared" si="227"/>
        <v/>
      </c>
      <c r="V910" s="48" t="str">
        <f t="shared" si="228"/>
        <v/>
      </c>
      <c r="W910" s="48" t="str">
        <f t="shared" si="219"/>
        <v/>
      </c>
      <c r="X910" s="50" t="str">
        <f>IF(W910="","",SUMIF($B$4:$B$1002,B910,$W$4:$W$1000))</f>
        <v/>
      </c>
      <c r="Y910" s="43" t="str">
        <f t="shared" si="220"/>
        <v/>
      </c>
      <c r="Z910" s="49" t="str">
        <f t="shared" si="221"/>
        <v/>
      </c>
      <c r="AA910" s="48" t="str">
        <f t="shared" si="222"/>
        <v/>
      </c>
      <c r="AB910" s="49" t="str">
        <f t="shared" si="223"/>
        <v/>
      </c>
      <c r="AC910" s="50" t="str">
        <f>IF(AB910="","",SUMIF($B$4:$B$1002,B910,$AB$4:$AB$1000))</f>
        <v/>
      </c>
      <c r="AD910" s="69"/>
      <c r="AE910" s="56"/>
      <c r="AF910" s="52"/>
      <c r="AG910" s="51"/>
      <c r="AH910" s="70"/>
      <c r="AI910" s="58"/>
      <c r="AJ910" s="55"/>
      <c r="AK910" s="51"/>
      <c r="AL910" s="69"/>
      <c r="AM910" s="56"/>
      <c r="AN910" s="52"/>
      <c r="AO910" s="51"/>
      <c r="AP910" s="70"/>
      <c r="AQ910" s="58"/>
      <c r="AR910" s="55"/>
      <c r="AS910" s="51"/>
      <c r="AT910" s="69"/>
      <c r="AU910" s="56"/>
      <c r="AV910" s="52"/>
      <c r="AW910" s="51"/>
      <c r="BR910" s="34" t="str">
        <f>IF(E910="","",CONCATENATE(E910," ",F910," noches"))</f>
        <v/>
      </c>
      <c r="BS910" s="28" t="str">
        <f t="shared" ca="1" si="224"/>
        <v/>
      </c>
      <c r="BT910" s="28" t="str">
        <f t="shared" ca="1" si="225"/>
        <v/>
      </c>
    </row>
    <row r="911" spans="1:72" x14ac:dyDescent="0.2">
      <c r="A911" s="18" t="str" cm="1">
        <f t="array" aca="1" ref="A911" ca="1">IF(B911="","","Grupo N˚"&amp;SUMPRODUCT(($B$4:B911&lt;&gt;"")*($B$4:B911&lt;&gt;OFFSET($B$4,-1,0,ROWS($B$4:B911),1))))</f>
        <v/>
      </c>
      <c r="B911" s="31"/>
      <c r="C911" s="31"/>
      <c r="D911" s="31"/>
      <c r="E911" s="31"/>
      <c r="F911" s="32"/>
      <c r="G911" s="33"/>
      <c r="H911" s="33"/>
      <c r="I911" s="20" t="str">
        <f t="shared" si="214"/>
        <v/>
      </c>
      <c r="J911" s="21" t="str">
        <f>IFERROR(VLOOKUP(BR911,Pricing!$D$3:$E$58,2,FALSE),"")</f>
        <v/>
      </c>
      <c r="K911" s="32"/>
      <c r="L911" s="32"/>
      <c r="M911" s="32"/>
      <c r="N911" s="36" t="str" cm="1">
        <f t="array" ref="N911">IFERROR(_xlfn.IFS((AND(K911="SI",M911="$")),J911*0.2,AND(K911="SI",M911="%"),20),"")</f>
        <v/>
      </c>
      <c r="O911" s="29" t="str">
        <f t="shared" si="215"/>
        <v/>
      </c>
      <c r="P911" s="21" t="str">
        <f t="shared" si="216"/>
        <v/>
      </c>
      <c r="Q911" s="21" t="str">
        <f t="shared" si="217"/>
        <v/>
      </c>
      <c r="R911" s="21" t="str">
        <f t="shared" si="218"/>
        <v/>
      </c>
      <c r="S911" s="39"/>
      <c r="T911" s="43" t="str">
        <f t="shared" si="226"/>
        <v/>
      </c>
      <c r="U911" s="49" t="str">
        <f t="shared" si="227"/>
        <v/>
      </c>
      <c r="V911" s="48" t="str">
        <f t="shared" si="228"/>
        <v/>
      </c>
      <c r="W911" s="48" t="str">
        <f t="shared" si="219"/>
        <v/>
      </c>
      <c r="X911" s="50" t="str">
        <f>IF(W911="","",SUMIF($B$4:$B$1002,B911,$W$4:$W$1000))</f>
        <v/>
      </c>
      <c r="Y911" s="43" t="str">
        <f t="shared" si="220"/>
        <v/>
      </c>
      <c r="Z911" s="49" t="str">
        <f t="shared" si="221"/>
        <v/>
      </c>
      <c r="AA911" s="48" t="str">
        <f t="shared" si="222"/>
        <v/>
      </c>
      <c r="AB911" s="49" t="str">
        <f t="shared" si="223"/>
        <v/>
      </c>
      <c r="AC911" s="50" t="str">
        <f>IF(AB911="","",SUMIF($B$4:$B$1002,B911,$AB$4:$AB$1000))</f>
        <v/>
      </c>
      <c r="AD911" s="69"/>
      <c r="AE911" s="56"/>
      <c r="AF911" s="52"/>
      <c r="AG911" s="51"/>
      <c r="AH911" s="70"/>
      <c r="AI911" s="58"/>
      <c r="AJ911" s="55"/>
      <c r="AK911" s="51"/>
      <c r="AL911" s="69"/>
      <c r="AM911" s="56"/>
      <c r="AN911" s="52"/>
      <c r="AO911" s="51"/>
      <c r="AP911" s="70"/>
      <c r="AQ911" s="58"/>
      <c r="AR911" s="55"/>
      <c r="AS911" s="51"/>
      <c r="AT911" s="69"/>
      <c r="AU911" s="56"/>
      <c r="AV911" s="52"/>
      <c r="AW911" s="51"/>
      <c r="BR911" s="34" t="str">
        <f>IF(E911="","",CONCATENATE(E911," ",F911," noches"))</f>
        <v/>
      </c>
      <c r="BS911" s="28" t="str">
        <f t="shared" ca="1" si="224"/>
        <v/>
      </c>
      <c r="BT911" s="28" t="str">
        <f t="shared" ca="1" si="225"/>
        <v/>
      </c>
    </row>
    <row r="912" spans="1:72" x14ac:dyDescent="0.2">
      <c r="A912" s="18" t="str" cm="1">
        <f t="array" aca="1" ref="A912" ca="1">IF(B912="","","Grupo N˚"&amp;SUMPRODUCT(($B$4:B912&lt;&gt;"")*($B$4:B912&lt;&gt;OFFSET($B$4,-1,0,ROWS($B$4:B912),1))))</f>
        <v/>
      </c>
      <c r="B912" s="31"/>
      <c r="C912" s="31"/>
      <c r="D912" s="31"/>
      <c r="E912" s="31"/>
      <c r="F912" s="32"/>
      <c r="G912" s="33"/>
      <c r="H912" s="33"/>
      <c r="I912" s="20" t="str">
        <f t="shared" si="214"/>
        <v/>
      </c>
      <c r="J912" s="21" t="str">
        <f>IFERROR(VLOOKUP(BR912,Pricing!$D$3:$E$58,2,FALSE),"")</f>
        <v/>
      </c>
      <c r="K912" s="32"/>
      <c r="L912" s="32"/>
      <c r="M912" s="32"/>
      <c r="N912" s="36" t="str" cm="1">
        <f t="array" ref="N912">IFERROR(_xlfn.IFS((AND(K912="SI",M912="$")),J912*0.2,AND(K912="SI",M912="%"),20),"")</f>
        <v/>
      </c>
      <c r="O912" s="29" t="str">
        <f t="shared" si="215"/>
        <v/>
      </c>
      <c r="P912" s="21" t="str">
        <f t="shared" si="216"/>
        <v/>
      </c>
      <c r="Q912" s="21" t="str">
        <f t="shared" si="217"/>
        <v/>
      </c>
      <c r="R912" s="21" t="str">
        <f t="shared" si="218"/>
        <v/>
      </c>
      <c r="S912" s="39"/>
      <c r="T912" s="43" t="str">
        <f t="shared" si="226"/>
        <v/>
      </c>
      <c r="U912" s="49" t="str">
        <f t="shared" si="227"/>
        <v/>
      </c>
      <c r="V912" s="48" t="str">
        <f t="shared" si="228"/>
        <v/>
      </c>
      <c r="W912" s="48" t="str">
        <f t="shared" si="219"/>
        <v/>
      </c>
      <c r="X912" s="50" t="str">
        <f>IF(W912="","",SUMIF($B$4:$B$1002,B912,$W$4:$W$1000))</f>
        <v/>
      </c>
      <c r="Y912" s="43" t="str">
        <f t="shared" si="220"/>
        <v/>
      </c>
      <c r="Z912" s="49" t="str">
        <f t="shared" si="221"/>
        <v/>
      </c>
      <c r="AA912" s="48" t="str">
        <f t="shared" si="222"/>
        <v/>
      </c>
      <c r="AB912" s="49" t="str">
        <f t="shared" si="223"/>
        <v/>
      </c>
      <c r="AC912" s="50" t="str">
        <f>IF(AB912="","",SUMIF($B$4:$B$1002,B912,$AB$4:$AB$1000))</f>
        <v/>
      </c>
      <c r="AD912" s="69"/>
      <c r="AE912" s="56"/>
      <c r="AF912" s="52"/>
      <c r="AG912" s="51"/>
      <c r="AH912" s="70"/>
      <c r="AI912" s="58"/>
      <c r="AJ912" s="55"/>
      <c r="AK912" s="51"/>
      <c r="AL912" s="69"/>
      <c r="AM912" s="56"/>
      <c r="AN912" s="52"/>
      <c r="AO912" s="51"/>
      <c r="AP912" s="70"/>
      <c r="AQ912" s="58"/>
      <c r="AR912" s="55"/>
      <c r="AS912" s="51"/>
      <c r="AT912" s="69"/>
      <c r="AU912" s="56"/>
      <c r="AV912" s="52"/>
      <c r="AW912" s="51"/>
      <c r="BR912" s="34" t="str">
        <f>IF(E912="","",CONCATENATE(E912," ",F912," noches"))</f>
        <v/>
      </c>
      <c r="BS912" s="28" t="str">
        <f t="shared" ca="1" si="224"/>
        <v/>
      </c>
      <c r="BT912" s="28" t="str">
        <f t="shared" ca="1" si="225"/>
        <v/>
      </c>
    </row>
    <row r="913" spans="1:72" x14ac:dyDescent="0.2">
      <c r="A913" s="18" t="str" cm="1">
        <f t="array" aca="1" ref="A913" ca="1">IF(B913="","","Grupo N˚"&amp;SUMPRODUCT(($B$4:B913&lt;&gt;"")*($B$4:B913&lt;&gt;OFFSET($B$4,-1,0,ROWS($B$4:B913),1))))</f>
        <v/>
      </c>
      <c r="B913" s="31"/>
      <c r="C913" s="31"/>
      <c r="D913" s="31"/>
      <c r="E913" s="31"/>
      <c r="F913" s="32"/>
      <c r="G913" s="33"/>
      <c r="H913" s="33"/>
      <c r="I913" s="20" t="str">
        <f t="shared" si="214"/>
        <v/>
      </c>
      <c r="J913" s="21" t="str">
        <f>IFERROR(VLOOKUP(BR913,Pricing!$D$3:$E$58,2,FALSE),"")</f>
        <v/>
      </c>
      <c r="K913" s="32"/>
      <c r="L913" s="32"/>
      <c r="M913" s="32"/>
      <c r="N913" s="36" t="str" cm="1">
        <f t="array" ref="N913">IFERROR(_xlfn.IFS((AND(K913="SI",M913="$")),J913*0.2,AND(K913="SI",M913="%"),20),"")</f>
        <v/>
      </c>
      <c r="O913" s="29" t="str">
        <f t="shared" si="215"/>
        <v/>
      </c>
      <c r="P913" s="21" t="str">
        <f t="shared" si="216"/>
        <v/>
      </c>
      <c r="Q913" s="21" t="str">
        <f t="shared" si="217"/>
        <v/>
      </c>
      <c r="R913" s="21" t="str">
        <f t="shared" si="218"/>
        <v/>
      </c>
      <c r="S913" s="39"/>
      <c r="T913" s="43" t="str">
        <f t="shared" si="226"/>
        <v/>
      </c>
      <c r="U913" s="49" t="str">
        <f t="shared" si="227"/>
        <v/>
      </c>
      <c r="V913" s="48" t="str">
        <f t="shared" si="228"/>
        <v/>
      </c>
      <c r="W913" s="48" t="str">
        <f t="shared" si="219"/>
        <v/>
      </c>
      <c r="X913" s="50" t="str">
        <f>IF(W913="","",SUMIF($B$4:$B$1002,B913,$W$4:$W$1000))</f>
        <v/>
      </c>
      <c r="Y913" s="43" t="str">
        <f t="shared" si="220"/>
        <v/>
      </c>
      <c r="Z913" s="49" t="str">
        <f t="shared" si="221"/>
        <v/>
      </c>
      <c r="AA913" s="48" t="str">
        <f t="shared" si="222"/>
        <v/>
      </c>
      <c r="AB913" s="49" t="str">
        <f t="shared" si="223"/>
        <v/>
      </c>
      <c r="AC913" s="50" t="str">
        <f>IF(AB913="","",SUMIF($B$4:$B$1002,B913,$AB$4:$AB$1000))</f>
        <v/>
      </c>
      <c r="AD913" s="69"/>
      <c r="AE913" s="56"/>
      <c r="AF913" s="52"/>
      <c r="AG913" s="51"/>
      <c r="AH913" s="70"/>
      <c r="AI913" s="58"/>
      <c r="AJ913" s="55"/>
      <c r="AK913" s="51"/>
      <c r="AL913" s="69"/>
      <c r="AM913" s="56"/>
      <c r="AN913" s="52"/>
      <c r="AO913" s="51"/>
      <c r="AP913" s="70"/>
      <c r="AQ913" s="58"/>
      <c r="AR913" s="55"/>
      <c r="AS913" s="51"/>
      <c r="AT913" s="69"/>
      <c r="AU913" s="56"/>
      <c r="AV913" s="52"/>
      <c r="AW913" s="51"/>
      <c r="BR913" s="34" t="str">
        <f>IF(E913="","",CONCATENATE(E913," ",F913," noches"))</f>
        <v/>
      </c>
      <c r="BS913" s="28" t="str">
        <f t="shared" ca="1" si="224"/>
        <v/>
      </c>
      <c r="BT913" s="28" t="str">
        <f t="shared" ca="1" si="225"/>
        <v/>
      </c>
    </row>
    <row r="914" spans="1:72" x14ac:dyDescent="0.2">
      <c r="A914" s="18" t="str" cm="1">
        <f t="array" aca="1" ref="A914" ca="1">IF(B914="","","Grupo N˚"&amp;SUMPRODUCT(($B$4:B914&lt;&gt;"")*($B$4:B914&lt;&gt;OFFSET($B$4,-1,0,ROWS($B$4:B914),1))))</f>
        <v/>
      </c>
      <c r="B914" s="31"/>
      <c r="C914" s="31"/>
      <c r="D914" s="31"/>
      <c r="E914" s="31"/>
      <c r="F914" s="32"/>
      <c r="G914" s="33"/>
      <c r="H914" s="33"/>
      <c r="I914" s="20" t="str">
        <f t="shared" si="214"/>
        <v/>
      </c>
      <c r="J914" s="21" t="str">
        <f>IFERROR(VLOOKUP(BR914,Pricing!$D$3:$E$58,2,FALSE),"")</f>
        <v/>
      </c>
      <c r="K914" s="32"/>
      <c r="L914" s="32"/>
      <c r="M914" s="32"/>
      <c r="N914" s="36" t="str" cm="1">
        <f t="array" ref="N914">IFERROR(_xlfn.IFS((AND(K914="SI",M914="$")),J914*0.2,AND(K914="SI",M914="%"),20),"")</f>
        <v/>
      </c>
      <c r="O914" s="29" t="str">
        <f t="shared" si="215"/>
        <v/>
      </c>
      <c r="P914" s="21" t="str">
        <f t="shared" si="216"/>
        <v/>
      </c>
      <c r="Q914" s="21" t="str">
        <f t="shared" si="217"/>
        <v/>
      </c>
      <c r="R914" s="21" t="str">
        <f t="shared" si="218"/>
        <v/>
      </c>
      <c r="S914" s="39"/>
      <c r="T914" s="43" t="str">
        <f t="shared" si="226"/>
        <v/>
      </c>
      <c r="U914" s="49" t="str">
        <f t="shared" si="227"/>
        <v/>
      </c>
      <c r="V914" s="48" t="str">
        <f t="shared" si="228"/>
        <v/>
      </c>
      <c r="W914" s="48" t="str">
        <f t="shared" si="219"/>
        <v/>
      </c>
      <c r="X914" s="50" t="str">
        <f>IF(W914="","",SUMIF($B$4:$B$1002,B914,$W$4:$W$1000))</f>
        <v/>
      </c>
      <c r="Y914" s="43" t="str">
        <f t="shared" si="220"/>
        <v/>
      </c>
      <c r="Z914" s="49" t="str">
        <f t="shared" si="221"/>
        <v/>
      </c>
      <c r="AA914" s="48" t="str">
        <f t="shared" si="222"/>
        <v/>
      </c>
      <c r="AB914" s="49" t="str">
        <f t="shared" si="223"/>
        <v/>
      </c>
      <c r="AC914" s="50" t="str">
        <f>IF(AB914="","",SUMIF($B$4:$B$1002,B914,$AB$4:$AB$1000))</f>
        <v/>
      </c>
      <c r="AD914" s="69"/>
      <c r="AE914" s="56"/>
      <c r="AF914" s="52"/>
      <c r="AG914" s="51"/>
      <c r="AH914" s="70"/>
      <c r="AI914" s="58"/>
      <c r="AJ914" s="55"/>
      <c r="AK914" s="51"/>
      <c r="AL914" s="69"/>
      <c r="AM914" s="56"/>
      <c r="AN914" s="52"/>
      <c r="AO914" s="51"/>
      <c r="AP914" s="70"/>
      <c r="AQ914" s="58"/>
      <c r="AR914" s="55"/>
      <c r="AS914" s="51"/>
      <c r="AT914" s="69"/>
      <c r="AU914" s="56"/>
      <c r="AV914" s="52"/>
      <c r="AW914" s="51"/>
      <c r="BR914" s="34" t="str">
        <f>IF(E914="","",CONCATENATE(E914," ",F914," noches"))</f>
        <v/>
      </c>
      <c r="BS914" s="28" t="str">
        <f t="shared" ca="1" si="224"/>
        <v/>
      </c>
      <c r="BT914" s="28" t="str">
        <f t="shared" ca="1" si="225"/>
        <v/>
      </c>
    </row>
    <row r="915" spans="1:72" x14ac:dyDescent="0.2">
      <c r="A915" s="18" t="str" cm="1">
        <f t="array" aca="1" ref="A915" ca="1">IF(B915="","","Grupo N˚"&amp;SUMPRODUCT(($B$4:B915&lt;&gt;"")*($B$4:B915&lt;&gt;OFFSET($B$4,-1,0,ROWS($B$4:B915),1))))</f>
        <v/>
      </c>
      <c r="B915" s="31"/>
      <c r="C915" s="31"/>
      <c r="D915" s="31"/>
      <c r="E915" s="31"/>
      <c r="F915" s="32"/>
      <c r="G915" s="33"/>
      <c r="H915" s="33"/>
      <c r="I915" s="20" t="str">
        <f t="shared" si="214"/>
        <v/>
      </c>
      <c r="J915" s="21" t="str">
        <f>IFERROR(VLOOKUP(BR915,Pricing!$D$3:$E$58,2,FALSE),"")</f>
        <v/>
      </c>
      <c r="K915" s="32"/>
      <c r="L915" s="32"/>
      <c r="M915" s="32"/>
      <c r="N915" s="36" t="str" cm="1">
        <f t="array" ref="N915">IFERROR(_xlfn.IFS((AND(K915="SI",M915="$")),J915*0.2,AND(K915="SI",M915="%"),20),"")</f>
        <v/>
      </c>
      <c r="O915" s="29" t="str">
        <f t="shared" si="215"/>
        <v/>
      </c>
      <c r="P915" s="21" t="str">
        <f t="shared" si="216"/>
        <v/>
      </c>
      <c r="Q915" s="21" t="str">
        <f t="shared" si="217"/>
        <v/>
      </c>
      <c r="R915" s="21" t="str">
        <f t="shared" si="218"/>
        <v/>
      </c>
      <c r="S915" s="39"/>
      <c r="T915" s="43" t="str">
        <f t="shared" si="226"/>
        <v/>
      </c>
      <c r="U915" s="49" t="str">
        <f t="shared" si="227"/>
        <v/>
      </c>
      <c r="V915" s="48" t="str">
        <f t="shared" si="228"/>
        <v/>
      </c>
      <c r="W915" s="48" t="str">
        <f t="shared" si="219"/>
        <v/>
      </c>
      <c r="X915" s="50" t="str">
        <f>IF(W915="","",SUMIF($B$4:$B$1002,B915,$W$4:$W$1000))</f>
        <v/>
      </c>
      <c r="Y915" s="43" t="str">
        <f t="shared" si="220"/>
        <v/>
      </c>
      <c r="Z915" s="49" t="str">
        <f t="shared" si="221"/>
        <v/>
      </c>
      <c r="AA915" s="48" t="str">
        <f t="shared" si="222"/>
        <v/>
      </c>
      <c r="AB915" s="49" t="str">
        <f t="shared" si="223"/>
        <v/>
      </c>
      <c r="AC915" s="50" t="str">
        <f>IF(AB915="","",SUMIF($B$4:$B$1002,B915,$AB$4:$AB$1000))</f>
        <v/>
      </c>
      <c r="AD915" s="69"/>
      <c r="AE915" s="56"/>
      <c r="AF915" s="52"/>
      <c r="AG915" s="51"/>
      <c r="AH915" s="70"/>
      <c r="AI915" s="58"/>
      <c r="AJ915" s="55"/>
      <c r="AK915" s="51"/>
      <c r="AL915" s="69"/>
      <c r="AM915" s="56"/>
      <c r="AN915" s="52"/>
      <c r="AO915" s="51"/>
      <c r="AP915" s="70"/>
      <c r="AQ915" s="58"/>
      <c r="AR915" s="55"/>
      <c r="AS915" s="51"/>
      <c r="AT915" s="69"/>
      <c r="AU915" s="56"/>
      <c r="AV915" s="52"/>
      <c r="AW915" s="51"/>
      <c r="BR915" s="34" t="str">
        <f>IF(E915="","",CONCATENATE(E915," ",F915," noches"))</f>
        <v/>
      </c>
      <c r="BS915" s="28" t="str">
        <f t="shared" ca="1" si="224"/>
        <v/>
      </c>
      <c r="BT915" s="28" t="str">
        <f t="shared" ca="1" si="225"/>
        <v/>
      </c>
    </row>
    <row r="916" spans="1:72" x14ac:dyDescent="0.2">
      <c r="A916" s="18" t="str" cm="1">
        <f t="array" aca="1" ref="A916" ca="1">IF(B916="","","Grupo N˚"&amp;SUMPRODUCT(($B$4:B916&lt;&gt;"")*($B$4:B916&lt;&gt;OFFSET($B$4,-1,0,ROWS($B$4:B916),1))))</f>
        <v/>
      </c>
      <c r="B916" s="31"/>
      <c r="C916" s="31"/>
      <c r="D916" s="31"/>
      <c r="E916" s="31"/>
      <c r="F916" s="32"/>
      <c r="G916" s="33"/>
      <c r="H916" s="33"/>
      <c r="I916" s="20" t="str">
        <f t="shared" si="214"/>
        <v/>
      </c>
      <c r="J916" s="21" t="str">
        <f>IFERROR(VLOOKUP(BR916,Pricing!$D$3:$E$58,2,FALSE),"")</f>
        <v/>
      </c>
      <c r="K916" s="32"/>
      <c r="L916" s="32"/>
      <c r="M916" s="32"/>
      <c r="N916" s="36" t="str" cm="1">
        <f t="array" ref="N916">IFERROR(_xlfn.IFS((AND(K916="SI",M916="$")),J916*0.2,AND(K916="SI",M916="%"),20),"")</f>
        <v/>
      </c>
      <c r="O916" s="29" t="str">
        <f t="shared" si="215"/>
        <v/>
      </c>
      <c r="P916" s="21" t="str">
        <f t="shared" si="216"/>
        <v/>
      </c>
      <c r="Q916" s="21" t="str">
        <f t="shared" si="217"/>
        <v/>
      </c>
      <c r="R916" s="21" t="str">
        <f t="shared" si="218"/>
        <v/>
      </c>
      <c r="S916" s="39"/>
      <c r="T916" s="43" t="str">
        <f t="shared" si="226"/>
        <v/>
      </c>
      <c r="U916" s="49" t="str">
        <f t="shared" si="227"/>
        <v/>
      </c>
      <c r="V916" s="48" t="str">
        <f t="shared" si="228"/>
        <v/>
      </c>
      <c r="W916" s="48" t="str">
        <f t="shared" si="219"/>
        <v/>
      </c>
      <c r="X916" s="50" t="str">
        <f>IF(W916="","",SUMIF($B$4:$B$1002,B916,$W$4:$W$1000))</f>
        <v/>
      </c>
      <c r="Y916" s="43" t="str">
        <f t="shared" si="220"/>
        <v/>
      </c>
      <c r="Z916" s="49" t="str">
        <f t="shared" si="221"/>
        <v/>
      </c>
      <c r="AA916" s="48" t="str">
        <f t="shared" si="222"/>
        <v/>
      </c>
      <c r="AB916" s="49" t="str">
        <f t="shared" si="223"/>
        <v/>
      </c>
      <c r="AC916" s="50" t="str">
        <f>IF(AB916="","",SUMIF($B$4:$B$1002,B916,$AB$4:$AB$1000))</f>
        <v/>
      </c>
      <c r="AD916" s="69"/>
      <c r="AE916" s="56"/>
      <c r="AF916" s="52"/>
      <c r="AG916" s="51"/>
      <c r="AH916" s="70"/>
      <c r="AI916" s="58"/>
      <c r="AJ916" s="55"/>
      <c r="AK916" s="51"/>
      <c r="AL916" s="69"/>
      <c r="AM916" s="56"/>
      <c r="AN916" s="52"/>
      <c r="AO916" s="51"/>
      <c r="AP916" s="70"/>
      <c r="AQ916" s="58"/>
      <c r="AR916" s="55"/>
      <c r="AS916" s="51"/>
      <c r="AT916" s="69"/>
      <c r="AU916" s="56"/>
      <c r="AV916" s="52"/>
      <c r="AW916" s="51"/>
      <c r="BR916" s="34" t="str">
        <f>IF(E916="","",CONCATENATE(E916," ",F916," noches"))</f>
        <v/>
      </c>
      <c r="BS916" s="28" t="str">
        <f t="shared" ca="1" si="224"/>
        <v/>
      </c>
      <c r="BT916" s="28" t="str">
        <f t="shared" ca="1" si="225"/>
        <v/>
      </c>
    </row>
    <row r="917" spans="1:72" x14ac:dyDescent="0.2">
      <c r="A917" s="18" t="str" cm="1">
        <f t="array" aca="1" ref="A917" ca="1">IF(B917="","","Grupo N˚"&amp;SUMPRODUCT(($B$4:B917&lt;&gt;"")*($B$4:B917&lt;&gt;OFFSET($B$4,-1,0,ROWS($B$4:B917),1))))</f>
        <v/>
      </c>
      <c r="B917" s="31"/>
      <c r="C917" s="31"/>
      <c r="D917" s="31"/>
      <c r="E917" s="31"/>
      <c r="F917" s="32"/>
      <c r="G917" s="33"/>
      <c r="H917" s="33"/>
      <c r="I917" s="20" t="str">
        <f t="shared" si="214"/>
        <v/>
      </c>
      <c r="J917" s="21" t="str">
        <f>IFERROR(VLOOKUP(BR917,Pricing!$D$3:$E$58,2,FALSE),"")</f>
        <v/>
      </c>
      <c r="K917" s="32"/>
      <c r="L917" s="32"/>
      <c r="M917" s="32"/>
      <c r="N917" s="36" t="str" cm="1">
        <f t="array" ref="N917">IFERROR(_xlfn.IFS((AND(K917="SI",M917="$")),J917*0.2,AND(K917="SI",M917="%"),20),"")</f>
        <v/>
      </c>
      <c r="O917" s="29" t="str">
        <f t="shared" si="215"/>
        <v/>
      </c>
      <c r="P917" s="21" t="str">
        <f t="shared" si="216"/>
        <v/>
      </c>
      <c r="Q917" s="21" t="str">
        <f t="shared" si="217"/>
        <v/>
      </c>
      <c r="R917" s="21" t="str">
        <f t="shared" si="218"/>
        <v/>
      </c>
      <c r="S917" s="39"/>
      <c r="T917" s="43" t="str">
        <f t="shared" si="226"/>
        <v/>
      </c>
      <c r="U917" s="49" t="str">
        <f t="shared" si="227"/>
        <v/>
      </c>
      <c r="V917" s="48" t="str">
        <f t="shared" si="228"/>
        <v/>
      </c>
      <c r="W917" s="48" t="str">
        <f t="shared" si="219"/>
        <v/>
      </c>
      <c r="X917" s="50" t="str">
        <f>IF(W917="","",SUMIF($B$4:$B$1002,B917,$W$4:$W$1000))</f>
        <v/>
      </c>
      <c r="Y917" s="43" t="str">
        <f t="shared" si="220"/>
        <v/>
      </c>
      <c r="Z917" s="49" t="str">
        <f t="shared" si="221"/>
        <v/>
      </c>
      <c r="AA917" s="48" t="str">
        <f t="shared" si="222"/>
        <v/>
      </c>
      <c r="AB917" s="49" t="str">
        <f t="shared" si="223"/>
        <v/>
      </c>
      <c r="AC917" s="50" t="str">
        <f>IF(AB917="","",SUMIF($B$4:$B$1002,B917,$AB$4:$AB$1000))</f>
        <v/>
      </c>
      <c r="AD917" s="69"/>
      <c r="AE917" s="56"/>
      <c r="AF917" s="52"/>
      <c r="AG917" s="51"/>
      <c r="AH917" s="70"/>
      <c r="AI917" s="58"/>
      <c r="AJ917" s="55"/>
      <c r="AK917" s="51"/>
      <c r="AL917" s="69"/>
      <c r="AM917" s="56"/>
      <c r="AN917" s="52"/>
      <c r="AO917" s="51"/>
      <c r="AP917" s="70"/>
      <c r="AQ917" s="58"/>
      <c r="AR917" s="55"/>
      <c r="AS917" s="51"/>
      <c r="AT917" s="69"/>
      <c r="AU917" s="56"/>
      <c r="AV917" s="52"/>
      <c r="AW917" s="51"/>
      <c r="BR917" s="34" t="str">
        <f>IF(E917="","",CONCATENATE(E917," ",F917," noches"))</f>
        <v/>
      </c>
      <c r="BS917" s="28" t="str">
        <f t="shared" ca="1" si="224"/>
        <v/>
      </c>
      <c r="BT917" s="28" t="str">
        <f t="shared" ca="1" si="225"/>
        <v/>
      </c>
    </row>
    <row r="918" spans="1:72" x14ac:dyDescent="0.2">
      <c r="A918" s="18" t="str" cm="1">
        <f t="array" aca="1" ref="A918" ca="1">IF(B918="","","Grupo N˚"&amp;SUMPRODUCT(($B$4:B918&lt;&gt;"")*($B$4:B918&lt;&gt;OFFSET($B$4,-1,0,ROWS($B$4:B918),1))))</f>
        <v/>
      </c>
      <c r="B918" s="31"/>
      <c r="C918" s="31"/>
      <c r="D918" s="31"/>
      <c r="E918" s="31"/>
      <c r="F918" s="32"/>
      <c r="G918" s="33"/>
      <c r="H918" s="33"/>
      <c r="I918" s="20" t="str">
        <f t="shared" si="214"/>
        <v/>
      </c>
      <c r="J918" s="21" t="str">
        <f>IFERROR(VLOOKUP(BR918,Pricing!$D$3:$E$58,2,FALSE),"")</f>
        <v/>
      </c>
      <c r="K918" s="32"/>
      <c r="L918" s="32"/>
      <c r="M918" s="32"/>
      <c r="N918" s="36" t="str" cm="1">
        <f t="array" ref="N918">IFERROR(_xlfn.IFS((AND(K918="SI",M918="$")),J918*0.2,AND(K918="SI",M918="%"),20),"")</f>
        <v/>
      </c>
      <c r="O918" s="29" t="str">
        <f t="shared" si="215"/>
        <v/>
      </c>
      <c r="P918" s="21" t="str">
        <f t="shared" si="216"/>
        <v/>
      </c>
      <c r="Q918" s="21" t="str">
        <f t="shared" si="217"/>
        <v/>
      </c>
      <c r="R918" s="21" t="str">
        <f t="shared" si="218"/>
        <v/>
      </c>
      <c r="S918" s="39"/>
      <c r="T918" s="43" t="str">
        <f t="shared" si="226"/>
        <v/>
      </c>
      <c r="U918" s="49" t="str">
        <f t="shared" si="227"/>
        <v/>
      </c>
      <c r="V918" s="48" t="str">
        <f t="shared" si="228"/>
        <v/>
      </c>
      <c r="W918" s="48" t="str">
        <f t="shared" si="219"/>
        <v/>
      </c>
      <c r="X918" s="50" t="str">
        <f>IF(W918="","",SUMIF($B$4:$B$1002,B918,$W$4:$W$1000))</f>
        <v/>
      </c>
      <c r="Y918" s="43" t="str">
        <f t="shared" si="220"/>
        <v/>
      </c>
      <c r="Z918" s="49" t="str">
        <f t="shared" si="221"/>
        <v/>
      </c>
      <c r="AA918" s="48" t="str">
        <f t="shared" si="222"/>
        <v/>
      </c>
      <c r="AB918" s="49" t="str">
        <f t="shared" si="223"/>
        <v/>
      </c>
      <c r="AC918" s="50" t="str">
        <f>IF(AB918="","",SUMIF($B$4:$B$1002,B918,$AB$4:$AB$1000))</f>
        <v/>
      </c>
      <c r="AD918" s="69"/>
      <c r="AE918" s="56"/>
      <c r="AF918" s="52"/>
      <c r="AG918" s="51"/>
      <c r="AH918" s="70"/>
      <c r="AI918" s="58"/>
      <c r="AJ918" s="55"/>
      <c r="AK918" s="51"/>
      <c r="AL918" s="69"/>
      <c r="AM918" s="56"/>
      <c r="AN918" s="52"/>
      <c r="AO918" s="51"/>
      <c r="AP918" s="70"/>
      <c r="AQ918" s="58"/>
      <c r="AR918" s="55"/>
      <c r="AS918" s="51"/>
      <c r="AT918" s="69"/>
      <c r="AU918" s="56"/>
      <c r="AV918" s="52"/>
      <c r="AW918" s="51"/>
      <c r="BR918" s="34" t="str">
        <f>IF(E918="","",CONCATENATE(E918," ",F918," noches"))</f>
        <v/>
      </c>
      <c r="BS918" s="28" t="str">
        <f t="shared" ca="1" si="224"/>
        <v/>
      </c>
      <c r="BT918" s="28" t="str">
        <f t="shared" ca="1" si="225"/>
        <v/>
      </c>
    </row>
    <row r="919" spans="1:72" x14ac:dyDescent="0.2">
      <c r="A919" s="18" t="str" cm="1">
        <f t="array" aca="1" ref="A919" ca="1">IF(B919="","","Grupo N˚"&amp;SUMPRODUCT(($B$4:B919&lt;&gt;"")*($B$4:B919&lt;&gt;OFFSET($B$4,-1,0,ROWS($B$4:B919),1))))</f>
        <v/>
      </c>
      <c r="B919" s="31"/>
      <c r="C919" s="31"/>
      <c r="D919" s="31"/>
      <c r="E919" s="31"/>
      <c r="F919" s="32"/>
      <c r="G919" s="33"/>
      <c r="H919" s="33"/>
      <c r="I919" s="20" t="str">
        <f t="shared" si="214"/>
        <v/>
      </c>
      <c r="J919" s="21" t="str">
        <f>IFERROR(VLOOKUP(BR919,Pricing!$D$3:$E$58,2,FALSE),"")</f>
        <v/>
      </c>
      <c r="K919" s="32"/>
      <c r="L919" s="32"/>
      <c r="M919" s="32"/>
      <c r="N919" s="36" t="str" cm="1">
        <f t="array" ref="N919">IFERROR(_xlfn.IFS((AND(K919="SI",M919="$")),J919*0.2,AND(K919="SI",M919="%"),20),"")</f>
        <v/>
      </c>
      <c r="O919" s="29" t="str">
        <f t="shared" si="215"/>
        <v/>
      </c>
      <c r="P919" s="21" t="str">
        <f t="shared" si="216"/>
        <v/>
      </c>
      <c r="Q919" s="21" t="str">
        <f t="shared" si="217"/>
        <v/>
      </c>
      <c r="R919" s="21" t="str">
        <f t="shared" si="218"/>
        <v/>
      </c>
      <c r="S919" s="39"/>
      <c r="T919" s="43" t="str">
        <f t="shared" si="226"/>
        <v/>
      </c>
      <c r="U919" s="49" t="str">
        <f t="shared" si="227"/>
        <v/>
      </c>
      <c r="V919" s="48" t="str">
        <f t="shared" si="228"/>
        <v/>
      </c>
      <c r="W919" s="48" t="str">
        <f t="shared" si="219"/>
        <v/>
      </c>
      <c r="X919" s="50" t="str">
        <f>IF(W919="","",SUMIF($B$4:$B$1002,B919,$W$4:$W$1000))</f>
        <v/>
      </c>
      <c r="Y919" s="43" t="str">
        <f t="shared" si="220"/>
        <v/>
      </c>
      <c r="Z919" s="49" t="str">
        <f t="shared" si="221"/>
        <v/>
      </c>
      <c r="AA919" s="48" t="str">
        <f t="shared" si="222"/>
        <v/>
      </c>
      <c r="AB919" s="49" t="str">
        <f t="shared" si="223"/>
        <v/>
      </c>
      <c r="AC919" s="50" t="str">
        <f>IF(AB919="","",SUMIF($B$4:$B$1002,B919,$AB$4:$AB$1000))</f>
        <v/>
      </c>
      <c r="AD919" s="69"/>
      <c r="AE919" s="56"/>
      <c r="AF919" s="52"/>
      <c r="AG919" s="51"/>
      <c r="AH919" s="70"/>
      <c r="AI919" s="58"/>
      <c r="AJ919" s="55"/>
      <c r="AK919" s="51"/>
      <c r="AL919" s="69"/>
      <c r="AM919" s="56"/>
      <c r="AN919" s="52"/>
      <c r="AO919" s="51"/>
      <c r="AP919" s="70"/>
      <c r="AQ919" s="58"/>
      <c r="AR919" s="55"/>
      <c r="AS919" s="51"/>
      <c r="AT919" s="69"/>
      <c r="AU919" s="56"/>
      <c r="AV919" s="52"/>
      <c r="AW919" s="51"/>
      <c r="BR919" s="34" t="str">
        <f>IF(E919="","",CONCATENATE(E919," ",F919," noches"))</f>
        <v/>
      </c>
      <c r="BS919" s="28" t="str">
        <f t="shared" ca="1" si="224"/>
        <v/>
      </c>
      <c r="BT919" s="28" t="str">
        <f t="shared" ca="1" si="225"/>
        <v/>
      </c>
    </row>
    <row r="920" spans="1:72" x14ac:dyDescent="0.2">
      <c r="A920" s="18" t="str" cm="1">
        <f t="array" aca="1" ref="A920" ca="1">IF(B920="","","Grupo N˚"&amp;SUMPRODUCT(($B$4:B920&lt;&gt;"")*($B$4:B920&lt;&gt;OFFSET($B$4,-1,0,ROWS($B$4:B920),1))))</f>
        <v/>
      </c>
      <c r="B920" s="31"/>
      <c r="C920" s="31"/>
      <c r="D920" s="31"/>
      <c r="E920" s="31"/>
      <c r="F920" s="32"/>
      <c r="G920" s="33"/>
      <c r="H920" s="33"/>
      <c r="I920" s="20" t="str">
        <f t="shared" si="214"/>
        <v/>
      </c>
      <c r="J920" s="21" t="str">
        <f>IFERROR(VLOOKUP(BR920,Pricing!$D$3:$E$58,2,FALSE),"")</f>
        <v/>
      </c>
      <c r="K920" s="32"/>
      <c r="L920" s="32"/>
      <c r="M920" s="32"/>
      <c r="N920" s="36" t="str" cm="1">
        <f t="array" ref="N920">IFERROR(_xlfn.IFS((AND(K920="SI",M920="$")),J920*0.2,AND(K920="SI",M920="%"),20),"")</f>
        <v/>
      </c>
      <c r="O920" s="29" t="str">
        <f t="shared" si="215"/>
        <v/>
      </c>
      <c r="P920" s="21" t="str">
        <f t="shared" si="216"/>
        <v/>
      </c>
      <c r="Q920" s="21" t="str">
        <f t="shared" si="217"/>
        <v/>
      </c>
      <c r="R920" s="21" t="str">
        <f t="shared" si="218"/>
        <v/>
      </c>
      <c r="S920" s="39"/>
      <c r="T920" s="43" t="str">
        <f t="shared" si="226"/>
        <v/>
      </c>
      <c r="U920" s="49" t="str">
        <f t="shared" si="227"/>
        <v/>
      </c>
      <c r="V920" s="48" t="str">
        <f t="shared" si="228"/>
        <v/>
      </c>
      <c r="W920" s="48" t="str">
        <f t="shared" si="219"/>
        <v/>
      </c>
      <c r="X920" s="50" t="str">
        <f>IF(W920="","",SUMIF($B$4:$B$1002,B920,$W$4:$W$1000))</f>
        <v/>
      </c>
      <c r="Y920" s="43" t="str">
        <f t="shared" si="220"/>
        <v/>
      </c>
      <c r="Z920" s="49" t="str">
        <f t="shared" si="221"/>
        <v/>
      </c>
      <c r="AA920" s="48" t="str">
        <f t="shared" si="222"/>
        <v/>
      </c>
      <c r="AB920" s="49" t="str">
        <f t="shared" si="223"/>
        <v/>
      </c>
      <c r="AC920" s="50" t="str">
        <f>IF(AB920="","",SUMIF($B$4:$B$1002,B920,$AB$4:$AB$1000))</f>
        <v/>
      </c>
      <c r="AD920" s="69"/>
      <c r="AE920" s="56"/>
      <c r="AF920" s="52"/>
      <c r="AG920" s="51"/>
      <c r="AH920" s="70"/>
      <c r="AI920" s="58"/>
      <c r="AJ920" s="55"/>
      <c r="AK920" s="51"/>
      <c r="AL920" s="69"/>
      <c r="AM920" s="56"/>
      <c r="AN920" s="52"/>
      <c r="AO920" s="51"/>
      <c r="AP920" s="70"/>
      <c r="AQ920" s="58"/>
      <c r="AR920" s="55"/>
      <c r="AS920" s="51"/>
      <c r="AT920" s="69"/>
      <c r="AU920" s="56"/>
      <c r="AV920" s="52"/>
      <c r="AW920" s="51"/>
      <c r="BR920" s="34" t="str">
        <f>IF(E920="","",CONCATENATE(E920," ",F920," noches"))</f>
        <v/>
      </c>
      <c r="BS920" s="28" t="str">
        <f t="shared" ca="1" si="224"/>
        <v/>
      </c>
      <c r="BT920" s="28" t="str">
        <f t="shared" ca="1" si="225"/>
        <v/>
      </c>
    </row>
    <row r="921" spans="1:72" x14ac:dyDescent="0.2">
      <c r="A921" s="18" t="str" cm="1">
        <f t="array" aca="1" ref="A921" ca="1">IF(B921="","","Grupo N˚"&amp;SUMPRODUCT(($B$4:B921&lt;&gt;"")*($B$4:B921&lt;&gt;OFFSET($B$4,-1,0,ROWS($B$4:B921),1))))</f>
        <v/>
      </c>
      <c r="B921" s="31"/>
      <c r="C921" s="31"/>
      <c r="D921" s="31"/>
      <c r="E921" s="31"/>
      <c r="F921" s="32"/>
      <c r="G921" s="33"/>
      <c r="H921" s="33"/>
      <c r="I921" s="20" t="str">
        <f t="shared" si="214"/>
        <v/>
      </c>
      <c r="J921" s="21" t="str">
        <f>IFERROR(VLOOKUP(BR921,Pricing!$D$3:$E$58,2,FALSE),"")</f>
        <v/>
      </c>
      <c r="K921" s="32"/>
      <c r="L921" s="32"/>
      <c r="M921" s="32"/>
      <c r="N921" s="36" t="str" cm="1">
        <f t="array" ref="N921">IFERROR(_xlfn.IFS((AND(K921="SI",M921="$")),J921*0.2,AND(K921="SI",M921="%"),20),"")</f>
        <v/>
      </c>
      <c r="O921" s="29" t="str">
        <f t="shared" si="215"/>
        <v/>
      </c>
      <c r="P921" s="21" t="str">
        <f t="shared" si="216"/>
        <v/>
      </c>
      <c r="Q921" s="21" t="str">
        <f t="shared" si="217"/>
        <v/>
      </c>
      <c r="R921" s="21" t="str">
        <f t="shared" si="218"/>
        <v/>
      </c>
      <c r="S921" s="39"/>
      <c r="T921" s="43" t="str">
        <f t="shared" si="226"/>
        <v/>
      </c>
      <c r="U921" s="49" t="str">
        <f t="shared" si="227"/>
        <v/>
      </c>
      <c r="V921" s="48" t="str">
        <f t="shared" si="228"/>
        <v/>
      </c>
      <c r="W921" s="48" t="str">
        <f t="shared" si="219"/>
        <v/>
      </c>
      <c r="X921" s="50" t="str">
        <f>IF(W921="","",SUMIF($B$4:$B$1002,B921,$W$4:$W$1000))</f>
        <v/>
      </c>
      <c r="Y921" s="43" t="str">
        <f t="shared" si="220"/>
        <v/>
      </c>
      <c r="Z921" s="49" t="str">
        <f t="shared" si="221"/>
        <v/>
      </c>
      <c r="AA921" s="48" t="str">
        <f t="shared" si="222"/>
        <v/>
      </c>
      <c r="AB921" s="49" t="str">
        <f t="shared" si="223"/>
        <v/>
      </c>
      <c r="AC921" s="50" t="str">
        <f>IF(AB921="","",SUMIF($B$4:$B$1002,B921,$AB$4:$AB$1000))</f>
        <v/>
      </c>
      <c r="AD921" s="69"/>
      <c r="AE921" s="56"/>
      <c r="AF921" s="52"/>
      <c r="AG921" s="51"/>
      <c r="AH921" s="70"/>
      <c r="AI921" s="58"/>
      <c r="AJ921" s="55"/>
      <c r="AK921" s="51"/>
      <c r="AL921" s="69"/>
      <c r="AM921" s="56"/>
      <c r="AN921" s="52"/>
      <c r="AO921" s="51"/>
      <c r="AP921" s="70"/>
      <c r="AQ921" s="58"/>
      <c r="AR921" s="55"/>
      <c r="AS921" s="51"/>
      <c r="AT921" s="69"/>
      <c r="AU921" s="56"/>
      <c r="AV921" s="52"/>
      <c r="AW921" s="51"/>
      <c r="BR921" s="34" t="str">
        <f>IF(E921="","",CONCATENATE(E921," ",F921," noches"))</f>
        <v/>
      </c>
      <c r="BS921" s="28" t="str">
        <f t="shared" ca="1" si="224"/>
        <v/>
      </c>
      <c r="BT921" s="28" t="str">
        <f t="shared" ca="1" si="225"/>
        <v/>
      </c>
    </row>
    <row r="922" spans="1:72" x14ac:dyDescent="0.2">
      <c r="A922" s="18" t="str" cm="1">
        <f t="array" aca="1" ref="A922" ca="1">IF(B922="","","Grupo N˚"&amp;SUMPRODUCT(($B$4:B922&lt;&gt;"")*($B$4:B922&lt;&gt;OFFSET($B$4,-1,0,ROWS($B$4:B922),1))))</f>
        <v/>
      </c>
      <c r="B922" s="31"/>
      <c r="C922" s="31"/>
      <c r="D922" s="31"/>
      <c r="E922" s="31"/>
      <c r="F922" s="32"/>
      <c r="G922" s="33"/>
      <c r="H922" s="33"/>
      <c r="I922" s="20" t="str">
        <f t="shared" si="214"/>
        <v/>
      </c>
      <c r="J922" s="21" t="str">
        <f>IFERROR(VLOOKUP(BR922,Pricing!$D$3:$E$58,2,FALSE),"")</f>
        <v/>
      </c>
      <c r="K922" s="32"/>
      <c r="L922" s="32"/>
      <c r="M922" s="32"/>
      <c r="N922" s="36" t="str" cm="1">
        <f t="array" ref="N922">IFERROR(_xlfn.IFS((AND(K922="SI",M922="$")),J922*0.2,AND(K922="SI",M922="%"),20),"")</f>
        <v/>
      </c>
      <c r="O922" s="29" t="str">
        <f t="shared" si="215"/>
        <v/>
      </c>
      <c r="P922" s="21" t="str">
        <f t="shared" si="216"/>
        <v/>
      </c>
      <c r="Q922" s="21" t="str">
        <f t="shared" si="217"/>
        <v/>
      </c>
      <c r="R922" s="21" t="str">
        <f t="shared" si="218"/>
        <v/>
      </c>
      <c r="S922" s="39"/>
      <c r="T922" s="43" t="str">
        <f t="shared" si="226"/>
        <v/>
      </c>
      <c r="U922" s="49" t="str">
        <f t="shared" si="227"/>
        <v/>
      </c>
      <c r="V922" s="48" t="str">
        <f t="shared" si="228"/>
        <v/>
      </c>
      <c r="W922" s="48" t="str">
        <f t="shared" si="219"/>
        <v/>
      </c>
      <c r="X922" s="50" t="str">
        <f>IF(W922="","",SUMIF($B$4:$B$1002,B922,$W$4:$W$1000))</f>
        <v/>
      </c>
      <c r="Y922" s="43" t="str">
        <f t="shared" si="220"/>
        <v/>
      </c>
      <c r="Z922" s="49" t="str">
        <f t="shared" si="221"/>
        <v/>
      </c>
      <c r="AA922" s="48" t="str">
        <f t="shared" si="222"/>
        <v/>
      </c>
      <c r="AB922" s="49" t="str">
        <f t="shared" si="223"/>
        <v/>
      </c>
      <c r="AC922" s="50" t="str">
        <f>IF(AB922="","",SUMIF($B$4:$B$1002,B922,$AB$4:$AB$1000))</f>
        <v/>
      </c>
      <c r="AD922" s="69"/>
      <c r="AE922" s="56"/>
      <c r="AF922" s="52"/>
      <c r="AG922" s="51"/>
      <c r="AH922" s="70"/>
      <c r="AI922" s="58"/>
      <c r="AJ922" s="55"/>
      <c r="AK922" s="51"/>
      <c r="AL922" s="69"/>
      <c r="AM922" s="56"/>
      <c r="AN922" s="52"/>
      <c r="AO922" s="51"/>
      <c r="AP922" s="70"/>
      <c r="AQ922" s="58"/>
      <c r="AR922" s="55"/>
      <c r="AS922" s="51"/>
      <c r="AT922" s="69"/>
      <c r="AU922" s="56"/>
      <c r="AV922" s="52"/>
      <c r="AW922" s="51"/>
      <c r="BR922" s="34" t="str">
        <f>IF(E922="","",CONCATENATE(E922," ",F922," noches"))</f>
        <v/>
      </c>
      <c r="BS922" s="28" t="str">
        <f t="shared" ca="1" si="224"/>
        <v/>
      </c>
      <c r="BT922" s="28" t="str">
        <f t="shared" ca="1" si="225"/>
        <v/>
      </c>
    </row>
    <row r="923" spans="1:72" x14ac:dyDescent="0.2">
      <c r="A923" s="18" t="str" cm="1">
        <f t="array" aca="1" ref="A923" ca="1">IF(B923="","","Grupo N˚"&amp;SUMPRODUCT(($B$4:B923&lt;&gt;"")*($B$4:B923&lt;&gt;OFFSET($B$4,-1,0,ROWS($B$4:B923),1))))</f>
        <v/>
      </c>
      <c r="B923" s="31"/>
      <c r="C923" s="31"/>
      <c r="D923" s="31"/>
      <c r="E923" s="31"/>
      <c r="F923" s="32"/>
      <c r="G923" s="33"/>
      <c r="H923" s="33"/>
      <c r="I923" s="20" t="str">
        <f t="shared" si="214"/>
        <v/>
      </c>
      <c r="J923" s="21" t="str">
        <f>IFERROR(VLOOKUP(BR923,Pricing!$D$3:$E$58,2,FALSE),"")</f>
        <v/>
      </c>
      <c r="K923" s="32"/>
      <c r="L923" s="32"/>
      <c r="M923" s="32"/>
      <c r="N923" s="36" t="str" cm="1">
        <f t="array" ref="N923">IFERROR(_xlfn.IFS((AND(K923="SI",M923="$")),J923*0.2,AND(K923="SI",M923="%"),20),"")</f>
        <v/>
      </c>
      <c r="O923" s="29" t="str">
        <f t="shared" si="215"/>
        <v/>
      </c>
      <c r="P923" s="21" t="str">
        <f t="shared" si="216"/>
        <v/>
      </c>
      <c r="Q923" s="21" t="str">
        <f t="shared" si="217"/>
        <v/>
      </c>
      <c r="R923" s="21" t="str">
        <f t="shared" si="218"/>
        <v/>
      </c>
      <c r="S923" s="39"/>
      <c r="T923" s="43" t="str">
        <f t="shared" si="226"/>
        <v/>
      </c>
      <c r="U923" s="49" t="str">
        <f t="shared" si="227"/>
        <v/>
      </c>
      <c r="V923" s="48" t="str">
        <f t="shared" si="228"/>
        <v/>
      </c>
      <c r="W923" s="48" t="str">
        <f t="shared" si="219"/>
        <v/>
      </c>
      <c r="X923" s="50" t="str">
        <f>IF(W923="","",SUMIF($B$4:$B$1002,B923,$W$4:$W$1000))</f>
        <v/>
      </c>
      <c r="Y923" s="43" t="str">
        <f t="shared" si="220"/>
        <v/>
      </c>
      <c r="Z923" s="49" t="str">
        <f t="shared" si="221"/>
        <v/>
      </c>
      <c r="AA923" s="48" t="str">
        <f t="shared" si="222"/>
        <v/>
      </c>
      <c r="AB923" s="49" t="str">
        <f t="shared" si="223"/>
        <v/>
      </c>
      <c r="AC923" s="50" t="str">
        <f>IF(AB923="","",SUMIF($B$4:$B$1002,B923,$AB$4:$AB$1000))</f>
        <v/>
      </c>
      <c r="AD923" s="69"/>
      <c r="AE923" s="56"/>
      <c r="AF923" s="52"/>
      <c r="AG923" s="51"/>
      <c r="AH923" s="70"/>
      <c r="AI923" s="58"/>
      <c r="AJ923" s="55"/>
      <c r="AK923" s="51"/>
      <c r="AL923" s="69"/>
      <c r="AM923" s="56"/>
      <c r="AN923" s="52"/>
      <c r="AO923" s="51"/>
      <c r="AP923" s="70"/>
      <c r="AQ923" s="58"/>
      <c r="AR923" s="55"/>
      <c r="AS923" s="51"/>
      <c r="AT923" s="69"/>
      <c r="AU923" s="56"/>
      <c r="AV923" s="52"/>
      <c r="AW923" s="51"/>
      <c r="BR923" s="34" t="str">
        <f>IF(E923="","",CONCATENATE(E923," ",F923," noches"))</f>
        <v/>
      </c>
      <c r="BS923" s="28" t="str">
        <f t="shared" ca="1" si="224"/>
        <v/>
      </c>
      <c r="BT923" s="28" t="str">
        <f t="shared" ca="1" si="225"/>
        <v/>
      </c>
    </row>
    <row r="924" spans="1:72" x14ac:dyDescent="0.2">
      <c r="A924" s="18" t="str" cm="1">
        <f t="array" aca="1" ref="A924" ca="1">IF(B924="","","Grupo N˚"&amp;SUMPRODUCT(($B$4:B924&lt;&gt;"")*($B$4:B924&lt;&gt;OFFSET($B$4,-1,0,ROWS($B$4:B924),1))))</f>
        <v/>
      </c>
      <c r="B924" s="31"/>
      <c r="C924" s="31"/>
      <c r="D924" s="31"/>
      <c r="E924" s="31"/>
      <c r="F924" s="32"/>
      <c r="G924" s="33"/>
      <c r="H924" s="33"/>
      <c r="I924" s="20" t="str">
        <f t="shared" si="214"/>
        <v/>
      </c>
      <c r="J924" s="21" t="str">
        <f>IFERROR(VLOOKUP(BR924,Pricing!$D$3:$E$58,2,FALSE),"")</f>
        <v/>
      </c>
      <c r="K924" s="32"/>
      <c r="L924" s="32"/>
      <c r="M924" s="32"/>
      <c r="N924" s="36" t="str" cm="1">
        <f t="array" ref="N924">IFERROR(_xlfn.IFS((AND(K924="SI",M924="$")),J924*0.2,AND(K924="SI",M924="%"),20),"")</f>
        <v/>
      </c>
      <c r="O924" s="29" t="str">
        <f t="shared" si="215"/>
        <v/>
      </c>
      <c r="P924" s="21" t="str">
        <f t="shared" si="216"/>
        <v/>
      </c>
      <c r="Q924" s="21" t="str">
        <f t="shared" si="217"/>
        <v/>
      </c>
      <c r="R924" s="21" t="str">
        <f t="shared" si="218"/>
        <v/>
      </c>
      <c r="S924" s="39"/>
      <c r="T924" s="43" t="str">
        <f t="shared" si="226"/>
        <v/>
      </c>
      <c r="U924" s="49" t="str">
        <f t="shared" si="227"/>
        <v/>
      </c>
      <c r="V924" s="48" t="str">
        <f t="shared" si="228"/>
        <v/>
      </c>
      <c r="W924" s="48" t="str">
        <f t="shared" si="219"/>
        <v/>
      </c>
      <c r="X924" s="50" t="str">
        <f>IF(W924="","",SUMIF($B$4:$B$1002,B924,$W$4:$W$1000))</f>
        <v/>
      </c>
      <c r="Y924" s="43" t="str">
        <f t="shared" si="220"/>
        <v/>
      </c>
      <c r="Z924" s="49" t="str">
        <f t="shared" si="221"/>
        <v/>
      </c>
      <c r="AA924" s="48" t="str">
        <f t="shared" si="222"/>
        <v/>
      </c>
      <c r="AB924" s="49" t="str">
        <f t="shared" si="223"/>
        <v/>
      </c>
      <c r="AC924" s="50" t="str">
        <f>IF(AB924="","",SUMIF($B$4:$B$1002,B924,$AB$4:$AB$1000))</f>
        <v/>
      </c>
      <c r="AD924" s="69"/>
      <c r="AE924" s="56"/>
      <c r="AF924" s="52"/>
      <c r="AG924" s="51"/>
      <c r="AH924" s="70"/>
      <c r="AI924" s="58"/>
      <c r="AJ924" s="55"/>
      <c r="AK924" s="51"/>
      <c r="AL924" s="69"/>
      <c r="AM924" s="56"/>
      <c r="AN924" s="52"/>
      <c r="AO924" s="51"/>
      <c r="AP924" s="70"/>
      <c r="AQ924" s="58"/>
      <c r="AR924" s="55"/>
      <c r="AS924" s="51"/>
      <c r="AT924" s="69"/>
      <c r="AU924" s="56"/>
      <c r="AV924" s="52"/>
      <c r="AW924" s="51"/>
      <c r="BR924" s="34" t="str">
        <f>IF(E924="","",CONCATENATE(E924," ",F924," noches"))</f>
        <v/>
      </c>
      <c r="BS924" s="28" t="str">
        <f t="shared" ca="1" si="224"/>
        <v/>
      </c>
      <c r="BT924" s="28" t="str">
        <f t="shared" ca="1" si="225"/>
        <v/>
      </c>
    </row>
    <row r="925" spans="1:72" x14ac:dyDescent="0.2">
      <c r="A925" s="18" t="str" cm="1">
        <f t="array" aca="1" ref="A925" ca="1">IF(B925="","","Grupo N˚"&amp;SUMPRODUCT(($B$4:B925&lt;&gt;"")*($B$4:B925&lt;&gt;OFFSET($B$4,-1,0,ROWS($B$4:B925),1))))</f>
        <v/>
      </c>
      <c r="B925" s="31"/>
      <c r="C925" s="31"/>
      <c r="D925" s="31"/>
      <c r="E925" s="31"/>
      <c r="F925" s="32"/>
      <c r="G925" s="33"/>
      <c r="H925" s="33"/>
      <c r="I925" s="20" t="str">
        <f t="shared" si="214"/>
        <v/>
      </c>
      <c r="J925" s="21" t="str">
        <f>IFERROR(VLOOKUP(BR925,Pricing!$D$3:$E$58,2,FALSE),"")</f>
        <v/>
      </c>
      <c r="K925" s="32"/>
      <c r="L925" s="32"/>
      <c r="M925" s="32"/>
      <c r="N925" s="36" t="str" cm="1">
        <f t="array" ref="N925">IFERROR(_xlfn.IFS((AND(K925="SI",M925="$")),J925*0.2,AND(K925="SI",M925="%"),20),"")</f>
        <v/>
      </c>
      <c r="O925" s="29" t="str">
        <f t="shared" si="215"/>
        <v/>
      </c>
      <c r="P925" s="21" t="str">
        <f t="shared" si="216"/>
        <v/>
      </c>
      <c r="Q925" s="21" t="str">
        <f t="shared" si="217"/>
        <v/>
      </c>
      <c r="R925" s="21" t="str">
        <f t="shared" si="218"/>
        <v/>
      </c>
      <c r="S925" s="39"/>
      <c r="T925" s="43" t="str">
        <f t="shared" si="226"/>
        <v/>
      </c>
      <c r="U925" s="49" t="str">
        <f t="shared" si="227"/>
        <v/>
      </c>
      <c r="V925" s="48" t="str">
        <f t="shared" si="228"/>
        <v/>
      </c>
      <c r="W925" s="48" t="str">
        <f t="shared" si="219"/>
        <v/>
      </c>
      <c r="X925" s="50" t="str">
        <f>IF(W925="","",SUMIF($B$4:$B$1002,B925,$W$4:$W$1000))</f>
        <v/>
      </c>
      <c r="Y925" s="43" t="str">
        <f t="shared" si="220"/>
        <v/>
      </c>
      <c r="Z925" s="49" t="str">
        <f t="shared" si="221"/>
        <v/>
      </c>
      <c r="AA925" s="48" t="str">
        <f t="shared" si="222"/>
        <v/>
      </c>
      <c r="AB925" s="49" t="str">
        <f t="shared" si="223"/>
        <v/>
      </c>
      <c r="AC925" s="50" t="str">
        <f>IF(AB925="","",SUMIF($B$4:$B$1002,B925,$AB$4:$AB$1000))</f>
        <v/>
      </c>
      <c r="AD925" s="69"/>
      <c r="AE925" s="56"/>
      <c r="AF925" s="52"/>
      <c r="AG925" s="51"/>
      <c r="AH925" s="70"/>
      <c r="AI925" s="58"/>
      <c r="AJ925" s="55"/>
      <c r="AK925" s="51"/>
      <c r="AL925" s="69"/>
      <c r="AM925" s="56"/>
      <c r="AN925" s="52"/>
      <c r="AO925" s="51"/>
      <c r="AP925" s="70"/>
      <c r="AQ925" s="58"/>
      <c r="AR925" s="55"/>
      <c r="AS925" s="51"/>
      <c r="AT925" s="69"/>
      <c r="AU925" s="56"/>
      <c r="AV925" s="52"/>
      <c r="AW925" s="51"/>
      <c r="BR925" s="34" t="str">
        <f>IF(E925="","",CONCATENATE(E925," ",F925," noches"))</f>
        <v/>
      </c>
      <c r="BS925" s="28" t="str">
        <f t="shared" ca="1" si="224"/>
        <v/>
      </c>
      <c r="BT925" s="28" t="str">
        <f t="shared" ca="1" si="225"/>
        <v/>
      </c>
    </row>
    <row r="926" spans="1:72" x14ac:dyDescent="0.2">
      <c r="A926" s="18" t="str" cm="1">
        <f t="array" aca="1" ref="A926" ca="1">IF(B926="","","Grupo N˚"&amp;SUMPRODUCT(($B$4:B926&lt;&gt;"")*($B$4:B926&lt;&gt;OFFSET($B$4,-1,0,ROWS($B$4:B926),1))))</f>
        <v/>
      </c>
      <c r="B926" s="31"/>
      <c r="C926" s="31"/>
      <c r="D926" s="31"/>
      <c r="E926" s="31"/>
      <c r="F926" s="32"/>
      <c r="G926" s="33"/>
      <c r="H926" s="33"/>
      <c r="I926" s="20" t="str">
        <f t="shared" si="214"/>
        <v/>
      </c>
      <c r="J926" s="21" t="str">
        <f>IFERROR(VLOOKUP(BR926,Pricing!$D$3:$E$58,2,FALSE),"")</f>
        <v/>
      </c>
      <c r="K926" s="32"/>
      <c r="L926" s="32"/>
      <c r="M926" s="32"/>
      <c r="N926" s="36" t="str" cm="1">
        <f t="array" ref="N926">IFERROR(_xlfn.IFS((AND(K926="SI",M926="$")),J926*0.2,AND(K926="SI",M926="%"),20),"")</f>
        <v/>
      </c>
      <c r="O926" s="29" t="str">
        <f t="shared" si="215"/>
        <v/>
      </c>
      <c r="P926" s="21" t="str">
        <f t="shared" si="216"/>
        <v/>
      </c>
      <c r="Q926" s="21" t="str">
        <f t="shared" si="217"/>
        <v/>
      </c>
      <c r="R926" s="21" t="str">
        <f t="shared" si="218"/>
        <v/>
      </c>
      <c r="S926" s="39"/>
      <c r="T926" s="43" t="str">
        <f t="shared" si="226"/>
        <v/>
      </c>
      <c r="U926" s="49" t="str">
        <f t="shared" si="227"/>
        <v/>
      </c>
      <c r="V926" s="48" t="str">
        <f t="shared" si="228"/>
        <v/>
      </c>
      <c r="W926" s="48" t="str">
        <f t="shared" si="219"/>
        <v/>
      </c>
      <c r="X926" s="50" t="str">
        <f>IF(W926="","",SUMIF($B$4:$B$1002,B926,$W$4:$W$1000))</f>
        <v/>
      </c>
      <c r="Y926" s="43" t="str">
        <f t="shared" si="220"/>
        <v/>
      </c>
      <c r="Z926" s="49" t="str">
        <f t="shared" si="221"/>
        <v/>
      </c>
      <c r="AA926" s="48" t="str">
        <f t="shared" si="222"/>
        <v/>
      </c>
      <c r="AB926" s="49" t="str">
        <f t="shared" si="223"/>
        <v/>
      </c>
      <c r="AC926" s="50" t="str">
        <f>IF(AB926="","",SUMIF($B$4:$B$1002,B926,$AB$4:$AB$1000))</f>
        <v/>
      </c>
      <c r="AD926" s="69"/>
      <c r="AE926" s="56"/>
      <c r="AF926" s="52"/>
      <c r="AG926" s="51"/>
      <c r="AH926" s="70"/>
      <c r="AI926" s="58"/>
      <c r="AJ926" s="55"/>
      <c r="AK926" s="51"/>
      <c r="AL926" s="69"/>
      <c r="AM926" s="56"/>
      <c r="AN926" s="52"/>
      <c r="AO926" s="51"/>
      <c r="AP926" s="70"/>
      <c r="AQ926" s="58"/>
      <c r="AR926" s="55"/>
      <c r="AS926" s="51"/>
      <c r="AT926" s="69"/>
      <c r="AU926" s="56"/>
      <c r="AV926" s="52"/>
      <c r="AW926" s="51"/>
      <c r="BR926" s="34" t="str">
        <f>IF(E926="","",CONCATENATE(E926," ",F926," noches"))</f>
        <v/>
      </c>
      <c r="BS926" s="28" t="str">
        <f t="shared" ca="1" si="224"/>
        <v/>
      </c>
      <c r="BT926" s="28" t="str">
        <f t="shared" ca="1" si="225"/>
        <v/>
      </c>
    </row>
    <row r="927" spans="1:72" x14ac:dyDescent="0.2">
      <c r="A927" s="18" t="str" cm="1">
        <f t="array" aca="1" ref="A927" ca="1">IF(B927="","","Grupo N˚"&amp;SUMPRODUCT(($B$4:B927&lt;&gt;"")*($B$4:B927&lt;&gt;OFFSET($B$4,-1,0,ROWS($B$4:B927),1))))</f>
        <v/>
      </c>
      <c r="B927" s="31"/>
      <c r="C927" s="31"/>
      <c r="D927" s="31"/>
      <c r="E927" s="31"/>
      <c r="F927" s="32"/>
      <c r="G927" s="33"/>
      <c r="H927" s="33"/>
      <c r="I927" s="20" t="str">
        <f t="shared" si="214"/>
        <v/>
      </c>
      <c r="J927" s="21" t="str">
        <f>IFERROR(VLOOKUP(BR927,Pricing!$D$3:$E$58,2,FALSE),"")</f>
        <v/>
      </c>
      <c r="K927" s="32"/>
      <c r="L927" s="32"/>
      <c r="M927" s="32"/>
      <c r="N927" s="36" t="str" cm="1">
        <f t="array" ref="N927">IFERROR(_xlfn.IFS((AND(K927="SI",M927="$")),J927*0.2,AND(K927="SI",M927="%"),20),"")</f>
        <v/>
      </c>
      <c r="O927" s="29" t="str">
        <f t="shared" si="215"/>
        <v/>
      </c>
      <c r="P927" s="21" t="str">
        <f t="shared" si="216"/>
        <v/>
      </c>
      <c r="Q927" s="21" t="str">
        <f t="shared" si="217"/>
        <v/>
      </c>
      <c r="R927" s="21" t="str">
        <f t="shared" si="218"/>
        <v/>
      </c>
      <c r="S927" s="39"/>
      <c r="T927" s="43" t="str">
        <f t="shared" si="226"/>
        <v/>
      </c>
      <c r="U927" s="49" t="str">
        <f t="shared" si="227"/>
        <v/>
      </c>
      <c r="V927" s="48" t="str">
        <f t="shared" si="228"/>
        <v/>
      </c>
      <c r="W927" s="48" t="str">
        <f t="shared" si="219"/>
        <v/>
      </c>
      <c r="X927" s="50" t="str">
        <f>IF(W927="","",SUMIF($B$4:$B$1002,B927,$W$4:$W$1000))</f>
        <v/>
      </c>
      <c r="Y927" s="43" t="str">
        <f t="shared" si="220"/>
        <v/>
      </c>
      <c r="Z927" s="49" t="str">
        <f t="shared" si="221"/>
        <v/>
      </c>
      <c r="AA927" s="48" t="str">
        <f t="shared" si="222"/>
        <v/>
      </c>
      <c r="AB927" s="49" t="str">
        <f t="shared" si="223"/>
        <v/>
      </c>
      <c r="AC927" s="50" t="str">
        <f>IF(AB927="","",SUMIF($B$4:$B$1002,B927,$AB$4:$AB$1000))</f>
        <v/>
      </c>
      <c r="AD927" s="69"/>
      <c r="AE927" s="56"/>
      <c r="AF927" s="52"/>
      <c r="AG927" s="51"/>
      <c r="AH927" s="70"/>
      <c r="AI927" s="58"/>
      <c r="AJ927" s="55"/>
      <c r="AK927" s="51"/>
      <c r="AL927" s="69"/>
      <c r="AM927" s="56"/>
      <c r="AN927" s="52"/>
      <c r="AO927" s="51"/>
      <c r="AP927" s="70"/>
      <c r="AQ927" s="58"/>
      <c r="AR927" s="55"/>
      <c r="AS927" s="51"/>
      <c r="AT927" s="69"/>
      <c r="AU927" s="56"/>
      <c r="AV927" s="52"/>
      <c r="AW927" s="51"/>
      <c r="BR927" s="34" t="str">
        <f>IF(E927="","",CONCATENATE(E927," ",F927," noches"))</f>
        <v/>
      </c>
      <c r="BS927" s="28" t="str">
        <f t="shared" ca="1" si="224"/>
        <v/>
      </c>
      <c r="BT927" s="28" t="str">
        <f t="shared" ca="1" si="225"/>
        <v/>
      </c>
    </row>
    <row r="928" spans="1:72" x14ac:dyDescent="0.2">
      <c r="A928" s="18" t="str" cm="1">
        <f t="array" aca="1" ref="A928" ca="1">IF(B928="","","Grupo N˚"&amp;SUMPRODUCT(($B$4:B928&lt;&gt;"")*($B$4:B928&lt;&gt;OFFSET($B$4,-1,0,ROWS($B$4:B928),1))))</f>
        <v/>
      </c>
      <c r="B928" s="31"/>
      <c r="C928" s="31"/>
      <c r="D928" s="31"/>
      <c r="E928" s="31"/>
      <c r="F928" s="32"/>
      <c r="G928" s="33"/>
      <c r="H928" s="33"/>
      <c r="I928" s="20" t="str">
        <f t="shared" si="214"/>
        <v/>
      </c>
      <c r="J928" s="21" t="str">
        <f>IFERROR(VLOOKUP(BR928,Pricing!$D$3:$E$58,2,FALSE),"")</f>
        <v/>
      </c>
      <c r="K928" s="32"/>
      <c r="L928" s="32"/>
      <c r="M928" s="32"/>
      <c r="N928" s="36" t="str" cm="1">
        <f t="array" ref="N928">IFERROR(_xlfn.IFS((AND(K928="SI",M928="$")),J928*0.2,AND(K928="SI",M928="%"),20),"")</f>
        <v/>
      </c>
      <c r="O928" s="29" t="str">
        <f t="shared" si="215"/>
        <v/>
      </c>
      <c r="P928" s="21" t="str">
        <f t="shared" si="216"/>
        <v/>
      </c>
      <c r="Q928" s="21" t="str">
        <f t="shared" si="217"/>
        <v/>
      </c>
      <c r="R928" s="21" t="str">
        <f t="shared" si="218"/>
        <v/>
      </c>
      <c r="S928" s="39"/>
      <c r="T928" s="43" t="str">
        <f t="shared" si="226"/>
        <v/>
      </c>
      <c r="U928" s="49" t="str">
        <f t="shared" si="227"/>
        <v/>
      </c>
      <c r="V928" s="48" t="str">
        <f t="shared" si="228"/>
        <v/>
      </c>
      <c r="W928" s="48" t="str">
        <f t="shared" si="219"/>
        <v/>
      </c>
      <c r="X928" s="50" t="str">
        <f>IF(W928="","",SUMIF($B$4:$B$1002,B928,$W$4:$W$1000))</f>
        <v/>
      </c>
      <c r="Y928" s="43" t="str">
        <f t="shared" si="220"/>
        <v/>
      </c>
      <c r="Z928" s="49" t="str">
        <f t="shared" si="221"/>
        <v/>
      </c>
      <c r="AA928" s="48" t="str">
        <f t="shared" si="222"/>
        <v/>
      </c>
      <c r="AB928" s="49" t="str">
        <f t="shared" si="223"/>
        <v/>
      </c>
      <c r="AC928" s="50" t="str">
        <f>IF(AB928="","",SUMIF($B$4:$B$1002,B928,$AB$4:$AB$1000))</f>
        <v/>
      </c>
      <c r="AD928" s="69"/>
      <c r="AE928" s="56"/>
      <c r="AF928" s="52"/>
      <c r="AG928" s="51"/>
      <c r="AH928" s="70"/>
      <c r="AI928" s="58"/>
      <c r="AJ928" s="55"/>
      <c r="AK928" s="51"/>
      <c r="AL928" s="69"/>
      <c r="AM928" s="56"/>
      <c r="AN928" s="52"/>
      <c r="AO928" s="51"/>
      <c r="AP928" s="70"/>
      <c r="AQ928" s="58"/>
      <c r="AR928" s="55"/>
      <c r="AS928" s="51"/>
      <c r="AT928" s="69"/>
      <c r="AU928" s="56"/>
      <c r="AV928" s="52"/>
      <c r="AW928" s="51"/>
      <c r="BR928" s="34" t="str">
        <f>IF(E928="","",CONCATENATE(E928," ",F928," noches"))</f>
        <v/>
      </c>
      <c r="BS928" s="28" t="str">
        <f t="shared" ca="1" si="224"/>
        <v/>
      </c>
      <c r="BT928" s="28" t="str">
        <f t="shared" ca="1" si="225"/>
        <v/>
      </c>
    </row>
    <row r="929" spans="1:72" x14ac:dyDescent="0.2">
      <c r="A929" s="18" t="str" cm="1">
        <f t="array" aca="1" ref="A929" ca="1">IF(B929="","","Grupo N˚"&amp;SUMPRODUCT(($B$4:B929&lt;&gt;"")*($B$4:B929&lt;&gt;OFFSET($B$4,-1,0,ROWS($B$4:B929),1))))</f>
        <v/>
      </c>
      <c r="B929" s="31"/>
      <c r="C929" s="31"/>
      <c r="D929" s="31"/>
      <c r="E929" s="31"/>
      <c r="F929" s="32"/>
      <c r="G929" s="33"/>
      <c r="H929" s="33"/>
      <c r="I929" s="20" t="str">
        <f t="shared" si="214"/>
        <v/>
      </c>
      <c r="J929" s="21" t="str">
        <f>IFERROR(VLOOKUP(BR929,Pricing!$D$3:$E$58,2,FALSE),"")</f>
        <v/>
      </c>
      <c r="K929" s="32"/>
      <c r="L929" s="32"/>
      <c r="M929" s="32"/>
      <c r="N929" s="36" t="str" cm="1">
        <f t="array" ref="N929">IFERROR(_xlfn.IFS((AND(K929="SI",M929="$")),J929*0.2,AND(K929="SI",M929="%"),20),"")</f>
        <v/>
      </c>
      <c r="O929" s="29" t="str">
        <f t="shared" si="215"/>
        <v/>
      </c>
      <c r="P929" s="21" t="str">
        <f t="shared" si="216"/>
        <v/>
      </c>
      <c r="Q929" s="21" t="str">
        <f t="shared" si="217"/>
        <v/>
      </c>
      <c r="R929" s="21" t="str">
        <f t="shared" si="218"/>
        <v/>
      </c>
      <c r="S929" s="39"/>
      <c r="T929" s="43" t="str">
        <f t="shared" si="226"/>
        <v/>
      </c>
      <c r="U929" s="49" t="str">
        <f t="shared" si="227"/>
        <v/>
      </c>
      <c r="V929" s="48" t="str">
        <f t="shared" si="228"/>
        <v/>
      </c>
      <c r="W929" s="48" t="str">
        <f t="shared" si="219"/>
        <v/>
      </c>
      <c r="X929" s="50" t="str">
        <f>IF(W929="","",SUMIF($B$4:$B$1002,B929,$W$4:$W$1000))</f>
        <v/>
      </c>
      <c r="Y929" s="43" t="str">
        <f t="shared" si="220"/>
        <v/>
      </c>
      <c r="Z929" s="49" t="str">
        <f t="shared" si="221"/>
        <v/>
      </c>
      <c r="AA929" s="48" t="str">
        <f t="shared" si="222"/>
        <v/>
      </c>
      <c r="AB929" s="49" t="str">
        <f t="shared" si="223"/>
        <v/>
      </c>
      <c r="AC929" s="50" t="str">
        <f>IF(AB929="","",SUMIF($B$4:$B$1002,B929,$AB$4:$AB$1000))</f>
        <v/>
      </c>
      <c r="AD929" s="69"/>
      <c r="AE929" s="56"/>
      <c r="AF929" s="52"/>
      <c r="AG929" s="51"/>
      <c r="AH929" s="70"/>
      <c r="AI929" s="58"/>
      <c r="AJ929" s="55"/>
      <c r="AK929" s="51"/>
      <c r="AL929" s="69"/>
      <c r="AM929" s="56"/>
      <c r="AN929" s="52"/>
      <c r="AO929" s="51"/>
      <c r="AP929" s="70"/>
      <c r="AQ929" s="58"/>
      <c r="AR929" s="55"/>
      <c r="AS929" s="51"/>
      <c r="AT929" s="69"/>
      <c r="AU929" s="56"/>
      <c r="AV929" s="52"/>
      <c r="AW929" s="51"/>
      <c r="BR929" s="34" t="str">
        <f>IF(E929="","",CONCATENATE(E929," ",F929," noches"))</f>
        <v/>
      </c>
      <c r="BS929" s="28" t="str">
        <f t="shared" ca="1" si="224"/>
        <v/>
      </c>
      <c r="BT929" s="28" t="str">
        <f t="shared" ca="1" si="225"/>
        <v/>
      </c>
    </row>
    <row r="930" spans="1:72" x14ac:dyDescent="0.2">
      <c r="A930" s="18" t="str" cm="1">
        <f t="array" aca="1" ref="A930" ca="1">IF(B930="","","Grupo N˚"&amp;SUMPRODUCT(($B$4:B930&lt;&gt;"")*($B$4:B930&lt;&gt;OFFSET($B$4,-1,0,ROWS($B$4:B930),1))))</f>
        <v/>
      </c>
      <c r="B930" s="31"/>
      <c r="C930" s="31"/>
      <c r="D930" s="31"/>
      <c r="E930" s="31"/>
      <c r="F930" s="32"/>
      <c r="G930" s="33"/>
      <c r="H930" s="33"/>
      <c r="I930" s="20" t="str">
        <f t="shared" si="214"/>
        <v/>
      </c>
      <c r="J930" s="21" t="str">
        <f>IFERROR(VLOOKUP(BR930,Pricing!$D$3:$E$58,2,FALSE),"")</f>
        <v/>
      </c>
      <c r="K930" s="32"/>
      <c r="L930" s="32"/>
      <c r="M930" s="32"/>
      <c r="N930" s="36" t="str" cm="1">
        <f t="array" ref="N930">IFERROR(_xlfn.IFS((AND(K930="SI",M930="$")),J930*0.2,AND(K930="SI",M930="%"),20),"")</f>
        <v/>
      </c>
      <c r="O930" s="29" t="str">
        <f t="shared" si="215"/>
        <v/>
      </c>
      <c r="P930" s="21" t="str">
        <f t="shared" si="216"/>
        <v/>
      </c>
      <c r="Q930" s="21" t="str">
        <f t="shared" si="217"/>
        <v/>
      </c>
      <c r="R930" s="21" t="str">
        <f t="shared" si="218"/>
        <v/>
      </c>
      <c r="S930" s="39"/>
      <c r="T930" s="43" t="str">
        <f t="shared" si="226"/>
        <v/>
      </c>
      <c r="U930" s="49" t="str">
        <f t="shared" si="227"/>
        <v/>
      </c>
      <c r="V930" s="48" t="str">
        <f t="shared" si="228"/>
        <v/>
      </c>
      <c r="W930" s="48" t="str">
        <f t="shared" si="219"/>
        <v/>
      </c>
      <c r="X930" s="50" t="str">
        <f>IF(W930="","",SUMIF($B$4:$B$1002,B930,$W$4:$W$1000))</f>
        <v/>
      </c>
      <c r="Y930" s="43" t="str">
        <f t="shared" si="220"/>
        <v/>
      </c>
      <c r="Z930" s="49" t="str">
        <f t="shared" si="221"/>
        <v/>
      </c>
      <c r="AA930" s="48" t="str">
        <f t="shared" si="222"/>
        <v/>
      </c>
      <c r="AB930" s="49" t="str">
        <f t="shared" si="223"/>
        <v/>
      </c>
      <c r="AC930" s="50" t="str">
        <f>IF(AB930="","",SUMIF($B$4:$B$1002,B930,$AB$4:$AB$1000))</f>
        <v/>
      </c>
      <c r="AD930" s="69"/>
      <c r="AE930" s="56"/>
      <c r="AF930" s="52"/>
      <c r="AG930" s="51"/>
      <c r="AH930" s="70"/>
      <c r="AI930" s="58"/>
      <c r="AJ930" s="55"/>
      <c r="AK930" s="51"/>
      <c r="AL930" s="69"/>
      <c r="AM930" s="56"/>
      <c r="AN930" s="52"/>
      <c r="AO930" s="51"/>
      <c r="AP930" s="70"/>
      <c r="AQ930" s="58"/>
      <c r="AR930" s="55"/>
      <c r="AS930" s="51"/>
      <c r="AT930" s="69"/>
      <c r="AU930" s="56"/>
      <c r="AV930" s="52"/>
      <c r="AW930" s="51"/>
      <c r="BR930" s="34" t="str">
        <f>IF(E930="","",CONCATENATE(E930," ",F930," noches"))</f>
        <v/>
      </c>
      <c r="BS930" s="28" t="str">
        <f t="shared" ca="1" si="224"/>
        <v/>
      </c>
      <c r="BT930" s="28" t="str">
        <f t="shared" ca="1" si="225"/>
        <v/>
      </c>
    </row>
    <row r="931" spans="1:72" x14ac:dyDescent="0.2">
      <c r="A931" s="18" t="str" cm="1">
        <f t="array" aca="1" ref="A931" ca="1">IF(B931="","","Grupo N˚"&amp;SUMPRODUCT(($B$4:B931&lt;&gt;"")*($B$4:B931&lt;&gt;OFFSET($B$4,-1,0,ROWS($B$4:B931),1))))</f>
        <v/>
      </c>
      <c r="B931" s="31"/>
      <c r="C931" s="31"/>
      <c r="D931" s="31"/>
      <c r="E931" s="31"/>
      <c r="F931" s="32"/>
      <c r="G931" s="33"/>
      <c r="H931" s="33"/>
      <c r="I931" s="20" t="str">
        <f t="shared" si="214"/>
        <v/>
      </c>
      <c r="J931" s="21" t="str">
        <f>IFERROR(VLOOKUP(BR931,Pricing!$D$3:$E$58,2,FALSE),"")</f>
        <v/>
      </c>
      <c r="K931" s="32"/>
      <c r="L931" s="32"/>
      <c r="M931" s="32"/>
      <c r="N931" s="36" t="str" cm="1">
        <f t="array" ref="N931">IFERROR(_xlfn.IFS((AND(K931="SI",M931="$")),J931*0.2,AND(K931="SI",M931="%"),20),"")</f>
        <v/>
      </c>
      <c r="O931" s="29" t="str">
        <f t="shared" si="215"/>
        <v/>
      </c>
      <c r="P931" s="21" t="str">
        <f t="shared" si="216"/>
        <v/>
      </c>
      <c r="Q931" s="21" t="str">
        <f t="shared" si="217"/>
        <v/>
      </c>
      <c r="R931" s="21" t="str">
        <f t="shared" si="218"/>
        <v/>
      </c>
      <c r="S931" s="39"/>
      <c r="T931" s="43" t="str">
        <f t="shared" si="226"/>
        <v/>
      </c>
      <c r="U931" s="49" t="str">
        <f t="shared" si="227"/>
        <v/>
      </c>
      <c r="V931" s="48" t="str">
        <f t="shared" si="228"/>
        <v/>
      </c>
      <c r="W931" s="48" t="str">
        <f t="shared" si="219"/>
        <v/>
      </c>
      <c r="X931" s="50" t="str">
        <f>IF(W931="","",SUMIF($B$4:$B$1002,B931,$W$4:$W$1000))</f>
        <v/>
      </c>
      <c r="Y931" s="43" t="str">
        <f t="shared" si="220"/>
        <v/>
      </c>
      <c r="Z931" s="49" t="str">
        <f t="shared" si="221"/>
        <v/>
      </c>
      <c r="AA931" s="48" t="str">
        <f t="shared" si="222"/>
        <v/>
      </c>
      <c r="AB931" s="49" t="str">
        <f t="shared" si="223"/>
        <v/>
      </c>
      <c r="AC931" s="50" t="str">
        <f>IF(AB931="","",SUMIF($B$4:$B$1002,B931,$AB$4:$AB$1000))</f>
        <v/>
      </c>
      <c r="AD931" s="69"/>
      <c r="AE931" s="56"/>
      <c r="AF931" s="52"/>
      <c r="AG931" s="51"/>
      <c r="AH931" s="70"/>
      <c r="AI931" s="58"/>
      <c r="AJ931" s="55"/>
      <c r="AK931" s="51"/>
      <c r="AL931" s="69"/>
      <c r="AM931" s="56"/>
      <c r="AN931" s="52"/>
      <c r="AO931" s="51"/>
      <c r="AP931" s="70"/>
      <c r="AQ931" s="58"/>
      <c r="AR931" s="55"/>
      <c r="AS931" s="51"/>
      <c r="AT931" s="69"/>
      <c r="AU931" s="56"/>
      <c r="AV931" s="52"/>
      <c r="AW931" s="51"/>
      <c r="BR931" s="34" t="str">
        <f>IF(E931="","",CONCATENATE(E931," ",F931," noches"))</f>
        <v/>
      </c>
      <c r="BS931" s="28" t="str">
        <f t="shared" ca="1" si="224"/>
        <v/>
      </c>
      <c r="BT931" s="28" t="str">
        <f t="shared" ca="1" si="225"/>
        <v/>
      </c>
    </row>
    <row r="932" spans="1:72" x14ac:dyDescent="0.2">
      <c r="A932" s="18" t="str" cm="1">
        <f t="array" aca="1" ref="A932" ca="1">IF(B932="","","Grupo N˚"&amp;SUMPRODUCT(($B$4:B932&lt;&gt;"")*($B$4:B932&lt;&gt;OFFSET($B$4,-1,0,ROWS($B$4:B932),1))))</f>
        <v/>
      </c>
      <c r="B932" s="31"/>
      <c r="C932" s="31"/>
      <c r="D932" s="31"/>
      <c r="E932" s="31"/>
      <c r="F932" s="32"/>
      <c r="G932" s="33"/>
      <c r="H932" s="33"/>
      <c r="I932" s="20" t="str">
        <f t="shared" si="214"/>
        <v/>
      </c>
      <c r="J932" s="21" t="str">
        <f>IFERROR(VLOOKUP(BR932,Pricing!$D$3:$E$58,2,FALSE),"")</f>
        <v/>
      </c>
      <c r="K932" s="32"/>
      <c r="L932" s="32"/>
      <c r="M932" s="32"/>
      <c r="N932" s="36" t="str" cm="1">
        <f t="array" ref="N932">IFERROR(_xlfn.IFS((AND(K932="SI",M932="$")),J932*0.2,AND(K932="SI",M932="%"),20),"")</f>
        <v/>
      </c>
      <c r="O932" s="29" t="str">
        <f t="shared" si="215"/>
        <v/>
      </c>
      <c r="P932" s="21" t="str">
        <f t="shared" si="216"/>
        <v/>
      </c>
      <c r="Q932" s="21" t="str">
        <f t="shared" si="217"/>
        <v/>
      </c>
      <c r="R932" s="21" t="str">
        <f t="shared" si="218"/>
        <v/>
      </c>
      <c r="S932" s="39"/>
      <c r="T932" s="43" t="str">
        <f t="shared" si="226"/>
        <v/>
      </c>
      <c r="U932" s="49" t="str">
        <f t="shared" si="227"/>
        <v/>
      </c>
      <c r="V932" s="48" t="str">
        <f t="shared" si="228"/>
        <v/>
      </c>
      <c r="W932" s="48" t="str">
        <f t="shared" si="219"/>
        <v/>
      </c>
      <c r="X932" s="50" t="str">
        <f>IF(W932="","",SUMIF($B$4:$B$1002,B932,$W$4:$W$1000))</f>
        <v/>
      </c>
      <c r="Y932" s="43" t="str">
        <f t="shared" si="220"/>
        <v/>
      </c>
      <c r="Z932" s="49" t="str">
        <f t="shared" si="221"/>
        <v/>
      </c>
      <c r="AA932" s="48" t="str">
        <f t="shared" si="222"/>
        <v/>
      </c>
      <c r="AB932" s="49" t="str">
        <f t="shared" si="223"/>
        <v/>
      </c>
      <c r="AC932" s="50" t="str">
        <f>IF(AB932="","",SUMIF($B$4:$B$1002,B932,$AB$4:$AB$1000))</f>
        <v/>
      </c>
      <c r="AD932" s="69"/>
      <c r="AE932" s="56"/>
      <c r="AF932" s="52"/>
      <c r="AG932" s="51"/>
      <c r="AH932" s="70"/>
      <c r="AI932" s="58"/>
      <c r="AJ932" s="55"/>
      <c r="AK932" s="51"/>
      <c r="AL932" s="69"/>
      <c r="AM932" s="56"/>
      <c r="AN932" s="52"/>
      <c r="AO932" s="51"/>
      <c r="AP932" s="70"/>
      <c r="AQ932" s="58"/>
      <c r="AR932" s="55"/>
      <c r="AS932" s="51"/>
      <c r="AT932" s="69"/>
      <c r="AU932" s="56"/>
      <c r="AV932" s="52"/>
      <c r="AW932" s="51"/>
      <c r="BR932" s="34" t="str">
        <f>IF(E932="","",CONCATENATE(E932," ",F932," noches"))</f>
        <v/>
      </c>
      <c r="BS932" s="28" t="str">
        <f t="shared" ca="1" si="224"/>
        <v/>
      </c>
      <c r="BT932" s="28" t="str">
        <f t="shared" ca="1" si="225"/>
        <v/>
      </c>
    </row>
    <row r="933" spans="1:72" x14ac:dyDescent="0.2">
      <c r="A933" s="18" t="str" cm="1">
        <f t="array" aca="1" ref="A933" ca="1">IF(B933="","","Grupo N˚"&amp;SUMPRODUCT(($B$4:B933&lt;&gt;"")*($B$4:B933&lt;&gt;OFFSET($B$4,-1,0,ROWS($B$4:B933),1))))</f>
        <v/>
      </c>
      <c r="B933" s="31"/>
      <c r="C933" s="31"/>
      <c r="D933" s="31"/>
      <c r="E933" s="31"/>
      <c r="F933" s="32"/>
      <c r="G933" s="33"/>
      <c r="H933" s="33"/>
      <c r="I933" s="20" t="str">
        <f t="shared" si="214"/>
        <v/>
      </c>
      <c r="J933" s="21" t="str">
        <f>IFERROR(VLOOKUP(BR933,Pricing!$D$3:$E$58,2,FALSE),"")</f>
        <v/>
      </c>
      <c r="K933" s="32"/>
      <c r="L933" s="32"/>
      <c r="M933" s="32"/>
      <c r="N933" s="36" t="str" cm="1">
        <f t="array" ref="N933">IFERROR(_xlfn.IFS((AND(K933="SI",M933="$")),J933*0.2,AND(K933="SI",M933="%"),20),"")</f>
        <v/>
      </c>
      <c r="O933" s="29" t="str">
        <f t="shared" si="215"/>
        <v/>
      </c>
      <c r="P933" s="21" t="str">
        <f t="shared" si="216"/>
        <v/>
      </c>
      <c r="Q933" s="21" t="str">
        <f t="shared" si="217"/>
        <v/>
      </c>
      <c r="R933" s="21" t="str">
        <f t="shared" si="218"/>
        <v/>
      </c>
      <c r="S933" s="39"/>
      <c r="T933" s="43" t="str">
        <f t="shared" si="226"/>
        <v/>
      </c>
      <c r="U933" s="49" t="str">
        <f t="shared" si="227"/>
        <v/>
      </c>
      <c r="V933" s="48" t="str">
        <f t="shared" si="228"/>
        <v/>
      </c>
      <c r="W933" s="48" t="str">
        <f t="shared" si="219"/>
        <v/>
      </c>
      <c r="X933" s="50" t="str">
        <f>IF(W933="","",SUMIF($B$4:$B$1002,B933,$W$4:$W$1000))</f>
        <v/>
      </c>
      <c r="Y933" s="43" t="str">
        <f t="shared" si="220"/>
        <v/>
      </c>
      <c r="Z933" s="49" t="str">
        <f t="shared" si="221"/>
        <v/>
      </c>
      <c r="AA933" s="48" t="str">
        <f t="shared" si="222"/>
        <v/>
      </c>
      <c r="AB933" s="49" t="str">
        <f t="shared" si="223"/>
        <v/>
      </c>
      <c r="AC933" s="50" t="str">
        <f>IF(AB933="","",SUMIF($B$4:$B$1002,B933,$AB$4:$AB$1000))</f>
        <v/>
      </c>
      <c r="AD933" s="69"/>
      <c r="AE933" s="56"/>
      <c r="AF933" s="52"/>
      <c r="AG933" s="51"/>
      <c r="AH933" s="70"/>
      <c r="AI933" s="58"/>
      <c r="AJ933" s="55"/>
      <c r="AK933" s="51"/>
      <c r="AL933" s="69"/>
      <c r="AM933" s="56"/>
      <c r="AN933" s="52"/>
      <c r="AO933" s="51"/>
      <c r="AP933" s="70"/>
      <c r="AQ933" s="58"/>
      <c r="AR933" s="55"/>
      <c r="AS933" s="51"/>
      <c r="AT933" s="69"/>
      <c r="AU933" s="56"/>
      <c r="AV933" s="52"/>
      <c r="AW933" s="51"/>
      <c r="BR933" s="34" t="str">
        <f>IF(E933="","",CONCATENATE(E933," ",F933," noches"))</f>
        <v/>
      </c>
      <c r="BS933" s="28" t="str">
        <f t="shared" ca="1" si="224"/>
        <v/>
      </c>
      <c r="BT933" s="28" t="str">
        <f t="shared" ca="1" si="225"/>
        <v/>
      </c>
    </row>
    <row r="934" spans="1:72" x14ac:dyDescent="0.2">
      <c r="A934" s="18" t="str" cm="1">
        <f t="array" aca="1" ref="A934" ca="1">IF(B934="","","Grupo N˚"&amp;SUMPRODUCT(($B$4:B934&lt;&gt;"")*($B$4:B934&lt;&gt;OFFSET($B$4,-1,0,ROWS($B$4:B934),1))))</f>
        <v/>
      </c>
      <c r="B934" s="31"/>
      <c r="C934" s="31"/>
      <c r="D934" s="31"/>
      <c r="E934" s="31"/>
      <c r="F934" s="32"/>
      <c r="G934" s="33"/>
      <c r="H934" s="33"/>
      <c r="I934" s="20" t="str">
        <f t="shared" si="214"/>
        <v/>
      </c>
      <c r="J934" s="21" t="str">
        <f>IFERROR(VLOOKUP(BR934,Pricing!$D$3:$E$58,2,FALSE),"")</f>
        <v/>
      </c>
      <c r="K934" s="32"/>
      <c r="L934" s="32"/>
      <c r="M934" s="32"/>
      <c r="N934" s="36" t="str" cm="1">
        <f t="array" ref="N934">IFERROR(_xlfn.IFS((AND(K934="SI",M934="$")),J934*0.2,AND(K934="SI",M934="%"),20),"")</f>
        <v/>
      </c>
      <c r="O934" s="29" t="str">
        <f t="shared" si="215"/>
        <v/>
      </c>
      <c r="P934" s="21" t="str">
        <f t="shared" si="216"/>
        <v/>
      </c>
      <c r="Q934" s="21" t="str">
        <f t="shared" si="217"/>
        <v/>
      </c>
      <c r="R934" s="21" t="str">
        <f t="shared" si="218"/>
        <v/>
      </c>
      <c r="S934" s="39"/>
      <c r="T934" s="43" t="str">
        <f t="shared" si="226"/>
        <v/>
      </c>
      <c r="U934" s="49" t="str">
        <f t="shared" si="227"/>
        <v/>
      </c>
      <c r="V934" s="48" t="str">
        <f t="shared" si="228"/>
        <v/>
      </c>
      <c r="W934" s="48" t="str">
        <f t="shared" si="219"/>
        <v/>
      </c>
      <c r="X934" s="50" t="str">
        <f>IF(W934="","",SUMIF($B$4:$B$1002,B934,$W$4:$W$1000))</f>
        <v/>
      </c>
      <c r="Y934" s="43" t="str">
        <f t="shared" si="220"/>
        <v/>
      </c>
      <c r="Z934" s="49" t="str">
        <f t="shared" si="221"/>
        <v/>
      </c>
      <c r="AA934" s="48" t="str">
        <f t="shared" si="222"/>
        <v/>
      </c>
      <c r="AB934" s="49" t="str">
        <f t="shared" si="223"/>
        <v/>
      </c>
      <c r="AC934" s="50" t="str">
        <f>IF(AB934="","",SUMIF($B$4:$B$1002,B934,$AB$4:$AB$1000))</f>
        <v/>
      </c>
      <c r="AD934" s="69"/>
      <c r="AE934" s="56"/>
      <c r="AF934" s="52"/>
      <c r="AG934" s="51"/>
      <c r="AH934" s="70"/>
      <c r="AI934" s="58"/>
      <c r="AJ934" s="55"/>
      <c r="AK934" s="51"/>
      <c r="AL934" s="69"/>
      <c r="AM934" s="56"/>
      <c r="AN934" s="52"/>
      <c r="AO934" s="51"/>
      <c r="AP934" s="70"/>
      <c r="AQ934" s="58"/>
      <c r="AR934" s="55"/>
      <c r="AS934" s="51"/>
      <c r="AT934" s="69"/>
      <c r="AU934" s="56"/>
      <c r="AV934" s="52"/>
      <c r="AW934" s="51"/>
      <c r="BR934" s="34" t="str">
        <f>IF(E934="","",CONCATENATE(E934," ",F934," noches"))</f>
        <v/>
      </c>
      <c r="BS934" s="28" t="str">
        <f t="shared" ca="1" si="224"/>
        <v/>
      </c>
      <c r="BT934" s="28" t="str">
        <f t="shared" ca="1" si="225"/>
        <v/>
      </c>
    </row>
    <row r="935" spans="1:72" x14ac:dyDescent="0.2">
      <c r="A935" s="18" t="str" cm="1">
        <f t="array" aca="1" ref="A935" ca="1">IF(B935="","","Grupo N˚"&amp;SUMPRODUCT(($B$4:B935&lt;&gt;"")*($B$4:B935&lt;&gt;OFFSET($B$4,-1,0,ROWS($B$4:B935),1))))</f>
        <v/>
      </c>
      <c r="B935" s="31"/>
      <c r="C935" s="31"/>
      <c r="D935" s="31"/>
      <c r="E935" s="31"/>
      <c r="F935" s="32"/>
      <c r="G935" s="33"/>
      <c r="H935" s="33"/>
      <c r="I935" s="20" t="str">
        <f t="shared" si="214"/>
        <v/>
      </c>
      <c r="J935" s="21" t="str">
        <f>IFERROR(VLOOKUP(BR935,Pricing!$D$3:$E$58,2,FALSE),"")</f>
        <v/>
      </c>
      <c r="K935" s="32"/>
      <c r="L935" s="32"/>
      <c r="M935" s="32"/>
      <c r="N935" s="36" t="str" cm="1">
        <f t="array" ref="N935">IFERROR(_xlfn.IFS((AND(K935="SI",M935="$")),J935*0.2,AND(K935="SI",M935="%"),20),"")</f>
        <v/>
      </c>
      <c r="O935" s="29" t="str">
        <f t="shared" si="215"/>
        <v/>
      </c>
      <c r="P935" s="21" t="str">
        <f t="shared" si="216"/>
        <v/>
      </c>
      <c r="Q935" s="21" t="str">
        <f t="shared" si="217"/>
        <v/>
      </c>
      <c r="R935" s="21" t="str">
        <f t="shared" si="218"/>
        <v/>
      </c>
      <c r="S935" s="39"/>
      <c r="T935" s="43" t="str">
        <f t="shared" si="226"/>
        <v/>
      </c>
      <c r="U935" s="49" t="str">
        <f t="shared" si="227"/>
        <v/>
      </c>
      <c r="V935" s="48" t="str">
        <f t="shared" si="228"/>
        <v/>
      </c>
      <c r="W935" s="48" t="str">
        <f t="shared" si="219"/>
        <v/>
      </c>
      <c r="X935" s="50" t="str">
        <f>IF(W935="","",SUMIF($B$4:$B$1002,B935,$W$4:$W$1000))</f>
        <v/>
      </c>
      <c r="Y935" s="43" t="str">
        <f t="shared" si="220"/>
        <v/>
      </c>
      <c r="Z935" s="49" t="str">
        <f t="shared" si="221"/>
        <v/>
      </c>
      <c r="AA935" s="48" t="str">
        <f t="shared" si="222"/>
        <v/>
      </c>
      <c r="AB935" s="49" t="str">
        <f t="shared" si="223"/>
        <v/>
      </c>
      <c r="AC935" s="50" t="str">
        <f>IF(AB935="","",SUMIF($B$4:$B$1002,B935,$AB$4:$AB$1000))</f>
        <v/>
      </c>
      <c r="AD935" s="69"/>
      <c r="AE935" s="56"/>
      <c r="AF935" s="52"/>
      <c r="AG935" s="51"/>
      <c r="AH935" s="70"/>
      <c r="AI935" s="58"/>
      <c r="AJ935" s="55"/>
      <c r="AK935" s="51"/>
      <c r="AL935" s="69"/>
      <c r="AM935" s="56"/>
      <c r="AN935" s="52"/>
      <c r="AO935" s="51"/>
      <c r="AP935" s="70"/>
      <c r="AQ935" s="58"/>
      <c r="AR935" s="55"/>
      <c r="AS935" s="51"/>
      <c r="AT935" s="69"/>
      <c r="AU935" s="56"/>
      <c r="AV935" s="52"/>
      <c r="AW935" s="51"/>
      <c r="BR935" s="34" t="str">
        <f>IF(E935="","",CONCATENATE(E935," ",F935," noches"))</f>
        <v/>
      </c>
      <c r="BS935" s="28" t="str">
        <f t="shared" ca="1" si="224"/>
        <v/>
      </c>
      <c r="BT935" s="28" t="str">
        <f t="shared" ca="1" si="225"/>
        <v/>
      </c>
    </row>
    <row r="936" spans="1:72" x14ac:dyDescent="0.2">
      <c r="A936" s="18" t="str" cm="1">
        <f t="array" aca="1" ref="A936" ca="1">IF(B936="","","Grupo N˚"&amp;SUMPRODUCT(($B$4:B936&lt;&gt;"")*($B$4:B936&lt;&gt;OFFSET($B$4,-1,0,ROWS($B$4:B936),1))))</f>
        <v/>
      </c>
      <c r="B936" s="31"/>
      <c r="C936" s="31"/>
      <c r="D936" s="31"/>
      <c r="E936" s="31"/>
      <c r="F936" s="32"/>
      <c r="G936" s="33"/>
      <c r="H936" s="33"/>
      <c r="I936" s="20" t="str">
        <f t="shared" si="214"/>
        <v/>
      </c>
      <c r="J936" s="21" t="str">
        <f>IFERROR(VLOOKUP(BR936,Pricing!$D$3:$E$58,2,FALSE),"")</f>
        <v/>
      </c>
      <c r="K936" s="32"/>
      <c r="L936" s="32"/>
      <c r="M936" s="32"/>
      <c r="N936" s="36" t="str" cm="1">
        <f t="array" ref="N936">IFERROR(_xlfn.IFS((AND(K936="SI",M936="$")),J936*0.2,AND(K936="SI",M936="%"),20),"")</f>
        <v/>
      </c>
      <c r="O936" s="29" t="str">
        <f t="shared" si="215"/>
        <v/>
      </c>
      <c r="P936" s="21" t="str">
        <f t="shared" si="216"/>
        <v/>
      </c>
      <c r="Q936" s="21" t="str">
        <f t="shared" si="217"/>
        <v/>
      </c>
      <c r="R936" s="21" t="str">
        <f t="shared" si="218"/>
        <v/>
      </c>
      <c r="S936" s="39"/>
      <c r="T936" s="43" t="str">
        <f t="shared" si="226"/>
        <v/>
      </c>
      <c r="U936" s="49" t="str">
        <f t="shared" si="227"/>
        <v/>
      </c>
      <c r="V936" s="48" t="str">
        <f t="shared" si="228"/>
        <v/>
      </c>
      <c r="W936" s="48" t="str">
        <f t="shared" si="219"/>
        <v/>
      </c>
      <c r="X936" s="50" t="str">
        <f>IF(W936="","",SUMIF($B$4:$B$1002,B936,$W$4:$W$1000))</f>
        <v/>
      </c>
      <c r="Y936" s="43" t="str">
        <f t="shared" si="220"/>
        <v/>
      </c>
      <c r="Z936" s="49" t="str">
        <f t="shared" si="221"/>
        <v/>
      </c>
      <c r="AA936" s="48" t="str">
        <f t="shared" si="222"/>
        <v/>
      </c>
      <c r="AB936" s="49" t="str">
        <f t="shared" si="223"/>
        <v/>
      </c>
      <c r="AC936" s="50" t="str">
        <f>IF(AB936="","",SUMIF($B$4:$B$1002,B936,$AB$4:$AB$1000))</f>
        <v/>
      </c>
      <c r="AD936" s="69"/>
      <c r="AE936" s="56"/>
      <c r="AF936" s="52"/>
      <c r="AG936" s="51"/>
      <c r="AH936" s="70"/>
      <c r="AI936" s="58"/>
      <c r="AJ936" s="55"/>
      <c r="AK936" s="51"/>
      <c r="AL936" s="69"/>
      <c r="AM936" s="56"/>
      <c r="AN936" s="52"/>
      <c r="AO936" s="51"/>
      <c r="AP936" s="70"/>
      <c r="AQ936" s="58"/>
      <c r="AR936" s="55"/>
      <c r="AS936" s="51"/>
      <c r="AT936" s="69"/>
      <c r="AU936" s="56"/>
      <c r="AV936" s="52"/>
      <c r="AW936" s="51"/>
      <c r="BR936" s="34" t="str">
        <f>IF(E936="","",CONCATENATE(E936," ",F936," noches"))</f>
        <v/>
      </c>
      <c r="BS936" s="28" t="str">
        <f t="shared" ca="1" si="224"/>
        <v/>
      </c>
      <c r="BT936" s="28" t="str">
        <f t="shared" ca="1" si="225"/>
        <v/>
      </c>
    </row>
    <row r="937" spans="1:72" x14ac:dyDescent="0.2">
      <c r="A937" s="18" t="str" cm="1">
        <f t="array" aca="1" ref="A937" ca="1">IF(B937="","","Grupo N˚"&amp;SUMPRODUCT(($B$4:B937&lt;&gt;"")*($B$4:B937&lt;&gt;OFFSET($B$4,-1,0,ROWS($B$4:B937),1))))</f>
        <v/>
      </c>
      <c r="B937" s="31"/>
      <c r="C937" s="31"/>
      <c r="D937" s="31"/>
      <c r="E937" s="31"/>
      <c r="F937" s="32"/>
      <c r="G937" s="33"/>
      <c r="H937" s="33"/>
      <c r="I937" s="20" t="str">
        <f t="shared" si="214"/>
        <v/>
      </c>
      <c r="J937" s="21" t="str">
        <f>IFERROR(VLOOKUP(BR937,Pricing!$D$3:$E$58,2,FALSE),"")</f>
        <v/>
      </c>
      <c r="K937" s="32"/>
      <c r="L937" s="32"/>
      <c r="M937" s="32"/>
      <c r="N937" s="36" t="str" cm="1">
        <f t="array" ref="N937">IFERROR(_xlfn.IFS((AND(K937="SI",M937="$")),J937*0.2,AND(K937="SI",M937="%"),20),"")</f>
        <v/>
      </c>
      <c r="O937" s="29" t="str">
        <f t="shared" si="215"/>
        <v/>
      </c>
      <c r="P937" s="21" t="str">
        <f t="shared" si="216"/>
        <v/>
      </c>
      <c r="Q937" s="21" t="str">
        <f t="shared" si="217"/>
        <v/>
      </c>
      <c r="R937" s="21" t="str">
        <f t="shared" si="218"/>
        <v/>
      </c>
      <c r="S937" s="39"/>
      <c r="T937" s="43" t="str">
        <f t="shared" si="226"/>
        <v/>
      </c>
      <c r="U937" s="49" t="str">
        <f t="shared" si="227"/>
        <v/>
      </c>
      <c r="V937" s="48" t="str">
        <f t="shared" si="228"/>
        <v/>
      </c>
      <c r="W937" s="48" t="str">
        <f t="shared" si="219"/>
        <v/>
      </c>
      <c r="X937" s="50" t="str">
        <f>IF(W937="","",SUMIF($B$4:$B$1002,B937,$W$4:$W$1000))</f>
        <v/>
      </c>
      <c r="Y937" s="43" t="str">
        <f t="shared" si="220"/>
        <v/>
      </c>
      <c r="Z937" s="49" t="str">
        <f t="shared" si="221"/>
        <v/>
      </c>
      <c r="AA937" s="48" t="str">
        <f t="shared" si="222"/>
        <v/>
      </c>
      <c r="AB937" s="49" t="str">
        <f t="shared" si="223"/>
        <v/>
      </c>
      <c r="AC937" s="50" t="str">
        <f>IF(AB937="","",SUMIF($B$4:$B$1002,B937,$AB$4:$AB$1000))</f>
        <v/>
      </c>
      <c r="AD937" s="69"/>
      <c r="AE937" s="56"/>
      <c r="AF937" s="52"/>
      <c r="AG937" s="51"/>
      <c r="AH937" s="70"/>
      <c r="AI937" s="58"/>
      <c r="AJ937" s="55"/>
      <c r="AK937" s="51"/>
      <c r="AL937" s="69"/>
      <c r="AM937" s="56"/>
      <c r="AN937" s="52"/>
      <c r="AO937" s="51"/>
      <c r="AP937" s="70"/>
      <c r="AQ937" s="58"/>
      <c r="AR937" s="55"/>
      <c r="AS937" s="51"/>
      <c r="AT937" s="69"/>
      <c r="AU937" s="56"/>
      <c r="AV937" s="52"/>
      <c r="AW937" s="51"/>
      <c r="BR937" s="34" t="str">
        <f>IF(E937="","",CONCATENATE(E937," ",F937," noches"))</f>
        <v/>
      </c>
      <c r="BS937" s="28" t="str">
        <f t="shared" ca="1" si="224"/>
        <v/>
      </c>
      <c r="BT937" s="28" t="str">
        <f t="shared" ca="1" si="225"/>
        <v/>
      </c>
    </row>
    <row r="938" spans="1:72" x14ac:dyDescent="0.2">
      <c r="A938" s="18" t="str" cm="1">
        <f t="array" aca="1" ref="A938" ca="1">IF(B938="","","Grupo N˚"&amp;SUMPRODUCT(($B$4:B938&lt;&gt;"")*($B$4:B938&lt;&gt;OFFSET($B$4,-1,0,ROWS($B$4:B938),1))))</f>
        <v/>
      </c>
      <c r="B938" s="31"/>
      <c r="C938" s="31"/>
      <c r="D938" s="31"/>
      <c r="E938" s="31"/>
      <c r="F938" s="32"/>
      <c r="G938" s="33"/>
      <c r="H938" s="33"/>
      <c r="I938" s="20" t="str">
        <f t="shared" si="214"/>
        <v/>
      </c>
      <c r="J938" s="21" t="str">
        <f>IFERROR(VLOOKUP(BR938,Pricing!$D$3:$E$58,2,FALSE),"")</f>
        <v/>
      </c>
      <c r="K938" s="32"/>
      <c r="L938" s="32"/>
      <c r="M938" s="32"/>
      <c r="N938" s="36" t="str" cm="1">
        <f t="array" ref="N938">IFERROR(_xlfn.IFS((AND(K938="SI",M938="$")),J938*0.2,AND(K938="SI",M938="%"),20),"")</f>
        <v/>
      </c>
      <c r="O938" s="29" t="str">
        <f t="shared" si="215"/>
        <v/>
      </c>
      <c r="P938" s="21" t="str">
        <f t="shared" si="216"/>
        <v/>
      </c>
      <c r="Q938" s="21" t="str">
        <f t="shared" si="217"/>
        <v/>
      </c>
      <c r="R938" s="21" t="str">
        <f t="shared" si="218"/>
        <v/>
      </c>
      <c r="S938" s="39"/>
      <c r="T938" s="43" t="str">
        <f t="shared" si="226"/>
        <v/>
      </c>
      <c r="U938" s="49" t="str">
        <f t="shared" si="227"/>
        <v/>
      </c>
      <c r="V938" s="48" t="str">
        <f t="shared" si="228"/>
        <v/>
      </c>
      <c r="W938" s="48" t="str">
        <f t="shared" si="219"/>
        <v/>
      </c>
      <c r="X938" s="50" t="str">
        <f>IF(W938="","",SUMIF($B$4:$B$1002,B938,$W$4:$W$1000))</f>
        <v/>
      </c>
      <c r="Y938" s="43" t="str">
        <f t="shared" si="220"/>
        <v/>
      </c>
      <c r="Z938" s="49" t="str">
        <f t="shared" si="221"/>
        <v/>
      </c>
      <c r="AA938" s="48" t="str">
        <f t="shared" si="222"/>
        <v/>
      </c>
      <c r="AB938" s="49" t="str">
        <f t="shared" si="223"/>
        <v/>
      </c>
      <c r="AC938" s="50" t="str">
        <f>IF(AB938="","",SUMIF($B$4:$B$1002,B938,$AB$4:$AB$1000))</f>
        <v/>
      </c>
      <c r="AD938" s="69"/>
      <c r="AE938" s="56"/>
      <c r="AF938" s="52"/>
      <c r="AG938" s="51"/>
      <c r="AH938" s="70"/>
      <c r="AI938" s="58"/>
      <c r="AJ938" s="55"/>
      <c r="AK938" s="51"/>
      <c r="AL938" s="69"/>
      <c r="AM938" s="56"/>
      <c r="AN938" s="52"/>
      <c r="AO938" s="51"/>
      <c r="AP938" s="70"/>
      <c r="AQ938" s="58"/>
      <c r="AR938" s="55"/>
      <c r="AS938" s="51"/>
      <c r="AT938" s="69"/>
      <c r="AU938" s="56"/>
      <c r="AV938" s="52"/>
      <c r="AW938" s="51"/>
      <c r="BR938" s="34" t="str">
        <f>IF(E938="","",CONCATENATE(E938," ",F938," noches"))</f>
        <v/>
      </c>
      <c r="BS938" s="28" t="str">
        <f t="shared" ca="1" si="224"/>
        <v/>
      </c>
      <c r="BT938" s="28" t="str">
        <f t="shared" ca="1" si="225"/>
        <v/>
      </c>
    </row>
    <row r="939" spans="1:72" x14ac:dyDescent="0.2">
      <c r="A939" s="18" t="str" cm="1">
        <f t="array" aca="1" ref="A939" ca="1">IF(B939="","","Grupo N˚"&amp;SUMPRODUCT(($B$4:B939&lt;&gt;"")*($B$4:B939&lt;&gt;OFFSET($B$4,-1,0,ROWS($B$4:B939),1))))</f>
        <v/>
      </c>
      <c r="B939" s="31"/>
      <c r="C939" s="31"/>
      <c r="D939" s="31"/>
      <c r="E939" s="31"/>
      <c r="F939" s="32"/>
      <c r="G939" s="33"/>
      <c r="H939" s="33"/>
      <c r="I939" s="20" t="str">
        <f t="shared" si="214"/>
        <v/>
      </c>
      <c r="J939" s="21" t="str">
        <f>IFERROR(VLOOKUP(BR939,Pricing!$D$3:$E$58,2,FALSE),"")</f>
        <v/>
      </c>
      <c r="K939" s="32"/>
      <c r="L939" s="32"/>
      <c r="M939" s="32"/>
      <c r="N939" s="36" t="str" cm="1">
        <f t="array" ref="N939">IFERROR(_xlfn.IFS((AND(K939="SI",M939="$")),J939*0.2,AND(K939="SI",M939="%"),20),"")</f>
        <v/>
      </c>
      <c r="O939" s="29" t="str">
        <f t="shared" si="215"/>
        <v/>
      </c>
      <c r="P939" s="21" t="str">
        <f t="shared" si="216"/>
        <v/>
      </c>
      <c r="Q939" s="21" t="str">
        <f t="shared" si="217"/>
        <v/>
      </c>
      <c r="R939" s="21" t="str">
        <f t="shared" si="218"/>
        <v/>
      </c>
      <c r="S939" s="39"/>
      <c r="T939" s="43" t="str">
        <f t="shared" si="226"/>
        <v/>
      </c>
      <c r="U939" s="49" t="str">
        <f t="shared" si="227"/>
        <v/>
      </c>
      <c r="V939" s="48" t="str">
        <f t="shared" si="228"/>
        <v/>
      </c>
      <c r="W939" s="48" t="str">
        <f t="shared" si="219"/>
        <v/>
      </c>
      <c r="X939" s="50" t="str">
        <f>IF(W939="","",SUMIF($B$4:$B$1002,B939,$W$4:$W$1000))</f>
        <v/>
      </c>
      <c r="Y939" s="43" t="str">
        <f t="shared" si="220"/>
        <v/>
      </c>
      <c r="Z939" s="49" t="str">
        <f t="shared" si="221"/>
        <v/>
      </c>
      <c r="AA939" s="48" t="str">
        <f t="shared" si="222"/>
        <v/>
      </c>
      <c r="AB939" s="49" t="str">
        <f t="shared" si="223"/>
        <v/>
      </c>
      <c r="AC939" s="50" t="str">
        <f>IF(AB939="","",SUMIF($B$4:$B$1002,B939,$AB$4:$AB$1000))</f>
        <v/>
      </c>
      <c r="AD939" s="69"/>
      <c r="AE939" s="56"/>
      <c r="AF939" s="52"/>
      <c r="AG939" s="51"/>
      <c r="AH939" s="70"/>
      <c r="AI939" s="58"/>
      <c r="AJ939" s="55"/>
      <c r="AK939" s="51"/>
      <c r="AL939" s="69"/>
      <c r="AM939" s="56"/>
      <c r="AN939" s="52"/>
      <c r="AO939" s="51"/>
      <c r="AP939" s="70"/>
      <c r="AQ939" s="58"/>
      <c r="AR939" s="55"/>
      <c r="AS939" s="51"/>
      <c r="AT939" s="69"/>
      <c r="AU939" s="56"/>
      <c r="AV939" s="52"/>
      <c r="AW939" s="51"/>
      <c r="BR939" s="34" t="str">
        <f>IF(E939="","",CONCATENATE(E939," ",F939," noches"))</f>
        <v/>
      </c>
      <c r="BS939" s="28" t="str">
        <f t="shared" ca="1" si="224"/>
        <v/>
      </c>
      <c r="BT939" s="28" t="str">
        <f t="shared" ca="1" si="225"/>
        <v/>
      </c>
    </row>
    <row r="940" spans="1:72" x14ac:dyDescent="0.2">
      <c r="A940" s="18" t="str" cm="1">
        <f t="array" aca="1" ref="A940" ca="1">IF(B940="","","Grupo N˚"&amp;SUMPRODUCT(($B$4:B940&lt;&gt;"")*($B$4:B940&lt;&gt;OFFSET($B$4,-1,0,ROWS($B$4:B940),1))))</f>
        <v/>
      </c>
      <c r="B940" s="31"/>
      <c r="C940" s="31"/>
      <c r="D940" s="31"/>
      <c r="E940" s="31"/>
      <c r="F940" s="32"/>
      <c r="G940" s="33"/>
      <c r="H940" s="33"/>
      <c r="I940" s="20" t="str">
        <f t="shared" si="214"/>
        <v/>
      </c>
      <c r="J940" s="21" t="str">
        <f>IFERROR(VLOOKUP(BR940,Pricing!$D$3:$E$58,2,FALSE),"")</f>
        <v/>
      </c>
      <c r="K940" s="32"/>
      <c r="L940" s="32"/>
      <c r="M940" s="32"/>
      <c r="N940" s="36" t="str" cm="1">
        <f t="array" ref="N940">IFERROR(_xlfn.IFS((AND(K940="SI",M940="$")),J940*0.2,AND(K940="SI",M940="%"),20),"")</f>
        <v/>
      </c>
      <c r="O940" s="29" t="str">
        <f t="shared" si="215"/>
        <v/>
      </c>
      <c r="P940" s="21" t="str">
        <f t="shared" si="216"/>
        <v/>
      </c>
      <c r="Q940" s="21" t="str">
        <f t="shared" si="217"/>
        <v/>
      </c>
      <c r="R940" s="21" t="str">
        <f t="shared" si="218"/>
        <v/>
      </c>
      <c r="S940" s="39"/>
      <c r="T940" s="43" t="str">
        <f t="shared" si="226"/>
        <v/>
      </c>
      <c r="U940" s="49" t="str">
        <f t="shared" si="227"/>
        <v/>
      </c>
      <c r="V940" s="48" t="str">
        <f t="shared" si="228"/>
        <v/>
      </c>
      <c r="W940" s="48" t="str">
        <f t="shared" si="219"/>
        <v/>
      </c>
      <c r="X940" s="50" t="str">
        <f>IF(W940="","",SUMIF($B$4:$B$1002,B940,$W$4:$W$1000))</f>
        <v/>
      </c>
      <c r="Y940" s="43" t="str">
        <f t="shared" si="220"/>
        <v/>
      </c>
      <c r="Z940" s="49" t="str">
        <f t="shared" si="221"/>
        <v/>
      </c>
      <c r="AA940" s="48" t="str">
        <f t="shared" si="222"/>
        <v/>
      </c>
      <c r="AB940" s="49" t="str">
        <f t="shared" si="223"/>
        <v/>
      </c>
      <c r="AC940" s="50" t="str">
        <f>IF(AB940="","",SUMIF($B$4:$B$1002,B940,$AB$4:$AB$1000))</f>
        <v/>
      </c>
      <c r="AD940" s="69"/>
      <c r="AE940" s="56"/>
      <c r="AF940" s="52"/>
      <c r="AG940" s="51"/>
      <c r="AH940" s="70"/>
      <c r="AI940" s="58"/>
      <c r="AJ940" s="55"/>
      <c r="AK940" s="51"/>
      <c r="AL940" s="69"/>
      <c r="AM940" s="56"/>
      <c r="AN940" s="52"/>
      <c r="AO940" s="51"/>
      <c r="AP940" s="70"/>
      <c r="AQ940" s="58"/>
      <c r="AR940" s="55"/>
      <c r="AS940" s="51"/>
      <c r="AT940" s="69"/>
      <c r="AU940" s="56"/>
      <c r="AV940" s="52"/>
      <c r="AW940" s="51"/>
      <c r="BR940" s="34" t="str">
        <f>IF(E940="","",CONCATENATE(E940," ",F940," noches"))</f>
        <v/>
      </c>
      <c r="BS940" s="28" t="str">
        <f t="shared" ca="1" si="224"/>
        <v/>
      </c>
      <c r="BT940" s="28" t="str">
        <f t="shared" ca="1" si="225"/>
        <v/>
      </c>
    </row>
    <row r="941" spans="1:72" x14ac:dyDescent="0.2">
      <c r="A941" s="18" t="str" cm="1">
        <f t="array" aca="1" ref="A941" ca="1">IF(B941="","","Grupo N˚"&amp;SUMPRODUCT(($B$4:B941&lt;&gt;"")*($B$4:B941&lt;&gt;OFFSET($B$4,-1,0,ROWS($B$4:B941),1))))</f>
        <v/>
      </c>
      <c r="B941" s="31"/>
      <c r="C941" s="31"/>
      <c r="D941" s="31"/>
      <c r="E941" s="31"/>
      <c r="F941" s="32"/>
      <c r="G941" s="33"/>
      <c r="H941" s="33"/>
      <c r="I941" s="20" t="str">
        <f t="shared" si="214"/>
        <v/>
      </c>
      <c r="J941" s="21" t="str">
        <f>IFERROR(VLOOKUP(BR941,Pricing!$D$3:$E$58,2,FALSE),"")</f>
        <v/>
      </c>
      <c r="K941" s="32"/>
      <c r="L941" s="32"/>
      <c r="M941" s="32"/>
      <c r="N941" s="36" t="str" cm="1">
        <f t="array" ref="N941">IFERROR(_xlfn.IFS((AND(K941="SI",M941="$")),J941*0.2,AND(K941="SI",M941="%"),20),"")</f>
        <v/>
      </c>
      <c r="O941" s="29" t="str">
        <f t="shared" si="215"/>
        <v/>
      </c>
      <c r="P941" s="21" t="str">
        <f t="shared" si="216"/>
        <v/>
      </c>
      <c r="Q941" s="21" t="str">
        <f t="shared" si="217"/>
        <v/>
      </c>
      <c r="R941" s="21" t="str">
        <f t="shared" si="218"/>
        <v/>
      </c>
      <c r="S941" s="39"/>
      <c r="T941" s="43" t="str">
        <f t="shared" si="226"/>
        <v/>
      </c>
      <c r="U941" s="49" t="str">
        <f t="shared" si="227"/>
        <v/>
      </c>
      <c r="V941" s="48" t="str">
        <f t="shared" si="228"/>
        <v/>
      </c>
      <c r="W941" s="48" t="str">
        <f t="shared" si="219"/>
        <v/>
      </c>
      <c r="X941" s="50" t="str">
        <f>IF(W941="","",SUMIF($B$4:$B$1002,B941,$W$4:$W$1000))</f>
        <v/>
      </c>
      <c r="Y941" s="43" t="str">
        <f t="shared" si="220"/>
        <v/>
      </c>
      <c r="Z941" s="49" t="str">
        <f t="shared" si="221"/>
        <v/>
      </c>
      <c r="AA941" s="48" t="str">
        <f t="shared" si="222"/>
        <v/>
      </c>
      <c r="AB941" s="49" t="str">
        <f t="shared" si="223"/>
        <v/>
      </c>
      <c r="AC941" s="50" t="str">
        <f>IF(AB941="","",SUMIF($B$4:$B$1002,B941,$AB$4:$AB$1000))</f>
        <v/>
      </c>
      <c r="AD941" s="69"/>
      <c r="AE941" s="56"/>
      <c r="AF941" s="52"/>
      <c r="AG941" s="51"/>
      <c r="AH941" s="70"/>
      <c r="AI941" s="58"/>
      <c r="AJ941" s="55"/>
      <c r="AK941" s="51"/>
      <c r="AL941" s="69"/>
      <c r="AM941" s="56"/>
      <c r="AN941" s="52"/>
      <c r="AO941" s="51"/>
      <c r="AP941" s="70"/>
      <c r="AQ941" s="58"/>
      <c r="AR941" s="55"/>
      <c r="AS941" s="51"/>
      <c r="AT941" s="69"/>
      <c r="AU941" s="56"/>
      <c r="AV941" s="52"/>
      <c r="AW941" s="51"/>
      <c r="BR941" s="34" t="str">
        <f>IF(E941="","",CONCATENATE(E941," ",F941," noches"))</f>
        <v/>
      </c>
      <c r="BS941" s="28" t="str">
        <f t="shared" ca="1" si="224"/>
        <v/>
      </c>
      <c r="BT941" s="28" t="str">
        <f t="shared" ca="1" si="225"/>
        <v/>
      </c>
    </row>
    <row r="942" spans="1:72" x14ac:dyDescent="0.2">
      <c r="A942" s="18" t="str" cm="1">
        <f t="array" aca="1" ref="A942" ca="1">IF(B942="","","Grupo N˚"&amp;SUMPRODUCT(($B$4:B942&lt;&gt;"")*($B$4:B942&lt;&gt;OFFSET($B$4,-1,0,ROWS($B$4:B942),1))))</f>
        <v/>
      </c>
      <c r="B942" s="31"/>
      <c r="C942" s="31"/>
      <c r="D942" s="31"/>
      <c r="E942" s="31"/>
      <c r="F942" s="32"/>
      <c r="G942" s="33"/>
      <c r="H942" s="33"/>
      <c r="I942" s="20" t="str">
        <f t="shared" si="214"/>
        <v/>
      </c>
      <c r="J942" s="21" t="str">
        <f>IFERROR(VLOOKUP(BR942,Pricing!$D$3:$E$58,2,FALSE),"")</f>
        <v/>
      </c>
      <c r="K942" s="32"/>
      <c r="L942" s="32"/>
      <c r="M942" s="32"/>
      <c r="N942" s="36" t="str" cm="1">
        <f t="array" ref="N942">IFERROR(_xlfn.IFS((AND(K942="SI",M942="$")),J942*0.2,AND(K942="SI",M942="%"),20),"")</f>
        <v/>
      </c>
      <c r="O942" s="29" t="str">
        <f t="shared" si="215"/>
        <v/>
      </c>
      <c r="P942" s="21" t="str">
        <f t="shared" si="216"/>
        <v/>
      </c>
      <c r="Q942" s="21" t="str">
        <f t="shared" si="217"/>
        <v/>
      </c>
      <c r="R942" s="21" t="str">
        <f t="shared" si="218"/>
        <v/>
      </c>
      <c r="S942" s="39"/>
      <c r="T942" s="43" t="str">
        <f t="shared" si="226"/>
        <v/>
      </c>
      <c r="U942" s="49" t="str">
        <f t="shared" si="227"/>
        <v/>
      </c>
      <c r="V942" s="48" t="str">
        <f t="shared" si="228"/>
        <v/>
      </c>
      <c r="W942" s="48" t="str">
        <f t="shared" si="219"/>
        <v/>
      </c>
      <c r="X942" s="50" t="str">
        <f>IF(W942="","",SUMIF($B$4:$B$1002,B942,$W$4:$W$1000))</f>
        <v/>
      </c>
      <c r="Y942" s="43" t="str">
        <f t="shared" si="220"/>
        <v/>
      </c>
      <c r="Z942" s="49" t="str">
        <f t="shared" si="221"/>
        <v/>
      </c>
      <c r="AA942" s="48" t="str">
        <f t="shared" si="222"/>
        <v/>
      </c>
      <c r="AB942" s="49" t="str">
        <f t="shared" si="223"/>
        <v/>
      </c>
      <c r="AC942" s="50" t="str">
        <f>IF(AB942="","",SUMIF($B$4:$B$1002,B942,$AB$4:$AB$1000))</f>
        <v/>
      </c>
      <c r="AD942" s="69"/>
      <c r="AE942" s="56"/>
      <c r="AF942" s="52"/>
      <c r="AG942" s="51"/>
      <c r="AH942" s="70"/>
      <c r="AI942" s="58"/>
      <c r="AJ942" s="55"/>
      <c r="AK942" s="51"/>
      <c r="AL942" s="69"/>
      <c r="AM942" s="56"/>
      <c r="AN942" s="52"/>
      <c r="AO942" s="51"/>
      <c r="AP942" s="70"/>
      <c r="AQ942" s="58"/>
      <c r="AR942" s="55"/>
      <c r="AS942" s="51"/>
      <c r="AT942" s="69"/>
      <c r="AU942" s="56"/>
      <c r="AV942" s="52"/>
      <c r="AW942" s="51"/>
      <c r="BR942" s="34" t="str">
        <f>IF(E942="","",CONCATENATE(E942," ",F942," noches"))</f>
        <v/>
      </c>
      <c r="BS942" s="28" t="str">
        <f t="shared" ca="1" si="224"/>
        <v/>
      </c>
      <c r="BT942" s="28" t="str">
        <f t="shared" ca="1" si="225"/>
        <v/>
      </c>
    </row>
    <row r="943" spans="1:72" x14ac:dyDescent="0.2">
      <c r="A943" s="18" t="str" cm="1">
        <f t="array" aca="1" ref="A943" ca="1">IF(B943="","","Grupo N˚"&amp;SUMPRODUCT(($B$4:B943&lt;&gt;"")*($B$4:B943&lt;&gt;OFFSET($B$4,-1,0,ROWS($B$4:B943),1))))</f>
        <v/>
      </c>
      <c r="B943" s="31"/>
      <c r="C943" s="31"/>
      <c r="D943" s="31"/>
      <c r="E943" s="31"/>
      <c r="F943" s="32"/>
      <c r="G943" s="33"/>
      <c r="H943" s="33"/>
      <c r="I943" s="20" t="str">
        <f t="shared" si="214"/>
        <v/>
      </c>
      <c r="J943" s="21" t="str">
        <f>IFERROR(VLOOKUP(BR943,Pricing!$D$3:$E$58,2,FALSE),"")</f>
        <v/>
      </c>
      <c r="K943" s="32"/>
      <c r="L943" s="32"/>
      <c r="M943" s="32"/>
      <c r="N943" s="36" t="str" cm="1">
        <f t="array" ref="N943">IFERROR(_xlfn.IFS((AND(K943="SI",M943="$")),J943*0.2,AND(K943="SI",M943="%"),20),"")</f>
        <v/>
      </c>
      <c r="O943" s="29" t="str">
        <f t="shared" si="215"/>
        <v/>
      </c>
      <c r="P943" s="21" t="str">
        <f t="shared" si="216"/>
        <v/>
      </c>
      <c r="Q943" s="21" t="str">
        <f t="shared" si="217"/>
        <v/>
      </c>
      <c r="R943" s="21" t="str">
        <f t="shared" si="218"/>
        <v/>
      </c>
      <c r="S943" s="39"/>
      <c r="T943" s="43" t="str">
        <f t="shared" si="226"/>
        <v/>
      </c>
      <c r="U943" s="49" t="str">
        <f t="shared" si="227"/>
        <v/>
      </c>
      <c r="V943" s="48" t="str">
        <f t="shared" si="228"/>
        <v/>
      </c>
      <c r="W943" s="48" t="str">
        <f t="shared" si="219"/>
        <v/>
      </c>
      <c r="X943" s="50" t="str">
        <f>IF(W943="","",SUMIF($B$4:$B$1002,B943,$W$4:$W$1000))</f>
        <v/>
      </c>
      <c r="Y943" s="43" t="str">
        <f t="shared" si="220"/>
        <v/>
      </c>
      <c r="Z943" s="49" t="str">
        <f t="shared" si="221"/>
        <v/>
      </c>
      <c r="AA943" s="48" t="str">
        <f t="shared" si="222"/>
        <v/>
      </c>
      <c r="AB943" s="49" t="str">
        <f t="shared" si="223"/>
        <v/>
      </c>
      <c r="AC943" s="50" t="str">
        <f>IF(AB943="","",SUMIF($B$4:$B$1002,B943,$AB$4:$AB$1000))</f>
        <v/>
      </c>
      <c r="AD943" s="69"/>
      <c r="AE943" s="56"/>
      <c r="AF943" s="52"/>
      <c r="AG943" s="51"/>
      <c r="AH943" s="70"/>
      <c r="AI943" s="58"/>
      <c r="AJ943" s="55"/>
      <c r="AK943" s="51"/>
      <c r="AL943" s="69"/>
      <c r="AM943" s="56"/>
      <c r="AN943" s="52"/>
      <c r="AO943" s="51"/>
      <c r="AP943" s="70"/>
      <c r="AQ943" s="58"/>
      <c r="AR943" s="55"/>
      <c r="AS943" s="51"/>
      <c r="AT943" s="69"/>
      <c r="AU943" s="56"/>
      <c r="AV943" s="52"/>
      <c r="AW943" s="51"/>
      <c r="BR943" s="34" t="str">
        <f>IF(E943="","",CONCATENATE(E943," ",F943," noches"))</f>
        <v/>
      </c>
      <c r="BS943" s="28" t="str">
        <f t="shared" ca="1" si="224"/>
        <v/>
      </c>
      <c r="BT943" s="28" t="str">
        <f t="shared" ca="1" si="225"/>
        <v/>
      </c>
    </row>
    <row r="944" spans="1:72" x14ac:dyDescent="0.2">
      <c r="A944" s="18" t="str" cm="1">
        <f t="array" aca="1" ref="A944" ca="1">IF(B944="","","Grupo N˚"&amp;SUMPRODUCT(($B$4:B944&lt;&gt;"")*($B$4:B944&lt;&gt;OFFSET($B$4,-1,0,ROWS($B$4:B944),1))))</f>
        <v/>
      </c>
      <c r="B944" s="31"/>
      <c r="C944" s="31"/>
      <c r="D944" s="31"/>
      <c r="E944" s="31"/>
      <c r="F944" s="32"/>
      <c r="G944" s="33"/>
      <c r="H944" s="33"/>
      <c r="I944" s="20" t="str">
        <f t="shared" si="214"/>
        <v/>
      </c>
      <c r="J944" s="21" t="str">
        <f>IFERROR(VLOOKUP(BR944,Pricing!$D$3:$E$58,2,FALSE),"")</f>
        <v/>
      </c>
      <c r="K944" s="32"/>
      <c r="L944" s="32"/>
      <c r="M944" s="32"/>
      <c r="N944" s="36" t="str" cm="1">
        <f t="array" ref="N944">IFERROR(_xlfn.IFS((AND(K944="SI",M944="$")),J944*0.2,AND(K944="SI",M944="%"),20),"")</f>
        <v/>
      </c>
      <c r="O944" s="29" t="str">
        <f t="shared" si="215"/>
        <v/>
      </c>
      <c r="P944" s="21" t="str">
        <f t="shared" si="216"/>
        <v/>
      </c>
      <c r="Q944" s="21" t="str">
        <f t="shared" si="217"/>
        <v/>
      </c>
      <c r="R944" s="21" t="str">
        <f t="shared" si="218"/>
        <v/>
      </c>
      <c r="S944" s="39"/>
      <c r="T944" s="43" t="str">
        <f t="shared" si="226"/>
        <v/>
      </c>
      <c r="U944" s="49" t="str">
        <f t="shared" si="227"/>
        <v/>
      </c>
      <c r="V944" s="48" t="str">
        <f t="shared" si="228"/>
        <v/>
      </c>
      <c r="W944" s="48" t="str">
        <f t="shared" si="219"/>
        <v/>
      </c>
      <c r="X944" s="50" t="str">
        <f>IF(W944="","",SUMIF($B$4:$B$1002,B944,$W$4:$W$1000))</f>
        <v/>
      </c>
      <c r="Y944" s="43" t="str">
        <f t="shared" si="220"/>
        <v/>
      </c>
      <c r="Z944" s="49" t="str">
        <f t="shared" si="221"/>
        <v/>
      </c>
      <c r="AA944" s="48" t="str">
        <f t="shared" si="222"/>
        <v/>
      </c>
      <c r="AB944" s="49" t="str">
        <f t="shared" si="223"/>
        <v/>
      </c>
      <c r="AC944" s="50" t="str">
        <f>IF(AB944="","",SUMIF($B$4:$B$1002,B944,$AB$4:$AB$1000))</f>
        <v/>
      </c>
      <c r="AD944" s="69"/>
      <c r="AE944" s="56"/>
      <c r="AF944" s="52"/>
      <c r="AG944" s="51"/>
      <c r="AH944" s="70"/>
      <c r="AI944" s="58"/>
      <c r="AJ944" s="55"/>
      <c r="AK944" s="51"/>
      <c r="AL944" s="69"/>
      <c r="AM944" s="56"/>
      <c r="AN944" s="52"/>
      <c r="AO944" s="51"/>
      <c r="AP944" s="70"/>
      <c r="AQ944" s="58"/>
      <c r="AR944" s="55"/>
      <c r="AS944" s="51"/>
      <c r="AT944" s="69"/>
      <c r="AU944" s="56"/>
      <c r="AV944" s="52"/>
      <c r="AW944" s="51"/>
      <c r="BR944" s="34" t="str">
        <f>IF(E944="","",CONCATENATE(E944," ",F944," noches"))</f>
        <v/>
      </c>
      <c r="BS944" s="28" t="str">
        <f t="shared" ca="1" si="224"/>
        <v/>
      </c>
      <c r="BT944" s="28" t="str">
        <f t="shared" ca="1" si="225"/>
        <v/>
      </c>
    </row>
    <row r="945" spans="1:72" x14ac:dyDescent="0.2">
      <c r="A945" s="18" t="str" cm="1">
        <f t="array" aca="1" ref="A945" ca="1">IF(B945="","","Grupo N˚"&amp;SUMPRODUCT(($B$4:B945&lt;&gt;"")*($B$4:B945&lt;&gt;OFFSET($B$4,-1,0,ROWS($B$4:B945),1))))</f>
        <v/>
      </c>
      <c r="B945" s="31"/>
      <c r="C945" s="31"/>
      <c r="D945" s="31"/>
      <c r="E945" s="31"/>
      <c r="F945" s="32"/>
      <c r="G945" s="33"/>
      <c r="H945" s="33"/>
      <c r="I945" s="20" t="str">
        <f t="shared" si="214"/>
        <v/>
      </c>
      <c r="J945" s="21" t="str">
        <f>IFERROR(VLOOKUP(BR945,Pricing!$D$3:$E$58,2,FALSE),"")</f>
        <v/>
      </c>
      <c r="K945" s="32"/>
      <c r="L945" s="32"/>
      <c r="M945" s="32"/>
      <c r="N945" s="36" t="str" cm="1">
        <f t="array" ref="N945">IFERROR(_xlfn.IFS((AND(K945="SI",M945="$")),J945*0.2,AND(K945="SI",M945="%"),20),"")</f>
        <v/>
      </c>
      <c r="O945" s="29" t="str">
        <f t="shared" si="215"/>
        <v/>
      </c>
      <c r="P945" s="21" t="str">
        <f t="shared" si="216"/>
        <v/>
      </c>
      <c r="Q945" s="21" t="str">
        <f t="shared" si="217"/>
        <v/>
      </c>
      <c r="R945" s="21" t="str">
        <f t="shared" si="218"/>
        <v/>
      </c>
      <c r="S945" s="39"/>
      <c r="T945" s="43" t="str">
        <f t="shared" si="226"/>
        <v/>
      </c>
      <c r="U945" s="49" t="str">
        <f t="shared" si="227"/>
        <v/>
      </c>
      <c r="V945" s="48" t="str">
        <f t="shared" si="228"/>
        <v/>
      </c>
      <c r="W945" s="48" t="str">
        <f t="shared" si="219"/>
        <v/>
      </c>
      <c r="X945" s="50" t="str">
        <f>IF(W945="","",SUMIF($B$4:$B$1002,B945,$W$4:$W$1000))</f>
        <v/>
      </c>
      <c r="Y945" s="43" t="str">
        <f t="shared" si="220"/>
        <v/>
      </c>
      <c r="Z945" s="49" t="str">
        <f t="shared" si="221"/>
        <v/>
      </c>
      <c r="AA945" s="48" t="str">
        <f t="shared" si="222"/>
        <v/>
      </c>
      <c r="AB945" s="49" t="str">
        <f t="shared" si="223"/>
        <v/>
      </c>
      <c r="AC945" s="50" t="str">
        <f>IF(AB945="","",SUMIF($B$4:$B$1002,B945,$AB$4:$AB$1000))</f>
        <v/>
      </c>
      <c r="AD945" s="69"/>
      <c r="AE945" s="56"/>
      <c r="AF945" s="52"/>
      <c r="AG945" s="51"/>
      <c r="AH945" s="70"/>
      <c r="AI945" s="58"/>
      <c r="AJ945" s="55"/>
      <c r="AK945" s="51"/>
      <c r="AL945" s="69"/>
      <c r="AM945" s="56"/>
      <c r="AN945" s="52"/>
      <c r="AO945" s="51"/>
      <c r="AP945" s="70"/>
      <c r="AQ945" s="58"/>
      <c r="AR945" s="55"/>
      <c r="AS945" s="51"/>
      <c r="AT945" s="69"/>
      <c r="AU945" s="56"/>
      <c r="AV945" s="52"/>
      <c r="AW945" s="51"/>
      <c r="BR945" s="34" t="str">
        <f>IF(E945="","",CONCATENATE(E945," ",F945," noches"))</f>
        <v/>
      </c>
      <c r="BS945" s="28" t="str">
        <f t="shared" ca="1" si="224"/>
        <v/>
      </c>
      <c r="BT945" s="28" t="str">
        <f t="shared" ca="1" si="225"/>
        <v/>
      </c>
    </row>
    <row r="946" spans="1:72" x14ac:dyDescent="0.2">
      <c r="A946" s="18" t="str" cm="1">
        <f t="array" aca="1" ref="A946" ca="1">IF(B946="","","Grupo N˚"&amp;SUMPRODUCT(($B$4:B946&lt;&gt;"")*($B$4:B946&lt;&gt;OFFSET($B$4,-1,0,ROWS($B$4:B946),1))))</f>
        <v/>
      </c>
      <c r="B946" s="31"/>
      <c r="C946" s="31"/>
      <c r="D946" s="31"/>
      <c r="E946" s="31"/>
      <c r="F946" s="32"/>
      <c r="G946" s="33"/>
      <c r="H946" s="33"/>
      <c r="I946" s="20" t="str">
        <f t="shared" si="214"/>
        <v/>
      </c>
      <c r="J946" s="21" t="str">
        <f>IFERROR(VLOOKUP(BR946,Pricing!$D$3:$E$58,2,FALSE),"")</f>
        <v/>
      </c>
      <c r="K946" s="32"/>
      <c r="L946" s="32"/>
      <c r="M946" s="32"/>
      <c r="N946" s="36" t="str" cm="1">
        <f t="array" ref="N946">IFERROR(_xlfn.IFS((AND(K946="SI",M946="$")),J946*0.2,AND(K946="SI",M946="%"),20),"")</f>
        <v/>
      </c>
      <c r="O946" s="29" t="str">
        <f t="shared" si="215"/>
        <v/>
      </c>
      <c r="P946" s="21" t="str">
        <f t="shared" si="216"/>
        <v/>
      </c>
      <c r="Q946" s="21" t="str">
        <f t="shared" si="217"/>
        <v/>
      </c>
      <c r="R946" s="21" t="str">
        <f t="shared" si="218"/>
        <v/>
      </c>
      <c r="S946" s="39"/>
      <c r="T946" s="43" t="str">
        <f t="shared" si="226"/>
        <v/>
      </c>
      <c r="U946" s="49" t="str">
        <f t="shared" si="227"/>
        <v/>
      </c>
      <c r="V946" s="48" t="str">
        <f t="shared" si="228"/>
        <v/>
      </c>
      <c r="W946" s="48" t="str">
        <f t="shared" si="219"/>
        <v/>
      </c>
      <c r="X946" s="50" t="str">
        <f>IF(W946="","",SUMIF($B$4:$B$1002,B946,$W$4:$W$1000))</f>
        <v/>
      </c>
      <c r="Y946" s="43" t="str">
        <f t="shared" si="220"/>
        <v/>
      </c>
      <c r="Z946" s="49" t="str">
        <f t="shared" si="221"/>
        <v/>
      </c>
      <c r="AA946" s="48" t="str">
        <f t="shared" si="222"/>
        <v/>
      </c>
      <c r="AB946" s="49" t="str">
        <f t="shared" si="223"/>
        <v/>
      </c>
      <c r="AC946" s="50" t="str">
        <f>IF(AB946="","",SUMIF($B$4:$B$1002,B946,$AB$4:$AB$1000))</f>
        <v/>
      </c>
      <c r="AD946" s="69"/>
      <c r="AE946" s="56"/>
      <c r="AF946" s="52"/>
      <c r="AG946" s="51"/>
      <c r="AH946" s="70"/>
      <c r="AI946" s="58"/>
      <c r="AJ946" s="55"/>
      <c r="AK946" s="51"/>
      <c r="AL946" s="69"/>
      <c r="AM946" s="56"/>
      <c r="AN946" s="52"/>
      <c r="AO946" s="51"/>
      <c r="AP946" s="70"/>
      <c r="AQ946" s="58"/>
      <c r="AR946" s="55"/>
      <c r="AS946" s="51"/>
      <c r="AT946" s="69"/>
      <c r="AU946" s="56"/>
      <c r="AV946" s="52"/>
      <c r="AW946" s="51"/>
      <c r="BR946" s="34" t="str">
        <f>IF(E946="","",CONCATENATE(E946," ",F946," noches"))</f>
        <v/>
      </c>
      <c r="BS946" s="28" t="str">
        <f t="shared" ca="1" si="224"/>
        <v/>
      </c>
      <c r="BT946" s="28" t="str">
        <f t="shared" ca="1" si="225"/>
        <v/>
      </c>
    </row>
    <row r="947" spans="1:72" x14ac:dyDescent="0.2">
      <c r="A947" s="18" t="str" cm="1">
        <f t="array" aca="1" ref="A947" ca="1">IF(B947="","","Grupo N˚"&amp;SUMPRODUCT(($B$4:B947&lt;&gt;"")*($B$4:B947&lt;&gt;OFFSET($B$4,-1,0,ROWS($B$4:B947),1))))</f>
        <v/>
      </c>
      <c r="B947" s="31"/>
      <c r="C947" s="31"/>
      <c r="D947" s="31"/>
      <c r="E947" s="31"/>
      <c r="F947" s="32"/>
      <c r="G947" s="33"/>
      <c r="H947" s="33"/>
      <c r="I947" s="20" t="str">
        <f t="shared" si="214"/>
        <v/>
      </c>
      <c r="J947" s="21" t="str">
        <f>IFERROR(VLOOKUP(BR947,Pricing!$D$3:$E$58,2,FALSE),"")</f>
        <v/>
      </c>
      <c r="K947" s="32"/>
      <c r="L947" s="32"/>
      <c r="M947" s="32"/>
      <c r="N947" s="36" t="str" cm="1">
        <f t="array" ref="N947">IFERROR(_xlfn.IFS((AND(K947="SI",M947="$")),J947*0.2,AND(K947="SI",M947="%"),20),"")</f>
        <v/>
      </c>
      <c r="O947" s="29" t="str">
        <f t="shared" si="215"/>
        <v/>
      </c>
      <c r="P947" s="21" t="str">
        <f t="shared" si="216"/>
        <v/>
      </c>
      <c r="Q947" s="21" t="str">
        <f t="shared" si="217"/>
        <v/>
      </c>
      <c r="R947" s="21" t="str">
        <f t="shared" si="218"/>
        <v/>
      </c>
      <c r="S947" s="39"/>
      <c r="T947" s="43" t="str">
        <f t="shared" si="226"/>
        <v/>
      </c>
      <c r="U947" s="49" t="str">
        <f t="shared" si="227"/>
        <v/>
      </c>
      <c r="V947" s="48" t="str">
        <f t="shared" si="228"/>
        <v/>
      </c>
      <c r="W947" s="48" t="str">
        <f t="shared" si="219"/>
        <v/>
      </c>
      <c r="X947" s="50" t="str">
        <f>IF(W947="","",SUMIF($B$4:$B$1002,B947,$W$4:$W$1000))</f>
        <v/>
      </c>
      <c r="Y947" s="43" t="str">
        <f t="shared" si="220"/>
        <v/>
      </c>
      <c r="Z947" s="49" t="str">
        <f t="shared" si="221"/>
        <v/>
      </c>
      <c r="AA947" s="48" t="str">
        <f t="shared" si="222"/>
        <v/>
      </c>
      <c r="AB947" s="49" t="str">
        <f t="shared" si="223"/>
        <v/>
      </c>
      <c r="AC947" s="50" t="str">
        <f>IF(AB947="","",SUMIF($B$4:$B$1002,B947,$AB$4:$AB$1000))</f>
        <v/>
      </c>
      <c r="AD947" s="69"/>
      <c r="AE947" s="56"/>
      <c r="AF947" s="52"/>
      <c r="AG947" s="51"/>
      <c r="AH947" s="70"/>
      <c r="AI947" s="58"/>
      <c r="AJ947" s="55"/>
      <c r="AK947" s="51"/>
      <c r="AL947" s="69"/>
      <c r="AM947" s="56"/>
      <c r="AN947" s="52"/>
      <c r="AO947" s="51"/>
      <c r="AP947" s="70"/>
      <c r="AQ947" s="58"/>
      <c r="AR947" s="55"/>
      <c r="AS947" s="51"/>
      <c r="AT947" s="69"/>
      <c r="AU947" s="56"/>
      <c r="AV947" s="52"/>
      <c r="AW947" s="51"/>
      <c r="BR947" s="34" t="str">
        <f>IF(E947="","",CONCATENATE(E947," ",F947," noches"))</f>
        <v/>
      </c>
      <c r="BS947" s="28" t="str">
        <f t="shared" ca="1" si="224"/>
        <v/>
      </c>
      <c r="BT947" s="28" t="str">
        <f t="shared" ca="1" si="225"/>
        <v/>
      </c>
    </row>
    <row r="948" spans="1:72" x14ac:dyDescent="0.2">
      <c r="A948" s="18" t="str" cm="1">
        <f t="array" aca="1" ref="A948" ca="1">IF(B948="","","Grupo N˚"&amp;SUMPRODUCT(($B$4:B948&lt;&gt;"")*($B$4:B948&lt;&gt;OFFSET($B$4,-1,0,ROWS($B$4:B948),1))))</f>
        <v/>
      </c>
      <c r="B948" s="31"/>
      <c r="C948" s="31"/>
      <c r="D948" s="31"/>
      <c r="E948" s="31"/>
      <c r="F948" s="32"/>
      <c r="G948" s="33"/>
      <c r="H948" s="33"/>
      <c r="I948" s="20" t="str">
        <f t="shared" si="214"/>
        <v/>
      </c>
      <c r="J948" s="21" t="str">
        <f>IFERROR(VLOOKUP(BR948,Pricing!$D$3:$E$58,2,FALSE),"")</f>
        <v/>
      </c>
      <c r="K948" s="32"/>
      <c r="L948" s="32"/>
      <c r="M948" s="32"/>
      <c r="N948" s="36" t="str" cm="1">
        <f t="array" ref="N948">IFERROR(_xlfn.IFS((AND(K948="SI",M948="$")),J948*0.2,AND(K948="SI",M948="%"),20),"")</f>
        <v/>
      </c>
      <c r="O948" s="29" t="str">
        <f t="shared" si="215"/>
        <v/>
      </c>
      <c r="P948" s="21" t="str">
        <f t="shared" si="216"/>
        <v/>
      </c>
      <c r="Q948" s="21" t="str">
        <f t="shared" si="217"/>
        <v/>
      </c>
      <c r="R948" s="21" t="str">
        <f t="shared" si="218"/>
        <v/>
      </c>
      <c r="S948" s="39"/>
      <c r="T948" s="43" t="str">
        <f t="shared" si="226"/>
        <v/>
      </c>
      <c r="U948" s="49" t="str">
        <f t="shared" si="227"/>
        <v/>
      </c>
      <c r="V948" s="48" t="str">
        <f t="shared" si="228"/>
        <v/>
      </c>
      <c r="W948" s="48" t="str">
        <f t="shared" si="219"/>
        <v/>
      </c>
      <c r="X948" s="50" t="str">
        <f>IF(W948="","",SUMIF($B$4:$B$1002,B948,$W$4:$W$1000))</f>
        <v/>
      </c>
      <c r="Y948" s="43" t="str">
        <f t="shared" si="220"/>
        <v/>
      </c>
      <c r="Z948" s="49" t="str">
        <f t="shared" si="221"/>
        <v/>
      </c>
      <c r="AA948" s="48" t="str">
        <f t="shared" si="222"/>
        <v/>
      </c>
      <c r="AB948" s="49" t="str">
        <f t="shared" si="223"/>
        <v/>
      </c>
      <c r="AC948" s="50" t="str">
        <f>IF(AB948="","",SUMIF($B$4:$B$1002,B948,$AB$4:$AB$1000))</f>
        <v/>
      </c>
      <c r="AD948" s="69"/>
      <c r="AE948" s="56"/>
      <c r="AF948" s="52"/>
      <c r="AG948" s="51"/>
      <c r="AH948" s="70"/>
      <c r="AI948" s="58"/>
      <c r="AJ948" s="55"/>
      <c r="AK948" s="51"/>
      <c r="AL948" s="69"/>
      <c r="AM948" s="56"/>
      <c r="AN948" s="52"/>
      <c r="AO948" s="51"/>
      <c r="AP948" s="70"/>
      <c r="AQ948" s="58"/>
      <c r="AR948" s="55"/>
      <c r="AS948" s="51"/>
      <c r="AT948" s="69"/>
      <c r="AU948" s="56"/>
      <c r="AV948" s="52"/>
      <c r="AW948" s="51"/>
      <c r="BR948" s="34" t="str">
        <f>IF(E948="","",CONCATENATE(E948," ",F948," noches"))</f>
        <v/>
      </c>
      <c r="BS948" s="28" t="str">
        <f t="shared" ca="1" si="224"/>
        <v/>
      </c>
      <c r="BT948" s="28" t="str">
        <f t="shared" ca="1" si="225"/>
        <v/>
      </c>
    </row>
    <row r="949" spans="1:72" x14ac:dyDescent="0.2">
      <c r="A949" s="18" t="str" cm="1">
        <f t="array" aca="1" ref="A949" ca="1">IF(B949="","","Grupo N˚"&amp;SUMPRODUCT(($B$4:B949&lt;&gt;"")*($B$4:B949&lt;&gt;OFFSET($B$4,-1,0,ROWS($B$4:B949),1))))</f>
        <v/>
      </c>
      <c r="B949" s="31"/>
      <c r="C949" s="31"/>
      <c r="D949" s="31"/>
      <c r="E949" s="31"/>
      <c r="F949" s="32"/>
      <c r="G949" s="33"/>
      <c r="H949" s="33"/>
      <c r="I949" s="20" t="str">
        <f t="shared" si="214"/>
        <v/>
      </c>
      <c r="J949" s="21" t="str">
        <f>IFERROR(VLOOKUP(BR949,Pricing!$D$3:$E$58,2,FALSE),"")</f>
        <v/>
      </c>
      <c r="K949" s="32"/>
      <c r="L949" s="32"/>
      <c r="M949" s="32"/>
      <c r="N949" s="36" t="str" cm="1">
        <f t="array" ref="N949">IFERROR(_xlfn.IFS((AND(K949="SI",M949="$")),J949*0.2,AND(K949="SI",M949="%"),20),"")</f>
        <v/>
      </c>
      <c r="O949" s="29" t="str">
        <f t="shared" si="215"/>
        <v/>
      </c>
      <c r="P949" s="21" t="str">
        <f t="shared" si="216"/>
        <v/>
      </c>
      <c r="Q949" s="21" t="str">
        <f t="shared" si="217"/>
        <v/>
      </c>
      <c r="R949" s="21" t="str">
        <f t="shared" si="218"/>
        <v/>
      </c>
      <c r="S949" s="39"/>
      <c r="T949" s="43" t="str">
        <f t="shared" si="226"/>
        <v/>
      </c>
      <c r="U949" s="49" t="str">
        <f t="shared" si="227"/>
        <v/>
      </c>
      <c r="V949" s="48" t="str">
        <f t="shared" si="228"/>
        <v/>
      </c>
      <c r="W949" s="48" t="str">
        <f t="shared" si="219"/>
        <v/>
      </c>
      <c r="X949" s="50" t="str">
        <f>IF(W949="","",SUMIF($B$4:$B$1002,B949,$W$4:$W$1000))</f>
        <v/>
      </c>
      <c r="Y949" s="43" t="str">
        <f t="shared" si="220"/>
        <v/>
      </c>
      <c r="Z949" s="49" t="str">
        <f t="shared" si="221"/>
        <v/>
      </c>
      <c r="AA949" s="48" t="str">
        <f t="shared" si="222"/>
        <v/>
      </c>
      <c r="AB949" s="49" t="str">
        <f t="shared" si="223"/>
        <v/>
      </c>
      <c r="AC949" s="50" t="str">
        <f>IF(AB949="","",SUMIF($B$4:$B$1002,B949,$AB$4:$AB$1000))</f>
        <v/>
      </c>
      <c r="AD949" s="69"/>
      <c r="AE949" s="56"/>
      <c r="AF949" s="52"/>
      <c r="AG949" s="51"/>
      <c r="AH949" s="70"/>
      <c r="AI949" s="58"/>
      <c r="AJ949" s="55"/>
      <c r="AK949" s="51"/>
      <c r="AL949" s="69"/>
      <c r="AM949" s="56"/>
      <c r="AN949" s="52"/>
      <c r="AO949" s="51"/>
      <c r="AP949" s="70"/>
      <c r="AQ949" s="58"/>
      <c r="AR949" s="55"/>
      <c r="AS949" s="51"/>
      <c r="AT949" s="69"/>
      <c r="AU949" s="56"/>
      <c r="AV949" s="52"/>
      <c r="AW949" s="51"/>
      <c r="BR949" s="34" t="str">
        <f>IF(E949="","",CONCATENATE(E949," ",F949," noches"))</f>
        <v/>
      </c>
      <c r="BS949" s="28" t="str">
        <f t="shared" ca="1" si="224"/>
        <v/>
      </c>
      <c r="BT949" s="28" t="str">
        <f t="shared" ca="1" si="225"/>
        <v/>
      </c>
    </row>
    <row r="950" spans="1:72" x14ac:dyDescent="0.2">
      <c r="A950" s="18" t="str" cm="1">
        <f t="array" aca="1" ref="A950" ca="1">IF(B950="","","Grupo N˚"&amp;SUMPRODUCT(($B$4:B950&lt;&gt;"")*($B$4:B950&lt;&gt;OFFSET($B$4,-1,0,ROWS($B$4:B950),1))))</f>
        <v/>
      </c>
      <c r="B950" s="31"/>
      <c r="C950" s="31"/>
      <c r="D950" s="31"/>
      <c r="E950" s="31"/>
      <c r="F950" s="32"/>
      <c r="G950" s="33"/>
      <c r="H950" s="33"/>
      <c r="I950" s="20" t="str">
        <f t="shared" si="214"/>
        <v/>
      </c>
      <c r="J950" s="21" t="str">
        <f>IFERROR(VLOOKUP(BR950,Pricing!$D$3:$E$58,2,FALSE),"")</f>
        <v/>
      </c>
      <c r="K950" s="32"/>
      <c r="L950" s="32"/>
      <c r="M950" s="32"/>
      <c r="N950" s="36" t="str" cm="1">
        <f t="array" ref="N950">IFERROR(_xlfn.IFS((AND(K950="SI",M950="$")),J950*0.2,AND(K950="SI",M950="%"),20),"")</f>
        <v/>
      </c>
      <c r="O950" s="29" t="str">
        <f t="shared" si="215"/>
        <v/>
      </c>
      <c r="P950" s="21" t="str">
        <f t="shared" si="216"/>
        <v/>
      </c>
      <c r="Q950" s="21" t="str">
        <f t="shared" si="217"/>
        <v/>
      </c>
      <c r="R950" s="21" t="str">
        <f t="shared" si="218"/>
        <v/>
      </c>
      <c r="S950" s="39"/>
      <c r="T950" s="43" t="str">
        <f t="shared" si="226"/>
        <v/>
      </c>
      <c r="U950" s="49" t="str">
        <f t="shared" si="227"/>
        <v/>
      </c>
      <c r="V950" s="48" t="str">
        <f t="shared" si="228"/>
        <v/>
      </c>
      <c r="W950" s="48" t="str">
        <f t="shared" si="219"/>
        <v/>
      </c>
      <c r="X950" s="50" t="str">
        <f>IF(W950="","",SUMIF($B$4:$B$1002,B950,$W$4:$W$1000))</f>
        <v/>
      </c>
      <c r="Y950" s="43" t="str">
        <f t="shared" si="220"/>
        <v/>
      </c>
      <c r="Z950" s="49" t="str">
        <f t="shared" si="221"/>
        <v/>
      </c>
      <c r="AA950" s="48" t="str">
        <f t="shared" si="222"/>
        <v/>
      </c>
      <c r="AB950" s="49" t="str">
        <f t="shared" si="223"/>
        <v/>
      </c>
      <c r="AC950" s="50" t="str">
        <f>IF(AB950="","",SUMIF($B$4:$B$1002,B950,$AB$4:$AB$1000))</f>
        <v/>
      </c>
      <c r="AD950" s="69"/>
      <c r="AE950" s="56"/>
      <c r="AF950" s="52"/>
      <c r="AG950" s="51"/>
      <c r="AH950" s="70"/>
      <c r="AI950" s="58"/>
      <c r="AJ950" s="55"/>
      <c r="AK950" s="51"/>
      <c r="AL950" s="69"/>
      <c r="AM950" s="56"/>
      <c r="AN950" s="52"/>
      <c r="AO950" s="51"/>
      <c r="AP950" s="70"/>
      <c r="AQ950" s="58"/>
      <c r="AR950" s="55"/>
      <c r="AS950" s="51"/>
      <c r="AT950" s="69"/>
      <c r="AU950" s="56"/>
      <c r="AV950" s="52"/>
      <c r="AW950" s="51"/>
      <c r="BR950" s="34" t="str">
        <f>IF(E950="","",CONCATENATE(E950," ",F950," noches"))</f>
        <v/>
      </c>
      <c r="BS950" s="28" t="str">
        <f t="shared" ca="1" si="224"/>
        <v/>
      </c>
      <c r="BT950" s="28" t="str">
        <f t="shared" ca="1" si="225"/>
        <v/>
      </c>
    </row>
    <row r="951" spans="1:72" x14ac:dyDescent="0.2">
      <c r="A951" s="18" t="str" cm="1">
        <f t="array" aca="1" ref="A951" ca="1">IF(B951="","","Grupo N˚"&amp;SUMPRODUCT(($B$4:B951&lt;&gt;"")*($B$4:B951&lt;&gt;OFFSET($B$4,-1,0,ROWS($B$4:B951),1))))</f>
        <v/>
      </c>
      <c r="B951" s="31"/>
      <c r="C951" s="31"/>
      <c r="D951" s="31"/>
      <c r="E951" s="31"/>
      <c r="F951" s="32"/>
      <c r="G951" s="33"/>
      <c r="H951" s="33"/>
      <c r="I951" s="20" t="str">
        <f t="shared" si="214"/>
        <v/>
      </c>
      <c r="J951" s="21" t="str">
        <f>IFERROR(VLOOKUP(BR951,Pricing!$D$3:$E$58,2,FALSE),"")</f>
        <v/>
      </c>
      <c r="K951" s="32"/>
      <c r="L951" s="32"/>
      <c r="M951" s="32"/>
      <c r="N951" s="36" t="str" cm="1">
        <f t="array" ref="N951">IFERROR(_xlfn.IFS((AND(K951="SI",M951="$")),J951*0.2,AND(K951="SI",M951="%"),20),"")</f>
        <v/>
      </c>
      <c r="O951" s="29" t="str">
        <f t="shared" si="215"/>
        <v/>
      </c>
      <c r="P951" s="21" t="str">
        <f t="shared" si="216"/>
        <v/>
      </c>
      <c r="Q951" s="21" t="str">
        <f t="shared" si="217"/>
        <v/>
      </c>
      <c r="R951" s="21" t="str">
        <f t="shared" si="218"/>
        <v/>
      </c>
      <c r="S951" s="39"/>
      <c r="T951" s="43" t="str">
        <f t="shared" si="226"/>
        <v/>
      </c>
      <c r="U951" s="49" t="str">
        <f t="shared" si="227"/>
        <v/>
      </c>
      <c r="V951" s="48" t="str">
        <f t="shared" si="228"/>
        <v/>
      </c>
      <c r="W951" s="48" t="str">
        <f t="shared" si="219"/>
        <v/>
      </c>
      <c r="X951" s="50" t="str">
        <f>IF(W951="","",SUMIF($B$4:$B$1002,B951,$W$4:$W$1000))</f>
        <v/>
      </c>
      <c r="Y951" s="43" t="str">
        <f t="shared" si="220"/>
        <v/>
      </c>
      <c r="Z951" s="49" t="str">
        <f t="shared" si="221"/>
        <v/>
      </c>
      <c r="AA951" s="48" t="str">
        <f t="shared" si="222"/>
        <v/>
      </c>
      <c r="AB951" s="49" t="str">
        <f t="shared" si="223"/>
        <v/>
      </c>
      <c r="AC951" s="50" t="str">
        <f>IF(AB951="","",SUMIF($B$4:$B$1002,B951,$AB$4:$AB$1000))</f>
        <v/>
      </c>
      <c r="AD951" s="69"/>
      <c r="AE951" s="56"/>
      <c r="AF951" s="52"/>
      <c r="AG951" s="51"/>
      <c r="AH951" s="70"/>
      <c r="AI951" s="58"/>
      <c r="AJ951" s="55"/>
      <c r="AK951" s="51"/>
      <c r="AL951" s="69"/>
      <c r="AM951" s="56"/>
      <c r="AN951" s="52"/>
      <c r="AO951" s="51"/>
      <c r="AP951" s="70"/>
      <c r="AQ951" s="58"/>
      <c r="AR951" s="55"/>
      <c r="AS951" s="51"/>
      <c r="AT951" s="69"/>
      <c r="AU951" s="56"/>
      <c r="AV951" s="52"/>
      <c r="AW951" s="51"/>
      <c r="BR951" s="34" t="str">
        <f>IF(E951="","",CONCATENATE(E951," ",F951," noches"))</f>
        <v/>
      </c>
      <c r="BS951" s="28" t="str">
        <f t="shared" ca="1" si="224"/>
        <v/>
      </c>
      <c r="BT951" s="28" t="str">
        <f t="shared" ca="1" si="225"/>
        <v/>
      </c>
    </row>
    <row r="952" spans="1:72" x14ac:dyDescent="0.2">
      <c r="A952" s="18" t="str" cm="1">
        <f t="array" aca="1" ref="A952" ca="1">IF(B952="","","Grupo N˚"&amp;SUMPRODUCT(($B$4:B952&lt;&gt;"")*($B$4:B952&lt;&gt;OFFSET($B$4,-1,0,ROWS($B$4:B952),1))))</f>
        <v/>
      </c>
      <c r="B952" s="31"/>
      <c r="C952" s="31"/>
      <c r="D952" s="31"/>
      <c r="E952" s="31"/>
      <c r="F952" s="32"/>
      <c r="G952" s="33"/>
      <c r="H952" s="33"/>
      <c r="I952" s="20" t="str">
        <f t="shared" si="214"/>
        <v/>
      </c>
      <c r="J952" s="21" t="str">
        <f>IFERROR(VLOOKUP(BR952,Pricing!$D$3:$E$58,2,FALSE),"")</f>
        <v/>
      </c>
      <c r="K952" s="32"/>
      <c r="L952" s="32"/>
      <c r="M952" s="32"/>
      <c r="N952" s="36" t="str" cm="1">
        <f t="array" ref="N952">IFERROR(_xlfn.IFS((AND(K952="SI",M952="$")),J952*0.2,AND(K952="SI",M952="%"),20),"")</f>
        <v/>
      </c>
      <c r="O952" s="29" t="str">
        <f t="shared" si="215"/>
        <v/>
      </c>
      <c r="P952" s="21" t="str">
        <f t="shared" si="216"/>
        <v/>
      </c>
      <c r="Q952" s="21" t="str">
        <f t="shared" si="217"/>
        <v/>
      </c>
      <c r="R952" s="21" t="str">
        <f t="shared" si="218"/>
        <v/>
      </c>
      <c r="S952" s="39"/>
      <c r="T952" s="43" t="str">
        <f t="shared" si="226"/>
        <v/>
      </c>
      <c r="U952" s="49" t="str">
        <f t="shared" si="227"/>
        <v/>
      </c>
      <c r="V952" s="48" t="str">
        <f t="shared" si="228"/>
        <v/>
      </c>
      <c r="W952" s="48" t="str">
        <f t="shared" si="219"/>
        <v/>
      </c>
      <c r="X952" s="50" t="str">
        <f>IF(W952="","",SUMIF($B$4:$B$1002,B952,$W$4:$W$1000))</f>
        <v/>
      </c>
      <c r="Y952" s="43" t="str">
        <f t="shared" si="220"/>
        <v/>
      </c>
      <c r="Z952" s="49" t="str">
        <f t="shared" si="221"/>
        <v/>
      </c>
      <c r="AA952" s="48" t="str">
        <f t="shared" si="222"/>
        <v/>
      </c>
      <c r="AB952" s="49" t="str">
        <f t="shared" si="223"/>
        <v/>
      </c>
      <c r="AC952" s="50" t="str">
        <f>IF(AB952="","",SUMIF($B$4:$B$1002,B952,$AB$4:$AB$1000))</f>
        <v/>
      </c>
      <c r="AD952" s="69"/>
      <c r="AE952" s="56"/>
      <c r="AF952" s="52"/>
      <c r="AG952" s="51"/>
      <c r="AH952" s="70"/>
      <c r="AI952" s="58"/>
      <c r="AJ952" s="55"/>
      <c r="AK952" s="51"/>
      <c r="AL952" s="69"/>
      <c r="AM952" s="56"/>
      <c r="AN952" s="52"/>
      <c r="AO952" s="51"/>
      <c r="AP952" s="70"/>
      <c r="AQ952" s="58"/>
      <c r="AR952" s="55"/>
      <c r="AS952" s="51"/>
      <c r="AT952" s="69"/>
      <c r="AU952" s="56"/>
      <c r="AV952" s="52"/>
      <c r="AW952" s="51"/>
      <c r="BR952" s="34" t="str">
        <f>IF(E952="","",CONCATENATE(E952," ",F952," noches"))</f>
        <v/>
      </c>
      <c r="BS952" s="28" t="str">
        <f t="shared" ca="1" si="224"/>
        <v/>
      </c>
      <c r="BT952" s="28" t="str">
        <f t="shared" ca="1" si="225"/>
        <v/>
      </c>
    </row>
    <row r="953" spans="1:72" x14ac:dyDescent="0.2">
      <c r="A953" s="18" t="str" cm="1">
        <f t="array" aca="1" ref="A953" ca="1">IF(B953="","","Grupo N˚"&amp;SUMPRODUCT(($B$4:B953&lt;&gt;"")*($B$4:B953&lt;&gt;OFFSET($B$4,-1,0,ROWS($B$4:B953),1))))</f>
        <v/>
      </c>
      <c r="B953" s="31"/>
      <c r="C953" s="31"/>
      <c r="D953" s="31"/>
      <c r="E953" s="31"/>
      <c r="F953" s="32"/>
      <c r="G953" s="33"/>
      <c r="H953" s="33"/>
      <c r="I953" s="20" t="str">
        <f t="shared" si="214"/>
        <v/>
      </c>
      <c r="J953" s="21" t="str">
        <f>IFERROR(VLOOKUP(BR953,Pricing!$D$3:$E$58,2,FALSE),"")</f>
        <v/>
      </c>
      <c r="K953" s="32"/>
      <c r="L953" s="32"/>
      <c r="M953" s="32"/>
      <c r="N953" s="36" t="str" cm="1">
        <f t="array" ref="N953">IFERROR(_xlfn.IFS((AND(K953="SI",M953="$")),J953*0.2,AND(K953="SI",M953="%"),20),"")</f>
        <v/>
      </c>
      <c r="O953" s="29" t="str">
        <f t="shared" si="215"/>
        <v/>
      </c>
      <c r="P953" s="21" t="str">
        <f t="shared" si="216"/>
        <v/>
      </c>
      <c r="Q953" s="21" t="str">
        <f t="shared" si="217"/>
        <v/>
      </c>
      <c r="R953" s="21" t="str">
        <f t="shared" si="218"/>
        <v/>
      </c>
      <c r="S953" s="39"/>
      <c r="T953" s="43" t="str">
        <f t="shared" si="226"/>
        <v/>
      </c>
      <c r="U953" s="49" t="str">
        <f t="shared" si="227"/>
        <v/>
      </c>
      <c r="V953" s="48" t="str">
        <f t="shared" si="228"/>
        <v/>
      </c>
      <c r="W953" s="48" t="str">
        <f t="shared" si="219"/>
        <v/>
      </c>
      <c r="X953" s="50" t="str">
        <f>IF(W953="","",SUMIF($B$4:$B$1002,B953,$W$4:$W$1000))</f>
        <v/>
      </c>
      <c r="Y953" s="43" t="str">
        <f t="shared" si="220"/>
        <v/>
      </c>
      <c r="Z953" s="49" t="str">
        <f t="shared" si="221"/>
        <v/>
      </c>
      <c r="AA953" s="48" t="str">
        <f t="shared" si="222"/>
        <v/>
      </c>
      <c r="AB953" s="49" t="str">
        <f t="shared" si="223"/>
        <v/>
      </c>
      <c r="AC953" s="50" t="str">
        <f>IF(AB953="","",SUMIF($B$4:$B$1002,B953,$AB$4:$AB$1000))</f>
        <v/>
      </c>
      <c r="AD953" s="69"/>
      <c r="AE953" s="56"/>
      <c r="AF953" s="52"/>
      <c r="AG953" s="51"/>
      <c r="AH953" s="70"/>
      <c r="AI953" s="58"/>
      <c r="AJ953" s="55"/>
      <c r="AK953" s="51"/>
      <c r="AL953" s="69"/>
      <c r="AM953" s="56"/>
      <c r="AN953" s="52"/>
      <c r="AO953" s="51"/>
      <c r="AP953" s="70"/>
      <c r="AQ953" s="58"/>
      <c r="AR953" s="55"/>
      <c r="AS953" s="51"/>
      <c r="AT953" s="69"/>
      <c r="AU953" s="56"/>
      <c r="AV953" s="52"/>
      <c r="AW953" s="51"/>
      <c r="BR953" s="34" t="str">
        <f>IF(E953="","",CONCATENATE(E953," ",F953," noches"))</f>
        <v/>
      </c>
      <c r="BS953" s="28" t="str">
        <f t="shared" ca="1" si="224"/>
        <v/>
      </c>
      <c r="BT953" s="28" t="str">
        <f t="shared" ca="1" si="225"/>
        <v/>
      </c>
    </row>
    <row r="954" spans="1:72" x14ac:dyDescent="0.2">
      <c r="A954" s="18" t="str" cm="1">
        <f t="array" aca="1" ref="A954" ca="1">IF(B954="","","Grupo N˚"&amp;SUMPRODUCT(($B$4:B954&lt;&gt;"")*($B$4:B954&lt;&gt;OFFSET($B$4,-1,0,ROWS($B$4:B954),1))))</f>
        <v/>
      </c>
      <c r="B954" s="31"/>
      <c r="C954" s="31"/>
      <c r="D954" s="31"/>
      <c r="E954" s="31"/>
      <c r="F954" s="32"/>
      <c r="G954" s="33"/>
      <c r="H954" s="33"/>
      <c r="I954" s="20" t="str">
        <f t="shared" si="214"/>
        <v/>
      </c>
      <c r="J954" s="21" t="str">
        <f>IFERROR(VLOOKUP(BR954,Pricing!$D$3:$E$58,2,FALSE),"")</f>
        <v/>
      </c>
      <c r="K954" s="32"/>
      <c r="L954" s="32"/>
      <c r="M954" s="32"/>
      <c r="N954" s="36" t="str" cm="1">
        <f t="array" ref="N954">IFERROR(_xlfn.IFS((AND(K954="SI",M954="$")),J954*0.2,AND(K954="SI",M954="%"),20),"")</f>
        <v/>
      </c>
      <c r="O954" s="29" t="str">
        <f t="shared" si="215"/>
        <v/>
      </c>
      <c r="P954" s="21" t="str">
        <f t="shared" si="216"/>
        <v/>
      </c>
      <c r="Q954" s="21" t="str">
        <f t="shared" si="217"/>
        <v/>
      </c>
      <c r="R954" s="21" t="str">
        <f t="shared" si="218"/>
        <v/>
      </c>
      <c r="S954" s="39"/>
      <c r="T954" s="43" t="str">
        <f t="shared" si="226"/>
        <v/>
      </c>
      <c r="U954" s="49" t="str">
        <f t="shared" si="227"/>
        <v/>
      </c>
      <c r="V954" s="48" t="str">
        <f t="shared" si="228"/>
        <v/>
      </c>
      <c r="W954" s="48" t="str">
        <f t="shared" si="219"/>
        <v/>
      </c>
      <c r="X954" s="50" t="str">
        <f>IF(W954="","",SUMIF($B$4:$B$1002,B954,$W$4:$W$1000))</f>
        <v/>
      </c>
      <c r="Y954" s="43" t="str">
        <f t="shared" si="220"/>
        <v/>
      </c>
      <c r="Z954" s="49" t="str">
        <f t="shared" si="221"/>
        <v/>
      </c>
      <c r="AA954" s="48" t="str">
        <f t="shared" si="222"/>
        <v/>
      </c>
      <c r="AB954" s="49" t="str">
        <f t="shared" si="223"/>
        <v/>
      </c>
      <c r="AC954" s="50" t="str">
        <f>IF(AB954="","",SUMIF($B$4:$B$1002,B954,$AB$4:$AB$1000))</f>
        <v/>
      </c>
      <c r="AD954" s="69"/>
      <c r="AE954" s="56"/>
      <c r="AF954" s="52"/>
      <c r="AG954" s="51"/>
      <c r="AH954" s="70"/>
      <c r="AI954" s="58"/>
      <c r="AJ954" s="55"/>
      <c r="AK954" s="51"/>
      <c r="AL954" s="69"/>
      <c r="AM954" s="56"/>
      <c r="AN954" s="52"/>
      <c r="AO954" s="51"/>
      <c r="AP954" s="70"/>
      <c r="AQ954" s="58"/>
      <c r="AR954" s="55"/>
      <c r="AS954" s="51"/>
      <c r="AT954" s="69"/>
      <c r="AU954" s="56"/>
      <c r="AV954" s="52"/>
      <c r="AW954" s="51"/>
      <c r="BR954" s="34" t="str">
        <f>IF(E954="","",CONCATENATE(E954," ",F954," noches"))</f>
        <v/>
      </c>
      <c r="BS954" s="28" t="str">
        <f t="shared" ca="1" si="224"/>
        <v/>
      </c>
      <c r="BT954" s="28" t="str">
        <f t="shared" ca="1" si="225"/>
        <v/>
      </c>
    </row>
    <row r="955" spans="1:72" x14ac:dyDescent="0.2">
      <c r="A955" s="18" t="str" cm="1">
        <f t="array" aca="1" ref="A955" ca="1">IF(B955="","","Grupo N˚"&amp;SUMPRODUCT(($B$4:B955&lt;&gt;"")*($B$4:B955&lt;&gt;OFFSET($B$4,-1,0,ROWS($B$4:B955),1))))</f>
        <v/>
      </c>
      <c r="B955" s="31"/>
      <c r="C955" s="31"/>
      <c r="D955" s="31"/>
      <c r="E955" s="31"/>
      <c r="F955" s="32"/>
      <c r="G955" s="33"/>
      <c r="H955" s="33"/>
      <c r="I955" s="20" t="str">
        <f t="shared" si="214"/>
        <v/>
      </c>
      <c r="J955" s="21" t="str">
        <f>IFERROR(VLOOKUP(BR955,Pricing!$D$3:$E$58,2,FALSE),"")</f>
        <v/>
      </c>
      <c r="K955" s="32"/>
      <c r="L955" s="32"/>
      <c r="M955" s="32"/>
      <c r="N955" s="36" t="str" cm="1">
        <f t="array" ref="N955">IFERROR(_xlfn.IFS((AND(K955="SI",M955="$")),J955*0.2,AND(K955="SI",M955="%"),20),"")</f>
        <v/>
      </c>
      <c r="O955" s="29" t="str">
        <f t="shared" si="215"/>
        <v/>
      </c>
      <c r="P955" s="21" t="str">
        <f t="shared" si="216"/>
        <v/>
      </c>
      <c r="Q955" s="21" t="str">
        <f t="shared" si="217"/>
        <v/>
      </c>
      <c r="R955" s="21" t="str">
        <f t="shared" si="218"/>
        <v/>
      </c>
      <c r="S955" s="39"/>
      <c r="T955" s="43" t="str">
        <f t="shared" si="226"/>
        <v/>
      </c>
      <c r="U955" s="49" t="str">
        <f t="shared" si="227"/>
        <v/>
      </c>
      <c r="V955" s="48" t="str">
        <f t="shared" si="228"/>
        <v/>
      </c>
      <c r="W955" s="48" t="str">
        <f t="shared" si="219"/>
        <v/>
      </c>
      <c r="X955" s="50" t="str">
        <f>IF(W955="","",SUMIF($B$4:$B$1002,B955,$W$4:$W$1000))</f>
        <v/>
      </c>
      <c r="Y955" s="43" t="str">
        <f t="shared" si="220"/>
        <v/>
      </c>
      <c r="Z955" s="49" t="str">
        <f t="shared" si="221"/>
        <v/>
      </c>
      <c r="AA955" s="48" t="str">
        <f t="shared" si="222"/>
        <v/>
      </c>
      <c r="AB955" s="49" t="str">
        <f t="shared" si="223"/>
        <v/>
      </c>
      <c r="AC955" s="50" t="str">
        <f>IF(AB955="","",SUMIF($B$4:$B$1002,B955,$AB$4:$AB$1000))</f>
        <v/>
      </c>
      <c r="AD955" s="69"/>
      <c r="AE955" s="56"/>
      <c r="AF955" s="52"/>
      <c r="AG955" s="51"/>
      <c r="AH955" s="70"/>
      <c r="AI955" s="58"/>
      <c r="AJ955" s="55"/>
      <c r="AK955" s="51"/>
      <c r="AL955" s="69"/>
      <c r="AM955" s="56"/>
      <c r="AN955" s="52"/>
      <c r="AO955" s="51"/>
      <c r="AP955" s="70"/>
      <c r="AQ955" s="58"/>
      <c r="AR955" s="55"/>
      <c r="AS955" s="51"/>
      <c r="AT955" s="69"/>
      <c r="AU955" s="56"/>
      <c r="AV955" s="52"/>
      <c r="AW955" s="51"/>
      <c r="BR955" s="34" t="str">
        <f>IF(E955="","",CONCATENATE(E955," ",F955," noches"))</f>
        <v/>
      </c>
      <c r="BS955" s="28" t="str">
        <f t="shared" ca="1" si="224"/>
        <v/>
      </c>
      <c r="BT955" s="28" t="str">
        <f t="shared" ca="1" si="225"/>
        <v/>
      </c>
    </row>
    <row r="956" spans="1:72" x14ac:dyDescent="0.2">
      <c r="A956" s="18" t="str" cm="1">
        <f t="array" aca="1" ref="A956" ca="1">IF(B956="","","Grupo N˚"&amp;SUMPRODUCT(($B$4:B956&lt;&gt;"")*($B$4:B956&lt;&gt;OFFSET($B$4,-1,0,ROWS($B$4:B956),1))))</f>
        <v/>
      </c>
      <c r="B956" s="31"/>
      <c r="C956" s="31"/>
      <c r="D956" s="31"/>
      <c r="E956" s="31"/>
      <c r="F956" s="32"/>
      <c r="G956" s="33"/>
      <c r="H956" s="33"/>
      <c r="I956" s="20" t="str">
        <f t="shared" si="214"/>
        <v/>
      </c>
      <c r="J956" s="21" t="str">
        <f>IFERROR(VLOOKUP(BR956,Pricing!$D$3:$E$58,2,FALSE),"")</f>
        <v/>
      </c>
      <c r="K956" s="32"/>
      <c r="L956" s="32"/>
      <c r="M956" s="32"/>
      <c r="N956" s="36" t="str" cm="1">
        <f t="array" ref="N956">IFERROR(_xlfn.IFS((AND(K956="SI",M956="$")),J956*0.2,AND(K956="SI",M956="%"),20),"")</f>
        <v/>
      </c>
      <c r="O956" s="29" t="str">
        <f t="shared" si="215"/>
        <v/>
      </c>
      <c r="P956" s="21" t="str">
        <f t="shared" si="216"/>
        <v/>
      </c>
      <c r="Q956" s="21" t="str">
        <f t="shared" si="217"/>
        <v/>
      </c>
      <c r="R956" s="21" t="str">
        <f t="shared" si="218"/>
        <v/>
      </c>
      <c r="S956" s="39"/>
      <c r="T956" s="43" t="str">
        <f t="shared" si="226"/>
        <v/>
      </c>
      <c r="U956" s="49" t="str">
        <f t="shared" si="227"/>
        <v/>
      </c>
      <c r="V956" s="48" t="str">
        <f t="shared" si="228"/>
        <v/>
      </c>
      <c r="W956" s="48" t="str">
        <f t="shared" si="219"/>
        <v/>
      </c>
      <c r="X956" s="50" t="str">
        <f>IF(W956="","",SUMIF($B$4:$B$1002,B956,$W$4:$W$1000))</f>
        <v/>
      </c>
      <c r="Y956" s="43" t="str">
        <f t="shared" si="220"/>
        <v/>
      </c>
      <c r="Z956" s="49" t="str">
        <f t="shared" si="221"/>
        <v/>
      </c>
      <c r="AA956" s="48" t="str">
        <f t="shared" si="222"/>
        <v/>
      </c>
      <c r="AB956" s="49" t="str">
        <f t="shared" si="223"/>
        <v/>
      </c>
      <c r="AC956" s="50" t="str">
        <f>IF(AB956="","",SUMIF($B$4:$B$1002,B956,$AB$4:$AB$1000))</f>
        <v/>
      </c>
      <c r="AD956" s="69"/>
      <c r="AE956" s="56"/>
      <c r="AF956" s="52"/>
      <c r="AG956" s="51"/>
      <c r="AH956" s="70"/>
      <c r="AI956" s="58"/>
      <c r="AJ956" s="55"/>
      <c r="AK956" s="51"/>
      <c r="AL956" s="69"/>
      <c r="AM956" s="56"/>
      <c r="AN956" s="52"/>
      <c r="AO956" s="51"/>
      <c r="AP956" s="70"/>
      <c r="AQ956" s="58"/>
      <c r="AR956" s="55"/>
      <c r="AS956" s="51"/>
      <c r="AT956" s="69"/>
      <c r="AU956" s="56"/>
      <c r="AV956" s="52"/>
      <c r="AW956" s="51"/>
      <c r="BR956" s="34" t="str">
        <f>IF(E956="","",CONCATENATE(E956," ",F956," noches"))</f>
        <v/>
      </c>
      <c r="BS956" s="28" t="str">
        <f t="shared" ca="1" si="224"/>
        <v/>
      </c>
      <c r="BT956" s="28" t="str">
        <f t="shared" ca="1" si="225"/>
        <v/>
      </c>
    </row>
    <row r="957" spans="1:72" x14ac:dyDescent="0.2">
      <c r="A957" s="18" t="str" cm="1">
        <f t="array" aca="1" ref="A957" ca="1">IF(B957="","","Grupo N˚"&amp;SUMPRODUCT(($B$4:B957&lt;&gt;"")*($B$4:B957&lt;&gt;OFFSET($B$4,-1,0,ROWS($B$4:B957),1))))</f>
        <v/>
      </c>
      <c r="B957" s="31"/>
      <c r="C957" s="31"/>
      <c r="D957" s="31"/>
      <c r="E957" s="31"/>
      <c r="F957" s="32"/>
      <c r="G957" s="33"/>
      <c r="H957" s="33"/>
      <c r="I957" s="20" t="str">
        <f t="shared" si="214"/>
        <v/>
      </c>
      <c r="J957" s="21" t="str">
        <f>IFERROR(VLOOKUP(BR957,Pricing!$D$3:$E$58,2,FALSE),"")</f>
        <v/>
      </c>
      <c r="K957" s="32"/>
      <c r="L957" s="32"/>
      <c r="M957" s="32"/>
      <c r="N957" s="36" t="str" cm="1">
        <f t="array" ref="N957">IFERROR(_xlfn.IFS((AND(K957="SI",M957="$")),J957*0.2,AND(K957="SI",M957="%"),20),"")</f>
        <v/>
      </c>
      <c r="O957" s="29" t="str">
        <f t="shared" si="215"/>
        <v/>
      </c>
      <c r="P957" s="21" t="str">
        <f t="shared" si="216"/>
        <v/>
      </c>
      <c r="Q957" s="21" t="str">
        <f t="shared" si="217"/>
        <v/>
      </c>
      <c r="R957" s="21" t="str">
        <f t="shared" si="218"/>
        <v/>
      </c>
      <c r="S957" s="39"/>
      <c r="T957" s="43" t="str">
        <f t="shared" si="226"/>
        <v/>
      </c>
      <c r="U957" s="49" t="str">
        <f t="shared" si="227"/>
        <v/>
      </c>
      <c r="V957" s="48" t="str">
        <f t="shared" si="228"/>
        <v/>
      </c>
      <c r="W957" s="48" t="str">
        <f t="shared" si="219"/>
        <v/>
      </c>
      <c r="X957" s="50" t="str">
        <f>IF(W957="","",SUMIF($B$4:$B$1002,B957,$W$4:$W$1000))</f>
        <v/>
      </c>
      <c r="Y957" s="43" t="str">
        <f t="shared" si="220"/>
        <v/>
      </c>
      <c r="Z957" s="49" t="str">
        <f t="shared" si="221"/>
        <v/>
      </c>
      <c r="AA957" s="48" t="str">
        <f t="shared" si="222"/>
        <v/>
      </c>
      <c r="AB957" s="49" t="str">
        <f t="shared" si="223"/>
        <v/>
      </c>
      <c r="AC957" s="50" t="str">
        <f>IF(AB957="","",SUMIF($B$4:$B$1002,B957,$AB$4:$AB$1000))</f>
        <v/>
      </c>
      <c r="AD957" s="69"/>
      <c r="AE957" s="56"/>
      <c r="AF957" s="52"/>
      <c r="AG957" s="51"/>
      <c r="AH957" s="70"/>
      <c r="AI957" s="58"/>
      <c r="AJ957" s="55"/>
      <c r="AK957" s="51"/>
      <c r="AL957" s="69"/>
      <c r="AM957" s="56"/>
      <c r="AN957" s="52"/>
      <c r="AO957" s="51"/>
      <c r="AP957" s="70"/>
      <c r="AQ957" s="58"/>
      <c r="AR957" s="55"/>
      <c r="AS957" s="51"/>
      <c r="AT957" s="69"/>
      <c r="AU957" s="56"/>
      <c r="AV957" s="52"/>
      <c r="AW957" s="51"/>
      <c r="BR957" s="34" t="str">
        <f>IF(E957="","",CONCATENATE(E957," ",F957," noches"))</f>
        <v/>
      </c>
      <c r="BS957" s="28" t="str">
        <f t="shared" ca="1" si="224"/>
        <v/>
      </c>
      <c r="BT957" s="28" t="str">
        <f t="shared" ca="1" si="225"/>
        <v/>
      </c>
    </row>
    <row r="958" spans="1:72" x14ac:dyDescent="0.2">
      <c r="A958" s="18" t="str" cm="1">
        <f t="array" aca="1" ref="A958" ca="1">IF(B958="","","Grupo N˚"&amp;SUMPRODUCT(($B$4:B958&lt;&gt;"")*($B$4:B958&lt;&gt;OFFSET($B$4,-1,0,ROWS($B$4:B958),1))))</f>
        <v/>
      </c>
      <c r="B958" s="31"/>
      <c r="C958" s="31"/>
      <c r="D958" s="31"/>
      <c r="E958" s="31"/>
      <c r="F958" s="32"/>
      <c r="G958" s="33"/>
      <c r="H958" s="33"/>
      <c r="I958" s="20" t="str">
        <f t="shared" si="214"/>
        <v/>
      </c>
      <c r="J958" s="21" t="str">
        <f>IFERROR(VLOOKUP(BR958,Pricing!$D$3:$E$58,2,FALSE),"")</f>
        <v/>
      </c>
      <c r="K958" s="32"/>
      <c r="L958" s="32"/>
      <c r="M958" s="32"/>
      <c r="N958" s="36" t="str" cm="1">
        <f t="array" ref="N958">IFERROR(_xlfn.IFS((AND(K958="SI",M958="$")),J958*0.2,AND(K958="SI",M958="%"),20),"")</f>
        <v/>
      </c>
      <c r="O958" s="29" t="str">
        <f t="shared" si="215"/>
        <v/>
      </c>
      <c r="P958" s="21" t="str">
        <f t="shared" si="216"/>
        <v/>
      </c>
      <c r="Q958" s="21" t="str">
        <f t="shared" si="217"/>
        <v/>
      </c>
      <c r="R958" s="21" t="str">
        <f t="shared" si="218"/>
        <v/>
      </c>
      <c r="S958" s="39"/>
      <c r="T958" s="43" t="str">
        <f t="shared" si="226"/>
        <v/>
      </c>
      <c r="U958" s="49" t="str">
        <f t="shared" si="227"/>
        <v/>
      </c>
      <c r="V958" s="48" t="str">
        <f t="shared" si="228"/>
        <v/>
      </c>
      <c r="W958" s="48" t="str">
        <f t="shared" si="219"/>
        <v/>
      </c>
      <c r="X958" s="50" t="str">
        <f>IF(W958="","",SUMIF($B$4:$B$1002,B958,$W$4:$W$1000))</f>
        <v/>
      </c>
      <c r="Y958" s="43" t="str">
        <f t="shared" si="220"/>
        <v/>
      </c>
      <c r="Z958" s="49" t="str">
        <f t="shared" si="221"/>
        <v/>
      </c>
      <c r="AA958" s="48" t="str">
        <f t="shared" si="222"/>
        <v/>
      </c>
      <c r="AB958" s="49" t="str">
        <f t="shared" si="223"/>
        <v/>
      </c>
      <c r="AC958" s="50" t="str">
        <f>IF(AB958="","",SUMIF($B$4:$B$1002,B958,$AB$4:$AB$1000))</f>
        <v/>
      </c>
      <c r="AD958" s="69"/>
      <c r="AE958" s="56"/>
      <c r="AF958" s="52"/>
      <c r="AG958" s="51"/>
      <c r="AH958" s="70"/>
      <c r="AI958" s="58"/>
      <c r="AJ958" s="55"/>
      <c r="AK958" s="51"/>
      <c r="AL958" s="69"/>
      <c r="AM958" s="56"/>
      <c r="AN958" s="52"/>
      <c r="AO958" s="51"/>
      <c r="AP958" s="70"/>
      <c r="AQ958" s="58"/>
      <c r="AR958" s="55"/>
      <c r="AS958" s="51"/>
      <c r="AT958" s="69"/>
      <c r="AU958" s="56"/>
      <c r="AV958" s="52"/>
      <c r="AW958" s="51"/>
      <c r="BR958" s="34" t="str">
        <f>IF(E958="","",CONCATENATE(E958," ",F958," noches"))</f>
        <v/>
      </c>
      <c r="BS958" s="28" t="str">
        <f t="shared" ca="1" si="224"/>
        <v/>
      </c>
      <c r="BT958" s="28" t="str">
        <f t="shared" ca="1" si="225"/>
        <v/>
      </c>
    </row>
    <row r="959" spans="1:72" x14ac:dyDescent="0.2">
      <c r="A959" s="18" t="str" cm="1">
        <f t="array" aca="1" ref="A959" ca="1">IF(B959="","","Grupo N˚"&amp;SUMPRODUCT(($B$4:B959&lt;&gt;"")*($B$4:B959&lt;&gt;OFFSET($B$4,-1,0,ROWS($B$4:B959),1))))</f>
        <v/>
      </c>
      <c r="B959" s="31"/>
      <c r="C959" s="31"/>
      <c r="D959" s="31"/>
      <c r="E959" s="31"/>
      <c r="F959" s="32"/>
      <c r="G959" s="33"/>
      <c r="H959" s="33"/>
      <c r="I959" s="20" t="str">
        <f t="shared" si="214"/>
        <v/>
      </c>
      <c r="J959" s="21" t="str">
        <f>IFERROR(VLOOKUP(BR959,Pricing!$D$3:$E$58,2,FALSE),"")</f>
        <v/>
      </c>
      <c r="K959" s="32"/>
      <c r="L959" s="32"/>
      <c r="M959" s="32"/>
      <c r="N959" s="36" t="str" cm="1">
        <f t="array" ref="N959">IFERROR(_xlfn.IFS((AND(K959="SI",M959="$")),J959*0.2,AND(K959="SI",M959="%"),20),"")</f>
        <v/>
      </c>
      <c r="O959" s="29" t="str">
        <f t="shared" si="215"/>
        <v/>
      </c>
      <c r="P959" s="21" t="str">
        <f t="shared" si="216"/>
        <v/>
      </c>
      <c r="Q959" s="21" t="str">
        <f t="shared" si="217"/>
        <v/>
      </c>
      <c r="R959" s="21" t="str">
        <f t="shared" si="218"/>
        <v/>
      </c>
      <c r="S959" s="39"/>
      <c r="T959" s="43" t="str">
        <f t="shared" si="226"/>
        <v/>
      </c>
      <c r="U959" s="49" t="str">
        <f t="shared" si="227"/>
        <v/>
      </c>
      <c r="V959" s="48" t="str">
        <f t="shared" si="228"/>
        <v/>
      </c>
      <c r="W959" s="48" t="str">
        <f t="shared" si="219"/>
        <v/>
      </c>
      <c r="X959" s="50" t="str">
        <f>IF(W959="","",SUMIF($B$4:$B$1002,B959,$W$4:$W$1000))</f>
        <v/>
      </c>
      <c r="Y959" s="43" t="str">
        <f t="shared" si="220"/>
        <v/>
      </c>
      <c r="Z959" s="49" t="str">
        <f t="shared" si="221"/>
        <v/>
      </c>
      <c r="AA959" s="48" t="str">
        <f t="shared" si="222"/>
        <v/>
      </c>
      <c r="AB959" s="49" t="str">
        <f t="shared" si="223"/>
        <v/>
      </c>
      <c r="AC959" s="50" t="str">
        <f>IF(AB959="","",SUMIF($B$4:$B$1002,B959,$AB$4:$AB$1000))</f>
        <v/>
      </c>
      <c r="AD959" s="69"/>
      <c r="AE959" s="56"/>
      <c r="AF959" s="52"/>
      <c r="AG959" s="51"/>
      <c r="AH959" s="70"/>
      <c r="AI959" s="58"/>
      <c r="AJ959" s="55"/>
      <c r="AK959" s="51"/>
      <c r="AL959" s="69"/>
      <c r="AM959" s="56"/>
      <c r="AN959" s="52"/>
      <c r="AO959" s="51"/>
      <c r="AP959" s="70"/>
      <c r="AQ959" s="58"/>
      <c r="AR959" s="55"/>
      <c r="AS959" s="51"/>
      <c r="AT959" s="69"/>
      <c r="AU959" s="56"/>
      <c r="AV959" s="52"/>
      <c r="AW959" s="51"/>
      <c r="BR959" s="34" t="str">
        <f>IF(E959="","",CONCATENATE(E959," ",F959," noches"))</f>
        <v/>
      </c>
      <c r="BS959" s="28" t="str">
        <f t="shared" ca="1" si="224"/>
        <v/>
      </c>
      <c r="BT959" s="28" t="str">
        <f t="shared" ca="1" si="225"/>
        <v/>
      </c>
    </row>
    <row r="960" spans="1:72" x14ac:dyDescent="0.2">
      <c r="A960" s="18" t="str" cm="1">
        <f t="array" aca="1" ref="A960" ca="1">IF(B960="","","Grupo N˚"&amp;SUMPRODUCT(($B$4:B960&lt;&gt;"")*($B$4:B960&lt;&gt;OFFSET($B$4,-1,0,ROWS($B$4:B960),1))))</f>
        <v/>
      </c>
      <c r="B960" s="31"/>
      <c r="C960" s="31"/>
      <c r="D960" s="31"/>
      <c r="E960" s="31"/>
      <c r="F960" s="32"/>
      <c r="G960" s="33"/>
      <c r="H960" s="33"/>
      <c r="I960" s="20" t="str">
        <f t="shared" si="214"/>
        <v/>
      </c>
      <c r="J960" s="21" t="str">
        <f>IFERROR(VLOOKUP(BR960,Pricing!$D$3:$E$58,2,FALSE),"")</f>
        <v/>
      </c>
      <c r="K960" s="32"/>
      <c r="L960" s="32"/>
      <c r="M960" s="32"/>
      <c r="N960" s="36" t="str" cm="1">
        <f t="array" ref="N960">IFERROR(_xlfn.IFS((AND(K960="SI",M960="$")),J960*0.2,AND(K960="SI",M960="%"),20),"")</f>
        <v/>
      </c>
      <c r="O960" s="29" t="str">
        <f t="shared" si="215"/>
        <v/>
      </c>
      <c r="P960" s="21" t="str">
        <f t="shared" si="216"/>
        <v/>
      </c>
      <c r="Q960" s="21" t="str">
        <f t="shared" si="217"/>
        <v/>
      </c>
      <c r="R960" s="21" t="str">
        <f t="shared" si="218"/>
        <v/>
      </c>
      <c r="S960" s="39"/>
      <c r="T960" s="43" t="str">
        <f t="shared" si="226"/>
        <v/>
      </c>
      <c r="U960" s="49" t="str">
        <f t="shared" si="227"/>
        <v/>
      </c>
      <c r="V960" s="48" t="str">
        <f t="shared" si="228"/>
        <v/>
      </c>
      <c r="W960" s="48" t="str">
        <f t="shared" si="219"/>
        <v/>
      </c>
      <c r="X960" s="50" t="str">
        <f>IF(W960="","",SUMIF($B$4:$B$1002,B960,$W$4:$W$1000))</f>
        <v/>
      </c>
      <c r="Y960" s="43" t="str">
        <f t="shared" si="220"/>
        <v/>
      </c>
      <c r="Z960" s="49" t="str">
        <f t="shared" si="221"/>
        <v/>
      </c>
      <c r="AA960" s="48" t="str">
        <f t="shared" si="222"/>
        <v/>
      </c>
      <c r="AB960" s="49" t="str">
        <f t="shared" si="223"/>
        <v/>
      </c>
      <c r="AC960" s="50" t="str">
        <f>IF(AB960="","",SUMIF($B$4:$B$1002,B960,$AB$4:$AB$1000))</f>
        <v/>
      </c>
      <c r="AD960" s="69"/>
      <c r="AE960" s="56"/>
      <c r="AF960" s="52"/>
      <c r="AG960" s="51"/>
      <c r="AH960" s="70"/>
      <c r="AI960" s="58"/>
      <c r="AJ960" s="55"/>
      <c r="AK960" s="51"/>
      <c r="AL960" s="69"/>
      <c r="AM960" s="56"/>
      <c r="AN960" s="52"/>
      <c r="AO960" s="51"/>
      <c r="AP960" s="70"/>
      <c r="AQ960" s="58"/>
      <c r="AR960" s="55"/>
      <c r="AS960" s="51"/>
      <c r="AT960" s="69"/>
      <c r="AU960" s="56"/>
      <c r="AV960" s="52"/>
      <c r="AW960" s="51"/>
      <c r="BR960" s="34" t="str">
        <f>IF(E960="","",CONCATENATE(E960," ",F960," noches"))</f>
        <v/>
      </c>
      <c r="BS960" s="28" t="str">
        <f t="shared" ca="1" si="224"/>
        <v/>
      </c>
      <c r="BT960" s="28" t="str">
        <f t="shared" ca="1" si="225"/>
        <v/>
      </c>
    </row>
    <row r="961" spans="1:72" x14ac:dyDescent="0.2">
      <c r="A961" s="18" t="str" cm="1">
        <f t="array" aca="1" ref="A961" ca="1">IF(B961="","","Grupo N˚"&amp;SUMPRODUCT(($B$4:B961&lt;&gt;"")*($B$4:B961&lt;&gt;OFFSET($B$4,-1,0,ROWS($B$4:B961),1))))</f>
        <v/>
      </c>
      <c r="B961" s="31"/>
      <c r="C961" s="31"/>
      <c r="D961" s="31"/>
      <c r="E961" s="31"/>
      <c r="F961" s="32"/>
      <c r="G961" s="33"/>
      <c r="H961" s="33"/>
      <c r="I961" s="20" t="str">
        <f t="shared" si="214"/>
        <v/>
      </c>
      <c r="J961" s="21" t="str">
        <f>IFERROR(VLOOKUP(BR961,Pricing!$D$3:$E$58,2,FALSE),"")</f>
        <v/>
      </c>
      <c r="K961" s="32"/>
      <c r="L961" s="32"/>
      <c r="M961" s="32"/>
      <c r="N961" s="36" t="str" cm="1">
        <f t="array" ref="N961">IFERROR(_xlfn.IFS((AND(K961="SI",M961="$")),J961*0.2,AND(K961="SI",M961="%"),20),"")</f>
        <v/>
      </c>
      <c r="O961" s="29" t="str">
        <f t="shared" si="215"/>
        <v/>
      </c>
      <c r="P961" s="21" t="str">
        <f t="shared" si="216"/>
        <v/>
      </c>
      <c r="Q961" s="21" t="str">
        <f t="shared" si="217"/>
        <v/>
      </c>
      <c r="R961" s="21" t="str">
        <f t="shared" si="218"/>
        <v/>
      </c>
      <c r="S961" s="39"/>
      <c r="T961" s="43" t="str">
        <f t="shared" si="226"/>
        <v/>
      </c>
      <c r="U961" s="49" t="str">
        <f t="shared" si="227"/>
        <v/>
      </c>
      <c r="V961" s="48" t="str">
        <f t="shared" si="228"/>
        <v/>
      </c>
      <c r="W961" s="48" t="str">
        <f t="shared" si="219"/>
        <v/>
      </c>
      <c r="X961" s="50" t="str">
        <f>IF(W961="","",SUMIF($B$4:$B$1002,B961,$W$4:$W$1000))</f>
        <v/>
      </c>
      <c r="Y961" s="43" t="str">
        <f t="shared" si="220"/>
        <v/>
      </c>
      <c r="Z961" s="49" t="str">
        <f t="shared" si="221"/>
        <v/>
      </c>
      <c r="AA961" s="48" t="str">
        <f t="shared" si="222"/>
        <v/>
      </c>
      <c r="AB961" s="49" t="str">
        <f t="shared" si="223"/>
        <v/>
      </c>
      <c r="AC961" s="50" t="str">
        <f>IF(AB961="","",SUMIF($B$4:$B$1002,B961,$AB$4:$AB$1000))</f>
        <v/>
      </c>
      <c r="AD961" s="69"/>
      <c r="AE961" s="56"/>
      <c r="AF961" s="52"/>
      <c r="AG961" s="51"/>
      <c r="AH961" s="70"/>
      <c r="AI961" s="58"/>
      <c r="AJ961" s="55"/>
      <c r="AK961" s="51"/>
      <c r="AL961" s="69"/>
      <c r="AM961" s="56"/>
      <c r="AN961" s="52"/>
      <c r="AO961" s="51"/>
      <c r="AP961" s="70"/>
      <c r="AQ961" s="58"/>
      <c r="AR961" s="55"/>
      <c r="AS961" s="51"/>
      <c r="AT961" s="69"/>
      <c r="AU961" s="56"/>
      <c r="AV961" s="52"/>
      <c r="AW961" s="51"/>
      <c r="BR961" s="34" t="str">
        <f>IF(E961="","",CONCATENATE(E961," ",F961," noches"))</f>
        <v/>
      </c>
      <c r="BS961" s="28" t="str">
        <f t="shared" ca="1" si="224"/>
        <v/>
      </c>
      <c r="BT961" s="28" t="str">
        <f t="shared" ca="1" si="225"/>
        <v/>
      </c>
    </row>
    <row r="962" spans="1:72" x14ac:dyDescent="0.2">
      <c r="A962" s="18" t="str" cm="1">
        <f t="array" aca="1" ref="A962" ca="1">IF(B962="","","Grupo N˚"&amp;SUMPRODUCT(($B$4:B962&lt;&gt;"")*($B$4:B962&lt;&gt;OFFSET($B$4,-1,0,ROWS($B$4:B962),1))))</f>
        <v/>
      </c>
      <c r="B962" s="31"/>
      <c r="C962" s="31"/>
      <c r="D962" s="31"/>
      <c r="E962" s="31"/>
      <c r="F962" s="32"/>
      <c r="G962" s="33"/>
      <c r="H962" s="33"/>
      <c r="I962" s="20" t="str">
        <f t="shared" si="214"/>
        <v/>
      </c>
      <c r="J962" s="21" t="str">
        <f>IFERROR(VLOOKUP(BR962,Pricing!$D$3:$E$58,2,FALSE),"")</f>
        <v/>
      </c>
      <c r="K962" s="32"/>
      <c r="L962" s="32"/>
      <c r="M962" s="32"/>
      <c r="N962" s="36" t="str" cm="1">
        <f t="array" ref="N962">IFERROR(_xlfn.IFS((AND(K962="SI",M962="$")),J962*0.2,AND(K962="SI",M962="%"),20),"")</f>
        <v/>
      </c>
      <c r="O962" s="29" t="str">
        <f t="shared" si="215"/>
        <v/>
      </c>
      <c r="P962" s="21" t="str">
        <f t="shared" si="216"/>
        <v/>
      </c>
      <c r="Q962" s="21" t="str">
        <f t="shared" si="217"/>
        <v/>
      </c>
      <c r="R962" s="21" t="str">
        <f t="shared" si="218"/>
        <v/>
      </c>
      <c r="S962" s="39"/>
      <c r="T962" s="43" t="str">
        <f t="shared" si="226"/>
        <v/>
      </c>
      <c r="U962" s="49" t="str">
        <f t="shared" si="227"/>
        <v/>
      </c>
      <c r="V962" s="48" t="str">
        <f t="shared" si="228"/>
        <v/>
      </c>
      <c r="W962" s="48" t="str">
        <f t="shared" si="219"/>
        <v/>
      </c>
      <c r="X962" s="50" t="str">
        <f>IF(W962="","",SUMIF($B$4:$B$1002,B962,$W$4:$W$1000))</f>
        <v/>
      </c>
      <c r="Y962" s="43" t="str">
        <f t="shared" si="220"/>
        <v/>
      </c>
      <c r="Z962" s="49" t="str">
        <f t="shared" si="221"/>
        <v/>
      </c>
      <c r="AA962" s="48" t="str">
        <f t="shared" si="222"/>
        <v/>
      </c>
      <c r="AB962" s="49" t="str">
        <f t="shared" si="223"/>
        <v/>
      </c>
      <c r="AC962" s="50" t="str">
        <f>IF(AB962="","",SUMIF($B$4:$B$1002,B962,$AB$4:$AB$1000))</f>
        <v/>
      </c>
      <c r="AD962" s="69"/>
      <c r="AE962" s="56"/>
      <c r="AF962" s="52"/>
      <c r="AG962" s="51"/>
      <c r="AH962" s="70"/>
      <c r="AI962" s="58"/>
      <c r="AJ962" s="55"/>
      <c r="AK962" s="51"/>
      <c r="AL962" s="69"/>
      <c r="AM962" s="56"/>
      <c r="AN962" s="52"/>
      <c r="AO962" s="51"/>
      <c r="AP962" s="70"/>
      <c r="AQ962" s="58"/>
      <c r="AR962" s="55"/>
      <c r="AS962" s="51"/>
      <c r="AT962" s="69"/>
      <c r="AU962" s="56"/>
      <c r="AV962" s="52"/>
      <c r="AW962" s="51"/>
      <c r="BR962" s="34" t="str">
        <f>IF(E962="","",CONCATENATE(E962," ",F962," noches"))</f>
        <v/>
      </c>
      <c r="BS962" s="28" t="str">
        <f t="shared" ca="1" si="224"/>
        <v/>
      </c>
      <c r="BT962" s="28" t="str">
        <f t="shared" ca="1" si="225"/>
        <v/>
      </c>
    </row>
    <row r="963" spans="1:72" x14ac:dyDescent="0.2">
      <c r="A963" s="18" t="str" cm="1">
        <f t="array" aca="1" ref="A963" ca="1">IF(B963="","","Grupo N˚"&amp;SUMPRODUCT(($B$4:B963&lt;&gt;"")*($B$4:B963&lt;&gt;OFFSET($B$4,-1,0,ROWS($B$4:B963),1))))</f>
        <v/>
      </c>
      <c r="B963" s="31"/>
      <c r="C963" s="31"/>
      <c r="D963" s="31"/>
      <c r="E963" s="31"/>
      <c r="F963" s="32"/>
      <c r="G963" s="33"/>
      <c r="H963" s="33"/>
      <c r="I963" s="20" t="str">
        <f t="shared" si="214"/>
        <v/>
      </c>
      <c r="J963" s="21" t="str">
        <f>IFERROR(VLOOKUP(BR963,Pricing!$D$3:$E$58,2,FALSE),"")</f>
        <v/>
      </c>
      <c r="K963" s="32"/>
      <c r="L963" s="32"/>
      <c r="M963" s="32"/>
      <c r="N963" s="36" t="str" cm="1">
        <f t="array" ref="N963">IFERROR(_xlfn.IFS((AND(K963="SI",M963="$")),J963*0.2,AND(K963="SI",M963="%"),20),"")</f>
        <v/>
      </c>
      <c r="O963" s="29" t="str">
        <f t="shared" si="215"/>
        <v/>
      </c>
      <c r="P963" s="21" t="str">
        <f t="shared" si="216"/>
        <v/>
      </c>
      <c r="Q963" s="21" t="str">
        <f t="shared" si="217"/>
        <v/>
      </c>
      <c r="R963" s="21" t="str">
        <f t="shared" si="218"/>
        <v/>
      </c>
      <c r="S963" s="39"/>
      <c r="T963" s="43" t="str">
        <f t="shared" si="226"/>
        <v/>
      </c>
      <c r="U963" s="49" t="str">
        <f t="shared" si="227"/>
        <v/>
      </c>
      <c r="V963" s="48" t="str">
        <f t="shared" si="228"/>
        <v/>
      </c>
      <c r="W963" s="48" t="str">
        <f t="shared" si="219"/>
        <v/>
      </c>
      <c r="X963" s="50" t="str">
        <f>IF(W963="","",SUMIF($B$4:$B$1002,B963,$W$4:$W$1000))</f>
        <v/>
      </c>
      <c r="Y963" s="43" t="str">
        <f t="shared" si="220"/>
        <v/>
      </c>
      <c r="Z963" s="49" t="str">
        <f t="shared" si="221"/>
        <v/>
      </c>
      <c r="AA963" s="48" t="str">
        <f t="shared" si="222"/>
        <v/>
      </c>
      <c r="AB963" s="49" t="str">
        <f t="shared" si="223"/>
        <v/>
      </c>
      <c r="AC963" s="50" t="str">
        <f>IF(AB963="","",SUMIF($B$4:$B$1002,B963,$AB$4:$AB$1000))</f>
        <v/>
      </c>
      <c r="AD963" s="69"/>
      <c r="AE963" s="56"/>
      <c r="AF963" s="52"/>
      <c r="AG963" s="51"/>
      <c r="AH963" s="70"/>
      <c r="AI963" s="58"/>
      <c r="AJ963" s="55"/>
      <c r="AK963" s="51"/>
      <c r="AL963" s="69"/>
      <c r="AM963" s="56"/>
      <c r="AN963" s="52"/>
      <c r="AO963" s="51"/>
      <c r="AP963" s="70"/>
      <c r="AQ963" s="58"/>
      <c r="AR963" s="55"/>
      <c r="AS963" s="51"/>
      <c r="AT963" s="69"/>
      <c r="AU963" s="56"/>
      <c r="AV963" s="52"/>
      <c r="AW963" s="51"/>
      <c r="BR963" s="34" t="str">
        <f>IF(E963="","",CONCATENATE(E963," ",F963," noches"))</f>
        <v/>
      </c>
      <c r="BS963" s="28" t="str">
        <f t="shared" ca="1" si="224"/>
        <v/>
      </c>
      <c r="BT963" s="28" t="str">
        <f t="shared" ca="1" si="225"/>
        <v/>
      </c>
    </row>
    <row r="964" spans="1:72" x14ac:dyDescent="0.2">
      <c r="A964" s="18" t="str" cm="1">
        <f t="array" aca="1" ref="A964" ca="1">IF(B964="","","Grupo N˚"&amp;SUMPRODUCT(($B$4:B964&lt;&gt;"")*($B$4:B964&lt;&gt;OFFSET($B$4,-1,0,ROWS($B$4:B964),1))))</f>
        <v/>
      </c>
      <c r="B964" s="31"/>
      <c r="C964" s="31"/>
      <c r="D964" s="31"/>
      <c r="E964" s="31"/>
      <c r="F964" s="32"/>
      <c r="G964" s="33"/>
      <c r="H964" s="33"/>
      <c r="I964" s="20" t="str">
        <f t="shared" si="214"/>
        <v/>
      </c>
      <c r="J964" s="21" t="str">
        <f>IFERROR(VLOOKUP(BR964,Pricing!$D$3:$E$58,2,FALSE),"")</f>
        <v/>
      </c>
      <c r="K964" s="32"/>
      <c r="L964" s="32"/>
      <c r="M964" s="32"/>
      <c r="N964" s="36" t="str" cm="1">
        <f t="array" ref="N964">IFERROR(_xlfn.IFS((AND(K964="SI",M964="$")),J964*0.2,AND(K964="SI",M964="%"),20),"")</f>
        <v/>
      </c>
      <c r="O964" s="29" t="str">
        <f t="shared" si="215"/>
        <v/>
      </c>
      <c r="P964" s="21" t="str">
        <f t="shared" si="216"/>
        <v/>
      </c>
      <c r="Q964" s="21" t="str">
        <f t="shared" si="217"/>
        <v/>
      </c>
      <c r="R964" s="21" t="str">
        <f t="shared" si="218"/>
        <v/>
      </c>
      <c r="S964" s="39"/>
      <c r="T964" s="43" t="str">
        <f t="shared" si="226"/>
        <v/>
      </c>
      <c r="U964" s="49" t="str">
        <f t="shared" si="227"/>
        <v/>
      </c>
      <c r="V964" s="48" t="str">
        <f t="shared" si="228"/>
        <v/>
      </c>
      <c r="W964" s="48" t="str">
        <f t="shared" si="219"/>
        <v/>
      </c>
      <c r="X964" s="50" t="str">
        <f>IF(W964="","",SUMIF($B$4:$B$1002,B964,$W$4:$W$1000))</f>
        <v/>
      </c>
      <c r="Y964" s="43" t="str">
        <f t="shared" si="220"/>
        <v/>
      </c>
      <c r="Z964" s="49" t="str">
        <f t="shared" si="221"/>
        <v/>
      </c>
      <c r="AA964" s="48" t="str">
        <f t="shared" si="222"/>
        <v/>
      </c>
      <c r="AB964" s="49" t="str">
        <f t="shared" si="223"/>
        <v/>
      </c>
      <c r="AC964" s="50" t="str">
        <f>IF(AB964="","",SUMIF($B$4:$B$1002,B964,$AB$4:$AB$1000))</f>
        <v/>
      </c>
      <c r="AD964" s="69"/>
      <c r="AE964" s="56"/>
      <c r="AF964" s="52"/>
      <c r="AG964" s="51"/>
      <c r="AH964" s="70"/>
      <c r="AI964" s="58"/>
      <c r="AJ964" s="55"/>
      <c r="AK964" s="51"/>
      <c r="AL964" s="69"/>
      <c r="AM964" s="56"/>
      <c r="AN964" s="52"/>
      <c r="AO964" s="51"/>
      <c r="AP964" s="70"/>
      <c r="AQ964" s="58"/>
      <c r="AR964" s="55"/>
      <c r="AS964" s="51"/>
      <c r="AT964" s="69"/>
      <c r="AU964" s="56"/>
      <c r="AV964" s="52"/>
      <c r="AW964" s="51"/>
      <c r="BR964" s="34" t="str">
        <f>IF(E964="","",CONCATENATE(E964," ",F964," noches"))</f>
        <v/>
      </c>
      <c r="BS964" s="28" t="str">
        <f t="shared" ca="1" si="224"/>
        <v/>
      </c>
      <c r="BT964" s="28" t="str">
        <f t="shared" ca="1" si="225"/>
        <v/>
      </c>
    </row>
    <row r="965" spans="1:72" x14ac:dyDescent="0.2">
      <c r="A965" s="18" t="str" cm="1">
        <f t="array" aca="1" ref="A965" ca="1">IF(B965="","","Grupo N˚"&amp;SUMPRODUCT(($B$4:B965&lt;&gt;"")*($B$4:B965&lt;&gt;OFFSET($B$4,-1,0,ROWS($B$4:B965),1))))</f>
        <v/>
      </c>
      <c r="B965" s="31"/>
      <c r="C965" s="31"/>
      <c r="D965" s="31"/>
      <c r="E965" s="31"/>
      <c r="F965" s="32"/>
      <c r="G965" s="33"/>
      <c r="H965" s="33"/>
      <c r="I965" s="20" t="str">
        <f t="shared" ref="I965:I1002" si="229">+IF(H965="","",G965+H965)</f>
        <v/>
      </c>
      <c r="J965" s="21" t="str">
        <f>IFERROR(VLOOKUP(BR965,Pricing!$D$3:$E$58,2,FALSE),"")</f>
        <v/>
      </c>
      <c r="K965" s="32"/>
      <c r="L965" s="32"/>
      <c r="M965" s="32"/>
      <c r="N965" s="36" t="str" cm="1">
        <f t="array" ref="N965">IFERROR(_xlfn.IFS((AND(K965="SI",M965="$")),J965*0.2,AND(K965="SI",M965="%"),20),"")</f>
        <v/>
      </c>
      <c r="O965" s="29" t="str">
        <f t="shared" ref="O965:O1002" si="230">IFERROR(IF($M965="%",
             IF(N(N965)&gt;1, N(N965)/100, N(N965)),
             IF(AND($J965&gt;0,$M965="$"), N(N965)/$J965, "")
            ),"")</f>
        <v/>
      </c>
      <c r="P965" s="21" t="str">
        <f t="shared" ref="P965:P1002" si="231">IFERROR(IF(M965="$", N(N965), IF(M965="%", J965*N(N965/100), "")), "")</f>
        <v/>
      </c>
      <c r="Q965" s="21" t="str">
        <f t="shared" ref="Q965:Q1002" si="232">IF(J965="","",J965*(1-N(O965)))</f>
        <v/>
      </c>
      <c r="R965" s="21" t="str">
        <f t="shared" ref="R965:R1002" si="233">IF(Q965="","",Q965/1.19)</f>
        <v/>
      </c>
      <c r="S965" s="39"/>
      <c r="T965" s="43" t="str">
        <f t="shared" si="226"/>
        <v/>
      </c>
      <c r="U965" s="49" t="str">
        <f t="shared" si="227"/>
        <v/>
      </c>
      <c r="V965" s="48" t="str">
        <f t="shared" si="228"/>
        <v/>
      </c>
      <c r="W965" s="48" t="str">
        <f t="shared" ref="W965:W1003" si="234">IFERROR(U965-N(V965),"")</f>
        <v/>
      </c>
      <c r="X965" s="50" t="str">
        <f>IF(W965="","",SUMIF($B$4:$B$1002,B965,$W$4:$W$1000))</f>
        <v/>
      </c>
      <c r="Y965" s="43" t="str">
        <f t="shared" ref="Y965:Y1003" si="235">IF(AB965="","",IFERROR(
 IF(AND(ABS(N(AB965))&lt;0.5, BT965&gt;=23), "Sin deuda",
  IF(AND(N(AB965)&gt;0, BT965&gt;=23), "Con deuda",
   IF(AND(N(AB965)&gt;0, BT965&lt;23), "Moroso", "")
  )
),""))</f>
        <v/>
      </c>
      <c r="Z965" s="49" t="str">
        <f t="shared" ref="Z965:Z1002" si="236">IF(R965="","",R965/2)</f>
        <v/>
      </c>
      <c r="AA965" s="48" t="str">
        <f t="shared" ref="AA965:AA1002" si="237">IF(AD965="","",SUM(
 IF(ISNUMBER(SEARCH("saldo",AD965)),AF965,0),
 IF(ISNUMBER(SEARCH("saldo",AH965)),AJ965,0),
 IF(ISNUMBER(SEARCH("saldo",AL965)),AN965,0),
 IF(ISNUMBER(SEARCH("saldo",AP965)),AR965,0),
 IF(ISNUMBER(SEARCH("saldo",AT965)),AV965,0)
))</f>
        <v/>
      </c>
      <c r="AB965" s="49" t="str">
        <f t="shared" ref="AB965:AB1003" si="238">IFERROR(Z965-N(AA965),"")</f>
        <v/>
      </c>
      <c r="AC965" s="50" t="str">
        <f>IF(AB965="","",SUMIF($B$4:$B$1002,B965,$AB$4:$AB$1000))</f>
        <v/>
      </c>
      <c r="AD965" s="69"/>
      <c r="AE965" s="56"/>
      <c r="AF965" s="52"/>
      <c r="AG965" s="51"/>
      <c r="AH965" s="70"/>
      <c r="AI965" s="58"/>
      <c r="AJ965" s="55"/>
      <c r="AK965" s="51"/>
      <c r="AL965" s="69"/>
      <c r="AM965" s="56"/>
      <c r="AN965" s="52"/>
      <c r="AO965" s="51"/>
      <c r="AP965" s="70"/>
      <c r="AQ965" s="58"/>
      <c r="AR965" s="55"/>
      <c r="AS965" s="51"/>
      <c r="AT965" s="69"/>
      <c r="AU965" s="56"/>
      <c r="AV965" s="52"/>
      <c r="AW965" s="51"/>
      <c r="BR965" s="34" t="str">
        <f>IF(E965="","",CONCATENATE(E965," ",F965," noches"))</f>
        <v/>
      </c>
      <c r="BS965" s="28" t="str">
        <f t="shared" ref="BS965:BS1003" ca="1" si="239">IF(G965="","",+TODAY()-G965)</f>
        <v/>
      </c>
      <c r="BT965" s="28" t="str">
        <f t="shared" ref="BT965:BT1003" ca="1" si="240">IF(H965="","",H965-TODAY())</f>
        <v/>
      </c>
    </row>
    <row r="966" spans="1:72" x14ac:dyDescent="0.2">
      <c r="A966" s="18" t="str" cm="1">
        <f t="array" aca="1" ref="A966" ca="1">IF(B966="","","Grupo N˚"&amp;SUMPRODUCT(($B$4:B966&lt;&gt;"")*($B$4:B966&lt;&gt;OFFSET($B$4,-1,0,ROWS($B$4:B966),1))))</f>
        <v/>
      </c>
      <c r="B966" s="31"/>
      <c r="C966" s="31"/>
      <c r="D966" s="31"/>
      <c r="E966" s="31"/>
      <c r="F966" s="32"/>
      <c r="G966" s="33"/>
      <c r="H966" s="33"/>
      <c r="I966" s="20" t="str">
        <f t="shared" si="229"/>
        <v/>
      </c>
      <c r="J966" s="21" t="str">
        <f>IFERROR(VLOOKUP(BR966,Pricing!$D$3:$E$58,2,FALSE),"")</f>
        <v/>
      </c>
      <c r="K966" s="32"/>
      <c r="L966" s="32"/>
      <c r="M966" s="32"/>
      <c r="N966" s="36" t="str" cm="1">
        <f t="array" ref="N966">IFERROR(_xlfn.IFS((AND(K966="SI",M966="$")),J966*0.2,AND(K966="SI",M966="%"),20),"")</f>
        <v/>
      </c>
      <c r="O966" s="29" t="str">
        <f t="shared" si="230"/>
        <v/>
      </c>
      <c r="P966" s="21" t="str">
        <f t="shared" si="231"/>
        <v/>
      </c>
      <c r="Q966" s="21" t="str">
        <f t="shared" si="232"/>
        <v/>
      </c>
      <c r="R966" s="21" t="str">
        <f t="shared" si="233"/>
        <v/>
      </c>
      <c r="S966" s="39"/>
      <c r="T966" s="43" t="str">
        <f t="shared" si="226"/>
        <v/>
      </c>
      <c r="U966" s="49" t="str">
        <f t="shared" si="227"/>
        <v/>
      </c>
      <c r="V966" s="48" t="str">
        <f t="shared" si="228"/>
        <v/>
      </c>
      <c r="W966" s="48" t="str">
        <f t="shared" si="234"/>
        <v/>
      </c>
      <c r="X966" s="50" t="str">
        <f>IF(W966="","",SUMIF($B$4:$B$1002,B966,$W$4:$W$1000))</f>
        <v/>
      </c>
      <c r="Y966" s="43" t="str">
        <f t="shared" si="235"/>
        <v/>
      </c>
      <c r="Z966" s="49" t="str">
        <f t="shared" si="236"/>
        <v/>
      </c>
      <c r="AA966" s="48" t="str">
        <f t="shared" si="237"/>
        <v/>
      </c>
      <c r="AB966" s="49" t="str">
        <f t="shared" si="238"/>
        <v/>
      </c>
      <c r="AC966" s="50" t="str">
        <f>IF(AB966="","",SUMIF($B$4:$B$1002,B966,$AB$4:$AB$1000))</f>
        <v/>
      </c>
      <c r="AD966" s="69"/>
      <c r="AE966" s="56"/>
      <c r="AF966" s="52"/>
      <c r="AG966" s="51"/>
      <c r="AH966" s="70"/>
      <c r="AI966" s="58"/>
      <c r="AJ966" s="55"/>
      <c r="AK966" s="51"/>
      <c r="AL966" s="69"/>
      <c r="AM966" s="56"/>
      <c r="AN966" s="52"/>
      <c r="AO966" s="51"/>
      <c r="AP966" s="70"/>
      <c r="AQ966" s="58"/>
      <c r="AR966" s="55"/>
      <c r="AS966" s="51"/>
      <c r="AT966" s="69"/>
      <c r="AU966" s="56"/>
      <c r="AV966" s="52"/>
      <c r="AW966" s="51"/>
      <c r="BR966" s="34" t="str">
        <f>IF(E966="","",CONCATENATE(E966," ",F966," noches"))</f>
        <v/>
      </c>
      <c r="BS966" s="28" t="str">
        <f t="shared" ca="1" si="239"/>
        <v/>
      </c>
      <c r="BT966" s="28" t="str">
        <f t="shared" ca="1" si="240"/>
        <v/>
      </c>
    </row>
    <row r="967" spans="1:72" x14ac:dyDescent="0.2">
      <c r="A967" s="18" t="str" cm="1">
        <f t="array" aca="1" ref="A967" ca="1">IF(B967="","","Grupo N˚"&amp;SUMPRODUCT(($B$4:B967&lt;&gt;"")*($B$4:B967&lt;&gt;OFFSET($B$4,-1,0,ROWS($B$4:B967),1))))</f>
        <v/>
      </c>
      <c r="B967" s="31"/>
      <c r="C967" s="31"/>
      <c r="D967" s="31"/>
      <c r="E967" s="31"/>
      <c r="F967" s="32"/>
      <c r="G967" s="33"/>
      <c r="H967" s="33"/>
      <c r="I967" s="20" t="str">
        <f t="shared" si="229"/>
        <v/>
      </c>
      <c r="J967" s="21" t="str">
        <f>IFERROR(VLOOKUP(BR967,Pricing!$D$3:$E$58,2,FALSE),"")</f>
        <v/>
      </c>
      <c r="K967" s="32"/>
      <c r="L967" s="32"/>
      <c r="M967" s="32"/>
      <c r="N967" s="36" t="str" cm="1">
        <f t="array" ref="N967">IFERROR(_xlfn.IFS((AND(K967="SI",M967="$")),J967*0.2,AND(K967="SI",M967="%"),20),"")</f>
        <v/>
      </c>
      <c r="O967" s="29" t="str">
        <f t="shared" si="230"/>
        <v/>
      </c>
      <c r="P967" s="21" t="str">
        <f t="shared" si="231"/>
        <v/>
      </c>
      <c r="Q967" s="21" t="str">
        <f t="shared" si="232"/>
        <v/>
      </c>
      <c r="R967" s="21" t="str">
        <f t="shared" si="233"/>
        <v/>
      </c>
      <c r="S967" s="39"/>
      <c r="T967" s="43" t="str">
        <f t="shared" si="226"/>
        <v/>
      </c>
      <c r="U967" s="49" t="str">
        <f t="shared" si="227"/>
        <v/>
      </c>
      <c r="V967" s="48" t="str">
        <f t="shared" si="228"/>
        <v/>
      </c>
      <c r="W967" s="48" t="str">
        <f t="shared" si="234"/>
        <v/>
      </c>
      <c r="X967" s="50" t="str">
        <f>IF(W967="","",SUMIF($B$4:$B$1002,B967,$W$4:$W$1000))</f>
        <v/>
      </c>
      <c r="Y967" s="43" t="str">
        <f t="shared" si="235"/>
        <v/>
      </c>
      <c r="Z967" s="49" t="str">
        <f t="shared" si="236"/>
        <v/>
      </c>
      <c r="AA967" s="48" t="str">
        <f t="shared" si="237"/>
        <v/>
      </c>
      <c r="AB967" s="49" t="str">
        <f t="shared" si="238"/>
        <v/>
      </c>
      <c r="AC967" s="50" t="str">
        <f>IF(AB967="","",SUMIF($B$4:$B$1002,B967,$AB$4:$AB$1000))</f>
        <v/>
      </c>
      <c r="AD967" s="69"/>
      <c r="AE967" s="56"/>
      <c r="AF967" s="52"/>
      <c r="AG967" s="51"/>
      <c r="AH967" s="70"/>
      <c r="AI967" s="58"/>
      <c r="AJ967" s="55"/>
      <c r="AK967" s="51"/>
      <c r="AL967" s="69"/>
      <c r="AM967" s="56"/>
      <c r="AN967" s="52"/>
      <c r="AO967" s="51"/>
      <c r="AP967" s="70"/>
      <c r="AQ967" s="58"/>
      <c r="AR967" s="55"/>
      <c r="AS967" s="51"/>
      <c r="AT967" s="69"/>
      <c r="AU967" s="56"/>
      <c r="AV967" s="52"/>
      <c r="AW967" s="51"/>
      <c r="BR967" s="34" t="str">
        <f>IF(E967="","",CONCATENATE(E967," ",F967," noches"))</f>
        <v/>
      </c>
      <c r="BS967" s="28" t="str">
        <f t="shared" ca="1" si="239"/>
        <v/>
      </c>
      <c r="BT967" s="28" t="str">
        <f t="shared" ca="1" si="240"/>
        <v/>
      </c>
    </row>
    <row r="968" spans="1:72" x14ac:dyDescent="0.2">
      <c r="A968" s="18" t="str" cm="1">
        <f t="array" aca="1" ref="A968" ca="1">IF(B968="","","Grupo N˚"&amp;SUMPRODUCT(($B$4:B968&lt;&gt;"")*($B$4:B968&lt;&gt;OFFSET($B$4,-1,0,ROWS($B$4:B968),1))))</f>
        <v/>
      </c>
      <c r="B968" s="31"/>
      <c r="C968" s="31"/>
      <c r="D968" s="31"/>
      <c r="E968" s="31"/>
      <c r="F968" s="32"/>
      <c r="G968" s="33"/>
      <c r="H968" s="33"/>
      <c r="I968" s="20" t="str">
        <f t="shared" si="229"/>
        <v/>
      </c>
      <c r="J968" s="21" t="str">
        <f>IFERROR(VLOOKUP(BR968,Pricing!$D$3:$E$58,2,FALSE),"")</f>
        <v/>
      </c>
      <c r="K968" s="32"/>
      <c r="L968" s="32"/>
      <c r="M968" s="32"/>
      <c r="N968" s="36" t="str" cm="1">
        <f t="array" ref="N968">IFERROR(_xlfn.IFS((AND(K968="SI",M968="$")),J968*0.2,AND(K968="SI",M968="%"),20),"")</f>
        <v/>
      </c>
      <c r="O968" s="29" t="str">
        <f t="shared" si="230"/>
        <v/>
      </c>
      <c r="P968" s="21" t="str">
        <f t="shared" si="231"/>
        <v/>
      </c>
      <c r="Q968" s="21" t="str">
        <f t="shared" si="232"/>
        <v/>
      </c>
      <c r="R968" s="21" t="str">
        <f t="shared" si="233"/>
        <v/>
      </c>
      <c r="S968" s="39"/>
      <c r="T968" s="43" t="str">
        <f t="shared" si="226"/>
        <v/>
      </c>
      <c r="U968" s="49" t="str">
        <f t="shared" si="227"/>
        <v/>
      </c>
      <c r="V968" s="48" t="str">
        <f t="shared" si="228"/>
        <v/>
      </c>
      <c r="W968" s="48" t="str">
        <f t="shared" si="234"/>
        <v/>
      </c>
      <c r="X968" s="50" t="str">
        <f>IF(W968="","",SUMIF($B$4:$B$1002,B968,$W$4:$W$1000))</f>
        <v/>
      </c>
      <c r="Y968" s="43" t="str">
        <f t="shared" si="235"/>
        <v/>
      </c>
      <c r="Z968" s="49" t="str">
        <f t="shared" si="236"/>
        <v/>
      </c>
      <c r="AA968" s="48" t="str">
        <f t="shared" si="237"/>
        <v/>
      </c>
      <c r="AB968" s="49" t="str">
        <f t="shared" si="238"/>
        <v/>
      </c>
      <c r="AC968" s="50" t="str">
        <f>IF(AB968="","",SUMIF($B$4:$B$1002,B968,$AB$4:$AB$1000))</f>
        <v/>
      </c>
      <c r="AD968" s="69"/>
      <c r="AE968" s="56"/>
      <c r="AF968" s="52"/>
      <c r="AG968" s="51"/>
      <c r="AH968" s="70"/>
      <c r="AI968" s="58"/>
      <c r="AJ968" s="55"/>
      <c r="AK968" s="51"/>
      <c r="AL968" s="69"/>
      <c r="AM968" s="56"/>
      <c r="AN968" s="52"/>
      <c r="AO968" s="51"/>
      <c r="AP968" s="70"/>
      <c r="AQ968" s="58"/>
      <c r="AR968" s="55"/>
      <c r="AS968" s="51"/>
      <c r="AT968" s="69"/>
      <c r="AU968" s="56"/>
      <c r="AV968" s="52"/>
      <c r="AW968" s="51"/>
      <c r="BR968" s="34" t="str">
        <f>IF(E968="","",CONCATENATE(E968," ",F968," noches"))</f>
        <v/>
      </c>
      <c r="BS968" s="28" t="str">
        <f t="shared" ca="1" si="239"/>
        <v/>
      </c>
      <c r="BT968" s="28" t="str">
        <f t="shared" ca="1" si="240"/>
        <v/>
      </c>
    </row>
    <row r="969" spans="1:72" x14ac:dyDescent="0.2">
      <c r="A969" s="18" t="str" cm="1">
        <f t="array" aca="1" ref="A969" ca="1">IF(B969="","","Grupo N˚"&amp;SUMPRODUCT(($B$4:B969&lt;&gt;"")*($B$4:B969&lt;&gt;OFFSET($B$4,-1,0,ROWS($B$4:B969),1))))</f>
        <v/>
      </c>
      <c r="B969" s="31"/>
      <c r="C969" s="31"/>
      <c r="D969" s="31"/>
      <c r="E969" s="31"/>
      <c r="F969" s="32"/>
      <c r="G969" s="33"/>
      <c r="H969" s="33"/>
      <c r="I969" s="20" t="str">
        <f t="shared" si="229"/>
        <v/>
      </c>
      <c r="J969" s="21" t="str">
        <f>IFERROR(VLOOKUP(BR969,Pricing!$D$3:$E$58,2,FALSE),"")</f>
        <v/>
      </c>
      <c r="K969" s="32"/>
      <c r="L969" s="32"/>
      <c r="M969" s="32"/>
      <c r="N969" s="36" t="str" cm="1">
        <f t="array" ref="N969">IFERROR(_xlfn.IFS((AND(K969="SI",M969="$")),J969*0.2,AND(K969="SI",M969="%"),20),"")</f>
        <v/>
      </c>
      <c r="O969" s="29" t="str">
        <f t="shared" si="230"/>
        <v/>
      </c>
      <c r="P969" s="21" t="str">
        <f t="shared" si="231"/>
        <v/>
      </c>
      <c r="Q969" s="21" t="str">
        <f t="shared" si="232"/>
        <v/>
      </c>
      <c r="R969" s="21" t="str">
        <f t="shared" si="233"/>
        <v/>
      </c>
      <c r="S969" s="39"/>
      <c r="T969" s="43" t="str">
        <f t="shared" ref="T969:T1002" si="241">IF(W969="","",IFERROR(
 IF(AND(ABS(N(W969))&lt;0.5, BS969&lt;=7), "Sin deuda",
  IF(AND(N(W969)&gt;0, BS969&lt;=7), "Con deuda",
   IF(AND(N(W969)&gt;0, BS969&gt;7), "Moroso", "")
  )
)," "))</f>
        <v/>
      </c>
      <c r="U969" s="49" t="str">
        <f t="shared" si="227"/>
        <v/>
      </c>
      <c r="V969" s="48" t="str">
        <f t="shared" si="228"/>
        <v/>
      </c>
      <c r="W969" s="48" t="str">
        <f t="shared" si="234"/>
        <v/>
      </c>
      <c r="X969" s="50" t="str">
        <f>IF(W969="","",SUMIF($B$4:$B$1002,B969,$W$4:$W$1000))</f>
        <v/>
      </c>
      <c r="Y969" s="43" t="str">
        <f t="shared" si="235"/>
        <v/>
      </c>
      <c r="Z969" s="49" t="str">
        <f t="shared" si="236"/>
        <v/>
      </c>
      <c r="AA969" s="48" t="str">
        <f t="shared" si="237"/>
        <v/>
      </c>
      <c r="AB969" s="49" t="str">
        <f t="shared" si="238"/>
        <v/>
      </c>
      <c r="AC969" s="50" t="str">
        <f>IF(AB969="","",SUMIF($B$4:$B$1002,B969,$AB$4:$AB$1000))</f>
        <v/>
      </c>
      <c r="AD969" s="69"/>
      <c r="AE969" s="56"/>
      <c r="AF969" s="52"/>
      <c r="AG969" s="51"/>
      <c r="AH969" s="70"/>
      <c r="AI969" s="58"/>
      <c r="AJ969" s="55"/>
      <c r="AK969" s="51"/>
      <c r="AL969" s="69"/>
      <c r="AM969" s="56"/>
      <c r="AN969" s="52"/>
      <c r="AO969" s="51"/>
      <c r="AP969" s="70"/>
      <c r="AQ969" s="58"/>
      <c r="AR969" s="55"/>
      <c r="AS969" s="51"/>
      <c r="AT969" s="69"/>
      <c r="AU969" s="56"/>
      <c r="AV969" s="52"/>
      <c r="AW969" s="51"/>
      <c r="BR969" s="34" t="str">
        <f>IF(E969="","",CONCATENATE(E969," ",F969," noches"))</f>
        <v/>
      </c>
      <c r="BS969" s="28" t="str">
        <f t="shared" ca="1" si="239"/>
        <v/>
      </c>
      <c r="BT969" s="28" t="str">
        <f t="shared" ca="1" si="240"/>
        <v/>
      </c>
    </row>
    <row r="970" spans="1:72" x14ac:dyDescent="0.2">
      <c r="A970" s="18" t="str" cm="1">
        <f t="array" aca="1" ref="A970" ca="1">IF(B970="","","Grupo N˚"&amp;SUMPRODUCT(($B$4:B970&lt;&gt;"")*($B$4:B970&lt;&gt;OFFSET($B$4,-1,0,ROWS($B$4:B970),1))))</f>
        <v/>
      </c>
      <c r="B970" s="31"/>
      <c r="C970" s="31"/>
      <c r="D970" s="31"/>
      <c r="E970" s="31"/>
      <c r="F970" s="32"/>
      <c r="G970" s="33"/>
      <c r="H970" s="33"/>
      <c r="I970" s="20" t="str">
        <f t="shared" si="229"/>
        <v/>
      </c>
      <c r="J970" s="21" t="str">
        <f>IFERROR(VLOOKUP(BR970,Pricing!$D$3:$E$58,2,FALSE),"")</f>
        <v/>
      </c>
      <c r="K970" s="32"/>
      <c r="L970" s="32"/>
      <c r="M970" s="32"/>
      <c r="N970" s="36" t="str" cm="1">
        <f t="array" ref="N970">IFERROR(_xlfn.IFS((AND(K970="SI",M970="$")),J970*0.2,AND(K970="SI",M970="%"),20),"")</f>
        <v/>
      </c>
      <c r="O970" s="29" t="str">
        <f t="shared" si="230"/>
        <v/>
      </c>
      <c r="P970" s="21" t="str">
        <f t="shared" si="231"/>
        <v/>
      </c>
      <c r="Q970" s="21" t="str">
        <f t="shared" si="232"/>
        <v/>
      </c>
      <c r="R970" s="21" t="str">
        <f t="shared" si="233"/>
        <v/>
      </c>
      <c r="S970" s="39"/>
      <c r="T970" s="43" t="str">
        <f t="shared" si="241"/>
        <v/>
      </c>
      <c r="U970" s="49" t="str">
        <f t="shared" si="227"/>
        <v/>
      </c>
      <c r="V970" s="48" t="str">
        <f t="shared" si="228"/>
        <v/>
      </c>
      <c r="W970" s="48" t="str">
        <f t="shared" si="234"/>
        <v/>
      </c>
      <c r="X970" s="50" t="str">
        <f>IF(W970="","",SUMIF($B$4:$B$1002,B970,$W$4:$W$1000))</f>
        <v/>
      </c>
      <c r="Y970" s="43" t="str">
        <f t="shared" si="235"/>
        <v/>
      </c>
      <c r="Z970" s="49" t="str">
        <f t="shared" si="236"/>
        <v/>
      </c>
      <c r="AA970" s="48" t="str">
        <f t="shared" si="237"/>
        <v/>
      </c>
      <c r="AB970" s="49" t="str">
        <f t="shared" si="238"/>
        <v/>
      </c>
      <c r="AC970" s="50" t="str">
        <f>IF(AB970="","",SUMIF($B$4:$B$1002,B970,$AB$4:$AB$1000))</f>
        <v/>
      </c>
      <c r="AD970" s="69"/>
      <c r="AE970" s="56"/>
      <c r="AF970" s="52"/>
      <c r="AG970" s="51"/>
      <c r="AH970" s="70"/>
      <c r="AI970" s="58"/>
      <c r="AJ970" s="55"/>
      <c r="AK970" s="51"/>
      <c r="AL970" s="69"/>
      <c r="AM970" s="56"/>
      <c r="AN970" s="52"/>
      <c r="AO970" s="51"/>
      <c r="AP970" s="70"/>
      <c r="AQ970" s="58"/>
      <c r="AR970" s="55"/>
      <c r="AS970" s="51"/>
      <c r="AT970" s="69"/>
      <c r="AU970" s="56"/>
      <c r="AV970" s="52"/>
      <c r="AW970" s="51"/>
      <c r="BR970" s="34" t="str">
        <f>IF(E970="","",CONCATENATE(E970," ",F970," noches"))</f>
        <v/>
      </c>
      <c r="BS970" s="28" t="str">
        <f t="shared" ca="1" si="239"/>
        <v/>
      </c>
      <c r="BT970" s="28" t="str">
        <f t="shared" ca="1" si="240"/>
        <v/>
      </c>
    </row>
    <row r="971" spans="1:72" x14ac:dyDescent="0.2">
      <c r="A971" s="18" t="str" cm="1">
        <f t="array" aca="1" ref="A971" ca="1">IF(B971="","","Grupo N˚"&amp;SUMPRODUCT(($B$4:B971&lt;&gt;"")*($B$4:B971&lt;&gt;OFFSET($B$4,-1,0,ROWS($B$4:B971),1))))</f>
        <v/>
      </c>
      <c r="B971" s="31"/>
      <c r="C971" s="31"/>
      <c r="D971" s="31"/>
      <c r="E971" s="31"/>
      <c r="F971" s="32"/>
      <c r="G971" s="33"/>
      <c r="H971" s="33"/>
      <c r="I971" s="20" t="str">
        <f t="shared" si="229"/>
        <v/>
      </c>
      <c r="J971" s="21" t="str">
        <f>IFERROR(VLOOKUP(BR971,Pricing!$D$3:$E$58,2,FALSE),"")</f>
        <v/>
      </c>
      <c r="K971" s="32"/>
      <c r="L971" s="32"/>
      <c r="M971" s="32"/>
      <c r="N971" s="36" t="str" cm="1">
        <f t="array" ref="N971">IFERROR(_xlfn.IFS((AND(K971="SI",M971="$")),J971*0.2,AND(K971="SI",M971="%"),20),"")</f>
        <v/>
      </c>
      <c r="O971" s="29" t="str">
        <f t="shared" si="230"/>
        <v/>
      </c>
      <c r="P971" s="21" t="str">
        <f t="shared" si="231"/>
        <v/>
      </c>
      <c r="Q971" s="21" t="str">
        <f t="shared" si="232"/>
        <v/>
      </c>
      <c r="R971" s="21" t="str">
        <f t="shared" si="233"/>
        <v/>
      </c>
      <c r="S971" s="39"/>
      <c r="T971" s="43" t="str">
        <f t="shared" si="241"/>
        <v/>
      </c>
      <c r="U971" s="49" t="str">
        <f t="shared" si="227"/>
        <v/>
      </c>
      <c r="V971" s="48" t="str">
        <f t="shared" si="228"/>
        <v/>
      </c>
      <c r="W971" s="48" t="str">
        <f t="shared" si="234"/>
        <v/>
      </c>
      <c r="X971" s="50" t="str">
        <f>IF(W971="","",SUMIF($B$4:$B$1002,B971,$W$4:$W$1000))</f>
        <v/>
      </c>
      <c r="Y971" s="43" t="str">
        <f t="shared" si="235"/>
        <v/>
      </c>
      <c r="Z971" s="49" t="str">
        <f t="shared" si="236"/>
        <v/>
      </c>
      <c r="AA971" s="48" t="str">
        <f t="shared" si="237"/>
        <v/>
      </c>
      <c r="AB971" s="49" t="str">
        <f t="shared" si="238"/>
        <v/>
      </c>
      <c r="AC971" s="50" t="str">
        <f>IF(AB971="","",SUMIF($B$4:$B$1002,B971,$AB$4:$AB$1000))</f>
        <v/>
      </c>
      <c r="AD971" s="69"/>
      <c r="AE971" s="56"/>
      <c r="AF971" s="52"/>
      <c r="AG971" s="51"/>
      <c r="AH971" s="70"/>
      <c r="AI971" s="58"/>
      <c r="AJ971" s="55"/>
      <c r="AK971" s="51"/>
      <c r="AL971" s="69"/>
      <c r="AM971" s="56"/>
      <c r="AN971" s="52"/>
      <c r="AO971" s="51"/>
      <c r="AP971" s="70"/>
      <c r="AQ971" s="58"/>
      <c r="AR971" s="55"/>
      <c r="AS971" s="51"/>
      <c r="AT971" s="69"/>
      <c r="AU971" s="56"/>
      <c r="AV971" s="52"/>
      <c r="AW971" s="51"/>
      <c r="BR971" s="34" t="str">
        <f>IF(E971="","",CONCATENATE(E971," ",F971," noches"))</f>
        <v/>
      </c>
      <c r="BS971" s="28" t="str">
        <f t="shared" ca="1" si="239"/>
        <v/>
      </c>
      <c r="BT971" s="28" t="str">
        <f t="shared" ca="1" si="240"/>
        <v/>
      </c>
    </row>
    <row r="972" spans="1:72" x14ac:dyDescent="0.2">
      <c r="A972" s="18" t="str" cm="1">
        <f t="array" aca="1" ref="A972" ca="1">IF(B972="","","Grupo N˚"&amp;SUMPRODUCT(($B$4:B972&lt;&gt;"")*($B$4:B972&lt;&gt;OFFSET($B$4,-1,0,ROWS($B$4:B972),1))))</f>
        <v/>
      </c>
      <c r="B972" s="31"/>
      <c r="C972" s="31"/>
      <c r="D972" s="31"/>
      <c r="E972" s="31"/>
      <c r="F972" s="32"/>
      <c r="G972" s="33"/>
      <c r="H972" s="33"/>
      <c r="I972" s="20" t="str">
        <f t="shared" si="229"/>
        <v/>
      </c>
      <c r="J972" s="21" t="str">
        <f>IFERROR(VLOOKUP(BR972,Pricing!$D$3:$E$58,2,FALSE),"")</f>
        <v/>
      </c>
      <c r="K972" s="32"/>
      <c r="L972" s="32"/>
      <c r="M972" s="32"/>
      <c r="N972" s="36" t="str" cm="1">
        <f t="array" ref="N972">IFERROR(_xlfn.IFS((AND(K972="SI",M972="$")),J972*0.2,AND(K972="SI",M972="%"),20),"")</f>
        <v/>
      </c>
      <c r="O972" s="29" t="str">
        <f t="shared" si="230"/>
        <v/>
      </c>
      <c r="P972" s="21" t="str">
        <f t="shared" si="231"/>
        <v/>
      </c>
      <c r="Q972" s="21" t="str">
        <f t="shared" si="232"/>
        <v/>
      </c>
      <c r="R972" s="21" t="str">
        <f t="shared" si="233"/>
        <v/>
      </c>
      <c r="S972" s="39"/>
      <c r="T972" s="43" t="str">
        <f t="shared" si="241"/>
        <v/>
      </c>
      <c r="U972" s="49" t="str">
        <f t="shared" si="227"/>
        <v/>
      </c>
      <c r="V972" s="48" t="str">
        <f t="shared" si="228"/>
        <v/>
      </c>
      <c r="W972" s="48" t="str">
        <f t="shared" si="234"/>
        <v/>
      </c>
      <c r="X972" s="50" t="str">
        <f>IF(W972="","",SUMIF($B$4:$B$1002,B972,$W$4:$W$1000))</f>
        <v/>
      </c>
      <c r="Y972" s="43" t="str">
        <f t="shared" si="235"/>
        <v/>
      </c>
      <c r="Z972" s="49" t="str">
        <f t="shared" si="236"/>
        <v/>
      </c>
      <c r="AA972" s="48" t="str">
        <f t="shared" si="237"/>
        <v/>
      </c>
      <c r="AB972" s="49" t="str">
        <f t="shared" si="238"/>
        <v/>
      </c>
      <c r="AC972" s="50" t="str">
        <f>IF(AB972="","",SUMIF($B$4:$B$1002,B972,$AB$4:$AB$1000))</f>
        <v/>
      </c>
      <c r="AD972" s="69"/>
      <c r="AE972" s="56"/>
      <c r="AF972" s="52"/>
      <c r="AG972" s="51"/>
      <c r="AH972" s="70"/>
      <c r="AI972" s="58"/>
      <c r="AJ972" s="55"/>
      <c r="AK972" s="51"/>
      <c r="AL972" s="69"/>
      <c r="AM972" s="56"/>
      <c r="AN972" s="52"/>
      <c r="AO972" s="51"/>
      <c r="AP972" s="70"/>
      <c r="AQ972" s="58"/>
      <c r="AR972" s="55"/>
      <c r="AS972" s="51"/>
      <c r="AT972" s="69"/>
      <c r="AU972" s="56"/>
      <c r="AV972" s="52"/>
      <c r="AW972" s="51"/>
      <c r="BR972" s="34" t="str">
        <f>IF(E972="","",CONCATENATE(E972," ",F972," noches"))</f>
        <v/>
      </c>
      <c r="BS972" s="28" t="str">
        <f t="shared" ca="1" si="239"/>
        <v/>
      </c>
      <c r="BT972" s="28" t="str">
        <f t="shared" ca="1" si="240"/>
        <v/>
      </c>
    </row>
    <row r="973" spans="1:72" x14ac:dyDescent="0.2">
      <c r="A973" s="18" t="str" cm="1">
        <f t="array" aca="1" ref="A973" ca="1">IF(B973="","","Grupo N˚"&amp;SUMPRODUCT(($B$4:B973&lt;&gt;"")*($B$4:B973&lt;&gt;OFFSET($B$4,-1,0,ROWS($B$4:B973),1))))</f>
        <v/>
      </c>
      <c r="B973" s="31"/>
      <c r="C973" s="31"/>
      <c r="D973" s="31"/>
      <c r="E973" s="31"/>
      <c r="F973" s="32"/>
      <c r="G973" s="33"/>
      <c r="H973" s="33"/>
      <c r="I973" s="20" t="str">
        <f t="shared" si="229"/>
        <v/>
      </c>
      <c r="J973" s="21" t="str">
        <f>IFERROR(VLOOKUP(BR973,Pricing!$D$3:$E$58,2,FALSE),"")</f>
        <v/>
      </c>
      <c r="K973" s="32"/>
      <c r="L973" s="32"/>
      <c r="M973" s="32"/>
      <c r="N973" s="36" t="str" cm="1">
        <f t="array" ref="N973">IFERROR(_xlfn.IFS((AND(K973="SI",M973="$")),J973*0.2,AND(K973="SI",M973="%"),20),"")</f>
        <v/>
      </c>
      <c r="O973" s="29" t="str">
        <f t="shared" si="230"/>
        <v/>
      </c>
      <c r="P973" s="21" t="str">
        <f t="shared" si="231"/>
        <v/>
      </c>
      <c r="Q973" s="21" t="str">
        <f t="shared" si="232"/>
        <v/>
      </c>
      <c r="R973" s="21" t="str">
        <f t="shared" si="233"/>
        <v/>
      </c>
      <c r="S973" s="39"/>
      <c r="T973" s="43" t="str">
        <f t="shared" si="241"/>
        <v/>
      </c>
      <c r="U973" s="49" t="str">
        <f t="shared" ref="U973:U1002" si="242">IF(R973="","",R973/2)</f>
        <v/>
      </c>
      <c r="V973" s="48" t="str">
        <f t="shared" ref="V973:V1002" si="243">IF(AD973="","",SUM(
 IF(ISNUMBER(SEARCH("reserva",AD973)),AF973,0),
 IF(ISNUMBER(SEARCH("reserva",AH973)),AJ973,0),
 IF(ISNUMBER(SEARCH("reserva",AL973)),AN973,0),
 IF(ISNUMBER(SEARCH("reserva",AP973)),AR973,0),
 IF(ISNUMBER(SEARCH("reserva",AT973)),AV973,0)
))</f>
        <v/>
      </c>
      <c r="W973" s="48" t="str">
        <f t="shared" si="234"/>
        <v/>
      </c>
      <c r="X973" s="50" t="str">
        <f>IF(W973="","",SUMIF($B$4:$B$1002,B973,$W$4:$W$1000))</f>
        <v/>
      </c>
      <c r="Y973" s="43" t="str">
        <f t="shared" si="235"/>
        <v/>
      </c>
      <c r="Z973" s="49" t="str">
        <f t="shared" si="236"/>
        <v/>
      </c>
      <c r="AA973" s="48" t="str">
        <f t="shared" si="237"/>
        <v/>
      </c>
      <c r="AB973" s="49" t="str">
        <f t="shared" si="238"/>
        <v/>
      </c>
      <c r="AC973" s="50" t="str">
        <f>IF(AB973="","",SUMIF($B$4:$B$1002,B973,$AB$4:$AB$1000))</f>
        <v/>
      </c>
      <c r="AD973" s="69"/>
      <c r="AE973" s="56"/>
      <c r="AF973" s="52"/>
      <c r="AG973" s="51"/>
      <c r="AH973" s="70"/>
      <c r="AI973" s="58"/>
      <c r="AJ973" s="55"/>
      <c r="AK973" s="51"/>
      <c r="AL973" s="69"/>
      <c r="AM973" s="56"/>
      <c r="AN973" s="52"/>
      <c r="AO973" s="51"/>
      <c r="AP973" s="70"/>
      <c r="AQ973" s="58"/>
      <c r="AR973" s="55"/>
      <c r="AS973" s="51"/>
      <c r="AT973" s="69"/>
      <c r="AU973" s="56"/>
      <c r="AV973" s="52"/>
      <c r="AW973" s="51"/>
      <c r="BR973" s="34" t="str">
        <f>IF(E973="","",CONCATENATE(E973," ",F973," noches"))</f>
        <v/>
      </c>
      <c r="BS973" s="28" t="str">
        <f t="shared" ca="1" si="239"/>
        <v/>
      </c>
      <c r="BT973" s="28" t="str">
        <f t="shared" ca="1" si="240"/>
        <v/>
      </c>
    </row>
    <row r="974" spans="1:72" x14ac:dyDescent="0.2">
      <c r="A974" s="18" t="str" cm="1">
        <f t="array" aca="1" ref="A974" ca="1">IF(B974="","","Grupo N˚"&amp;SUMPRODUCT(($B$4:B974&lt;&gt;"")*($B$4:B974&lt;&gt;OFFSET($B$4,-1,0,ROWS($B$4:B974),1))))</f>
        <v/>
      </c>
      <c r="B974" s="31"/>
      <c r="C974" s="31"/>
      <c r="D974" s="31"/>
      <c r="E974" s="31"/>
      <c r="F974" s="32"/>
      <c r="G974" s="33"/>
      <c r="H974" s="33"/>
      <c r="I974" s="20" t="str">
        <f t="shared" si="229"/>
        <v/>
      </c>
      <c r="J974" s="21" t="str">
        <f>IFERROR(VLOOKUP(BR974,Pricing!$D$3:$E$58,2,FALSE),"")</f>
        <v/>
      </c>
      <c r="K974" s="32"/>
      <c r="L974" s="32"/>
      <c r="M974" s="32"/>
      <c r="N974" s="36" t="str" cm="1">
        <f t="array" ref="N974">IFERROR(_xlfn.IFS((AND(K974="SI",M974="$")),J974*0.2,AND(K974="SI",M974="%"),20),"")</f>
        <v/>
      </c>
      <c r="O974" s="29" t="str">
        <f t="shared" si="230"/>
        <v/>
      </c>
      <c r="P974" s="21" t="str">
        <f t="shared" si="231"/>
        <v/>
      </c>
      <c r="Q974" s="21" t="str">
        <f t="shared" si="232"/>
        <v/>
      </c>
      <c r="R974" s="21" t="str">
        <f t="shared" si="233"/>
        <v/>
      </c>
      <c r="S974" s="39"/>
      <c r="T974" s="43" t="str">
        <f t="shared" si="241"/>
        <v/>
      </c>
      <c r="U974" s="49" t="str">
        <f t="shared" si="242"/>
        <v/>
      </c>
      <c r="V974" s="48" t="str">
        <f t="shared" si="243"/>
        <v/>
      </c>
      <c r="W974" s="48" t="str">
        <f t="shared" si="234"/>
        <v/>
      </c>
      <c r="X974" s="50" t="str">
        <f>IF(W974="","",SUMIF($B$4:$B$1002,B974,$W$4:$W$1000))</f>
        <v/>
      </c>
      <c r="Y974" s="43" t="str">
        <f t="shared" si="235"/>
        <v/>
      </c>
      <c r="Z974" s="49" t="str">
        <f t="shared" si="236"/>
        <v/>
      </c>
      <c r="AA974" s="48" t="str">
        <f t="shared" si="237"/>
        <v/>
      </c>
      <c r="AB974" s="49" t="str">
        <f t="shared" si="238"/>
        <v/>
      </c>
      <c r="AC974" s="50" t="str">
        <f>IF(AB974="","",SUMIF($B$4:$B$1002,B974,$AB$4:$AB$1000))</f>
        <v/>
      </c>
      <c r="AD974" s="69"/>
      <c r="AE974" s="56"/>
      <c r="AF974" s="52"/>
      <c r="AG974" s="51"/>
      <c r="AH974" s="70"/>
      <c r="AI974" s="58"/>
      <c r="AJ974" s="55"/>
      <c r="AK974" s="51"/>
      <c r="AL974" s="69"/>
      <c r="AM974" s="56"/>
      <c r="AN974" s="52"/>
      <c r="AO974" s="51"/>
      <c r="AP974" s="70"/>
      <c r="AQ974" s="58"/>
      <c r="AR974" s="55"/>
      <c r="AS974" s="51"/>
      <c r="AT974" s="69"/>
      <c r="AU974" s="56"/>
      <c r="AV974" s="52"/>
      <c r="AW974" s="51"/>
      <c r="BR974" s="34" t="str">
        <f>IF(E974="","",CONCATENATE(E974," ",F974," noches"))</f>
        <v/>
      </c>
      <c r="BS974" s="28" t="str">
        <f t="shared" ca="1" si="239"/>
        <v/>
      </c>
      <c r="BT974" s="28" t="str">
        <f t="shared" ca="1" si="240"/>
        <v/>
      </c>
    </row>
    <row r="975" spans="1:72" x14ac:dyDescent="0.2">
      <c r="A975" s="18" t="str" cm="1">
        <f t="array" aca="1" ref="A975" ca="1">IF(B975="","","Grupo N˚"&amp;SUMPRODUCT(($B$4:B975&lt;&gt;"")*($B$4:B975&lt;&gt;OFFSET($B$4,-1,0,ROWS($B$4:B975),1))))</f>
        <v/>
      </c>
      <c r="B975" s="31"/>
      <c r="C975" s="31"/>
      <c r="D975" s="31"/>
      <c r="E975" s="31"/>
      <c r="F975" s="32"/>
      <c r="G975" s="33"/>
      <c r="H975" s="33"/>
      <c r="I975" s="20" t="str">
        <f t="shared" si="229"/>
        <v/>
      </c>
      <c r="J975" s="21" t="str">
        <f>IFERROR(VLOOKUP(BR975,Pricing!$D$3:$E$58,2,FALSE),"")</f>
        <v/>
      </c>
      <c r="K975" s="32"/>
      <c r="L975" s="32"/>
      <c r="M975" s="32"/>
      <c r="N975" s="36" t="str" cm="1">
        <f t="array" ref="N975">IFERROR(_xlfn.IFS((AND(K975="SI",M975="$")),J975*0.2,AND(K975="SI",M975="%"),20),"")</f>
        <v/>
      </c>
      <c r="O975" s="29" t="str">
        <f t="shared" si="230"/>
        <v/>
      </c>
      <c r="P975" s="21" t="str">
        <f t="shared" si="231"/>
        <v/>
      </c>
      <c r="Q975" s="21" t="str">
        <f t="shared" si="232"/>
        <v/>
      </c>
      <c r="R975" s="21" t="str">
        <f t="shared" si="233"/>
        <v/>
      </c>
      <c r="S975" s="39"/>
      <c r="T975" s="43" t="str">
        <f t="shared" si="241"/>
        <v/>
      </c>
      <c r="U975" s="49" t="str">
        <f t="shared" si="242"/>
        <v/>
      </c>
      <c r="V975" s="48" t="str">
        <f t="shared" si="243"/>
        <v/>
      </c>
      <c r="W975" s="48" t="str">
        <f t="shared" si="234"/>
        <v/>
      </c>
      <c r="X975" s="50" t="str">
        <f>IF(W975="","",SUMIF($B$4:$B$1002,B975,$W$4:$W$1000))</f>
        <v/>
      </c>
      <c r="Y975" s="43" t="str">
        <f t="shared" si="235"/>
        <v/>
      </c>
      <c r="Z975" s="49" t="str">
        <f t="shared" si="236"/>
        <v/>
      </c>
      <c r="AA975" s="48" t="str">
        <f t="shared" si="237"/>
        <v/>
      </c>
      <c r="AB975" s="49" t="str">
        <f t="shared" si="238"/>
        <v/>
      </c>
      <c r="AC975" s="50" t="str">
        <f>IF(AB975="","",SUMIF($B$4:$B$1002,B975,$AB$4:$AB$1000))</f>
        <v/>
      </c>
      <c r="AD975" s="69"/>
      <c r="AE975" s="56"/>
      <c r="AF975" s="52"/>
      <c r="AG975" s="51"/>
      <c r="AH975" s="70"/>
      <c r="AI975" s="58"/>
      <c r="AJ975" s="55"/>
      <c r="AK975" s="51"/>
      <c r="AL975" s="69"/>
      <c r="AM975" s="56"/>
      <c r="AN975" s="52"/>
      <c r="AO975" s="51"/>
      <c r="AP975" s="70"/>
      <c r="AQ975" s="58"/>
      <c r="AR975" s="55"/>
      <c r="AS975" s="51"/>
      <c r="AT975" s="69"/>
      <c r="AU975" s="56"/>
      <c r="AV975" s="52"/>
      <c r="AW975" s="51"/>
      <c r="BR975" s="34" t="str">
        <f>IF(E975="","",CONCATENATE(E975," ",F975," noches"))</f>
        <v/>
      </c>
      <c r="BS975" s="28" t="str">
        <f t="shared" ca="1" si="239"/>
        <v/>
      </c>
      <c r="BT975" s="28" t="str">
        <f t="shared" ca="1" si="240"/>
        <v/>
      </c>
    </row>
    <row r="976" spans="1:72" x14ac:dyDescent="0.2">
      <c r="A976" s="18" t="str" cm="1">
        <f t="array" aca="1" ref="A976" ca="1">IF(B976="","","Grupo N˚"&amp;SUMPRODUCT(($B$4:B976&lt;&gt;"")*($B$4:B976&lt;&gt;OFFSET($B$4,-1,0,ROWS($B$4:B976),1))))</f>
        <v/>
      </c>
      <c r="B976" s="31"/>
      <c r="C976" s="31"/>
      <c r="D976" s="31"/>
      <c r="E976" s="31"/>
      <c r="F976" s="32"/>
      <c r="G976" s="33"/>
      <c r="H976" s="33"/>
      <c r="I976" s="20" t="str">
        <f t="shared" si="229"/>
        <v/>
      </c>
      <c r="J976" s="21" t="str">
        <f>IFERROR(VLOOKUP(BR976,Pricing!$D$3:$E$58,2,FALSE),"")</f>
        <v/>
      </c>
      <c r="K976" s="32"/>
      <c r="L976" s="32"/>
      <c r="M976" s="32"/>
      <c r="N976" s="36" t="str" cm="1">
        <f t="array" ref="N976">IFERROR(_xlfn.IFS((AND(K976="SI",M976="$")),J976*0.2,AND(K976="SI",M976="%"),20),"")</f>
        <v/>
      </c>
      <c r="O976" s="29" t="str">
        <f t="shared" si="230"/>
        <v/>
      </c>
      <c r="P976" s="21" t="str">
        <f t="shared" si="231"/>
        <v/>
      </c>
      <c r="Q976" s="21" t="str">
        <f t="shared" si="232"/>
        <v/>
      </c>
      <c r="R976" s="21" t="str">
        <f t="shared" si="233"/>
        <v/>
      </c>
      <c r="S976" s="39"/>
      <c r="T976" s="43" t="str">
        <f t="shared" si="241"/>
        <v/>
      </c>
      <c r="U976" s="49" t="str">
        <f t="shared" si="242"/>
        <v/>
      </c>
      <c r="V976" s="48" t="str">
        <f t="shared" si="243"/>
        <v/>
      </c>
      <c r="W976" s="48" t="str">
        <f t="shared" si="234"/>
        <v/>
      </c>
      <c r="X976" s="50" t="str">
        <f>IF(W976="","",SUMIF($B$4:$B$1002,B976,$W$4:$W$1000))</f>
        <v/>
      </c>
      <c r="Y976" s="43" t="str">
        <f t="shared" si="235"/>
        <v/>
      </c>
      <c r="Z976" s="49" t="str">
        <f t="shared" si="236"/>
        <v/>
      </c>
      <c r="AA976" s="48" t="str">
        <f t="shared" si="237"/>
        <v/>
      </c>
      <c r="AB976" s="49" t="str">
        <f t="shared" si="238"/>
        <v/>
      </c>
      <c r="AC976" s="50" t="str">
        <f>IF(AB976="","",SUMIF($B$4:$B$1002,B976,$AB$4:$AB$1000))</f>
        <v/>
      </c>
      <c r="AD976" s="69"/>
      <c r="AE976" s="56"/>
      <c r="AF976" s="52"/>
      <c r="AG976" s="51"/>
      <c r="AH976" s="70"/>
      <c r="AI976" s="58"/>
      <c r="AJ976" s="55"/>
      <c r="AK976" s="51"/>
      <c r="AL976" s="69"/>
      <c r="AM976" s="56"/>
      <c r="AN976" s="52"/>
      <c r="AO976" s="51"/>
      <c r="AP976" s="70"/>
      <c r="AQ976" s="58"/>
      <c r="AR976" s="55"/>
      <c r="AS976" s="51"/>
      <c r="AT976" s="69"/>
      <c r="AU976" s="56"/>
      <c r="AV976" s="52"/>
      <c r="AW976" s="51"/>
      <c r="BR976" s="34" t="str">
        <f>IF(E976="","",CONCATENATE(E976," ",F976," noches"))</f>
        <v/>
      </c>
      <c r="BS976" s="28" t="str">
        <f t="shared" ca="1" si="239"/>
        <v/>
      </c>
      <c r="BT976" s="28" t="str">
        <f t="shared" ca="1" si="240"/>
        <v/>
      </c>
    </row>
    <row r="977" spans="1:72" x14ac:dyDescent="0.2">
      <c r="A977" s="18" t="str" cm="1">
        <f t="array" aca="1" ref="A977" ca="1">IF(B977="","","Grupo N˚"&amp;SUMPRODUCT(($B$4:B977&lt;&gt;"")*($B$4:B977&lt;&gt;OFFSET($B$4,-1,0,ROWS($B$4:B977),1))))</f>
        <v/>
      </c>
      <c r="B977" s="31"/>
      <c r="C977" s="31"/>
      <c r="D977" s="31"/>
      <c r="E977" s="31"/>
      <c r="F977" s="32"/>
      <c r="G977" s="33"/>
      <c r="H977" s="33"/>
      <c r="I977" s="20" t="str">
        <f t="shared" si="229"/>
        <v/>
      </c>
      <c r="J977" s="21" t="str">
        <f>IFERROR(VLOOKUP(BR977,Pricing!$D$3:$E$58,2,FALSE),"")</f>
        <v/>
      </c>
      <c r="K977" s="32"/>
      <c r="L977" s="32"/>
      <c r="M977" s="32"/>
      <c r="N977" s="36" t="str" cm="1">
        <f t="array" ref="N977">IFERROR(_xlfn.IFS((AND(K977="SI",M977="$")),J977*0.2,AND(K977="SI",M977="%"),20),"")</f>
        <v/>
      </c>
      <c r="O977" s="29" t="str">
        <f t="shared" si="230"/>
        <v/>
      </c>
      <c r="P977" s="21" t="str">
        <f t="shared" si="231"/>
        <v/>
      </c>
      <c r="Q977" s="21" t="str">
        <f t="shared" si="232"/>
        <v/>
      </c>
      <c r="R977" s="21" t="str">
        <f t="shared" si="233"/>
        <v/>
      </c>
      <c r="S977" s="39"/>
      <c r="T977" s="43" t="str">
        <f t="shared" si="241"/>
        <v/>
      </c>
      <c r="U977" s="49" t="str">
        <f t="shared" si="242"/>
        <v/>
      </c>
      <c r="V977" s="48" t="str">
        <f t="shared" si="243"/>
        <v/>
      </c>
      <c r="W977" s="48" t="str">
        <f t="shared" si="234"/>
        <v/>
      </c>
      <c r="X977" s="50" t="str">
        <f>IF(W977="","",SUMIF($B$4:$B$1002,B977,$W$4:$W$1000))</f>
        <v/>
      </c>
      <c r="Y977" s="43" t="str">
        <f t="shared" si="235"/>
        <v/>
      </c>
      <c r="Z977" s="49" t="str">
        <f t="shared" si="236"/>
        <v/>
      </c>
      <c r="AA977" s="48" t="str">
        <f t="shared" si="237"/>
        <v/>
      </c>
      <c r="AB977" s="49" t="str">
        <f t="shared" si="238"/>
        <v/>
      </c>
      <c r="AC977" s="50" t="str">
        <f>IF(AB977="","",SUMIF($B$4:$B$1002,B977,$AB$4:$AB$1000))</f>
        <v/>
      </c>
      <c r="AD977" s="69"/>
      <c r="AE977" s="56"/>
      <c r="AF977" s="52"/>
      <c r="AG977" s="51"/>
      <c r="AH977" s="70"/>
      <c r="AI977" s="58"/>
      <c r="AJ977" s="55"/>
      <c r="AK977" s="51"/>
      <c r="AL977" s="69"/>
      <c r="AM977" s="56"/>
      <c r="AN977" s="52"/>
      <c r="AO977" s="51"/>
      <c r="AP977" s="70"/>
      <c r="AQ977" s="58"/>
      <c r="AR977" s="55"/>
      <c r="AS977" s="51"/>
      <c r="AT977" s="69"/>
      <c r="AU977" s="56"/>
      <c r="AV977" s="52"/>
      <c r="AW977" s="51"/>
      <c r="BR977" s="34" t="str">
        <f>IF(E977="","",CONCATENATE(E977," ",F977," noches"))</f>
        <v/>
      </c>
      <c r="BS977" s="28" t="str">
        <f t="shared" ca="1" si="239"/>
        <v/>
      </c>
      <c r="BT977" s="28" t="str">
        <f t="shared" ca="1" si="240"/>
        <v/>
      </c>
    </row>
    <row r="978" spans="1:72" x14ac:dyDescent="0.2">
      <c r="A978" s="18" t="str" cm="1">
        <f t="array" aca="1" ref="A978" ca="1">IF(B978="","","Grupo N˚"&amp;SUMPRODUCT(($B$4:B978&lt;&gt;"")*($B$4:B978&lt;&gt;OFFSET($B$4,-1,0,ROWS($B$4:B978),1))))</f>
        <v/>
      </c>
      <c r="B978" s="31"/>
      <c r="C978" s="31"/>
      <c r="D978" s="31"/>
      <c r="E978" s="31"/>
      <c r="F978" s="32"/>
      <c r="G978" s="33"/>
      <c r="H978" s="33"/>
      <c r="I978" s="20" t="str">
        <f t="shared" si="229"/>
        <v/>
      </c>
      <c r="J978" s="21" t="str">
        <f>IFERROR(VLOOKUP(BR978,Pricing!$D$3:$E$58,2,FALSE),"")</f>
        <v/>
      </c>
      <c r="K978" s="32"/>
      <c r="L978" s="32"/>
      <c r="M978" s="32"/>
      <c r="N978" s="36" t="str" cm="1">
        <f t="array" ref="N978">IFERROR(_xlfn.IFS((AND(K978="SI",M978="$")),J978*0.2,AND(K978="SI",M978="%"),20),"")</f>
        <v/>
      </c>
      <c r="O978" s="29" t="str">
        <f t="shared" si="230"/>
        <v/>
      </c>
      <c r="P978" s="21" t="str">
        <f t="shared" si="231"/>
        <v/>
      </c>
      <c r="Q978" s="21" t="str">
        <f t="shared" si="232"/>
        <v/>
      </c>
      <c r="R978" s="21" t="str">
        <f t="shared" si="233"/>
        <v/>
      </c>
      <c r="S978" s="39"/>
      <c r="T978" s="43" t="str">
        <f t="shared" si="241"/>
        <v/>
      </c>
      <c r="U978" s="49" t="str">
        <f t="shared" si="242"/>
        <v/>
      </c>
      <c r="V978" s="48" t="str">
        <f t="shared" si="243"/>
        <v/>
      </c>
      <c r="W978" s="48" t="str">
        <f t="shared" si="234"/>
        <v/>
      </c>
      <c r="X978" s="50" t="str">
        <f>IF(W978="","",SUMIF($B$4:$B$1002,B978,$W$4:$W$1000))</f>
        <v/>
      </c>
      <c r="Y978" s="43" t="str">
        <f t="shared" si="235"/>
        <v/>
      </c>
      <c r="Z978" s="49" t="str">
        <f t="shared" si="236"/>
        <v/>
      </c>
      <c r="AA978" s="48" t="str">
        <f t="shared" si="237"/>
        <v/>
      </c>
      <c r="AB978" s="49" t="str">
        <f t="shared" si="238"/>
        <v/>
      </c>
      <c r="AC978" s="50" t="str">
        <f>IF(AB978="","",SUMIF($B$4:$B$1002,B978,$AB$4:$AB$1000))</f>
        <v/>
      </c>
      <c r="AD978" s="69"/>
      <c r="AE978" s="56"/>
      <c r="AF978" s="52"/>
      <c r="AG978" s="51"/>
      <c r="AH978" s="70"/>
      <c r="AI978" s="58"/>
      <c r="AJ978" s="55"/>
      <c r="AK978" s="51"/>
      <c r="AL978" s="69"/>
      <c r="AM978" s="56"/>
      <c r="AN978" s="52"/>
      <c r="AO978" s="51"/>
      <c r="AP978" s="70"/>
      <c r="AQ978" s="58"/>
      <c r="AR978" s="55"/>
      <c r="AS978" s="51"/>
      <c r="AT978" s="69"/>
      <c r="AU978" s="56"/>
      <c r="AV978" s="52"/>
      <c r="AW978" s="51"/>
      <c r="BR978" s="34" t="str">
        <f>IF(E978="","",CONCATENATE(E978," ",F978," noches"))</f>
        <v/>
      </c>
      <c r="BS978" s="28" t="str">
        <f t="shared" ca="1" si="239"/>
        <v/>
      </c>
      <c r="BT978" s="28" t="str">
        <f t="shared" ca="1" si="240"/>
        <v/>
      </c>
    </row>
    <row r="979" spans="1:72" x14ac:dyDescent="0.2">
      <c r="A979" s="18" t="str" cm="1">
        <f t="array" aca="1" ref="A979" ca="1">IF(B979="","","Grupo N˚"&amp;SUMPRODUCT(($B$4:B979&lt;&gt;"")*($B$4:B979&lt;&gt;OFFSET($B$4,-1,0,ROWS($B$4:B979),1))))</f>
        <v/>
      </c>
      <c r="B979" s="31"/>
      <c r="C979" s="31"/>
      <c r="D979" s="31"/>
      <c r="E979" s="31"/>
      <c r="F979" s="32"/>
      <c r="G979" s="33"/>
      <c r="H979" s="33"/>
      <c r="I979" s="20" t="str">
        <f t="shared" si="229"/>
        <v/>
      </c>
      <c r="J979" s="21" t="str">
        <f>IFERROR(VLOOKUP(BR979,Pricing!$D$3:$E$58,2,FALSE),"")</f>
        <v/>
      </c>
      <c r="K979" s="32"/>
      <c r="L979" s="32"/>
      <c r="M979" s="32"/>
      <c r="N979" s="36" t="str" cm="1">
        <f t="array" ref="N979">IFERROR(_xlfn.IFS((AND(K979="SI",M979="$")),J979*0.2,AND(K979="SI",M979="%"),20),"")</f>
        <v/>
      </c>
      <c r="O979" s="29" t="str">
        <f t="shared" si="230"/>
        <v/>
      </c>
      <c r="P979" s="21" t="str">
        <f t="shared" si="231"/>
        <v/>
      </c>
      <c r="Q979" s="21" t="str">
        <f t="shared" si="232"/>
        <v/>
      </c>
      <c r="R979" s="21" t="str">
        <f t="shared" si="233"/>
        <v/>
      </c>
      <c r="S979" s="39"/>
      <c r="T979" s="43" t="str">
        <f t="shared" si="241"/>
        <v/>
      </c>
      <c r="U979" s="49" t="str">
        <f t="shared" si="242"/>
        <v/>
      </c>
      <c r="V979" s="48" t="str">
        <f t="shared" si="243"/>
        <v/>
      </c>
      <c r="W979" s="48" t="str">
        <f t="shared" si="234"/>
        <v/>
      </c>
      <c r="X979" s="50" t="str">
        <f>IF(W979="","",SUMIF($B$4:$B$1002,B979,$W$4:$W$1000))</f>
        <v/>
      </c>
      <c r="Y979" s="43" t="str">
        <f t="shared" si="235"/>
        <v/>
      </c>
      <c r="Z979" s="49" t="str">
        <f t="shared" si="236"/>
        <v/>
      </c>
      <c r="AA979" s="48" t="str">
        <f t="shared" si="237"/>
        <v/>
      </c>
      <c r="AB979" s="49" t="str">
        <f t="shared" si="238"/>
        <v/>
      </c>
      <c r="AC979" s="50" t="str">
        <f>IF(AB979="","",SUMIF($B$4:$B$1002,B979,$AB$4:$AB$1000))</f>
        <v/>
      </c>
      <c r="AD979" s="69"/>
      <c r="AE979" s="56"/>
      <c r="AF979" s="52"/>
      <c r="AG979" s="51"/>
      <c r="AH979" s="70"/>
      <c r="AI979" s="58"/>
      <c r="AJ979" s="55"/>
      <c r="AK979" s="51"/>
      <c r="AL979" s="69"/>
      <c r="AM979" s="56"/>
      <c r="AN979" s="52"/>
      <c r="AO979" s="51"/>
      <c r="AP979" s="70"/>
      <c r="AQ979" s="58"/>
      <c r="AR979" s="55"/>
      <c r="AS979" s="51"/>
      <c r="AT979" s="69"/>
      <c r="AU979" s="56"/>
      <c r="AV979" s="52"/>
      <c r="AW979" s="51"/>
      <c r="BR979" s="34" t="str">
        <f>IF(E979="","",CONCATENATE(E979," ",F979," noches"))</f>
        <v/>
      </c>
      <c r="BS979" s="28" t="str">
        <f t="shared" ca="1" si="239"/>
        <v/>
      </c>
      <c r="BT979" s="28" t="str">
        <f t="shared" ca="1" si="240"/>
        <v/>
      </c>
    </row>
    <row r="980" spans="1:72" x14ac:dyDescent="0.2">
      <c r="A980" s="18" t="str" cm="1">
        <f t="array" aca="1" ref="A980" ca="1">IF(B980="","","Grupo N˚"&amp;SUMPRODUCT(($B$4:B980&lt;&gt;"")*($B$4:B980&lt;&gt;OFFSET($B$4,-1,0,ROWS($B$4:B980),1))))</f>
        <v/>
      </c>
      <c r="B980" s="31"/>
      <c r="C980" s="31"/>
      <c r="D980" s="31"/>
      <c r="E980" s="31"/>
      <c r="F980" s="32"/>
      <c r="G980" s="33"/>
      <c r="H980" s="33"/>
      <c r="I980" s="20" t="str">
        <f t="shared" si="229"/>
        <v/>
      </c>
      <c r="J980" s="21" t="str">
        <f>IFERROR(VLOOKUP(BR980,Pricing!$D$3:$E$58,2,FALSE),"")</f>
        <v/>
      </c>
      <c r="K980" s="32"/>
      <c r="L980" s="32"/>
      <c r="M980" s="32"/>
      <c r="N980" s="36" t="str" cm="1">
        <f t="array" ref="N980">IFERROR(_xlfn.IFS((AND(K980="SI",M980="$")),J980*0.2,AND(K980="SI",M980="%"),20),"")</f>
        <v/>
      </c>
      <c r="O980" s="29" t="str">
        <f t="shared" si="230"/>
        <v/>
      </c>
      <c r="P980" s="21" t="str">
        <f t="shared" si="231"/>
        <v/>
      </c>
      <c r="Q980" s="21" t="str">
        <f t="shared" si="232"/>
        <v/>
      </c>
      <c r="R980" s="21" t="str">
        <f t="shared" si="233"/>
        <v/>
      </c>
      <c r="S980" s="39"/>
      <c r="T980" s="43" t="str">
        <f t="shared" si="241"/>
        <v/>
      </c>
      <c r="U980" s="49" t="str">
        <f t="shared" si="242"/>
        <v/>
      </c>
      <c r="V980" s="48" t="str">
        <f t="shared" si="243"/>
        <v/>
      </c>
      <c r="W980" s="48" t="str">
        <f t="shared" si="234"/>
        <v/>
      </c>
      <c r="X980" s="50" t="str">
        <f>IF(W980="","",SUMIF($B$4:$B$1002,B980,$W$4:$W$1000))</f>
        <v/>
      </c>
      <c r="Y980" s="43" t="str">
        <f t="shared" si="235"/>
        <v/>
      </c>
      <c r="Z980" s="49" t="str">
        <f t="shared" si="236"/>
        <v/>
      </c>
      <c r="AA980" s="48" t="str">
        <f t="shared" si="237"/>
        <v/>
      </c>
      <c r="AB980" s="49" t="str">
        <f t="shared" si="238"/>
        <v/>
      </c>
      <c r="AC980" s="50" t="str">
        <f>IF(AB980="","",SUMIF($B$4:$B$1002,B980,$AB$4:$AB$1000))</f>
        <v/>
      </c>
      <c r="AD980" s="69"/>
      <c r="AE980" s="56"/>
      <c r="AF980" s="52"/>
      <c r="AG980" s="51"/>
      <c r="AH980" s="70"/>
      <c r="AI980" s="58"/>
      <c r="AJ980" s="55"/>
      <c r="AK980" s="51"/>
      <c r="AL980" s="69"/>
      <c r="AM980" s="56"/>
      <c r="AN980" s="52"/>
      <c r="AO980" s="51"/>
      <c r="AP980" s="70"/>
      <c r="AQ980" s="58"/>
      <c r="AR980" s="55"/>
      <c r="AS980" s="51"/>
      <c r="AT980" s="69"/>
      <c r="AU980" s="56"/>
      <c r="AV980" s="52"/>
      <c r="AW980" s="51"/>
      <c r="BR980" s="34" t="str">
        <f>IF(E980="","",CONCATENATE(E980," ",F980," noches"))</f>
        <v/>
      </c>
      <c r="BS980" s="28" t="str">
        <f t="shared" ca="1" si="239"/>
        <v/>
      </c>
      <c r="BT980" s="28" t="str">
        <f t="shared" ca="1" si="240"/>
        <v/>
      </c>
    </row>
    <row r="981" spans="1:72" x14ac:dyDescent="0.2">
      <c r="A981" s="18" t="str" cm="1">
        <f t="array" aca="1" ref="A981" ca="1">IF(B981="","","Grupo N˚"&amp;SUMPRODUCT(($B$4:B981&lt;&gt;"")*($B$4:B981&lt;&gt;OFFSET($B$4,-1,0,ROWS($B$4:B981),1))))</f>
        <v/>
      </c>
      <c r="B981" s="31"/>
      <c r="C981" s="31"/>
      <c r="D981" s="31"/>
      <c r="E981" s="31"/>
      <c r="F981" s="32"/>
      <c r="G981" s="33"/>
      <c r="H981" s="33"/>
      <c r="I981" s="20" t="str">
        <f t="shared" si="229"/>
        <v/>
      </c>
      <c r="J981" s="21" t="str">
        <f>IFERROR(VLOOKUP(BR981,Pricing!$D$3:$E$58,2,FALSE),"")</f>
        <v/>
      </c>
      <c r="K981" s="32"/>
      <c r="L981" s="32"/>
      <c r="M981" s="32"/>
      <c r="N981" s="36" t="str" cm="1">
        <f t="array" ref="N981">IFERROR(_xlfn.IFS((AND(K981="SI",M981="$")),J981*0.2,AND(K981="SI",M981="%"),20),"")</f>
        <v/>
      </c>
      <c r="O981" s="29" t="str">
        <f t="shared" si="230"/>
        <v/>
      </c>
      <c r="P981" s="21" t="str">
        <f t="shared" si="231"/>
        <v/>
      </c>
      <c r="Q981" s="21" t="str">
        <f t="shared" si="232"/>
        <v/>
      </c>
      <c r="R981" s="21" t="str">
        <f t="shared" si="233"/>
        <v/>
      </c>
      <c r="S981" s="39"/>
      <c r="T981" s="43" t="str">
        <f t="shared" si="241"/>
        <v/>
      </c>
      <c r="U981" s="49" t="str">
        <f t="shared" si="242"/>
        <v/>
      </c>
      <c r="V981" s="48" t="str">
        <f t="shared" si="243"/>
        <v/>
      </c>
      <c r="W981" s="48" t="str">
        <f t="shared" si="234"/>
        <v/>
      </c>
      <c r="X981" s="50" t="str">
        <f>IF(W981="","",SUMIF($B$4:$B$1002,B981,$W$4:$W$1000))</f>
        <v/>
      </c>
      <c r="Y981" s="43" t="str">
        <f t="shared" si="235"/>
        <v/>
      </c>
      <c r="Z981" s="49" t="str">
        <f t="shared" si="236"/>
        <v/>
      </c>
      <c r="AA981" s="48" t="str">
        <f t="shared" si="237"/>
        <v/>
      </c>
      <c r="AB981" s="49" t="str">
        <f t="shared" si="238"/>
        <v/>
      </c>
      <c r="AC981" s="50" t="str">
        <f>IF(AB981="","",SUMIF($B$4:$B$1002,B981,$AB$4:$AB$1000))</f>
        <v/>
      </c>
      <c r="AD981" s="69"/>
      <c r="AE981" s="56"/>
      <c r="AF981" s="52"/>
      <c r="AG981" s="51"/>
      <c r="AH981" s="70"/>
      <c r="AI981" s="58"/>
      <c r="AJ981" s="55"/>
      <c r="AK981" s="51"/>
      <c r="AL981" s="69"/>
      <c r="AM981" s="56"/>
      <c r="AN981" s="52"/>
      <c r="AO981" s="51"/>
      <c r="AP981" s="70"/>
      <c r="AQ981" s="58"/>
      <c r="AR981" s="55"/>
      <c r="AS981" s="51"/>
      <c r="AT981" s="69"/>
      <c r="AU981" s="56"/>
      <c r="AV981" s="52"/>
      <c r="AW981" s="51"/>
      <c r="BR981" s="34" t="str">
        <f>IF(E981="","",CONCATENATE(E981," ",F981," noches"))</f>
        <v/>
      </c>
      <c r="BS981" s="28" t="str">
        <f t="shared" ca="1" si="239"/>
        <v/>
      </c>
      <c r="BT981" s="28" t="str">
        <f t="shared" ca="1" si="240"/>
        <v/>
      </c>
    </row>
    <row r="982" spans="1:72" x14ac:dyDescent="0.2">
      <c r="A982" s="18" t="str" cm="1">
        <f t="array" aca="1" ref="A982" ca="1">IF(B982="","","Grupo N˚"&amp;SUMPRODUCT(($B$4:B982&lt;&gt;"")*($B$4:B982&lt;&gt;OFFSET($B$4,-1,0,ROWS($B$4:B982),1))))</f>
        <v/>
      </c>
      <c r="B982" s="31"/>
      <c r="C982" s="31"/>
      <c r="D982" s="31"/>
      <c r="E982" s="31"/>
      <c r="F982" s="32"/>
      <c r="G982" s="33"/>
      <c r="H982" s="33"/>
      <c r="I982" s="20" t="str">
        <f t="shared" si="229"/>
        <v/>
      </c>
      <c r="J982" s="21" t="str">
        <f>IFERROR(VLOOKUP(BR982,Pricing!$D$3:$E$58,2,FALSE),"")</f>
        <v/>
      </c>
      <c r="K982" s="32"/>
      <c r="L982" s="32"/>
      <c r="M982" s="32"/>
      <c r="N982" s="36" t="str" cm="1">
        <f t="array" ref="N982">IFERROR(_xlfn.IFS((AND(K982="SI",M982="$")),J982*0.2,AND(K982="SI",M982="%"),20),"")</f>
        <v/>
      </c>
      <c r="O982" s="29" t="str">
        <f t="shared" si="230"/>
        <v/>
      </c>
      <c r="P982" s="21" t="str">
        <f t="shared" si="231"/>
        <v/>
      </c>
      <c r="Q982" s="21" t="str">
        <f t="shared" si="232"/>
        <v/>
      </c>
      <c r="R982" s="21" t="str">
        <f t="shared" si="233"/>
        <v/>
      </c>
      <c r="S982" s="39"/>
      <c r="T982" s="43" t="str">
        <f t="shared" si="241"/>
        <v/>
      </c>
      <c r="U982" s="49" t="str">
        <f t="shared" si="242"/>
        <v/>
      </c>
      <c r="V982" s="48" t="str">
        <f t="shared" si="243"/>
        <v/>
      </c>
      <c r="W982" s="48" t="str">
        <f t="shared" si="234"/>
        <v/>
      </c>
      <c r="X982" s="50" t="str">
        <f>IF(W982="","",SUMIF($B$4:$B$1002,B982,$W$4:$W$1000))</f>
        <v/>
      </c>
      <c r="Y982" s="43" t="str">
        <f t="shared" si="235"/>
        <v/>
      </c>
      <c r="Z982" s="49" t="str">
        <f t="shared" si="236"/>
        <v/>
      </c>
      <c r="AA982" s="48" t="str">
        <f t="shared" si="237"/>
        <v/>
      </c>
      <c r="AB982" s="49" t="str">
        <f t="shared" si="238"/>
        <v/>
      </c>
      <c r="AC982" s="50" t="str">
        <f>IF(AB982="","",SUMIF($B$4:$B$1002,B982,$AB$4:$AB$1000))</f>
        <v/>
      </c>
      <c r="AD982" s="69"/>
      <c r="AE982" s="56"/>
      <c r="AF982" s="52"/>
      <c r="AG982" s="51"/>
      <c r="AH982" s="70"/>
      <c r="AI982" s="58"/>
      <c r="AJ982" s="55"/>
      <c r="AK982" s="51"/>
      <c r="AL982" s="69"/>
      <c r="AM982" s="56"/>
      <c r="AN982" s="52"/>
      <c r="AO982" s="51"/>
      <c r="AP982" s="70"/>
      <c r="AQ982" s="58"/>
      <c r="AR982" s="55"/>
      <c r="AS982" s="51"/>
      <c r="AT982" s="69"/>
      <c r="AU982" s="56"/>
      <c r="AV982" s="52"/>
      <c r="AW982" s="51"/>
      <c r="BR982" s="34" t="str">
        <f>IF(E982="","",CONCATENATE(E982," ",F982," noches"))</f>
        <v/>
      </c>
      <c r="BS982" s="28" t="str">
        <f t="shared" ca="1" si="239"/>
        <v/>
      </c>
      <c r="BT982" s="28" t="str">
        <f t="shared" ca="1" si="240"/>
        <v/>
      </c>
    </row>
    <row r="983" spans="1:72" x14ac:dyDescent="0.2">
      <c r="A983" s="18" t="str" cm="1">
        <f t="array" aca="1" ref="A983" ca="1">IF(B983="","","Grupo N˚"&amp;SUMPRODUCT(($B$4:B983&lt;&gt;"")*($B$4:B983&lt;&gt;OFFSET($B$4,-1,0,ROWS($B$4:B983),1))))</f>
        <v/>
      </c>
      <c r="B983" s="31"/>
      <c r="C983" s="31"/>
      <c r="D983" s="31"/>
      <c r="E983" s="31"/>
      <c r="F983" s="32"/>
      <c r="G983" s="33"/>
      <c r="H983" s="33"/>
      <c r="I983" s="20" t="str">
        <f t="shared" si="229"/>
        <v/>
      </c>
      <c r="J983" s="21" t="str">
        <f>IFERROR(VLOOKUP(BR983,Pricing!$D$3:$E$58,2,FALSE),"")</f>
        <v/>
      </c>
      <c r="K983" s="32"/>
      <c r="L983" s="32"/>
      <c r="M983" s="32"/>
      <c r="N983" s="36" t="str" cm="1">
        <f t="array" ref="N983">IFERROR(_xlfn.IFS((AND(K983="SI",M983="$")),J983*0.2,AND(K983="SI",M983="%"),20),"")</f>
        <v/>
      </c>
      <c r="O983" s="29" t="str">
        <f t="shared" si="230"/>
        <v/>
      </c>
      <c r="P983" s="21" t="str">
        <f t="shared" si="231"/>
        <v/>
      </c>
      <c r="Q983" s="21" t="str">
        <f t="shared" si="232"/>
        <v/>
      </c>
      <c r="R983" s="21" t="str">
        <f t="shared" si="233"/>
        <v/>
      </c>
      <c r="S983" s="39"/>
      <c r="T983" s="43" t="str">
        <f t="shared" si="241"/>
        <v/>
      </c>
      <c r="U983" s="49" t="str">
        <f t="shared" si="242"/>
        <v/>
      </c>
      <c r="V983" s="48" t="str">
        <f t="shared" si="243"/>
        <v/>
      </c>
      <c r="W983" s="48" t="str">
        <f t="shared" si="234"/>
        <v/>
      </c>
      <c r="X983" s="50" t="str">
        <f>IF(W983="","",SUMIF($B$4:$B$1002,B983,$W$4:$W$1000))</f>
        <v/>
      </c>
      <c r="Y983" s="43" t="str">
        <f t="shared" si="235"/>
        <v/>
      </c>
      <c r="Z983" s="49" t="str">
        <f t="shared" si="236"/>
        <v/>
      </c>
      <c r="AA983" s="48" t="str">
        <f t="shared" si="237"/>
        <v/>
      </c>
      <c r="AB983" s="49" t="str">
        <f t="shared" si="238"/>
        <v/>
      </c>
      <c r="AC983" s="50" t="str">
        <f>IF(AB983="","",SUMIF($B$4:$B$1002,B983,$AB$4:$AB$1000))</f>
        <v/>
      </c>
      <c r="AD983" s="69"/>
      <c r="AE983" s="56"/>
      <c r="AF983" s="52"/>
      <c r="AG983" s="51"/>
      <c r="AH983" s="70"/>
      <c r="AI983" s="58"/>
      <c r="AJ983" s="55"/>
      <c r="AK983" s="51"/>
      <c r="AL983" s="69"/>
      <c r="AM983" s="56"/>
      <c r="AN983" s="52"/>
      <c r="AO983" s="51"/>
      <c r="AP983" s="70"/>
      <c r="AQ983" s="58"/>
      <c r="AR983" s="55"/>
      <c r="AS983" s="51"/>
      <c r="AT983" s="69"/>
      <c r="AU983" s="56"/>
      <c r="AV983" s="52"/>
      <c r="AW983" s="51"/>
      <c r="BR983" s="34" t="str">
        <f>IF(E983="","",CONCATENATE(E983," ",F983," noches"))</f>
        <v/>
      </c>
      <c r="BS983" s="28" t="str">
        <f t="shared" ca="1" si="239"/>
        <v/>
      </c>
      <c r="BT983" s="28" t="str">
        <f t="shared" ca="1" si="240"/>
        <v/>
      </c>
    </row>
    <row r="984" spans="1:72" x14ac:dyDescent="0.2">
      <c r="A984" s="18" t="str" cm="1">
        <f t="array" aca="1" ref="A984" ca="1">IF(B984="","","Grupo N˚"&amp;SUMPRODUCT(($B$4:B984&lt;&gt;"")*($B$4:B984&lt;&gt;OFFSET($B$4,-1,0,ROWS($B$4:B984),1))))</f>
        <v/>
      </c>
      <c r="B984" s="31"/>
      <c r="C984" s="31"/>
      <c r="D984" s="31"/>
      <c r="E984" s="31"/>
      <c r="F984" s="32"/>
      <c r="G984" s="33"/>
      <c r="H984" s="33"/>
      <c r="I984" s="20" t="str">
        <f t="shared" si="229"/>
        <v/>
      </c>
      <c r="J984" s="21" t="str">
        <f>IFERROR(VLOOKUP(BR984,Pricing!$D$3:$E$58,2,FALSE),"")</f>
        <v/>
      </c>
      <c r="K984" s="32"/>
      <c r="L984" s="32"/>
      <c r="M984" s="32"/>
      <c r="N984" s="36" t="str" cm="1">
        <f t="array" ref="N984">IFERROR(_xlfn.IFS((AND(K984="SI",M984="$")),J984*0.2,AND(K984="SI",M984="%"),20),"")</f>
        <v/>
      </c>
      <c r="O984" s="29" t="str">
        <f t="shared" si="230"/>
        <v/>
      </c>
      <c r="P984" s="21" t="str">
        <f t="shared" si="231"/>
        <v/>
      </c>
      <c r="Q984" s="21" t="str">
        <f t="shared" si="232"/>
        <v/>
      </c>
      <c r="R984" s="21" t="str">
        <f t="shared" si="233"/>
        <v/>
      </c>
      <c r="S984" s="39"/>
      <c r="T984" s="43" t="str">
        <f t="shared" si="241"/>
        <v/>
      </c>
      <c r="U984" s="49" t="str">
        <f t="shared" si="242"/>
        <v/>
      </c>
      <c r="V984" s="48" t="str">
        <f t="shared" si="243"/>
        <v/>
      </c>
      <c r="W984" s="48" t="str">
        <f t="shared" si="234"/>
        <v/>
      </c>
      <c r="X984" s="50" t="str">
        <f>IF(W984="","",SUMIF($B$4:$B$1002,B984,$W$4:$W$1000))</f>
        <v/>
      </c>
      <c r="Y984" s="43" t="str">
        <f t="shared" si="235"/>
        <v/>
      </c>
      <c r="Z984" s="49" t="str">
        <f t="shared" si="236"/>
        <v/>
      </c>
      <c r="AA984" s="48" t="str">
        <f t="shared" si="237"/>
        <v/>
      </c>
      <c r="AB984" s="49" t="str">
        <f t="shared" si="238"/>
        <v/>
      </c>
      <c r="AC984" s="50" t="str">
        <f>IF(AB984="","",SUMIF($B$4:$B$1002,B984,$AB$4:$AB$1000))</f>
        <v/>
      </c>
      <c r="AD984" s="69"/>
      <c r="AE984" s="56"/>
      <c r="AF984" s="52"/>
      <c r="AG984" s="51"/>
      <c r="AH984" s="70"/>
      <c r="AI984" s="58"/>
      <c r="AJ984" s="55"/>
      <c r="AK984" s="51"/>
      <c r="AL984" s="69"/>
      <c r="AM984" s="56"/>
      <c r="AN984" s="52"/>
      <c r="AO984" s="51"/>
      <c r="AP984" s="70"/>
      <c r="AQ984" s="58"/>
      <c r="AR984" s="55"/>
      <c r="AS984" s="51"/>
      <c r="AT984" s="69"/>
      <c r="AU984" s="56"/>
      <c r="AV984" s="52"/>
      <c r="AW984" s="51"/>
      <c r="BR984" s="34" t="str">
        <f>IF(E984="","",CONCATENATE(E984," ",F984," noches"))</f>
        <v/>
      </c>
      <c r="BS984" s="28" t="str">
        <f t="shared" ca="1" si="239"/>
        <v/>
      </c>
      <c r="BT984" s="28" t="str">
        <f t="shared" ca="1" si="240"/>
        <v/>
      </c>
    </row>
    <row r="985" spans="1:72" x14ac:dyDescent="0.2">
      <c r="A985" s="18" t="str" cm="1">
        <f t="array" aca="1" ref="A985" ca="1">IF(B985="","","Grupo N˚"&amp;SUMPRODUCT(($B$4:B985&lt;&gt;"")*($B$4:B985&lt;&gt;OFFSET($B$4,-1,0,ROWS($B$4:B985),1))))</f>
        <v/>
      </c>
      <c r="B985" s="31"/>
      <c r="C985" s="31"/>
      <c r="D985" s="31"/>
      <c r="E985" s="31"/>
      <c r="F985" s="32"/>
      <c r="G985" s="33"/>
      <c r="H985" s="33"/>
      <c r="I985" s="20" t="str">
        <f t="shared" si="229"/>
        <v/>
      </c>
      <c r="J985" s="21" t="str">
        <f>IFERROR(VLOOKUP(BR985,Pricing!$D$3:$E$58,2,FALSE),"")</f>
        <v/>
      </c>
      <c r="K985" s="32"/>
      <c r="L985" s="32"/>
      <c r="M985" s="32"/>
      <c r="N985" s="36" t="str" cm="1">
        <f t="array" ref="N985">IFERROR(_xlfn.IFS((AND(K985="SI",M985="$")),J985*0.2,AND(K985="SI",M985="%"),20),"")</f>
        <v/>
      </c>
      <c r="O985" s="29" t="str">
        <f t="shared" si="230"/>
        <v/>
      </c>
      <c r="P985" s="21" t="str">
        <f t="shared" si="231"/>
        <v/>
      </c>
      <c r="Q985" s="21" t="str">
        <f t="shared" si="232"/>
        <v/>
      </c>
      <c r="R985" s="21" t="str">
        <f t="shared" si="233"/>
        <v/>
      </c>
      <c r="S985" s="39"/>
      <c r="T985" s="43" t="str">
        <f t="shared" si="241"/>
        <v/>
      </c>
      <c r="U985" s="49" t="str">
        <f t="shared" si="242"/>
        <v/>
      </c>
      <c r="V985" s="48" t="str">
        <f t="shared" si="243"/>
        <v/>
      </c>
      <c r="W985" s="48" t="str">
        <f t="shared" si="234"/>
        <v/>
      </c>
      <c r="X985" s="50" t="str">
        <f>IF(W985="","",SUMIF($B$4:$B$1002,B985,$W$4:$W$1000))</f>
        <v/>
      </c>
      <c r="Y985" s="43" t="str">
        <f t="shared" si="235"/>
        <v/>
      </c>
      <c r="Z985" s="49" t="str">
        <f t="shared" si="236"/>
        <v/>
      </c>
      <c r="AA985" s="48" t="str">
        <f t="shared" si="237"/>
        <v/>
      </c>
      <c r="AB985" s="49" t="str">
        <f t="shared" si="238"/>
        <v/>
      </c>
      <c r="AC985" s="50" t="str">
        <f>IF(AB985="","",SUMIF($B$4:$B$1002,B985,$AB$4:$AB$1000))</f>
        <v/>
      </c>
      <c r="AD985" s="69"/>
      <c r="AE985" s="56"/>
      <c r="AF985" s="52"/>
      <c r="AG985" s="51"/>
      <c r="AH985" s="70"/>
      <c r="AI985" s="58"/>
      <c r="AJ985" s="55"/>
      <c r="AK985" s="51"/>
      <c r="AL985" s="69"/>
      <c r="AM985" s="56"/>
      <c r="AN985" s="52"/>
      <c r="AO985" s="51"/>
      <c r="AP985" s="70"/>
      <c r="AQ985" s="58"/>
      <c r="AR985" s="55"/>
      <c r="AS985" s="51"/>
      <c r="AT985" s="69"/>
      <c r="AU985" s="56"/>
      <c r="AV985" s="52"/>
      <c r="AW985" s="51"/>
      <c r="BR985" s="34" t="str">
        <f>IF(E985="","",CONCATENATE(E985," ",F985," noches"))</f>
        <v/>
      </c>
      <c r="BS985" s="28" t="str">
        <f t="shared" ca="1" si="239"/>
        <v/>
      </c>
      <c r="BT985" s="28" t="str">
        <f t="shared" ca="1" si="240"/>
        <v/>
      </c>
    </row>
    <row r="986" spans="1:72" x14ac:dyDescent="0.2">
      <c r="A986" s="18" t="str" cm="1">
        <f t="array" aca="1" ref="A986" ca="1">IF(B986="","","Grupo N˚"&amp;SUMPRODUCT(($B$4:B986&lt;&gt;"")*($B$4:B986&lt;&gt;OFFSET($B$4,-1,0,ROWS($B$4:B986),1))))</f>
        <v/>
      </c>
      <c r="B986" s="31"/>
      <c r="C986" s="31"/>
      <c r="D986" s="31"/>
      <c r="E986" s="31"/>
      <c r="F986" s="32"/>
      <c r="G986" s="33"/>
      <c r="H986" s="33"/>
      <c r="I986" s="20" t="str">
        <f t="shared" si="229"/>
        <v/>
      </c>
      <c r="J986" s="21" t="str">
        <f>IFERROR(VLOOKUP(BR986,Pricing!$D$3:$E$58,2,FALSE),"")</f>
        <v/>
      </c>
      <c r="K986" s="32"/>
      <c r="L986" s="32"/>
      <c r="M986" s="32"/>
      <c r="N986" s="36" t="str" cm="1">
        <f t="array" ref="N986">IFERROR(_xlfn.IFS((AND(K986="SI",M986="$")),J986*0.2,AND(K986="SI",M986="%"),20),"")</f>
        <v/>
      </c>
      <c r="O986" s="29" t="str">
        <f t="shared" si="230"/>
        <v/>
      </c>
      <c r="P986" s="21" t="str">
        <f t="shared" si="231"/>
        <v/>
      </c>
      <c r="Q986" s="21" t="str">
        <f t="shared" si="232"/>
        <v/>
      </c>
      <c r="R986" s="21" t="str">
        <f t="shared" si="233"/>
        <v/>
      </c>
      <c r="S986" s="39"/>
      <c r="T986" s="43" t="str">
        <f t="shared" si="241"/>
        <v/>
      </c>
      <c r="U986" s="49" t="str">
        <f t="shared" si="242"/>
        <v/>
      </c>
      <c r="V986" s="48" t="str">
        <f t="shared" si="243"/>
        <v/>
      </c>
      <c r="W986" s="48" t="str">
        <f t="shared" si="234"/>
        <v/>
      </c>
      <c r="X986" s="50" t="str">
        <f>IF(W986="","",SUMIF($B$4:$B$1002,B986,$W$4:$W$1000))</f>
        <v/>
      </c>
      <c r="Y986" s="43" t="str">
        <f t="shared" si="235"/>
        <v/>
      </c>
      <c r="Z986" s="49" t="str">
        <f t="shared" si="236"/>
        <v/>
      </c>
      <c r="AA986" s="48" t="str">
        <f t="shared" si="237"/>
        <v/>
      </c>
      <c r="AB986" s="49" t="str">
        <f t="shared" si="238"/>
        <v/>
      </c>
      <c r="AC986" s="50" t="str">
        <f>IF(AB986="","",SUMIF($B$4:$B$1002,B986,$AB$4:$AB$1000))</f>
        <v/>
      </c>
      <c r="AD986" s="69"/>
      <c r="AE986" s="56"/>
      <c r="AF986" s="52"/>
      <c r="AG986" s="51"/>
      <c r="AH986" s="70"/>
      <c r="AI986" s="58"/>
      <c r="AJ986" s="55"/>
      <c r="AK986" s="51"/>
      <c r="AL986" s="69"/>
      <c r="AM986" s="56"/>
      <c r="AN986" s="52"/>
      <c r="AO986" s="51"/>
      <c r="AP986" s="70"/>
      <c r="AQ986" s="58"/>
      <c r="AR986" s="55"/>
      <c r="AS986" s="51"/>
      <c r="AT986" s="69"/>
      <c r="AU986" s="56"/>
      <c r="AV986" s="52"/>
      <c r="AW986" s="51"/>
      <c r="BR986" s="34" t="str">
        <f>IF(E986="","",CONCATENATE(E986," ",F986," noches"))</f>
        <v/>
      </c>
      <c r="BS986" s="28" t="str">
        <f t="shared" ca="1" si="239"/>
        <v/>
      </c>
      <c r="BT986" s="28" t="str">
        <f t="shared" ca="1" si="240"/>
        <v/>
      </c>
    </row>
    <row r="987" spans="1:72" x14ac:dyDescent="0.2">
      <c r="A987" s="18" t="str" cm="1">
        <f t="array" aca="1" ref="A987" ca="1">IF(B987="","","Grupo N˚"&amp;SUMPRODUCT(($B$4:B987&lt;&gt;"")*($B$4:B987&lt;&gt;OFFSET($B$4,-1,0,ROWS($B$4:B987),1))))</f>
        <v/>
      </c>
      <c r="B987" s="31"/>
      <c r="C987" s="31"/>
      <c r="D987" s="31"/>
      <c r="E987" s="31"/>
      <c r="F987" s="32"/>
      <c r="G987" s="33"/>
      <c r="H987" s="33"/>
      <c r="I987" s="20" t="str">
        <f t="shared" si="229"/>
        <v/>
      </c>
      <c r="J987" s="21" t="str">
        <f>IFERROR(VLOOKUP(BR987,Pricing!$D$3:$E$58,2,FALSE),"")</f>
        <v/>
      </c>
      <c r="K987" s="32"/>
      <c r="L987" s="32"/>
      <c r="M987" s="32"/>
      <c r="N987" s="36" t="str" cm="1">
        <f t="array" ref="N987">IFERROR(_xlfn.IFS((AND(K987="SI",M987="$")),J987*0.2,AND(K987="SI",M987="%"),20),"")</f>
        <v/>
      </c>
      <c r="O987" s="29" t="str">
        <f t="shared" si="230"/>
        <v/>
      </c>
      <c r="P987" s="21" t="str">
        <f t="shared" si="231"/>
        <v/>
      </c>
      <c r="Q987" s="21" t="str">
        <f t="shared" si="232"/>
        <v/>
      </c>
      <c r="R987" s="21" t="str">
        <f t="shared" si="233"/>
        <v/>
      </c>
      <c r="S987" s="39"/>
      <c r="T987" s="43" t="str">
        <f t="shared" si="241"/>
        <v/>
      </c>
      <c r="U987" s="49" t="str">
        <f t="shared" si="242"/>
        <v/>
      </c>
      <c r="V987" s="48" t="str">
        <f t="shared" si="243"/>
        <v/>
      </c>
      <c r="W987" s="48" t="str">
        <f t="shared" si="234"/>
        <v/>
      </c>
      <c r="X987" s="50" t="str">
        <f>IF(W987="","",SUMIF($B$4:$B$1002,B987,$W$4:$W$1000))</f>
        <v/>
      </c>
      <c r="Y987" s="43" t="str">
        <f t="shared" si="235"/>
        <v/>
      </c>
      <c r="Z987" s="49" t="str">
        <f t="shared" si="236"/>
        <v/>
      </c>
      <c r="AA987" s="48" t="str">
        <f t="shared" si="237"/>
        <v/>
      </c>
      <c r="AB987" s="49" t="str">
        <f t="shared" si="238"/>
        <v/>
      </c>
      <c r="AC987" s="50" t="str">
        <f>IF(AB987="","",SUMIF($B$4:$B$1002,B987,$AB$4:$AB$1000))</f>
        <v/>
      </c>
      <c r="AD987" s="69"/>
      <c r="AE987" s="56"/>
      <c r="AF987" s="52"/>
      <c r="AG987" s="51"/>
      <c r="AH987" s="70"/>
      <c r="AI987" s="58"/>
      <c r="AJ987" s="55"/>
      <c r="AK987" s="51"/>
      <c r="AL987" s="69"/>
      <c r="AM987" s="56"/>
      <c r="AN987" s="52"/>
      <c r="AO987" s="51"/>
      <c r="AP987" s="70"/>
      <c r="AQ987" s="58"/>
      <c r="AR987" s="55"/>
      <c r="AS987" s="51"/>
      <c r="AT987" s="69"/>
      <c r="AU987" s="56"/>
      <c r="AV987" s="52"/>
      <c r="AW987" s="51"/>
      <c r="BR987" s="34" t="str">
        <f>IF(E987="","",CONCATENATE(E987," ",F987," noches"))</f>
        <v/>
      </c>
      <c r="BS987" s="28" t="str">
        <f t="shared" ca="1" si="239"/>
        <v/>
      </c>
      <c r="BT987" s="28" t="str">
        <f t="shared" ca="1" si="240"/>
        <v/>
      </c>
    </row>
    <row r="988" spans="1:72" x14ac:dyDescent="0.2">
      <c r="A988" s="18" t="str" cm="1">
        <f t="array" aca="1" ref="A988" ca="1">IF(B988="","","Grupo N˚"&amp;SUMPRODUCT(($B$4:B988&lt;&gt;"")*($B$4:B988&lt;&gt;OFFSET($B$4,-1,0,ROWS($B$4:B988),1))))</f>
        <v/>
      </c>
      <c r="B988" s="31"/>
      <c r="C988" s="31"/>
      <c r="D988" s="31"/>
      <c r="E988" s="31"/>
      <c r="F988" s="32"/>
      <c r="G988" s="33"/>
      <c r="H988" s="33"/>
      <c r="I988" s="20" t="str">
        <f t="shared" si="229"/>
        <v/>
      </c>
      <c r="J988" s="21" t="str">
        <f>IFERROR(VLOOKUP(BR988,Pricing!$D$3:$E$58,2,FALSE),"")</f>
        <v/>
      </c>
      <c r="K988" s="32"/>
      <c r="L988" s="32"/>
      <c r="M988" s="32"/>
      <c r="N988" s="36" t="str" cm="1">
        <f t="array" ref="N988">IFERROR(_xlfn.IFS((AND(K988="SI",M988="$")),J988*0.2,AND(K988="SI",M988="%"),20),"")</f>
        <v/>
      </c>
      <c r="O988" s="29" t="str">
        <f t="shared" si="230"/>
        <v/>
      </c>
      <c r="P988" s="21" t="str">
        <f t="shared" si="231"/>
        <v/>
      </c>
      <c r="Q988" s="21" t="str">
        <f t="shared" si="232"/>
        <v/>
      </c>
      <c r="R988" s="21" t="str">
        <f t="shared" si="233"/>
        <v/>
      </c>
      <c r="S988" s="39"/>
      <c r="T988" s="43" t="str">
        <f t="shared" si="241"/>
        <v/>
      </c>
      <c r="U988" s="49" t="str">
        <f t="shared" si="242"/>
        <v/>
      </c>
      <c r="V988" s="48" t="str">
        <f t="shared" si="243"/>
        <v/>
      </c>
      <c r="W988" s="48" t="str">
        <f t="shared" si="234"/>
        <v/>
      </c>
      <c r="X988" s="50" t="str">
        <f>IF(W988="","",SUMIF($B$4:$B$1002,B988,$W$4:$W$1000))</f>
        <v/>
      </c>
      <c r="Y988" s="43" t="str">
        <f t="shared" si="235"/>
        <v/>
      </c>
      <c r="Z988" s="49" t="str">
        <f t="shared" si="236"/>
        <v/>
      </c>
      <c r="AA988" s="48" t="str">
        <f t="shared" si="237"/>
        <v/>
      </c>
      <c r="AB988" s="49" t="str">
        <f t="shared" si="238"/>
        <v/>
      </c>
      <c r="AC988" s="50" t="str">
        <f>IF(AB988="","",SUMIF($B$4:$B$1002,B988,$AB$4:$AB$1000))</f>
        <v/>
      </c>
      <c r="AD988" s="69"/>
      <c r="AE988" s="56"/>
      <c r="AF988" s="52"/>
      <c r="AG988" s="51"/>
      <c r="AH988" s="70"/>
      <c r="AI988" s="58"/>
      <c r="AJ988" s="55"/>
      <c r="AK988" s="51"/>
      <c r="AL988" s="69"/>
      <c r="AM988" s="56"/>
      <c r="AN988" s="52"/>
      <c r="AO988" s="51"/>
      <c r="AP988" s="70"/>
      <c r="AQ988" s="58"/>
      <c r="AR988" s="55"/>
      <c r="AS988" s="51"/>
      <c r="AT988" s="69"/>
      <c r="AU988" s="56"/>
      <c r="AV988" s="52"/>
      <c r="AW988" s="51"/>
      <c r="BR988" s="34" t="str">
        <f>IF(E988="","",CONCATENATE(E988," ",F988," noches"))</f>
        <v/>
      </c>
      <c r="BS988" s="28" t="str">
        <f t="shared" ca="1" si="239"/>
        <v/>
      </c>
      <c r="BT988" s="28" t="str">
        <f t="shared" ca="1" si="240"/>
        <v/>
      </c>
    </row>
    <row r="989" spans="1:72" x14ac:dyDescent="0.2">
      <c r="A989" s="18" t="str" cm="1">
        <f t="array" aca="1" ref="A989" ca="1">IF(B989="","","Grupo N˚"&amp;SUMPRODUCT(($B$4:B989&lt;&gt;"")*($B$4:B989&lt;&gt;OFFSET($B$4,-1,0,ROWS($B$4:B989),1))))</f>
        <v/>
      </c>
      <c r="B989" s="31"/>
      <c r="C989" s="31"/>
      <c r="D989" s="31"/>
      <c r="E989" s="31"/>
      <c r="F989" s="32"/>
      <c r="G989" s="33"/>
      <c r="H989" s="33"/>
      <c r="I989" s="20" t="str">
        <f t="shared" si="229"/>
        <v/>
      </c>
      <c r="J989" s="21" t="str">
        <f>IFERROR(VLOOKUP(BR989,Pricing!$D$3:$E$58,2,FALSE),"")</f>
        <v/>
      </c>
      <c r="K989" s="32"/>
      <c r="L989" s="32"/>
      <c r="M989" s="32"/>
      <c r="N989" s="36" t="str" cm="1">
        <f t="array" ref="N989">IFERROR(_xlfn.IFS((AND(K989="SI",M989="$")),J989*0.2,AND(K989="SI",M989="%"),20),"")</f>
        <v/>
      </c>
      <c r="O989" s="29" t="str">
        <f t="shared" si="230"/>
        <v/>
      </c>
      <c r="P989" s="21" t="str">
        <f t="shared" si="231"/>
        <v/>
      </c>
      <c r="Q989" s="21" t="str">
        <f t="shared" si="232"/>
        <v/>
      </c>
      <c r="R989" s="21" t="str">
        <f t="shared" si="233"/>
        <v/>
      </c>
      <c r="S989" s="39"/>
      <c r="T989" s="43" t="str">
        <f t="shared" si="241"/>
        <v/>
      </c>
      <c r="U989" s="49" t="str">
        <f t="shared" si="242"/>
        <v/>
      </c>
      <c r="V989" s="48" t="str">
        <f t="shared" si="243"/>
        <v/>
      </c>
      <c r="W989" s="48" t="str">
        <f t="shared" si="234"/>
        <v/>
      </c>
      <c r="X989" s="50" t="str">
        <f>IF(W989="","",SUMIF($B$4:$B$1002,B989,$W$4:$W$1000))</f>
        <v/>
      </c>
      <c r="Y989" s="43" t="str">
        <f t="shared" si="235"/>
        <v/>
      </c>
      <c r="Z989" s="49" t="str">
        <f t="shared" si="236"/>
        <v/>
      </c>
      <c r="AA989" s="48" t="str">
        <f t="shared" si="237"/>
        <v/>
      </c>
      <c r="AB989" s="49" t="str">
        <f t="shared" si="238"/>
        <v/>
      </c>
      <c r="AC989" s="50" t="str">
        <f>IF(AB989="","",SUMIF($B$4:$B$1002,B989,$AB$4:$AB$1000))</f>
        <v/>
      </c>
      <c r="AD989" s="69"/>
      <c r="AE989" s="56"/>
      <c r="AF989" s="52"/>
      <c r="AG989" s="51"/>
      <c r="AH989" s="70"/>
      <c r="AI989" s="58"/>
      <c r="AJ989" s="55"/>
      <c r="AK989" s="51"/>
      <c r="AL989" s="69"/>
      <c r="AM989" s="56"/>
      <c r="AN989" s="52"/>
      <c r="AO989" s="51"/>
      <c r="AP989" s="70"/>
      <c r="AQ989" s="58"/>
      <c r="AR989" s="55"/>
      <c r="AS989" s="51"/>
      <c r="AT989" s="69"/>
      <c r="AU989" s="56"/>
      <c r="AV989" s="52"/>
      <c r="AW989" s="51"/>
      <c r="BR989" s="34" t="str">
        <f>IF(E989="","",CONCATENATE(E989," ",F989," noches"))</f>
        <v/>
      </c>
      <c r="BS989" s="28" t="str">
        <f t="shared" ca="1" si="239"/>
        <v/>
      </c>
      <c r="BT989" s="28" t="str">
        <f t="shared" ca="1" si="240"/>
        <v/>
      </c>
    </row>
    <row r="990" spans="1:72" x14ac:dyDescent="0.2">
      <c r="A990" s="18" t="str" cm="1">
        <f t="array" aca="1" ref="A990" ca="1">IF(B990="","","Grupo N˚"&amp;SUMPRODUCT(($B$4:B990&lt;&gt;"")*($B$4:B990&lt;&gt;OFFSET($B$4,-1,0,ROWS($B$4:B990),1))))</f>
        <v/>
      </c>
      <c r="B990" s="31"/>
      <c r="C990" s="31"/>
      <c r="D990" s="31"/>
      <c r="E990" s="31"/>
      <c r="F990" s="32"/>
      <c r="G990" s="33"/>
      <c r="H990" s="33"/>
      <c r="I990" s="20" t="str">
        <f t="shared" si="229"/>
        <v/>
      </c>
      <c r="J990" s="21" t="str">
        <f>IFERROR(VLOOKUP(BR990,Pricing!$D$3:$E$58,2,FALSE),"")</f>
        <v/>
      </c>
      <c r="K990" s="32"/>
      <c r="L990" s="32"/>
      <c r="M990" s="32"/>
      <c r="N990" s="36" t="str" cm="1">
        <f t="array" ref="N990">IFERROR(_xlfn.IFS((AND(K990="SI",M990="$")),J990*0.2,AND(K990="SI",M990="%"),20),"")</f>
        <v/>
      </c>
      <c r="O990" s="29" t="str">
        <f t="shared" si="230"/>
        <v/>
      </c>
      <c r="P990" s="21" t="str">
        <f t="shared" si="231"/>
        <v/>
      </c>
      <c r="Q990" s="21" t="str">
        <f t="shared" si="232"/>
        <v/>
      </c>
      <c r="R990" s="21" t="str">
        <f t="shared" si="233"/>
        <v/>
      </c>
      <c r="S990" s="39"/>
      <c r="T990" s="43" t="str">
        <f t="shared" si="241"/>
        <v/>
      </c>
      <c r="U990" s="49" t="str">
        <f t="shared" si="242"/>
        <v/>
      </c>
      <c r="V990" s="48" t="str">
        <f t="shared" si="243"/>
        <v/>
      </c>
      <c r="W990" s="48" t="str">
        <f t="shared" si="234"/>
        <v/>
      </c>
      <c r="X990" s="50" t="str">
        <f>IF(W990="","",SUMIF($B$4:$B$1002,B990,$W$4:$W$1000))</f>
        <v/>
      </c>
      <c r="Y990" s="43" t="str">
        <f t="shared" si="235"/>
        <v/>
      </c>
      <c r="Z990" s="49" t="str">
        <f t="shared" si="236"/>
        <v/>
      </c>
      <c r="AA990" s="48" t="str">
        <f t="shared" si="237"/>
        <v/>
      </c>
      <c r="AB990" s="49" t="str">
        <f t="shared" si="238"/>
        <v/>
      </c>
      <c r="AC990" s="50" t="str">
        <f>IF(AB990="","",SUMIF($B$4:$B$1002,B990,$AB$4:$AB$1000))</f>
        <v/>
      </c>
      <c r="AD990" s="69"/>
      <c r="AE990" s="56"/>
      <c r="AF990" s="52"/>
      <c r="AG990" s="51"/>
      <c r="AH990" s="70"/>
      <c r="AI990" s="58"/>
      <c r="AJ990" s="55"/>
      <c r="AK990" s="51"/>
      <c r="AL990" s="69"/>
      <c r="AM990" s="56"/>
      <c r="AN990" s="52"/>
      <c r="AO990" s="51"/>
      <c r="AP990" s="70"/>
      <c r="AQ990" s="58"/>
      <c r="AR990" s="55"/>
      <c r="AS990" s="51"/>
      <c r="AT990" s="69"/>
      <c r="AU990" s="56"/>
      <c r="AV990" s="52"/>
      <c r="AW990" s="51"/>
      <c r="BR990" s="34" t="str">
        <f>IF(E990="","",CONCATENATE(E990," ",F990," noches"))</f>
        <v/>
      </c>
      <c r="BS990" s="28" t="str">
        <f t="shared" ca="1" si="239"/>
        <v/>
      </c>
      <c r="BT990" s="28" t="str">
        <f t="shared" ca="1" si="240"/>
        <v/>
      </c>
    </row>
    <row r="991" spans="1:72" x14ac:dyDescent="0.2">
      <c r="A991" s="18" t="str" cm="1">
        <f t="array" aca="1" ref="A991" ca="1">IF(B991="","","Grupo N˚"&amp;SUMPRODUCT(($B$4:B991&lt;&gt;"")*($B$4:B991&lt;&gt;OFFSET($B$4,-1,0,ROWS($B$4:B991),1))))</f>
        <v/>
      </c>
      <c r="B991" s="31"/>
      <c r="C991" s="31"/>
      <c r="D991" s="31"/>
      <c r="E991" s="31"/>
      <c r="F991" s="32"/>
      <c r="G991" s="33"/>
      <c r="H991" s="33"/>
      <c r="I991" s="20" t="str">
        <f t="shared" si="229"/>
        <v/>
      </c>
      <c r="J991" s="21" t="str">
        <f>IFERROR(VLOOKUP(BR991,Pricing!$D$3:$E$58,2,FALSE),"")</f>
        <v/>
      </c>
      <c r="K991" s="32"/>
      <c r="L991" s="32"/>
      <c r="M991" s="32"/>
      <c r="N991" s="36" t="str" cm="1">
        <f t="array" ref="N991">IFERROR(_xlfn.IFS((AND(K991="SI",M991="$")),J991*0.2,AND(K991="SI",M991="%"),20),"")</f>
        <v/>
      </c>
      <c r="O991" s="29" t="str">
        <f t="shared" si="230"/>
        <v/>
      </c>
      <c r="P991" s="21" t="str">
        <f t="shared" si="231"/>
        <v/>
      </c>
      <c r="Q991" s="21" t="str">
        <f t="shared" si="232"/>
        <v/>
      </c>
      <c r="R991" s="21" t="str">
        <f t="shared" si="233"/>
        <v/>
      </c>
      <c r="S991" s="39"/>
      <c r="T991" s="43" t="str">
        <f t="shared" si="241"/>
        <v/>
      </c>
      <c r="U991" s="49" t="str">
        <f t="shared" si="242"/>
        <v/>
      </c>
      <c r="V991" s="48" t="str">
        <f t="shared" si="243"/>
        <v/>
      </c>
      <c r="W991" s="48" t="str">
        <f t="shared" si="234"/>
        <v/>
      </c>
      <c r="X991" s="50" t="str">
        <f>IF(W991="","",SUMIF($B$4:$B$1002,B991,$W$4:$W$1000))</f>
        <v/>
      </c>
      <c r="Y991" s="43" t="str">
        <f t="shared" si="235"/>
        <v/>
      </c>
      <c r="Z991" s="49" t="str">
        <f t="shared" si="236"/>
        <v/>
      </c>
      <c r="AA991" s="48" t="str">
        <f t="shared" si="237"/>
        <v/>
      </c>
      <c r="AB991" s="49" t="str">
        <f t="shared" si="238"/>
        <v/>
      </c>
      <c r="AC991" s="50" t="str">
        <f>IF(AB991="","",SUMIF($B$4:$B$1002,B991,$AB$4:$AB$1000))</f>
        <v/>
      </c>
      <c r="AD991" s="69"/>
      <c r="AE991" s="56"/>
      <c r="AF991" s="52"/>
      <c r="AG991" s="51"/>
      <c r="AH991" s="70"/>
      <c r="AI991" s="58"/>
      <c r="AJ991" s="55"/>
      <c r="AK991" s="51"/>
      <c r="AL991" s="69"/>
      <c r="AM991" s="56"/>
      <c r="AN991" s="52"/>
      <c r="AO991" s="51"/>
      <c r="AP991" s="70"/>
      <c r="AQ991" s="58"/>
      <c r="AR991" s="55"/>
      <c r="AS991" s="51"/>
      <c r="AT991" s="69"/>
      <c r="AU991" s="56"/>
      <c r="AV991" s="52"/>
      <c r="AW991" s="51"/>
      <c r="BR991" s="34" t="str">
        <f>IF(E991="","",CONCATENATE(E991," ",F991," noches"))</f>
        <v/>
      </c>
      <c r="BS991" s="28" t="str">
        <f t="shared" ca="1" si="239"/>
        <v/>
      </c>
      <c r="BT991" s="28" t="str">
        <f t="shared" ca="1" si="240"/>
        <v/>
      </c>
    </row>
    <row r="992" spans="1:72" x14ac:dyDescent="0.2">
      <c r="A992" s="18" t="str" cm="1">
        <f t="array" aca="1" ref="A992" ca="1">IF(B992="","","Grupo N˚"&amp;SUMPRODUCT(($B$4:B992&lt;&gt;"")*($B$4:B992&lt;&gt;OFFSET($B$4,-1,0,ROWS($B$4:B992),1))))</f>
        <v/>
      </c>
      <c r="B992" s="31"/>
      <c r="C992" s="31"/>
      <c r="D992" s="31"/>
      <c r="E992" s="31"/>
      <c r="F992" s="32"/>
      <c r="G992" s="33"/>
      <c r="H992" s="33"/>
      <c r="I992" s="20" t="str">
        <f t="shared" si="229"/>
        <v/>
      </c>
      <c r="J992" s="21" t="str">
        <f>IFERROR(VLOOKUP(BR992,Pricing!$D$3:$E$58,2,FALSE),"")</f>
        <v/>
      </c>
      <c r="K992" s="32"/>
      <c r="L992" s="32"/>
      <c r="M992" s="32"/>
      <c r="N992" s="36" t="str" cm="1">
        <f t="array" ref="N992">IFERROR(_xlfn.IFS((AND(K992="SI",M992="$")),J992*0.2,AND(K992="SI",M992="%"),20),"")</f>
        <v/>
      </c>
      <c r="O992" s="29" t="str">
        <f t="shared" si="230"/>
        <v/>
      </c>
      <c r="P992" s="21" t="str">
        <f t="shared" si="231"/>
        <v/>
      </c>
      <c r="Q992" s="21" t="str">
        <f t="shared" si="232"/>
        <v/>
      </c>
      <c r="R992" s="21" t="str">
        <f t="shared" si="233"/>
        <v/>
      </c>
      <c r="S992" s="39"/>
      <c r="T992" s="43" t="str">
        <f t="shared" si="241"/>
        <v/>
      </c>
      <c r="U992" s="49" t="str">
        <f t="shared" si="242"/>
        <v/>
      </c>
      <c r="V992" s="48" t="str">
        <f t="shared" si="243"/>
        <v/>
      </c>
      <c r="W992" s="48" t="str">
        <f t="shared" si="234"/>
        <v/>
      </c>
      <c r="X992" s="50" t="str">
        <f>IF(W992="","",SUMIF($B$4:$B$1002,B992,$W$4:$W$1000))</f>
        <v/>
      </c>
      <c r="Y992" s="43" t="str">
        <f t="shared" si="235"/>
        <v/>
      </c>
      <c r="Z992" s="49" t="str">
        <f t="shared" si="236"/>
        <v/>
      </c>
      <c r="AA992" s="48" t="str">
        <f t="shared" si="237"/>
        <v/>
      </c>
      <c r="AB992" s="49" t="str">
        <f t="shared" si="238"/>
        <v/>
      </c>
      <c r="AC992" s="50" t="str">
        <f>IF(AB992="","",SUMIF($B$4:$B$1002,B992,$AB$4:$AB$1000))</f>
        <v/>
      </c>
      <c r="AD992" s="69"/>
      <c r="AE992" s="56"/>
      <c r="AF992" s="52"/>
      <c r="AG992" s="51"/>
      <c r="AH992" s="70"/>
      <c r="AI992" s="58"/>
      <c r="AJ992" s="55"/>
      <c r="AK992" s="51"/>
      <c r="AL992" s="69"/>
      <c r="AM992" s="56"/>
      <c r="AN992" s="52"/>
      <c r="AO992" s="51"/>
      <c r="AP992" s="70"/>
      <c r="AQ992" s="58"/>
      <c r="AR992" s="55"/>
      <c r="AS992" s="51"/>
      <c r="AT992" s="69"/>
      <c r="AU992" s="56"/>
      <c r="AV992" s="52"/>
      <c r="AW992" s="51"/>
      <c r="BR992" s="34" t="str">
        <f>IF(E992="","",CONCATENATE(E992," ",F992," noches"))</f>
        <v/>
      </c>
      <c r="BS992" s="28" t="str">
        <f t="shared" ca="1" si="239"/>
        <v/>
      </c>
      <c r="BT992" s="28" t="str">
        <f t="shared" ca="1" si="240"/>
        <v/>
      </c>
    </row>
    <row r="993" spans="1:72" x14ac:dyDescent="0.2">
      <c r="A993" s="18" t="str" cm="1">
        <f t="array" aca="1" ref="A993" ca="1">IF(B993="","","Grupo N˚"&amp;SUMPRODUCT(($B$4:B993&lt;&gt;"")*($B$4:B993&lt;&gt;OFFSET($B$4,-1,0,ROWS($B$4:B993),1))))</f>
        <v/>
      </c>
      <c r="B993" s="31"/>
      <c r="C993" s="31"/>
      <c r="D993" s="31"/>
      <c r="E993" s="31"/>
      <c r="F993" s="32"/>
      <c r="G993" s="33"/>
      <c r="H993" s="33"/>
      <c r="I993" s="20" t="str">
        <f t="shared" si="229"/>
        <v/>
      </c>
      <c r="J993" s="21" t="str">
        <f>IFERROR(VLOOKUP(BR993,Pricing!$D$3:$E$58,2,FALSE),"")</f>
        <v/>
      </c>
      <c r="K993" s="32"/>
      <c r="L993" s="32"/>
      <c r="M993" s="32"/>
      <c r="N993" s="36" t="str" cm="1">
        <f t="array" ref="N993">IFERROR(_xlfn.IFS((AND(K993="SI",M993="$")),J993*0.2,AND(K993="SI",M993="%"),20),"")</f>
        <v/>
      </c>
      <c r="O993" s="29" t="str">
        <f t="shared" si="230"/>
        <v/>
      </c>
      <c r="P993" s="21" t="str">
        <f t="shared" si="231"/>
        <v/>
      </c>
      <c r="Q993" s="21" t="str">
        <f t="shared" si="232"/>
        <v/>
      </c>
      <c r="R993" s="21" t="str">
        <f t="shared" si="233"/>
        <v/>
      </c>
      <c r="S993" s="39"/>
      <c r="T993" s="43" t="str">
        <f t="shared" si="241"/>
        <v/>
      </c>
      <c r="U993" s="49" t="str">
        <f t="shared" si="242"/>
        <v/>
      </c>
      <c r="V993" s="48" t="str">
        <f t="shared" si="243"/>
        <v/>
      </c>
      <c r="W993" s="48" t="str">
        <f t="shared" si="234"/>
        <v/>
      </c>
      <c r="X993" s="50" t="str">
        <f>IF(W993="","",SUMIF($B$4:$B$1002,B993,$W$4:$W$1000))</f>
        <v/>
      </c>
      <c r="Y993" s="43" t="str">
        <f t="shared" si="235"/>
        <v/>
      </c>
      <c r="Z993" s="49" t="str">
        <f t="shared" si="236"/>
        <v/>
      </c>
      <c r="AA993" s="48" t="str">
        <f t="shared" si="237"/>
        <v/>
      </c>
      <c r="AB993" s="49" t="str">
        <f t="shared" si="238"/>
        <v/>
      </c>
      <c r="AC993" s="50" t="str">
        <f>IF(AB993="","",SUMIF($B$4:$B$1002,B993,$AB$4:$AB$1000))</f>
        <v/>
      </c>
      <c r="AD993" s="69"/>
      <c r="AE993" s="56"/>
      <c r="AF993" s="52"/>
      <c r="AG993" s="51"/>
      <c r="AH993" s="70"/>
      <c r="AI993" s="58"/>
      <c r="AJ993" s="55"/>
      <c r="AK993" s="51"/>
      <c r="AL993" s="69"/>
      <c r="AM993" s="56"/>
      <c r="AN993" s="52"/>
      <c r="AO993" s="51"/>
      <c r="AP993" s="70"/>
      <c r="AQ993" s="58"/>
      <c r="AR993" s="55"/>
      <c r="AS993" s="51"/>
      <c r="AT993" s="69"/>
      <c r="AU993" s="56"/>
      <c r="AV993" s="52"/>
      <c r="AW993" s="51"/>
      <c r="BR993" s="34" t="str">
        <f>IF(E993="","",CONCATENATE(E993," ",F993," noches"))</f>
        <v/>
      </c>
      <c r="BS993" s="28" t="str">
        <f t="shared" ca="1" si="239"/>
        <v/>
      </c>
      <c r="BT993" s="28" t="str">
        <f t="shared" ca="1" si="240"/>
        <v/>
      </c>
    </row>
    <row r="994" spans="1:72" x14ac:dyDescent="0.2">
      <c r="A994" s="18" t="str" cm="1">
        <f t="array" aca="1" ref="A994" ca="1">IF(B994="","","Grupo N˚"&amp;SUMPRODUCT(($B$4:B994&lt;&gt;"")*($B$4:B994&lt;&gt;OFFSET($B$4,-1,0,ROWS($B$4:B994),1))))</f>
        <v/>
      </c>
      <c r="B994" s="31"/>
      <c r="C994" s="31"/>
      <c r="D994" s="31"/>
      <c r="E994" s="31"/>
      <c r="F994" s="32"/>
      <c r="G994" s="33"/>
      <c r="H994" s="33"/>
      <c r="I994" s="20" t="str">
        <f t="shared" si="229"/>
        <v/>
      </c>
      <c r="J994" s="21" t="str">
        <f>IFERROR(VLOOKUP(BR994,Pricing!$D$3:$E$58,2,FALSE),"")</f>
        <v/>
      </c>
      <c r="K994" s="32"/>
      <c r="L994" s="32"/>
      <c r="M994" s="32"/>
      <c r="N994" s="36" t="str" cm="1">
        <f t="array" ref="N994">IFERROR(_xlfn.IFS((AND(K994="SI",M994="$")),J994*0.2,AND(K994="SI",M994="%"),20),"")</f>
        <v/>
      </c>
      <c r="O994" s="29" t="str">
        <f t="shared" si="230"/>
        <v/>
      </c>
      <c r="P994" s="21" t="str">
        <f t="shared" si="231"/>
        <v/>
      </c>
      <c r="Q994" s="21" t="str">
        <f t="shared" si="232"/>
        <v/>
      </c>
      <c r="R994" s="21" t="str">
        <f t="shared" si="233"/>
        <v/>
      </c>
      <c r="S994" s="39"/>
      <c r="T994" s="43" t="str">
        <f t="shared" si="241"/>
        <v/>
      </c>
      <c r="U994" s="49" t="str">
        <f t="shared" si="242"/>
        <v/>
      </c>
      <c r="V994" s="48" t="str">
        <f t="shared" si="243"/>
        <v/>
      </c>
      <c r="W994" s="48" t="str">
        <f t="shared" si="234"/>
        <v/>
      </c>
      <c r="X994" s="50" t="str">
        <f>IF(W994="","",SUMIF($B$4:$B$1002,B994,$W$4:$W$1000))</f>
        <v/>
      </c>
      <c r="Y994" s="43" t="str">
        <f t="shared" si="235"/>
        <v/>
      </c>
      <c r="Z994" s="49" t="str">
        <f t="shared" si="236"/>
        <v/>
      </c>
      <c r="AA994" s="48" t="str">
        <f t="shared" si="237"/>
        <v/>
      </c>
      <c r="AB994" s="49" t="str">
        <f t="shared" si="238"/>
        <v/>
      </c>
      <c r="AC994" s="50" t="str">
        <f>IF(AB994="","",SUMIF($B$4:$B$1002,B994,$AB$4:$AB$1000))</f>
        <v/>
      </c>
      <c r="AD994" s="69"/>
      <c r="AE994" s="56"/>
      <c r="AF994" s="52"/>
      <c r="AG994" s="51"/>
      <c r="AH994" s="70"/>
      <c r="AI994" s="58"/>
      <c r="AJ994" s="55"/>
      <c r="AK994" s="51"/>
      <c r="AL994" s="69"/>
      <c r="AM994" s="56"/>
      <c r="AN994" s="52"/>
      <c r="AO994" s="51"/>
      <c r="AP994" s="70"/>
      <c r="AQ994" s="58"/>
      <c r="AR994" s="55"/>
      <c r="AS994" s="51"/>
      <c r="AT994" s="69"/>
      <c r="AU994" s="56"/>
      <c r="AV994" s="52"/>
      <c r="AW994" s="51"/>
      <c r="BR994" s="34" t="str">
        <f>IF(E994="","",CONCATENATE(E994," ",F994," noches"))</f>
        <v/>
      </c>
      <c r="BS994" s="28" t="str">
        <f t="shared" ca="1" si="239"/>
        <v/>
      </c>
      <c r="BT994" s="28" t="str">
        <f t="shared" ca="1" si="240"/>
        <v/>
      </c>
    </row>
    <row r="995" spans="1:72" x14ac:dyDescent="0.2">
      <c r="A995" s="18" t="str" cm="1">
        <f t="array" aca="1" ref="A995" ca="1">IF(B995="","","Grupo N˚"&amp;SUMPRODUCT(($B$4:B995&lt;&gt;"")*($B$4:B995&lt;&gt;OFFSET($B$4,-1,0,ROWS($B$4:B995),1))))</f>
        <v/>
      </c>
      <c r="B995" s="31"/>
      <c r="C995" s="31"/>
      <c r="D995" s="31"/>
      <c r="E995" s="31"/>
      <c r="F995" s="32"/>
      <c r="G995" s="33"/>
      <c r="H995" s="33"/>
      <c r="I995" s="20" t="str">
        <f t="shared" si="229"/>
        <v/>
      </c>
      <c r="J995" s="21" t="str">
        <f>IFERROR(VLOOKUP(BR995,Pricing!$D$3:$E$58,2,FALSE),"")</f>
        <v/>
      </c>
      <c r="K995" s="32"/>
      <c r="L995" s="32"/>
      <c r="M995" s="32"/>
      <c r="N995" s="36" t="str" cm="1">
        <f t="array" ref="N995">IFERROR(_xlfn.IFS((AND(K995="SI",M995="$")),J995*0.2,AND(K995="SI",M995="%"),20),"")</f>
        <v/>
      </c>
      <c r="O995" s="29" t="str">
        <f t="shared" si="230"/>
        <v/>
      </c>
      <c r="P995" s="21" t="str">
        <f t="shared" si="231"/>
        <v/>
      </c>
      <c r="Q995" s="21" t="str">
        <f t="shared" si="232"/>
        <v/>
      </c>
      <c r="R995" s="21" t="str">
        <f t="shared" si="233"/>
        <v/>
      </c>
      <c r="S995" s="39"/>
      <c r="T995" s="43" t="str">
        <f t="shared" si="241"/>
        <v/>
      </c>
      <c r="U995" s="49" t="str">
        <f t="shared" si="242"/>
        <v/>
      </c>
      <c r="V995" s="48" t="str">
        <f t="shared" si="243"/>
        <v/>
      </c>
      <c r="W995" s="48" t="str">
        <f t="shared" si="234"/>
        <v/>
      </c>
      <c r="X995" s="50" t="str">
        <f>IF(W995="","",SUMIF($B$4:$B$1002,B995,$W$4:$W$1000))</f>
        <v/>
      </c>
      <c r="Y995" s="43" t="str">
        <f t="shared" si="235"/>
        <v/>
      </c>
      <c r="Z995" s="49" t="str">
        <f t="shared" si="236"/>
        <v/>
      </c>
      <c r="AA995" s="48" t="str">
        <f t="shared" si="237"/>
        <v/>
      </c>
      <c r="AB995" s="49" t="str">
        <f t="shared" si="238"/>
        <v/>
      </c>
      <c r="AC995" s="50" t="str">
        <f>IF(AB995="","",SUMIF($B$4:$B$1002,B995,$AB$4:$AB$1000))</f>
        <v/>
      </c>
      <c r="AD995" s="69"/>
      <c r="AE995" s="56"/>
      <c r="AF995" s="52"/>
      <c r="AG995" s="51"/>
      <c r="AH995" s="70"/>
      <c r="AI995" s="58"/>
      <c r="AJ995" s="55"/>
      <c r="AK995" s="51"/>
      <c r="AL995" s="69"/>
      <c r="AM995" s="56"/>
      <c r="AN995" s="52"/>
      <c r="AO995" s="51"/>
      <c r="AP995" s="70"/>
      <c r="AQ995" s="58"/>
      <c r="AR995" s="55"/>
      <c r="AS995" s="51"/>
      <c r="AT995" s="69"/>
      <c r="AU995" s="56"/>
      <c r="AV995" s="52"/>
      <c r="AW995" s="51"/>
      <c r="BR995" s="34" t="str">
        <f>IF(E995="","",CONCATENATE(E995," ",F995," noches"))</f>
        <v/>
      </c>
      <c r="BS995" s="28" t="str">
        <f t="shared" ca="1" si="239"/>
        <v/>
      </c>
      <c r="BT995" s="28" t="str">
        <f t="shared" ca="1" si="240"/>
        <v/>
      </c>
    </row>
    <row r="996" spans="1:72" x14ac:dyDescent="0.2">
      <c r="A996" s="18" t="str" cm="1">
        <f t="array" aca="1" ref="A996" ca="1">IF(B996="","","Grupo N˚"&amp;SUMPRODUCT(($B$4:B996&lt;&gt;"")*($B$4:B996&lt;&gt;OFFSET($B$4,-1,0,ROWS($B$4:B996),1))))</f>
        <v/>
      </c>
      <c r="B996" s="31"/>
      <c r="C996" s="31"/>
      <c r="D996" s="31"/>
      <c r="E996" s="31"/>
      <c r="F996" s="32"/>
      <c r="G996" s="33"/>
      <c r="H996" s="33"/>
      <c r="I996" s="20" t="str">
        <f t="shared" si="229"/>
        <v/>
      </c>
      <c r="J996" s="21" t="str">
        <f>IFERROR(VLOOKUP(BR996,Pricing!$D$3:$E$58,2,FALSE),"")</f>
        <v/>
      </c>
      <c r="K996" s="32"/>
      <c r="L996" s="32"/>
      <c r="M996" s="32"/>
      <c r="N996" s="36" t="str" cm="1">
        <f t="array" ref="N996">IFERROR(_xlfn.IFS((AND(K996="SI",M996="$")),J996*0.2,AND(K996="SI",M996="%"),20),"")</f>
        <v/>
      </c>
      <c r="O996" s="29" t="str">
        <f t="shared" si="230"/>
        <v/>
      </c>
      <c r="P996" s="21" t="str">
        <f t="shared" si="231"/>
        <v/>
      </c>
      <c r="Q996" s="21" t="str">
        <f t="shared" si="232"/>
        <v/>
      </c>
      <c r="R996" s="21" t="str">
        <f t="shared" si="233"/>
        <v/>
      </c>
      <c r="S996" s="39"/>
      <c r="T996" s="43" t="str">
        <f t="shared" si="241"/>
        <v/>
      </c>
      <c r="U996" s="49" t="str">
        <f t="shared" si="242"/>
        <v/>
      </c>
      <c r="V996" s="48" t="str">
        <f t="shared" si="243"/>
        <v/>
      </c>
      <c r="W996" s="48" t="str">
        <f t="shared" si="234"/>
        <v/>
      </c>
      <c r="X996" s="50" t="str">
        <f>IF(W996="","",SUMIF($B$4:$B$1002,B996,$W$4:$W$1000))</f>
        <v/>
      </c>
      <c r="Y996" s="43" t="str">
        <f t="shared" si="235"/>
        <v/>
      </c>
      <c r="Z996" s="49" t="str">
        <f t="shared" si="236"/>
        <v/>
      </c>
      <c r="AA996" s="48" t="str">
        <f t="shared" si="237"/>
        <v/>
      </c>
      <c r="AB996" s="49" t="str">
        <f t="shared" si="238"/>
        <v/>
      </c>
      <c r="AC996" s="50" t="str">
        <f>IF(AB996="","",SUMIF($B$4:$B$1002,B996,$AB$4:$AB$1000))</f>
        <v/>
      </c>
      <c r="AD996" s="69"/>
      <c r="AE996" s="56"/>
      <c r="AF996" s="52"/>
      <c r="AG996" s="51"/>
      <c r="AH996" s="70"/>
      <c r="AI996" s="58"/>
      <c r="AJ996" s="55"/>
      <c r="AK996" s="51"/>
      <c r="AL996" s="69"/>
      <c r="AM996" s="56"/>
      <c r="AN996" s="52"/>
      <c r="AO996" s="51"/>
      <c r="AP996" s="70"/>
      <c r="AQ996" s="58"/>
      <c r="AR996" s="55"/>
      <c r="AS996" s="51"/>
      <c r="AT996" s="69"/>
      <c r="AU996" s="56"/>
      <c r="AV996" s="52"/>
      <c r="AW996" s="51"/>
      <c r="BR996" s="34" t="str">
        <f>IF(E996="","",CONCATENATE(E996," ",F996," noches"))</f>
        <v/>
      </c>
      <c r="BS996" s="28" t="str">
        <f t="shared" ca="1" si="239"/>
        <v/>
      </c>
      <c r="BT996" s="28" t="str">
        <f t="shared" ca="1" si="240"/>
        <v/>
      </c>
    </row>
    <row r="997" spans="1:72" x14ac:dyDescent="0.2">
      <c r="A997" s="18" t="str" cm="1">
        <f t="array" aca="1" ref="A997" ca="1">IF(B997="","","Grupo N˚"&amp;SUMPRODUCT(($B$4:B997&lt;&gt;"")*($B$4:B997&lt;&gt;OFFSET($B$4,-1,0,ROWS($B$4:B997),1))))</f>
        <v/>
      </c>
      <c r="B997" s="31"/>
      <c r="C997" s="31"/>
      <c r="D997" s="31"/>
      <c r="E997" s="31"/>
      <c r="F997" s="32"/>
      <c r="G997" s="33"/>
      <c r="H997" s="33"/>
      <c r="I997" s="20" t="str">
        <f t="shared" si="229"/>
        <v/>
      </c>
      <c r="J997" s="21" t="str">
        <f>IFERROR(VLOOKUP(BR997,Pricing!$D$3:$E$58,2,FALSE),"")</f>
        <v/>
      </c>
      <c r="K997" s="32"/>
      <c r="L997" s="32"/>
      <c r="M997" s="32"/>
      <c r="N997" s="36" t="str" cm="1">
        <f t="array" ref="N997">IFERROR(_xlfn.IFS((AND(K997="SI",M997="$")),J997*0.2,AND(K997="SI",M997="%"),20),"")</f>
        <v/>
      </c>
      <c r="O997" s="29" t="str">
        <f t="shared" si="230"/>
        <v/>
      </c>
      <c r="P997" s="21" t="str">
        <f t="shared" si="231"/>
        <v/>
      </c>
      <c r="Q997" s="21" t="str">
        <f t="shared" si="232"/>
        <v/>
      </c>
      <c r="R997" s="21" t="str">
        <f t="shared" si="233"/>
        <v/>
      </c>
      <c r="S997" s="39"/>
      <c r="T997" s="43" t="str">
        <f t="shared" si="241"/>
        <v/>
      </c>
      <c r="U997" s="49" t="str">
        <f t="shared" si="242"/>
        <v/>
      </c>
      <c r="V997" s="48" t="str">
        <f t="shared" si="243"/>
        <v/>
      </c>
      <c r="W997" s="48" t="str">
        <f t="shared" si="234"/>
        <v/>
      </c>
      <c r="X997" s="50" t="str">
        <f>IF(W997="","",SUMIF($B$4:$B$1002,B997,$W$4:$W$1000))</f>
        <v/>
      </c>
      <c r="Y997" s="43" t="str">
        <f t="shared" si="235"/>
        <v/>
      </c>
      <c r="Z997" s="49" t="str">
        <f t="shared" si="236"/>
        <v/>
      </c>
      <c r="AA997" s="48" t="str">
        <f t="shared" si="237"/>
        <v/>
      </c>
      <c r="AB997" s="49" t="str">
        <f t="shared" si="238"/>
        <v/>
      </c>
      <c r="AC997" s="50" t="str">
        <f>IF(AB997="","",SUMIF($B$4:$B$1002,B997,$AB$4:$AB$1000))</f>
        <v/>
      </c>
      <c r="AD997" s="69"/>
      <c r="AE997" s="56"/>
      <c r="AF997" s="52"/>
      <c r="AG997" s="51"/>
      <c r="AH997" s="70"/>
      <c r="AI997" s="58"/>
      <c r="AJ997" s="55"/>
      <c r="AK997" s="51"/>
      <c r="AL997" s="69"/>
      <c r="AM997" s="56"/>
      <c r="AN997" s="52"/>
      <c r="AO997" s="51"/>
      <c r="AP997" s="70"/>
      <c r="AQ997" s="58"/>
      <c r="AR997" s="55"/>
      <c r="AS997" s="51"/>
      <c r="AT997" s="69"/>
      <c r="AU997" s="56"/>
      <c r="AV997" s="52"/>
      <c r="AW997" s="51"/>
      <c r="BR997" s="34" t="str">
        <f>IF(E997="","",CONCATENATE(E997," ",F997," noches"))</f>
        <v/>
      </c>
      <c r="BS997" s="28" t="str">
        <f t="shared" ca="1" si="239"/>
        <v/>
      </c>
      <c r="BT997" s="28" t="str">
        <f t="shared" ca="1" si="240"/>
        <v/>
      </c>
    </row>
    <row r="998" spans="1:72" x14ac:dyDescent="0.2">
      <c r="A998" s="18" t="str" cm="1">
        <f t="array" aca="1" ref="A998" ca="1">IF(B998="","","Grupo N˚"&amp;SUMPRODUCT(($B$4:B998&lt;&gt;"")*($B$4:B998&lt;&gt;OFFSET($B$4,-1,0,ROWS($B$4:B998),1))))</f>
        <v/>
      </c>
      <c r="B998" s="31"/>
      <c r="C998" s="31"/>
      <c r="D998" s="31"/>
      <c r="E998" s="31"/>
      <c r="F998" s="32"/>
      <c r="G998" s="33"/>
      <c r="H998" s="33"/>
      <c r="I998" s="20" t="str">
        <f t="shared" si="229"/>
        <v/>
      </c>
      <c r="J998" s="21" t="str">
        <f>IFERROR(VLOOKUP(BR998,Pricing!$D$3:$E$58,2,FALSE),"")</f>
        <v/>
      </c>
      <c r="K998" s="32"/>
      <c r="L998" s="32"/>
      <c r="M998" s="32"/>
      <c r="N998" s="36" t="str" cm="1">
        <f t="array" ref="N998">IFERROR(_xlfn.IFS((AND(K998="SI",M998="$")),J998*0.2,AND(K998="SI",M998="%"),20),"")</f>
        <v/>
      </c>
      <c r="O998" s="29" t="str">
        <f t="shared" si="230"/>
        <v/>
      </c>
      <c r="P998" s="21" t="str">
        <f t="shared" si="231"/>
        <v/>
      </c>
      <c r="Q998" s="21" t="str">
        <f t="shared" si="232"/>
        <v/>
      </c>
      <c r="R998" s="21" t="str">
        <f t="shared" si="233"/>
        <v/>
      </c>
      <c r="S998" s="39"/>
      <c r="T998" s="43" t="str">
        <f t="shared" si="241"/>
        <v/>
      </c>
      <c r="U998" s="49" t="str">
        <f t="shared" si="242"/>
        <v/>
      </c>
      <c r="V998" s="48" t="str">
        <f t="shared" si="243"/>
        <v/>
      </c>
      <c r="W998" s="48" t="str">
        <f t="shared" si="234"/>
        <v/>
      </c>
      <c r="X998" s="50" t="str">
        <f>IF(W998="","",SUMIF($B$4:$B$1002,B998,$W$4:$W$1000))</f>
        <v/>
      </c>
      <c r="Y998" s="43" t="str">
        <f t="shared" si="235"/>
        <v/>
      </c>
      <c r="Z998" s="49" t="str">
        <f t="shared" si="236"/>
        <v/>
      </c>
      <c r="AA998" s="48" t="str">
        <f t="shared" si="237"/>
        <v/>
      </c>
      <c r="AB998" s="49" t="str">
        <f t="shared" si="238"/>
        <v/>
      </c>
      <c r="AC998" s="50" t="str">
        <f>IF(AB998="","",SUMIF($B$4:$B$1002,B998,$AB$4:$AB$1000))</f>
        <v/>
      </c>
      <c r="AD998" s="69"/>
      <c r="AE998" s="56"/>
      <c r="AF998" s="52"/>
      <c r="AG998" s="51"/>
      <c r="AH998" s="70"/>
      <c r="AI998" s="58"/>
      <c r="AJ998" s="55"/>
      <c r="AK998" s="51"/>
      <c r="AL998" s="69"/>
      <c r="AM998" s="56"/>
      <c r="AN998" s="52"/>
      <c r="AO998" s="51"/>
      <c r="AP998" s="70"/>
      <c r="AQ998" s="58"/>
      <c r="AR998" s="55"/>
      <c r="AS998" s="51"/>
      <c r="AT998" s="69"/>
      <c r="AU998" s="56"/>
      <c r="AV998" s="52"/>
      <c r="AW998" s="51"/>
      <c r="BR998" s="34" t="str">
        <f>IF(E998="","",CONCATENATE(E998," ",F998," noches"))</f>
        <v/>
      </c>
      <c r="BS998" s="28" t="str">
        <f t="shared" ca="1" si="239"/>
        <v/>
      </c>
      <c r="BT998" s="28" t="str">
        <f t="shared" ca="1" si="240"/>
        <v/>
      </c>
    </row>
    <row r="999" spans="1:72" x14ac:dyDescent="0.2">
      <c r="A999" s="18" t="str" cm="1">
        <f t="array" aca="1" ref="A999" ca="1">IF(B999="","","Grupo N˚"&amp;SUMPRODUCT(($B$4:B999&lt;&gt;"")*($B$4:B999&lt;&gt;OFFSET($B$4,-1,0,ROWS($B$4:B999),1))))</f>
        <v/>
      </c>
      <c r="B999" s="31"/>
      <c r="C999" s="31"/>
      <c r="D999" s="31"/>
      <c r="E999" s="31"/>
      <c r="F999" s="32"/>
      <c r="G999" s="33"/>
      <c r="H999" s="33"/>
      <c r="I999" s="20" t="str">
        <f t="shared" si="229"/>
        <v/>
      </c>
      <c r="J999" s="21" t="str">
        <f>IFERROR(VLOOKUP(BR999,Pricing!$D$3:$E$58,2,FALSE),"")</f>
        <v/>
      </c>
      <c r="K999" s="32"/>
      <c r="L999" s="32"/>
      <c r="M999" s="32"/>
      <c r="N999" s="36" t="str" cm="1">
        <f t="array" ref="N999">IFERROR(_xlfn.IFS((AND(K999="SI",M999="$")),J999*0.2,AND(K999="SI",M999="%"),20),"")</f>
        <v/>
      </c>
      <c r="O999" s="29" t="str">
        <f t="shared" si="230"/>
        <v/>
      </c>
      <c r="P999" s="21" t="str">
        <f t="shared" si="231"/>
        <v/>
      </c>
      <c r="Q999" s="21" t="str">
        <f t="shared" si="232"/>
        <v/>
      </c>
      <c r="R999" s="21" t="str">
        <f t="shared" si="233"/>
        <v/>
      </c>
      <c r="S999" s="39"/>
      <c r="T999" s="43" t="str">
        <f t="shared" si="241"/>
        <v/>
      </c>
      <c r="U999" s="49" t="str">
        <f t="shared" si="242"/>
        <v/>
      </c>
      <c r="V999" s="48" t="str">
        <f t="shared" si="243"/>
        <v/>
      </c>
      <c r="W999" s="48" t="str">
        <f t="shared" si="234"/>
        <v/>
      </c>
      <c r="X999" s="50" t="str">
        <f>IF(W999="","",SUMIF($B$4:$B$1002,B999,$W$4:$W$1000))</f>
        <v/>
      </c>
      <c r="Y999" s="43" t="str">
        <f t="shared" si="235"/>
        <v/>
      </c>
      <c r="Z999" s="49" t="str">
        <f t="shared" si="236"/>
        <v/>
      </c>
      <c r="AA999" s="48" t="str">
        <f t="shared" si="237"/>
        <v/>
      </c>
      <c r="AB999" s="49" t="str">
        <f t="shared" si="238"/>
        <v/>
      </c>
      <c r="AC999" s="50" t="str">
        <f>IF(AB999="","",SUMIF($B$4:$B$1002,B999,$AB$4:$AB$1000))</f>
        <v/>
      </c>
      <c r="AD999" s="69"/>
      <c r="AE999" s="56"/>
      <c r="AF999" s="52"/>
      <c r="AG999" s="51"/>
      <c r="AH999" s="70"/>
      <c r="AI999" s="58"/>
      <c r="AJ999" s="55"/>
      <c r="AK999" s="51"/>
      <c r="AL999" s="69"/>
      <c r="AM999" s="56"/>
      <c r="AN999" s="52"/>
      <c r="AO999" s="51"/>
      <c r="AP999" s="70"/>
      <c r="AQ999" s="58"/>
      <c r="AR999" s="55"/>
      <c r="AS999" s="51"/>
      <c r="AT999" s="69"/>
      <c r="AU999" s="56"/>
      <c r="AV999" s="52"/>
      <c r="AW999" s="51"/>
      <c r="BR999" s="34" t="str">
        <f>IF(E999="","",CONCATENATE(E999," ",F999," noches"))</f>
        <v/>
      </c>
      <c r="BS999" s="28" t="str">
        <f t="shared" ca="1" si="239"/>
        <v/>
      </c>
      <c r="BT999" s="28" t="str">
        <f t="shared" ca="1" si="240"/>
        <v/>
      </c>
    </row>
    <row r="1000" spans="1:72" x14ac:dyDescent="0.2">
      <c r="A1000" s="18" t="str" cm="1">
        <f t="array" aca="1" ref="A1000" ca="1">IF(B1000="","","Grupo N˚"&amp;SUMPRODUCT(($B$4:B1000&lt;&gt;"")*($B$4:B1000&lt;&gt;OFFSET($B$4,-1,0,ROWS($B$4:B1000),1))))</f>
        <v/>
      </c>
      <c r="B1000" s="31"/>
      <c r="C1000" s="31"/>
      <c r="D1000" s="31"/>
      <c r="E1000" s="31"/>
      <c r="F1000" s="32"/>
      <c r="G1000" s="33"/>
      <c r="H1000" s="33"/>
      <c r="I1000" s="20" t="str">
        <f t="shared" si="229"/>
        <v/>
      </c>
      <c r="J1000" s="21" t="str">
        <f>IFERROR(VLOOKUP(BR1000,Pricing!$D$3:$E$58,2,FALSE),"")</f>
        <v/>
      </c>
      <c r="K1000" s="32"/>
      <c r="L1000" s="32"/>
      <c r="M1000" s="32"/>
      <c r="N1000" s="36" t="str" cm="1">
        <f t="array" ref="N1000">IFERROR(_xlfn.IFS((AND(K1000="SI",M1000="$")),J1000*0.2,AND(K1000="SI",M1000="%"),20),"")</f>
        <v/>
      </c>
      <c r="O1000" s="29" t="str">
        <f t="shared" si="230"/>
        <v/>
      </c>
      <c r="P1000" s="21" t="str">
        <f t="shared" si="231"/>
        <v/>
      </c>
      <c r="Q1000" s="21" t="str">
        <f t="shared" si="232"/>
        <v/>
      </c>
      <c r="R1000" s="21" t="str">
        <f t="shared" si="233"/>
        <v/>
      </c>
      <c r="S1000" s="39"/>
      <c r="T1000" s="43" t="str">
        <f t="shared" si="241"/>
        <v/>
      </c>
      <c r="U1000" s="49" t="str">
        <f t="shared" si="242"/>
        <v/>
      </c>
      <c r="V1000" s="48" t="str">
        <f t="shared" si="243"/>
        <v/>
      </c>
      <c r="W1000" s="48" t="str">
        <f t="shared" si="234"/>
        <v/>
      </c>
      <c r="X1000" s="50" t="str">
        <f>IF(W1000="","",SUMIF($B$4:$B$1002,B1000,$W$4:$W$1000))</f>
        <v/>
      </c>
      <c r="Y1000" s="43" t="str">
        <f t="shared" si="235"/>
        <v/>
      </c>
      <c r="Z1000" s="49" t="str">
        <f t="shared" si="236"/>
        <v/>
      </c>
      <c r="AA1000" s="48" t="str">
        <f t="shared" si="237"/>
        <v/>
      </c>
      <c r="AB1000" s="49" t="str">
        <f t="shared" si="238"/>
        <v/>
      </c>
      <c r="AC1000" s="50" t="str">
        <f>IF(AB1000="","",SUMIF($B$4:$B$1002,B1000,$AB$4:$AB$1000))</f>
        <v/>
      </c>
      <c r="AD1000" s="69"/>
      <c r="AE1000" s="56"/>
      <c r="AF1000" s="52"/>
      <c r="AG1000" s="51"/>
      <c r="AH1000" s="70"/>
      <c r="AI1000" s="58"/>
      <c r="AJ1000" s="55"/>
      <c r="AK1000" s="51"/>
      <c r="AL1000" s="69"/>
      <c r="AM1000" s="56"/>
      <c r="AN1000" s="52"/>
      <c r="AO1000" s="51"/>
      <c r="AP1000" s="70"/>
      <c r="AQ1000" s="58"/>
      <c r="AR1000" s="55"/>
      <c r="AS1000" s="51"/>
      <c r="AT1000" s="69"/>
      <c r="AU1000" s="56"/>
      <c r="AV1000" s="52"/>
      <c r="AW1000" s="51"/>
      <c r="BR1000" s="34" t="str">
        <f>IF(E1000="","",CONCATENATE(E1000," ",F1000," noches"))</f>
        <v/>
      </c>
      <c r="BS1000" s="28" t="str">
        <f t="shared" ca="1" si="239"/>
        <v/>
      </c>
      <c r="BT1000" s="28" t="str">
        <f t="shared" ca="1" si="240"/>
        <v/>
      </c>
    </row>
    <row r="1001" spans="1:72" x14ac:dyDescent="0.2">
      <c r="A1001" s="18" t="str" cm="1">
        <f t="array" aca="1" ref="A1001" ca="1">IF(B1001="","","Grupo N˚"&amp;SUMPRODUCT(($B$4:B1001&lt;&gt;"")*($B$4:B1001&lt;&gt;OFFSET($B$4,-1,0,ROWS($B$4:B1001),1))))</f>
        <v/>
      </c>
      <c r="B1001" s="31"/>
      <c r="C1001" s="31"/>
      <c r="D1001" s="31"/>
      <c r="E1001" s="31"/>
      <c r="F1001" s="32"/>
      <c r="G1001" s="33"/>
      <c r="H1001" s="33"/>
      <c r="I1001" s="20" t="str">
        <f t="shared" si="229"/>
        <v/>
      </c>
      <c r="J1001" s="21" t="str">
        <f>IFERROR(VLOOKUP(BR1001,Pricing!$D$3:$E$58,2,FALSE),"")</f>
        <v/>
      </c>
      <c r="K1001" s="32"/>
      <c r="L1001" s="32"/>
      <c r="M1001" s="32"/>
      <c r="N1001" s="36" t="str" cm="1">
        <f t="array" ref="N1001">IFERROR(_xlfn.IFS((AND(K1001="SI",M1001="$")),J1001*0.2,AND(K1001="SI",M1001="%"),20),"")</f>
        <v/>
      </c>
      <c r="O1001" s="29" t="str">
        <f t="shared" si="230"/>
        <v/>
      </c>
      <c r="P1001" s="21" t="str">
        <f t="shared" si="231"/>
        <v/>
      </c>
      <c r="Q1001" s="21" t="str">
        <f t="shared" si="232"/>
        <v/>
      </c>
      <c r="R1001" s="21" t="str">
        <f t="shared" si="233"/>
        <v/>
      </c>
      <c r="S1001" s="39"/>
      <c r="T1001" s="43" t="str">
        <f t="shared" si="241"/>
        <v/>
      </c>
      <c r="U1001" s="49" t="str">
        <f t="shared" si="242"/>
        <v/>
      </c>
      <c r="V1001" s="48" t="str">
        <f t="shared" si="243"/>
        <v/>
      </c>
      <c r="W1001" s="48" t="str">
        <f t="shared" si="234"/>
        <v/>
      </c>
      <c r="X1001" s="50" t="str">
        <f>IF(W1001="","",SUMIF($B$4:$B$1002,B1001,$W$4:$W$1000))</f>
        <v/>
      </c>
      <c r="Y1001" s="43" t="str">
        <f t="shared" si="235"/>
        <v/>
      </c>
      <c r="Z1001" s="49" t="str">
        <f t="shared" si="236"/>
        <v/>
      </c>
      <c r="AA1001" s="48" t="str">
        <f t="shared" si="237"/>
        <v/>
      </c>
      <c r="AB1001" s="49" t="str">
        <f t="shared" si="238"/>
        <v/>
      </c>
      <c r="AC1001" s="50" t="str">
        <f>IF(AB1001="","",SUMIF($B$4:$B$1002,B1001,$AB$4:$AB$1000))</f>
        <v/>
      </c>
      <c r="AD1001" s="69"/>
      <c r="AE1001" s="56"/>
      <c r="AF1001" s="52"/>
      <c r="AG1001" s="51"/>
      <c r="AH1001" s="70"/>
      <c r="AI1001" s="58"/>
      <c r="AJ1001" s="55"/>
      <c r="AK1001" s="51"/>
      <c r="AL1001" s="69"/>
      <c r="AM1001" s="56"/>
      <c r="AN1001" s="52"/>
      <c r="AO1001" s="51"/>
      <c r="AP1001" s="70"/>
      <c r="AQ1001" s="58"/>
      <c r="AR1001" s="55"/>
      <c r="AS1001" s="51"/>
      <c r="AT1001" s="69"/>
      <c r="AU1001" s="56"/>
      <c r="AV1001" s="52"/>
      <c r="AW1001" s="51"/>
      <c r="BR1001" s="34" t="str">
        <f>IF(E1001="","",CONCATENATE(E1001," ",F1001," noches"))</f>
        <v/>
      </c>
      <c r="BS1001" s="28" t="str">
        <f t="shared" ca="1" si="239"/>
        <v/>
      </c>
      <c r="BT1001" s="28" t="str">
        <f t="shared" ca="1" si="240"/>
        <v/>
      </c>
    </row>
    <row r="1002" spans="1:72" x14ac:dyDescent="0.2">
      <c r="A1002" s="18" t="str" cm="1">
        <f t="array" aca="1" ref="A1002" ca="1">IF(B1002="","","Grupo N˚"&amp;SUMPRODUCT(($B$4:B1002&lt;&gt;"")*($B$4:B1002&lt;&gt;OFFSET($B$4,-1,0,ROWS($B$4:B1002),1))))</f>
        <v/>
      </c>
      <c r="B1002" s="31"/>
      <c r="C1002" s="31"/>
      <c r="D1002" s="31"/>
      <c r="E1002" s="31"/>
      <c r="F1002" s="32"/>
      <c r="G1002" s="33"/>
      <c r="H1002" s="33"/>
      <c r="I1002" s="20" t="str">
        <f t="shared" si="229"/>
        <v/>
      </c>
      <c r="J1002" s="21" t="str">
        <f>IFERROR(VLOOKUP(BR1002,Pricing!$D$3:$E$58,2,FALSE),"")</f>
        <v/>
      </c>
      <c r="K1002" s="32"/>
      <c r="L1002" s="32"/>
      <c r="M1002" s="32"/>
      <c r="N1002" s="36" t="str" cm="1">
        <f t="array" ref="N1002">IFERROR(_xlfn.IFS((AND(K1002="SI",M1002="$")),J1002*0.2,AND(K1002="SI",M1002="%"),20),"")</f>
        <v/>
      </c>
      <c r="O1002" s="29" t="str">
        <f t="shared" si="230"/>
        <v/>
      </c>
      <c r="P1002" s="21" t="str">
        <f t="shared" si="231"/>
        <v/>
      </c>
      <c r="Q1002" s="21" t="str">
        <f t="shared" si="232"/>
        <v/>
      </c>
      <c r="R1002" s="21" t="str">
        <f t="shared" si="233"/>
        <v/>
      </c>
      <c r="S1002" s="39"/>
      <c r="T1002" s="43" t="str">
        <f t="shared" si="241"/>
        <v/>
      </c>
      <c r="U1002" s="49" t="str">
        <f t="shared" si="242"/>
        <v/>
      </c>
      <c r="V1002" s="48" t="str">
        <f t="shared" si="243"/>
        <v/>
      </c>
      <c r="W1002" s="48" t="str">
        <f t="shared" si="234"/>
        <v/>
      </c>
      <c r="X1002" s="50" t="str">
        <f>IF(W1002="","",SUMIF($B$4:$B$1002,B1002,$W$4:$W$1000))</f>
        <v/>
      </c>
      <c r="Y1002" s="43" t="str">
        <f t="shared" si="235"/>
        <v/>
      </c>
      <c r="Z1002" s="49" t="str">
        <f t="shared" si="236"/>
        <v/>
      </c>
      <c r="AA1002" s="48" t="str">
        <f t="shared" si="237"/>
        <v/>
      </c>
      <c r="AB1002" s="49" t="str">
        <f t="shared" si="238"/>
        <v/>
      </c>
      <c r="AC1002" s="50" t="str">
        <f>IF(AB1002="","",SUMIF($B$4:$B$1002,B1002,$AB$4:$AB$1000))</f>
        <v/>
      </c>
      <c r="AD1002" s="69"/>
      <c r="AE1002" s="56"/>
      <c r="AF1002" s="52"/>
      <c r="AG1002" s="51"/>
      <c r="AH1002" s="70"/>
      <c r="AI1002" s="58"/>
      <c r="AJ1002" s="55"/>
      <c r="AK1002" s="51"/>
      <c r="AL1002" s="69"/>
      <c r="AM1002" s="56"/>
      <c r="AN1002" s="52"/>
      <c r="AO1002" s="51"/>
      <c r="AP1002" s="70"/>
      <c r="AQ1002" s="58"/>
      <c r="AR1002" s="55"/>
      <c r="AS1002" s="51"/>
      <c r="AT1002" s="69"/>
      <c r="AU1002" s="56"/>
      <c r="AV1002" s="52"/>
      <c r="AW1002" s="51"/>
      <c r="BR1002" s="34" t="str">
        <f>IF(E1002="","",CONCATENATE(E1002," ",F1002," noches"))</f>
        <v/>
      </c>
      <c r="BS1002" s="28" t="str">
        <f t="shared" ca="1" si="239"/>
        <v/>
      </c>
      <c r="BT1002" s="28" t="str">
        <f t="shared" ca="1" si="240"/>
        <v/>
      </c>
    </row>
    <row r="1003" spans="1:72" ht="17" thickBot="1" x14ac:dyDescent="0.25">
      <c r="A1003" s="18" t="s">
        <v>190</v>
      </c>
      <c r="B1003" s="18" t="s">
        <v>190</v>
      </c>
      <c r="C1003" s="18" t="s">
        <v>190</v>
      </c>
      <c r="D1003" s="18" t="s">
        <v>190</v>
      </c>
      <c r="E1003" s="18" t="s">
        <v>190</v>
      </c>
      <c r="F1003" s="22" t="s">
        <v>190</v>
      </c>
      <c r="G1003" s="22" t="s">
        <v>190</v>
      </c>
      <c r="H1003" s="22" t="s">
        <v>190</v>
      </c>
      <c r="I1003" s="18" t="s">
        <v>190</v>
      </c>
      <c r="J1003" s="18" t="s">
        <v>190</v>
      </c>
      <c r="K1003" s="22" t="s">
        <v>190</v>
      </c>
      <c r="L1003" s="22" t="s">
        <v>190</v>
      </c>
      <c r="M1003" s="22" t="s">
        <v>190</v>
      </c>
      <c r="N1003" s="35" t="s">
        <v>190</v>
      </c>
      <c r="O1003" s="22" t="s">
        <v>190</v>
      </c>
      <c r="P1003" s="18" t="s">
        <v>190</v>
      </c>
      <c r="Q1003" s="18" t="s">
        <v>190</v>
      </c>
      <c r="R1003" s="18" t="s">
        <v>190</v>
      </c>
      <c r="T1003" s="45" t="s">
        <v>190</v>
      </c>
      <c r="U1003" s="46" t="s">
        <v>190</v>
      </c>
      <c r="V1003" s="46" t="s">
        <v>190</v>
      </c>
      <c r="W1003" s="48" t="str">
        <f t="shared" si="234"/>
        <v/>
      </c>
      <c r="X1003" s="50" t="str">
        <f>IF(W1003="","",SUMIF($B$4:$B$1002,B1003,$W$4:$W$1000))</f>
        <v/>
      </c>
      <c r="Y1003" s="43" t="str">
        <f t="shared" si="235"/>
        <v/>
      </c>
      <c r="Z1003" s="46" t="s">
        <v>190</v>
      </c>
      <c r="AA1003" s="46" t="s">
        <v>190</v>
      </c>
      <c r="AB1003" s="49" t="str">
        <f t="shared" si="238"/>
        <v/>
      </c>
      <c r="AC1003" s="47" t="s">
        <v>190</v>
      </c>
      <c r="AD1003" s="45" t="s">
        <v>190</v>
      </c>
      <c r="AE1003" s="57" t="s">
        <v>190</v>
      </c>
      <c r="AF1003" s="53" t="s">
        <v>190</v>
      </c>
      <c r="AG1003" s="47" t="s">
        <v>190</v>
      </c>
      <c r="AH1003" s="44" t="s">
        <v>190</v>
      </c>
      <c r="AI1003" s="20" t="s">
        <v>190</v>
      </c>
      <c r="AJ1003" s="21" t="s">
        <v>190</v>
      </c>
      <c r="AK1003" s="18" t="s">
        <v>190</v>
      </c>
      <c r="AL1003" s="45" t="s">
        <v>190</v>
      </c>
      <c r="AM1003" s="59" t="s">
        <v>190</v>
      </c>
      <c r="AN1003" s="53" t="s">
        <v>190</v>
      </c>
      <c r="AO1003" s="47" t="s">
        <v>190</v>
      </c>
      <c r="AP1003" s="44" t="s">
        <v>190</v>
      </c>
      <c r="AQ1003" s="20" t="s">
        <v>190</v>
      </c>
      <c r="AR1003" s="21" t="s">
        <v>190</v>
      </c>
      <c r="AS1003" s="18" t="s">
        <v>190</v>
      </c>
      <c r="AT1003" s="45" t="s">
        <v>190</v>
      </c>
      <c r="AU1003" s="59" t="s">
        <v>190</v>
      </c>
      <c r="AV1003" s="53" t="s">
        <v>190</v>
      </c>
      <c r="AW1003" s="47" t="s">
        <v>190</v>
      </c>
      <c r="BR1003" s="18" t="s">
        <v>205</v>
      </c>
      <c r="BS1003" s="28" t="e">
        <f t="shared" ca="1" si="239"/>
        <v>#VALUE!</v>
      </c>
      <c r="BT1003" s="28" t="e">
        <f t="shared" ca="1" si="240"/>
        <v>#VALUE!</v>
      </c>
    </row>
  </sheetData>
  <sheetProtection selectLockedCells="1" sort="0" autoFilter="0"/>
  <autoFilter ref="A3:AW1003" xr:uid="{9ACB6B6D-8066-6F48-948B-8FE112E30D82}"/>
  <mergeCells count="13">
    <mergeCell ref="AH2:AK2"/>
    <mergeCell ref="AL2:AO2"/>
    <mergeCell ref="AP2:AS2"/>
    <mergeCell ref="AT2:AW2"/>
    <mergeCell ref="B1:R1"/>
    <mergeCell ref="E2:J2"/>
    <mergeCell ref="T1:AC1"/>
    <mergeCell ref="AE1:AW1"/>
    <mergeCell ref="T2:X2"/>
    <mergeCell ref="Y2:AC2"/>
    <mergeCell ref="B2:D2"/>
    <mergeCell ref="K2:R2"/>
    <mergeCell ref="AD2:AG2"/>
  </mergeCells>
  <dataValidations count="4">
    <dataValidation type="date" operator="greaterThan" allowBlank="1" showInputMessage="1" showErrorMessage="1" errorTitle="Error en Check-In" error="Debes ingresar una fecha posterior a la fecha de reserva" sqref="H4:H1002" xr:uid="{373BCE0C-3977-C341-BDA1-2D8D53B35C94}">
      <formula1>G4</formula1>
    </dataValidation>
    <dataValidation type="date" operator="greaterThan" allowBlank="1" showInputMessage="1" showErrorMessage="1" sqref="I4:I1002" xr:uid="{27C83BBB-3352-DE40-A5E2-217430A2434C}">
      <formula1>H4</formula1>
    </dataValidation>
    <dataValidation type="custom" allowBlank="1" showInputMessage="1" showErrorMessage="1" sqref="J4:J1048576" xr:uid="{58F1713B-3439-9049-99CC-D09DB7445768}">
      <formula1>ISNUMBER(J4)</formula1>
    </dataValidation>
    <dataValidation type="custom" allowBlank="1" showInputMessage="1" showErrorMessage="1" errorTitle="Error en Descuento" error="El descuento debe ser menor al 25% del Precio Lista" sqref="N4:N1002" xr:uid="{AB64A222-B73E-FA4F-9E4A-E1EA61F9DFD1}">
      <formula1>OR(N4="",    IF($M4="%",       AND(ISNUMBER(N4), $J4&gt;0, IF(N(N4)&gt;1, N(N4)/100, N(N4))&lt;=0.25),       AND(ISNUMBER(N4), $J4&gt;0, N(N4)&lt;=$J4*0.25)    ) 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395EC31-5F17-174B-9B2A-9FD13C67E528}">
          <x14:formula1>
            <xm:f>Mantenedor!$B$2:$B$4</xm:f>
          </x14:formula1>
          <xm:sqref>E4:E1002</xm:sqref>
        </x14:dataValidation>
        <x14:dataValidation type="list" allowBlank="1" showInputMessage="1" showErrorMessage="1" xr:uid="{E3396AA9-4283-D341-B404-F670953358B8}">
          <x14:formula1>
            <xm:f>Mantenedor!$A$3:$A$17</xm:f>
          </x14:formula1>
          <xm:sqref>F4:F1002</xm:sqref>
        </x14:dataValidation>
        <x14:dataValidation type="list" allowBlank="1" showInputMessage="1" showErrorMessage="1" errorTitle="Error" error="Indica si el pasajero/grupo fue derivado por un operador" xr:uid="{C8019CDD-25D3-4E40-866B-A135B8D7202B}">
          <x14:formula1>
            <xm:f>Mantenedor!$H$2:$H$3</xm:f>
          </x14:formula1>
          <xm:sqref>K4:K1002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8F17554F-1AC2-0145-AE8C-22F825201DED}">
          <x14:formula1>
            <xm:f>Mantenedor!$D$2:$D$4</xm:f>
          </x14:formula1>
          <xm:sqref>L4:L1002</xm:sqref>
        </x14:dataValidation>
        <x14:dataValidation type="date" operator="greaterThanOrEqual" allowBlank="1" showInputMessage="1" showErrorMessage="1" xr:uid="{C302826D-0073-B54B-9F36-CFA03FE28523}">
          <x14:formula1>
            <xm:f>Mantenedor!$J$2</xm:f>
          </x14:formula1>
          <xm:sqref>G1003:H1048576</xm:sqref>
        </x14:dataValidation>
        <x14:dataValidation type="date" operator="greaterThanOrEqual" allowBlank="1" showInputMessage="1" showErrorMessage="1" errorTitle="Error en FECHA DE RESERVA" error="Debes ingresar una fecha posterior a hoy" xr:uid="{F983206A-88DA-CD43-97F0-680F6FF83D6E}">
          <x14:formula1>
            <xm:f>Mantenedor!$J$2</xm:f>
          </x14:formula1>
          <xm:sqref>G4:G1002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0C68C92B-E1C6-EE47-A584-994FDFBB7991}">
          <x14:formula1>
            <xm:f>Mantenedor!$K$2:$K$3</xm:f>
          </x14:formula1>
          <xm:sqref>M4:M1002</xm:sqref>
        </x14:dataValidation>
        <x14:dataValidation type="list" allowBlank="1" showInputMessage="1" showErrorMessage="1" xr:uid="{0DCA4D48-5CAC-C149-8895-D46954D9A69B}">
          <x14:formula1>
            <xm:f>Mantenedor!$L$2:$L$3</xm:f>
          </x14:formula1>
          <xm:sqref>AD4:AD1002 AH4:AH1002 AL4:AL1002 AP4:AP1002 AT4:AT1002</xm:sqref>
        </x14:dataValidation>
        <x14:dataValidation type="list" allowBlank="1" showInputMessage="1" showErrorMessage="1" xr:uid="{9C8E7AC9-CD2B-2B4A-BA4E-33F8D257758C}">
          <x14:formula1>
            <xm:f>Mantenedor!$I$2:$I$3</xm:f>
          </x14:formula1>
          <xm:sqref>AG4:AG1002 AK4:AK1002 AO4:AO1002 AS4:AS1002 AW4:AW1002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CCC4-3082-3F4A-B62D-7FF5FF170DD6}">
  <dimension ref="A1:L52"/>
  <sheetViews>
    <sheetView topLeftCell="D1" zoomScale="220" zoomScaleNormal="220" workbookViewId="0">
      <selection activeCell="G2" sqref="G2:G4"/>
    </sheetView>
  </sheetViews>
  <sheetFormatPr baseColWidth="10" defaultRowHeight="16" x14ac:dyDescent="0.2"/>
  <cols>
    <col min="1" max="1" width="10.83203125" style="1"/>
    <col min="2" max="2" width="9.83203125" bestFit="1" customWidth="1"/>
    <col min="3" max="3" width="7.6640625" bestFit="1" customWidth="1"/>
    <col min="4" max="4" width="5.33203125" bestFit="1" customWidth="1"/>
    <col min="5" max="5" width="10.1640625" style="16" bestFit="1" customWidth="1"/>
    <col min="6" max="6" width="13.83203125" bestFit="1" customWidth="1"/>
    <col min="7" max="7" width="12.1640625" bestFit="1" customWidth="1"/>
    <col min="9" max="9" width="12.83203125" bestFit="1" customWidth="1"/>
  </cols>
  <sheetData>
    <row r="1" spans="1:12" s="2" customFormat="1" x14ac:dyDescent="0.2">
      <c r="A1" s="17" t="s">
        <v>50</v>
      </c>
      <c r="B1" s="2" t="s">
        <v>4</v>
      </c>
      <c r="C1" s="2" t="s">
        <v>147</v>
      </c>
      <c r="D1" s="2" t="s">
        <v>11</v>
      </c>
      <c r="E1" s="2" t="s">
        <v>10</v>
      </c>
      <c r="F1" s="2" t="s">
        <v>150</v>
      </c>
      <c r="G1" s="2" t="s">
        <v>151</v>
      </c>
      <c r="H1" s="2" t="s">
        <v>154</v>
      </c>
      <c r="I1" s="2" t="s">
        <v>155</v>
      </c>
      <c r="J1" s="2" t="s">
        <v>195</v>
      </c>
    </row>
    <row r="2" spans="1:12" x14ac:dyDescent="0.2">
      <c r="A2" s="1">
        <v>0</v>
      </c>
      <c r="B2" t="s">
        <v>191</v>
      </c>
      <c r="C2" t="s">
        <v>148</v>
      </c>
      <c r="D2" t="s">
        <v>194</v>
      </c>
      <c r="E2" s="16">
        <v>0</v>
      </c>
      <c r="F2" t="s">
        <v>214</v>
      </c>
      <c r="G2" t="s">
        <v>214</v>
      </c>
      <c r="H2" t="s">
        <v>153</v>
      </c>
      <c r="I2" t="s">
        <v>156</v>
      </c>
      <c r="J2" s="19">
        <f ca="1">+TODAY()</f>
        <v>45947</v>
      </c>
      <c r="K2" t="s">
        <v>199</v>
      </c>
      <c r="L2" t="s">
        <v>206</v>
      </c>
    </row>
    <row r="3" spans="1:12" x14ac:dyDescent="0.2">
      <c r="A3" s="1">
        <v>1</v>
      </c>
      <c r="B3" t="s">
        <v>192</v>
      </c>
      <c r="C3" t="s">
        <v>149</v>
      </c>
      <c r="D3" t="s">
        <v>17</v>
      </c>
      <c r="E3" s="16">
        <v>0.01</v>
      </c>
      <c r="F3" t="s">
        <v>215</v>
      </c>
      <c r="G3" t="s">
        <v>215</v>
      </c>
      <c r="H3" t="s">
        <v>152</v>
      </c>
      <c r="I3" t="s">
        <v>157</v>
      </c>
      <c r="K3" t="s">
        <v>19</v>
      </c>
      <c r="L3" t="s">
        <v>207</v>
      </c>
    </row>
    <row r="4" spans="1:12" x14ac:dyDescent="0.2">
      <c r="A4" s="1">
        <v>2</v>
      </c>
      <c r="B4" t="s">
        <v>51</v>
      </c>
      <c r="D4" t="s">
        <v>18</v>
      </c>
      <c r="E4" s="16">
        <v>0.02</v>
      </c>
      <c r="F4" t="s">
        <v>213</v>
      </c>
      <c r="G4" t="s">
        <v>213</v>
      </c>
    </row>
    <row r="5" spans="1:12" x14ac:dyDescent="0.2">
      <c r="A5" s="1">
        <v>3</v>
      </c>
      <c r="E5" s="16">
        <v>0.03</v>
      </c>
    </row>
    <row r="6" spans="1:12" x14ac:dyDescent="0.2">
      <c r="A6" s="1">
        <v>4</v>
      </c>
      <c r="E6" s="16">
        <v>0.04</v>
      </c>
    </row>
    <row r="7" spans="1:12" x14ac:dyDescent="0.2">
      <c r="A7" s="1">
        <v>5</v>
      </c>
      <c r="E7" s="16">
        <v>0.05</v>
      </c>
    </row>
    <row r="8" spans="1:12" x14ac:dyDescent="0.2">
      <c r="A8" s="1">
        <v>6</v>
      </c>
      <c r="E8" s="16">
        <v>0.06</v>
      </c>
    </row>
    <row r="9" spans="1:12" x14ac:dyDescent="0.2">
      <c r="A9" s="1">
        <v>7</v>
      </c>
      <c r="E9" s="16">
        <v>7.0000000000000007E-2</v>
      </c>
    </row>
    <row r="10" spans="1:12" x14ac:dyDescent="0.2">
      <c r="A10" s="1">
        <v>8</v>
      </c>
      <c r="E10" s="16">
        <v>0.08</v>
      </c>
    </row>
    <row r="11" spans="1:12" x14ac:dyDescent="0.2">
      <c r="A11" s="1">
        <v>9</v>
      </c>
      <c r="E11" s="16">
        <v>0.09</v>
      </c>
    </row>
    <row r="12" spans="1:12" x14ac:dyDescent="0.2">
      <c r="A12" s="1">
        <v>10</v>
      </c>
      <c r="E12" s="16">
        <v>0.1</v>
      </c>
    </row>
    <row r="13" spans="1:12" x14ac:dyDescent="0.2">
      <c r="A13" s="1">
        <v>11</v>
      </c>
      <c r="E13" s="16">
        <v>0.11</v>
      </c>
    </row>
    <row r="14" spans="1:12" x14ac:dyDescent="0.2">
      <c r="A14" s="1">
        <v>12</v>
      </c>
      <c r="E14" s="16">
        <v>0.12</v>
      </c>
    </row>
    <row r="15" spans="1:12" x14ac:dyDescent="0.2">
      <c r="A15" s="1">
        <v>13</v>
      </c>
      <c r="E15" s="16">
        <v>0.13</v>
      </c>
    </row>
    <row r="16" spans="1:12" x14ac:dyDescent="0.2">
      <c r="A16" s="1">
        <v>14</v>
      </c>
      <c r="E16" s="16">
        <v>0.14000000000000001</v>
      </c>
    </row>
    <row r="17" spans="1:5" x14ac:dyDescent="0.2">
      <c r="A17" s="1">
        <v>15</v>
      </c>
      <c r="E17" s="16">
        <v>0.15</v>
      </c>
    </row>
    <row r="18" spans="1:5" x14ac:dyDescent="0.2">
      <c r="A18" s="1">
        <v>16</v>
      </c>
      <c r="E18" s="16">
        <v>0.16</v>
      </c>
    </row>
    <row r="19" spans="1:5" x14ac:dyDescent="0.2">
      <c r="A19" s="1">
        <v>17</v>
      </c>
      <c r="E19" s="16">
        <v>0.17</v>
      </c>
    </row>
    <row r="20" spans="1:5" x14ac:dyDescent="0.2">
      <c r="A20" s="1">
        <v>18</v>
      </c>
      <c r="E20" s="16">
        <v>0.18</v>
      </c>
    </row>
    <row r="21" spans="1:5" x14ac:dyDescent="0.2">
      <c r="A21" s="1">
        <v>19</v>
      </c>
      <c r="E21" s="16">
        <v>0.19</v>
      </c>
    </row>
    <row r="22" spans="1:5" x14ac:dyDescent="0.2">
      <c r="A22" s="1">
        <v>20</v>
      </c>
      <c r="E22" s="16">
        <v>0.2</v>
      </c>
    </row>
    <row r="23" spans="1:5" x14ac:dyDescent="0.2">
      <c r="A23" s="1">
        <v>21</v>
      </c>
      <c r="E23" s="16">
        <v>0.21</v>
      </c>
    </row>
    <row r="24" spans="1:5" x14ac:dyDescent="0.2">
      <c r="A24" s="1">
        <v>22</v>
      </c>
      <c r="E24" s="16">
        <v>0.22</v>
      </c>
    </row>
    <row r="25" spans="1:5" x14ac:dyDescent="0.2">
      <c r="A25" s="1">
        <v>23</v>
      </c>
      <c r="E25" s="16">
        <v>0.23</v>
      </c>
    </row>
    <row r="26" spans="1:5" x14ac:dyDescent="0.2">
      <c r="A26" s="1">
        <v>24</v>
      </c>
      <c r="E26" s="16">
        <v>0.24</v>
      </c>
    </row>
    <row r="27" spans="1:5" x14ac:dyDescent="0.2">
      <c r="A27" s="1">
        <v>25</v>
      </c>
      <c r="E27" s="16">
        <v>0.25</v>
      </c>
    </row>
    <row r="28" spans="1:5" x14ac:dyDescent="0.2">
      <c r="A28" s="1">
        <v>26</v>
      </c>
    </row>
    <row r="29" spans="1:5" x14ac:dyDescent="0.2">
      <c r="A29" s="1">
        <v>27</v>
      </c>
    </row>
    <row r="30" spans="1:5" x14ac:dyDescent="0.2">
      <c r="A30" s="1">
        <v>28</v>
      </c>
    </row>
    <row r="31" spans="1:5" x14ac:dyDescent="0.2">
      <c r="A31" s="1">
        <v>29</v>
      </c>
    </row>
    <row r="32" spans="1:5" x14ac:dyDescent="0.2">
      <c r="A32" s="1">
        <v>30</v>
      </c>
    </row>
    <row r="33" spans="1:1" x14ac:dyDescent="0.2">
      <c r="A33" s="1">
        <v>31</v>
      </c>
    </row>
    <row r="34" spans="1:1" x14ac:dyDescent="0.2">
      <c r="A34" s="1">
        <v>32</v>
      </c>
    </row>
    <row r="35" spans="1:1" x14ac:dyDescent="0.2">
      <c r="A35" s="1">
        <v>33</v>
      </c>
    </row>
    <row r="36" spans="1:1" x14ac:dyDescent="0.2">
      <c r="A36" s="1">
        <v>34</v>
      </c>
    </row>
    <row r="37" spans="1:1" x14ac:dyDescent="0.2">
      <c r="A37" s="1">
        <v>35</v>
      </c>
    </row>
    <row r="38" spans="1:1" x14ac:dyDescent="0.2">
      <c r="A38" s="1">
        <v>36</v>
      </c>
    </row>
    <row r="39" spans="1:1" x14ac:dyDescent="0.2">
      <c r="A39" s="1">
        <v>37</v>
      </c>
    </row>
    <row r="40" spans="1:1" x14ac:dyDescent="0.2">
      <c r="A40" s="1">
        <v>38</v>
      </c>
    </row>
    <row r="41" spans="1:1" x14ac:dyDescent="0.2">
      <c r="A41" s="1">
        <v>39</v>
      </c>
    </row>
    <row r="42" spans="1:1" x14ac:dyDescent="0.2">
      <c r="A42" s="1">
        <v>40</v>
      </c>
    </row>
    <row r="43" spans="1:1" x14ac:dyDescent="0.2">
      <c r="A43" s="1">
        <v>41</v>
      </c>
    </row>
    <row r="44" spans="1:1" x14ac:dyDescent="0.2">
      <c r="A44" s="1">
        <v>42</v>
      </c>
    </row>
    <row r="45" spans="1:1" x14ac:dyDescent="0.2">
      <c r="A45" s="1">
        <v>43</v>
      </c>
    </row>
    <row r="46" spans="1:1" x14ac:dyDescent="0.2">
      <c r="A46" s="1">
        <v>44</v>
      </c>
    </row>
    <row r="47" spans="1:1" x14ac:dyDescent="0.2">
      <c r="A47" s="1">
        <v>45</v>
      </c>
    </row>
    <row r="48" spans="1:1" x14ac:dyDescent="0.2">
      <c r="A48" s="1">
        <v>46</v>
      </c>
    </row>
    <row r="49" spans="1:1" x14ac:dyDescent="0.2">
      <c r="A49" s="1">
        <v>47</v>
      </c>
    </row>
    <row r="50" spans="1:1" x14ac:dyDescent="0.2">
      <c r="A50" s="1">
        <v>48</v>
      </c>
    </row>
    <row r="51" spans="1:1" x14ac:dyDescent="0.2">
      <c r="A51" s="1">
        <v>49</v>
      </c>
    </row>
    <row r="52" spans="1:1" x14ac:dyDescent="0.2">
      <c r="A52" s="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F521-EC8F-2F4E-A3B8-D41E77D9E4C8}">
  <dimension ref="A1:J25"/>
  <sheetViews>
    <sheetView topLeftCell="A2" workbookViewId="0">
      <selection activeCell="B15" sqref="B15"/>
    </sheetView>
  </sheetViews>
  <sheetFormatPr baseColWidth="10" defaultRowHeight="16" x14ac:dyDescent="0.2"/>
  <cols>
    <col min="1" max="1" width="67.1640625" bestFit="1" customWidth="1"/>
  </cols>
  <sheetData>
    <row r="1" spans="1:2" x14ac:dyDescent="0.2">
      <c r="A1" t="s">
        <v>158</v>
      </c>
    </row>
    <row r="3" spans="1:2" x14ac:dyDescent="0.2">
      <c r="A3" t="s">
        <v>159</v>
      </c>
    </row>
    <row r="4" spans="1:2" x14ac:dyDescent="0.2">
      <c r="A4" t="s">
        <v>160</v>
      </c>
    </row>
    <row r="5" spans="1:2" x14ac:dyDescent="0.2">
      <c r="A5" t="s">
        <v>161</v>
      </c>
    </row>
    <row r="7" spans="1:2" x14ac:dyDescent="0.2">
      <c r="A7" t="s">
        <v>162</v>
      </c>
    </row>
    <row r="8" spans="1:2" x14ac:dyDescent="0.2">
      <c r="A8" t="s">
        <v>163</v>
      </c>
    </row>
    <row r="14" spans="1:2" x14ac:dyDescent="0.2">
      <c r="A14" t="s">
        <v>164</v>
      </c>
    </row>
    <row r="15" spans="1:2" x14ac:dyDescent="0.2">
      <c r="A15" t="s">
        <v>165</v>
      </c>
      <c r="B15" t="s">
        <v>166</v>
      </c>
    </row>
    <row r="16" spans="1:2" x14ac:dyDescent="0.2">
      <c r="A16" t="s">
        <v>168</v>
      </c>
      <c r="B16" t="s">
        <v>171</v>
      </c>
    </row>
    <row r="17" spans="1:10" x14ac:dyDescent="0.2">
      <c r="A17" t="s">
        <v>167</v>
      </c>
      <c r="B17" t="s">
        <v>172</v>
      </c>
    </row>
    <row r="18" spans="1:10" x14ac:dyDescent="0.2">
      <c r="A18" t="s">
        <v>169</v>
      </c>
      <c r="B18" t="s">
        <v>173</v>
      </c>
    </row>
    <row r="19" spans="1:10" x14ac:dyDescent="0.2">
      <c r="A19" t="s">
        <v>170</v>
      </c>
      <c r="B19" t="s">
        <v>174</v>
      </c>
    </row>
    <row r="21" spans="1:10" x14ac:dyDescent="0.2">
      <c r="A21" t="s">
        <v>175</v>
      </c>
    </row>
    <row r="22" spans="1:10" x14ac:dyDescent="0.2">
      <c r="A22" t="s">
        <v>177</v>
      </c>
      <c r="B22" t="s">
        <v>176</v>
      </c>
      <c r="J22" t="s">
        <v>185</v>
      </c>
    </row>
    <row r="23" spans="1:10" x14ac:dyDescent="0.2">
      <c r="A23" t="s">
        <v>178</v>
      </c>
      <c r="B23" t="s">
        <v>179</v>
      </c>
    </row>
    <row r="24" spans="1:10" x14ac:dyDescent="0.2">
      <c r="A24" t="s">
        <v>180</v>
      </c>
      <c r="B24" t="s">
        <v>181</v>
      </c>
    </row>
    <row r="25" spans="1:10" x14ac:dyDescent="0.2">
      <c r="A25" t="s">
        <v>182</v>
      </c>
      <c r="B25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854-B012-3A4A-9F0F-5464DA05AFCE}">
  <dimension ref="A1:K58"/>
  <sheetViews>
    <sheetView workbookViewId="0">
      <selection activeCell="A3" sqref="A3:A58"/>
    </sheetView>
  </sheetViews>
  <sheetFormatPr baseColWidth="10" defaultRowHeight="16" x14ac:dyDescent="0.2"/>
  <cols>
    <col min="1" max="1" width="17.33203125" bestFit="1" customWidth="1"/>
    <col min="2" max="2" width="7.1640625" bestFit="1" customWidth="1"/>
    <col min="3" max="3" width="10.33203125" bestFit="1" customWidth="1"/>
    <col min="4" max="4" width="26.83203125" bestFit="1" customWidth="1"/>
    <col min="5" max="5" width="16" bestFit="1" customWidth="1"/>
    <col min="7" max="7" width="17.33203125" bestFit="1" customWidth="1"/>
    <col min="8" max="8" width="7.6640625" bestFit="1" customWidth="1"/>
    <col min="9" max="9" width="11" bestFit="1" customWidth="1"/>
    <col min="10" max="10" width="26" bestFit="1" customWidth="1"/>
    <col min="11" max="11" width="16.5" bestFit="1" customWidth="1"/>
  </cols>
  <sheetData>
    <row r="1" spans="1:11" ht="27" x14ac:dyDescent="0.35">
      <c r="A1" s="25" t="s">
        <v>52</v>
      </c>
      <c r="B1" s="26"/>
      <c r="C1" s="26"/>
      <c r="D1" s="26"/>
      <c r="E1" s="27"/>
      <c r="G1" s="25" t="s">
        <v>53</v>
      </c>
      <c r="H1" s="26"/>
      <c r="I1" s="26"/>
      <c r="J1" s="26"/>
      <c r="K1" s="27"/>
    </row>
    <row r="2" spans="1:11" ht="17" thickBot="1" x14ac:dyDescent="0.25">
      <c r="A2" s="3" t="s">
        <v>54</v>
      </c>
      <c r="B2" s="4" t="s">
        <v>55</v>
      </c>
      <c r="C2" s="4" t="s">
        <v>56</v>
      </c>
      <c r="D2" s="4" t="s">
        <v>57</v>
      </c>
      <c r="E2" s="5" t="s">
        <v>58</v>
      </c>
      <c r="G2" s="6" t="s">
        <v>54</v>
      </c>
      <c r="H2" s="7" t="s">
        <v>55</v>
      </c>
      <c r="I2" s="7" t="s">
        <v>56</v>
      </c>
      <c r="J2" s="7" t="s">
        <v>57</v>
      </c>
      <c r="K2" s="5" t="s">
        <v>59</v>
      </c>
    </row>
    <row r="3" spans="1:11" x14ac:dyDescent="0.2">
      <c r="A3" s="8" t="s">
        <v>197</v>
      </c>
      <c r="B3" s="1">
        <v>1</v>
      </c>
      <c r="C3" s="9" t="s">
        <v>61</v>
      </c>
      <c r="D3" s="9" t="str">
        <f>+CONCATENATE(A3," ",C3)</f>
        <v>Baker single 1 noche</v>
      </c>
      <c r="E3" s="10">
        <v>770000</v>
      </c>
      <c r="G3" s="8" t="s">
        <v>60</v>
      </c>
      <c r="H3">
        <v>1</v>
      </c>
      <c r="I3" t="s">
        <v>61</v>
      </c>
      <c r="J3" t="s">
        <v>62</v>
      </c>
      <c r="K3" s="11">
        <v>1889.9999999999998</v>
      </c>
    </row>
    <row r="4" spans="1:11" x14ac:dyDescent="0.2">
      <c r="A4" s="8" t="s">
        <v>198</v>
      </c>
      <c r="B4" s="1">
        <v>1</v>
      </c>
      <c r="C4" s="9" t="s">
        <v>61</v>
      </c>
      <c r="D4" s="9" t="str">
        <f t="shared" ref="D4:D58" si="0">+CONCATENATE(A4," ",C4)</f>
        <v>Baker full 1 noche</v>
      </c>
      <c r="E4" s="10">
        <v>550000</v>
      </c>
      <c r="G4" s="8" t="s">
        <v>63</v>
      </c>
      <c r="H4">
        <v>1</v>
      </c>
      <c r="I4" t="s">
        <v>61</v>
      </c>
      <c r="J4" t="s">
        <v>64</v>
      </c>
      <c r="K4" s="11">
        <v>1350</v>
      </c>
    </row>
    <row r="5" spans="1:11" x14ac:dyDescent="0.2">
      <c r="A5" s="8" t="s">
        <v>51</v>
      </c>
      <c r="B5" s="1">
        <v>1</v>
      </c>
      <c r="C5" s="9" t="s">
        <v>61</v>
      </c>
      <c r="D5" s="9" t="str">
        <f t="shared" si="0"/>
        <v>Non Angler 1 noche</v>
      </c>
      <c r="E5" s="10">
        <v>550000</v>
      </c>
      <c r="G5" s="8" t="s">
        <v>65</v>
      </c>
      <c r="H5">
        <v>1</v>
      </c>
      <c r="I5" t="s">
        <v>61</v>
      </c>
      <c r="J5" t="s">
        <v>66</v>
      </c>
      <c r="K5" s="11">
        <v>944.99999999999989</v>
      </c>
    </row>
    <row r="6" spans="1:11" x14ac:dyDescent="0.2">
      <c r="A6" s="8" t="s">
        <v>197</v>
      </c>
      <c r="B6" s="1">
        <f>+B3+1</f>
        <v>2</v>
      </c>
      <c r="C6" s="9" t="s">
        <v>67</v>
      </c>
      <c r="D6" s="9" t="str">
        <f t="shared" si="0"/>
        <v>Baker single 2 noches</v>
      </c>
      <c r="E6" s="10">
        <v>1330000</v>
      </c>
      <c r="G6" s="8" t="s">
        <v>60</v>
      </c>
      <c r="H6">
        <v>2</v>
      </c>
      <c r="I6" t="s">
        <v>67</v>
      </c>
      <c r="J6" t="s">
        <v>68</v>
      </c>
      <c r="K6" s="11">
        <v>3150</v>
      </c>
    </row>
    <row r="7" spans="1:11" x14ac:dyDescent="0.2">
      <c r="A7" s="8" t="s">
        <v>198</v>
      </c>
      <c r="B7" s="1">
        <f t="shared" ref="B7:B44" si="1">+B4+1</f>
        <v>2</v>
      </c>
      <c r="C7" s="9" t="s">
        <v>67</v>
      </c>
      <c r="D7" s="9" t="str">
        <f t="shared" si="0"/>
        <v>Baker full 2 noches</v>
      </c>
      <c r="E7" s="10">
        <v>950000</v>
      </c>
      <c r="G7" s="8" t="s">
        <v>63</v>
      </c>
      <c r="H7">
        <v>2</v>
      </c>
      <c r="I7" t="s">
        <v>67</v>
      </c>
      <c r="J7" t="s">
        <v>69</v>
      </c>
      <c r="K7" s="11">
        <v>2250</v>
      </c>
    </row>
    <row r="8" spans="1:11" x14ac:dyDescent="0.2">
      <c r="A8" s="8" t="s">
        <v>51</v>
      </c>
      <c r="B8" s="1">
        <f t="shared" si="1"/>
        <v>2</v>
      </c>
      <c r="C8" s="9" t="s">
        <v>67</v>
      </c>
      <c r="D8" s="9" t="str">
        <f t="shared" si="0"/>
        <v>Non Angler 2 noches</v>
      </c>
      <c r="E8" s="10">
        <v>950000</v>
      </c>
      <c r="G8" s="8" t="s">
        <v>65</v>
      </c>
      <c r="H8">
        <v>2</v>
      </c>
      <c r="I8" t="s">
        <v>67</v>
      </c>
      <c r="J8" t="s">
        <v>70</v>
      </c>
      <c r="K8" s="11">
        <v>1575</v>
      </c>
    </row>
    <row r="9" spans="1:11" x14ac:dyDescent="0.2">
      <c r="A9" s="8" t="s">
        <v>197</v>
      </c>
      <c r="B9" s="1">
        <f t="shared" si="1"/>
        <v>3</v>
      </c>
      <c r="C9" s="9" t="s">
        <v>71</v>
      </c>
      <c r="D9" s="9" t="str">
        <f t="shared" si="0"/>
        <v>Baker single 3 noches</v>
      </c>
      <c r="E9" s="10">
        <v>1889999.9999999998</v>
      </c>
      <c r="G9" s="8" t="s">
        <v>60</v>
      </c>
      <c r="H9">
        <v>3</v>
      </c>
      <c r="I9" t="s">
        <v>71</v>
      </c>
      <c r="J9" t="s">
        <v>72</v>
      </c>
      <c r="K9" s="11">
        <v>4410</v>
      </c>
    </row>
    <row r="10" spans="1:11" x14ac:dyDescent="0.2">
      <c r="A10" s="8" t="s">
        <v>198</v>
      </c>
      <c r="B10" s="1">
        <f t="shared" si="1"/>
        <v>3</v>
      </c>
      <c r="C10" s="9" t="s">
        <v>71</v>
      </c>
      <c r="D10" s="9" t="str">
        <f t="shared" si="0"/>
        <v>Baker full 3 noches</v>
      </c>
      <c r="E10" s="10">
        <v>1350000</v>
      </c>
      <c r="G10" s="8" t="s">
        <v>63</v>
      </c>
      <c r="H10">
        <v>3</v>
      </c>
      <c r="I10" t="s">
        <v>71</v>
      </c>
      <c r="J10" t="s">
        <v>73</v>
      </c>
      <c r="K10" s="11">
        <v>3150</v>
      </c>
    </row>
    <row r="11" spans="1:11" x14ac:dyDescent="0.2">
      <c r="A11" s="8" t="s">
        <v>51</v>
      </c>
      <c r="B11" s="1">
        <f t="shared" si="1"/>
        <v>3</v>
      </c>
      <c r="C11" s="9" t="s">
        <v>71</v>
      </c>
      <c r="D11" s="9" t="str">
        <f t="shared" si="0"/>
        <v>Non Angler 3 noches</v>
      </c>
      <c r="E11" s="10">
        <v>1350000</v>
      </c>
      <c r="G11" s="8" t="s">
        <v>65</v>
      </c>
      <c r="H11">
        <v>3</v>
      </c>
      <c r="I11" t="s">
        <v>71</v>
      </c>
      <c r="J11" t="s">
        <v>74</v>
      </c>
      <c r="K11" s="11">
        <v>2205</v>
      </c>
    </row>
    <row r="12" spans="1:11" x14ac:dyDescent="0.2">
      <c r="A12" s="8" t="s">
        <v>197</v>
      </c>
      <c r="B12" s="1">
        <f t="shared" si="1"/>
        <v>4</v>
      </c>
      <c r="C12" s="9" t="s">
        <v>75</v>
      </c>
      <c r="D12" s="9" t="str">
        <f t="shared" si="0"/>
        <v>Baker single 4 noches</v>
      </c>
      <c r="E12" s="10">
        <v>2450000</v>
      </c>
      <c r="G12" s="8" t="s">
        <v>60</v>
      </c>
      <c r="H12">
        <v>4</v>
      </c>
      <c r="I12" t="s">
        <v>75</v>
      </c>
      <c r="J12" t="s">
        <v>76</v>
      </c>
      <c r="K12" s="11">
        <v>5670</v>
      </c>
    </row>
    <row r="13" spans="1:11" x14ac:dyDescent="0.2">
      <c r="A13" s="8" t="s">
        <v>198</v>
      </c>
      <c r="B13" s="1">
        <f t="shared" si="1"/>
        <v>4</v>
      </c>
      <c r="C13" s="9" t="s">
        <v>75</v>
      </c>
      <c r="D13" s="9" t="str">
        <f t="shared" si="0"/>
        <v>Baker full 4 noches</v>
      </c>
      <c r="E13" s="10">
        <v>1750000</v>
      </c>
      <c r="G13" s="8" t="s">
        <v>63</v>
      </c>
      <c r="H13">
        <v>4</v>
      </c>
      <c r="I13" t="s">
        <v>75</v>
      </c>
      <c r="J13" t="s">
        <v>77</v>
      </c>
      <c r="K13" s="11">
        <v>4050</v>
      </c>
    </row>
    <row r="14" spans="1:11" x14ac:dyDescent="0.2">
      <c r="A14" s="8" t="s">
        <v>51</v>
      </c>
      <c r="B14" s="1">
        <f t="shared" si="1"/>
        <v>4</v>
      </c>
      <c r="C14" s="9" t="s">
        <v>75</v>
      </c>
      <c r="D14" s="9" t="str">
        <f t="shared" si="0"/>
        <v>Non Angler 4 noches</v>
      </c>
      <c r="E14" s="10">
        <v>1750000</v>
      </c>
      <c r="G14" s="8" t="s">
        <v>65</v>
      </c>
      <c r="H14">
        <v>4</v>
      </c>
      <c r="I14" t="s">
        <v>75</v>
      </c>
      <c r="J14" t="s">
        <v>78</v>
      </c>
      <c r="K14" s="11">
        <v>2835</v>
      </c>
    </row>
    <row r="15" spans="1:11" x14ac:dyDescent="0.2">
      <c r="A15" s="8" t="s">
        <v>197</v>
      </c>
      <c r="B15" s="1">
        <f t="shared" si="1"/>
        <v>5</v>
      </c>
      <c r="C15" s="9" t="s">
        <v>79</v>
      </c>
      <c r="D15" s="9" t="str">
        <f t="shared" si="0"/>
        <v>Baker single 5 noches</v>
      </c>
      <c r="E15" s="10">
        <v>3010000</v>
      </c>
      <c r="G15" s="8" t="s">
        <v>60</v>
      </c>
      <c r="H15">
        <v>5</v>
      </c>
      <c r="I15" t="s">
        <v>79</v>
      </c>
      <c r="J15" t="s">
        <v>80</v>
      </c>
      <c r="K15" s="11">
        <v>6930</v>
      </c>
    </row>
    <row r="16" spans="1:11" x14ac:dyDescent="0.2">
      <c r="A16" s="8" t="s">
        <v>198</v>
      </c>
      <c r="B16" s="1">
        <f t="shared" si="1"/>
        <v>5</v>
      </c>
      <c r="C16" s="9" t="s">
        <v>79</v>
      </c>
      <c r="D16" s="9" t="str">
        <f t="shared" si="0"/>
        <v>Baker full 5 noches</v>
      </c>
      <c r="E16" s="10">
        <v>2150000</v>
      </c>
      <c r="G16" s="8" t="s">
        <v>63</v>
      </c>
      <c r="H16">
        <v>5</v>
      </c>
      <c r="I16" t="s">
        <v>79</v>
      </c>
      <c r="J16" t="s">
        <v>81</v>
      </c>
      <c r="K16" s="11">
        <v>4950</v>
      </c>
    </row>
    <row r="17" spans="1:11" x14ac:dyDescent="0.2">
      <c r="A17" s="8" t="s">
        <v>51</v>
      </c>
      <c r="B17" s="1">
        <f t="shared" si="1"/>
        <v>5</v>
      </c>
      <c r="C17" s="9" t="s">
        <v>79</v>
      </c>
      <c r="D17" s="9" t="str">
        <f t="shared" si="0"/>
        <v>Non Angler 5 noches</v>
      </c>
      <c r="E17" s="10">
        <v>2150000</v>
      </c>
      <c r="G17" s="8" t="s">
        <v>65</v>
      </c>
      <c r="H17">
        <v>5</v>
      </c>
      <c r="I17" t="s">
        <v>79</v>
      </c>
      <c r="J17" t="s">
        <v>82</v>
      </c>
      <c r="K17" s="11">
        <v>3465</v>
      </c>
    </row>
    <row r="18" spans="1:11" x14ac:dyDescent="0.2">
      <c r="A18" s="8" t="s">
        <v>197</v>
      </c>
      <c r="B18" s="1">
        <f t="shared" si="1"/>
        <v>6</v>
      </c>
      <c r="C18" s="9" t="s">
        <v>83</v>
      </c>
      <c r="D18" s="9" t="str">
        <f t="shared" si="0"/>
        <v>Baker single 6 noches</v>
      </c>
      <c r="E18" s="10">
        <v>3570000</v>
      </c>
      <c r="G18" s="8" t="s">
        <v>60</v>
      </c>
      <c r="H18">
        <v>6</v>
      </c>
      <c r="I18" t="s">
        <v>83</v>
      </c>
      <c r="J18" t="s">
        <v>84</v>
      </c>
      <c r="K18" s="11">
        <v>8189.9999999999991</v>
      </c>
    </row>
    <row r="19" spans="1:11" x14ac:dyDescent="0.2">
      <c r="A19" s="8" t="s">
        <v>198</v>
      </c>
      <c r="B19" s="1">
        <f t="shared" si="1"/>
        <v>6</v>
      </c>
      <c r="C19" s="9" t="s">
        <v>83</v>
      </c>
      <c r="D19" s="9" t="str">
        <f t="shared" si="0"/>
        <v>Baker full 6 noches</v>
      </c>
      <c r="E19" s="10">
        <v>2550000</v>
      </c>
      <c r="G19" s="8" t="s">
        <v>63</v>
      </c>
      <c r="H19">
        <v>6</v>
      </c>
      <c r="I19" t="s">
        <v>83</v>
      </c>
      <c r="J19" t="s">
        <v>85</v>
      </c>
      <c r="K19" s="11">
        <v>5850</v>
      </c>
    </row>
    <row r="20" spans="1:11" x14ac:dyDescent="0.2">
      <c r="A20" s="8" t="s">
        <v>51</v>
      </c>
      <c r="B20" s="1">
        <f t="shared" si="1"/>
        <v>6</v>
      </c>
      <c r="C20" s="9" t="s">
        <v>83</v>
      </c>
      <c r="D20" s="9" t="str">
        <f t="shared" si="0"/>
        <v>Non Angler 6 noches</v>
      </c>
      <c r="E20" s="10">
        <v>2550000</v>
      </c>
      <c r="G20" s="8" t="s">
        <v>65</v>
      </c>
      <c r="H20">
        <v>6</v>
      </c>
      <c r="I20" t="s">
        <v>83</v>
      </c>
      <c r="J20" t="s">
        <v>86</v>
      </c>
      <c r="K20" s="11">
        <v>4094.9999999999995</v>
      </c>
    </row>
    <row r="21" spans="1:11" x14ac:dyDescent="0.2">
      <c r="A21" s="8" t="s">
        <v>197</v>
      </c>
      <c r="B21" s="1">
        <f t="shared" si="1"/>
        <v>7</v>
      </c>
      <c r="C21" s="9" t="s">
        <v>87</v>
      </c>
      <c r="D21" s="9" t="str">
        <f t="shared" si="0"/>
        <v>Baker single 7 noches</v>
      </c>
      <c r="E21" s="10">
        <v>4129999.9999999995</v>
      </c>
      <c r="G21" s="8" t="s">
        <v>60</v>
      </c>
      <c r="H21">
        <v>7</v>
      </c>
      <c r="I21" t="s">
        <v>87</v>
      </c>
      <c r="J21" t="s">
        <v>88</v>
      </c>
      <c r="K21" s="11">
        <v>9450</v>
      </c>
    </row>
    <row r="22" spans="1:11" x14ac:dyDescent="0.2">
      <c r="A22" s="8" t="s">
        <v>198</v>
      </c>
      <c r="B22" s="1">
        <f t="shared" si="1"/>
        <v>7</v>
      </c>
      <c r="C22" s="9" t="s">
        <v>87</v>
      </c>
      <c r="D22" s="9" t="str">
        <f t="shared" si="0"/>
        <v>Baker full 7 noches</v>
      </c>
      <c r="E22" s="10">
        <v>2950000</v>
      </c>
      <c r="G22" s="8" t="s">
        <v>63</v>
      </c>
      <c r="H22">
        <v>7</v>
      </c>
      <c r="I22" t="s">
        <v>87</v>
      </c>
      <c r="J22" t="s">
        <v>89</v>
      </c>
      <c r="K22" s="11">
        <v>6750</v>
      </c>
    </row>
    <row r="23" spans="1:11" x14ac:dyDescent="0.2">
      <c r="A23" s="8" t="s">
        <v>51</v>
      </c>
      <c r="B23" s="1">
        <f t="shared" si="1"/>
        <v>7</v>
      </c>
      <c r="C23" s="9" t="s">
        <v>87</v>
      </c>
      <c r="D23" s="9" t="str">
        <f t="shared" si="0"/>
        <v>Non Angler 7 noches</v>
      </c>
      <c r="E23" s="10">
        <v>2950000</v>
      </c>
      <c r="G23" s="8" t="s">
        <v>65</v>
      </c>
      <c r="H23">
        <v>7</v>
      </c>
      <c r="I23" t="s">
        <v>87</v>
      </c>
      <c r="J23" t="s">
        <v>90</v>
      </c>
      <c r="K23" s="11">
        <v>4725</v>
      </c>
    </row>
    <row r="24" spans="1:11" x14ac:dyDescent="0.2">
      <c r="A24" s="8" t="s">
        <v>197</v>
      </c>
      <c r="B24" s="1">
        <f t="shared" si="1"/>
        <v>8</v>
      </c>
      <c r="C24" s="9" t="s">
        <v>91</v>
      </c>
      <c r="D24" s="9" t="str">
        <f t="shared" si="0"/>
        <v>Baker single 8 noches</v>
      </c>
      <c r="E24" s="10">
        <v>4690000</v>
      </c>
      <c r="G24" s="8" t="s">
        <v>60</v>
      </c>
      <c r="H24">
        <v>8</v>
      </c>
      <c r="I24" t="s">
        <v>91</v>
      </c>
      <c r="J24" t="s">
        <v>92</v>
      </c>
      <c r="K24" s="11">
        <v>10710</v>
      </c>
    </row>
    <row r="25" spans="1:11" x14ac:dyDescent="0.2">
      <c r="A25" s="8" t="s">
        <v>198</v>
      </c>
      <c r="B25" s="1">
        <f t="shared" si="1"/>
        <v>8</v>
      </c>
      <c r="C25" s="9" t="s">
        <v>91</v>
      </c>
      <c r="D25" s="9" t="str">
        <f t="shared" si="0"/>
        <v>Baker full 8 noches</v>
      </c>
      <c r="E25" s="10">
        <v>3350000</v>
      </c>
      <c r="G25" s="8" t="s">
        <v>63</v>
      </c>
      <c r="H25">
        <v>8</v>
      </c>
      <c r="I25" t="s">
        <v>91</v>
      </c>
      <c r="J25" t="s">
        <v>93</v>
      </c>
      <c r="K25" s="11">
        <v>7650</v>
      </c>
    </row>
    <row r="26" spans="1:11" x14ac:dyDescent="0.2">
      <c r="A26" s="8" t="s">
        <v>51</v>
      </c>
      <c r="B26" s="1">
        <f t="shared" si="1"/>
        <v>8</v>
      </c>
      <c r="C26" s="9" t="s">
        <v>91</v>
      </c>
      <c r="D26" s="9" t="str">
        <f t="shared" si="0"/>
        <v>Non Angler 8 noches</v>
      </c>
      <c r="E26" s="10">
        <v>3350000</v>
      </c>
      <c r="G26" s="8" t="s">
        <v>65</v>
      </c>
      <c r="H26">
        <v>8</v>
      </c>
      <c r="I26" t="s">
        <v>91</v>
      </c>
      <c r="J26" t="s">
        <v>94</v>
      </c>
      <c r="K26" s="11">
        <v>5355</v>
      </c>
    </row>
    <row r="27" spans="1:11" x14ac:dyDescent="0.2">
      <c r="A27" s="8" t="s">
        <v>197</v>
      </c>
      <c r="B27" s="1">
        <f t="shared" si="1"/>
        <v>9</v>
      </c>
      <c r="C27" s="9" t="s">
        <v>95</v>
      </c>
      <c r="D27" s="9" t="str">
        <f t="shared" si="0"/>
        <v>Baker single 9 noches</v>
      </c>
      <c r="E27" s="10">
        <v>5250000</v>
      </c>
      <c r="G27" s="8" t="s">
        <v>60</v>
      </c>
      <c r="H27">
        <v>9</v>
      </c>
      <c r="I27" t="s">
        <v>95</v>
      </c>
      <c r="J27" t="s">
        <v>96</v>
      </c>
      <c r="K27" s="11">
        <v>11970</v>
      </c>
    </row>
    <row r="28" spans="1:11" x14ac:dyDescent="0.2">
      <c r="A28" s="8" t="s">
        <v>198</v>
      </c>
      <c r="B28" s="1">
        <f t="shared" si="1"/>
        <v>9</v>
      </c>
      <c r="C28" s="9" t="s">
        <v>95</v>
      </c>
      <c r="D28" s="9" t="str">
        <f t="shared" si="0"/>
        <v>Baker full 9 noches</v>
      </c>
      <c r="E28" s="10">
        <v>3750000</v>
      </c>
      <c r="G28" s="8" t="s">
        <v>63</v>
      </c>
      <c r="H28">
        <v>9</v>
      </c>
      <c r="I28" t="s">
        <v>95</v>
      </c>
      <c r="J28" t="s">
        <v>97</v>
      </c>
      <c r="K28" s="11">
        <v>8550</v>
      </c>
    </row>
    <row r="29" spans="1:11" x14ac:dyDescent="0.2">
      <c r="A29" s="8" t="s">
        <v>51</v>
      </c>
      <c r="B29" s="1">
        <f t="shared" si="1"/>
        <v>9</v>
      </c>
      <c r="C29" s="9" t="s">
        <v>95</v>
      </c>
      <c r="D29" s="9" t="str">
        <f t="shared" si="0"/>
        <v>Non Angler 9 noches</v>
      </c>
      <c r="E29" s="10">
        <v>3750000</v>
      </c>
      <c r="G29" s="8" t="s">
        <v>65</v>
      </c>
      <c r="H29">
        <v>9</v>
      </c>
      <c r="I29" t="s">
        <v>95</v>
      </c>
      <c r="J29" t="s">
        <v>98</v>
      </c>
      <c r="K29" s="11">
        <v>5985</v>
      </c>
    </row>
    <row r="30" spans="1:11" x14ac:dyDescent="0.2">
      <c r="A30" s="8" t="s">
        <v>197</v>
      </c>
      <c r="B30" s="1">
        <f t="shared" si="1"/>
        <v>10</v>
      </c>
      <c r="C30" s="9" t="s">
        <v>99</v>
      </c>
      <c r="D30" s="9" t="str">
        <f t="shared" si="0"/>
        <v>Baker single 10 noches</v>
      </c>
      <c r="E30" s="10">
        <v>5810000</v>
      </c>
      <c r="G30" s="8" t="s">
        <v>60</v>
      </c>
      <c r="H30">
        <v>10</v>
      </c>
      <c r="I30" t="s">
        <v>99</v>
      </c>
      <c r="J30" t="s">
        <v>100</v>
      </c>
      <c r="K30" s="11">
        <v>13230</v>
      </c>
    </row>
    <row r="31" spans="1:11" x14ac:dyDescent="0.2">
      <c r="A31" s="8" t="s">
        <v>198</v>
      </c>
      <c r="B31" s="1">
        <f t="shared" si="1"/>
        <v>10</v>
      </c>
      <c r="C31" s="9" t="s">
        <v>99</v>
      </c>
      <c r="D31" s="9" t="str">
        <f t="shared" si="0"/>
        <v>Baker full 10 noches</v>
      </c>
      <c r="E31" s="10">
        <v>4150000</v>
      </c>
      <c r="G31" s="8" t="s">
        <v>63</v>
      </c>
      <c r="H31">
        <v>10</v>
      </c>
      <c r="I31" t="s">
        <v>99</v>
      </c>
      <c r="J31" t="s">
        <v>101</v>
      </c>
      <c r="K31" s="11">
        <v>9450</v>
      </c>
    </row>
    <row r="32" spans="1:11" x14ac:dyDescent="0.2">
      <c r="A32" s="8" t="s">
        <v>51</v>
      </c>
      <c r="B32" s="1">
        <f t="shared" si="1"/>
        <v>10</v>
      </c>
      <c r="C32" s="9" t="s">
        <v>99</v>
      </c>
      <c r="D32" s="9" t="str">
        <f t="shared" si="0"/>
        <v>Non Angler 10 noches</v>
      </c>
      <c r="E32" s="10">
        <v>4150000</v>
      </c>
      <c r="G32" s="8" t="s">
        <v>65</v>
      </c>
      <c r="H32">
        <v>10</v>
      </c>
      <c r="I32" t="s">
        <v>99</v>
      </c>
      <c r="J32" t="s">
        <v>102</v>
      </c>
      <c r="K32" s="11">
        <v>6615</v>
      </c>
    </row>
    <row r="33" spans="1:11" x14ac:dyDescent="0.2">
      <c r="A33" s="8" t="s">
        <v>197</v>
      </c>
      <c r="B33" s="1">
        <f t="shared" si="1"/>
        <v>11</v>
      </c>
      <c r="C33" s="9" t="s">
        <v>103</v>
      </c>
      <c r="D33" s="9" t="str">
        <f t="shared" si="0"/>
        <v>Baker single 11 noches</v>
      </c>
      <c r="E33" s="10">
        <v>6370000</v>
      </c>
      <c r="G33" s="8" t="s">
        <v>60</v>
      </c>
      <c r="H33">
        <v>11</v>
      </c>
      <c r="I33" t="s">
        <v>103</v>
      </c>
      <c r="J33" t="s">
        <v>104</v>
      </c>
      <c r="K33" s="11">
        <v>14489.999999999998</v>
      </c>
    </row>
    <row r="34" spans="1:11" x14ac:dyDescent="0.2">
      <c r="A34" s="8" t="s">
        <v>198</v>
      </c>
      <c r="B34" s="1">
        <f t="shared" si="1"/>
        <v>11</v>
      </c>
      <c r="C34" s="9" t="s">
        <v>103</v>
      </c>
      <c r="D34" s="9" t="str">
        <f t="shared" si="0"/>
        <v>Baker full 11 noches</v>
      </c>
      <c r="E34" s="10">
        <v>4550000</v>
      </c>
      <c r="G34" s="8" t="s">
        <v>63</v>
      </c>
      <c r="H34">
        <v>11</v>
      </c>
      <c r="I34" t="s">
        <v>103</v>
      </c>
      <c r="J34" t="s">
        <v>105</v>
      </c>
      <c r="K34" s="11">
        <v>10350</v>
      </c>
    </row>
    <row r="35" spans="1:11" x14ac:dyDescent="0.2">
      <c r="A35" s="8" t="s">
        <v>51</v>
      </c>
      <c r="B35" s="1">
        <f t="shared" si="1"/>
        <v>11</v>
      </c>
      <c r="C35" s="9" t="s">
        <v>103</v>
      </c>
      <c r="D35" s="9" t="str">
        <f t="shared" si="0"/>
        <v>Non Angler 11 noches</v>
      </c>
      <c r="E35" s="10">
        <v>4550000</v>
      </c>
      <c r="G35" s="8" t="s">
        <v>65</v>
      </c>
      <c r="H35">
        <v>11</v>
      </c>
      <c r="I35" t="s">
        <v>103</v>
      </c>
      <c r="J35" t="s">
        <v>106</v>
      </c>
      <c r="K35" s="11">
        <v>7244.9999999999991</v>
      </c>
    </row>
    <row r="36" spans="1:11" x14ac:dyDescent="0.2">
      <c r="A36" s="8" t="s">
        <v>197</v>
      </c>
      <c r="B36" s="1">
        <f t="shared" si="1"/>
        <v>12</v>
      </c>
      <c r="C36" s="9" t="s">
        <v>107</v>
      </c>
      <c r="D36" s="9" t="str">
        <f t="shared" si="0"/>
        <v>Baker single 12 noches</v>
      </c>
      <c r="E36" s="10">
        <v>6930000</v>
      </c>
      <c r="G36" s="8" t="s">
        <v>60</v>
      </c>
      <c r="H36">
        <v>12</v>
      </c>
      <c r="I36" t="s">
        <v>107</v>
      </c>
      <c r="J36" t="s">
        <v>108</v>
      </c>
      <c r="K36" s="11">
        <v>15749.999999999998</v>
      </c>
    </row>
    <row r="37" spans="1:11" x14ac:dyDescent="0.2">
      <c r="A37" s="8" t="s">
        <v>198</v>
      </c>
      <c r="B37" s="1">
        <f t="shared" si="1"/>
        <v>12</v>
      </c>
      <c r="C37" s="9" t="s">
        <v>107</v>
      </c>
      <c r="D37" s="9" t="str">
        <f t="shared" si="0"/>
        <v>Baker full 12 noches</v>
      </c>
      <c r="E37" s="10">
        <v>4950000</v>
      </c>
      <c r="G37" s="8" t="s">
        <v>63</v>
      </c>
      <c r="H37">
        <v>12</v>
      </c>
      <c r="I37" t="s">
        <v>107</v>
      </c>
      <c r="J37" t="s">
        <v>109</v>
      </c>
      <c r="K37" s="11">
        <v>11250</v>
      </c>
    </row>
    <row r="38" spans="1:11" x14ac:dyDescent="0.2">
      <c r="A38" s="8" t="s">
        <v>51</v>
      </c>
      <c r="B38" s="1">
        <f t="shared" si="1"/>
        <v>12</v>
      </c>
      <c r="C38" s="9" t="s">
        <v>107</v>
      </c>
      <c r="D38" s="9" t="str">
        <f t="shared" si="0"/>
        <v>Non Angler 12 noches</v>
      </c>
      <c r="E38" s="10">
        <v>4950000</v>
      </c>
      <c r="G38" s="8" t="s">
        <v>65</v>
      </c>
      <c r="H38">
        <v>12</v>
      </c>
      <c r="I38" t="s">
        <v>107</v>
      </c>
      <c r="J38" t="s">
        <v>110</v>
      </c>
      <c r="K38" s="11">
        <v>7874.9999999999991</v>
      </c>
    </row>
    <row r="39" spans="1:11" x14ac:dyDescent="0.2">
      <c r="A39" s="8" t="s">
        <v>197</v>
      </c>
      <c r="B39" s="1">
        <f t="shared" si="1"/>
        <v>13</v>
      </c>
      <c r="C39" s="9" t="s">
        <v>111</v>
      </c>
      <c r="D39" s="9" t="str">
        <f t="shared" si="0"/>
        <v>Baker single 13 noches</v>
      </c>
      <c r="E39" s="10">
        <v>7489999.9999999991</v>
      </c>
      <c r="G39" s="8" t="s">
        <v>60</v>
      </c>
      <c r="H39">
        <v>13</v>
      </c>
      <c r="I39" t="s">
        <v>111</v>
      </c>
      <c r="J39" t="s">
        <v>112</v>
      </c>
      <c r="K39" s="11">
        <v>17010</v>
      </c>
    </row>
    <row r="40" spans="1:11" x14ac:dyDescent="0.2">
      <c r="A40" s="8" t="s">
        <v>198</v>
      </c>
      <c r="B40" s="1">
        <f t="shared" si="1"/>
        <v>13</v>
      </c>
      <c r="C40" s="9" t="s">
        <v>111</v>
      </c>
      <c r="D40" s="9" t="str">
        <f t="shared" si="0"/>
        <v>Baker full 13 noches</v>
      </c>
      <c r="E40" s="10">
        <v>5350000</v>
      </c>
      <c r="G40" s="8" t="s">
        <v>63</v>
      </c>
      <c r="H40">
        <v>13</v>
      </c>
      <c r="I40" t="s">
        <v>111</v>
      </c>
      <c r="J40" t="s">
        <v>113</v>
      </c>
      <c r="K40" s="11">
        <v>12150</v>
      </c>
    </row>
    <row r="41" spans="1:11" x14ac:dyDescent="0.2">
      <c r="A41" s="8" t="s">
        <v>51</v>
      </c>
      <c r="B41" s="1">
        <f t="shared" si="1"/>
        <v>13</v>
      </c>
      <c r="C41" s="9" t="s">
        <v>111</v>
      </c>
      <c r="D41" s="9" t="str">
        <f t="shared" si="0"/>
        <v>Non Angler 13 noches</v>
      </c>
      <c r="E41" s="10">
        <v>5350000</v>
      </c>
      <c r="G41" s="8" t="s">
        <v>65</v>
      </c>
      <c r="H41">
        <v>13</v>
      </c>
      <c r="I41" t="s">
        <v>111</v>
      </c>
      <c r="J41" t="s">
        <v>114</v>
      </c>
      <c r="K41" s="11">
        <v>8505</v>
      </c>
    </row>
    <row r="42" spans="1:11" x14ac:dyDescent="0.2">
      <c r="A42" s="8" t="s">
        <v>197</v>
      </c>
      <c r="B42" s="1">
        <f t="shared" si="1"/>
        <v>14</v>
      </c>
      <c r="C42" s="9" t="s">
        <v>115</v>
      </c>
      <c r="D42" s="9" t="str">
        <f t="shared" si="0"/>
        <v>Baker single 14 noches</v>
      </c>
      <c r="E42" s="10">
        <v>8049999.9999999991</v>
      </c>
      <c r="G42" s="8" t="s">
        <v>60</v>
      </c>
      <c r="H42">
        <v>14</v>
      </c>
      <c r="I42" t="s">
        <v>115</v>
      </c>
      <c r="J42" t="s">
        <v>116</v>
      </c>
      <c r="K42" s="11">
        <v>18270</v>
      </c>
    </row>
    <row r="43" spans="1:11" x14ac:dyDescent="0.2">
      <c r="A43" s="8" t="s">
        <v>198</v>
      </c>
      <c r="B43" s="1">
        <f t="shared" si="1"/>
        <v>14</v>
      </c>
      <c r="C43" s="9" t="s">
        <v>115</v>
      </c>
      <c r="D43" s="9" t="str">
        <f t="shared" si="0"/>
        <v>Baker full 14 noches</v>
      </c>
      <c r="E43" s="10">
        <v>5750000</v>
      </c>
      <c r="G43" s="8" t="s">
        <v>63</v>
      </c>
      <c r="H43">
        <v>14</v>
      </c>
      <c r="I43" t="s">
        <v>115</v>
      </c>
      <c r="J43" t="s">
        <v>117</v>
      </c>
      <c r="K43" s="11">
        <v>13050</v>
      </c>
    </row>
    <row r="44" spans="1:11" x14ac:dyDescent="0.2">
      <c r="A44" s="8" t="s">
        <v>51</v>
      </c>
      <c r="B44" s="1">
        <f t="shared" si="1"/>
        <v>14</v>
      </c>
      <c r="C44" s="9" t="s">
        <v>115</v>
      </c>
      <c r="D44" s="9" t="str">
        <f t="shared" si="0"/>
        <v>Non Angler 14 noches</v>
      </c>
      <c r="E44" s="10">
        <v>5750000</v>
      </c>
      <c r="G44" s="8" t="s">
        <v>65</v>
      </c>
      <c r="H44">
        <v>14</v>
      </c>
      <c r="I44" t="s">
        <v>115</v>
      </c>
      <c r="J44" t="s">
        <v>118</v>
      </c>
      <c r="K44" s="11">
        <v>9135</v>
      </c>
    </row>
    <row r="45" spans="1:11" x14ac:dyDescent="0.2">
      <c r="A45" s="8" t="s">
        <v>119</v>
      </c>
      <c r="B45" s="1">
        <v>1</v>
      </c>
      <c r="C45" s="9" t="s">
        <v>61</v>
      </c>
      <c r="D45" s="9" t="str">
        <f t="shared" si="0"/>
        <v>Host 1 noche</v>
      </c>
      <c r="E45" s="10">
        <v>0</v>
      </c>
      <c r="G45" s="8" t="s">
        <v>119</v>
      </c>
      <c r="H45">
        <v>1</v>
      </c>
      <c r="I45" t="s">
        <v>61</v>
      </c>
      <c r="J45" t="s">
        <v>120</v>
      </c>
      <c r="K45" s="11">
        <v>0</v>
      </c>
    </row>
    <row r="46" spans="1:11" x14ac:dyDescent="0.2">
      <c r="A46" s="8" t="s">
        <v>119</v>
      </c>
      <c r="B46" s="1">
        <v>2</v>
      </c>
      <c r="C46" s="9" t="s">
        <v>121</v>
      </c>
      <c r="D46" s="9" t="str">
        <f t="shared" si="0"/>
        <v>Host 2 Noches</v>
      </c>
      <c r="E46" s="10">
        <v>0</v>
      </c>
      <c r="G46" s="8" t="s">
        <v>119</v>
      </c>
      <c r="H46">
        <v>2</v>
      </c>
      <c r="I46" t="s">
        <v>121</v>
      </c>
      <c r="J46" t="s">
        <v>122</v>
      </c>
      <c r="K46" s="11">
        <v>0</v>
      </c>
    </row>
    <row r="47" spans="1:11" x14ac:dyDescent="0.2">
      <c r="A47" s="8" t="s">
        <v>119</v>
      </c>
      <c r="B47" s="1">
        <v>3</v>
      </c>
      <c r="C47" s="9" t="s">
        <v>123</v>
      </c>
      <c r="D47" s="9" t="str">
        <f t="shared" si="0"/>
        <v>Host 3 Noches</v>
      </c>
      <c r="E47" s="10">
        <v>0</v>
      </c>
      <c r="G47" s="8" t="s">
        <v>119</v>
      </c>
      <c r="H47">
        <v>3</v>
      </c>
      <c r="I47" t="s">
        <v>123</v>
      </c>
      <c r="J47" t="s">
        <v>124</v>
      </c>
      <c r="K47" s="11">
        <v>0</v>
      </c>
    </row>
    <row r="48" spans="1:11" x14ac:dyDescent="0.2">
      <c r="A48" s="8" t="s">
        <v>119</v>
      </c>
      <c r="B48" s="1">
        <v>4</v>
      </c>
      <c r="C48" s="9" t="s">
        <v>125</v>
      </c>
      <c r="D48" s="9" t="str">
        <f t="shared" si="0"/>
        <v>Host 4 Noches</v>
      </c>
      <c r="E48" s="10">
        <v>0</v>
      </c>
      <c r="G48" s="8" t="s">
        <v>119</v>
      </c>
      <c r="H48">
        <v>4</v>
      </c>
      <c r="I48" t="s">
        <v>125</v>
      </c>
      <c r="J48" t="s">
        <v>126</v>
      </c>
      <c r="K48" s="11">
        <v>0</v>
      </c>
    </row>
    <row r="49" spans="1:11" x14ac:dyDescent="0.2">
      <c r="A49" s="8" t="s">
        <v>119</v>
      </c>
      <c r="B49" s="1">
        <v>5</v>
      </c>
      <c r="C49" s="9" t="s">
        <v>127</v>
      </c>
      <c r="D49" s="9" t="str">
        <f t="shared" si="0"/>
        <v>Host 5 Noches</v>
      </c>
      <c r="E49" s="10">
        <v>0</v>
      </c>
      <c r="G49" s="8" t="s">
        <v>119</v>
      </c>
      <c r="H49">
        <v>5</v>
      </c>
      <c r="I49" t="s">
        <v>127</v>
      </c>
      <c r="J49" t="s">
        <v>128</v>
      </c>
      <c r="K49" s="11">
        <v>0</v>
      </c>
    </row>
    <row r="50" spans="1:11" x14ac:dyDescent="0.2">
      <c r="A50" s="8" t="s">
        <v>119</v>
      </c>
      <c r="B50" s="1">
        <v>6</v>
      </c>
      <c r="C50" s="9" t="s">
        <v>129</v>
      </c>
      <c r="D50" s="9" t="str">
        <f t="shared" si="0"/>
        <v>Host 6 Noches</v>
      </c>
      <c r="E50" s="10">
        <v>0</v>
      </c>
      <c r="G50" s="8" t="s">
        <v>119</v>
      </c>
      <c r="H50">
        <v>6</v>
      </c>
      <c r="I50" t="s">
        <v>129</v>
      </c>
      <c r="J50" t="s">
        <v>130</v>
      </c>
      <c r="K50" s="11">
        <v>0</v>
      </c>
    </row>
    <row r="51" spans="1:11" x14ac:dyDescent="0.2">
      <c r="A51" s="8" t="s">
        <v>119</v>
      </c>
      <c r="B51" s="1">
        <v>7</v>
      </c>
      <c r="C51" s="9" t="s">
        <v>131</v>
      </c>
      <c r="D51" s="9" t="str">
        <f t="shared" si="0"/>
        <v>Host 7 Noches</v>
      </c>
      <c r="E51" s="10">
        <v>0</v>
      </c>
      <c r="G51" s="8" t="s">
        <v>119</v>
      </c>
      <c r="H51">
        <v>7</v>
      </c>
      <c r="I51" t="s">
        <v>131</v>
      </c>
      <c r="J51" t="s">
        <v>132</v>
      </c>
      <c r="K51" s="11">
        <v>0</v>
      </c>
    </row>
    <row r="52" spans="1:11" x14ac:dyDescent="0.2">
      <c r="A52" s="8" t="s">
        <v>119</v>
      </c>
      <c r="B52" s="1">
        <v>8</v>
      </c>
      <c r="C52" s="9" t="s">
        <v>133</v>
      </c>
      <c r="D52" s="9" t="str">
        <f t="shared" si="0"/>
        <v>Host 8 Noches</v>
      </c>
      <c r="E52" s="10">
        <v>0</v>
      </c>
      <c r="G52" s="8" t="s">
        <v>119</v>
      </c>
      <c r="H52">
        <v>8</v>
      </c>
      <c r="I52" t="s">
        <v>133</v>
      </c>
      <c r="J52" t="s">
        <v>134</v>
      </c>
      <c r="K52" s="11">
        <v>0</v>
      </c>
    </row>
    <row r="53" spans="1:11" x14ac:dyDescent="0.2">
      <c r="A53" s="8" t="s">
        <v>119</v>
      </c>
      <c r="B53" s="1">
        <v>9</v>
      </c>
      <c r="C53" s="9" t="s">
        <v>135</v>
      </c>
      <c r="D53" s="9" t="str">
        <f t="shared" si="0"/>
        <v>Host 9 Noches</v>
      </c>
      <c r="E53" s="10">
        <v>0</v>
      </c>
      <c r="G53" s="8" t="s">
        <v>119</v>
      </c>
      <c r="H53">
        <v>9</v>
      </c>
      <c r="I53" t="s">
        <v>135</v>
      </c>
      <c r="J53" t="s">
        <v>136</v>
      </c>
      <c r="K53" s="11">
        <v>0</v>
      </c>
    </row>
    <row r="54" spans="1:11" x14ac:dyDescent="0.2">
      <c r="A54" s="8" t="s">
        <v>119</v>
      </c>
      <c r="B54" s="1">
        <v>10</v>
      </c>
      <c r="C54" s="9" t="s">
        <v>137</v>
      </c>
      <c r="D54" s="9" t="str">
        <f t="shared" si="0"/>
        <v>Host 10 Noches</v>
      </c>
      <c r="E54" s="10">
        <v>0</v>
      </c>
      <c r="G54" s="8" t="s">
        <v>119</v>
      </c>
      <c r="H54">
        <v>10</v>
      </c>
      <c r="I54" t="s">
        <v>137</v>
      </c>
      <c r="J54" t="s">
        <v>138</v>
      </c>
      <c r="K54" s="11">
        <v>0</v>
      </c>
    </row>
    <row r="55" spans="1:11" x14ac:dyDescent="0.2">
      <c r="A55" s="8" t="s">
        <v>119</v>
      </c>
      <c r="B55" s="1">
        <v>11</v>
      </c>
      <c r="C55" s="9" t="s">
        <v>139</v>
      </c>
      <c r="D55" s="9" t="str">
        <f t="shared" si="0"/>
        <v>Host 11 Noches</v>
      </c>
      <c r="E55" s="10">
        <v>0</v>
      </c>
      <c r="G55" s="8" t="s">
        <v>119</v>
      </c>
      <c r="H55">
        <v>11</v>
      </c>
      <c r="I55" t="s">
        <v>139</v>
      </c>
      <c r="J55" t="s">
        <v>140</v>
      </c>
      <c r="K55" s="11">
        <v>0</v>
      </c>
    </row>
    <row r="56" spans="1:11" x14ac:dyDescent="0.2">
      <c r="A56" s="8" t="s">
        <v>119</v>
      </c>
      <c r="B56" s="1">
        <v>12</v>
      </c>
      <c r="C56" s="9" t="s">
        <v>141</v>
      </c>
      <c r="D56" s="9" t="str">
        <f t="shared" si="0"/>
        <v>Host 12 Noches</v>
      </c>
      <c r="E56" s="10">
        <v>0</v>
      </c>
      <c r="G56" s="8" t="s">
        <v>119</v>
      </c>
      <c r="H56">
        <v>12</v>
      </c>
      <c r="I56" t="s">
        <v>141</v>
      </c>
      <c r="J56" t="s">
        <v>142</v>
      </c>
      <c r="K56" s="11">
        <v>0</v>
      </c>
    </row>
    <row r="57" spans="1:11" x14ac:dyDescent="0.2">
      <c r="A57" s="8" t="s">
        <v>119</v>
      </c>
      <c r="B57" s="1">
        <v>13</v>
      </c>
      <c r="C57" s="9" t="s">
        <v>143</v>
      </c>
      <c r="D57" s="9" t="str">
        <f t="shared" si="0"/>
        <v>Host 13 Noches</v>
      </c>
      <c r="E57" s="10">
        <v>0</v>
      </c>
      <c r="G57" s="8" t="s">
        <v>119</v>
      </c>
      <c r="H57">
        <v>13</v>
      </c>
      <c r="I57" t="s">
        <v>143</v>
      </c>
      <c r="J57" t="s">
        <v>144</v>
      </c>
      <c r="K57" s="11">
        <v>0</v>
      </c>
    </row>
    <row r="58" spans="1:11" ht="17" thickBot="1" x14ac:dyDescent="0.25">
      <c r="A58" s="6" t="s">
        <v>119</v>
      </c>
      <c r="B58" s="12">
        <v>14</v>
      </c>
      <c r="C58" s="13" t="s">
        <v>145</v>
      </c>
      <c r="D58" s="13" t="str">
        <f t="shared" si="0"/>
        <v>Host 14 Noches</v>
      </c>
      <c r="E58" s="14">
        <v>0</v>
      </c>
      <c r="G58" s="6" t="s">
        <v>119</v>
      </c>
      <c r="H58" s="7">
        <v>14</v>
      </c>
      <c r="I58" s="7" t="s">
        <v>145</v>
      </c>
      <c r="J58" s="7" t="s">
        <v>146</v>
      </c>
      <c r="K58" s="15">
        <v>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Pesca Nacional</vt:lpstr>
      <vt:lpstr>Mantenedor</vt:lpstr>
      <vt:lpstr>Políticas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Icaza</dc:creator>
  <cp:lastModifiedBy>Javier Icaza</cp:lastModifiedBy>
  <dcterms:created xsi:type="dcterms:W3CDTF">2025-10-16T13:57:48Z</dcterms:created>
  <dcterms:modified xsi:type="dcterms:W3CDTF">2025-10-17T13:22:22Z</dcterms:modified>
</cp:coreProperties>
</file>